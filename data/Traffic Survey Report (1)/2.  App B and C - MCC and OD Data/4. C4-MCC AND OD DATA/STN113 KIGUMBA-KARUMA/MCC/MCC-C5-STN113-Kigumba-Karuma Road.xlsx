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MCC-OD\C-4 Analysis Complete\STN113 KIGUMBA-KARUMA\MCC\"/>
    </mc:Choice>
  </mc:AlternateContent>
  <xr:revisionPtr revIDLastSave="0" documentId="13_ncr:1_{D80D3416-6AE4-477F-AD6A-B1934AAEA8B8}" xr6:coauthVersionLast="45" xr6:coauthVersionMax="45" xr10:uidLastSave="{00000000-0000-0000-0000-000000000000}"/>
  <bookViews>
    <workbookView xWindow="-120" yWindow="-120" windowWidth="20730" windowHeight="11160" tabRatio="940" firstSheet="12" activeTab="16" xr2:uid="{00000000-000D-0000-FFFF-FFFF00000000}"/>
  </bookViews>
  <sheets>
    <sheet name="29.07 Karuma-Kigumba" sheetId="93" r:id="rId1"/>
    <sheet name="29.07 Kigumba-Karuma" sheetId="94" r:id="rId2"/>
    <sheet name="30.07 Karuma-Kigumba" sheetId="95" r:id="rId3"/>
    <sheet name="30.07 Kigumba-Karuma" sheetId="96" r:id="rId4"/>
    <sheet name="31.07 Karuma-Kigumba" sheetId="97" r:id="rId5"/>
    <sheet name="31.07 Kigumba-Karuma" sheetId="98" r:id="rId6"/>
    <sheet name="01.08 Karuma-Kigumba" sheetId="99" r:id="rId7"/>
    <sheet name="01.08 Kigumba-Karuma" sheetId="100" r:id="rId8"/>
    <sheet name="02.08 Karuma-Kigumba-24h" sheetId="101" r:id="rId9"/>
    <sheet name="02.08 Kigumba-Karuma-24h" sheetId="109" r:id="rId10"/>
    <sheet name="03.08 Karuma-Kigumba-24h" sheetId="112" r:id="rId11"/>
    <sheet name="03.08 Kigumba-Karuma-24h" sheetId="113" r:id="rId12"/>
    <sheet name="04.08 Karuma-Kigumba" sheetId="105" r:id="rId13"/>
    <sheet name="04.08 Kigumba-Karuma" sheetId="110" r:id="rId14"/>
    <sheet name="Avg Week Karuma-Kigumba" sheetId="107" r:id="rId15"/>
    <sheet name="Avg Week Kigumba-Karuma" sheetId="108" r:id="rId16"/>
    <sheet name="Avg Week Kigumba-Karuma-2Dir" sheetId="111" r:id="rId17"/>
  </sheets>
  <definedNames>
    <definedName name="_xlnm.Print_Area" localSheetId="6">'01.08 Karuma-Kigumba'!$A$1:$AF$60</definedName>
    <definedName name="_xlnm.Print_Area" localSheetId="7">'01.08 Kigumba-Karuma'!$A$1:$AF$60</definedName>
    <definedName name="_xlnm.Print_Area" localSheetId="8">'02.08 Karuma-Kigumba-24h'!$A$1:$AF$108</definedName>
    <definedName name="_xlnm.Print_Area" localSheetId="9">'02.08 Kigumba-Karuma-24h'!$A$1:$AF$108</definedName>
    <definedName name="_xlnm.Print_Area" localSheetId="10">'03.08 Karuma-Kigumba-24h'!$A$1:$AF$108</definedName>
    <definedName name="_xlnm.Print_Area" localSheetId="11">'03.08 Kigumba-Karuma-24h'!$A$1:$AF$108</definedName>
    <definedName name="_xlnm.Print_Area" localSheetId="12">'04.08 Karuma-Kigumba'!$A$1:$AF$65</definedName>
    <definedName name="_xlnm.Print_Area" localSheetId="13">'04.08 Kigumba-Karuma'!$A$1:$AF$68</definedName>
    <definedName name="_xlnm.Print_Area" localSheetId="0">'29.07 Karuma-Kigumba'!$A$1:$AF$60</definedName>
    <definedName name="_xlnm.Print_Area" localSheetId="1">'29.07 Kigumba-Karuma'!$A$1:$AF$60</definedName>
    <definedName name="_xlnm.Print_Area" localSheetId="2">'30.07 Karuma-Kigumba'!$A$1:$AF$60</definedName>
    <definedName name="_xlnm.Print_Area" localSheetId="3">'30.07 Kigumba-Karuma'!$A$1:$AF$60</definedName>
    <definedName name="_xlnm.Print_Area" localSheetId="4">'31.07 Karuma-Kigumba'!$A$1:$AF$60</definedName>
    <definedName name="_xlnm.Print_Area" localSheetId="5">'31.07 Kigumba-Karuma'!$A$1:$AF$60</definedName>
    <definedName name="_xlnm.Print_Area" localSheetId="14">'Avg Week Karuma-Kigumba'!$A$1:$AF$108</definedName>
    <definedName name="_xlnm.Print_Area" localSheetId="15">'Avg Week Kigumba-Karuma'!$A$1:$AF$108</definedName>
    <definedName name="_xlnm.Print_Area" localSheetId="16">'Avg Week Kigumba-Karuma-2Dir'!$A$1:$AF$108</definedName>
    <definedName name="_xlnm.Print_Titles" localSheetId="6">'01.08 Karuma-Kigumba'!$1:$8</definedName>
    <definedName name="_xlnm.Print_Titles" localSheetId="7">'01.08 Kigumba-Karuma'!$1:$8</definedName>
    <definedName name="_xlnm.Print_Titles" localSheetId="8">'02.08 Karuma-Kigumba-24h'!$1:$8</definedName>
    <definedName name="_xlnm.Print_Titles" localSheetId="9">'02.08 Kigumba-Karuma-24h'!$1:$8</definedName>
    <definedName name="_xlnm.Print_Titles" localSheetId="10">'03.08 Karuma-Kigumba-24h'!$1:$8</definedName>
    <definedName name="_xlnm.Print_Titles" localSheetId="11">'03.08 Kigumba-Karuma-24h'!$1:$8</definedName>
    <definedName name="_xlnm.Print_Titles" localSheetId="12">'04.08 Karuma-Kigumba'!$1:$8</definedName>
    <definedName name="_xlnm.Print_Titles" localSheetId="13">'04.08 Kigumba-Karuma'!$1:$8</definedName>
    <definedName name="_xlnm.Print_Titles" localSheetId="0">'29.07 Karuma-Kigumba'!$1:$8</definedName>
    <definedName name="_xlnm.Print_Titles" localSheetId="1">'29.07 Kigumba-Karuma'!$1:$8</definedName>
    <definedName name="_xlnm.Print_Titles" localSheetId="2">'30.07 Karuma-Kigumba'!$1:$8</definedName>
    <definedName name="_xlnm.Print_Titles" localSheetId="3">'30.07 Kigumba-Karuma'!$1:$8</definedName>
    <definedName name="_xlnm.Print_Titles" localSheetId="4">'31.07 Karuma-Kigumba'!$1:$8</definedName>
    <definedName name="_xlnm.Print_Titles" localSheetId="5">'31.07 Kigumba-Karuma'!$1:$8</definedName>
    <definedName name="_xlnm.Print_Titles" localSheetId="14">'Avg Week Karuma-Kigumba'!$1:$8</definedName>
    <definedName name="_xlnm.Print_Titles" localSheetId="15">'Avg Week Kigumba-Karuma'!$1:$8</definedName>
    <definedName name="_xlnm.Print_Titles" localSheetId="16">'Avg Week Kigumba-Karuma-2Dir'!$1:$8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9" i="111" l="1"/>
  <c r="D59" i="111"/>
  <c r="E59" i="111"/>
  <c r="F59" i="111"/>
  <c r="G59" i="111"/>
  <c r="H59" i="111"/>
  <c r="I59" i="111"/>
  <c r="J59" i="111"/>
  <c r="K59" i="111"/>
  <c r="L59" i="111"/>
  <c r="M59" i="111"/>
  <c r="N59" i="111"/>
  <c r="C60" i="111"/>
  <c r="D60" i="111"/>
  <c r="E60" i="111"/>
  <c r="F60" i="111"/>
  <c r="G60" i="111"/>
  <c r="H60" i="111"/>
  <c r="I60" i="111"/>
  <c r="J60" i="111"/>
  <c r="K60" i="111"/>
  <c r="L60" i="111"/>
  <c r="M60" i="111"/>
  <c r="N60" i="111"/>
  <c r="C61" i="111"/>
  <c r="D61" i="111"/>
  <c r="E61" i="111"/>
  <c r="F61" i="111"/>
  <c r="G61" i="111"/>
  <c r="H61" i="111"/>
  <c r="I61" i="111"/>
  <c r="J61" i="111"/>
  <c r="K61" i="111"/>
  <c r="L61" i="111"/>
  <c r="M61" i="111"/>
  <c r="N61" i="111"/>
  <c r="C62" i="111"/>
  <c r="D62" i="111"/>
  <c r="E62" i="111"/>
  <c r="F62" i="111"/>
  <c r="G62" i="111"/>
  <c r="H62" i="111"/>
  <c r="I62" i="111"/>
  <c r="J62" i="111"/>
  <c r="K62" i="111"/>
  <c r="L62" i="111"/>
  <c r="M62" i="111"/>
  <c r="N62" i="111"/>
  <c r="C63" i="111"/>
  <c r="D63" i="111"/>
  <c r="E63" i="111"/>
  <c r="F63" i="111"/>
  <c r="G63" i="111"/>
  <c r="H63" i="111"/>
  <c r="I63" i="111"/>
  <c r="J63" i="111"/>
  <c r="K63" i="111"/>
  <c r="L63" i="111"/>
  <c r="M63" i="111"/>
  <c r="N63" i="111"/>
  <c r="C64" i="111"/>
  <c r="D64" i="111"/>
  <c r="E64" i="111"/>
  <c r="F64" i="111"/>
  <c r="G64" i="111"/>
  <c r="H64" i="111"/>
  <c r="I64" i="111"/>
  <c r="J64" i="111"/>
  <c r="K64" i="111"/>
  <c r="L64" i="111"/>
  <c r="M64" i="111"/>
  <c r="N64" i="111"/>
  <c r="C65" i="111"/>
  <c r="D65" i="111"/>
  <c r="E65" i="111"/>
  <c r="F65" i="111"/>
  <c r="G65" i="111"/>
  <c r="H65" i="111"/>
  <c r="I65" i="111"/>
  <c r="J65" i="111"/>
  <c r="K65" i="111"/>
  <c r="L65" i="111"/>
  <c r="M65" i="111"/>
  <c r="N65" i="111"/>
  <c r="C66" i="111"/>
  <c r="D66" i="111"/>
  <c r="E66" i="111"/>
  <c r="F66" i="111"/>
  <c r="G66" i="111"/>
  <c r="H66" i="111"/>
  <c r="I66" i="111"/>
  <c r="J66" i="111"/>
  <c r="K66" i="111"/>
  <c r="L66" i="111"/>
  <c r="M66" i="111"/>
  <c r="N66" i="111"/>
  <c r="C67" i="111"/>
  <c r="D67" i="111"/>
  <c r="E67" i="111"/>
  <c r="F67" i="111"/>
  <c r="G67" i="111"/>
  <c r="H67" i="111"/>
  <c r="I67" i="111"/>
  <c r="J67" i="111"/>
  <c r="K67" i="111"/>
  <c r="L67" i="111"/>
  <c r="M67" i="111"/>
  <c r="N67" i="111"/>
  <c r="C68" i="111"/>
  <c r="D68" i="111"/>
  <c r="E68" i="111"/>
  <c r="F68" i="111"/>
  <c r="G68" i="111"/>
  <c r="H68" i="111"/>
  <c r="I68" i="111"/>
  <c r="J68" i="111"/>
  <c r="K68" i="111"/>
  <c r="L68" i="111"/>
  <c r="M68" i="111"/>
  <c r="N68" i="111"/>
  <c r="C69" i="111"/>
  <c r="D69" i="111"/>
  <c r="E69" i="111"/>
  <c r="F69" i="111"/>
  <c r="G69" i="111"/>
  <c r="H69" i="111"/>
  <c r="I69" i="111"/>
  <c r="J69" i="111"/>
  <c r="K69" i="111"/>
  <c r="L69" i="111"/>
  <c r="M69" i="111"/>
  <c r="N69" i="111"/>
  <c r="C70" i="111"/>
  <c r="D70" i="111"/>
  <c r="E70" i="111"/>
  <c r="F70" i="111"/>
  <c r="G70" i="111"/>
  <c r="H70" i="111"/>
  <c r="I70" i="111"/>
  <c r="J70" i="111"/>
  <c r="K70" i="111"/>
  <c r="L70" i="111"/>
  <c r="M70" i="111"/>
  <c r="N70" i="111"/>
  <c r="C71" i="111"/>
  <c r="D71" i="111"/>
  <c r="E71" i="111"/>
  <c r="F71" i="111"/>
  <c r="G71" i="111"/>
  <c r="H71" i="111"/>
  <c r="I71" i="111"/>
  <c r="J71" i="111"/>
  <c r="K71" i="111"/>
  <c r="L71" i="111"/>
  <c r="M71" i="111"/>
  <c r="N71" i="111"/>
  <c r="C72" i="111"/>
  <c r="D72" i="111"/>
  <c r="E72" i="111"/>
  <c r="F72" i="111"/>
  <c r="G72" i="111"/>
  <c r="H72" i="111"/>
  <c r="I72" i="111"/>
  <c r="J72" i="111"/>
  <c r="K72" i="111"/>
  <c r="L72" i="111"/>
  <c r="M72" i="111"/>
  <c r="N72" i="111"/>
  <c r="C73" i="111"/>
  <c r="D73" i="111"/>
  <c r="E73" i="111"/>
  <c r="F73" i="111"/>
  <c r="G73" i="111"/>
  <c r="H73" i="111"/>
  <c r="I73" i="111"/>
  <c r="J73" i="111"/>
  <c r="K73" i="111"/>
  <c r="L73" i="111"/>
  <c r="M73" i="111"/>
  <c r="N73" i="111"/>
  <c r="C74" i="111"/>
  <c r="D74" i="111"/>
  <c r="E74" i="111"/>
  <c r="F74" i="111"/>
  <c r="G74" i="111"/>
  <c r="H74" i="111"/>
  <c r="I74" i="111"/>
  <c r="J74" i="111"/>
  <c r="K74" i="111"/>
  <c r="L74" i="111"/>
  <c r="M74" i="111"/>
  <c r="N74" i="111"/>
  <c r="C75" i="111"/>
  <c r="D75" i="111"/>
  <c r="E75" i="111"/>
  <c r="F75" i="111"/>
  <c r="G75" i="111"/>
  <c r="H75" i="111"/>
  <c r="I75" i="111"/>
  <c r="J75" i="111"/>
  <c r="K75" i="111"/>
  <c r="L75" i="111"/>
  <c r="M75" i="111"/>
  <c r="N75" i="111"/>
  <c r="C76" i="111"/>
  <c r="D76" i="111"/>
  <c r="E76" i="111"/>
  <c r="F76" i="111"/>
  <c r="G76" i="111"/>
  <c r="H76" i="111"/>
  <c r="I76" i="111"/>
  <c r="J76" i="111"/>
  <c r="K76" i="111"/>
  <c r="L76" i="111"/>
  <c r="M76" i="111"/>
  <c r="N76" i="111"/>
  <c r="C77" i="111"/>
  <c r="D77" i="111"/>
  <c r="E77" i="111"/>
  <c r="F77" i="111"/>
  <c r="G77" i="111"/>
  <c r="H77" i="111"/>
  <c r="I77" i="111"/>
  <c r="J77" i="111"/>
  <c r="K77" i="111"/>
  <c r="L77" i="111"/>
  <c r="M77" i="111"/>
  <c r="N77" i="111"/>
  <c r="C78" i="111"/>
  <c r="D78" i="111"/>
  <c r="E78" i="111"/>
  <c r="F78" i="111"/>
  <c r="G78" i="111"/>
  <c r="H78" i="111"/>
  <c r="I78" i="111"/>
  <c r="J78" i="111"/>
  <c r="K78" i="111"/>
  <c r="L78" i="111"/>
  <c r="M78" i="111"/>
  <c r="N78" i="111"/>
  <c r="C79" i="111"/>
  <c r="D79" i="111"/>
  <c r="E79" i="111"/>
  <c r="F79" i="111"/>
  <c r="G79" i="111"/>
  <c r="H79" i="111"/>
  <c r="I79" i="111"/>
  <c r="J79" i="111"/>
  <c r="K79" i="111"/>
  <c r="L79" i="111"/>
  <c r="M79" i="111"/>
  <c r="N79" i="111"/>
  <c r="C80" i="111"/>
  <c r="D80" i="111"/>
  <c r="E80" i="111"/>
  <c r="F80" i="111"/>
  <c r="G80" i="111"/>
  <c r="H80" i="111"/>
  <c r="I80" i="111"/>
  <c r="J80" i="111"/>
  <c r="K80" i="111"/>
  <c r="L80" i="111"/>
  <c r="M80" i="111"/>
  <c r="N80" i="111"/>
  <c r="C81" i="111"/>
  <c r="D81" i="111"/>
  <c r="E81" i="111"/>
  <c r="F81" i="111"/>
  <c r="G81" i="111"/>
  <c r="H81" i="111"/>
  <c r="I81" i="111"/>
  <c r="J81" i="111"/>
  <c r="K81" i="111"/>
  <c r="L81" i="111"/>
  <c r="M81" i="111"/>
  <c r="N81" i="111"/>
  <c r="C82" i="111"/>
  <c r="D82" i="111"/>
  <c r="E82" i="111"/>
  <c r="F82" i="111"/>
  <c r="G82" i="111"/>
  <c r="H82" i="111"/>
  <c r="I82" i="111"/>
  <c r="J82" i="111"/>
  <c r="K82" i="111"/>
  <c r="L82" i="111"/>
  <c r="M82" i="111"/>
  <c r="N82" i="111"/>
  <c r="C83" i="111"/>
  <c r="D83" i="111"/>
  <c r="E83" i="111"/>
  <c r="F83" i="111"/>
  <c r="G83" i="111"/>
  <c r="H83" i="111"/>
  <c r="I83" i="111"/>
  <c r="J83" i="111"/>
  <c r="K83" i="111"/>
  <c r="L83" i="111"/>
  <c r="M83" i="111"/>
  <c r="N83" i="111"/>
  <c r="C84" i="111"/>
  <c r="D84" i="111"/>
  <c r="E84" i="111"/>
  <c r="F84" i="111"/>
  <c r="G84" i="111"/>
  <c r="H84" i="111"/>
  <c r="I84" i="111"/>
  <c r="J84" i="111"/>
  <c r="K84" i="111"/>
  <c r="L84" i="111"/>
  <c r="M84" i="111"/>
  <c r="N84" i="111"/>
  <c r="C85" i="111"/>
  <c r="D85" i="111"/>
  <c r="E85" i="111"/>
  <c r="F85" i="111"/>
  <c r="G85" i="111"/>
  <c r="H85" i="111"/>
  <c r="I85" i="111"/>
  <c r="J85" i="111"/>
  <c r="K85" i="111"/>
  <c r="L85" i="111"/>
  <c r="M85" i="111"/>
  <c r="N85" i="111"/>
  <c r="C86" i="111"/>
  <c r="D86" i="111"/>
  <c r="E86" i="111"/>
  <c r="F86" i="111"/>
  <c r="G86" i="111"/>
  <c r="H86" i="111"/>
  <c r="I86" i="111"/>
  <c r="J86" i="111"/>
  <c r="K86" i="111"/>
  <c r="L86" i="111"/>
  <c r="M86" i="111"/>
  <c r="N86" i="111"/>
  <c r="C87" i="111"/>
  <c r="D87" i="111"/>
  <c r="E87" i="111"/>
  <c r="F87" i="111"/>
  <c r="G87" i="111"/>
  <c r="H87" i="111"/>
  <c r="I87" i="111"/>
  <c r="J87" i="111"/>
  <c r="K87" i="111"/>
  <c r="L87" i="111"/>
  <c r="M87" i="111"/>
  <c r="N87" i="111"/>
  <c r="C88" i="111"/>
  <c r="D88" i="111"/>
  <c r="E88" i="111"/>
  <c r="F88" i="111"/>
  <c r="G88" i="111"/>
  <c r="H88" i="111"/>
  <c r="I88" i="111"/>
  <c r="J88" i="111"/>
  <c r="K88" i="111"/>
  <c r="L88" i="111"/>
  <c r="M88" i="111"/>
  <c r="N88" i="111"/>
  <c r="C89" i="111"/>
  <c r="D89" i="111"/>
  <c r="E89" i="111"/>
  <c r="F89" i="111"/>
  <c r="G89" i="111"/>
  <c r="H89" i="111"/>
  <c r="I89" i="111"/>
  <c r="J89" i="111"/>
  <c r="K89" i="111"/>
  <c r="L89" i="111"/>
  <c r="M89" i="111"/>
  <c r="N89" i="111"/>
  <c r="C90" i="111"/>
  <c r="D90" i="111"/>
  <c r="E90" i="111"/>
  <c r="F90" i="111"/>
  <c r="G90" i="111"/>
  <c r="H90" i="111"/>
  <c r="I90" i="111"/>
  <c r="J90" i="111"/>
  <c r="K90" i="111"/>
  <c r="L90" i="111"/>
  <c r="M90" i="111"/>
  <c r="N90" i="111"/>
  <c r="C91" i="111"/>
  <c r="D91" i="111"/>
  <c r="E91" i="111"/>
  <c r="F91" i="111"/>
  <c r="G91" i="111"/>
  <c r="H91" i="111"/>
  <c r="I91" i="111"/>
  <c r="J91" i="111"/>
  <c r="K91" i="111"/>
  <c r="L91" i="111"/>
  <c r="M91" i="111"/>
  <c r="N91" i="111"/>
  <c r="C92" i="111"/>
  <c r="D92" i="111"/>
  <c r="E92" i="111"/>
  <c r="F92" i="111"/>
  <c r="G92" i="111"/>
  <c r="H92" i="111"/>
  <c r="I92" i="111"/>
  <c r="J92" i="111"/>
  <c r="K92" i="111"/>
  <c r="L92" i="111"/>
  <c r="M92" i="111"/>
  <c r="N92" i="111"/>
  <c r="C93" i="111"/>
  <c r="D93" i="111"/>
  <c r="E93" i="111"/>
  <c r="F93" i="111"/>
  <c r="G93" i="111"/>
  <c r="H93" i="111"/>
  <c r="I93" i="111"/>
  <c r="J93" i="111"/>
  <c r="K93" i="111"/>
  <c r="L93" i="111"/>
  <c r="M93" i="111"/>
  <c r="N93" i="111"/>
  <c r="C94" i="111"/>
  <c r="D94" i="111"/>
  <c r="E94" i="111"/>
  <c r="F94" i="111"/>
  <c r="G94" i="111"/>
  <c r="H94" i="111"/>
  <c r="I94" i="111"/>
  <c r="J94" i="111"/>
  <c r="K94" i="111"/>
  <c r="L94" i="111"/>
  <c r="M94" i="111"/>
  <c r="N94" i="111"/>
  <c r="C95" i="111"/>
  <c r="D95" i="111"/>
  <c r="E95" i="111"/>
  <c r="F95" i="111"/>
  <c r="G95" i="111"/>
  <c r="H95" i="111"/>
  <c r="I95" i="111"/>
  <c r="J95" i="111"/>
  <c r="K95" i="111"/>
  <c r="L95" i="111"/>
  <c r="M95" i="111"/>
  <c r="N95" i="111"/>
  <c r="C96" i="111"/>
  <c r="D96" i="111"/>
  <c r="E96" i="111"/>
  <c r="F96" i="111"/>
  <c r="G96" i="111"/>
  <c r="H96" i="111"/>
  <c r="I96" i="111"/>
  <c r="J96" i="111"/>
  <c r="K96" i="111"/>
  <c r="L96" i="111"/>
  <c r="M96" i="111"/>
  <c r="N96" i="111"/>
  <c r="C97" i="111"/>
  <c r="D97" i="111"/>
  <c r="E97" i="111"/>
  <c r="F97" i="111"/>
  <c r="G97" i="111"/>
  <c r="H97" i="111"/>
  <c r="I97" i="111"/>
  <c r="J97" i="111"/>
  <c r="K97" i="111"/>
  <c r="L97" i="111"/>
  <c r="M97" i="111"/>
  <c r="N97" i="111"/>
  <c r="C98" i="111"/>
  <c r="D98" i="111"/>
  <c r="E98" i="111"/>
  <c r="F98" i="111"/>
  <c r="G98" i="111"/>
  <c r="H98" i="111"/>
  <c r="I98" i="111"/>
  <c r="J98" i="111"/>
  <c r="K98" i="111"/>
  <c r="L98" i="111"/>
  <c r="M98" i="111"/>
  <c r="N98" i="111"/>
  <c r="C99" i="111"/>
  <c r="D99" i="111"/>
  <c r="E99" i="111"/>
  <c r="F99" i="111"/>
  <c r="G99" i="111"/>
  <c r="H99" i="111"/>
  <c r="I99" i="111"/>
  <c r="J99" i="111"/>
  <c r="K99" i="111"/>
  <c r="L99" i="111"/>
  <c r="M99" i="111"/>
  <c r="N99" i="111"/>
  <c r="C100" i="111"/>
  <c r="D100" i="111"/>
  <c r="E100" i="111"/>
  <c r="F100" i="111"/>
  <c r="G100" i="111"/>
  <c r="H100" i="111"/>
  <c r="I100" i="111"/>
  <c r="J100" i="111"/>
  <c r="K100" i="111"/>
  <c r="L100" i="111"/>
  <c r="M100" i="111"/>
  <c r="N100" i="111"/>
  <c r="C101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C102" i="111"/>
  <c r="D102" i="111"/>
  <c r="E102" i="111"/>
  <c r="F102" i="111"/>
  <c r="G102" i="111"/>
  <c r="H102" i="111"/>
  <c r="I102" i="111"/>
  <c r="J102" i="111"/>
  <c r="K102" i="111"/>
  <c r="L102" i="111"/>
  <c r="M102" i="111"/>
  <c r="N102" i="111"/>
  <c r="C103" i="111"/>
  <c r="D103" i="111"/>
  <c r="E103" i="111"/>
  <c r="F103" i="111"/>
  <c r="G103" i="111"/>
  <c r="H103" i="111"/>
  <c r="I103" i="111"/>
  <c r="J103" i="111"/>
  <c r="K103" i="111"/>
  <c r="L103" i="111"/>
  <c r="M103" i="111"/>
  <c r="N103" i="111"/>
  <c r="C104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C105" i="111"/>
  <c r="D105" i="111"/>
  <c r="E105" i="111"/>
  <c r="F105" i="111"/>
  <c r="G105" i="111"/>
  <c r="H105" i="111"/>
  <c r="I105" i="111"/>
  <c r="J105" i="111"/>
  <c r="K105" i="111"/>
  <c r="L105" i="111"/>
  <c r="M105" i="111"/>
  <c r="N105" i="111"/>
  <c r="D58" i="111"/>
  <c r="E58" i="111"/>
  <c r="F58" i="111"/>
  <c r="G58" i="111"/>
  <c r="H58" i="111"/>
  <c r="I58" i="111"/>
  <c r="J58" i="111"/>
  <c r="K58" i="111"/>
  <c r="L58" i="111"/>
  <c r="M58" i="111"/>
  <c r="N58" i="111"/>
  <c r="C58" i="111"/>
  <c r="O65" i="107" l="1"/>
  <c r="O73" i="107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E59" i="107"/>
  <c r="F59" i="107"/>
  <c r="G59" i="107"/>
  <c r="H59" i="107"/>
  <c r="I59" i="107"/>
  <c r="J59" i="107"/>
  <c r="K59" i="107"/>
  <c r="L59" i="107"/>
  <c r="M59" i="107"/>
  <c r="N59" i="107"/>
  <c r="D60" i="107"/>
  <c r="E60" i="107"/>
  <c r="F60" i="107"/>
  <c r="G60" i="107"/>
  <c r="H60" i="107"/>
  <c r="I60" i="107"/>
  <c r="J60" i="107"/>
  <c r="K60" i="107"/>
  <c r="L60" i="107"/>
  <c r="M60" i="107"/>
  <c r="N60" i="107"/>
  <c r="D61" i="107"/>
  <c r="E61" i="107"/>
  <c r="F61" i="107"/>
  <c r="G61" i="107"/>
  <c r="H61" i="107"/>
  <c r="I61" i="107"/>
  <c r="J61" i="107"/>
  <c r="K61" i="107"/>
  <c r="L61" i="107"/>
  <c r="M61" i="107"/>
  <c r="N61" i="107"/>
  <c r="D62" i="107"/>
  <c r="E62" i="107"/>
  <c r="F62" i="107"/>
  <c r="G62" i="107"/>
  <c r="H62" i="107"/>
  <c r="I62" i="107"/>
  <c r="J62" i="107"/>
  <c r="K62" i="107"/>
  <c r="L62" i="107"/>
  <c r="M62" i="107"/>
  <c r="N62" i="107"/>
  <c r="D63" i="107"/>
  <c r="T23" i="107" s="1"/>
  <c r="E63" i="107"/>
  <c r="F63" i="107"/>
  <c r="G63" i="107"/>
  <c r="H63" i="107"/>
  <c r="I63" i="107"/>
  <c r="J63" i="107"/>
  <c r="K63" i="107"/>
  <c r="L63" i="107"/>
  <c r="AB23" i="107" s="1"/>
  <c r="M63" i="107"/>
  <c r="N63" i="107"/>
  <c r="D64" i="107"/>
  <c r="E64" i="107"/>
  <c r="F64" i="107"/>
  <c r="G64" i="107"/>
  <c r="H64" i="107"/>
  <c r="I64" i="107"/>
  <c r="Y23" i="107" s="1"/>
  <c r="J64" i="107"/>
  <c r="K64" i="107"/>
  <c r="L64" i="107"/>
  <c r="M64" i="107"/>
  <c r="N64" i="107"/>
  <c r="D65" i="107"/>
  <c r="E65" i="107"/>
  <c r="F65" i="107"/>
  <c r="G65" i="107"/>
  <c r="H65" i="107"/>
  <c r="I65" i="107"/>
  <c r="J65" i="107"/>
  <c r="K65" i="107"/>
  <c r="L65" i="107"/>
  <c r="M65" i="107"/>
  <c r="N65" i="107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E67" i="107"/>
  <c r="F67" i="107"/>
  <c r="G67" i="107"/>
  <c r="H67" i="107"/>
  <c r="I67" i="107"/>
  <c r="J67" i="107"/>
  <c r="K67" i="107"/>
  <c r="L67" i="107"/>
  <c r="M67" i="107"/>
  <c r="N67" i="107"/>
  <c r="D68" i="107"/>
  <c r="E68" i="107"/>
  <c r="F68" i="107"/>
  <c r="G68" i="107"/>
  <c r="H68" i="107"/>
  <c r="I68" i="107"/>
  <c r="J68" i="107"/>
  <c r="K68" i="107"/>
  <c r="L68" i="107"/>
  <c r="M68" i="107"/>
  <c r="N68" i="107"/>
  <c r="D69" i="107"/>
  <c r="E69" i="107"/>
  <c r="F69" i="107"/>
  <c r="G69" i="107"/>
  <c r="H69" i="107"/>
  <c r="I69" i="107"/>
  <c r="J69" i="107"/>
  <c r="K69" i="107"/>
  <c r="L69" i="107"/>
  <c r="M69" i="107"/>
  <c r="N69" i="107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E71" i="107"/>
  <c r="F71" i="107"/>
  <c r="G71" i="107"/>
  <c r="H71" i="107"/>
  <c r="I71" i="107"/>
  <c r="J71" i="107"/>
  <c r="K71" i="107"/>
  <c r="L71" i="107"/>
  <c r="M71" i="107"/>
  <c r="N71" i="107"/>
  <c r="D72" i="107"/>
  <c r="E72" i="107"/>
  <c r="F72" i="107"/>
  <c r="G72" i="107"/>
  <c r="H72" i="107"/>
  <c r="I72" i="107"/>
  <c r="Y25" i="107" s="1"/>
  <c r="J72" i="107"/>
  <c r="K72" i="107"/>
  <c r="L72" i="107"/>
  <c r="M72" i="107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E75" i="107"/>
  <c r="F75" i="107"/>
  <c r="G75" i="107"/>
  <c r="H75" i="107"/>
  <c r="I75" i="107"/>
  <c r="J75" i="107"/>
  <c r="K75" i="107"/>
  <c r="L75" i="107"/>
  <c r="M75" i="107"/>
  <c r="N75" i="107"/>
  <c r="D76" i="107"/>
  <c r="E76" i="107"/>
  <c r="U26" i="107" s="1"/>
  <c r="F76" i="107"/>
  <c r="G76" i="107"/>
  <c r="H76" i="107"/>
  <c r="I76" i="107"/>
  <c r="J76" i="107"/>
  <c r="K76" i="107"/>
  <c r="L76" i="107"/>
  <c r="M76" i="107"/>
  <c r="AC26" i="107" s="1"/>
  <c r="N76" i="107"/>
  <c r="D77" i="107"/>
  <c r="E77" i="107"/>
  <c r="F77" i="107"/>
  <c r="G77" i="107"/>
  <c r="H77" i="107"/>
  <c r="I77" i="107"/>
  <c r="J77" i="107"/>
  <c r="Z26" i="107" s="1"/>
  <c r="K77" i="107"/>
  <c r="L77" i="107"/>
  <c r="M77" i="107"/>
  <c r="N77" i="107"/>
  <c r="D78" i="107"/>
  <c r="E78" i="107"/>
  <c r="F78" i="107"/>
  <c r="G78" i="107"/>
  <c r="W27" i="107" s="1"/>
  <c r="H78" i="107"/>
  <c r="I78" i="107"/>
  <c r="J78" i="107"/>
  <c r="K78" i="107"/>
  <c r="L78" i="107"/>
  <c r="M78" i="107"/>
  <c r="N78" i="107"/>
  <c r="D79" i="107"/>
  <c r="E79" i="107"/>
  <c r="F79" i="107"/>
  <c r="G79" i="107"/>
  <c r="H79" i="107"/>
  <c r="I79" i="107"/>
  <c r="J79" i="107"/>
  <c r="K79" i="107"/>
  <c r="L79" i="107"/>
  <c r="M79" i="107"/>
  <c r="N79" i="107"/>
  <c r="D80" i="107"/>
  <c r="E80" i="107"/>
  <c r="F80" i="107"/>
  <c r="G80" i="107"/>
  <c r="H80" i="107"/>
  <c r="I80" i="107"/>
  <c r="J80" i="107"/>
  <c r="K80" i="107"/>
  <c r="L80" i="107"/>
  <c r="M80" i="107"/>
  <c r="N80" i="107"/>
  <c r="D81" i="107"/>
  <c r="E81" i="107"/>
  <c r="F81" i="107"/>
  <c r="G81" i="107"/>
  <c r="H81" i="107"/>
  <c r="I81" i="107"/>
  <c r="J81" i="107"/>
  <c r="K81" i="107"/>
  <c r="L81" i="107"/>
  <c r="M81" i="107"/>
  <c r="N81" i="107"/>
  <c r="D82" i="107"/>
  <c r="E82" i="107"/>
  <c r="F82" i="107"/>
  <c r="G82" i="107"/>
  <c r="H82" i="107"/>
  <c r="I82" i="107"/>
  <c r="J82" i="107"/>
  <c r="K82" i="107"/>
  <c r="AA28" i="107" s="1"/>
  <c r="L82" i="107"/>
  <c r="M82" i="107"/>
  <c r="N82" i="107"/>
  <c r="D83" i="107"/>
  <c r="E83" i="107"/>
  <c r="F83" i="107"/>
  <c r="G83" i="107"/>
  <c r="H83" i="107"/>
  <c r="I83" i="107"/>
  <c r="J83" i="107"/>
  <c r="K83" i="107"/>
  <c r="L83" i="107"/>
  <c r="M83" i="107"/>
  <c r="N83" i="107"/>
  <c r="D84" i="107"/>
  <c r="E84" i="107"/>
  <c r="F84" i="107"/>
  <c r="G84" i="107"/>
  <c r="H84" i="107"/>
  <c r="I84" i="107"/>
  <c r="J84" i="107"/>
  <c r="K84" i="107"/>
  <c r="L84" i="107"/>
  <c r="M84" i="107"/>
  <c r="N84" i="107"/>
  <c r="D85" i="107"/>
  <c r="E85" i="107"/>
  <c r="F85" i="107"/>
  <c r="G85" i="107"/>
  <c r="H85" i="107"/>
  <c r="I85" i="107"/>
  <c r="J85" i="107"/>
  <c r="Z28" i="107" s="1"/>
  <c r="K85" i="107"/>
  <c r="L85" i="107"/>
  <c r="M85" i="107"/>
  <c r="N85" i="107"/>
  <c r="D86" i="107"/>
  <c r="E86" i="107"/>
  <c r="F86" i="107"/>
  <c r="G86" i="107"/>
  <c r="H86" i="107"/>
  <c r="I86" i="107"/>
  <c r="J86" i="107"/>
  <c r="K86" i="107"/>
  <c r="L86" i="107"/>
  <c r="M86" i="107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F88" i="107"/>
  <c r="G88" i="107"/>
  <c r="H88" i="107"/>
  <c r="I88" i="107"/>
  <c r="J88" i="107"/>
  <c r="K88" i="107"/>
  <c r="L88" i="107"/>
  <c r="M88" i="107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AD29" i="107" s="1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E91" i="107"/>
  <c r="F91" i="107"/>
  <c r="G91" i="107"/>
  <c r="H91" i="107"/>
  <c r="X30" i="107" s="1"/>
  <c r="I91" i="107"/>
  <c r="J91" i="107"/>
  <c r="K91" i="107"/>
  <c r="L91" i="107"/>
  <c r="M91" i="107"/>
  <c r="N91" i="107"/>
  <c r="D92" i="107"/>
  <c r="E92" i="107"/>
  <c r="F92" i="107"/>
  <c r="G92" i="107"/>
  <c r="H92" i="107"/>
  <c r="I92" i="107"/>
  <c r="J92" i="107"/>
  <c r="K92" i="107"/>
  <c r="L92" i="107"/>
  <c r="M92" i="107"/>
  <c r="N92" i="107"/>
  <c r="D93" i="107"/>
  <c r="E93" i="107"/>
  <c r="F93" i="107"/>
  <c r="G93" i="107"/>
  <c r="H93" i="107"/>
  <c r="I93" i="107"/>
  <c r="J93" i="107"/>
  <c r="K93" i="107"/>
  <c r="L93" i="107"/>
  <c r="M93" i="107"/>
  <c r="N93" i="107"/>
  <c r="D94" i="107"/>
  <c r="E94" i="107"/>
  <c r="F94" i="107"/>
  <c r="G94" i="107"/>
  <c r="W31" i="107" s="1"/>
  <c r="H94" i="107"/>
  <c r="I94" i="107"/>
  <c r="J94" i="107"/>
  <c r="K94" i="107"/>
  <c r="L94" i="107"/>
  <c r="M94" i="107"/>
  <c r="N94" i="107"/>
  <c r="D95" i="107"/>
  <c r="T31" i="107" s="1"/>
  <c r="E95" i="107"/>
  <c r="F95" i="107"/>
  <c r="G95" i="107"/>
  <c r="H95" i="107"/>
  <c r="I95" i="107"/>
  <c r="J95" i="107"/>
  <c r="K95" i="107"/>
  <c r="L95" i="107"/>
  <c r="AB31" i="107" s="1"/>
  <c r="M95" i="107"/>
  <c r="N95" i="107"/>
  <c r="D96" i="107"/>
  <c r="E96" i="107"/>
  <c r="F96" i="107"/>
  <c r="G96" i="107"/>
  <c r="H96" i="107"/>
  <c r="I96" i="107"/>
  <c r="J96" i="107"/>
  <c r="K96" i="107"/>
  <c r="L96" i="107"/>
  <c r="M96" i="107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E99" i="107"/>
  <c r="F99" i="107"/>
  <c r="G99" i="107"/>
  <c r="H99" i="107"/>
  <c r="X32" i="107" s="1"/>
  <c r="I99" i="107"/>
  <c r="J99" i="107"/>
  <c r="K99" i="107"/>
  <c r="L99" i="107"/>
  <c r="M99" i="107"/>
  <c r="N99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D104" i="107"/>
  <c r="E104" i="107"/>
  <c r="F104" i="107"/>
  <c r="G104" i="107"/>
  <c r="H104" i="107"/>
  <c r="I104" i="107"/>
  <c r="Y33" i="107" s="1"/>
  <c r="J104" i="107"/>
  <c r="K104" i="107"/>
  <c r="L104" i="107"/>
  <c r="M104" i="107"/>
  <c r="N104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C59" i="107"/>
  <c r="C60" i="107"/>
  <c r="C61" i="107"/>
  <c r="P61" i="107" s="1"/>
  <c r="C62" i="107"/>
  <c r="P62" i="107" s="1"/>
  <c r="C63" i="107"/>
  <c r="C64" i="107"/>
  <c r="C65" i="107"/>
  <c r="C66" i="107"/>
  <c r="C67" i="107"/>
  <c r="C68" i="107"/>
  <c r="C69" i="107"/>
  <c r="P69" i="107" s="1"/>
  <c r="C70" i="107"/>
  <c r="P70" i="107" s="1"/>
  <c r="C71" i="107"/>
  <c r="C72" i="107"/>
  <c r="C73" i="107"/>
  <c r="C74" i="107"/>
  <c r="C75" i="107"/>
  <c r="C76" i="107"/>
  <c r="C77" i="107"/>
  <c r="P77" i="107" s="1"/>
  <c r="C78" i="107"/>
  <c r="P78" i="107" s="1"/>
  <c r="C79" i="107"/>
  <c r="C80" i="107"/>
  <c r="C81" i="107"/>
  <c r="C82" i="107"/>
  <c r="C83" i="107"/>
  <c r="C84" i="107"/>
  <c r="C85" i="107"/>
  <c r="P85" i="107" s="1"/>
  <c r="C86" i="107"/>
  <c r="P86" i="107" s="1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5" i="107"/>
  <c r="C58" i="107"/>
  <c r="D58" i="108"/>
  <c r="E58" i="108"/>
  <c r="F58" i="108"/>
  <c r="G58" i="108"/>
  <c r="H58" i="108"/>
  <c r="I58" i="108"/>
  <c r="J58" i="108"/>
  <c r="K58" i="108"/>
  <c r="AA22" i="108" s="1"/>
  <c r="L58" i="108"/>
  <c r="M58" i="108"/>
  <c r="N58" i="108"/>
  <c r="D59" i="108"/>
  <c r="E59" i="108"/>
  <c r="F59" i="108"/>
  <c r="G59" i="108"/>
  <c r="H59" i="108"/>
  <c r="X22" i="108" s="1"/>
  <c r="I59" i="108"/>
  <c r="J59" i="108"/>
  <c r="K59" i="108"/>
  <c r="L59" i="108"/>
  <c r="M59" i="108"/>
  <c r="N59" i="108"/>
  <c r="D60" i="108"/>
  <c r="E60" i="108"/>
  <c r="U22" i="108" s="1"/>
  <c r="F60" i="108"/>
  <c r="G60" i="108"/>
  <c r="H60" i="108"/>
  <c r="I60" i="108"/>
  <c r="J60" i="108"/>
  <c r="K60" i="108"/>
  <c r="L60" i="108"/>
  <c r="M60" i="108"/>
  <c r="AC22" i="108" s="1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W23" i="108" s="1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Y23" i="108" s="1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AD23" i="108" s="1"/>
  <c r="D66" i="108"/>
  <c r="E66" i="108"/>
  <c r="F66" i="108"/>
  <c r="G66" i="108"/>
  <c r="H66" i="108"/>
  <c r="I66" i="108"/>
  <c r="J66" i="108"/>
  <c r="K66" i="108"/>
  <c r="AA24" i="108" s="1"/>
  <c r="L66" i="108"/>
  <c r="M66" i="108"/>
  <c r="N66" i="108"/>
  <c r="D67" i="108"/>
  <c r="E67" i="108"/>
  <c r="F67" i="108"/>
  <c r="G67" i="108"/>
  <c r="H67" i="108"/>
  <c r="X24" i="108" s="1"/>
  <c r="I67" i="108"/>
  <c r="J67" i="108"/>
  <c r="K67" i="108"/>
  <c r="L67" i="108"/>
  <c r="M67" i="108"/>
  <c r="N67" i="108"/>
  <c r="D68" i="108"/>
  <c r="E68" i="108"/>
  <c r="U24" i="108" s="1"/>
  <c r="F68" i="108"/>
  <c r="G68" i="108"/>
  <c r="H68" i="108"/>
  <c r="I68" i="108"/>
  <c r="J68" i="108"/>
  <c r="K68" i="108"/>
  <c r="L68" i="108"/>
  <c r="M68" i="108"/>
  <c r="AC24" i="108" s="1"/>
  <c r="N68" i="108"/>
  <c r="D69" i="108"/>
  <c r="E69" i="108"/>
  <c r="F69" i="108"/>
  <c r="G69" i="108"/>
  <c r="H69" i="108"/>
  <c r="I69" i="108"/>
  <c r="J69" i="108"/>
  <c r="Z24" i="108" s="1"/>
  <c r="K69" i="108"/>
  <c r="L69" i="108"/>
  <c r="M69" i="108"/>
  <c r="N69" i="108"/>
  <c r="D70" i="108"/>
  <c r="E70" i="108"/>
  <c r="F70" i="108"/>
  <c r="G70" i="108"/>
  <c r="W25" i="108" s="1"/>
  <c r="H70" i="108"/>
  <c r="I70" i="108"/>
  <c r="J70" i="108"/>
  <c r="K70" i="108"/>
  <c r="L70" i="108"/>
  <c r="M70" i="108"/>
  <c r="N70" i="108"/>
  <c r="D71" i="108"/>
  <c r="T25" i="108" s="1"/>
  <c r="E71" i="108"/>
  <c r="F71" i="108"/>
  <c r="G71" i="108"/>
  <c r="H71" i="108"/>
  <c r="I71" i="108"/>
  <c r="J71" i="108"/>
  <c r="K71" i="108"/>
  <c r="L71" i="108"/>
  <c r="AB25" i="108" s="1"/>
  <c r="M71" i="108"/>
  <c r="N71" i="108"/>
  <c r="D72" i="108"/>
  <c r="E72" i="108"/>
  <c r="F72" i="108"/>
  <c r="G72" i="108"/>
  <c r="H72" i="108"/>
  <c r="I72" i="108"/>
  <c r="Y25" i="108" s="1"/>
  <c r="J72" i="108"/>
  <c r="K72" i="108"/>
  <c r="L72" i="108"/>
  <c r="M72" i="108"/>
  <c r="N72" i="108"/>
  <c r="D73" i="108"/>
  <c r="E73" i="108"/>
  <c r="F73" i="108"/>
  <c r="O73" i="108" s="1"/>
  <c r="G73" i="108"/>
  <c r="H73" i="108"/>
  <c r="I73" i="108"/>
  <c r="J73" i="108"/>
  <c r="K73" i="108"/>
  <c r="L73" i="108"/>
  <c r="M73" i="108"/>
  <c r="N73" i="108"/>
  <c r="AD25" i="108" s="1"/>
  <c r="D74" i="108"/>
  <c r="E74" i="108"/>
  <c r="F74" i="108"/>
  <c r="G74" i="108"/>
  <c r="H74" i="108"/>
  <c r="I74" i="108"/>
  <c r="J74" i="108"/>
  <c r="K74" i="108"/>
  <c r="AA26" i="108" s="1"/>
  <c r="L74" i="108"/>
  <c r="M74" i="108"/>
  <c r="N74" i="108"/>
  <c r="D75" i="108"/>
  <c r="E75" i="108"/>
  <c r="F75" i="108"/>
  <c r="G75" i="108"/>
  <c r="H75" i="108"/>
  <c r="X26" i="108" s="1"/>
  <c r="I75" i="108"/>
  <c r="J75" i="108"/>
  <c r="K75" i="108"/>
  <c r="L75" i="108"/>
  <c r="M75" i="108"/>
  <c r="N75" i="108"/>
  <c r="D76" i="108"/>
  <c r="E76" i="108"/>
  <c r="U26" i="108" s="1"/>
  <c r="F76" i="108"/>
  <c r="G76" i="108"/>
  <c r="H76" i="108"/>
  <c r="I76" i="108"/>
  <c r="J76" i="108"/>
  <c r="K76" i="108"/>
  <c r="L76" i="108"/>
  <c r="M76" i="108"/>
  <c r="AC26" i="108" s="1"/>
  <c r="N76" i="108"/>
  <c r="D77" i="108"/>
  <c r="E77" i="108"/>
  <c r="F77" i="108"/>
  <c r="G77" i="108"/>
  <c r="H77" i="108"/>
  <c r="I77" i="108"/>
  <c r="J77" i="108"/>
  <c r="Z26" i="108" s="1"/>
  <c r="K77" i="108"/>
  <c r="L77" i="108"/>
  <c r="M77" i="108"/>
  <c r="N77" i="108"/>
  <c r="D78" i="108"/>
  <c r="E78" i="108"/>
  <c r="F78" i="108"/>
  <c r="G78" i="108"/>
  <c r="W27" i="108" s="1"/>
  <c r="H78" i="108"/>
  <c r="I78" i="108"/>
  <c r="J78" i="108"/>
  <c r="K78" i="108"/>
  <c r="L78" i="108"/>
  <c r="M78" i="108"/>
  <c r="N78" i="108"/>
  <c r="D79" i="108"/>
  <c r="T27" i="108" s="1"/>
  <c r="E79" i="108"/>
  <c r="F79" i="108"/>
  <c r="G79" i="108"/>
  <c r="H79" i="108"/>
  <c r="I79" i="108"/>
  <c r="J79" i="108"/>
  <c r="K79" i="108"/>
  <c r="L79" i="108"/>
  <c r="AB27" i="108" s="1"/>
  <c r="M79" i="108"/>
  <c r="N79" i="108"/>
  <c r="D80" i="108"/>
  <c r="E80" i="108"/>
  <c r="F80" i="108"/>
  <c r="G80" i="108"/>
  <c r="H80" i="108"/>
  <c r="I80" i="108"/>
  <c r="Y27" i="108" s="1"/>
  <c r="J80" i="108"/>
  <c r="K80" i="108"/>
  <c r="L80" i="108"/>
  <c r="M80" i="108"/>
  <c r="N80" i="108"/>
  <c r="D81" i="108"/>
  <c r="E81" i="108"/>
  <c r="F81" i="108"/>
  <c r="O81" i="108" s="1"/>
  <c r="G81" i="108"/>
  <c r="H81" i="108"/>
  <c r="I81" i="108"/>
  <c r="J81" i="108"/>
  <c r="K81" i="108"/>
  <c r="L81" i="108"/>
  <c r="M81" i="108"/>
  <c r="N81" i="108"/>
  <c r="AD27" i="108" s="1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X28" i="108" s="1"/>
  <c r="I83" i="108"/>
  <c r="J83" i="108"/>
  <c r="K83" i="108"/>
  <c r="L83" i="108"/>
  <c r="M83" i="108"/>
  <c r="N83" i="108"/>
  <c r="D84" i="108"/>
  <c r="E84" i="108"/>
  <c r="U28" i="108" s="1"/>
  <c r="F84" i="108"/>
  <c r="G84" i="108"/>
  <c r="H84" i="108"/>
  <c r="I84" i="108"/>
  <c r="J84" i="108"/>
  <c r="K84" i="108"/>
  <c r="L84" i="108"/>
  <c r="M84" i="108"/>
  <c r="AC28" i="108" s="1"/>
  <c r="N84" i="108"/>
  <c r="D85" i="108"/>
  <c r="E85" i="108"/>
  <c r="F85" i="108"/>
  <c r="G85" i="108"/>
  <c r="H85" i="108"/>
  <c r="I85" i="108"/>
  <c r="J85" i="108"/>
  <c r="Z28" i="108" s="1"/>
  <c r="K85" i="108"/>
  <c r="L85" i="108"/>
  <c r="M85" i="108"/>
  <c r="N85" i="108"/>
  <c r="D86" i="108"/>
  <c r="E86" i="108"/>
  <c r="F86" i="108"/>
  <c r="G86" i="108"/>
  <c r="W29" i="108" s="1"/>
  <c r="H86" i="108"/>
  <c r="I86" i="108"/>
  <c r="J86" i="108"/>
  <c r="K86" i="108"/>
  <c r="L86" i="108"/>
  <c r="M86" i="108"/>
  <c r="N86" i="108"/>
  <c r="D87" i="108"/>
  <c r="T29" i="108" s="1"/>
  <c r="E87" i="108"/>
  <c r="F87" i="108"/>
  <c r="G87" i="108"/>
  <c r="H87" i="108"/>
  <c r="I87" i="108"/>
  <c r="J87" i="108"/>
  <c r="K87" i="108"/>
  <c r="L87" i="108"/>
  <c r="AB29" i="108" s="1"/>
  <c r="M87" i="108"/>
  <c r="N87" i="108"/>
  <c r="D88" i="108"/>
  <c r="E88" i="108"/>
  <c r="F88" i="108"/>
  <c r="G88" i="108"/>
  <c r="H88" i="108"/>
  <c r="I88" i="108"/>
  <c r="Y29" i="108" s="1"/>
  <c r="J88" i="108"/>
  <c r="K88" i="108"/>
  <c r="L88" i="108"/>
  <c r="M88" i="108"/>
  <c r="N88" i="108"/>
  <c r="D89" i="108"/>
  <c r="E89" i="108"/>
  <c r="F89" i="108"/>
  <c r="P89" i="108" s="1"/>
  <c r="G89" i="108"/>
  <c r="H89" i="108"/>
  <c r="I89" i="108"/>
  <c r="J89" i="108"/>
  <c r="K89" i="108"/>
  <c r="L89" i="108"/>
  <c r="M89" i="108"/>
  <c r="N89" i="108"/>
  <c r="AD29" i="108" s="1"/>
  <c r="D90" i="108"/>
  <c r="E90" i="108"/>
  <c r="F90" i="108"/>
  <c r="G90" i="108"/>
  <c r="H90" i="108"/>
  <c r="I90" i="108"/>
  <c r="J90" i="108"/>
  <c r="K90" i="108"/>
  <c r="AA30" i="108" s="1"/>
  <c r="L90" i="108"/>
  <c r="M90" i="108"/>
  <c r="N90" i="108"/>
  <c r="D91" i="108"/>
  <c r="E91" i="108"/>
  <c r="F91" i="108"/>
  <c r="G91" i="108"/>
  <c r="H91" i="108"/>
  <c r="X30" i="108" s="1"/>
  <c r="I91" i="108"/>
  <c r="J91" i="108"/>
  <c r="K91" i="108"/>
  <c r="L91" i="108"/>
  <c r="M91" i="108"/>
  <c r="N91" i="108"/>
  <c r="D92" i="108"/>
  <c r="E92" i="108"/>
  <c r="U30" i="108" s="1"/>
  <c r="F92" i="108"/>
  <c r="G92" i="108"/>
  <c r="H92" i="108"/>
  <c r="I92" i="108"/>
  <c r="J92" i="108"/>
  <c r="K92" i="108"/>
  <c r="L92" i="108"/>
  <c r="M92" i="108"/>
  <c r="AC30" i="108" s="1"/>
  <c r="N92" i="108"/>
  <c r="D93" i="108"/>
  <c r="E93" i="108"/>
  <c r="F93" i="108"/>
  <c r="G93" i="108"/>
  <c r="H93" i="108"/>
  <c r="I93" i="108"/>
  <c r="J93" i="108"/>
  <c r="Z30" i="108" s="1"/>
  <c r="K93" i="108"/>
  <c r="L93" i="108"/>
  <c r="M93" i="108"/>
  <c r="N93" i="108"/>
  <c r="D94" i="108"/>
  <c r="E94" i="108"/>
  <c r="F94" i="108"/>
  <c r="G94" i="108"/>
  <c r="W31" i="108" s="1"/>
  <c r="H94" i="108"/>
  <c r="I94" i="108"/>
  <c r="J94" i="108"/>
  <c r="K94" i="108"/>
  <c r="L94" i="108"/>
  <c r="M94" i="108"/>
  <c r="N94" i="108"/>
  <c r="D95" i="108"/>
  <c r="T31" i="108" s="1"/>
  <c r="E95" i="108"/>
  <c r="F95" i="108"/>
  <c r="G95" i="108"/>
  <c r="H95" i="108"/>
  <c r="I95" i="108"/>
  <c r="J95" i="108"/>
  <c r="K95" i="108"/>
  <c r="L95" i="108"/>
  <c r="AB31" i="108" s="1"/>
  <c r="M95" i="108"/>
  <c r="N95" i="108"/>
  <c r="D96" i="108"/>
  <c r="E96" i="108"/>
  <c r="F96" i="108"/>
  <c r="G96" i="108"/>
  <c r="H96" i="108"/>
  <c r="I96" i="108"/>
  <c r="Y31" i="108" s="1"/>
  <c r="J96" i="108"/>
  <c r="K96" i="108"/>
  <c r="L96" i="108"/>
  <c r="M96" i="108"/>
  <c r="N96" i="108"/>
  <c r="D97" i="108"/>
  <c r="E97" i="108"/>
  <c r="F97" i="108"/>
  <c r="O97" i="108" s="1"/>
  <c r="G97" i="108"/>
  <c r="H97" i="108"/>
  <c r="I97" i="108"/>
  <c r="J97" i="108"/>
  <c r="K97" i="108"/>
  <c r="L97" i="108"/>
  <c r="M97" i="108"/>
  <c r="N97" i="108"/>
  <c r="AD31" i="108" s="1"/>
  <c r="D98" i="108"/>
  <c r="E98" i="108"/>
  <c r="F98" i="108"/>
  <c r="G98" i="108"/>
  <c r="H98" i="108"/>
  <c r="I98" i="108"/>
  <c r="J98" i="108"/>
  <c r="K98" i="108"/>
  <c r="AA32" i="108" s="1"/>
  <c r="L98" i="108"/>
  <c r="M98" i="108"/>
  <c r="N98" i="108"/>
  <c r="D99" i="108"/>
  <c r="E99" i="108"/>
  <c r="F99" i="108"/>
  <c r="G99" i="108"/>
  <c r="H99" i="108"/>
  <c r="X32" i="108" s="1"/>
  <c r="I99" i="108"/>
  <c r="J99" i="108"/>
  <c r="K99" i="108"/>
  <c r="L99" i="108"/>
  <c r="M99" i="108"/>
  <c r="N99" i="108"/>
  <c r="D100" i="108"/>
  <c r="E100" i="108"/>
  <c r="U32" i="108" s="1"/>
  <c r="F100" i="108"/>
  <c r="G100" i="108"/>
  <c r="H100" i="108"/>
  <c r="I100" i="108"/>
  <c r="J100" i="108"/>
  <c r="K100" i="108"/>
  <c r="L100" i="108"/>
  <c r="M100" i="108"/>
  <c r="AC32" i="108" s="1"/>
  <c r="N100" i="108"/>
  <c r="D101" i="108"/>
  <c r="E101" i="108"/>
  <c r="F101" i="108"/>
  <c r="G101" i="108"/>
  <c r="H101" i="108"/>
  <c r="I101" i="108"/>
  <c r="J101" i="108"/>
  <c r="Z32" i="108" s="1"/>
  <c r="K101" i="108"/>
  <c r="L101" i="108"/>
  <c r="M101" i="108"/>
  <c r="N101" i="108"/>
  <c r="D102" i="108"/>
  <c r="E102" i="108"/>
  <c r="F102" i="108"/>
  <c r="G102" i="108"/>
  <c r="W33" i="108" s="1"/>
  <c r="H102" i="108"/>
  <c r="I102" i="108"/>
  <c r="J102" i="108"/>
  <c r="K102" i="108"/>
  <c r="L102" i="108"/>
  <c r="M102" i="108"/>
  <c r="N102" i="108"/>
  <c r="D103" i="108"/>
  <c r="T33" i="108" s="1"/>
  <c r="E103" i="108"/>
  <c r="F103" i="108"/>
  <c r="G103" i="108"/>
  <c r="H103" i="108"/>
  <c r="I103" i="108"/>
  <c r="J103" i="108"/>
  <c r="K103" i="108"/>
  <c r="L103" i="108"/>
  <c r="AB33" i="108" s="1"/>
  <c r="M103" i="108"/>
  <c r="N103" i="108"/>
  <c r="D104" i="108"/>
  <c r="E104" i="108"/>
  <c r="F104" i="108"/>
  <c r="G104" i="108"/>
  <c r="H104" i="108"/>
  <c r="I104" i="108"/>
  <c r="Y33" i="108" s="1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AD33" i="108" s="1"/>
  <c r="C59" i="108"/>
  <c r="C60" i="108"/>
  <c r="C61" i="108"/>
  <c r="C62" i="108"/>
  <c r="C63" i="108"/>
  <c r="C64" i="108"/>
  <c r="C65" i="108"/>
  <c r="C66" i="108"/>
  <c r="S24" i="108" s="1"/>
  <c r="C67" i="108"/>
  <c r="C68" i="108"/>
  <c r="C69" i="108"/>
  <c r="C70" i="108"/>
  <c r="C71" i="108"/>
  <c r="C72" i="108"/>
  <c r="S25" i="108" s="1"/>
  <c r="C73" i="108"/>
  <c r="C74" i="108"/>
  <c r="C75" i="108"/>
  <c r="C76" i="108"/>
  <c r="C77" i="108"/>
  <c r="C78" i="108"/>
  <c r="C79" i="108"/>
  <c r="C80" i="108"/>
  <c r="C81" i="108"/>
  <c r="C82" i="108"/>
  <c r="S28" i="108" s="1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S32" i="108" s="1"/>
  <c r="C99" i="108"/>
  <c r="C100" i="108"/>
  <c r="C101" i="108"/>
  <c r="C102" i="108"/>
  <c r="C103" i="108"/>
  <c r="C104" i="108"/>
  <c r="C105" i="108"/>
  <c r="C58" i="108"/>
  <c r="AC33" i="107"/>
  <c r="AA33" i="107"/>
  <c r="X33" i="107"/>
  <c r="U33" i="107"/>
  <c r="AB32" i="107"/>
  <c r="W32" i="107"/>
  <c r="T32" i="107"/>
  <c r="AC31" i="107"/>
  <c r="AA31" i="107"/>
  <c r="X31" i="107"/>
  <c r="U31" i="107"/>
  <c r="AD30" i="107"/>
  <c r="AB30" i="107"/>
  <c r="W30" i="107"/>
  <c r="V30" i="107"/>
  <c r="T30" i="107"/>
  <c r="AA29" i="107"/>
  <c r="X29" i="107"/>
  <c r="W29" i="107"/>
  <c r="AD28" i="107"/>
  <c r="AB28" i="107"/>
  <c r="W28" i="107"/>
  <c r="V28" i="107"/>
  <c r="T28" i="107"/>
  <c r="AC27" i="107"/>
  <c r="AA27" i="107"/>
  <c r="X27" i="107"/>
  <c r="U27" i="107"/>
  <c r="AD26" i="107"/>
  <c r="AB26" i="107"/>
  <c r="Y26" i="107"/>
  <c r="X26" i="107"/>
  <c r="W26" i="107"/>
  <c r="V26" i="107"/>
  <c r="T26" i="107"/>
  <c r="AC25" i="107"/>
  <c r="AA25" i="107"/>
  <c r="Z25" i="107"/>
  <c r="X25" i="107"/>
  <c r="U25" i="107"/>
  <c r="AD24" i="107"/>
  <c r="AB24" i="107"/>
  <c r="Z24" i="107"/>
  <c r="Y24" i="107"/>
  <c r="X24" i="107"/>
  <c r="W24" i="107"/>
  <c r="V24" i="107"/>
  <c r="T24" i="107"/>
  <c r="AC23" i="107"/>
  <c r="AA23" i="107"/>
  <c r="Z23" i="107"/>
  <c r="X23" i="107"/>
  <c r="W23" i="107"/>
  <c r="U23" i="107"/>
  <c r="AD22" i="107"/>
  <c r="AB22" i="107"/>
  <c r="Z22" i="107"/>
  <c r="Y22" i="107"/>
  <c r="W22" i="107"/>
  <c r="V22" i="107"/>
  <c r="T22" i="107"/>
  <c r="AA33" i="108"/>
  <c r="Y32" i="108"/>
  <c r="W32" i="108"/>
  <c r="AA31" i="108"/>
  <c r="S31" i="108"/>
  <c r="W30" i="108"/>
  <c r="AA29" i="108"/>
  <c r="Z29" i="108"/>
  <c r="W28" i="108"/>
  <c r="AA27" i="108"/>
  <c r="X27" i="108"/>
  <c r="U27" i="108"/>
  <c r="S27" i="108"/>
  <c r="AD26" i="108"/>
  <c r="AB26" i="108"/>
  <c r="Y26" i="108"/>
  <c r="W26" i="108"/>
  <c r="V26" i="108"/>
  <c r="T26" i="108"/>
  <c r="AC25" i="108"/>
  <c r="AA25" i="108"/>
  <c r="Z25" i="108"/>
  <c r="X25" i="108"/>
  <c r="U25" i="108"/>
  <c r="AD24" i="108"/>
  <c r="AB24" i="108"/>
  <c r="Y24" i="108"/>
  <c r="W24" i="108"/>
  <c r="V24" i="108"/>
  <c r="T24" i="108"/>
  <c r="AC23" i="108"/>
  <c r="AB23" i="108"/>
  <c r="AA23" i="108"/>
  <c r="Z23" i="108"/>
  <c r="X23" i="108"/>
  <c r="U23" i="108"/>
  <c r="S23" i="108"/>
  <c r="AD22" i="108"/>
  <c r="AB22" i="108"/>
  <c r="Y22" i="108"/>
  <c r="W22" i="108"/>
  <c r="V22" i="108"/>
  <c r="T22" i="108"/>
  <c r="S30" i="108" l="1"/>
  <c r="P90" i="108"/>
  <c r="O90" i="108"/>
  <c r="V33" i="108"/>
  <c r="P105" i="108"/>
  <c r="V23" i="108"/>
  <c r="O65" i="108"/>
  <c r="P65" i="108"/>
  <c r="Z22" i="108"/>
  <c r="O105" i="108"/>
  <c r="S22" i="108"/>
  <c r="V27" i="108"/>
  <c r="S22" i="111"/>
  <c r="AB26" i="111"/>
  <c r="P102" i="107"/>
  <c r="P94" i="107"/>
  <c r="S26" i="108"/>
  <c r="P74" i="108"/>
  <c r="O74" i="108"/>
  <c r="T23" i="108"/>
  <c r="P101" i="107"/>
  <c r="P93" i="107"/>
  <c r="P100" i="111"/>
  <c r="AB30" i="111"/>
  <c r="P58" i="108"/>
  <c r="O58" i="108"/>
  <c r="AE22" i="108" s="1"/>
  <c r="O67" i="111"/>
  <c r="AD28" i="111"/>
  <c r="Z25" i="111"/>
  <c r="X27" i="111"/>
  <c r="AD29" i="111"/>
  <c r="AC31" i="111"/>
  <c r="V33" i="111"/>
  <c r="O70" i="111"/>
  <c r="X31" i="111"/>
  <c r="Z33" i="111"/>
  <c r="AD23" i="111"/>
  <c r="W28" i="111"/>
  <c r="V29" i="108"/>
  <c r="O89" i="108"/>
  <c r="V25" i="108"/>
  <c r="P73" i="108"/>
  <c r="P102" i="108"/>
  <c r="P94" i="108"/>
  <c r="P86" i="108"/>
  <c r="P78" i="108"/>
  <c r="P70" i="108"/>
  <c r="P62" i="108"/>
  <c r="P81" i="108"/>
  <c r="P82" i="108"/>
  <c r="O82" i="108"/>
  <c r="AD33" i="111"/>
  <c r="P58" i="107"/>
  <c r="O58" i="107"/>
  <c r="S22" i="107"/>
  <c r="P98" i="107"/>
  <c r="O98" i="107"/>
  <c r="P82" i="107"/>
  <c r="O82" i="107"/>
  <c r="P74" i="107"/>
  <c r="O74" i="107"/>
  <c r="S24" i="111"/>
  <c r="P66" i="107"/>
  <c r="O66" i="107"/>
  <c r="AE24" i="107" s="1"/>
  <c r="O105" i="107"/>
  <c r="P105" i="107"/>
  <c r="AD31" i="111"/>
  <c r="O97" i="107"/>
  <c r="P97" i="107"/>
  <c r="AA30" i="111"/>
  <c r="V29" i="107"/>
  <c r="O89" i="107"/>
  <c r="P89" i="107"/>
  <c r="P98" i="108"/>
  <c r="O98" i="108"/>
  <c r="P66" i="108"/>
  <c r="O66" i="108"/>
  <c r="V31" i="108"/>
  <c r="P97" i="108"/>
  <c r="S30" i="111"/>
  <c r="P90" i="107"/>
  <c r="O90" i="107"/>
  <c r="Z30" i="107"/>
  <c r="P92" i="111"/>
  <c r="P104" i="108"/>
  <c r="P96" i="108"/>
  <c r="P88" i="108"/>
  <c r="P80" i="108"/>
  <c r="P64" i="108"/>
  <c r="P100" i="107"/>
  <c r="P92" i="107"/>
  <c r="P84" i="107"/>
  <c r="AF28" i="107" s="1"/>
  <c r="P76" i="107"/>
  <c r="AF26" i="107" s="1"/>
  <c r="P68" i="107"/>
  <c r="P60" i="107"/>
  <c r="P103" i="108"/>
  <c r="P95" i="108"/>
  <c r="P87" i="108"/>
  <c r="P79" i="108"/>
  <c r="AF27" i="108" s="1"/>
  <c r="P71" i="108"/>
  <c r="P63" i="108"/>
  <c r="P99" i="107"/>
  <c r="P91" i="107"/>
  <c r="P83" i="107"/>
  <c r="P75" i="107"/>
  <c r="P67" i="107"/>
  <c r="P59" i="107"/>
  <c r="AD27" i="111"/>
  <c r="X26" i="111"/>
  <c r="V25" i="111"/>
  <c r="AC24" i="111"/>
  <c r="U24" i="111"/>
  <c r="AA24" i="111"/>
  <c r="P101" i="108"/>
  <c r="P93" i="108"/>
  <c r="P85" i="108"/>
  <c r="P77" i="108"/>
  <c r="P69" i="108"/>
  <c r="P61" i="108"/>
  <c r="P81" i="107"/>
  <c r="P100" i="108"/>
  <c r="P92" i="108"/>
  <c r="P84" i="108"/>
  <c r="P76" i="108"/>
  <c r="P68" i="108"/>
  <c r="P60" i="108"/>
  <c r="P104" i="107"/>
  <c r="P96" i="107"/>
  <c r="P88" i="107"/>
  <c r="P80" i="107"/>
  <c r="P72" i="107"/>
  <c r="P64" i="107"/>
  <c r="P73" i="107"/>
  <c r="AF25" i="107" s="1"/>
  <c r="Y27" i="107"/>
  <c r="P99" i="108"/>
  <c r="P91" i="108"/>
  <c r="P83" i="108"/>
  <c r="P75" i="108"/>
  <c r="P67" i="108"/>
  <c r="P59" i="108"/>
  <c r="P103" i="107"/>
  <c r="P95" i="107"/>
  <c r="P87" i="107"/>
  <c r="P79" i="107"/>
  <c r="AF27" i="107" s="1"/>
  <c r="P71" i="107"/>
  <c r="P63" i="107"/>
  <c r="O81" i="107"/>
  <c r="P65" i="107"/>
  <c r="O104" i="108"/>
  <c r="O96" i="108"/>
  <c r="O88" i="108"/>
  <c r="O80" i="108"/>
  <c r="O72" i="108"/>
  <c r="O64" i="108"/>
  <c r="P72" i="108"/>
  <c r="O89" i="111"/>
  <c r="S27" i="111"/>
  <c r="O104" i="107"/>
  <c r="O96" i="107"/>
  <c r="O88" i="107"/>
  <c r="O80" i="107"/>
  <c r="O72" i="107"/>
  <c r="AE25" i="107" s="1"/>
  <c r="O64" i="107"/>
  <c r="O103" i="108"/>
  <c r="O95" i="108"/>
  <c r="O87" i="108"/>
  <c r="O79" i="108"/>
  <c r="O71" i="108"/>
  <c r="O63" i="108"/>
  <c r="AC33" i="111"/>
  <c r="AD32" i="111"/>
  <c r="Y32" i="111"/>
  <c r="O92" i="111"/>
  <c r="AC29" i="111"/>
  <c r="U29" i="111"/>
  <c r="P79" i="111"/>
  <c r="AD26" i="111"/>
  <c r="Y26" i="111"/>
  <c r="AC25" i="111"/>
  <c r="O103" i="107"/>
  <c r="O95" i="107"/>
  <c r="O87" i="107"/>
  <c r="O79" i="107"/>
  <c r="O71" i="107"/>
  <c r="O63" i="107"/>
  <c r="S33" i="108"/>
  <c r="S29" i="108"/>
  <c r="O102" i="108"/>
  <c r="AE33" i="108" s="1"/>
  <c r="O94" i="108"/>
  <c r="AE31" i="108" s="1"/>
  <c r="O86" i="108"/>
  <c r="O78" i="108"/>
  <c r="O70" i="108"/>
  <c r="O62" i="108"/>
  <c r="S33" i="107"/>
  <c r="S29" i="107"/>
  <c r="S25" i="107"/>
  <c r="O102" i="107"/>
  <c r="O94" i="107"/>
  <c r="O86" i="107"/>
  <c r="O78" i="107"/>
  <c r="O70" i="107"/>
  <c r="O62" i="107"/>
  <c r="O101" i="108"/>
  <c r="O93" i="108"/>
  <c r="O85" i="108"/>
  <c r="O77" i="108"/>
  <c r="O69" i="108"/>
  <c r="O61" i="108"/>
  <c r="O101" i="107"/>
  <c r="O93" i="107"/>
  <c r="O85" i="107"/>
  <c r="O77" i="107"/>
  <c r="O69" i="107"/>
  <c r="O61" i="107"/>
  <c r="AD32" i="108"/>
  <c r="V32" i="108"/>
  <c r="O100" i="108"/>
  <c r="O92" i="108"/>
  <c r="O84" i="108"/>
  <c r="O76" i="108"/>
  <c r="O68" i="108"/>
  <c r="O60" i="108"/>
  <c r="O100" i="107"/>
  <c r="O92" i="107"/>
  <c r="O84" i="107"/>
  <c r="O76" i="107"/>
  <c r="O68" i="107"/>
  <c r="O60" i="107"/>
  <c r="O99" i="108"/>
  <c r="O91" i="108"/>
  <c r="O83" i="108"/>
  <c r="O75" i="108"/>
  <c r="O67" i="108"/>
  <c r="O59" i="108"/>
  <c r="O99" i="107"/>
  <c r="O91" i="107"/>
  <c r="O83" i="107"/>
  <c r="O75" i="107"/>
  <c r="O67" i="107"/>
  <c r="O59" i="107"/>
  <c r="Z33" i="108"/>
  <c r="AC33" i="108"/>
  <c r="U33" i="108"/>
  <c r="X33" i="108"/>
  <c r="AB32" i="108"/>
  <c r="T32" i="108"/>
  <c r="Z31" i="108"/>
  <c r="AC31" i="108"/>
  <c r="U31" i="108"/>
  <c r="X31" i="108"/>
  <c r="AD30" i="108"/>
  <c r="V30" i="108"/>
  <c r="Y30" i="108"/>
  <c r="AB30" i="108"/>
  <c r="T30" i="108"/>
  <c r="AC29" i="108"/>
  <c r="U29" i="108"/>
  <c r="X29" i="108"/>
  <c r="AD28" i="108"/>
  <c r="V28" i="108"/>
  <c r="Y28" i="108"/>
  <c r="AB28" i="108"/>
  <c r="T28" i="108"/>
  <c r="Z27" i="108"/>
  <c r="AC27" i="108"/>
  <c r="AE23" i="107"/>
  <c r="AD30" i="111"/>
  <c r="AA22" i="107"/>
  <c r="V23" i="107"/>
  <c r="AD23" i="107"/>
  <c r="T25" i="107"/>
  <c r="AB25" i="107"/>
  <c r="Z27" i="107"/>
  <c r="U28" i="107"/>
  <c r="AC28" i="107"/>
  <c r="AA30" i="107"/>
  <c r="V31" i="107"/>
  <c r="AD31" i="107"/>
  <c r="Y32" i="107"/>
  <c r="T33" i="107"/>
  <c r="AB33" i="107"/>
  <c r="P81" i="111"/>
  <c r="U28" i="111"/>
  <c r="U22" i="107"/>
  <c r="AC22" i="107"/>
  <c r="AA24" i="107"/>
  <c r="V25" i="107"/>
  <c r="AD25" i="107"/>
  <c r="T27" i="107"/>
  <c r="AB27" i="107"/>
  <c r="Z29" i="107"/>
  <c r="U30" i="107"/>
  <c r="AC30" i="107"/>
  <c r="AA32" i="107"/>
  <c r="V33" i="107"/>
  <c r="AD33" i="107"/>
  <c r="V23" i="111"/>
  <c r="AB25" i="111"/>
  <c r="Y29" i="107"/>
  <c r="Z32" i="107"/>
  <c r="Z31" i="111"/>
  <c r="X28" i="107"/>
  <c r="Y31" i="107"/>
  <c r="W25" i="107"/>
  <c r="W33" i="107"/>
  <c r="U24" i="107"/>
  <c r="AC24" i="107"/>
  <c r="AA26" i="107"/>
  <c r="V27" i="107"/>
  <c r="AD27" i="107"/>
  <c r="Y28" i="107"/>
  <c r="T29" i="107"/>
  <c r="AB29" i="107"/>
  <c r="Z31" i="107"/>
  <c r="U32" i="107"/>
  <c r="AC32" i="107"/>
  <c r="P83" i="111"/>
  <c r="W31" i="111"/>
  <c r="P89" i="111"/>
  <c r="Z28" i="111"/>
  <c r="AA28" i="111"/>
  <c r="W27" i="111"/>
  <c r="P77" i="111"/>
  <c r="AC26" i="111"/>
  <c r="U26" i="111"/>
  <c r="Y25" i="111"/>
  <c r="P70" i="111"/>
  <c r="X22" i="107"/>
  <c r="U29" i="107"/>
  <c r="AC29" i="107"/>
  <c r="V32" i="107"/>
  <c r="AD32" i="107"/>
  <c r="U33" i="111"/>
  <c r="X33" i="111"/>
  <c r="AB32" i="111"/>
  <c r="V31" i="111"/>
  <c r="Y30" i="111"/>
  <c r="T30" i="111"/>
  <c r="X29" i="111"/>
  <c r="AB28" i="111"/>
  <c r="AC27" i="111"/>
  <c r="U27" i="111"/>
  <c r="AA27" i="111"/>
  <c r="T26" i="111"/>
  <c r="W26" i="111"/>
  <c r="U25" i="111"/>
  <c r="X25" i="111"/>
  <c r="Y30" i="107"/>
  <c r="Z33" i="107"/>
  <c r="P67" i="111"/>
  <c r="P80" i="111"/>
  <c r="P72" i="111"/>
  <c r="S24" i="107"/>
  <c r="S28" i="107"/>
  <c r="S32" i="107"/>
  <c r="S29" i="111"/>
  <c r="S31" i="107"/>
  <c r="S33" i="111"/>
  <c r="S27" i="107"/>
  <c r="S26" i="107"/>
  <c r="S30" i="107"/>
  <c r="S23" i="107"/>
  <c r="N106" i="108"/>
  <c r="AA28" i="108"/>
  <c r="W32" i="111"/>
  <c r="W30" i="111"/>
  <c r="AA29" i="111"/>
  <c r="AD25" i="111"/>
  <c r="Z22" i="111"/>
  <c r="O80" i="111"/>
  <c r="O72" i="111"/>
  <c r="AA31" i="111"/>
  <c r="Z30" i="111"/>
  <c r="V27" i="111"/>
  <c r="Z26" i="111"/>
  <c r="S23" i="111"/>
  <c r="Y24" i="111"/>
  <c r="AB23" i="111"/>
  <c r="O59" i="111"/>
  <c r="O79" i="111"/>
  <c r="P103" i="111"/>
  <c r="O86" i="111"/>
  <c r="AA23" i="111"/>
  <c r="W22" i="111"/>
  <c r="O85" i="111"/>
  <c r="O77" i="111"/>
  <c r="O100" i="111"/>
  <c r="O83" i="111"/>
  <c r="P63" i="111"/>
  <c r="P82" i="111"/>
  <c r="P74" i="111"/>
  <c r="O73" i="111"/>
  <c r="X22" i="111"/>
  <c r="C11" i="108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S13" i="108" s="1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E10" i="108"/>
  <c r="F10" i="108"/>
  <c r="G10" i="108"/>
  <c r="H10" i="108"/>
  <c r="X10" i="108" s="1"/>
  <c r="I10" i="108"/>
  <c r="Y10" i="108" s="1"/>
  <c r="J10" i="108"/>
  <c r="K10" i="108"/>
  <c r="L10" i="108"/>
  <c r="M10" i="108"/>
  <c r="N10" i="108"/>
  <c r="C10" i="108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S14" i="107" s="1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AA15" i="107" s="1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AA17" i="107" s="1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S20" i="107" l="1"/>
  <c r="S17" i="107"/>
  <c r="S21" i="108"/>
  <c r="S18" i="108"/>
  <c r="S15" i="108"/>
  <c r="AA14" i="108"/>
  <c r="AA13" i="108"/>
  <c r="AA35" i="108" s="1"/>
  <c r="AA12" i="108"/>
  <c r="Z20" i="107"/>
  <c r="Z19" i="107"/>
  <c r="P99" i="111"/>
  <c r="T32" i="111"/>
  <c r="O99" i="111"/>
  <c r="AE32" i="111" s="1"/>
  <c r="Z10" i="107"/>
  <c r="J106" i="107"/>
  <c r="Y21" i="107"/>
  <c r="Y20" i="107"/>
  <c r="Y18" i="107"/>
  <c r="Y17" i="107"/>
  <c r="Y16" i="107"/>
  <c r="Y15" i="107"/>
  <c r="X20" i="107"/>
  <c r="X19" i="107"/>
  <c r="X18" i="107"/>
  <c r="X17" i="107"/>
  <c r="X16" i="107"/>
  <c r="X15" i="107"/>
  <c r="X14" i="107"/>
  <c r="V30" i="111"/>
  <c r="P91" i="111"/>
  <c r="O91" i="111"/>
  <c r="P88" i="111"/>
  <c r="AF29" i="111" s="1"/>
  <c r="O88" i="111"/>
  <c r="S25" i="111"/>
  <c r="P73" i="111"/>
  <c r="AE26" i="108"/>
  <c r="T10" i="107"/>
  <c r="D106" i="107"/>
  <c r="AA21" i="107"/>
  <c r="S19" i="107"/>
  <c r="AA18" i="107"/>
  <c r="S16" i="107"/>
  <c r="AA11" i="107"/>
  <c r="S19" i="108"/>
  <c r="S16" i="108"/>
  <c r="S35" i="108" s="1"/>
  <c r="O65" i="111"/>
  <c r="AA10" i="107"/>
  <c r="K106" i="107"/>
  <c r="Z21" i="107"/>
  <c r="Z17" i="107"/>
  <c r="Z16" i="107"/>
  <c r="Y19" i="107"/>
  <c r="Y14" i="107"/>
  <c r="Y13" i="107"/>
  <c r="Y12" i="107"/>
  <c r="Y10" i="107"/>
  <c r="Y41" i="107" s="1"/>
  <c r="I106" i="107"/>
  <c r="X21" i="107"/>
  <c r="X10" i="107"/>
  <c r="H106" i="107"/>
  <c r="W21" i="107"/>
  <c r="W20" i="107"/>
  <c r="W19" i="107"/>
  <c r="W39" i="107" s="1"/>
  <c r="W18" i="107"/>
  <c r="W17" i="107"/>
  <c r="W16" i="107"/>
  <c r="W15" i="107"/>
  <c r="AB31" i="111"/>
  <c r="O95" i="111"/>
  <c r="P96" i="111"/>
  <c r="S21" i="107"/>
  <c r="AA20" i="107"/>
  <c r="AA19" i="107"/>
  <c r="AA16" i="107"/>
  <c r="S38" i="107"/>
  <c r="S13" i="107"/>
  <c r="AA12" i="107"/>
  <c r="AA21" i="108"/>
  <c r="AA20" i="108"/>
  <c r="AA18" i="108"/>
  <c r="AA17" i="108"/>
  <c r="AD20" i="107"/>
  <c r="AD19" i="107"/>
  <c r="AD18" i="107"/>
  <c r="V17" i="107"/>
  <c r="V16" i="107"/>
  <c r="AD15" i="107"/>
  <c r="V14" i="107"/>
  <c r="V13" i="107"/>
  <c r="AD12" i="107"/>
  <c r="AD41" i="107" s="1"/>
  <c r="AD11" i="107"/>
  <c r="C106" i="108"/>
  <c r="S10" i="108"/>
  <c r="V21" i="108"/>
  <c r="V20" i="108"/>
  <c r="V19" i="108"/>
  <c r="V18" i="108"/>
  <c r="AD17" i="108"/>
  <c r="V17" i="108"/>
  <c r="AD16" i="108"/>
  <c r="V16" i="108"/>
  <c r="AD15" i="108"/>
  <c r="V15" i="108"/>
  <c r="AD14" i="108"/>
  <c r="V14" i="108"/>
  <c r="AD13" i="108"/>
  <c r="V13" i="108"/>
  <c r="AD12" i="108"/>
  <c r="V12" i="108"/>
  <c r="AD11" i="108"/>
  <c r="V11" i="108"/>
  <c r="AE29" i="111"/>
  <c r="Z32" i="111"/>
  <c r="P101" i="111"/>
  <c r="O101" i="111"/>
  <c r="S28" i="111"/>
  <c r="O82" i="111"/>
  <c r="AE28" i="111" s="1"/>
  <c r="P69" i="111"/>
  <c r="O69" i="111"/>
  <c r="O104" i="111"/>
  <c r="P104" i="111"/>
  <c r="U31" i="111"/>
  <c r="O96" i="111"/>
  <c r="O84" i="111"/>
  <c r="P84" i="111"/>
  <c r="T28" i="111"/>
  <c r="O63" i="111"/>
  <c r="V32" i="111"/>
  <c r="P98" i="111"/>
  <c r="AF32" i="111" s="1"/>
  <c r="O98" i="111"/>
  <c r="AA25" i="111"/>
  <c r="P71" i="111"/>
  <c r="O71" i="111"/>
  <c r="AE25" i="111" s="1"/>
  <c r="O76" i="111"/>
  <c r="P86" i="111"/>
  <c r="AC28" i="111"/>
  <c r="P75" i="111"/>
  <c r="O75" i="111"/>
  <c r="Y28" i="111"/>
  <c r="S18" i="107"/>
  <c r="S15" i="107"/>
  <c r="AA14" i="107"/>
  <c r="AA13" i="107"/>
  <c r="S11" i="107"/>
  <c r="AB10" i="108"/>
  <c r="L106" i="108"/>
  <c r="S20" i="108"/>
  <c r="AA19" i="108"/>
  <c r="S17" i="108"/>
  <c r="AA16" i="108"/>
  <c r="S14" i="108"/>
  <c r="S12" i="108"/>
  <c r="AA11" i="108"/>
  <c r="Z15" i="107"/>
  <c r="Z14" i="107"/>
  <c r="W10" i="107"/>
  <c r="G106" i="107"/>
  <c r="V21" i="107"/>
  <c r="V19" i="107"/>
  <c r="AD16" i="107"/>
  <c r="V15" i="107"/>
  <c r="AD14" i="107"/>
  <c r="AD13" i="107"/>
  <c r="V12" i="107"/>
  <c r="V11" i="107"/>
  <c r="W10" i="108"/>
  <c r="G106" i="108"/>
  <c r="AD21" i="108"/>
  <c r="AD20" i="108"/>
  <c r="AD19" i="108"/>
  <c r="AD18" i="108"/>
  <c r="AD10" i="107"/>
  <c r="N106" i="107"/>
  <c r="V10" i="107"/>
  <c r="F106" i="107"/>
  <c r="AC21" i="107"/>
  <c r="U21" i="107"/>
  <c r="AC20" i="107"/>
  <c r="U20" i="107"/>
  <c r="AC19" i="107"/>
  <c r="U19" i="107"/>
  <c r="AC18" i="107"/>
  <c r="U18" i="107"/>
  <c r="AC17" i="107"/>
  <c r="U17" i="107"/>
  <c r="AC16" i="107"/>
  <c r="U16" i="107"/>
  <c r="AC15" i="107"/>
  <c r="U15" i="107"/>
  <c r="U41" i="107" s="1"/>
  <c r="AC14" i="107"/>
  <c r="U14" i="107"/>
  <c r="O90" i="111"/>
  <c r="V41" i="107"/>
  <c r="O105" i="111"/>
  <c r="P105" i="111"/>
  <c r="O97" i="111"/>
  <c r="P97" i="111"/>
  <c r="P87" i="111"/>
  <c r="O87" i="111"/>
  <c r="AE30" i="107"/>
  <c r="AE32" i="108"/>
  <c r="AB10" i="107"/>
  <c r="L106" i="107"/>
  <c r="S12" i="107"/>
  <c r="T10" i="108"/>
  <c r="D106" i="108"/>
  <c r="AA15" i="108"/>
  <c r="S11" i="108"/>
  <c r="Z18" i="107"/>
  <c r="S10" i="107"/>
  <c r="C106" i="107"/>
  <c r="AD21" i="107"/>
  <c r="V20" i="107"/>
  <c r="V18" i="107"/>
  <c r="AD17" i="107"/>
  <c r="AC10" i="107"/>
  <c r="M106" i="107"/>
  <c r="U10" i="107"/>
  <c r="E106" i="107"/>
  <c r="AB21" i="107"/>
  <c r="T21" i="107"/>
  <c r="AB20" i="107"/>
  <c r="T20" i="107"/>
  <c r="AB19" i="107"/>
  <c r="T19" i="107"/>
  <c r="AB18" i="107"/>
  <c r="T18" i="107"/>
  <c r="AB17" i="107"/>
  <c r="T17" i="107"/>
  <c r="AB16" i="107"/>
  <c r="T16" i="107"/>
  <c r="AB15" i="107"/>
  <c r="T15" i="107"/>
  <c r="AB14" i="107"/>
  <c r="T14" i="107"/>
  <c r="AB13" i="107"/>
  <c r="T13" i="107"/>
  <c r="AB12" i="107"/>
  <c r="T12" i="107"/>
  <c r="AB11" i="107"/>
  <c r="T11" i="107"/>
  <c r="AC10" i="108"/>
  <c r="M106" i="108"/>
  <c r="U10" i="108"/>
  <c r="E106" i="108"/>
  <c r="P93" i="111"/>
  <c r="AA33" i="111"/>
  <c r="AC13" i="107"/>
  <c r="AC38" i="107" s="1"/>
  <c r="U13" i="107"/>
  <c r="AC12" i="107"/>
  <c r="U12" i="107"/>
  <c r="AC11" i="107"/>
  <c r="U11" i="107"/>
  <c r="AD10" i="108"/>
  <c r="V10" i="108"/>
  <c r="AC21" i="108"/>
  <c r="U21" i="108"/>
  <c r="AC20" i="108"/>
  <c r="U20" i="108"/>
  <c r="AC19" i="108"/>
  <c r="U19" i="108"/>
  <c r="AC18" i="108"/>
  <c r="U18" i="108"/>
  <c r="AC17" i="108"/>
  <c r="U17" i="108"/>
  <c r="AC16" i="108"/>
  <c r="U16" i="108"/>
  <c r="AC15" i="108"/>
  <c r="U15" i="108"/>
  <c r="AC14" i="108"/>
  <c r="U14" i="108"/>
  <c r="AC13" i="108"/>
  <c r="AC38" i="108" s="1"/>
  <c r="U13" i="108"/>
  <c r="AC12" i="108"/>
  <c r="U12" i="108"/>
  <c r="AC11" i="108"/>
  <c r="U11" i="108"/>
  <c r="W24" i="111"/>
  <c r="Y33" i="111"/>
  <c r="AC22" i="111"/>
  <c r="P102" i="111"/>
  <c r="AF33" i="111" s="1"/>
  <c r="AF29" i="107"/>
  <c r="X24" i="111"/>
  <c r="X28" i="111"/>
  <c r="AF23" i="108"/>
  <c r="AF30" i="107"/>
  <c r="AF32" i="108"/>
  <c r="AE29" i="107"/>
  <c r="AE31" i="107"/>
  <c r="W33" i="111"/>
  <c r="AF24" i="107"/>
  <c r="AE32" i="107"/>
  <c r="AD24" i="111"/>
  <c r="AF22" i="108"/>
  <c r="AF26" i="108"/>
  <c r="AB21" i="108"/>
  <c r="T21" i="108"/>
  <c r="AB20" i="108"/>
  <c r="T20" i="108"/>
  <c r="AB19" i="108"/>
  <c r="T19" i="108"/>
  <c r="AB18" i="108"/>
  <c r="T18" i="108"/>
  <c r="AB17" i="108"/>
  <c r="T17" i="108"/>
  <c r="AB16" i="108"/>
  <c r="T16" i="108"/>
  <c r="AB15" i="108"/>
  <c r="T15" i="108"/>
  <c r="AB14" i="108"/>
  <c r="T14" i="108"/>
  <c r="AB13" i="108"/>
  <c r="T13" i="108"/>
  <c r="AB12" i="108"/>
  <c r="T12" i="108"/>
  <c r="AB11" i="108"/>
  <c r="T11" i="108"/>
  <c r="O61" i="111"/>
  <c r="I106" i="108"/>
  <c r="P85" i="111"/>
  <c r="AE33" i="107"/>
  <c r="AA26" i="111"/>
  <c r="AF25" i="108"/>
  <c r="T33" i="111"/>
  <c r="AE28" i="108"/>
  <c r="AF31" i="108"/>
  <c r="V26" i="111"/>
  <c r="AB33" i="111"/>
  <c r="AE26" i="107"/>
  <c r="S32" i="111"/>
  <c r="AF28" i="108"/>
  <c r="V24" i="111"/>
  <c r="Z13" i="107"/>
  <c r="Z12" i="107"/>
  <c r="Z11" i="107"/>
  <c r="AA10" i="108"/>
  <c r="Z21" i="108"/>
  <c r="Z20" i="108"/>
  <c r="Z19" i="108"/>
  <c r="Z18" i="108"/>
  <c r="Z17" i="108"/>
  <c r="Z16" i="108"/>
  <c r="Z15" i="108"/>
  <c r="Z14" i="108"/>
  <c r="Z13" i="108"/>
  <c r="Z12" i="108"/>
  <c r="Z11" i="108"/>
  <c r="O81" i="111"/>
  <c r="P90" i="111"/>
  <c r="AF30" i="111" s="1"/>
  <c r="P60" i="111"/>
  <c r="T24" i="111"/>
  <c r="O68" i="111"/>
  <c r="O93" i="111"/>
  <c r="O94" i="111"/>
  <c r="U23" i="111"/>
  <c r="AE25" i="108"/>
  <c r="AF23" i="107"/>
  <c r="Z24" i="111"/>
  <c r="T27" i="111"/>
  <c r="AF29" i="108"/>
  <c r="AF32" i="107"/>
  <c r="W29" i="111"/>
  <c r="U30" i="111"/>
  <c r="AA32" i="111"/>
  <c r="AF33" i="107"/>
  <c r="AF31" i="107"/>
  <c r="Y11" i="107"/>
  <c r="Z10" i="108"/>
  <c r="Y21" i="108"/>
  <c r="Y20" i="108"/>
  <c r="Y19" i="108"/>
  <c r="Y18" i="108"/>
  <c r="Y17" i="108"/>
  <c r="Y16" i="108"/>
  <c r="Y15" i="108"/>
  <c r="Y14" i="108"/>
  <c r="Y13" i="108"/>
  <c r="Y40" i="108" s="1"/>
  <c r="Y12" i="108"/>
  <c r="Y34" i="108" s="1"/>
  <c r="Y11" i="108"/>
  <c r="AB24" i="111"/>
  <c r="O102" i="111"/>
  <c r="S31" i="111"/>
  <c r="H106" i="108"/>
  <c r="P68" i="111"/>
  <c r="X30" i="111"/>
  <c r="V28" i="111"/>
  <c r="AE27" i="108"/>
  <c r="AE27" i="107"/>
  <c r="W25" i="111"/>
  <c r="AB27" i="111"/>
  <c r="T29" i="111"/>
  <c r="AC30" i="111"/>
  <c r="X32" i="111"/>
  <c r="S26" i="111"/>
  <c r="AE22" i="107"/>
  <c r="Z27" i="111"/>
  <c r="AE30" i="108"/>
  <c r="X13" i="107"/>
  <c r="X12" i="107"/>
  <c r="X11" i="107"/>
  <c r="X21" i="108"/>
  <c r="X20" i="108"/>
  <c r="X19" i="108"/>
  <c r="X18" i="108"/>
  <c r="X17" i="108"/>
  <c r="X16" i="108"/>
  <c r="X15" i="108"/>
  <c r="X14" i="108"/>
  <c r="X13" i="108"/>
  <c r="X12" i="108"/>
  <c r="X34" i="108" s="1"/>
  <c r="X11" i="108"/>
  <c r="O74" i="111"/>
  <c r="O103" i="111"/>
  <c r="AE33" i="111" s="1"/>
  <c r="Y23" i="111"/>
  <c r="U22" i="111"/>
  <c r="AE23" i="108"/>
  <c r="AE29" i="108"/>
  <c r="T25" i="111"/>
  <c r="Y27" i="111"/>
  <c r="AF33" i="108"/>
  <c r="AE24" i="108"/>
  <c r="AB29" i="111"/>
  <c r="U32" i="111"/>
  <c r="AE28" i="107"/>
  <c r="K106" i="108"/>
  <c r="J106" i="108"/>
  <c r="AF30" i="108"/>
  <c r="W14" i="107"/>
  <c r="W13" i="107"/>
  <c r="W12" i="107"/>
  <c r="W11" i="107"/>
  <c r="W21" i="108"/>
  <c r="W20" i="108"/>
  <c r="W19" i="108"/>
  <c r="W39" i="108" s="1"/>
  <c r="W18" i="108"/>
  <c r="W17" i="108"/>
  <c r="W16" i="108"/>
  <c r="W15" i="108"/>
  <c r="W14" i="108"/>
  <c r="W13" i="108"/>
  <c r="W12" i="108"/>
  <c r="W11" i="108"/>
  <c r="F106" i="108"/>
  <c r="T31" i="111"/>
  <c r="AF22" i="107"/>
  <c r="AF24" i="108"/>
  <c r="Y29" i="111"/>
  <c r="Y31" i="111"/>
  <c r="AC32" i="111"/>
  <c r="Z29" i="111"/>
  <c r="P61" i="111"/>
  <c r="V29" i="111"/>
  <c r="P58" i="111"/>
  <c r="AC23" i="111"/>
  <c r="P95" i="111"/>
  <c r="P59" i="111"/>
  <c r="AF25" i="111"/>
  <c r="Y22" i="111"/>
  <c r="W23" i="111"/>
  <c r="P76" i="111"/>
  <c r="P78" i="111"/>
  <c r="AF27" i="111" s="1"/>
  <c r="P65" i="111"/>
  <c r="O66" i="111"/>
  <c r="AE24" i="111" s="1"/>
  <c r="O78" i="111"/>
  <c r="AE27" i="111" s="1"/>
  <c r="AA22" i="111"/>
  <c r="P94" i="111"/>
  <c r="AE26" i="111"/>
  <c r="O60" i="111"/>
  <c r="O62" i="111"/>
  <c r="V22" i="111"/>
  <c r="T23" i="111"/>
  <c r="P66" i="111"/>
  <c r="AD22" i="111"/>
  <c r="X23" i="111"/>
  <c r="T22" i="111"/>
  <c r="P62" i="111"/>
  <c r="AB22" i="111"/>
  <c r="P64" i="111"/>
  <c r="O64" i="111"/>
  <c r="O58" i="111"/>
  <c r="Z23" i="111"/>
  <c r="O101" i="113"/>
  <c r="P102" i="113"/>
  <c r="Z33" i="113"/>
  <c r="AD33" i="113"/>
  <c r="O103" i="113"/>
  <c r="O104" i="113"/>
  <c r="P105" i="113"/>
  <c r="W32" i="113"/>
  <c r="AA32" i="113"/>
  <c r="V27" i="113"/>
  <c r="AD27" i="113"/>
  <c r="P80" i="113"/>
  <c r="P82" i="113"/>
  <c r="Z28" i="113"/>
  <c r="AD28" i="113"/>
  <c r="O83" i="113"/>
  <c r="L106" i="113"/>
  <c r="D106" i="113"/>
  <c r="P85" i="113"/>
  <c r="O87" i="113"/>
  <c r="O88" i="113"/>
  <c r="P89" i="113"/>
  <c r="P90" i="113"/>
  <c r="V30" i="113"/>
  <c r="X30" i="113"/>
  <c r="AB30" i="113"/>
  <c r="AD30" i="113"/>
  <c r="P91" i="113"/>
  <c r="P92" i="113"/>
  <c r="O93" i="113"/>
  <c r="P93" i="113"/>
  <c r="V31" i="113"/>
  <c r="X31" i="113"/>
  <c r="Z31" i="113"/>
  <c r="AD31" i="113"/>
  <c r="O95" i="113"/>
  <c r="O96" i="113"/>
  <c r="P96" i="113"/>
  <c r="P97" i="113"/>
  <c r="T32" i="113"/>
  <c r="V32" i="113"/>
  <c r="X32" i="113"/>
  <c r="AB32" i="113"/>
  <c r="AD32" i="113"/>
  <c r="P99" i="113"/>
  <c r="T33" i="113"/>
  <c r="O102" i="113"/>
  <c r="P103" i="113"/>
  <c r="W33" i="113"/>
  <c r="W27" i="113"/>
  <c r="AA27" i="113"/>
  <c r="F106" i="113"/>
  <c r="Z22" i="113"/>
  <c r="N106" i="113"/>
  <c r="P60" i="113"/>
  <c r="P61" i="113"/>
  <c r="P62" i="113"/>
  <c r="P63" i="113"/>
  <c r="J106" i="113"/>
  <c r="P64" i="113"/>
  <c r="P65" i="113"/>
  <c r="P66" i="113"/>
  <c r="Z24" i="113"/>
  <c r="AD24" i="113"/>
  <c r="P67" i="113"/>
  <c r="P68" i="113"/>
  <c r="P69" i="113"/>
  <c r="P70" i="113"/>
  <c r="P71" i="113"/>
  <c r="P72" i="113"/>
  <c r="P73" i="113"/>
  <c r="V26" i="113"/>
  <c r="Z26" i="113"/>
  <c r="AD26" i="113"/>
  <c r="P75" i="113"/>
  <c r="P76" i="113"/>
  <c r="P77" i="113"/>
  <c r="Z27" i="113"/>
  <c r="P79" i="113"/>
  <c r="P81" i="113"/>
  <c r="T28" i="113"/>
  <c r="X28" i="113"/>
  <c r="AB28" i="113"/>
  <c r="P83" i="113"/>
  <c r="P84" i="113"/>
  <c r="O85" i="113"/>
  <c r="P87" i="113"/>
  <c r="P88" i="113"/>
  <c r="O89" i="113"/>
  <c r="Z30" i="113"/>
  <c r="O91" i="113"/>
  <c r="P94" i="113"/>
  <c r="P95" i="113"/>
  <c r="O97" i="113"/>
  <c r="O99" i="113"/>
  <c r="U33" i="113"/>
  <c r="Y33" i="113"/>
  <c r="AC33" i="113"/>
  <c r="P58" i="113"/>
  <c r="AC32" i="112"/>
  <c r="AC30" i="112"/>
  <c r="AC31" i="112"/>
  <c r="P89" i="112"/>
  <c r="AC27" i="112"/>
  <c r="AC25" i="112"/>
  <c r="AC26" i="112"/>
  <c r="AC24" i="112"/>
  <c r="AC23" i="112"/>
  <c r="P82" i="112"/>
  <c r="Z28" i="112"/>
  <c r="AD28" i="112"/>
  <c r="O83" i="112"/>
  <c r="Z29" i="112"/>
  <c r="P87" i="112"/>
  <c r="O87" i="112"/>
  <c r="L106" i="112"/>
  <c r="P88" i="112"/>
  <c r="X29" i="112"/>
  <c r="O89" i="112"/>
  <c r="Y29" i="112"/>
  <c r="AD30" i="112"/>
  <c r="P91" i="112"/>
  <c r="P92" i="112"/>
  <c r="O93" i="112"/>
  <c r="O81" i="112"/>
  <c r="AA27" i="112"/>
  <c r="S27" i="112"/>
  <c r="O98" i="112"/>
  <c r="Z32" i="112"/>
  <c r="AD32" i="112"/>
  <c r="O100" i="112"/>
  <c r="P101" i="112"/>
  <c r="O102" i="112"/>
  <c r="AD33" i="112"/>
  <c r="P103" i="112"/>
  <c r="P104" i="112"/>
  <c r="AA31" i="112"/>
  <c r="P99" i="112"/>
  <c r="Z33" i="112"/>
  <c r="P105" i="112"/>
  <c r="O91" i="112"/>
  <c r="P94" i="112"/>
  <c r="Z31" i="112"/>
  <c r="AD31" i="112"/>
  <c r="O95" i="112"/>
  <c r="P96" i="112"/>
  <c r="W30" i="112"/>
  <c r="AA30" i="112"/>
  <c r="X30" i="112"/>
  <c r="Z30" i="112"/>
  <c r="V27" i="112"/>
  <c r="Z27" i="112"/>
  <c r="AD27" i="112"/>
  <c r="P79" i="112"/>
  <c r="P80" i="112"/>
  <c r="V28" i="112"/>
  <c r="P86" i="112"/>
  <c r="AB29" i="112"/>
  <c r="AD29" i="112"/>
  <c r="AA26" i="112"/>
  <c r="S26" i="112"/>
  <c r="E106" i="112"/>
  <c r="AB26" i="112"/>
  <c r="V25" i="112"/>
  <c r="Z25" i="112"/>
  <c r="AD25" i="112"/>
  <c r="P71" i="112"/>
  <c r="P72" i="112"/>
  <c r="V26" i="112"/>
  <c r="Z26" i="112"/>
  <c r="P75" i="112"/>
  <c r="P76" i="112"/>
  <c r="V22" i="112"/>
  <c r="P60" i="112"/>
  <c r="P61" i="112"/>
  <c r="P62" i="112"/>
  <c r="P63" i="112"/>
  <c r="P64" i="112"/>
  <c r="P65" i="112"/>
  <c r="P66" i="112"/>
  <c r="Z24" i="112"/>
  <c r="AD24" i="112"/>
  <c r="P67" i="112"/>
  <c r="M106" i="113"/>
  <c r="I106" i="113"/>
  <c r="H106" i="113"/>
  <c r="E106" i="113"/>
  <c r="C106" i="113"/>
  <c r="O98" i="113"/>
  <c r="O90" i="113"/>
  <c r="O86" i="113"/>
  <c r="O82" i="113"/>
  <c r="O78" i="113"/>
  <c r="O76" i="113"/>
  <c r="O74" i="113"/>
  <c r="O72" i="113"/>
  <c r="O70" i="113"/>
  <c r="O68" i="113"/>
  <c r="O66" i="113"/>
  <c r="O64" i="113"/>
  <c r="O63" i="113"/>
  <c r="O62" i="113"/>
  <c r="O61" i="113"/>
  <c r="O60" i="113"/>
  <c r="O59" i="113"/>
  <c r="P57" i="113"/>
  <c r="O57" i="113"/>
  <c r="P56" i="113"/>
  <c r="O56" i="113"/>
  <c r="P55" i="113"/>
  <c r="O55" i="113"/>
  <c r="P54" i="113"/>
  <c r="O54" i="113"/>
  <c r="P53" i="113"/>
  <c r="O53" i="113"/>
  <c r="P52" i="113"/>
  <c r="O52" i="113"/>
  <c r="P51" i="113"/>
  <c r="O51" i="113"/>
  <c r="P50" i="113"/>
  <c r="O50" i="113"/>
  <c r="P49" i="113"/>
  <c r="O49" i="113"/>
  <c r="P48" i="113"/>
  <c r="AF19" i="113" s="1"/>
  <c r="O48" i="113"/>
  <c r="P47" i="113"/>
  <c r="O47" i="113"/>
  <c r="P46" i="113"/>
  <c r="O46" i="113"/>
  <c r="P45" i="113"/>
  <c r="O45" i="113"/>
  <c r="P44" i="113"/>
  <c r="O44" i="113"/>
  <c r="P43" i="113"/>
  <c r="O43" i="113"/>
  <c r="P42" i="113"/>
  <c r="O42" i="113"/>
  <c r="P41" i="113"/>
  <c r="O41" i="113"/>
  <c r="P40" i="113"/>
  <c r="O40" i="113"/>
  <c r="P39" i="113"/>
  <c r="O39" i="113"/>
  <c r="P38" i="113"/>
  <c r="O38" i="113"/>
  <c r="P37" i="113"/>
  <c r="O37" i="113"/>
  <c r="P36" i="113"/>
  <c r="O36" i="113"/>
  <c r="P35" i="113"/>
  <c r="O35" i="113"/>
  <c r="P34" i="113"/>
  <c r="O34" i="113"/>
  <c r="AB33" i="113"/>
  <c r="AA33" i="113"/>
  <c r="X33" i="113"/>
  <c r="S33" i="113"/>
  <c r="P33" i="113"/>
  <c r="O33" i="113"/>
  <c r="AC32" i="113"/>
  <c r="Y32" i="113"/>
  <c r="U32" i="113"/>
  <c r="S32" i="113"/>
  <c r="P32" i="113"/>
  <c r="AF15" i="113" s="1"/>
  <c r="O32" i="113"/>
  <c r="AC31" i="113"/>
  <c r="AB31" i="113"/>
  <c r="AA31" i="113"/>
  <c r="Y31" i="113"/>
  <c r="W31" i="113"/>
  <c r="U31" i="113"/>
  <c r="T31" i="113"/>
  <c r="S31" i="113"/>
  <c r="P31" i="113"/>
  <c r="O31" i="113"/>
  <c r="AC30" i="113"/>
  <c r="AA30" i="113"/>
  <c r="Y30" i="113"/>
  <c r="W30" i="113"/>
  <c r="U30" i="113"/>
  <c r="S30" i="113"/>
  <c r="P30" i="113"/>
  <c r="O30" i="113"/>
  <c r="AE15" i="113" s="1"/>
  <c r="AD29" i="113"/>
  <c r="AC29" i="113"/>
  <c r="AB29" i="113"/>
  <c r="AA29" i="113"/>
  <c r="Z29" i="113"/>
  <c r="Y29" i="113"/>
  <c r="X29" i="113"/>
  <c r="W29" i="113"/>
  <c r="V29" i="113"/>
  <c r="U29" i="113"/>
  <c r="T29" i="113"/>
  <c r="S29" i="113"/>
  <c r="P29" i="113"/>
  <c r="O29" i="113"/>
  <c r="AC28" i="113"/>
  <c r="AA28" i="113"/>
  <c r="Y28" i="113"/>
  <c r="W28" i="113"/>
  <c r="U28" i="113"/>
  <c r="S28" i="113"/>
  <c r="P28" i="113"/>
  <c r="AF14" i="113" s="1"/>
  <c r="O28" i="113"/>
  <c r="AC27" i="113"/>
  <c r="AB27" i="113"/>
  <c r="Y27" i="113"/>
  <c r="X27" i="113"/>
  <c r="U27" i="113"/>
  <c r="T27" i="113"/>
  <c r="S27" i="113"/>
  <c r="P27" i="113"/>
  <c r="O27" i="113"/>
  <c r="AC26" i="113"/>
  <c r="AB26" i="113"/>
  <c r="AA26" i="113"/>
  <c r="Y26" i="113"/>
  <c r="X26" i="113"/>
  <c r="W26" i="113"/>
  <c r="U26" i="113"/>
  <c r="T26" i="113"/>
  <c r="S26" i="113"/>
  <c r="P26" i="113"/>
  <c r="O26" i="113"/>
  <c r="AD25" i="113"/>
  <c r="AC25" i="113"/>
  <c r="AB25" i="113"/>
  <c r="AA25" i="113"/>
  <c r="Z25" i="113"/>
  <c r="Y25" i="113"/>
  <c r="X25" i="113"/>
  <c r="W25" i="113"/>
  <c r="V25" i="113"/>
  <c r="U25" i="113"/>
  <c r="T25" i="113"/>
  <c r="S25" i="113"/>
  <c r="P25" i="113"/>
  <c r="O25" i="113"/>
  <c r="AC24" i="113"/>
  <c r="AB24" i="113"/>
  <c r="AA24" i="113"/>
  <c r="Y24" i="113"/>
  <c r="X24" i="113"/>
  <c r="W24" i="113"/>
  <c r="U24" i="113"/>
  <c r="T24" i="113"/>
  <c r="S24" i="113"/>
  <c r="P24" i="113"/>
  <c r="O24" i="113"/>
  <c r="AD23" i="113"/>
  <c r="AC23" i="113"/>
  <c r="AB23" i="113"/>
  <c r="AA23" i="113"/>
  <c r="Z23" i="113"/>
  <c r="Y23" i="113"/>
  <c r="X23" i="113"/>
  <c r="W23" i="113"/>
  <c r="V23" i="113"/>
  <c r="U23" i="113"/>
  <c r="T23" i="113"/>
  <c r="S23" i="113"/>
  <c r="P23" i="113"/>
  <c r="O23" i="113"/>
  <c r="AD22" i="113"/>
  <c r="AC22" i="113"/>
  <c r="AB22" i="113"/>
  <c r="Y22" i="113"/>
  <c r="X22" i="113"/>
  <c r="V22" i="113"/>
  <c r="U22" i="113"/>
  <c r="T22" i="113"/>
  <c r="S22" i="113"/>
  <c r="P22" i="113"/>
  <c r="O22" i="113"/>
  <c r="AD21" i="113"/>
  <c r="AC21" i="113"/>
  <c r="AB21" i="113"/>
  <c r="AA21" i="113"/>
  <c r="Z21" i="113"/>
  <c r="Y21" i="113"/>
  <c r="X21" i="113"/>
  <c r="W21" i="113"/>
  <c r="V21" i="113"/>
  <c r="U21" i="113"/>
  <c r="T21" i="113"/>
  <c r="S21" i="113"/>
  <c r="P21" i="113"/>
  <c r="O21" i="113"/>
  <c r="AD20" i="113"/>
  <c r="AC20" i="113"/>
  <c r="AB20" i="113"/>
  <c r="AA20" i="113"/>
  <c r="Z20" i="113"/>
  <c r="Y20" i="113"/>
  <c r="X20" i="113"/>
  <c r="W20" i="113"/>
  <c r="V20" i="113"/>
  <c r="U20" i="113"/>
  <c r="T20" i="113"/>
  <c r="S20" i="113"/>
  <c r="P20" i="113"/>
  <c r="O20" i="113"/>
  <c r="AD19" i="113"/>
  <c r="AC19" i="113"/>
  <c r="AB19" i="113"/>
  <c r="AA19" i="113"/>
  <c r="AA39" i="113" s="1"/>
  <c r="Z19" i="113"/>
  <c r="Z39" i="113" s="1"/>
  <c r="Y19" i="113"/>
  <c r="X19" i="113"/>
  <c r="W19" i="113"/>
  <c r="V19" i="113"/>
  <c r="U19" i="113"/>
  <c r="T19" i="113"/>
  <c r="S19" i="113"/>
  <c r="S39" i="113" s="1"/>
  <c r="P19" i="113"/>
  <c r="O19" i="113"/>
  <c r="AD18" i="113"/>
  <c r="AC18" i="113"/>
  <c r="AB18" i="113"/>
  <c r="AA18" i="113"/>
  <c r="Z18" i="113"/>
  <c r="Y18" i="113"/>
  <c r="X18" i="113"/>
  <c r="W18" i="113"/>
  <c r="V18" i="113"/>
  <c r="U18" i="113"/>
  <c r="T18" i="113"/>
  <c r="S18" i="113"/>
  <c r="P18" i="113"/>
  <c r="O18" i="113"/>
  <c r="AD17" i="113"/>
  <c r="AC17" i="113"/>
  <c r="AB17" i="113"/>
  <c r="AA17" i="113"/>
  <c r="Z17" i="113"/>
  <c r="Y17" i="113"/>
  <c r="X17" i="113"/>
  <c r="W17" i="113"/>
  <c r="V17" i="113"/>
  <c r="U17" i="113"/>
  <c r="T17" i="113"/>
  <c r="S17" i="113"/>
  <c r="P17" i="113"/>
  <c r="O17" i="113"/>
  <c r="AD16" i="113"/>
  <c r="AC16" i="113"/>
  <c r="AB16" i="113"/>
  <c r="AA16" i="113"/>
  <c r="Z16" i="113"/>
  <c r="Y16" i="113"/>
  <c r="X16" i="113"/>
  <c r="W16" i="113"/>
  <c r="V16" i="113"/>
  <c r="U16" i="113"/>
  <c r="T16" i="113"/>
  <c r="S16" i="113"/>
  <c r="P16" i="113"/>
  <c r="O16" i="113"/>
  <c r="AD15" i="113"/>
  <c r="AC15" i="113"/>
  <c r="AB15" i="113"/>
  <c r="AA15" i="113"/>
  <c r="Z15" i="113"/>
  <c r="Y15" i="113"/>
  <c r="X15" i="113"/>
  <c r="W15" i="113"/>
  <c r="V15" i="113"/>
  <c r="U15" i="113"/>
  <c r="T15" i="113"/>
  <c r="S15" i="113"/>
  <c r="P15" i="113"/>
  <c r="O15" i="113"/>
  <c r="AD14" i="113"/>
  <c r="AC14" i="113"/>
  <c r="AB14" i="113"/>
  <c r="AA14" i="113"/>
  <c r="Z14" i="113"/>
  <c r="Y14" i="113"/>
  <c r="X14" i="113"/>
  <c r="W14" i="113"/>
  <c r="V14" i="113"/>
  <c r="U14" i="113"/>
  <c r="T14" i="113"/>
  <c r="S14" i="113"/>
  <c r="P14" i="113"/>
  <c r="O14" i="113"/>
  <c r="AD13" i="113"/>
  <c r="AC13" i="113"/>
  <c r="AB13" i="113"/>
  <c r="AA13" i="113"/>
  <c r="Z13" i="113"/>
  <c r="Y13" i="113"/>
  <c r="X13" i="113"/>
  <c r="W13" i="113"/>
  <c r="V13" i="113"/>
  <c r="U13" i="113"/>
  <c r="T13" i="113"/>
  <c r="S13" i="113"/>
  <c r="P13" i="113"/>
  <c r="O13" i="113"/>
  <c r="AD12" i="113"/>
  <c r="AC12" i="113"/>
  <c r="AB12" i="113"/>
  <c r="AA12" i="113"/>
  <c r="Z12" i="113"/>
  <c r="Y12" i="113"/>
  <c r="X12" i="113"/>
  <c r="W12" i="113"/>
  <c r="V12" i="113"/>
  <c r="U12" i="113"/>
  <c r="T12" i="113"/>
  <c r="S12" i="113"/>
  <c r="P12" i="113"/>
  <c r="O12" i="113"/>
  <c r="AD11" i="113"/>
  <c r="AC11" i="113"/>
  <c r="AB11" i="113"/>
  <c r="AA11" i="113"/>
  <c r="Z11" i="113"/>
  <c r="Y11" i="113"/>
  <c r="X11" i="113"/>
  <c r="W11" i="113"/>
  <c r="V11" i="113"/>
  <c r="U11" i="113"/>
  <c r="T11" i="113"/>
  <c r="S11" i="113"/>
  <c r="P11" i="113"/>
  <c r="O11" i="113"/>
  <c r="AD10" i="113"/>
  <c r="AC10" i="113"/>
  <c r="AB10" i="113"/>
  <c r="AA10" i="113"/>
  <c r="Z10" i="113"/>
  <c r="Y10" i="113"/>
  <c r="X10" i="113"/>
  <c r="W10" i="113"/>
  <c r="V10" i="113"/>
  <c r="U10" i="113"/>
  <c r="T10" i="113"/>
  <c r="S10" i="113"/>
  <c r="P10" i="113"/>
  <c r="O10" i="113"/>
  <c r="D6" i="113"/>
  <c r="D5" i="113"/>
  <c r="C3" i="113"/>
  <c r="I106" i="112"/>
  <c r="P100" i="112"/>
  <c r="P95" i="112"/>
  <c r="O84" i="112"/>
  <c r="O80" i="112"/>
  <c r="O79" i="112"/>
  <c r="O78" i="112"/>
  <c r="O76" i="112"/>
  <c r="O74" i="112"/>
  <c r="O72" i="112"/>
  <c r="O70" i="112"/>
  <c r="O67" i="112"/>
  <c r="O65" i="112"/>
  <c r="O63" i="112"/>
  <c r="O61" i="112"/>
  <c r="O59" i="112"/>
  <c r="P57" i="112"/>
  <c r="O57" i="112"/>
  <c r="P56" i="112"/>
  <c r="O56" i="112"/>
  <c r="P55" i="112"/>
  <c r="O55" i="112"/>
  <c r="AE21" i="112" s="1"/>
  <c r="P54" i="112"/>
  <c r="O54" i="112"/>
  <c r="P53" i="112"/>
  <c r="O53" i="112"/>
  <c r="P52" i="112"/>
  <c r="O52" i="112"/>
  <c r="P51" i="112"/>
  <c r="O51" i="112"/>
  <c r="AE20" i="112" s="1"/>
  <c r="P50" i="112"/>
  <c r="O50" i="112"/>
  <c r="P49" i="112"/>
  <c r="O49" i="112"/>
  <c r="P48" i="112"/>
  <c r="O48" i="112"/>
  <c r="P47" i="112"/>
  <c r="AF19" i="112" s="1"/>
  <c r="O47" i="112"/>
  <c r="AE19" i="112" s="1"/>
  <c r="P46" i="112"/>
  <c r="O46" i="112"/>
  <c r="P45" i="112"/>
  <c r="O45" i="112"/>
  <c r="P44" i="112"/>
  <c r="O44" i="112"/>
  <c r="P43" i="112"/>
  <c r="O43" i="112"/>
  <c r="AE18" i="112" s="1"/>
  <c r="P42" i="112"/>
  <c r="O42" i="112"/>
  <c r="P41" i="112"/>
  <c r="O41" i="112"/>
  <c r="P40" i="112"/>
  <c r="O40" i="112"/>
  <c r="P39" i="112"/>
  <c r="O39" i="112"/>
  <c r="AE17" i="112" s="1"/>
  <c r="P38" i="112"/>
  <c r="O38" i="112"/>
  <c r="P37" i="112"/>
  <c r="O37" i="112"/>
  <c r="P36" i="112"/>
  <c r="O36" i="112"/>
  <c r="P35" i="112"/>
  <c r="AF16" i="112" s="1"/>
  <c r="O35" i="112"/>
  <c r="AE16" i="112" s="1"/>
  <c r="P34" i="112"/>
  <c r="O34" i="112"/>
  <c r="AC33" i="112"/>
  <c r="AB33" i="112"/>
  <c r="AA33" i="112"/>
  <c r="Y33" i="112"/>
  <c r="X33" i="112"/>
  <c r="W33" i="112"/>
  <c r="U33" i="112"/>
  <c r="T33" i="112"/>
  <c r="S33" i="112"/>
  <c r="P33" i="112"/>
  <c r="O33" i="112"/>
  <c r="AB32" i="112"/>
  <c r="AA32" i="112"/>
  <c r="Y32" i="112"/>
  <c r="X32" i="112"/>
  <c r="W32" i="112"/>
  <c r="U32" i="112"/>
  <c r="T32" i="112"/>
  <c r="S32" i="112"/>
  <c r="P32" i="112"/>
  <c r="O32" i="112"/>
  <c r="AB31" i="112"/>
  <c r="Y31" i="112"/>
  <c r="X31" i="112"/>
  <c r="U31" i="112"/>
  <c r="T31" i="112"/>
  <c r="S31" i="112"/>
  <c r="P31" i="112"/>
  <c r="O31" i="112"/>
  <c r="Y30" i="112"/>
  <c r="U30" i="112"/>
  <c r="P30" i="112"/>
  <c r="O30" i="112"/>
  <c r="AA29" i="112"/>
  <c r="W29" i="112"/>
  <c r="U29" i="112"/>
  <c r="S29" i="112"/>
  <c r="P29" i="112"/>
  <c r="O29" i="112"/>
  <c r="AC28" i="112"/>
  <c r="AB28" i="112"/>
  <c r="AA28" i="112"/>
  <c r="Y28" i="112"/>
  <c r="X28" i="112"/>
  <c r="W28" i="112"/>
  <c r="U28" i="112"/>
  <c r="T28" i="112"/>
  <c r="S28" i="112"/>
  <c r="P28" i="112"/>
  <c r="O28" i="112"/>
  <c r="AB27" i="112"/>
  <c r="Y27" i="112"/>
  <c r="X27" i="112"/>
  <c r="U27" i="112"/>
  <c r="T27" i="112"/>
  <c r="P27" i="112"/>
  <c r="O27" i="112"/>
  <c r="Y26" i="112"/>
  <c r="X26" i="112"/>
  <c r="W26" i="112"/>
  <c r="T26" i="112"/>
  <c r="P26" i="112"/>
  <c r="AF14" i="112" s="1"/>
  <c r="O26" i="112"/>
  <c r="AB25" i="112"/>
  <c r="AA25" i="112"/>
  <c r="Y25" i="112"/>
  <c r="X25" i="112"/>
  <c r="W25" i="112"/>
  <c r="U25" i="112"/>
  <c r="T25" i="112"/>
  <c r="S25" i="112"/>
  <c r="P25" i="112"/>
  <c r="O25" i="112"/>
  <c r="AB24" i="112"/>
  <c r="AA24" i="112"/>
  <c r="Y24" i="112"/>
  <c r="X24" i="112"/>
  <c r="W24" i="112"/>
  <c r="U24" i="112"/>
  <c r="T24" i="112"/>
  <c r="S24" i="112"/>
  <c r="P24" i="112"/>
  <c r="O24" i="112"/>
  <c r="AD23" i="112"/>
  <c r="AB23" i="112"/>
  <c r="AA23" i="112"/>
  <c r="Z23" i="112"/>
  <c r="Y23" i="112"/>
  <c r="X23" i="112"/>
  <c r="W23" i="112"/>
  <c r="V23" i="112"/>
  <c r="U23" i="112"/>
  <c r="T23" i="112"/>
  <c r="S23" i="112"/>
  <c r="P23" i="112"/>
  <c r="O23" i="112"/>
  <c r="AC22" i="112"/>
  <c r="AB22" i="112"/>
  <c r="AA22" i="112"/>
  <c r="Y22" i="112"/>
  <c r="X22" i="112"/>
  <c r="W22" i="112"/>
  <c r="U22" i="112"/>
  <c r="T22" i="112"/>
  <c r="P22" i="112"/>
  <c r="O22" i="112"/>
  <c r="AD21" i="112"/>
  <c r="AC21" i="112"/>
  <c r="AB21" i="112"/>
  <c r="AA21" i="112"/>
  <c r="Z21" i="112"/>
  <c r="Y21" i="112"/>
  <c r="X21" i="112"/>
  <c r="W21" i="112"/>
  <c r="V21" i="112"/>
  <c r="U21" i="112"/>
  <c r="T21" i="112"/>
  <c r="S21" i="112"/>
  <c r="P21" i="112"/>
  <c r="O21" i="112"/>
  <c r="AD20" i="112"/>
  <c r="AC20" i="112"/>
  <c r="AB20" i="112"/>
  <c r="AA20" i="112"/>
  <c r="Z20" i="112"/>
  <c r="Y20" i="112"/>
  <c r="X20" i="112"/>
  <c r="W20" i="112"/>
  <c r="V20" i="112"/>
  <c r="U20" i="112"/>
  <c r="T20" i="112"/>
  <c r="S20" i="112"/>
  <c r="P20" i="112"/>
  <c r="O20" i="112"/>
  <c r="AD19" i="112"/>
  <c r="AC19" i="112"/>
  <c r="AB19" i="112"/>
  <c r="AA19" i="112"/>
  <c r="Z19" i="112"/>
  <c r="Y19" i="112"/>
  <c r="X19" i="112"/>
  <c r="W19" i="112"/>
  <c r="V19" i="112"/>
  <c r="U19" i="112"/>
  <c r="T19" i="112"/>
  <c r="S19" i="112"/>
  <c r="P19" i="112"/>
  <c r="O19" i="112"/>
  <c r="AD18" i="112"/>
  <c r="AC18" i="112"/>
  <c r="AB18" i="112"/>
  <c r="AA18" i="112"/>
  <c r="Z18" i="112"/>
  <c r="Y18" i="112"/>
  <c r="X18" i="112"/>
  <c r="W18" i="112"/>
  <c r="V18" i="112"/>
  <c r="U18" i="112"/>
  <c r="T18" i="112"/>
  <c r="S18" i="112"/>
  <c r="P18" i="112"/>
  <c r="O18" i="112"/>
  <c r="AD17" i="112"/>
  <c r="AC17" i="112"/>
  <c r="AB17" i="112"/>
  <c r="AA17" i="112"/>
  <c r="Z17" i="112"/>
  <c r="Y17" i="112"/>
  <c r="X17" i="112"/>
  <c r="W17" i="112"/>
  <c r="V17" i="112"/>
  <c r="U17" i="112"/>
  <c r="T17" i="112"/>
  <c r="S17" i="112"/>
  <c r="P17" i="112"/>
  <c r="O17" i="112"/>
  <c r="AD16" i="112"/>
  <c r="AC16" i="112"/>
  <c r="AB16" i="112"/>
  <c r="AA16" i="112"/>
  <c r="Z16" i="112"/>
  <c r="Y16" i="112"/>
  <c r="X16" i="112"/>
  <c r="W16" i="112"/>
  <c r="V16" i="112"/>
  <c r="U16" i="112"/>
  <c r="T16" i="112"/>
  <c r="S16" i="112"/>
  <c r="P16" i="112"/>
  <c r="O16" i="112"/>
  <c r="AD15" i="112"/>
  <c r="AC15" i="112"/>
  <c r="AB15" i="112"/>
  <c r="AA15" i="112"/>
  <c r="Z15" i="112"/>
  <c r="Y15" i="112"/>
  <c r="X15" i="112"/>
  <c r="W15" i="112"/>
  <c r="V15" i="112"/>
  <c r="U15" i="112"/>
  <c r="T15" i="112"/>
  <c r="S15" i="112"/>
  <c r="P15" i="112"/>
  <c r="O15" i="112"/>
  <c r="AD14" i="112"/>
  <c r="AC14" i="112"/>
  <c r="AB14" i="112"/>
  <c r="AA14" i="112"/>
  <c r="Z14" i="112"/>
  <c r="Y14" i="112"/>
  <c r="X14" i="112"/>
  <c r="W14" i="112"/>
  <c r="V14" i="112"/>
  <c r="U14" i="112"/>
  <c r="T14" i="112"/>
  <c r="S14" i="112"/>
  <c r="P14" i="112"/>
  <c r="O14" i="112"/>
  <c r="AD13" i="112"/>
  <c r="AC13" i="112"/>
  <c r="AB13" i="112"/>
  <c r="AA13" i="112"/>
  <c r="Z13" i="112"/>
  <c r="Y13" i="112"/>
  <c r="X13" i="112"/>
  <c r="W13" i="112"/>
  <c r="V13" i="112"/>
  <c r="U13" i="112"/>
  <c r="T13" i="112"/>
  <c r="S13" i="112"/>
  <c r="P13" i="112"/>
  <c r="O13" i="112"/>
  <c r="AD12" i="112"/>
  <c r="AC12" i="112"/>
  <c r="AB12" i="112"/>
  <c r="AA12" i="112"/>
  <c r="Z12" i="112"/>
  <c r="Y12" i="112"/>
  <c r="X12" i="112"/>
  <c r="W12" i="112"/>
  <c r="V12" i="112"/>
  <c r="U12" i="112"/>
  <c r="T12" i="112"/>
  <c r="S12" i="112"/>
  <c r="P12" i="112"/>
  <c r="O12" i="112"/>
  <c r="AD11" i="112"/>
  <c r="AC11" i="112"/>
  <c r="AB11" i="112"/>
  <c r="AA11" i="112"/>
  <c r="Z11" i="112"/>
  <c r="Y11" i="112"/>
  <c r="X11" i="112"/>
  <c r="W11" i="112"/>
  <c r="V11" i="112"/>
  <c r="U11" i="112"/>
  <c r="T11" i="112"/>
  <c r="S11" i="112"/>
  <c r="P11" i="112"/>
  <c r="O11" i="112"/>
  <c r="AD10" i="112"/>
  <c r="AC10" i="112"/>
  <c r="AB10" i="112"/>
  <c r="AA10" i="112"/>
  <c r="Z10" i="112"/>
  <c r="Y10" i="112"/>
  <c r="X10" i="112"/>
  <c r="W10" i="112"/>
  <c r="V10" i="112"/>
  <c r="U10" i="112"/>
  <c r="T10" i="112"/>
  <c r="S10" i="112"/>
  <c r="P10" i="112"/>
  <c r="O10" i="112"/>
  <c r="G6" i="112"/>
  <c r="D6" i="112"/>
  <c r="C3" i="112"/>
  <c r="AE30" i="111" l="1"/>
  <c r="AF31" i="111"/>
  <c r="AF28" i="111"/>
  <c r="AE31" i="111"/>
  <c r="AF22" i="111"/>
  <c r="AF41" i="111" s="1"/>
  <c r="T36" i="107"/>
  <c r="T39" i="107"/>
  <c r="AD38" i="108"/>
  <c r="AD35" i="108"/>
  <c r="X38" i="108"/>
  <c r="X35" i="108"/>
  <c r="Z35" i="107"/>
  <c r="Z38" i="107"/>
  <c r="V41" i="108"/>
  <c r="V37" i="108"/>
  <c r="V40" i="108"/>
  <c r="V34" i="108"/>
  <c r="AB36" i="107"/>
  <c r="AB39" i="107"/>
  <c r="V38" i="107"/>
  <c r="V35" i="107"/>
  <c r="X34" i="107"/>
  <c r="X41" i="107"/>
  <c r="X42" i="107" s="1"/>
  <c r="X37" i="107"/>
  <c r="X40" i="107"/>
  <c r="S36" i="108"/>
  <c r="S39" i="108"/>
  <c r="Y41" i="108"/>
  <c r="Y42" i="108" s="1"/>
  <c r="AA38" i="108"/>
  <c r="AF12" i="112"/>
  <c r="Z39" i="112"/>
  <c r="AF12" i="113"/>
  <c r="AF13" i="113"/>
  <c r="AF24" i="111"/>
  <c r="AF26" i="111"/>
  <c r="W38" i="107"/>
  <c r="W35" i="107"/>
  <c r="Y37" i="108"/>
  <c r="Y39" i="108"/>
  <c r="Y36" i="108"/>
  <c r="T36" i="108"/>
  <c r="T39" i="108"/>
  <c r="AD34" i="108"/>
  <c r="AD41" i="108"/>
  <c r="AD42" i="108" s="1"/>
  <c r="AD37" i="108"/>
  <c r="AD40" i="108"/>
  <c r="V39" i="107"/>
  <c r="V36" i="107"/>
  <c r="S38" i="108"/>
  <c r="AA35" i="107"/>
  <c r="V39" i="108"/>
  <c r="V36" i="108"/>
  <c r="AA36" i="107"/>
  <c r="AA39" i="107"/>
  <c r="T40" i="107"/>
  <c r="T41" i="107"/>
  <c r="T42" i="107" s="1"/>
  <c r="T34" i="107"/>
  <c r="T37" i="107"/>
  <c r="W40" i="107"/>
  <c r="X40" i="108"/>
  <c r="AC34" i="107"/>
  <c r="AC37" i="107"/>
  <c r="AE12" i="112"/>
  <c r="Y38" i="113"/>
  <c r="X41" i="108"/>
  <c r="X42" i="108" s="1"/>
  <c r="Z39" i="108"/>
  <c r="Z36" i="108"/>
  <c r="AB36" i="108"/>
  <c r="AB39" i="108"/>
  <c r="U35" i="108"/>
  <c r="U39" i="108"/>
  <c r="U36" i="108"/>
  <c r="U40" i="107"/>
  <c r="U42" i="107" s="1"/>
  <c r="V34" i="107"/>
  <c r="V37" i="107"/>
  <c r="V40" i="107"/>
  <c r="V42" i="107" s="1"/>
  <c r="W34" i="108"/>
  <c r="W41" i="108"/>
  <c r="W37" i="108"/>
  <c r="AA38" i="107"/>
  <c r="Z40" i="107"/>
  <c r="Z37" i="107"/>
  <c r="Z34" i="107"/>
  <c r="Z41" i="107"/>
  <c r="Z42" i="107" s="1"/>
  <c r="T40" i="108"/>
  <c r="T34" i="108"/>
  <c r="T41" i="108"/>
  <c r="T42" i="108" s="1"/>
  <c r="T37" i="108"/>
  <c r="Y34" i="107"/>
  <c r="Y37" i="107"/>
  <c r="Y40" i="107"/>
  <c r="Y42" i="107" s="1"/>
  <c r="Z38" i="112"/>
  <c r="AE15" i="112"/>
  <c r="AF17" i="112"/>
  <c r="AF18" i="112"/>
  <c r="AF20" i="112"/>
  <c r="AF39" i="112" s="1"/>
  <c r="W39" i="113"/>
  <c r="W40" i="108"/>
  <c r="W36" i="108"/>
  <c r="Z40" i="108"/>
  <c r="Z37" i="108"/>
  <c r="Z34" i="108"/>
  <c r="Z41" i="108"/>
  <c r="Z42" i="108" s="1"/>
  <c r="Z35" i="108"/>
  <c r="Z38" i="108"/>
  <c r="U41" i="108"/>
  <c r="U42" i="108" s="1"/>
  <c r="U40" i="108"/>
  <c r="U37" i="108"/>
  <c r="U34" i="108"/>
  <c r="AB38" i="107"/>
  <c r="AB35" i="107"/>
  <c r="AC35" i="107"/>
  <c r="AC39" i="107"/>
  <c r="AC36" i="107"/>
  <c r="AD40" i="107"/>
  <c r="AD42" i="107" s="1"/>
  <c r="AD34" i="107"/>
  <c r="AD37" i="107"/>
  <c r="W34" i="107"/>
  <c r="W41" i="107"/>
  <c r="W37" i="107"/>
  <c r="AA36" i="108"/>
  <c r="AA39" i="108"/>
  <c r="S40" i="108"/>
  <c r="S34" i="108"/>
  <c r="S37" i="108"/>
  <c r="S41" i="108"/>
  <c r="S42" i="108" s="1"/>
  <c r="S36" i="107"/>
  <c r="S39" i="107"/>
  <c r="Z39" i="107"/>
  <c r="Z36" i="107"/>
  <c r="Y39" i="107"/>
  <c r="Y36" i="107"/>
  <c r="Y35" i="108"/>
  <c r="Y38" i="108"/>
  <c r="AC36" i="108"/>
  <c r="AC39" i="108"/>
  <c r="T38" i="107"/>
  <c r="T35" i="107"/>
  <c r="U35" i="107"/>
  <c r="U39" i="107"/>
  <c r="U36" i="107"/>
  <c r="AF11" i="113"/>
  <c r="AF23" i="111"/>
  <c r="W38" i="108"/>
  <c r="W35" i="108"/>
  <c r="X38" i="107"/>
  <c r="X35" i="107"/>
  <c r="AA40" i="108"/>
  <c r="AA34" i="108"/>
  <c r="AA41" i="108"/>
  <c r="AA42" i="108" s="1"/>
  <c r="AA37" i="108"/>
  <c r="T38" i="108"/>
  <c r="T35" i="108"/>
  <c r="AD38" i="107"/>
  <c r="AD35" i="107"/>
  <c r="W36" i="107"/>
  <c r="Y35" i="107"/>
  <c r="Y38" i="107"/>
  <c r="AA40" i="107"/>
  <c r="AA41" i="107"/>
  <c r="AA42" i="107" s="1"/>
  <c r="AA34" i="107"/>
  <c r="AA37" i="107"/>
  <c r="AB40" i="108"/>
  <c r="AB37" i="108"/>
  <c r="AB41" i="108"/>
  <c r="AB42" i="108" s="1"/>
  <c r="AB34" i="108"/>
  <c r="X37" i="108"/>
  <c r="AC35" i="108"/>
  <c r="AC40" i="107"/>
  <c r="AC41" i="107"/>
  <c r="AC42" i="107" s="1"/>
  <c r="AF11" i="112"/>
  <c r="W39" i="112"/>
  <c r="AF21" i="112"/>
  <c r="X39" i="108"/>
  <c r="X36" i="108"/>
  <c r="AB38" i="108"/>
  <c r="AB35" i="108"/>
  <c r="U38" i="108"/>
  <c r="U38" i="107"/>
  <c r="AC40" i="108"/>
  <c r="AC42" i="108" s="1"/>
  <c r="AC37" i="108"/>
  <c r="AC41" i="108"/>
  <c r="AC34" i="108"/>
  <c r="U37" i="107"/>
  <c r="U34" i="107"/>
  <c r="S40" i="107"/>
  <c r="S34" i="107"/>
  <c r="S37" i="107"/>
  <c r="S41" i="107"/>
  <c r="S42" i="107" s="1"/>
  <c r="AB40" i="107"/>
  <c r="AB41" i="107"/>
  <c r="AB42" i="107" s="1"/>
  <c r="AB37" i="107"/>
  <c r="AB34" i="107"/>
  <c r="AD39" i="108"/>
  <c r="AD36" i="108"/>
  <c r="V38" i="108"/>
  <c r="V35" i="108"/>
  <c r="AD39" i="107"/>
  <c r="AD36" i="107"/>
  <c r="S35" i="107"/>
  <c r="X39" i="107"/>
  <c r="X36" i="107"/>
  <c r="AE23" i="111"/>
  <c r="AE22" i="111"/>
  <c r="S38" i="112"/>
  <c r="AA38" i="112"/>
  <c r="S39" i="112"/>
  <c r="AA39" i="112"/>
  <c r="AB38" i="112"/>
  <c r="U38" i="112"/>
  <c r="AC38" i="112"/>
  <c r="U39" i="112"/>
  <c r="AC39" i="112"/>
  <c r="V39" i="113"/>
  <c r="AD39" i="113"/>
  <c r="T39" i="112"/>
  <c r="AF10" i="112"/>
  <c r="V38" i="112"/>
  <c r="AD38" i="112"/>
  <c r="V39" i="112"/>
  <c r="AD39" i="112"/>
  <c r="AE13" i="112"/>
  <c r="AF13" i="112"/>
  <c r="AE14" i="112"/>
  <c r="AE35" i="112" s="1"/>
  <c r="AF15" i="112"/>
  <c r="U38" i="113"/>
  <c r="AC38" i="113"/>
  <c r="AB36" i="112"/>
  <c r="W38" i="112"/>
  <c r="T40" i="112"/>
  <c r="AB40" i="112"/>
  <c r="X38" i="112"/>
  <c r="X39" i="112"/>
  <c r="AF16" i="113"/>
  <c r="AF17" i="113"/>
  <c r="AF18" i="113"/>
  <c r="AF20" i="113"/>
  <c r="AF21" i="113"/>
  <c r="T35" i="112"/>
  <c r="AE11" i="112"/>
  <c r="Y38" i="112"/>
  <c r="Y39" i="112"/>
  <c r="AE39" i="112"/>
  <c r="AE27" i="112"/>
  <c r="AF39" i="113"/>
  <c r="AF10" i="113"/>
  <c r="V38" i="113"/>
  <c r="Z38" i="113"/>
  <c r="AD38" i="113"/>
  <c r="T39" i="113"/>
  <c r="X36" i="113"/>
  <c r="AB39" i="113"/>
  <c r="AE14" i="113"/>
  <c r="AE16" i="113"/>
  <c r="AE17" i="113"/>
  <c r="AE35" i="113" s="1"/>
  <c r="AE18" i="113"/>
  <c r="AE19" i="113"/>
  <c r="AE20" i="113"/>
  <c r="AE21" i="113"/>
  <c r="S38" i="113"/>
  <c r="W38" i="113"/>
  <c r="AA38" i="113"/>
  <c r="U39" i="113"/>
  <c r="Y39" i="113"/>
  <c r="AC39" i="113"/>
  <c r="T40" i="113"/>
  <c r="AB37" i="113"/>
  <c r="T38" i="113"/>
  <c r="X38" i="113"/>
  <c r="AB35" i="113"/>
  <c r="AE11" i="113"/>
  <c r="AE12" i="113"/>
  <c r="AE13" i="113"/>
  <c r="V33" i="113"/>
  <c r="V41" i="113" s="1"/>
  <c r="O105" i="113"/>
  <c r="AE33" i="113" s="1"/>
  <c r="Z32" i="113"/>
  <c r="P104" i="113"/>
  <c r="P101" i="113"/>
  <c r="P100" i="113"/>
  <c r="O84" i="113"/>
  <c r="AE28" i="113" s="1"/>
  <c r="O92" i="113"/>
  <c r="AE30" i="113" s="1"/>
  <c r="O100" i="113"/>
  <c r="AE32" i="113" s="1"/>
  <c r="O94" i="113"/>
  <c r="O80" i="113"/>
  <c r="K106" i="113"/>
  <c r="AF24" i="113"/>
  <c r="AF23" i="113"/>
  <c r="AF31" i="113"/>
  <c r="AF30" i="113"/>
  <c r="AF28" i="113"/>
  <c r="AF25" i="113"/>
  <c r="X41" i="113"/>
  <c r="V24" i="113"/>
  <c r="V28" i="113"/>
  <c r="T30" i="113"/>
  <c r="T41" i="113" s="1"/>
  <c r="P74" i="113"/>
  <c r="AF26" i="113" s="1"/>
  <c r="P78" i="113"/>
  <c r="AF27" i="113" s="1"/>
  <c r="P86" i="113"/>
  <c r="AF29" i="113" s="1"/>
  <c r="P98" i="113"/>
  <c r="O65" i="113"/>
  <c r="AE23" i="113" s="1"/>
  <c r="O69" i="113"/>
  <c r="O73" i="113"/>
  <c r="O77" i="113"/>
  <c r="O81" i="113"/>
  <c r="AE29" i="113"/>
  <c r="O67" i="113"/>
  <c r="O71" i="113"/>
  <c r="O75" i="113"/>
  <c r="O79" i="113"/>
  <c r="P59" i="113"/>
  <c r="AF22" i="113" s="1"/>
  <c r="Z41" i="113"/>
  <c r="AD41" i="113"/>
  <c r="W22" i="113"/>
  <c r="W41" i="113" s="1"/>
  <c r="AA22" i="113"/>
  <c r="AA41" i="113" s="1"/>
  <c r="O58" i="113"/>
  <c r="AE22" i="113" s="1"/>
  <c r="G106" i="113"/>
  <c r="P97" i="112"/>
  <c r="AF31" i="112" s="1"/>
  <c r="P93" i="112"/>
  <c r="AC29" i="112"/>
  <c r="P85" i="112"/>
  <c r="P77" i="112"/>
  <c r="P73" i="112"/>
  <c r="P69" i="112"/>
  <c r="P68" i="112"/>
  <c r="AF24" i="112" s="1"/>
  <c r="M106" i="112"/>
  <c r="AF29" i="112"/>
  <c r="O88" i="112"/>
  <c r="P83" i="112"/>
  <c r="O82" i="112"/>
  <c r="T30" i="112"/>
  <c r="W27" i="112"/>
  <c r="P81" i="112"/>
  <c r="P102" i="112"/>
  <c r="AF33" i="112" s="1"/>
  <c r="O104" i="112"/>
  <c r="P98" i="112"/>
  <c r="AF32" i="112" s="1"/>
  <c r="O97" i="112"/>
  <c r="V33" i="112"/>
  <c r="O99" i="112"/>
  <c r="O101" i="112"/>
  <c r="O103" i="112"/>
  <c r="O105" i="112"/>
  <c r="V32" i="112"/>
  <c r="W31" i="112"/>
  <c r="O92" i="112"/>
  <c r="O94" i="112"/>
  <c r="O96" i="112"/>
  <c r="V31" i="112"/>
  <c r="V30" i="112"/>
  <c r="P90" i="112"/>
  <c r="K106" i="112"/>
  <c r="G106" i="112"/>
  <c r="S30" i="112"/>
  <c r="O90" i="112"/>
  <c r="D106" i="112"/>
  <c r="J106" i="112"/>
  <c r="AB30" i="112"/>
  <c r="AB41" i="112" s="1"/>
  <c r="AB42" i="112" s="1"/>
  <c r="O86" i="112"/>
  <c r="V29" i="112"/>
  <c r="P78" i="112"/>
  <c r="P84" i="112"/>
  <c r="O85" i="112"/>
  <c r="H106" i="112"/>
  <c r="T29" i="112"/>
  <c r="C106" i="112"/>
  <c r="O77" i="112"/>
  <c r="N106" i="112"/>
  <c r="AD26" i="112"/>
  <c r="U26" i="112"/>
  <c r="U41" i="112" s="1"/>
  <c r="P70" i="112"/>
  <c r="P74" i="112"/>
  <c r="O69" i="112"/>
  <c r="O71" i="112"/>
  <c r="O73" i="112"/>
  <c r="O75" i="112"/>
  <c r="F106" i="112"/>
  <c r="AF23" i="112"/>
  <c r="P59" i="112"/>
  <c r="Z22" i="112"/>
  <c r="Z41" i="112" s="1"/>
  <c r="AD22" i="112"/>
  <c r="O60" i="112"/>
  <c r="O62" i="112"/>
  <c r="O64" i="112"/>
  <c r="O66" i="112"/>
  <c r="O68" i="112"/>
  <c r="X41" i="112"/>
  <c r="V24" i="112"/>
  <c r="P58" i="112"/>
  <c r="S22" i="112"/>
  <c r="O58" i="112"/>
  <c r="S41" i="113"/>
  <c r="U41" i="113"/>
  <c r="Y41" i="113"/>
  <c r="AC41" i="113"/>
  <c r="AA41" i="112"/>
  <c r="Y41" i="112"/>
  <c r="AC41" i="112"/>
  <c r="X34" i="113"/>
  <c r="T35" i="113"/>
  <c r="AF36" i="113"/>
  <c r="AF37" i="113"/>
  <c r="AB38" i="113"/>
  <c r="X39" i="113"/>
  <c r="X40" i="113"/>
  <c r="AB41" i="113"/>
  <c r="U34" i="113"/>
  <c r="Y34" i="113"/>
  <c r="AC34" i="113"/>
  <c r="U35" i="113"/>
  <c r="Y35" i="113"/>
  <c r="AC35" i="113"/>
  <c r="U36" i="113"/>
  <c r="Y36" i="113"/>
  <c r="AC36" i="113"/>
  <c r="U37" i="113"/>
  <c r="Y37" i="113"/>
  <c r="AC37" i="113"/>
  <c r="U40" i="113"/>
  <c r="Y40" i="113"/>
  <c r="AC40" i="113"/>
  <c r="AB34" i="113"/>
  <c r="X35" i="113"/>
  <c r="T36" i="113"/>
  <c r="AB36" i="113"/>
  <c r="X37" i="113"/>
  <c r="AB40" i="113"/>
  <c r="V34" i="113"/>
  <c r="Z34" i="113"/>
  <c r="AD34" i="113"/>
  <c r="V35" i="113"/>
  <c r="Z35" i="113"/>
  <c r="AD35" i="113"/>
  <c r="V36" i="113"/>
  <c r="Z36" i="113"/>
  <c r="AD36" i="113"/>
  <c r="V37" i="113"/>
  <c r="Z37" i="113"/>
  <c r="AD37" i="113"/>
  <c r="V40" i="113"/>
  <c r="Z40" i="113"/>
  <c r="AD40" i="113"/>
  <c r="AD42" i="113" s="1"/>
  <c r="T34" i="113"/>
  <c r="T37" i="113"/>
  <c r="AE10" i="113"/>
  <c r="S34" i="113"/>
  <c r="W34" i="113"/>
  <c r="AA34" i="113"/>
  <c r="S35" i="113"/>
  <c r="W35" i="113"/>
  <c r="AA35" i="113"/>
  <c r="S36" i="113"/>
  <c r="W36" i="113"/>
  <c r="AA36" i="113"/>
  <c r="S37" i="113"/>
  <c r="W37" i="113"/>
  <c r="AA37" i="113"/>
  <c r="S40" i="113"/>
  <c r="S42" i="113" s="1"/>
  <c r="W40" i="113"/>
  <c r="AA40" i="113"/>
  <c r="AB34" i="112"/>
  <c r="X35" i="112"/>
  <c r="T36" i="112"/>
  <c r="AB37" i="112"/>
  <c r="T38" i="112"/>
  <c r="AB39" i="112"/>
  <c r="X40" i="112"/>
  <c r="U34" i="112"/>
  <c r="Y34" i="112"/>
  <c r="AC34" i="112"/>
  <c r="U35" i="112"/>
  <c r="Y35" i="112"/>
  <c r="AC35" i="112"/>
  <c r="U36" i="112"/>
  <c r="Y36" i="112"/>
  <c r="AC36" i="112"/>
  <c r="U37" i="112"/>
  <c r="Y37" i="112"/>
  <c r="AC37" i="112"/>
  <c r="U40" i="112"/>
  <c r="Y40" i="112"/>
  <c r="AC40" i="112"/>
  <c r="T34" i="112"/>
  <c r="AB35" i="112"/>
  <c r="X36" i="112"/>
  <c r="T37" i="112"/>
  <c r="V34" i="112"/>
  <c r="Z34" i="112"/>
  <c r="AD34" i="112"/>
  <c r="V35" i="112"/>
  <c r="Z35" i="112"/>
  <c r="AD35" i="112"/>
  <c r="V36" i="112"/>
  <c r="Z36" i="112"/>
  <c r="AD36" i="112"/>
  <c r="V37" i="112"/>
  <c r="Z37" i="112"/>
  <c r="AD37" i="112"/>
  <c r="V40" i="112"/>
  <c r="Z40" i="112"/>
  <c r="AD40" i="112"/>
  <c r="X34" i="112"/>
  <c r="X37" i="112"/>
  <c r="AE10" i="112"/>
  <c r="S34" i="112"/>
  <c r="W34" i="112"/>
  <c r="AA34" i="112"/>
  <c r="S35" i="112"/>
  <c r="W35" i="112"/>
  <c r="AA35" i="112"/>
  <c r="S36" i="112"/>
  <c r="W36" i="112"/>
  <c r="AA36" i="112"/>
  <c r="AE36" i="112"/>
  <c r="S37" i="112"/>
  <c r="W37" i="112"/>
  <c r="AA37" i="112"/>
  <c r="S40" i="112"/>
  <c r="W40" i="112"/>
  <c r="AA40" i="112"/>
  <c r="F58" i="94"/>
  <c r="AF38" i="113" l="1"/>
  <c r="AF36" i="112"/>
  <c r="AF35" i="113"/>
  <c r="AE39" i="113"/>
  <c r="V42" i="108"/>
  <c r="AF38" i="112"/>
  <c r="AF40" i="112"/>
  <c r="W42" i="107"/>
  <c r="T42" i="113"/>
  <c r="T41" i="112"/>
  <c r="T42" i="112" s="1"/>
  <c r="W41" i="112"/>
  <c r="AE26" i="113"/>
  <c r="W42" i="108"/>
  <c r="AF34" i="112"/>
  <c r="AE36" i="113"/>
  <c r="AE22" i="112"/>
  <c r="AF30" i="112"/>
  <c r="AF40" i="113"/>
  <c r="AE32" i="112"/>
  <c r="AE25" i="113"/>
  <c r="AF35" i="112"/>
  <c r="AF34" i="113"/>
  <c r="AF25" i="112"/>
  <c r="AF41" i="112" s="1"/>
  <c r="AF42" i="112" s="1"/>
  <c r="AE38" i="112"/>
  <c r="AF37" i="112"/>
  <c r="S41" i="112"/>
  <c r="S42" i="112" s="1"/>
  <c r="AD41" i="112"/>
  <c r="AD42" i="112" s="1"/>
  <c r="AE33" i="112"/>
  <c r="W42" i="112"/>
  <c r="AF22" i="112"/>
  <c r="AE26" i="112"/>
  <c r="AF26" i="112"/>
  <c r="AE24" i="113"/>
  <c r="AE27" i="113"/>
  <c r="P106" i="113"/>
  <c r="J107" i="113" s="1"/>
  <c r="AE38" i="113"/>
  <c r="AF33" i="113"/>
  <c r="AF41" i="113" s="1"/>
  <c r="AF42" i="113" s="1"/>
  <c r="AF32" i="113"/>
  <c r="O106" i="113"/>
  <c r="C108" i="113" s="1"/>
  <c r="V42" i="113"/>
  <c r="AE31" i="113"/>
  <c r="Z42" i="113"/>
  <c r="X42" i="113"/>
  <c r="W42" i="113"/>
  <c r="AF28" i="112"/>
  <c r="AF27" i="112"/>
  <c r="AE28" i="112"/>
  <c r="AE29" i="112"/>
  <c r="AE30" i="112"/>
  <c r="P106" i="112"/>
  <c r="J107" i="112" s="1"/>
  <c r="AE31" i="112"/>
  <c r="V41" i="112"/>
  <c r="V42" i="112" s="1"/>
  <c r="O106" i="112"/>
  <c r="G108" i="112" s="1"/>
  <c r="U42" i="112"/>
  <c r="X42" i="112"/>
  <c r="AE25" i="112"/>
  <c r="AE23" i="112"/>
  <c r="Z42" i="112"/>
  <c r="AE24" i="112"/>
  <c r="Y42" i="112"/>
  <c r="AA42" i="113"/>
  <c r="AC42" i="113"/>
  <c r="Y42" i="113"/>
  <c r="N107" i="113"/>
  <c r="U42" i="113"/>
  <c r="AC42" i="112"/>
  <c r="AA42" i="112"/>
  <c r="AB42" i="113"/>
  <c r="AE40" i="113"/>
  <c r="AE37" i="113"/>
  <c r="AE34" i="113"/>
  <c r="AE40" i="112"/>
  <c r="AE37" i="112"/>
  <c r="AE34" i="112"/>
  <c r="C58" i="110"/>
  <c r="D58" i="110"/>
  <c r="E58" i="110"/>
  <c r="F58" i="110"/>
  <c r="G58" i="110"/>
  <c r="H58" i="110"/>
  <c r="I58" i="110"/>
  <c r="J58" i="110"/>
  <c r="K58" i="110"/>
  <c r="L58" i="110"/>
  <c r="M58" i="110"/>
  <c r="N58" i="110"/>
  <c r="J108" i="113" l="1"/>
  <c r="L108" i="113"/>
  <c r="AE41" i="113"/>
  <c r="I108" i="113"/>
  <c r="H108" i="113"/>
  <c r="N108" i="113"/>
  <c r="F107" i="113"/>
  <c r="E107" i="113"/>
  <c r="G107" i="113"/>
  <c r="K107" i="113"/>
  <c r="C107" i="113"/>
  <c r="M107" i="113"/>
  <c r="L107" i="113"/>
  <c r="AE42" i="113"/>
  <c r="K108" i="113"/>
  <c r="D107" i="113"/>
  <c r="H107" i="113"/>
  <c r="I107" i="113"/>
  <c r="E108" i="113"/>
  <c r="F108" i="113"/>
  <c r="D108" i="113"/>
  <c r="G108" i="113"/>
  <c r="L107" i="112"/>
  <c r="C107" i="112"/>
  <c r="N107" i="112"/>
  <c r="E107" i="112"/>
  <c r="H107" i="112"/>
  <c r="M107" i="112"/>
  <c r="G107" i="112"/>
  <c r="D107" i="112"/>
  <c r="K107" i="112"/>
  <c r="F107" i="112"/>
  <c r="I107" i="112"/>
  <c r="L108" i="112"/>
  <c r="E108" i="112"/>
  <c r="F108" i="112"/>
  <c r="I108" i="112"/>
  <c r="K108" i="112"/>
  <c r="J108" i="112"/>
  <c r="H108" i="112"/>
  <c r="N108" i="112"/>
  <c r="D108" i="112"/>
  <c r="C108" i="112"/>
  <c r="AE41" i="112"/>
  <c r="AE42" i="112" s="1"/>
  <c r="L58" i="97"/>
  <c r="C3" i="94" l="1"/>
  <c r="K6" i="98" l="1"/>
  <c r="K6" i="99" s="1"/>
  <c r="K6" i="100" s="1"/>
  <c r="K5" i="98"/>
  <c r="K5" i="99" s="1"/>
  <c r="K5" i="100" s="1"/>
  <c r="G5" i="98"/>
  <c r="G5" i="99" s="1"/>
  <c r="G5" i="100" s="1"/>
  <c r="K6" i="97"/>
  <c r="K5" i="97"/>
  <c r="G5" i="97"/>
  <c r="K6" i="96"/>
  <c r="K5" i="96"/>
  <c r="G5" i="96"/>
  <c r="K6" i="95"/>
  <c r="K5" i="95"/>
  <c r="G5" i="95"/>
  <c r="K6" i="94"/>
  <c r="K5" i="94"/>
  <c r="G5" i="94"/>
  <c r="G6" i="108"/>
  <c r="G6" i="110"/>
  <c r="G6" i="100"/>
  <c r="G6" i="98"/>
  <c r="G6" i="96"/>
  <c r="G6" i="107"/>
  <c r="G6" i="105"/>
  <c r="G6" i="101"/>
  <c r="G6" i="99"/>
  <c r="G6" i="97"/>
  <c r="G6" i="95"/>
  <c r="D6" i="108"/>
  <c r="D6" i="110"/>
  <c r="D6" i="109"/>
  <c r="D6" i="100"/>
  <c r="D6" i="98"/>
  <c r="D6" i="96"/>
  <c r="D6" i="107"/>
  <c r="D6" i="105"/>
  <c r="D6" i="101"/>
  <c r="D6" i="99"/>
  <c r="D6" i="97"/>
  <c r="D6" i="95"/>
  <c r="D5" i="110"/>
  <c r="D5" i="109"/>
  <c r="D5" i="100"/>
  <c r="D5" i="98"/>
  <c r="D5" i="96"/>
  <c r="D5" i="94"/>
  <c r="G6" i="109" l="1"/>
  <c r="G6" i="113"/>
  <c r="G5" i="101"/>
  <c r="G5" i="112"/>
  <c r="K5" i="101"/>
  <c r="K5" i="112"/>
  <c r="K6" i="101"/>
  <c r="K6" i="112"/>
  <c r="K6" i="107"/>
  <c r="K6" i="108"/>
  <c r="K6" i="111" s="1"/>
  <c r="K5" i="108"/>
  <c r="K5" i="111" s="1"/>
  <c r="K5" i="107"/>
  <c r="G5" i="107"/>
  <c r="G5" i="108"/>
  <c r="G5" i="111" s="1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5"/>
  <c r="C3" i="101"/>
  <c r="C3" i="100"/>
  <c r="C3" i="99"/>
  <c r="C3" i="98"/>
  <c r="C3" i="97"/>
  <c r="C3" i="96"/>
  <c r="C3" i="9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Z19" i="105"/>
  <c r="Z27" i="105" s="1"/>
  <c r="Y19" i="105"/>
  <c r="X19" i="105"/>
  <c r="X27" i="105" s="1"/>
  <c r="W19" i="105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X12" i="105"/>
  <c r="AB11" i="105"/>
  <c r="X11" i="105"/>
  <c r="T11" i="105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V19" i="10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C19" i="99"/>
  <c r="AB19" i="99"/>
  <c r="AA19" i="99"/>
  <c r="Z19" i="99"/>
  <c r="Y19" i="99"/>
  <c r="X19" i="99"/>
  <c r="W19" i="99"/>
  <c r="V19" i="99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Y19" i="97"/>
  <c r="X19" i="97"/>
  <c r="W19" i="97"/>
  <c r="V19" i="97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V27" i="97" l="1"/>
  <c r="W27" i="99"/>
  <c r="W39" i="101"/>
  <c r="Y39" i="109"/>
  <c r="V27" i="105"/>
  <c r="AC39" i="109"/>
  <c r="K6" i="109"/>
  <c r="K6" i="105" s="1"/>
  <c r="K6" i="110" s="1"/>
  <c r="K6" i="113"/>
  <c r="U39" i="109"/>
  <c r="K5" i="109"/>
  <c r="K5" i="105" s="1"/>
  <c r="K5" i="110" s="1"/>
  <c r="K5" i="113"/>
  <c r="X27" i="97"/>
  <c r="V27" i="99"/>
  <c r="AD27" i="99"/>
  <c r="V39" i="101"/>
  <c r="G5" i="109"/>
  <c r="G5" i="105" s="1"/>
  <c r="G5" i="110" s="1"/>
  <c r="G5" i="113"/>
  <c r="Z27" i="97"/>
  <c r="AD38" i="101"/>
  <c r="W27" i="105"/>
  <c r="AA27" i="105"/>
  <c r="AA27" i="99"/>
  <c r="X26" i="98"/>
  <c r="AD27" i="105"/>
  <c r="AA26" i="95"/>
  <c r="AA39" i="101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27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27" i="105" s="1"/>
  <c r="U22" i="109"/>
  <c r="W20" i="96"/>
  <c r="W24" i="96" s="1"/>
  <c r="V14" i="101"/>
  <c r="V38" i="101" s="1"/>
  <c r="Y13" i="95"/>
  <c r="V14" i="97"/>
  <c r="S17" i="101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27" i="110"/>
  <c r="AA27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X20" i="99"/>
  <c r="X27" i="99" s="1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P27" i="110"/>
  <c r="S14" i="110"/>
  <c r="V12" i="109"/>
  <c r="AD12" i="109"/>
  <c r="P14" i="110"/>
  <c r="U11" i="110"/>
  <c r="Y11" i="110"/>
  <c r="AA11" i="110"/>
  <c r="AC11" i="110"/>
  <c r="X16" i="97"/>
  <c r="X26" i="97" s="1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27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7" i="110"/>
  <c r="V21" i="110"/>
  <c r="X21" i="110"/>
  <c r="Z21" i="110"/>
  <c r="AB21" i="110"/>
  <c r="AD21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24" i="110"/>
  <c r="W24" i="110"/>
  <c r="AA24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T10" i="110"/>
  <c r="V10" i="110"/>
  <c r="Z10" i="110"/>
  <c r="AB10" i="110"/>
  <c r="AD10" i="110"/>
  <c r="T18" i="110"/>
  <c r="T19" i="110"/>
  <c r="T20" i="110"/>
  <c r="T21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O43" i="110"/>
  <c r="O45" i="110"/>
  <c r="O47" i="110"/>
  <c r="O49" i="110"/>
  <c r="O51" i="110"/>
  <c r="O53" i="110"/>
  <c r="O55" i="110"/>
  <c r="O57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27" i="105" s="1"/>
  <c r="U20" i="95"/>
  <c r="AB20" i="105"/>
  <c r="AB27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27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27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I58" i="105"/>
  <c r="K58" i="105"/>
  <c r="M58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H58" i="105"/>
  <c r="J58" i="105"/>
  <c r="L58" i="105"/>
  <c r="N58" i="105"/>
  <c r="P17" i="105"/>
  <c r="P18" i="105"/>
  <c r="P19" i="105"/>
  <c r="P20" i="105"/>
  <c r="P31" i="105"/>
  <c r="P33" i="105"/>
  <c r="D58" i="105"/>
  <c r="T10" i="105"/>
  <c r="F58" i="105"/>
  <c r="V10" i="105"/>
  <c r="C58" i="105"/>
  <c r="P10" i="105"/>
  <c r="S10" i="105"/>
  <c r="O10" i="105"/>
  <c r="E58" i="105"/>
  <c r="U10" i="105"/>
  <c r="G58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24" i="105"/>
  <c r="Y24" i="105"/>
  <c r="AA24" i="105"/>
  <c r="AC24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X10" i="105"/>
  <c r="Z10" i="105"/>
  <c r="AB10" i="105"/>
  <c r="AD10" i="105"/>
  <c r="V24" i="105"/>
  <c r="X24" i="105"/>
  <c r="Z24" i="105"/>
  <c r="AD24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69" i="101"/>
  <c r="P91" i="101"/>
  <c r="U15" i="94"/>
  <c r="W17" i="96"/>
  <c r="Z19" i="98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AD12" i="101"/>
  <c r="U12" i="101"/>
  <c r="W12" i="101"/>
  <c r="Y12" i="101"/>
  <c r="AA12" i="101"/>
  <c r="AC12" i="101"/>
  <c r="V11" i="101"/>
  <c r="AC36" i="101"/>
  <c r="W18" i="9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T11" i="101"/>
  <c r="X11" i="101"/>
  <c r="Z11" i="101"/>
  <c r="AB11" i="101"/>
  <c r="AD11" i="101"/>
  <c r="Y39" i="101"/>
  <c r="Y36" i="101"/>
  <c r="Z13" i="101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V39" i="109" l="1"/>
  <c r="Z26" i="95"/>
  <c r="S26" i="105"/>
  <c r="X36" i="101"/>
  <c r="S26" i="110"/>
  <c r="AD26" i="97"/>
  <c r="Y26" i="105"/>
  <c r="AF32" i="101"/>
  <c r="AF33" i="101"/>
  <c r="S23" i="110"/>
  <c r="AF25" i="101"/>
  <c r="AF28" i="101"/>
  <c r="U38" i="109"/>
  <c r="AB26" i="98"/>
  <c r="U26" i="110"/>
  <c r="O58" i="110"/>
  <c r="J60" i="110" s="1"/>
  <c r="W26" i="110"/>
  <c r="P58" i="110"/>
  <c r="N59" i="110" s="1"/>
  <c r="T24" i="105"/>
  <c r="AB23" i="96"/>
  <c r="AC26" i="95"/>
  <c r="T23" i="96"/>
  <c r="W27" i="96"/>
  <c r="T23" i="98"/>
  <c r="Z24" i="98"/>
  <c r="V35" i="101"/>
  <c r="U24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AA21" i="111" s="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U20" i="111" s="1"/>
  <c r="C50" i="111"/>
  <c r="S20" i="111" s="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U18" i="111" s="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AB21" i="111" s="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AB20" i="111" s="1"/>
  <c r="H50" i="111"/>
  <c r="D50" i="111"/>
  <c r="T20" i="111" s="1"/>
  <c r="L49" i="111"/>
  <c r="H49" i="111"/>
  <c r="D49" i="111"/>
  <c r="L48" i="111"/>
  <c r="H48" i="111"/>
  <c r="D48" i="111"/>
  <c r="L47" i="111"/>
  <c r="H47" i="111"/>
  <c r="D47" i="111"/>
  <c r="L46" i="111"/>
  <c r="AB19" i="111" s="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AB18" i="111" s="1"/>
  <c r="H42" i="111"/>
  <c r="D42" i="111"/>
  <c r="T18" i="111" s="1"/>
  <c r="L41" i="111"/>
  <c r="H41" i="111"/>
  <c r="D41" i="111"/>
  <c r="L40" i="111"/>
  <c r="H40" i="111"/>
  <c r="D40" i="111"/>
  <c r="L39" i="111"/>
  <c r="H39" i="111"/>
  <c r="D39" i="111"/>
  <c r="L38" i="111"/>
  <c r="AB17" i="111" s="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AB16" i="111" s="1"/>
  <c r="H34" i="111"/>
  <c r="D34" i="111"/>
  <c r="T16" i="111" s="1"/>
  <c r="L33" i="111"/>
  <c r="H33" i="111"/>
  <c r="D33" i="111"/>
  <c r="L32" i="111"/>
  <c r="H32" i="111"/>
  <c r="D32" i="111"/>
  <c r="L31" i="111"/>
  <c r="H31" i="111"/>
  <c r="D31" i="111"/>
  <c r="L30" i="111"/>
  <c r="AB15" i="111" s="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AB14" i="111" s="1"/>
  <c r="H26" i="111"/>
  <c r="D26" i="111"/>
  <c r="T14" i="111" s="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AA16" i="111" s="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Y15" i="111" s="1"/>
  <c r="G30" i="111"/>
  <c r="W15" i="111" s="1"/>
  <c r="M29" i="111"/>
  <c r="I29" i="111"/>
  <c r="E29" i="111"/>
  <c r="M28" i="111"/>
  <c r="I28" i="111"/>
  <c r="E28" i="111"/>
  <c r="M27" i="111"/>
  <c r="I27" i="111"/>
  <c r="E27" i="111"/>
  <c r="M26" i="111"/>
  <c r="AC14" i="111" s="1"/>
  <c r="K26" i="111"/>
  <c r="E26" i="111"/>
  <c r="U14" i="111" s="1"/>
  <c r="C26" i="111"/>
  <c r="K25" i="111"/>
  <c r="G25" i="111"/>
  <c r="C25" i="111"/>
  <c r="K24" i="111"/>
  <c r="G24" i="111"/>
  <c r="C24" i="111"/>
  <c r="K23" i="111"/>
  <c r="G23" i="111"/>
  <c r="C23" i="111"/>
  <c r="K22" i="111"/>
  <c r="AA13" i="111" s="1"/>
  <c r="G22" i="111"/>
  <c r="W13" i="111" s="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W12" i="111" s="1"/>
  <c r="C18" i="111"/>
  <c r="K17" i="111"/>
  <c r="G17" i="111"/>
  <c r="C17" i="111"/>
  <c r="K16" i="111"/>
  <c r="G16" i="111"/>
  <c r="C16" i="111"/>
  <c r="K15" i="111"/>
  <c r="G15" i="111"/>
  <c r="C15" i="111"/>
  <c r="K14" i="111"/>
  <c r="AA11" i="111" s="1"/>
  <c r="G14" i="111"/>
  <c r="W11" i="111" s="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AD21" i="111" s="1"/>
  <c r="J54" i="111"/>
  <c r="F54" i="111"/>
  <c r="V21" i="111" s="1"/>
  <c r="N53" i="111"/>
  <c r="J53" i="111"/>
  <c r="F53" i="111"/>
  <c r="N52" i="111"/>
  <c r="J52" i="111"/>
  <c r="F52" i="111"/>
  <c r="N51" i="111"/>
  <c r="J51" i="111"/>
  <c r="F51" i="111"/>
  <c r="N50" i="111"/>
  <c r="AD20" i="111" s="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AD19" i="111" s="1"/>
  <c r="J46" i="111"/>
  <c r="F46" i="111"/>
  <c r="V19" i="111" s="1"/>
  <c r="N45" i="111"/>
  <c r="J45" i="111"/>
  <c r="F45" i="111"/>
  <c r="N44" i="111"/>
  <c r="J44" i="111"/>
  <c r="F44" i="111"/>
  <c r="N43" i="111"/>
  <c r="J43" i="111"/>
  <c r="F43" i="111"/>
  <c r="N42" i="111"/>
  <c r="AD18" i="111" s="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AD17" i="111" s="1"/>
  <c r="J38" i="111"/>
  <c r="F38" i="111"/>
  <c r="V17" i="111" s="1"/>
  <c r="N37" i="111"/>
  <c r="J37" i="111"/>
  <c r="F37" i="111"/>
  <c r="N36" i="111"/>
  <c r="J36" i="111"/>
  <c r="F36" i="111"/>
  <c r="N35" i="111"/>
  <c r="J35" i="111"/>
  <c r="F35" i="111"/>
  <c r="N34" i="111"/>
  <c r="AD16" i="111" s="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AD15" i="111" s="1"/>
  <c r="J30" i="111"/>
  <c r="F30" i="111"/>
  <c r="V15" i="111" s="1"/>
  <c r="N29" i="111"/>
  <c r="J29" i="111"/>
  <c r="F29" i="111"/>
  <c r="N28" i="111"/>
  <c r="J28" i="111"/>
  <c r="F28" i="111"/>
  <c r="N27" i="111"/>
  <c r="J27" i="111"/>
  <c r="F27" i="111"/>
  <c r="N26" i="111"/>
  <c r="AD14" i="111" s="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AB13" i="111" s="1"/>
  <c r="J22" i="111"/>
  <c r="F22" i="111"/>
  <c r="V13" i="111" s="1"/>
  <c r="D22" i="111"/>
  <c r="T13" i="111" s="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J14" i="111"/>
  <c r="Z11" i="111" s="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26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U21" i="111" s="1"/>
  <c r="C54" i="111"/>
  <c r="S21" i="111" s="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W20" i="111" s="1"/>
  <c r="G49" i="111"/>
  <c r="E49" i="111"/>
  <c r="K48" i="111"/>
  <c r="E48" i="111"/>
  <c r="C48" i="111"/>
  <c r="M47" i="111"/>
  <c r="I47" i="111"/>
  <c r="G47" i="111"/>
  <c r="M46" i="111"/>
  <c r="K46" i="111"/>
  <c r="I46" i="111"/>
  <c r="Y19" i="111" s="1"/>
  <c r="C46" i="111"/>
  <c r="S19" i="111" s="1"/>
  <c r="M45" i="111"/>
  <c r="I45" i="111"/>
  <c r="E45" i="111"/>
  <c r="M44" i="111"/>
  <c r="I44" i="111"/>
  <c r="E44" i="111"/>
  <c r="M43" i="111"/>
  <c r="I43" i="111"/>
  <c r="E43" i="111"/>
  <c r="M42" i="111"/>
  <c r="AC18" i="111" s="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W17" i="111" s="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W16" i="111" s="1"/>
  <c r="C34" i="111"/>
  <c r="S16" i="111" s="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W14" i="111" s="1"/>
  <c r="M25" i="111"/>
  <c r="I25" i="111"/>
  <c r="E25" i="111"/>
  <c r="M24" i="111"/>
  <c r="I24" i="111"/>
  <c r="E24" i="111"/>
  <c r="M23" i="111"/>
  <c r="I23" i="111"/>
  <c r="E23" i="111"/>
  <c r="M22" i="111"/>
  <c r="AC13" i="111" s="1"/>
  <c r="I22" i="111"/>
  <c r="E22" i="111"/>
  <c r="U13" i="111" s="1"/>
  <c r="M21" i="111"/>
  <c r="I21" i="111"/>
  <c r="E21" i="111"/>
  <c r="M20" i="111"/>
  <c r="I20" i="111"/>
  <c r="E20" i="111"/>
  <c r="M19" i="111"/>
  <c r="I19" i="111"/>
  <c r="E19" i="111"/>
  <c r="M18" i="111"/>
  <c r="I18" i="111"/>
  <c r="Y12" i="111" s="1"/>
  <c r="E18" i="111"/>
  <c r="U12" i="111" s="1"/>
  <c r="M17" i="111"/>
  <c r="I17" i="111"/>
  <c r="E17" i="111"/>
  <c r="M16" i="111"/>
  <c r="I16" i="111"/>
  <c r="E16" i="111"/>
  <c r="M15" i="111"/>
  <c r="I15" i="111"/>
  <c r="E15" i="111"/>
  <c r="M14" i="111"/>
  <c r="AC11" i="111" s="1"/>
  <c r="I14" i="111"/>
  <c r="E14" i="111"/>
  <c r="U11" i="111" s="1"/>
  <c r="M13" i="111"/>
  <c r="I13" i="111"/>
  <c r="E13" i="111"/>
  <c r="M12" i="111"/>
  <c r="I12" i="111"/>
  <c r="E12" i="111"/>
  <c r="M11" i="111"/>
  <c r="I11" i="111"/>
  <c r="E11" i="111"/>
  <c r="X22" i="100"/>
  <c r="AC26" i="96"/>
  <c r="AA23" i="110"/>
  <c r="W23" i="110"/>
  <c r="Z27" i="110"/>
  <c r="AD26" i="110"/>
  <c r="Z26" i="110"/>
  <c r="V26" i="110"/>
  <c r="X25" i="110"/>
  <c r="AD24" i="110"/>
  <c r="V24" i="110"/>
  <c r="AC35" i="109"/>
  <c r="AC26" i="110"/>
  <c r="K10" i="111"/>
  <c r="G10" i="111"/>
  <c r="T26" i="110"/>
  <c r="AC24" i="110"/>
  <c r="Y23" i="110"/>
  <c r="AC23" i="110"/>
  <c r="U23" i="110"/>
  <c r="U26" i="99"/>
  <c r="Y26" i="110"/>
  <c r="X24" i="110"/>
  <c r="X24" i="99"/>
  <c r="U23" i="99"/>
  <c r="S24" i="105"/>
  <c r="T38" i="109"/>
  <c r="AD38" i="109"/>
  <c r="Z38" i="109"/>
  <c r="Z23" i="110"/>
  <c r="AB26" i="110"/>
  <c r="X23" i="110"/>
  <c r="AB24" i="110"/>
  <c r="X22" i="110"/>
  <c r="W25" i="110"/>
  <c r="AA35" i="109"/>
  <c r="U24" i="110"/>
  <c r="V35" i="109"/>
  <c r="S29" i="110"/>
  <c r="S35" i="109"/>
  <c r="V24" i="98"/>
  <c r="X23" i="97"/>
  <c r="AD23" i="99"/>
  <c r="AB38" i="109"/>
  <c r="AD23" i="110"/>
  <c r="V23" i="110"/>
  <c r="AA28" i="110"/>
  <c r="Y24" i="110"/>
  <c r="S25" i="110"/>
  <c r="W28" i="110"/>
  <c r="AD36" i="109"/>
  <c r="Z39" i="109"/>
  <c r="S26" i="97"/>
  <c r="AB23" i="110"/>
  <c r="X26" i="110"/>
  <c r="AA29" i="110"/>
  <c r="W29" i="110"/>
  <c r="AF12" i="109"/>
  <c r="AE21" i="110"/>
  <c r="AE20" i="110"/>
  <c r="AE19" i="110"/>
  <c r="AA25" i="110"/>
  <c r="AD39" i="109"/>
  <c r="Z36" i="109"/>
  <c r="V36" i="109"/>
  <c r="AC38" i="109"/>
  <c r="U35" i="109"/>
  <c r="AD27" i="110"/>
  <c r="Z24" i="110"/>
  <c r="V27" i="110"/>
  <c r="S28" i="110"/>
  <c r="V38" i="109"/>
  <c r="X35" i="109"/>
  <c r="AA22" i="110"/>
  <c r="W22" i="110"/>
  <c r="S22" i="110"/>
  <c r="AB27" i="110"/>
  <c r="X28" i="110"/>
  <c r="AF15" i="110"/>
  <c r="AF14" i="110"/>
  <c r="AF13" i="110"/>
  <c r="Z35" i="109"/>
  <c r="AD35" i="109"/>
  <c r="X34" i="109"/>
  <c r="T23" i="110"/>
  <c r="Y38" i="109"/>
  <c r="AC27" i="110"/>
  <c r="U27" i="110"/>
  <c r="AF17" i="110"/>
  <c r="AF16" i="110"/>
  <c r="Z38" i="101"/>
  <c r="Y35" i="109"/>
  <c r="X27" i="110"/>
  <c r="AF11" i="110"/>
  <c r="Y27" i="110"/>
  <c r="AF12" i="110"/>
  <c r="AA38" i="109"/>
  <c r="W38" i="109"/>
  <c r="AF18" i="110"/>
  <c r="AF30" i="109"/>
  <c r="X39" i="109"/>
  <c r="X37" i="109"/>
  <c r="X29" i="110"/>
  <c r="AF21" i="110"/>
  <c r="AF20" i="110"/>
  <c r="AF19" i="110"/>
  <c r="AF15" i="109"/>
  <c r="AF14" i="109"/>
  <c r="AF13" i="109"/>
  <c r="AE18" i="110"/>
  <c r="AE17" i="110"/>
  <c r="T27" i="110"/>
  <c r="T24" i="110"/>
  <c r="AD29" i="110"/>
  <c r="AD28" i="110"/>
  <c r="AD25" i="110"/>
  <c r="AD22" i="110"/>
  <c r="Z29" i="110"/>
  <c r="Z28" i="110"/>
  <c r="Z25" i="110"/>
  <c r="Z22" i="110"/>
  <c r="AF17" i="109"/>
  <c r="AF16" i="109"/>
  <c r="AE11" i="110"/>
  <c r="Y29" i="110"/>
  <c r="Y28" i="110"/>
  <c r="Y25" i="110"/>
  <c r="Y22" i="110"/>
  <c r="AE10" i="110"/>
  <c r="AF10" i="110"/>
  <c r="T29" i="110"/>
  <c r="T28" i="110"/>
  <c r="T25" i="110"/>
  <c r="T22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29" i="110"/>
  <c r="AB28" i="110"/>
  <c r="AB25" i="110"/>
  <c r="AB22" i="110"/>
  <c r="V29" i="110"/>
  <c r="V28" i="110"/>
  <c r="V25" i="110"/>
  <c r="V22" i="110"/>
  <c r="AE15" i="110"/>
  <c r="AE14" i="110"/>
  <c r="AE13" i="110"/>
  <c r="AE12" i="110"/>
  <c r="AC29" i="110"/>
  <c r="AC28" i="110"/>
  <c r="AC25" i="110"/>
  <c r="AC22" i="110"/>
  <c r="U29" i="110"/>
  <c r="U28" i="110"/>
  <c r="U25" i="110"/>
  <c r="U22" i="110"/>
  <c r="AB36" i="109"/>
  <c r="X36" i="109"/>
  <c r="X40" i="109"/>
  <c r="V23" i="97"/>
  <c r="AD26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24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AF21" i="108" s="1"/>
  <c r="O50" i="108"/>
  <c r="AE20" i="108" s="1"/>
  <c r="O44" i="108"/>
  <c r="O46" i="108"/>
  <c r="O45" i="108"/>
  <c r="P41" i="108"/>
  <c r="P39" i="108"/>
  <c r="O37" i="108"/>
  <c r="O32" i="108"/>
  <c r="P30" i="108"/>
  <c r="AF15" i="108" s="1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AF20" i="108" s="1"/>
  <c r="P42" i="108"/>
  <c r="P34" i="108"/>
  <c r="O54" i="108"/>
  <c r="O42" i="108"/>
  <c r="O34" i="108"/>
  <c r="P18" i="108"/>
  <c r="AF12" i="108" s="1"/>
  <c r="Z26" i="105"/>
  <c r="V26" i="105"/>
  <c r="X26" i="105"/>
  <c r="O57" i="107"/>
  <c r="AC23" i="105"/>
  <c r="U26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AF21" i="107" s="1"/>
  <c r="O54" i="107"/>
  <c r="P53" i="107"/>
  <c r="O53" i="107"/>
  <c r="O52" i="107"/>
  <c r="P52" i="107"/>
  <c r="O51" i="107"/>
  <c r="P51" i="107"/>
  <c r="O50" i="107"/>
  <c r="AE20" i="107" s="1"/>
  <c r="P50" i="107"/>
  <c r="P49" i="107"/>
  <c r="O49" i="107"/>
  <c r="P48" i="107"/>
  <c r="O48" i="107"/>
  <c r="P47" i="107"/>
  <c r="O47" i="107"/>
  <c r="O46" i="107"/>
  <c r="AE19" i="107" s="1"/>
  <c r="P46" i="107"/>
  <c r="P45" i="107"/>
  <c r="O45" i="107"/>
  <c r="O44" i="107"/>
  <c r="P44" i="107"/>
  <c r="O43" i="107"/>
  <c r="P43" i="107"/>
  <c r="O42" i="107"/>
  <c r="AE18" i="107" s="1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AF15" i="107" s="1"/>
  <c r="P34" i="107"/>
  <c r="AF16" i="107" s="1"/>
  <c r="O30" i="107"/>
  <c r="AB26" i="105"/>
  <c r="T26" i="105"/>
  <c r="P10" i="107"/>
  <c r="O10" i="107"/>
  <c r="X23" i="105"/>
  <c r="AC23" i="95"/>
  <c r="U23" i="96"/>
  <c r="AA23" i="105"/>
  <c r="AD26" i="98"/>
  <c r="U23" i="105"/>
  <c r="AB23" i="105"/>
  <c r="T23" i="105"/>
  <c r="AE12" i="105"/>
  <c r="AF13" i="105"/>
  <c r="AC26" i="105"/>
  <c r="AA26" i="105"/>
  <c r="W26" i="105"/>
  <c r="W23" i="105"/>
  <c r="S23" i="105"/>
  <c r="AF11" i="105"/>
  <c r="Y23" i="105"/>
  <c r="AF15" i="105"/>
  <c r="AF21" i="105"/>
  <c r="AF20" i="105"/>
  <c r="AF19" i="105"/>
  <c r="AF18" i="105"/>
  <c r="AF17" i="105"/>
  <c r="AF16" i="105"/>
  <c r="AF14" i="105"/>
  <c r="AD23" i="105"/>
  <c r="Z23" i="105"/>
  <c r="V23" i="105"/>
  <c r="AF12" i="105"/>
  <c r="AD29" i="105"/>
  <c r="AD28" i="105"/>
  <c r="AD25" i="105"/>
  <c r="AD22" i="105"/>
  <c r="Z29" i="105"/>
  <c r="Z28" i="105"/>
  <c r="Z25" i="105"/>
  <c r="Z22" i="105"/>
  <c r="AE21" i="105"/>
  <c r="AE20" i="105"/>
  <c r="AE19" i="105"/>
  <c r="AE18" i="105"/>
  <c r="AE17" i="105"/>
  <c r="AE16" i="105"/>
  <c r="AE15" i="105"/>
  <c r="AE14" i="105"/>
  <c r="AE13" i="105"/>
  <c r="AE11" i="105"/>
  <c r="AC29" i="105"/>
  <c r="AC28" i="105"/>
  <c r="AC25" i="105"/>
  <c r="AC22" i="105"/>
  <c r="Y29" i="105"/>
  <c r="Y28" i="105"/>
  <c r="Y25" i="105"/>
  <c r="Y22" i="105"/>
  <c r="W29" i="105"/>
  <c r="W28" i="105"/>
  <c r="W25" i="105"/>
  <c r="W22" i="105"/>
  <c r="U29" i="105"/>
  <c r="U28" i="105"/>
  <c r="U25" i="105"/>
  <c r="U22" i="105"/>
  <c r="O58" i="105"/>
  <c r="G60" i="105" s="1"/>
  <c r="AE10" i="105"/>
  <c r="P58" i="105"/>
  <c r="G59" i="105" s="1"/>
  <c r="AF10" i="105"/>
  <c r="V29" i="105"/>
  <c r="V28" i="105"/>
  <c r="V25" i="105"/>
  <c r="V22" i="105"/>
  <c r="T29" i="105"/>
  <c r="T28" i="105"/>
  <c r="T25" i="105"/>
  <c r="T22" i="105"/>
  <c r="AB29" i="105"/>
  <c r="AB28" i="105"/>
  <c r="AB25" i="105"/>
  <c r="AB22" i="105"/>
  <c r="X29" i="105"/>
  <c r="X28" i="105"/>
  <c r="X25" i="105"/>
  <c r="X22" i="105"/>
  <c r="AA29" i="105"/>
  <c r="AA28" i="105"/>
  <c r="AA25" i="105"/>
  <c r="AA22" i="105"/>
  <c r="S29" i="105"/>
  <c r="S28" i="105"/>
  <c r="S25" i="105"/>
  <c r="S22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V23" i="95"/>
  <c r="W23" i="94"/>
  <c r="AA38" i="101"/>
  <c r="AC38" i="101"/>
  <c r="Y35" i="101"/>
  <c r="U38" i="101"/>
  <c r="Y23" i="100"/>
  <c r="W28" i="100"/>
  <c r="AB26" i="99"/>
  <c r="T26" i="99"/>
  <c r="AF13" i="100"/>
  <c r="Z35" i="101"/>
  <c r="AC26" i="99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L60" i="97" s="1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L59" i="97" s="1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E16" i="107" l="1"/>
  <c r="AF16" i="108"/>
  <c r="AE19" i="108"/>
  <c r="AE39" i="108" s="1"/>
  <c r="AE10" i="108"/>
  <c r="O106" i="108"/>
  <c r="AD10" i="111"/>
  <c r="N106" i="111"/>
  <c r="V35" i="111"/>
  <c r="U10" i="111"/>
  <c r="E106" i="111"/>
  <c r="AE15" i="107"/>
  <c r="AE12" i="107"/>
  <c r="AF18" i="107"/>
  <c r="AF19" i="107"/>
  <c r="AF20" i="107"/>
  <c r="AE21" i="107"/>
  <c r="AF18" i="108"/>
  <c r="AF11" i="108"/>
  <c r="AF17" i="108"/>
  <c r="AB11" i="111"/>
  <c r="Z13" i="111"/>
  <c r="Z15" i="111"/>
  <c r="Z17" i="111"/>
  <c r="Z19" i="111"/>
  <c r="Z21" i="111"/>
  <c r="S11" i="111"/>
  <c r="S13" i="111"/>
  <c r="X12" i="111"/>
  <c r="X14" i="111"/>
  <c r="X16" i="111"/>
  <c r="X18" i="111"/>
  <c r="X20" i="111"/>
  <c r="Y10" i="111"/>
  <c r="I106" i="111"/>
  <c r="S18" i="111"/>
  <c r="AE39" i="107"/>
  <c r="Z12" i="111"/>
  <c r="AC10" i="111"/>
  <c r="M106" i="111"/>
  <c r="AF13" i="108"/>
  <c r="Y14" i="111"/>
  <c r="AC16" i="111"/>
  <c r="Y39" i="111"/>
  <c r="S10" i="111"/>
  <c r="C106" i="111"/>
  <c r="Y18" i="111"/>
  <c r="Z10" i="111"/>
  <c r="J106" i="111"/>
  <c r="AE36" i="107"/>
  <c r="AF11" i="107"/>
  <c r="AB38" i="111"/>
  <c r="AB35" i="111"/>
  <c r="AE11" i="108"/>
  <c r="AF17" i="107"/>
  <c r="AE14" i="107"/>
  <c r="AE17" i="107"/>
  <c r="AF13" i="107"/>
  <c r="AE12" i="108"/>
  <c r="AF19" i="108"/>
  <c r="AC12" i="111"/>
  <c r="Y17" i="111"/>
  <c r="AA19" i="111"/>
  <c r="AC21" i="111"/>
  <c r="V12" i="111"/>
  <c r="V14" i="111"/>
  <c r="V38" i="111" s="1"/>
  <c r="V16" i="111"/>
  <c r="V18" i="111"/>
  <c r="V20" i="111"/>
  <c r="V39" i="111" s="1"/>
  <c r="AA15" i="111"/>
  <c r="AA35" i="111" s="1"/>
  <c r="T15" i="111"/>
  <c r="T35" i="111" s="1"/>
  <c r="T17" i="111"/>
  <c r="T19" i="111"/>
  <c r="T21" i="111"/>
  <c r="AA18" i="111"/>
  <c r="AA20" i="111"/>
  <c r="AB10" i="111"/>
  <c r="L106" i="111"/>
  <c r="AD39" i="111"/>
  <c r="AD36" i="111"/>
  <c r="T10" i="111"/>
  <c r="D106" i="111"/>
  <c r="AE13" i="107"/>
  <c r="AF14" i="108"/>
  <c r="AE17" i="108"/>
  <c r="AE10" i="107"/>
  <c r="O106" i="107"/>
  <c r="H108" i="107" s="1"/>
  <c r="AF14" i="107"/>
  <c r="AF12" i="107"/>
  <c r="AE16" i="108"/>
  <c r="AE13" i="108"/>
  <c r="S15" i="111"/>
  <c r="AC17" i="111"/>
  <c r="AC19" i="111"/>
  <c r="AC39" i="111" s="1"/>
  <c r="AB12" i="111"/>
  <c r="Z14" i="111"/>
  <c r="Z16" i="111"/>
  <c r="Z18" i="111"/>
  <c r="Z20" i="111"/>
  <c r="S12" i="111"/>
  <c r="S14" i="111"/>
  <c r="V11" i="111"/>
  <c r="X13" i="111"/>
  <c r="X15" i="111"/>
  <c r="X17" i="111"/>
  <c r="X19" i="111"/>
  <c r="X21" i="111"/>
  <c r="S17" i="111"/>
  <c r="AC20" i="111"/>
  <c r="S36" i="111"/>
  <c r="S39" i="111"/>
  <c r="AF10" i="107"/>
  <c r="P106" i="107"/>
  <c r="C107" i="107" s="1"/>
  <c r="AE18" i="108"/>
  <c r="AE14" i="108"/>
  <c r="AF10" i="108"/>
  <c r="P106" i="108"/>
  <c r="W10" i="111"/>
  <c r="G106" i="111"/>
  <c r="U15" i="111"/>
  <c r="U38" i="111" s="1"/>
  <c r="V10" i="111"/>
  <c r="F106" i="111"/>
  <c r="AD12" i="111"/>
  <c r="U16" i="111"/>
  <c r="U40" i="111" s="1"/>
  <c r="X11" i="111"/>
  <c r="AD13" i="111"/>
  <c r="AB36" i="111"/>
  <c r="AB39" i="111"/>
  <c r="U17" i="111"/>
  <c r="U19" i="111"/>
  <c r="U39" i="111" s="1"/>
  <c r="W21" i="111"/>
  <c r="AE36" i="108"/>
  <c r="AE11" i="107"/>
  <c r="AE21" i="108"/>
  <c r="AE15" i="108"/>
  <c r="AA10" i="111"/>
  <c r="K106" i="111"/>
  <c r="Y11" i="111"/>
  <c r="Y13" i="111"/>
  <c r="AC15" i="111"/>
  <c r="AC38" i="111" s="1"/>
  <c r="W18" i="111"/>
  <c r="W38" i="111" s="1"/>
  <c r="Y20" i="111"/>
  <c r="X10" i="111"/>
  <c r="H106" i="111"/>
  <c r="T11" i="111"/>
  <c r="T38" i="111"/>
  <c r="AA12" i="111"/>
  <c r="AA14" i="111"/>
  <c r="AA38" i="111" s="1"/>
  <c r="Y16" i="111"/>
  <c r="AD11" i="111"/>
  <c r="AA17" i="111"/>
  <c r="W19" i="111"/>
  <c r="Y21" i="111"/>
  <c r="Y36" i="111" s="1"/>
  <c r="S30" i="110"/>
  <c r="V22" i="93"/>
  <c r="AE24" i="98"/>
  <c r="AA30" i="110"/>
  <c r="H59" i="94"/>
  <c r="F59" i="94"/>
  <c r="O47" i="111"/>
  <c r="O52" i="111"/>
  <c r="O12" i="111"/>
  <c r="P26" i="111"/>
  <c r="AF14" i="111" s="1"/>
  <c r="P46" i="111"/>
  <c r="P10" i="111"/>
  <c r="O22" i="111"/>
  <c r="AE13" i="111" s="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AE14" i="111" s="1"/>
  <c r="P28" i="111"/>
  <c r="P30" i="111"/>
  <c r="O32" i="111"/>
  <c r="P33" i="111"/>
  <c r="P38" i="111"/>
  <c r="AF17" i="111" s="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60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AE15" i="111" s="1"/>
  <c r="O33" i="111"/>
  <c r="P34" i="111"/>
  <c r="P35" i="111"/>
  <c r="O36" i="111"/>
  <c r="P37" i="111"/>
  <c r="O38" i="111"/>
  <c r="AE17" i="111" s="1"/>
  <c r="O41" i="111"/>
  <c r="P42" i="111"/>
  <c r="AF18" i="111" s="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AF12" i="111" s="1"/>
  <c r="P22" i="111"/>
  <c r="AF13" i="111" s="1"/>
  <c r="P27" i="111"/>
  <c r="P32" i="111"/>
  <c r="P40" i="111"/>
  <c r="P43" i="111"/>
  <c r="F60" i="110"/>
  <c r="H60" i="110"/>
  <c r="N60" i="110"/>
  <c r="AE27" i="110"/>
  <c r="W30" i="110"/>
  <c r="AE24" i="110"/>
  <c r="F59" i="110"/>
  <c r="C59" i="110"/>
  <c r="H59" i="110"/>
  <c r="T30" i="110"/>
  <c r="Y30" i="110"/>
  <c r="X30" i="110"/>
  <c r="AF24" i="110"/>
  <c r="AF27" i="110"/>
  <c r="AF23" i="110"/>
  <c r="AF26" i="110"/>
  <c r="U30" i="110"/>
  <c r="AC30" i="110"/>
  <c r="AE26" i="110"/>
  <c r="AE23" i="110"/>
  <c r="V30" i="110"/>
  <c r="AB30" i="110"/>
  <c r="M59" i="110"/>
  <c r="D59" i="110"/>
  <c r="L59" i="110"/>
  <c r="E59" i="110"/>
  <c r="G59" i="110"/>
  <c r="I59" i="110"/>
  <c r="K59" i="110"/>
  <c r="AE29" i="110"/>
  <c r="AE28" i="110"/>
  <c r="AE25" i="110"/>
  <c r="AE22" i="110"/>
  <c r="Z30" i="110"/>
  <c r="AD30" i="110"/>
  <c r="AF29" i="110"/>
  <c r="AF28" i="110"/>
  <c r="AF25" i="110"/>
  <c r="AF22" i="110"/>
  <c r="D60" i="110"/>
  <c r="L60" i="110"/>
  <c r="E60" i="110"/>
  <c r="G60" i="110"/>
  <c r="I60" i="110"/>
  <c r="K60" i="110"/>
  <c r="J59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F59" i="105"/>
  <c r="H107" i="108"/>
  <c r="E59" i="105"/>
  <c r="D59" i="105"/>
  <c r="C59" i="105"/>
  <c r="AF23" i="105"/>
  <c r="D60" i="105"/>
  <c r="F60" i="105"/>
  <c r="C60" i="105"/>
  <c r="E60" i="105"/>
  <c r="AF26" i="105"/>
  <c r="T30" i="105"/>
  <c r="V30" i="105"/>
  <c r="U30" i="105"/>
  <c r="W30" i="105"/>
  <c r="Y30" i="105"/>
  <c r="AC30" i="105"/>
  <c r="AF27" i="105"/>
  <c r="AF24" i="105"/>
  <c r="M59" i="105"/>
  <c r="N59" i="105"/>
  <c r="I59" i="105"/>
  <c r="K59" i="105"/>
  <c r="H59" i="105"/>
  <c r="J59" i="105"/>
  <c r="L59" i="105"/>
  <c r="I60" i="105"/>
  <c r="K60" i="105"/>
  <c r="H60" i="105"/>
  <c r="J60" i="105"/>
  <c r="L60" i="105"/>
  <c r="N60" i="105"/>
  <c r="AE26" i="105"/>
  <c r="AE23" i="105"/>
  <c r="AE27" i="105"/>
  <c r="AE24" i="105"/>
  <c r="S30" i="105"/>
  <c r="AA30" i="105"/>
  <c r="X30" i="105"/>
  <c r="AB30" i="105"/>
  <c r="AF29" i="105"/>
  <c r="AF28" i="105"/>
  <c r="AF25" i="105"/>
  <c r="AF22" i="105"/>
  <c r="AE29" i="105"/>
  <c r="AE28" i="105"/>
  <c r="AE25" i="105"/>
  <c r="AE22" i="105"/>
  <c r="Z30" i="105"/>
  <c r="AD30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H60" i="94"/>
  <c r="AF35" i="101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W34" i="111" l="1"/>
  <c r="W37" i="111"/>
  <c r="W40" i="111"/>
  <c r="W41" i="111"/>
  <c r="AE34" i="107"/>
  <c r="AE37" i="107"/>
  <c r="AE41" i="107"/>
  <c r="AE42" i="107" s="1"/>
  <c r="S38" i="111"/>
  <c r="AD40" i="111"/>
  <c r="AD34" i="111"/>
  <c r="AD37" i="111"/>
  <c r="AD41" i="111"/>
  <c r="AD42" i="111" s="1"/>
  <c r="AE10" i="111"/>
  <c r="O106" i="111"/>
  <c r="K108" i="111" s="1"/>
  <c r="AF21" i="111"/>
  <c r="Y35" i="111"/>
  <c r="AC36" i="111"/>
  <c r="AB40" i="111"/>
  <c r="AB37" i="111"/>
  <c r="AB34" i="111"/>
  <c r="AB41" i="111"/>
  <c r="AB42" i="111" s="1"/>
  <c r="AC40" i="111"/>
  <c r="W35" i="111"/>
  <c r="Z40" i="111"/>
  <c r="Z37" i="111"/>
  <c r="Z34" i="111"/>
  <c r="Z41" i="111"/>
  <c r="AC35" i="111"/>
  <c r="AE21" i="111"/>
  <c r="AF34" i="108"/>
  <c r="AF41" i="108"/>
  <c r="AF42" i="108" s="1"/>
  <c r="AF37" i="108"/>
  <c r="AF40" i="108"/>
  <c r="S35" i="111"/>
  <c r="AF39" i="108"/>
  <c r="AF36" i="108"/>
  <c r="U36" i="111"/>
  <c r="Y38" i="111"/>
  <c r="Y40" i="111"/>
  <c r="Y34" i="111"/>
  <c r="Y37" i="111"/>
  <c r="Y41" i="111"/>
  <c r="U34" i="111"/>
  <c r="U37" i="111"/>
  <c r="U41" i="111"/>
  <c r="U42" i="111" s="1"/>
  <c r="AF20" i="111"/>
  <c r="AF15" i="111"/>
  <c r="AF38" i="111" s="1"/>
  <c r="AE11" i="111"/>
  <c r="AE16" i="111"/>
  <c r="W39" i="111"/>
  <c r="W36" i="111"/>
  <c r="V37" i="111"/>
  <c r="V40" i="111"/>
  <c r="V34" i="111"/>
  <c r="V41" i="111"/>
  <c r="V42" i="111" s="1"/>
  <c r="AE38" i="108"/>
  <c r="AE35" i="108"/>
  <c r="AE38" i="107"/>
  <c r="AE35" i="107"/>
  <c r="AE40" i="108"/>
  <c r="AF38" i="108"/>
  <c r="AF35" i="108"/>
  <c r="Z39" i="111"/>
  <c r="Z36" i="111"/>
  <c r="V36" i="111"/>
  <c r="AE12" i="111"/>
  <c r="AE20" i="111"/>
  <c r="AA40" i="111"/>
  <c r="AA34" i="111"/>
  <c r="AA37" i="111"/>
  <c r="AA41" i="111"/>
  <c r="AA42" i="111" s="1"/>
  <c r="X39" i="111"/>
  <c r="X36" i="111"/>
  <c r="AF38" i="107"/>
  <c r="AF35" i="107"/>
  <c r="AE34" i="108"/>
  <c r="AE41" i="108"/>
  <c r="AE42" i="108" s="1"/>
  <c r="AE37" i="108"/>
  <c r="X34" i="111"/>
  <c r="X40" i="111"/>
  <c r="X37" i="111"/>
  <c r="X41" i="111"/>
  <c r="X42" i="111" s="1"/>
  <c r="U35" i="111"/>
  <c r="T40" i="111"/>
  <c r="T37" i="111"/>
  <c r="T34" i="111"/>
  <c r="T41" i="111"/>
  <c r="T36" i="111"/>
  <c r="T39" i="111"/>
  <c r="S40" i="111"/>
  <c r="S34" i="111"/>
  <c r="S37" i="111"/>
  <c r="S41" i="111"/>
  <c r="S42" i="111" s="1"/>
  <c r="AC37" i="111"/>
  <c r="AC34" i="111"/>
  <c r="AC41" i="111"/>
  <c r="AF39" i="107"/>
  <c r="AF36" i="107"/>
  <c r="AF11" i="111"/>
  <c r="AE19" i="111"/>
  <c r="AF16" i="111"/>
  <c r="AE18" i="111"/>
  <c r="AE38" i="111" s="1"/>
  <c r="AF10" i="111"/>
  <c r="P106" i="111"/>
  <c r="N107" i="111" s="1"/>
  <c r="AD38" i="111"/>
  <c r="AD35" i="111"/>
  <c r="AF34" i="107"/>
  <c r="AF41" i="107"/>
  <c r="AF37" i="107"/>
  <c r="AF40" i="107"/>
  <c r="Z35" i="111"/>
  <c r="Z38" i="111"/>
  <c r="AF19" i="111"/>
  <c r="X38" i="111"/>
  <c r="X35" i="111"/>
  <c r="AA36" i="111"/>
  <c r="AA39" i="111"/>
  <c r="AE40" i="107"/>
  <c r="M107" i="107"/>
  <c r="F108" i="107"/>
  <c r="J107" i="108"/>
  <c r="AF30" i="110"/>
  <c r="AE30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30" i="105"/>
  <c r="AF30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42" i="107" l="1"/>
  <c r="AE39" i="111"/>
  <c r="AE36" i="111"/>
  <c r="AF39" i="111"/>
  <c r="AF36" i="111"/>
  <c r="AE34" i="111"/>
  <c r="AE37" i="111"/>
  <c r="AE40" i="111"/>
  <c r="AE41" i="111"/>
  <c r="AF35" i="111"/>
  <c r="W42" i="111"/>
  <c r="Z42" i="111"/>
  <c r="AC42" i="111"/>
  <c r="Y42" i="111"/>
  <c r="AE35" i="111"/>
  <c r="AF34" i="111"/>
  <c r="AF40" i="111"/>
  <c r="AF37" i="111"/>
  <c r="AF42" i="111"/>
  <c r="T42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E42" i="111" l="1"/>
</calcChain>
</file>

<file path=xl/sharedStrings.xml><?xml version="1.0" encoding="utf-8"?>
<sst xmlns="http://schemas.openxmlformats.org/spreadsheetml/2006/main" count="2328" uniqueCount="177">
  <si>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</si>
  <si>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</si>
  <si>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</si>
  <si>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</si>
  <si>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</si>
  <si>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</si>
  <si>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</si>
  <si>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</si>
  <si>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</si>
  <si>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</si>
  <si>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</si>
  <si>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</si>
  <si>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</si>
  <si>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</si>
  <si>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</si>
  <si>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</si>
  <si>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</si>
  <si>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</si>
  <si>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</si>
  <si>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</si>
  <si>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</si>
  <si>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</si>
  <si>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</si>
  <si>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</si>
  <si>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</si>
  <si>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</si>
  <si>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</si>
  <si>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</si>
  <si>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</si>
  <si>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</si>
  <si>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</si>
  <si>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</si>
  <si>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</si>
  <si>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</si>
  <si>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</si>
  <si>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</si>
  <si>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</si>
  <si>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</si>
  <si>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</si>
  <si>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</si>
  <si>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</si>
  <si>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</si>
  <si>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</si>
  <si>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</si>
  <si>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</si>
  <si>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</si>
  <si>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</si>
  <si>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</si>
  <si>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</si>
  <si>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</si>
  <si>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</si>
  <si>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</si>
  <si>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</si>
  <si>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</si>
  <si>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</si>
  <si>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</si>
  <si>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</si>
  <si>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</si>
  <si>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</si>
  <si>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</si>
  <si>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</si>
  <si>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</si>
  <si>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</si>
  <si>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</si>
  <si>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</si>
  <si>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</si>
  <si>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</si>
  <si>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</si>
  <si>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</si>
  <si>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</si>
  <si>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</si>
  <si>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</si>
  <si>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</si>
  <si>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</si>
  <si>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</si>
  <si>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</si>
  <si>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</si>
  <si>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</si>
  <si>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</si>
  <si>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</si>
  <si>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</si>
  <si>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</si>
  <si>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</si>
  <si>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</si>
  <si>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</si>
  <si>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</si>
  <si>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</si>
  <si>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</si>
  <si>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</si>
  <si>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</si>
  <si>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</si>
  <si>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</si>
  <si>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</si>
  <si>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</si>
  <si>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</si>
  <si>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</si>
  <si>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</si>
  <si>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</si>
  <si>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</si>
  <si>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</si>
  <si>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</si>
  <si>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</si>
  <si>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</si>
  <si>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</si>
  <si>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</si>
  <si>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</si>
  <si>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</si>
  <si>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</si>
  <si>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</si>
  <si>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</si>
  <si>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</si>
  <si>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</si>
  <si>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</si>
  <si>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</si>
  <si>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</si>
  <si>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</si>
  <si>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</si>
  <si>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</si>
  <si>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</si>
  <si>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</si>
  <si>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</si>
  <si>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</si>
  <si>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</si>
  <si>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</si>
  <si>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</si>
  <si>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</si>
  <si>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</si>
  <si>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</si>
  <si>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</si>
  <si>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</si>
  <si>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</si>
  <si>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</si>
  <si>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</si>
  <si>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</si>
  <si>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</si>
  <si>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</si>
  <si>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</si>
  <si>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</si>
  <si>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</si>
  <si>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</si>
  <si>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</si>
  <si>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</si>
  <si>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</si>
  <si>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</si>
  <si>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</si>
  <si>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</si>
  <si>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</si>
  <si>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</si>
  <si>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</si>
  <si>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</si>
  <si>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</si>
  <si>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</si>
  <si>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</si>
  <si>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</si>
  <si>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</si>
  <si>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</si>
  <si>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</si>
  <si>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</si>
  <si>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</si>
  <si>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</si>
  <si>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</si>
  <si>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</si>
  <si>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xxx</t>
  </si>
  <si>
    <t>AVERAGE WEEK</t>
  </si>
  <si>
    <t>29.07.19</t>
  </si>
  <si>
    <t>karuma</t>
  </si>
  <si>
    <t>kigumba</t>
  </si>
  <si>
    <t>nanda</t>
  </si>
  <si>
    <t>MCC - C5 - STN113 - KIGUMBA-KARUMA ROAD</t>
  </si>
  <si>
    <t>Kigumba</t>
  </si>
  <si>
    <t>Karuma</t>
  </si>
  <si>
    <t>30.07.19</t>
  </si>
  <si>
    <t>31.07.19</t>
  </si>
  <si>
    <t>01.08.19</t>
  </si>
  <si>
    <t>02.08.19</t>
  </si>
  <si>
    <t>04.08.19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</si>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</sst>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5" borderId="0" xfId="0" applyFill="1" applyBorder="1"/>
    <xf numFmtId="164" fontId="0" fillId="5" borderId="0" xfId="0" applyNumberFormat="1" applyFill="1"/>
    <xf numFmtId="0" fontId="0" fillId="5" borderId="0" xfId="0" applyFill="1"/>
    <xf numFmtId="0" fontId="0" fillId="5" borderId="0" xfId="0" applyFont="1" applyFill="1" applyAlignment="1">
      <alignment horizont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41" fontId="1" fillId="0" borderId="8" xfId="2" applyFont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Karuma-Kigumba'!$AE$9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Karuma-Kigumba'!$AE$10:$AE$21</c:f>
              <c:numCache>
                <c:formatCode>0</c:formatCode>
                <c:ptCount val="12"/>
                <c:pt idx="0">
                  <c:v>30</c:v>
                </c:pt>
                <c:pt idx="1">
                  <c:v>22</c:v>
                </c:pt>
                <c:pt idx="2">
                  <c:v>28</c:v>
                </c:pt>
                <c:pt idx="3">
                  <c:v>40</c:v>
                </c:pt>
                <c:pt idx="4">
                  <c:v>41</c:v>
                </c:pt>
                <c:pt idx="5">
                  <c:v>61</c:v>
                </c:pt>
                <c:pt idx="6">
                  <c:v>48</c:v>
                </c:pt>
                <c:pt idx="7">
                  <c:v>52</c:v>
                </c:pt>
                <c:pt idx="8">
                  <c:v>49</c:v>
                </c:pt>
                <c:pt idx="9">
                  <c:v>46</c:v>
                </c:pt>
                <c:pt idx="10">
                  <c:v>54</c:v>
                </c:pt>
                <c:pt idx="11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'29.07 Karuma-Kigumba'!$AF$9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Karuma-Kigumba'!$AF$10:$AF$21</c:f>
              <c:numCache>
                <c:formatCode>0</c:formatCode>
                <c:ptCount val="12"/>
                <c:pt idx="0">
                  <c:v>43</c:v>
                </c:pt>
                <c:pt idx="1">
                  <c:v>32</c:v>
                </c:pt>
                <c:pt idx="2">
                  <c:v>43</c:v>
                </c:pt>
                <c:pt idx="3">
                  <c:v>48</c:v>
                </c:pt>
                <c:pt idx="4">
                  <c:v>53</c:v>
                </c:pt>
                <c:pt idx="5">
                  <c:v>74</c:v>
                </c:pt>
                <c:pt idx="6">
                  <c:v>59</c:v>
                </c:pt>
                <c:pt idx="7">
                  <c:v>73</c:v>
                </c:pt>
                <c:pt idx="8">
                  <c:v>64</c:v>
                </c:pt>
                <c:pt idx="9">
                  <c:v>59</c:v>
                </c:pt>
                <c:pt idx="10">
                  <c:v>69</c:v>
                </c:pt>
                <c:pt idx="11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32112"/>
        <c:axId val="205137992"/>
      </c:lineChart>
      <c:catAx>
        <c:axId val="205132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37992"/>
        <c:crosses val="autoZero"/>
        <c:auto val="1"/>
        <c:lblAlgn val="ctr"/>
        <c:lblOffset val="100"/>
        <c:noMultiLvlLbl val="0"/>
      </c:catAx>
      <c:valAx>
        <c:axId val="205137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3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Karuma-Kigumba'!$C$9:$N$9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Karuma-Kigumba'!$C$59:$N$59</c:f>
              <c:numCache>
                <c:formatCode>0.0%</c:formatCode>
                <c:ptCount val="12"/>
                <c:pt idx="0">
                  <c:v>9.5513748191027495E-2</c:v>
                </c:pt>
                <c:pt idx="1">
                  <c:v>0.12735166425470332</c:v>
                </c:pt>
                <c:pt idx="2">
                  <c:v>0.15774240231548481</c:v>
                </c:pt>
                <c:pt idx="3">
                  <c:v>8.6830680173661356E-2</c:v>
                </c:pt>
                <c:pt idx="4">
                  <c:v>1.4471780028943559E-3</c:v>
                </c:pt>
                <c:pt idx="5">
                  <c:v>6.9464544138929094E-2</c:v>
                </c:pt>
                <c:pt idx="6">
                  <c:v>0.10419681620839363</c:v>
                </c:pt>
                <c:pt idx="7">
                  <c:v>3.0390738060781478E-2</c:v>
                </c:pt>
                <c:pt idx="8">
                  <c:v>8.6830680173661367E-3</c:v>
                </c:pt>
                <c:pt idx="9">
                  <c:v>6.9464544138929094E-2</c:v>
                </c:pt>
                <c:pt idx="10">
                  <c:v>0.24167872648335745</c:v>
                </c:pt>
                <c:pt idx="11">
                  <c:v>7.2358900144717797E-3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Karuma-Kigumba'!$C$9:$N$9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Karuma-Kigumba'!$C$60:$N$60</c:f>
              <c:numCache>
                <c:formatCode>0.00%</c:formatCode>
                <c:ptCount val="12"/>
                <c:pt idx="0">
                  <c:v>0.12595419847328243</c:v>
                </c:pt>
                <c:pt idx="1">
                  <c:v>0.16793893129770993</c:v>
                </c:pt>
                <c:pt idx="2">
                  <c:v>0.20801526717557253</c:v>
                </c:pt>
                <c:pt idx="3">
                  <c:v>0.11450381679389313</c:v>
                </c:pt>
                <c:pt idx="4">
                  <c:v>1.9083969465648854E-3</c:v>
                </c:pt>
                <c:pt idx="5">
                  <c:v>9.1603053435114504E-2</c:v>
                </c:pt>
                <c:pt idx="6">
                  <c:v>0.13740458015267176</c:v>
                </c:pt>
                <c:pt idx="7">
                  <c:v>4.0076335877862593E-2</c:v>
                </c:pt>
                <c:pt idx="8">
                  <c:v>1.1450381679389313E-2</c:v>
                </c:pt>
                <c:pt idx="9">
                  <c:v>9.1603053435114504E-2</c:v>
                </c:pt>
                <c:pt idx="11">
                  <c:v>9.5419847328244278E-3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Kigumba-Karuma'!$AE$9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Kigumba-Karuma'!$AE$10:$AE$21</c:f>
              <c:numCache>
                <c:formatCode>0</c:formatCode>
                <c:ptCount val="12"/>
                <c:pt idx="0">
                  <c:v>27</c:v>
                </c:pt>
                <c:pt idx="1">
                  <c:v>33</c:v>
                </c:pt>
                <c:pt idx="2">
                  <c:v>40</c:v>
                </c:pt>
                <c:pt idx="3">
                  <c:v>40</c:v>
                </c:pt>
                <c:pt idx="4">
                  <c:v>38</c:v>
                </c:pt>
                <c:pt idx="5">
                  <c:v>37</c:v>
                </c:pt>
                <c:pt idx="6">
                  <c:v>66</c:v>
                </c:pt>
                <c:pt idx="7">
                  <c:v>48</c:v>
                </c:pt>
                <c:pt idx="8">
                  <c:v>65</c:v>
                </c:pt>
                <c:pt idx="9">
                  <c:v>73</c:v>
                </c:pt>
                <c:pt idx="10">
                  <c:v>43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'29.07 Kigumba-Karuma'!$AF$9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Kigumba-Karuma'!$AF$10:$AF$21</c:f>
              <c:numCache>
                <c:formatCode>0</c:formatCode>
                <c:ptCount val="12"/>
                <c:pt idx="0">
                  <c:v>43</c:v>
                </c:pt>
                <c:pt idx="1">
                  <c:v>41</c:v>
                </c:pt>
                <c:pt idx="2">
                  <c:v>47</c:v>
                </c:pt>
                <c:pt idx="3">
                  <c:v>46</c:v>
                </c:pt>
                <c:pt idx="4">
                  <c:v>48</c:v>
                </c:pt>
                <c:pt idx="5">
                  <c:v>42</c:v>
                </c:pt>
                <c:pt idx="6">
                  <c:v>86</c:v>
                </c:pt>
                <c:pt idx="7">
                  <c:v>62</c:v>
                </c:pt>
                <c:pt idx="8">
                  <c:v>88</c:v>
                </c:pt>
                <c:pt idx="9">
                  <c:v>87</c:v>
                </c:pt>
                <c:pt idx="10">
                  <c:v>57</c:v>
                </c:pt>
                <c:pt idx="11">
                  <c:v>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31720"/>
        <c:axId val="205130544"/>
      </c:lineChart>
      <c:catAx>
        <c:axId val="2051317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30544"/>
        <c:crosses val="autoZero"/>
        <c:auto val="1"/>
        <c:lblAlgn val="ctr"/>
        <c:lblOffset val="100"/>
        <c:noMultiLvlLbl val="0"/>
      </c:catAx>
      <c:valAx>
        <c:axId val="2051305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3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Kigumba-Karuma'!$C$9:$N$9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Kigumba-Karuma'!$C$59:$N$59</c:f>
              <c:numCache>
                <c:formatCode>0.0%</c:formatCode>
                <c:ptCount val="12"/>
                <c:pt idx="0">
                  <c:v>0.102880658436214</c:v>
                </c:pt>
                <c:pt idx="1">
                  <c:v>0.17421124828532236</c:v>
                </c:pt>
                <c:pt idx="2">
                  <c:v>0.20987654320987653</c:v>
                </c:pt>
                <c:pt idx="3">
                  <c:v>0.10973936899862825</c:v>
                </c:pt>
                <c:pt idx="4">
                  <c:v>2.7434842249657062E-3</c:v>
                </c:pt>
                <c:pt idx="5">
                  <c:v>5.0754458161865572E-2</c:v>
                </c:pt>
                <c:pt idx="6">
                  <c:v>9.4650205761316872E-2</c:v>
                </c:pt>
                <c:pt idx="7">
                  <c:v>8.23045267489712E-3</c:v>
                </c:pt>
                <c:pt idx="8">
                  <c:v>1.2345679012345678E-2</c:v>
                </c:pt>
                <c:pt idx="9">
                  <c:v>2.194787379972565E-2</c:v>
                </c:pt>
                <c:pt idx="10">
                  <c:v>0.21262002743484226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Kigumba-Karuma'!$S$9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Kigumba-Karuma'!$S$10:$S$21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7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2</c:v>
                </c:pt>
                <c:pt idx="8">
                  <c:v>8</c:v>
                </c:pt>
                <c:pt idx="9">
                  <c:v>13</c:v>
                </c:pt>
                <c:pt idx="10">
                  <c:v>4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'29.07 Kigumba-Karuma'!$T$9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Kigumba-Karuma'!$T$10:$T$21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17</c:v>
                </c:pt>
                <c:pt idx="7">
                  <c:v>14</c:v>
                </c:pt>
                <c:pt idx="8">
                  <c:v>16</c:v>
                </c:pt>
                <c:pt idx="9">
                  <c:v>13</c:v>
                </c:pt>
                <c:pt idx="10">
                  <c:v>9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'29.07 Kigumba-Karuma'!$U$9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Kigumba-Karuma'!$U$10:$U$21</c:f>
              <c:numCache>
                <c:formatCode>0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18</c:v>
                </c:pt>
                <c:pt idx="7">
                  <c:v>15</c:v>
                </c:pt>
                <c:pt idx="8">
                  <c:v>17</c:v>
                </c:pt>
                <c:pt idx="9">
                  <c:v>16</c:v>
                </c:pt>
                <c:pt idx="10">
                  <c:v>10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'29.07 Kigumba-Karuma'!$V$9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Kigumba-Karuma'!$V$10:$V$21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12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'29.07 Kigumba-Karuma'!$W$9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Kigumba-Karuma'!$W$10:$W$21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'29.07 Kigumba-Karuma'!$X$9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Kigumba-Karuma'!$X$10:$X$21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8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'29.07 Kigumba-Karuma'!$Y$9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Kigumba-Karuma'!$Y$10:$Y$21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8</c:v>
                </c:pt>
                <c:pt idx="7">
                  <c:v>2</c:v>
                </c:pt>
                <c:pt idx="8">
                  <c:v>6</c:v>
                </c:pt>
                <c:pt idx="9">
                  <c:v>9</c:v>
                </c:pt>
                <c:pt idx="10">
                  <c:v>6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'29.07 Kigumba-Karuma'!$Z$9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Kigumba-Karuma'!$Z$10:$Z$21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'29.07 Kigumba-Karuma'!$AA$9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Kigumba-Karuma'!$AA$10:$AA$21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'29.07 Kigumba-Karuma'!$AB$9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Kigumba-Karuma'!$AB$10:$AB$21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'29.07 Kigumba-Karuma'!$AC$9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Kigumba-Karuma'!$AC$10:$AC$21</c:f>
              <c:numCache>
                <c:formatCode>0</c:formatCode>
                <c:ptCount val="12"/>
                <c:pt idx="0">
                  <c:v>16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10</c:v>
                </c:pt>
                <c:pt idx="5">
                  <c:v>5</c:v>
                </c:pt>
                <c:pt idx="6">
                  <c:v>20</c:v>
                </c:pt>
                <c:pt idx="7">
                  <c:v>14</c:v>
                </c:pt>
                <c:pt idx="8">
                  <c:v>23</c:v>
                </c:pt>
                <c:pt idx="9">
                  <c:v>14</c:v>
                </c:pt>
                <c:pt idx="10">
                  <c:v>14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'29.07 Kigumba-Karuma'!$AD$9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Kigumba-Karuma'!$AD$10:$AD$21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32504"/>
        <c:axId val="205133680"/>
      </c:lineChart>
      <c:catAx>
        <c:axId val="205132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33680"/>
        <c:crosses val="autoZero"/>
        <c:auto val="1"/>
        <c:lblAlgn val="ctr"/>
        <c:lblOffset val="100"/>
        <c:noMultiLvlLbl val="0"/>
      </c:catAx>
      <c:valAx>
        <c:axId val="20513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3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Kigumba-Karuma'!$C$9:$N$9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Kigumba-Karuma'!$C$60:$N$60</c:f>
              <c:numCache>
                <c:formatCode>0.00%</c:formatCode>
                <c:ptCount val="12"/>
                <c:pt idx="0">
                  <c:v>0.13066202090592335</c:v>
                </c:pt>
                <c:pt idx="1">
                  <c:v>0.22125435540069685</c:v>
                </c:pt>
                <c:pt idx="2">
                  <c:v>0.2665505226480836</c:v>
                </c:pt>
                <c:pt idx="3">
                  <c:v>0.13937282229965156</c:v>
                </c:pt>
                <c:pt idx="4">
                  <c:v>3.4843205574912892E-3</c:v>
                </c:pt>
                <c:pt idx="5">
                  <c:v>6.4459930313588848E-2</c:v>
                </c:pt>
                <c:pt idx="6">
                  <c:v>0.12020905923344948</c:v>
                </c:pt>
                <c:pt idx="7">
                  <c:v>1.0452961672473868E-2</c:v>
                </c:pt>
                <c:pt idx="8">
                  <c:v>1.5679442508710801E-2</c:v>
                </c:pt>
                <c:pt idx="9">
                  <c:v>2.7874564459930314E-2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Karuma-Kigumba'!$AE$9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Karuma-Kigumba'!$AE$10:$AE$21</c:f>
              <c:numCache>
                <c:formatCode>0</c:formatCode>
                <c:ptCount val="12"/>
                <c:pt idx="0">
                  <c:v>22</c:v>
                </c:pt>
                <c:pt idx="1">
                  <c:v>27</c:v>
                </c:pt>
                <c:pt idx="2">
                  <c:v>24</c:v>
                </c:pt>
                <c:pt idx="3">
                  <c:v>33</c:v>
                </c:pt>
                <c:pt idx="4">
                  <c:v>41</c:v>
                </c:pt>
                <c:pt idx="5">
                  <c:v>52</c:v>
                </c:pt>
                <c:pt idx="6">
                  <c:v>48</c:v>
                </c:pt>
                <c:pt idx="7">
                  <c:v>66</c:v>
                </c:pt>
                <c:pt idx="8">
                  <c:v>50</c:v>
                </c:pt>
                <c:pt idx="9">
                  <c:v>57</c:v>
                </c:pt>
                <c:pt idx="10">
                  <c:v>65</c:v>
                </c:pt>
                <c:pt idx="11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'30.07 Karuma-Kigumba'!$AF$9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Karuma-Kigumba'!$AF$10:$AF$21</c:f>
              <c:numCache>
                <c:formatCode>0</c:formatCode>
                <c:ptCount val="12"/>
                <c:pt idx="0">
                  <c:v>32</c:v>
                </c:pt>
                <c:pt idx="1">
                  <c:v>42</c:v>
                </c:pt>
                <c:pt idx="2">
                  <c:v>41</c:v>
                </c:pt>
                <c:pt idx="3">
                  <c:v>47</c:v>
                </c:pt>
                <c:pt idx="4">
                  <c:v>60</c:v>
                </c:pt>
                <c:pt idx="5">
                  <c:v>55</c:v>
                </c:pt>
                <c:pt idx="6">
                  <c:v>56</c:v>
                </c:pt>
                <c:pt idx="7">
                  <c:v>76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31328"/>
        <c:axId val="205142696"/>
      </c:lineChart>
      <c:catAx>
        <c:axId val="2051313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42696"/>
        <c:crosses val="autoZero"/>
        <c:auto val="1"/>
        <c:lblAlgn val="ctr"/>
        <c:lblOffset val="100"/>
        <c:noMultiLvlLbl val="0"/>
      </c:catAx>
      <c:valAx>
        <c:axId val="205142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3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Karuma-Kigumba'!$C$9:$N$9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Karuma-Kigumba'!$C$59:$N$59</c:f>
              <c:numCache>
                <c:formatCode>0.0%</c:formatCode>
                <c:ptCount val="12"/>
                <c:pt idx="0">
                  <c:v>9.7101449275362323E-2</c:v>
                </c:pt>
                <c:pt idx="1">
                  <c:v>4.9275362318840582E-2</c:v>
                </c:pt>
                <c:pt idx="2">
                  <c:v>0.23478260869565218</c:v>
                </c:pt>
                <c:pt idx="3">
                  <c:v>8.5507246376811591E-2</c:v>
                </c:pt>
                <c:pt idx="4">
                  <c:v>1.4492753623188406E-3</c:v>
                </c:pt>
                <c:pt idx="5">
                  <c:v>5.7971014492753624E-2</c:v>
                </c:pt>
                <c:pt idx="6">
                  <c:v>0.1463768115942029</c:v>
                </c:pt>
                <c:pt idx="7">
                  <c:v>2.4637681159420291E-2</c:v>
                </c:pt>
                <c:pt idx="8">
                  <c:v>5.7971014492753624E-3</c:v>
                </c:pt>
                <c:pt idx="9">
                  <c:v>6.9565217391304349E-2</c:v>
                </c:pt>
                <c:pt idx="10">
                  <c:v>0.22463768115942029</c:v>
                </c:pt>
                <c:pt idx="11">
                  <c:v>2.8985507246376812E-3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Karuma-Kigumba'!$S$9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Karuma-Kigumba'!$S$10:$S$21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7</c:v>
                </c:pt>
                <c:pt idx="7">
                  <c:v>10</c:v>
                </c:pt>
                <c:pt idx="8">
                  <c:v>5</c:v>
                </c:pt>
                <c:pt idx="9">
                  <c:v>10</c:v>
                </c:pt>
                <c:pt idx="10">
                  <c:v>9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'30.07 Karuma-Kigumba'!$T$9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Karuma-Kigumba'!$T$10:$T$21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'30.07 Karuma-Kigumba'!$U$9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Karuma-Kigumba'!$U$10:$U$21</c:f>
              <c:numCache>
                <c:formatCode>0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  <c:pt idx="6">
                  <c:v>17</c:v>
                </c:pt>
                <c:pt idx="7">
                  <c:v>15</c:v>
                </c:pt>
                <c:pt idx="8">
                  <c:v>13</c:v>
                </c:pt>
                <c:pt idx="9">
                  <c:v>17</c:v>
                </c:pt>
                <c:pt idx="10">
                  <c:v>20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'30.07 Karuma-Kigumba'!$V$9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Karuma-Kigumba'!$V$10:$V$21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6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  <c:pt idx="10">
                  <c:v>6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'30.07 Karuma-Kigumba'!$W$9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Karuma-Kigumba'!$W$10:$W$21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'30.07 Karuma-Kigumba'!$X$9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Karuma-Kigumba'!$X$10:$X$21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9</c:v>
                </c:pt>
                <c:pt idx="6">
                  <c:v>0</c:v>
                </c:pt>
                <c:pt idx="7">
                  <c:v>5</c:v>
                </c:pt>
                <c:pt idx="8">
                  <c:v>7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'30.07 Karuma-Kigumba'!$Y$9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Karuma-Kigumba'!$Y$10:$Y$21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11</c:v>
                </c:pt>
                <c:pt idx="5">
                  <c:v>9</c:v>
                </c:pt>
                <c:pt idx="6">
                  <c:v>6</c:v>
                </c:pt>
                <c:pt idx="7">
                  <c:v>10</c:v>
                </c:pt>
                <c:pt idx="8">
                  <c:v>12</c:v>
                </c:pt>
                <c:pt idx="9">
                  <c:v>6</c:v>
                </c:pt>
                <c:pt idx="10">
                  <c:v>17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'30.07 Karuma-Kigumba'!$Z$9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Karuma-Kigumba'!$Z$10:$Z$21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4</c:v>
                </c:pt>
                <c:pt idx="8">
                  <c:v>0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'30.07 Karuma-Kigumba'!$AA$9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Karuma-Kigumba'!$AA$10:$AA$21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'30.07 Karuma-Kigumba'!$AB$9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Karuma-Kigumba'!$AB$10:$AB$21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5</c:v>
                </c:pt>
                <c:pt idx="7">
                  <c:v>10</c:v>
                </c:pt>
                <c:pt idx="8">
                  <c:v>5</c:v>
                </c:pt>
                <c:pt idx="9">
                  <c:v>6</c:v>
                </c:pt>
                <c:pt idx="10">
                  <c:v>2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'30.07 Karuma-Kigumba'!$AC$9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Karuma-Kigumba'!$AC$10:$AC$21</c:f>
              <c:numCache>
                <c:formatCode>0</c:formatCode>
                <c:ptCount val="12"/>
                <c:pt idx="0">
                  <c:v>10</c:v>
                </c:pt>
                <c:pt idx="1">
                  <c:v>15</c:v>
                </c:pt>
                <c:pt idx="2">
                  <c:v>17</c:v>
                </c:pt>
                <c:pt idx="3">
                  <c:v>14</c:v>
                </c:pt>
                <c:pt idx="4">
                  <c:v>19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14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'30.07 Karuma-Kigumba'!$AD$9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Karuma-Kigumba'!$AD$10:$AD$21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43088"/>
        <c:axId val="205143480"/>
      </c:lineChart>
      <c:catAx>
        <c:axId val="20514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43480"/>
        <c:crosses val="autoZero"/>
        <c:auto val="1"/>
        <c:lblAlgn val="ctr"/>
        <c:lblOffset val="100"/>
        <c:noMultiLvlLbl val="0"/>
      </c:catAx>
      <c:valAx>
        <c:axId val="20514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4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Karuma-Kigumba'!$C$9:$N$9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Karuma-Kigumba'!$C$60:$N$60</c:f>
              <c:numCache>
                <c:formatCode>0.00%</c:formatCode>
                <c:ptCount val="12"/>
                <c:pt idx="0">
                  <c:v>0.12523364485981309</c:v>
                </c:pt>
                <c:pt idx="1">
                  <c:v>6.3551401869158877E-2</c:v>
                </c:pt>
                <c:pt idx="2">
                  <c:v>0.30280373831775703</c:v>
                </c:pt>
                <c:pt idx="3">
                  <c:v>0.1102803738317757</c:v>
                </c:pt>
                <c:pt idx="4">
                  <c:v>1.869158878504673E-3</c:v>
                </c:pt>
                <c:pt idx="5">
                  <c:v>7.476635514018691E-2</c:v>
                </c:pt>
                <c:pt idx="6">
                  <c:v>0.18878504672897195</c:v>
                </c:pt>
                <c:pt idx="7">
                  <c:v>3.1775700934579439E-2</c:v>
                </c:pt>
                <c:pt idx="8">
                  <c:v>7.4766355140186919E-3</c:v>
                </c:pt>
                <c:pt idx="9">
                  <c:v>8.9719626168224292E-2</c:v>
                </c:pt>
                <c:pt idx="11">
                  <c:v>3.7383177570093459E-3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Kigumba-Karuma'!$AE$9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Kigumba-Karuma'!$AE$10:$AE$21</c:f>
              <c:numCache>
                <c:formatCode>0</c:formatCode>
                <c:ptCount val="12"/>
                <c:pt idx="0">
                  <c:v>34</c:v>
                </c:pt>
                <c:pt idx="1">
                  <c:v>43</c:v>
                </c:pt>
                <c:pt idx="2">
                  <c:v>41</c:v>
                </c:pt>
                <c:pt idx="3">
                  <c:v>49</c:v>
                </c:pt>
                <c:pt idx="4">
                  <c:v>42</c:v>
                </c:pt>
                <c:pt idx="5">
                  <c:v>45</c:v>
                </c:pt>
                <c:pt idx="6">
                  <c:v>55</c:v>
                </c:pt>
                <c:pt idx="7">
                  <c:v>53</c:v>
                </c:pt>
                <c:pt idx="8">
                  <c:v>59</c:v>
                </c:pt>
                <c:pt idx="9">
                  <c:v>81</c:v>
                </c:pt>
                <c:pt idx="10">
                  <c:v>79</c:v>
                </c:pt>
                <c:pt idx="11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'30.07 Kigumba-Karuma'!$AF$9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Kigumba-Karuma'!$AF$10:$AF$21</c:f>
              <c:numCache>
                <c:formatCode>0</c:formatCode>
                <c:ptCount val="12"/>
                <c:pt idx="0">
                  <c:v>43</c:v>
                </c:pt>
                <c:pt idx="1">
                  <c:v>52</c:v>
                </c:pt>
                <c:pt idx="2">
                  <c:v>53</c:v>
                </c:pt>
                <c:pt idx="3">
                  <c:v>61</c:v>
                </c:pt>
                <c:pt idx="4">
                  <c:v>57</c:v>
                </c:pt>
                <c:pt idx="5">
                  <c:v>57</c:v>
                </c:pt>
                <c:pt idx="6">
                  <c:v>66</c:v>
                </c:pt>
                <c:pt idx="7">
                  <c:v>67</c:v>
                </c:pt>
                <c:pt idx="8">
                  <c:v>71</c:v>
                </c:pt>
                <c:pt idx="9">
                  <c:v>94</c:v>
                </c:pt>
                <c:pt idx="10">
                  <c:v>94</c:v>
                </c:pt>
                <c:pt idx="11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966912"/>
        <c:axId val="217970048"/>
      </c:lineChart>
      <c:catAx>
        <c:axId val="217966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7970048"/>
        <c:crosses val="autoZero"/>
        <c:auto val="1"/>
        <c:lblAlgn val="ctr"/>
        <c:lblOffset val="100"/>
        <c:noMultiLvlLbl val="0"/>
      </c:catAx>
      <c:valAx>
        <c:axId val="217970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796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Kigumba-Karuma'!$C$9:$N$9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Kigumba-Karuma'!$C$59:$N$59</c:f>
              <c:numCache>
                <c:formatCode>0.0%</c:formatCode>
                <c:ptCount val="12"/>
                <c:pt idx="0">
                  <c:v>0.11469072164948453</c:v>
                </c:pt>
                <c:pt idx="1">
                  <c:v>0.14819587628865979</c:v>
                </c:pt>
                <c:pt idx="2">
                  <c:v>0.18427835051546393</c:v>
                </c:pt>
                <c:pt idx="3">
                  <c:v>0.10824742268041238</c:v>
                </c:pt>
                <c:pt idx="4">
                  <c:v>2.5773195876288659E-3</c:v>
                </c:pt>
                <c:pt idx="5">
                  <c:v>4.6391752577319589E-2</c:v>
                </c:pt>
                <c:pt idx="6">
                  <c:v>9.9226804123711335E-2</c:v>
                </c:pt>
                <c:pt idx="7">
                  <c:v>9.0206185567010301E-3</c:v>
                </c:pt>
                <c:pt idx="8">
                  <c:v>9.0206185567010301E-3</c:v>
                </c:pt>
                <c:pt idx="9">
                  <c:v>7.7319587628865982E-2</c:v>
                </c:pt>
                <c:pt idx="10">
                  <c:v>0.19845360824742267</c:v>
                </c:pt>
                <c:pt idx="11">
                  <c:v>2.5773195876288659E-3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Kigumba-Karuma'!$S$9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Kigumba-Karuma'!$S$10:$S$21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9</c:v>
                </c:pt>
                <c:pt idx="4">
                  <c:v>7</c:v>
                </c:pt>
                <c:pt idx="5">
                  <c:v>12</c:v>
                </c:pt>
                <c:pt idx="6">
                  <c:v>3</c:v>
                </c:pt>
                <c:pt idx="7">
                  <c:v>12</c:v>
                </c:pt>
                <c:pt idx="8">
                  <c:v>10</c:v>
                </c:pt>
                <c:pt idx="9">
                  <c:v>11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'30.07 Kigumba-Karuma'!$T$9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Kigumba-Karuma'!$T$10:$T$21</c:f>
              <c:numCache>
                <c:formatCode>0</c:formatCode>
                <c:ptCount val="12"/>
                <c:pt idx="0">
                  <c:v>4</c:v>
                </c:pt>
                <c:pt idx="1">
                  <c:v>8</c:v>
                </c:pt>
                <c:pt idx="2">
                  <c:v>6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12</c:v>
                </c:pt>
                <c:pt idx="7">
                  <c:v>10</c:v>
                </c:pt>
                <c:pt idx="8">
                  <c:v>15</c:v>
                </c:pt>
                <c:pt idx="9">
                  <c:v>14</c:v>
                </c:pt>
                <c:pt idx="10">
                  <c:v>19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'30.07 Kigumba-Karuma'!$U$9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Kigumba-Karuma'!$U$10:$U$21</c:f>
              <c:numCache>
                <c:formatCode>0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13</c:v>
                </c:pt>
                <c:pt idx="7">
                  <c:v>13</c:v>
                </c:pt>
                <c:pt idx="8">
                  <c:v>17</c:v>
                </c:pt>
                <c:pt idx="9">
                  <c:v>16</c:v>
                </c:pt>
                <c:pt idx="10">
                  <c:v>21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'30.07 Kigumba-Karuma'!$V$9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Kigumba-Karuma'!$V$10:$V$21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5</c:v>
                </c:pt>
                <c:pt idx="5">
                  <c:v>8</c:v>
                </c:pt>
                <c:pt idx="6">
                  <c:v>8</c:v>
                </c:pt>
                <c:pt idx="7">
                  <c:v>5</c:v>
                </c:pt>
                <c:pt idx="8">
                  <c:v>2</c:v>
                </c:pt>
                <c:pt idx="9">
                  <c:v>14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'30.07 Kigumba-Karuma'!$W$9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Kigumba-Karuma'!$W$10:$W$21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'30.07 Kigumba-Karuma'!$X$9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Kigumba-Karuma'!$X$10:$X$21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'30.07 Kigumba-Karuma'!$Y$9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Kigumba-Karuma'!$Y$10:$Y$21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10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'30.07 Kigumba-Karuma'!$Z$9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Kigumba-Karuma'!$Z$10:$Z$21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'30.07 Kigumba-Karuma'!$AA$9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Kigumba-Karuma'!$AA$10:$AA$21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'30.07 Kigumba-Karuma'!$AB$9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Kigumba-Karuma'!$AB$10:$AB$21</c:f>
              <c:numCache>
                <c:formatCode>0</c:formatCode>
                <c:ptCount val="12"/>
                <c:pt idx="0">
                  <c:v>13</c:v>
                </c:pt>
                <c:pt idx="1">
                  <c:v>3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'30.07 Kigumba-Karuma'!$AC$9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Kigumba-Karuma'!$AC$10:$AC$21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12</c:v>
                </c:pt>
                <c:pt idx="3">
                  <c:v>12</c:v>
                </c:pt>
                <c:pt idx="4">
                  <c:v>15</c:v>
                </c:pt>
                <c:pt idx="5">
                  <c:v>12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'30.07 Kigumba-Karuma'!$AD$9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Kigumba-Karuma'!$AD$10:$AD$21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962992"/>
        <c:axId val="217967304"/>
      </c:lineChart>
      <c:catAx>
        <c:axId val="21796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7967304"/>
        <c:crosses val="autoZero"/>
        <c:auto val="1"/>
        <c:lblAlgn val="ctr"/>
        <c:lblOffset val="100"/>
        <c:noMultiLvlLbl val="0"/>
      </c:catAx>
      <c:valAx>
        <c:axId val="21796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796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Kigumba-Karuma'!$C$9:$N$9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Kigumba-Karuma'!$C$60:$N$60</c:f>
              <c:numCache>
                <c:formatCode>0.00%</c:formatCode>
                <c:ptCount val="12"/>
                <c:pt idx="0">
                  <c:v>0.14308681672025725</c:v>
                </c:pt>
                <c:pt idx="1">
                  <c:v>0.18488745980707397</c:v>
                </c:pt>
                <c:pt idx="2">
                  <c:v>0.22990353697749197</c:v>
                </c:pt>
                <c:pt idx="3">
                  <c:v>0.13504823151125403</c:v>
                </c:pt>
                <c:pt idx="4">
                  <c:v>3.2154340836012861E-3</c:v>
                </c:pt>
                <c:pt idx="5">
                  <c:v>5.7877813504823149E-2</c:v>
                </c:pt>
                <c:pt idx="6">
                  <c:v>0.12379421221864952</c:v>
                </c:pt>
                <c:pt idx="7">
                  <c:v>1.1254019292604502E-2</c:v>
                </c:pt>
                <c:pt idx="8">
                  <c:v>1.1254019292604502E-2</c:v>
                </c:pt>
                <c:pt idx="9">
                  <c:v>9.6463022508038579E-2</c:v>
                </c:pt>
                <c:pt idx="11">
                  <c:v>3.2154340836012861E-3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Karuma-Kigumba'!$AE$9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Karuma-Kigumba'!$AE$10:$AE$21</c:f>
              <c:numCache>
                <c:formatCode>0</c:formatCode>
                <c:ptCount val="12"/>
                <c:pt idx="0">
                  <c:v>21</c:v>
                </c:pt>
                <c:pt idx="1">
                  <c:v>26</c:v>
                </c:pt>
                <c:pt idx="2">
                  <c:v>33</c:v>
                </c:pt>
                <c:pt idx="3">
                  <c:v>36</c:v>
                </c:pt>
                <c:pt idx="4">
                  <c:v>48</c:v>
                </c:pt>
                <c:pt idx="5">
                  <c:v>56</c:v>
                </c:pt>
                <c:pt idx="6">
                  <c:v>66</c:v>
                </c:pt>
                <c:pt idx="7">
                  <c:v>55</c:v>
                </c:pt>
                <c:pt idx="8">
                  <c:v>55</c:v>
                </c:pt>
                <c:pt idx="9">
                  <c:v>62</c:v>
                </c:pt>
                <c:pt idx="10">
                  <c:v>51</c:v>
                </c:pt>
                <c:pt idx="11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'31.07 Karuma-Kigumba'!$AF$9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Karuma-Kigumba'!$AF$10:$AF$21</c:f>
              <c:numCache>
                <c:formatCode>0</c:formatCode>
                <c:ptCount val="12"/>
                <c:pt idx="0">
                  <c:v>26</c:v>
                </c:pt>
                <c:pt idx="1">
                  <c:v>36</c:v>
                </c:pt>
                <c:pt idx="2">
                  <c:v>46</c:v>
                </c:pt>
                <c:pt idx="3">
                  <c:v>45</c:v>
                </c:pt>
                <c:pt idx="4">
                  <c:v>59</c:v>
                </c:pt>
                <c:pt idx="5">
                  <c:v>64</c:v>
                </c:pt>
                <c:pt idx="6">
                  <c:v>94</c:v>
                </c:pt>
                <c:pt idx="7">
                  <c:v>69</c:v>
                </c:pt>
                <c:pt idx="8">
                  <c:v>79</c:v>
                </c:pt>
                <c:pt idx="9">
                  <c:v>80</c:v>
                </c:pt>
                <c:pt idx="10">
                  <c:v>70</c:v>
                </c:pt>
                <c:pt idx="11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964952"/>
        <c:axId val="217966520"/>
      </c:lineChart>
      <c:catAx>
        <c:axId val="217964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7966520"/>
        <c:crosses val="autoZero"/>
        <c:auto val="1"/>
        <c:lblAlgn val="ctr"/>
        <c:lblOffset val="100"/>
        <c:noMultiLvlLbl val="0"/>
      </c:catAx>
      <c:valAx>
        <c:axId val="217966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796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Karuma-Kigumba'!$C$9:$N$9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Karuma-Kigumba'!$C$59:$N$59</c:f>
              <c:numCache>
                <c:formatCode>0.0%</c:formatCode>
                <c:ptCount val="12"/>
                <c:pt idx="0">
                  <c:v>0.10053619302949061</c:v>
                </c:pt>
                <c:pt idx="1">
                  <c:v>5.7640750670241284E-2</c:v>
                </c:pt>
                <c:pt idx="2">
                  <c:v>0.23860589812332439</c:v>
                </c:pt>
                <c:pt idx="3">
                  <c:v>9.7855227882037529E-2</c:v>
                </c:pt>
                <c:pt idx="4">
                  <c:v>2.6809651474530832E-3</c:v>
                </c:pt>
                <c:pt idx="5">
                  <c:v>5.6300268096514748E-2</c:v>
                </c:pt>
                <c:pt idx="6">
                  <c:v>0.12600536193029491</c:v>
                </c:pt>
                <c:pt idx="7">
                  <c:v>1.6085790884718499E-2</c:v>
                </c:pt>
                <c:pt idx="8">
                  <c:v>1.3404825737265416E-2</c:v>
                </c:pt>
                <c:pt idx="9">
                  <c:v>5.8981233243967826E-2</c:v>
                </c:pt>
                <c:pt idx="10">
                  <c:v>0.23056300268096513</c:v>
                </c:pt>
                <c:pt idx="11">
                  <c:v>1.3404825737265416E-3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Karuma-Kigumba'!$S$9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Karuma-Kigumba'!$S$10:$S$21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7</c:v>
                </c:pt>
                <c:pt idx="6">
                  <c:v>13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5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'31.07 Karuma-Kigumba'!$T$9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Karuma-Kigumba'!$T$10:$T$21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'31.07 Karuma-Kigumba'!$U$9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Karuma-Kigumba'!$U$10:$U$21</c:f>
              <c:numCache>
                <c:formatCode>0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11</c:v>
                </c:pt>
                <c:pt idx="3">
                  <c:v>10</c:v>
                </c:pt>
                <c:pt idx="4">
                  <c:v>17</c:v>
                </c:pt>
                <c:pt idx="5">
                  <c:v>18</c:v>
                </c:pt>
                <c:pt idx="6">
                  <c:v>20</c:v>
                </c:pt>
                <c:pt idx="7">
                  <c:v>18</c:v>
                </c:pt>
                <c:pt idx="8">
                  <c:v>17</c:v>
                </c:pt>
                <c:pt idx="9">
                  <c:v>19</c:v>
                </c:pt>
                <c:pt idx="10">
                  <c:v>17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'31.07 Karuma-Kigumba'!$V$9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Karuma-Kigumba'!$V$10:$V$21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4</c:v>
                </c:pt>
                <c:pt idx="9">
                  <c:v>5</c:v>
                </c:pt>
                <c:pt idx="10">
                  <c:v>8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'31.07 Karuma-Kigumba'!$W$9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Karuma-Kigumba'!$W$10:$W$21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'31.07 Karuma-Kigumba'!$X$9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Karuma-Kigumba'!$X$10:$X$21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'31.07 Karuma-Kigumba'!$Y$9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Karuma-Kigumba'!$Y$10:$Y$21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6">
                  <c:v>11</c:v>
                </c:pt>
                <c:pt idx="7">
                  <c:v>8</c:v>
                </c:pt>
                <c:pt idx="8">
                  <c:v>15</c:v>
                </c:pt>
                <c:pt idx="9">
                  <c:v>15</c:v>
                </c:pt>
                <c:pt idx="10">
                  <c:v>5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'31.07 Karuma-Kigumba'!$Z$9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Karuma-Kigumba'!$Z$10:$Z$21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'31.07 Karuma-Kigumba'!$AA$9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Karuma-Kigumba'!$AA$10:$AA$21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'31.07 Karuma-Kigumba'!$AB$9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Karuma-Kigumba'!$AB$10:$AB$21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9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'31.07 Karuma-Kigumba'!$AC$9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Karuma-Kigumba'!$AC$10:$AC$21</c:f>
              <c:numCache>
                <c:formatCode>0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8</c:v>
                </c:pt>
                <c:pt idx="6">
                  <c:v>28</c:v>
                </c:pt>
                <c:pt idx="7">
                  <c:v>14</c:v>
                </c:pt>
                <c:pt idx="8">
                  <c:v>24</c:v>
                </c:pt>
                <c:pt idx="9">
                  <c:v>18</c:v>
                </c:pt>
                <c:pt idx="10">
                  <c:v>19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'31.07 Karuma-Kigumba'!$AD$9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Karuma-Kigumba'!$AD$10:$AD$21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968872"/>
        <c:axId val="217963776"/>
      </c:lineChart>
      <c:catAx>
        <c:axId val="217968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7963776"/>
        <c:crosses val="autoZero"/>
        <c:auto val="1"/>
        <c:lblAlgn val="ctr"/>
        <c:lblOffset val="100"/>
        <c:noMultiLvlLbl val="0"/>
      </c:catAx>
      <c:valAx>
        <c:axId val="21796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796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Karuma-Kigumba'!$C$9:$N$9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Karuma-Kigumba'!$C$60:$N$60</c:f>
              <c:numCache>
                <c:formatCode>0.00%</c:formatCode>
                <c:ptCount val="12"/>
                <c:pt idx="0">
                  <c:v>0.13066202090592335</c:v>
                </c:pt>
                <c:pt idx="1">
                  <c:v>7.4912891986062713E-2</c:v>
                </c:pt>
                <c:pt idx="2">
                  <c:v>0.31010452961672474</c:v>
                </c:pt>
                <c:pt idx="3">
                  <c:v>0.12717770034843207</c:v>
                </c:pt>
                <c:pt idx="4">
                  <c:v>3.4843205574912892E-3</c:v>
                </c:pt>
                <c:pt idx="5">
                  <c:v>7.3170731707317069E-2</c:v>
                </c:pt>
                <c:pt idx="6">
                  <c:v>0.16376306620209058</c:v>
                </c:pt>
                <c:pt idx="7">
                  <c:v>2.0905923344947737E-2</c:v>
                </c:pt>
                <c:pt idx="8">
                  <c:v>1.7421602787456445E-2</c:v>
                </c:pt>
                <c:pt idx="9">
                  <c:v>7.6655052264808357E-2</c:v>
                </c:pt>
                <c:pt idx="11">
                  <c:v>1.7421602787456446E-3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Kigumba-Karuma'!$AE$9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Kigumba-Karuma'!$AE$10:$AE$21</c:f>
              <c:numCache>
                <c:formatCode>0</c:formatCode>
                <c:ptCount val="12"/>
                <c:pt idx="0">
                  <c:v>44</c:v>
                </c:pt>
                <c:pt idx="1">
                  <c:v>47</c:v>
                </c:pt>
                <c:pt idx="2">
                  <c:v>45</c:v>
                </c:pt>
                <c:pt idx="3">
                  <c:v>39</c:v>
                </c:pt>
                <c:pt idx="4">
                  <c:v>46</c:v>
                </c:pt>
                <c:pt idx="5">
                  <c:v>47</c:v>
                </c:pt>
                <c:pt idx="6">
                  <c:v>31</c:v>
                </c:pt>
                <c:pt idx="7">
                  <c:v>45</c:v>
                </c:pt>
                <c:pt idx="8">
                  <c:v>47</c:v>
                </c:pt>
                <c:pt idx="9">
                  <c:v>62</c:v>
                </c:pt>
                <c:pt idx="10">
                  <c:v>45</c:v>
                </c:pt>
                <c:pt idx="11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'31.07 Kigumba-Karuma'!$AF$9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Kigumba-Karuma'!$AF$10:$AF$21</c:f>
              <c:numCache>
                <c:formatCode>0</c:formatCode>
                <c:ptCount val="12"/>
                <c:pt idx="0">
                  <c:v>55</c:v>
                </c:pt>
                <c:pt idx="1">
                  <c:v>56</c:v>
                </c:pt>
                <c:pt idx="2">
                  <c:v>53</c:v>
                </c:pt>
                <c:pt idx="3">
                  <c:v>57</c:v>
                </c:pt>
                <c:pt idx="4">
                  <c:v>64</c:v>
                </c:pt>
                <c:pt idx="5">
                  <c:v>66</c:v>
                </c:pt>
                <c:pt idx="6">
                  <c:v>45</c:v>
                </c:pt>
                <c:pt idx="7">
                  <c:v>69</c:v>
                </c:pt>
                <c:pt idx="8">
                  <c:v>54</c:v>
                </c:pt>
                <c:pt idx="9">
                  <c:v>83</c:v>
                </c:pt>
                <c:pt idx="10">
                  <c:v>71</c:v>
                </c:pt>
                <c:pt idx="11">
                  <c:v>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789424"/>
        <c:axId val="223785896"/>
      </c:lineChart>
      <c:catAx>
        <c:axId val="2237894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785896"/>
        <c:crosses val="autoZero"/>
        <c:auto val="1"/>
        <c:lblAlgn val="ctr"/>
        <c:lblOffset val="100"/>
        <c:noMultiLvlLbl val="0"/>
      </c:catAx>
      <c:valAx>
        <c:axId val="223785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78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Kigumba-Karuma'!$C$9:$N$9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Kigumba-Karuma'!$C$59:$N$59</c:f>
              <c:numCache>
                <c:formatCode>0.0%</c:formatCode>
                <c:ptCount val="12"/>
                <c:pt idx="0">
                  <c:v>0.12096774193548387</c:v>
                </c:pt>
                <c:pt idx="1">
                  <c:v>7.7956989247311828E-2</c:v>
                </c:pt>
                <c:pt idx="2">
                  <c:v>0.19220430107526881</c:v>
                </c:pt>
                <c:pt idx="3">
                  <c:v>0.11021505376344086</c:v>
                </c:pt>
                <c:pt idx="4">
                  <c:v>5.3763440860215058E-3</c:v>
                </c:pt>
                <c:pt idx="5">
                  <c:v>4.9731182795698922E-2</c:v>
                </c:pt>
                <c:pt idx="6">
                  <c:v>0.10080645161290322</c:v>
                </c:pt>
                <c:pt idx="7">
                  <c:v>2.4193548387096774E-2</c:v>
                </c:pt>
                <c:pt idx="8">
                  <c:v>4.0322580645161289E-3</c:v>
                </c:pt>
                <c:pt idx="9">
                  <c:v>6.1827956989247312E-2</c:v>
                </c:pt>
                <c:pt idx="10">
                  <c:v>0.25268817204301075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Kigumba-Karuma'!$C$9:$N$9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Kigumba-Karuma'!$C$60:$N$60</c:f>
              <c:numCache>
                <c:formatCode>0.00%</c:formatCode>
                <c:ptCount val="12"/>
                <c:pt idx="0">
                  <c:v>0.16187050359712229</c:v>
                </c:pt>
                <c:pt idx="1">
                  <c:v>0.10431654676258993</c:v>
                </c:pt>
                <c:pt idx="2">
                  <c:v>0.25719424460431656</c:v>
                </c:pt>
                <c:pt idx="3">
                  <c:v>0.14748201438848921</c:v>
                </c:pt>
                <c:pt idx="4">
                  <c:v>7.1942446043165471E-3</c:v>
                </c:pt>
                <c:pt idx="5">
                  <c:v>6.654676258992806E-2</c:v>
                </c:pt>
                <c:pt idx="6">
                  <c:v>0.13489208633093525</c:v>
                </c:pt>
                <c:pt idx="7">
                  <c:v>3.237410071942446E-2</c:v>
                </c:pt>
                <c:pt idx="8">
                  <c:v>5.3956834532374104E-3</c:v>
                </c:pt>
                <c:pt idx="9">
                  <c:v>8.2733812949640287E-2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Karuma-Kigumba'!$AE$9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Karuma-Kigumba'!$AE$10:$AE$21</c:f>
              <c:numCache>
                <c:formatCode>0</c:formatCode>
                <c:ptCount val="12"/>
                <c:pt idx="0">
                  <c:v>26</c:v>
                </c:pt>
                <c:pt idx="1">
                  <c:v>17</c:v>
                </c:pt>
                <c:pt idx="2">
                  <c:v>29</c:v>
                </c:pt>
                <c:pt idx="3">
                  <c:v>52</c:v>
                </c:pt>
                <c:pt idx="4">
                  <c:v>50</c:v>
                </c:pt>
                <c:pt idx="5">
                  <c:v>51</c:v>
                </c:pt>
                <c:pt idx="6">
                  <c:v>51</c:v>
                </c:pt>
                <c:pt idx="7">
                  <c:v>55</c:v>
                </c:pt>
                <c:pt idx="8">
                  <c:v>58</c:v>
                </c:pt>
                <c:pt idx="9">
                  <c:v>63</c:v>
                </c:pt>
                <c:pt idx="10">
                  <c:v>64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'01.08 Karuma-Kigumba'!$AF$9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Karuma-Kigumba'!$AF$10:$AF$21</c:f>
              <c:numCache>
                <c:formatCode>0</c:formatCode>
                <c:ptCount val="12"/>
                <c:pt idx="0">
                  <c:v>39</c:v>
                </c:pt>
                <c:pt idx="1">
                  <c:v>25</c:v>
                </c:pt>
                <c:pt idx="2">
                  <c:v>42</c:v>
                </c:pt>
                <c:pt idx="3">
                  <c:v>63</c:v>
                </c:pt>
                <c:pt idx="4">
                  <c:v>60</c:v>
                </c:pt>
                <c:pt idx="5">
                  <c:v>62</c:v>
                </c:pt>
                <c:pt idx="6">
                  <c:v>60</c:v>
                </c:pt>
                <c:pt idx="7">
                  <c:v>63</c:v>
                </c:pt>
                <c:pt idx="8">
                  <c:v>67</c:v>
                </c:pt>
                <c:pt idx="9">
                  <c:v>86</c:v>
                </c:pt>
                <c:pt idx="10">
                  <c:v>87</c:v>
                </c:pt>
                <c:pt idx="11">
                  <c:v>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786680"/>
        <c:axId val="223792168"/>
      </c:lineChart>
      <c:catAx>
        <c:axId val="2237866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792168"/>
        <c:crosses val="autoZero"/>
        <c:auto val="1"/>
        <c:lblAlgn val="ctr"/>
        <c:lblOffset val="100"/>
        <c:noMultiLvlLbl val="0"/>
      </c:catAx>
      <c:valAx>
        <c:axId val="223792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78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Karuma-Kigumba'!$C$9:$N$9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Karuma-Kigumba'!$C$59:$N$59</c:f>
              <c:numCache>
                <c:formatCode>0.0%</c:formatCode>
                <c:ptCount val="12"/>
                <c:pt idx="0">
                  <c:v>0.10363391655450875</c:v>
                </c:pt>
                <c:pt idx="1">
                  <c:v>0.13997308209959622</c:v>
                </c:pt>
                <c:pt idx="2">
                  <c:v>0.17227456258411844</c:v>
                </c:pt>
                <c:pt idx="3">
                  <c:v>7.9407806191117092E-2</c:v>
                </c:pt>
                <c:pt idx="4">
                  <c:v>5.3835800807537013E-3</c:v>
                </c:pt>
                <c:pt idx="5">
                  <c:v>5.7873485868102287E-2</c:v>
                </c:pt>
                <c:pt idx="6">
                  <c:v>0.11574697173620457</c:v>
                </c:pt>
                <c:pt idx="7">
                  <c:v>1.8842530282637954E-2</c:v>
                </c:pt>
                <c:pt idx="8">
                  <c:v>9.4212651413189772E-3</c:v>
                </c:pt>
                <c:pt idx="9">
                  <c:v>7.6716016150740238E-2</c:v>
                </c:pt>
                <c:pt idx="10">
                  <c:v>0.21938088829071331</c:v>
                </c:pt>
                <c:pt idx="11">
                  <c:v>1.3458950201884253E-3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Karuma-Kigumba'!$S$9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'01.08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Karuma-Kigumba'!$S$10:$S$21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2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'01.08 Karuma-Kigumba'!$T$9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'01.08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Karuma-Kigumba'!$T$10:$T$21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14</c:v>
                </c:pt>
                <c:pt idx="4">
                  <c:v>6</c:v>
                </c:pt>
                <c:pt idx="5">
                  <c:v>10</c:v>
                </c:pt>
                <c:pt idx="6">
                  <c:v>10</c:v>
                </c:pt>
                <c:pt idx="7">
                  <c:v>8</c:v>
                </c:pt>
                <c:pt idx="8">
                  <c:v>11</c:v>
                </c:pt>
                <c:pt idx="9">
                  <c:v>11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'01.08 Karuma-Kigumba'!$U$9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'01.08 Karuma-Kigumba'!$U$10:$U$21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16</c:v>
                </c:pt>
                <c:pt idx="4">
                  <c:v>10</c:v>
                </c:pt>
                <c:pt idx="5">
                  <c:v>13</c:v>
                </c:pt>
                <c:pt idx="6">
                  <c:v>11</c:v>
                </c:pt>
                <c:pt idx="7">
                  <c:v>9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'01.08 Karuma-Kigumba'!$V$9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'01.08 Karuma-Kigumba'!$V$10:$V$21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3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'01.08 Karuma-Kigumba'!$W$9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'01.08 Karuma-Kigumba'!$W$10:$W$21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'01.08 Karuma-Kigumba'!$X$9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'01.08 Karuma-Kigumba'!$X$10:$X$21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7</c:v>
                </c:pt>
                <c:pt idx="9">
                  <c:v>3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'01.08 Karuma-Kigumba'!$Y$9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Karuma-Kigumba'!$Y$10:$Y$21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10</c:v>
                </c:pt>
                <c:pt idx="10">
                  <c:v>9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'01.08 Karuma-Kigumba'!$Z$9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Karuma-Kigumba'!$Z$10:$Z$21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'01.08 Karuma-Kigumba'!$AA$9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Karuma-Kigumba'!$AA$10:$AA$21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'01.08 Karuma-Kigumba'!$AB$9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Karuma-Kigumba'!$AB$10:$AB$21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3</c:v>
                </c:pt>
                <c:pt idx="7">
                  <c:v>8</c:v>
                </c:pt>
                <c:pt idx="8">
                  <c:v>4</c:v>
                </c:pt>
                <c:pt idx="9">
                  <c:v>8</c:v>
                </c:pt>
                <c:pt idx="10">
                  <c:v>5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'01.08 Karuma-Kigumba'!$AC$9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Karuma-Kigumba'!$AC$10:$AC$21</c:f>
              <c:numCache>
                <c:formatCode>0</c:formatCode>
                <c:ptCount val="12"/>
                <c:pt idx="0">
                  <c:v>13</c:v>
                </c:pt>
                <c:pt idx="1">
                  <c:v>8</c:v>
                </c:pt>
                <c:pt idx="2">
                  <c:v>13</c:v>
                </c:pt>
                <c:pt idx="3">
                  <c:v>11</c:v>
                </c:pt>
                <c:pt idx="4">
                  <c:v>10</c:v>
                </c:pt>
                <c:pt idx="5">
                  <c:v>11</c:v>
                </c:pt>
                <c:pt idx="6">
                  <c:v>9</c:v>
                </c:pt>
                <c:pt idx="7">
                  <c:v>8</c:v>
                </c:pt>
                <c:pt idx="8">
                  <c:v>9</c:v>
                </c:pt>
                <c:pt idx="9">
                  <c:v>23</c:v>
                </c:pt>
                <c:pt idx="10">
                  <c:v>23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'01.08 Karuma-Kigumba'!$AD$9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Karuma-Kigumba'!$AD$10:$AD$21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784720"/>
        <c:axId val="223785504"/>
      </c:lineChart>
      <c:catAx>
        <c:axId val="22378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785504"/>
        <c:crosses val="autoZero"/>
        <c:auto val="1"/>
        <c:lblAlgn val="ctr"/>
        <c:lblOffset val="100"/>
        <c:noMultiLvlLbl val="0"/>
      </c:catAx>
      <c:valAx>
        <c:axId val="22378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78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Karuma-Kigumba'!$C$9:$N$9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Karuma-Kigumba'!$C$60:$N$60</c:f>
              <c:numCache>
                <c:formatCode>0.00%</c:formatCode>
                <c:ptCount val="12"/>
                <c:pt idx="0">
                  <c:v>0.13275862068965516</c:v>
                </c:pt>
                <c:pt idx="1">
                  <c:v>0.1793103448275862</c:v>
                </c:pt>
                <c:pt idx="2">
                  <c:v>0.22068965517241379</c:v>
                </c:pt>
                <c:pt idx="3">
                  <c:v>0.10172413793103448</c:v>
                </c:pt>
                <c:pt idx="4">
                  <c:v>6.8965517241379309E-3</c:v>
                </c:pt>
                <c:pt idx="5">
                  <c:v>7.4137931034482754E-2</c:v>
                </c:pt>
                <c:pt idx="6">
                  <c:v>0.14827586206896551</c:v>
                </c:pt>
                <c:pt idx="7">
                  <c:v>2.4137931034482758E-2</c:v>
                </c:pt>
                <c:pt idx="8">
                  <c:v>1.2068965517241379E-2</c:v>
                </c:pt>
                <c:pt idx="9">
                  <c:v>9.8275862068965519E-2</c:v>
                </c:pt>
                <c:pt idx="11">
                  <c:v>1.7241379310344827E-3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Kigumba-Karuma'!$AE$9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Kigumba-Karuma'!$AE$10:$AE$21</c:f>
              <c:numCache>
                <c:formatCode>0</c:formatCode>
                <c:ptCount val="12"/>
                <c:pt idx="0">
                  <c:v>29</c:v>
                </c:pt>
                <c:pt idx="1">
                  <c:v>44</c:v>
                </c:pt>
                <c:pt idx="2">
                  <c:v>39</c:v>
                </c:pt>
                <c:pt idx="3">
                  <c:v>42</c:v>
                </c:pt>
                <c:pt idx="4">
                  <c:v>35</c:v>
                </c:pt>
                <c:pt idx="5">
                  <c:v>44</c:v>
                </c:pt>
                <c:pt idx="6">
                  <c:v>51</c:v>
                </c:pt>
                <c:pt idx="7">
                  <c:v>45</c:v>
                </c:pt>
                <c:pt idx="8">
                  <c:v>58</c:v>
                </c:pt>
                <c:pt idx="9">
                  <c:v>63</c:v>
                </c:pt>
                <c:pt idx="10">
                  <c:v>54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'01.08 Kigumba-Karuma'!$AF$9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Kigumba-Karuma'!$AF$10:$AF$21</c:f>
              <c:numCache>
                <c:formatCode>0</c:formatCode>
                <c:ptCount val="12"/>
                <c:pt idx="0">
                  <c:v>32</c:v>
                </c:pt>
                <c:pt idx="1">
                  <c:v>60</c:v>
                </c:pt>
                <c:pt idx="2">
                  <c:v>59</c:v>
                </c:pt>
                <c:pt idx="3">
                  <c:v>60</c:v>
                </c:pt>
                <c:pt idx="4">
                  <c:v>47</c:v>
                </c:pt>
                <c:pt idx="5">
                  <c:v>58</c:v>
                </c:pt>
                <c:pt idx="6">
                  <c:v>65</c:v>
                </c:pt>
                <c:pt idx="7">
                  <c:v>55</c:v>
                </c:pt>
                <c:pt idx="8">
                  <c:v>71</c:v>
                </c:pt>
                <c:pt idx="9">
                  <c:v>87</c:v>
                </c:pt>
                <c:pt idx="10">
                  <c:v>75</c:v>
                </c:pt>
                <c:pt idx="11">
                  <c:v>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985032"/>
        <c:axId val="166985424"/>
      </c:lineChart>
      <c:catAx>
        <c:axId val="1669850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6985424"/>
        <c:crosses val="autoZero"/>
        <c:auto val="1"/>
        <c:lblAlgn val="ctr"/>
        <c:lblOffset val="100"/>
        <c:noMultiLvlLbl val="0"/>
      </c:catAx>
      <c:valAx>
        <c:axId val="1669854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6985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Kigumba-Karuma'!$C$9:$N$9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Kigumba-Karuma'!$C$59:$N$59</c:f>
              <c:numCache>
                <c:formatCode>0.0%</c:formatCode>
                <c:ptCount val="12"/>
                <c:pt idx="0">
                  <c:v>0.10857908847184987</c:v>
                </c:pt>
                <c:pt idx="1">
                  <c:v>6.8364611260053623E-2</c:v>
                </c:pt>
                <c:pt idx="2">
                  <c:v>0.2546916890080429</c:v>
                </c:pt>
                <c:pt idx="3">
                  <c:v>9.2493297587131373E-2</c:v>
                </c:pt>
                <c:pt idx="4">
                  <c:v>8.0428954423592495E-3</c:v>
                </c:pt>
                <c:pt idx="5">
                  <c:v>4.9597855227882036E-2</c:v>
                </c:pt>
                <c:pt idx="6">
                  <c:v>9.9195710455764072E-2</c:v>
                </c:pt>
                <c:pt idx="7">
                  <c:v>1.876675603217158E-2</c:v>
                </c:pt>
                <c:pt idx="8">
                  <c:v>1.2064343163538873E-2</c:v>
                </c:pt>
                <c:pt idx="9">
                  <c:v>4.9597855227882036E-2</c:v>
                </c:pt>
                <c:pt idx="10">
                  <c:v>0.23860589812332439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Kigumba-Karuma'!$S$9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'01.08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Kigumba-Karuma'!$S$10:$S$21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7</c:v>
                </c:pt>
                <c:pt idx="7">
                  <c:v>5</c:v>
                </c:pt>
                <c:pt idx="8">
                  <c:v>13</c:v>
                </c:pt>
                <c:pt idx="9">
                  <c:v>13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'01.08 Kigumba-Karuma'!$T$9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'01.08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'01.08 Kigumba-Karuma'!$T$10:$T$21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3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'01.08 Kigumba-Karuma'!$U$9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'01.08 Kigumba-Karuma'!$U$10:$U$21</c:f>
              <c:numCache>
                <c:formatCode>0</c:formatCode>
                <c:ptCount val="12"/>
                <c:pt idx="0">
                  <c:v>7</c:v>
                </c:pt>
                <c:pt idx="1">
                  <c:v>15</c:v>
                </c:pt>
                <c:pt idx="2">
                  <c:v>17</c:v>
                </c:pt>
                <c:pt idx="3">
                  <c:v>13</c:v>
                </c:pt>
                <c:pt idx="4">
                  <c:v>10</c:v>
                </c:pt>
                <c:pt idx="5">
                  <c:v>16</c:v>
                </c:pt>
                <c:pt idx="6">
                  <c:v>20</c:v>
                </c:pt>
                <c:pt idx="7">
                  <c:v>17</c:v>
                </c:pt>
                <c:pt idx="8">
                  <c:v>18</c:v>
                </c:pt>
                <c:pt idx="9">
                  <c:v>16</c:v>
                </c:pt>
                <c:pt idx="10">
                  <c:v>18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'01.08 Kigumba-Karuma'!$V$9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'01.08 Kigumba-Karuma'!$V$10:$V$21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8</c:v>
                </c:pt>
                <c:pt idx="5">
                  <c:v>4</c:v>
                </c:pt>
                <c:pt idx="6">
                  <c:v>6</c:v>
                </c:pt>
                <c:pt idx="7">
                  <c:v>3</c:v>
                </c:pt>
                <c:pt idx="8">
                  <c:v>7</c:v>
                </c:pt>
                <c:pt idx="9">
                  <c:v>11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'01.08 Kigumba-Karuma'!$W$9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'01.08 Kigumba-Karuma'!$W$10:$W$21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'01.08 Kigumba-Karuma'!$X$9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'01.08 Kigumba-Karuma'!$X$10:$X$21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1</c:v>
                </c:pt>
                <c:pt idx="8">
                  <c:v>4</c:v>
                </c:pt>
                <c:pt idx="9">
                  <c:v>7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'01.08 Kigumba-Karuma'!$Y$9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Kigumba-Karuma'!$Y$10:$Y$21</c:f>
              <c:numCache>
                <c:formatCode>0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0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10</c:v>
                </c:pt>
                <c:pt idx="8">
                  <c:v>4</c:v>
                </c:pt>
                <c:pt idx="9">
                  <c:v>12</c:v>
                </c:pt>
                <c:pt idx="10">
                  <c:v>8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'01.08 Kigumba-Karuma'!$Z$9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Kigumba-Karuma'!$Z$10:$Z$21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'01.08 Kigumba-Karuma'!$AA$9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Kigumba-Karuma'!$AA$10:$AA$21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'01.08 Kigumba-Karuma'!$AB$9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Kigumba-Karuma'!$AB$10:$AB$21</c:f>
              <c:numCache>
                <c:formatCode>0</c:formatCode>
                <c:ptCount val="12"/>
                <c:pt idx="0">
                  <c:v>10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'01.08 Kigumba-Karuma'!$AC$9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Kigumba-Karuma'!$AC$10:$AC$21</c:f>
              <c:numCache>
                <c:formatCode>0</c:formatCode>
                <c:ptCount val="12"/>
                <c:pt idx="0">
                  <c:v>3</c:v>
                </c:pt>
                <c:pt idx="1">
                  <c:v>16</c:v>
                </c:pt>
                <c:pt idx="2">
                  <c:v>20</c:v>
                </c:pt>
                <c:pt idx="3">
                  <c:v>18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10</c:v>
                </c:pt>
                <c:pt idx="8">
                  <c:v>13</c:v>
                </c:pt>
                <c:pt idx="9">
                  <c:v>24</c:v>
                </c:pt>
                <c:pt idx="10">
                  <c:v>21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'01.08 Kigumba-Karuma'!$AD$9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'01.08 Kigumba-Karuma'!$AD$10:$AD$21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65328"/>
        <c:axId val="167263760"/>
      </c:lineChart>
      <c:catAx>
        <c:axId val="16726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263760"/>
        <c:crosses val="autoZero"/>
        <c:auto val="1"/>
        <c:lblAlgn val="ctr"/>
        <c:lblOffset val="100"/>
        <c:noMultiLvlLbl val="0"/>
      </c:catAx>
      <c:valAx>
        <c:axId val="16726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26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Kigumba-Karuma'!$C$9:$N$9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Kigumba-Karuma'!$C$60:$N$60</c:f>
              <c:numCache>
                <c:formatCode>0.00%</c:formatCode>
                <c:ptCount val="12"/>
                <c:pt idx="0">
                  <c:v>0.14260563380281691</c:v>
                </c:pt>
                <c:pt idx="1">
                  <c:v>8.9788732394366202E-2</c:v>
                </c:pt>
                <c:pt idx="2">
                  <c:v>0.33450704225352113</c:v>
                </c:pt>
                <c:pt idx="3">
                  <c:v>0.12147887323943662</c:v>
                </c:pt>
                <c:pt idx="4">
                  <c:v>1.0563380281690141E-2</c:v>
                </c:pt>
                <c:pt idx="5">
                  <c:v>6.5140845070422532E-2</c:v>
                </c:pt>
                <c:pt idx="6">
                  <c:v>0.13028169014084506</c:v>
                </c:pt>
                <c:pt idx="7">
                  <c:v>2.464788732394366E-2</c:v>
                </c:pt>
                <c:pt idx="8">
                  <c:v>1.5845070422535211E-2</c:v>
                </c:pt>
                <c:pt idx="9">
                  <c:v>6.5140845070422532E-2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Karuma-Kigumba-24h'!$AE$9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Karuma-Kigumba-24h'!$R$10:$R$33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'02.08 Karuma-Kigumba-24h'!$AE$10:$AE$33</c:f>
              <c:numCache>
                <c:formatCode>0</c:formatCode>
                <c:ptCount val="24"/>
                <c:pt idx="0">
                  <c:v>18</c:v>
                </c:pt>
                <c:pt idx="1">
                  <c:v>36</c:v>
                </c:pt>
                <c:pt idx="2">
                  <c:v>44</c:v>
                </c:pt>
                <c:pt idx="3">
                  <c:v>52</c:v>
                </c:pt>
                <c:pt idx="4">
                  <c:v>62</c:v>
                </c:pt>
                <c:pt idx="5">
                  <c:v>70</c:v>
                </c:pt>
                <c:pt idx="6">
                  <c:v>74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51</c:v>
                </c:pt>
                <c:pt idx="11">
                  <c:v>41</c:v>
                </c:pt>
                <c:pt idx="12">
                  <c:v>44</c:v>
                </c:pt>
                <c:pt idx="13">
                  <c:v>37</c:v>
                </c:pt>
                <c:pt idx="14">
                  <c:v>55</c:v>
                </c:pt>
                <c:pt idx="15">
                  <c:v>32</c:v>
                </c:pt>
                <c:pt idx="16">
                  <c:v>18</c:v>
                </c:pt>
                <c:pt idx="17">
                  <c:v>15</c:v>
                </c:pt>
                <c:pt idx="18">
                  <c:v>15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'02.08 Karuma-Kigumba-24h'!$AF$9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Karuma-Kigumba-24h'!$R$10:$R$33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'02.08 Karuma-Kigumba-24h'!$AF$10:$AF$33</c:f>
              <c:numCache>
                <c:formatCode>0</c:formatCode>
                <c:ptCount val="24"/>
                <c:pt idx="0">
                  <c:v>25</c:v>
                </c:pt>
                <c:pt idx="1">
                  <c:v>56</c:v>
                </c:pt>
                <c:pt idx="2">
                  <c:v>52</c:v>
                </c:pt>
                <c:pt idx="3">
                  <c:v>70</c:v>
                </c:pt>
                <c:pt idx="4">
                  <c:v>77</c:v>
                </c:pt>
                <c:pt idx="5">
                  <c:v>82</c:v>
                </c:pt>
                <c:pt idx="6">
                  <c:v>92</c:v>
                </c:pt>
                <c:pt idx="7">
                  <c:v>51</c:v>
                </c:pt>
                <c:pt idx="8">
                  <c:v>88</c:v>
                </c:pt>
                <c:pt idx="9">
                  <c:v>114</c:v>
                </c:pt>
                <c:pt idx="10">
                  <c:v>67</c:v>
                </c:pt>
                <c:pt idx="11">
                  <c:v>54</c:v>
                </c:pt>
                <c:pt idx="12">
                  <c:v>57</c:v>
                </c:pt>
                <c:pt idx="13">
                  <c:v>48</c:v>
                </c:pt>
                <c:pt idx="14">
                  <c:v>69</c:v>
                </c:pt>
                <c:pt idx="15">
                  <c:v>42</c:v>
                </c:pt>
                <c:pt idx="16">
                  <c:v>21</c:v>
                </c:pt>
                <c:pt idx="17">
                  <c:v>19</c:v>
                </c:pt>
                <c:pt idx="18">
                  <c:v>21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60232"/>
        <c:axId val="167262976"/>
      </c:lineChart>
      <c:catAx>
        <c:axId val="1672602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262976"/>
        <c:crosses val="autoZero"/>
        <c:auto val="1"/>
        <c:lblAlgn val="ctr"/>
        <c:lblOffset val="100"/>
        <c:noMultiLvlLbl val="0"/>
      </c:catAx>
      <c:valAx>
        <c:axId val="1672629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260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Karuma-Kigumba-24h'!$C$9:$N$9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Karuma-Kigumba-24h'!$C$107:$N$107</c:f>
              <c:numCache>
                <c:formatCode>0.0%</c:formatCode>
                <c:ptCount val="12"/>
                <c:pt idx="0">
                  <c:v>0.10856134157105031</c:v>
                </c:pt>
                <c:pt idx="1">
                  <c:v>6.0017652250661961E-2</c:v>
                </c:pt>
                <c:pt idx="2">
                  <c:v>0.26125330979699912</c:v>
                </c:pt>
                <c:pt idx="3">
                  <c:v>9.3556928508384818E-2</c:v>
                </c:pt>
                <c:pt idx="4">
                  <c:v>1.76522506619594E-3</c:v>
                </c:pt>
                <c:pt idx="5">
                  <c:v>6.6195939982347754E-2</c:v>
                </c:pt>
                <c:pt idx="6">
                  <c:v>9.8852603706972644E-2</c:v>
                </c:pt>
                <c:pt idx="7">
                  <c:v>1.8534863195057368E-2</c:v>
                </c:pt>
                <c:pt idx="8">
                  <c:v>8.8261253309796991E-3</c:v>
                </c:pt>
                <c:pt idx="9">
                  <c:v>7.4139452780229473E-2</c:v>
                </c:pt>
                <c:pt idx="10">
                  <c:v>0.20829655781112091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Karuma-Kigumba-24h'!$C$9:$N$9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Karuma-Kigumba-24h'!$C$108:$N$108</c:f>
              <c:numCache>
                <c:formatCode>0.00%</c:formatCode>
                <c:ptCount val="12"/>
                <c:pt idx="0">
                  <c:v>0.13712374581939799</c:v>
                </c:pt>
                <c:pt idx="1">
                  <c:v>7.58082497212932E-2</c:v>
                </c:pt>
                <c:pt idx="2">
                  <c:v>0.32998885172798215</c:v>
                </c:pt>
                <c:pt idx="3">
                  <c:v>0.11817168338907469</c:v>
                </c:pt>
                <c:pt idx="4">
                  <c:v>2.229654403567447E-3</c:v>
                </c:pt>
                <c:pt idx="5">
                  <c:v>8.3612040133779264E-2</c:v>
                </c:pt>
                <c:pt idx="6">
                  <c:v>0.12486064659977704</c:v>
                </c:pt>
                <c:pt idx="7">
                  <c:v>2.3411371237458192E-2</c:v>
                </c:pt>
                <c:pt idx="8">
                  <c:v>1.1148272017837236E-2</c:v>
                </c:pt>
                <c:pt idx="9">
                  <c:v>9.3645484949832769E-2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Kigumba-Karuma-24h'!$AE$9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Kigumba-Karuma-24h'!$R$10:$R$33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'02.08 Kigumba-Karuma-24h'!$AE$10:$AE$33</c:f>
              <c:numCache>
                <c:formatCode>0</c:formatCode>
                <c:ptCount val="24"/>
                <c:pt idx="0">
                  <c:v>34</c:v>
                </c:pt>
                <c:pt idx="1">
                  <c:v>33</c:v>
                </c:pt>
                <c:pt idx="2">
                  <c:v>25</c:v>
                </c:pt>
                <c:pt idx="3">
                  <c:v>48</c:v>
                </c:pt>
                <c:pt idx="4">
                  <c:v>50</c:v>
                </c:pt>
                <c:pt idx="5">
                  <c:v>43</c:v>
                </c:pt>
                <c:pt idx="6">
                  <c:v>59</c:v>
                </c:pt>
                <c:pt idx="7">
                  <c:v>48</c:v>
                </c:pt>
                <c:pt idx="8">
                  <c:v>67</c:v>
                </c:pt>
                <c:pt idx="9">
                  <c:v>50</c:v>
                </c:pt>
                <c:pt idx="10">
                  <c:v>65</c:v>
                </c:pt>
                <c:pt idx="11">
                  <c:v>90</c:v>
                </c:pt>
                <c:pt idx="12">
                  <c:v>62</c:v>
                </c:pt>
                <c:pt idx="13">
                  <c:v>38</c:v>
                </c:pt>
                <c:pt idx="14">
                  <c:v>21</c:v>
                </c:pt>
                <c:pt idx="15">
                  <c:v>13</c:v>
                </c:pt>
                <c:pt idx="16">
                  <c:v>6</c:v>
                </c:pt>
                <c:pt idx="17">
                  <c:v>10</c:v>
                </c:pt>
                <c:pt idx="18">
                  <c:v>4</c:v>
                </c:pt>
                <c:pt idx="19">
                  <c:v>13</c:v>
                </c:pt>
                <c:pt idx="20">
                  <c:v>15</c:v>
                </c:pt>
                <c:pt idx="21">
                  <c:v>14</c:v>
                </c:pt>
                <c:pt idx="22">
                  <c:v>11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'02.08 Kigumba-Karuma-24h'!$AF$9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Kigumba-Karuma-24h'!$R$10:$R$33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'02.08 Kigumba-Karuma-24h'!$AF$10:$AF$33</c:f>
              <c:numCache>
                <c:formatCode>0</c:formatCode>
                <c:ptCount val="24"/>
                <c:pt idx="0">
                  <c:v>44</c:v>
                </c:pt>
                <c:pt idx="1">
                  <c:v>45</c:v>
                </c:pt>
                <c:pt idx="2">
                  <c:v>38</c:v>
                </c:pt>
                <c:pt idx="3">
                  <c:v>67</c:v>
                </c:pt>
                <c:pt idx="4">
                  <c:v>65</c:v>
                </c:pt>
                <c:pt idx="5">
                  <c:v>58</c:v>
                </c:pt>
                <c:pt idx="6">
                  <c:v>71</c:v>
                </c:pt>
                <c:pt idx="7">
                  <c:v>70</c:v>
                </c:pt>
                <c:pt idx="8">
                  <c:v>86</c:v>
                </c:pt>
                <c:pt idx="9">
                  <c:v>68</c:v>
                </c:pt>
                <c:pt idx="10">
                  <c:v>90</c:v>
                </c:pt>
                <c:pt idx="11">
                  <c:v>117</c:v>
                </c:pt>
                <c:pt idx="12">
                  <c:v>85</c:v>
                </c:pt>
                <c:pt idx="13">
                  <c:v>53</c:v>
                </c:pt>
                <c:pt idx="14">
                  <c:v>31</c:v>
                </c:pt>
                <c:pt idx="15">
                  <c:v>17</c:v>
                </c:pt>
                <c:pt idx="16">
                  <c:v>9</c:v>
                </c:pt>
                <c:pt idx="17">
                  <c:v>15</c:v>
                </c:pt>
                <c:pt idx="18">
                  <c:v>5</c:v>
                </c:pt>
                <c:pt idx="19">
                  <c:v>18</c:v>
                </c:pt>
                <c:pt idx="20">
                  <c:v>21</c:v>
                </c:pt>
                <c:pt idx="21">
                  <c:v>18</c:v>
                </c:pt>
                <c:pt idx="22">
                  <c:v>16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66112"/>
        <c:axId val="167264936"/>
      </c:lineChart>
      <c:catAx>
        <c:axId val="167266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264936"/>
        <c:crosses val="autoZero"/>
        <c:auto val="1"/>
        <c:lblAlgn val="ctr"/>
        <c:lblOffset val="100"/>
        <c:noMultiLvlLbl val="0"/>
      </c:catAx>
      <c:valAx>
        <c:axId val="167264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26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Kigumba-Karuma-24h'!$C$9:$N$9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Kigumba-Karuma-24h'!$C$107:$N$107</c:f>
              <c:numCache>
                <c:formatCode>0.0%</c:formatCode>
                <c:ptCount val="12"/>
                <c:pt idx="0">
                  <c:v>0.14755555555555555</c:v>
                </c:pt>
                <c:pt idx="1">
                  <c:v>6.8444444444444447E-2</c:v>
                </c:pt>
                <c:pt idx="2">
                  <c:v>0.19733333333333333</c:v>
                </c:pt>
                <c:pt idx="3">
                  <c:v>8.7999999999999995E-2</c:v>
                </c:pt>
                <c:pt idx="4">
                  <c:v>2.6666666666666666E-3</c:v>
                </c:pt>
                <c:pt idx="5">
                  <c:v>6.4888888888888885E-2</c:v>
                </c:pt>
                <c:pt idx="6">
                  <c:v>8.2666666666666666E-2</c:v>
                </c:pt>
                <c:pt idx="7">
                  <c:v>6.2222222222222219E-3</c:v>
                </c:pt>
                <c:pt idx="8">
                  <c:v>5.3333333333333332E-3</c:v>
                </c:pt>
                <c:pt idx="9">
                  <c:v>7.644444444444444E-2</c:v>
                </c:pt>
                <c:pt idx="10">
                  <c:v>0.26044444444444442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Kigumba-Karuma-24h'!$C$9:$N$9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Kigumba-Karuma-24h'!$C$108:$N$108</c:f>
              <c:numCache>
                <c:formatCode>0.00%</c:formatCode>
                <c:ptCount val="12"/>
                <c:pt idx="0">
                  <c:v>0.19951923076923078</c:v>
                </c:pt>
                <c:pt idx="1">
                  <c:v>9.2548076923076927E-2</c:v>
                </c:pt>
                <c:pt idx="2">
                  <c:v>0.26682692307692307</c:v>
                </c:pt>
                <c:pt idx="3">
                  <c:v>0.11899038461538461</c:v>
                </c:pt>
                <c:pt idx="4">
                  <c:v>3.605769230769231E-3</c:v>
                </c:pt>
                <c:pt idx="5">
                  <c:v>8.7740384615384609E-2</c:v>
                </c:pt>
                <c:pt idx="6">
                  <c:v>0.11177884615384616</c:v>
                </c:pt>
                <c:pt idx="7">
                  <c:v>8.4134615384615381E-3</c:v>
                </c:pt>
                <c:pt idx="8">
                  <c:v>7.2115384615384619E-3</c:v>
                </c:pt>
                <c:pt idx="9">
                  <c:v>0.10336538461538461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Karuma-Kigumba-24h'!$AE$9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Karuma-Kigumba-24h'!$R$10:$R$33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Karuma-Kigumba-24h'!$AE$10:$AE$33</c:f>
              <c:numCache>
                <c:formatCode>0</c:formatCode>
                <c:ptCount val="24"/>
                <c:pt idx="0">
                  <c:v>14</c:v>
                </c:pt>
                <c:pt idx="1">
                  <c:v>28</c:v>
                </c:pt>
                <c:pt idx="2">
                  <c:v>26</c:v>
                </c:pt>
                <c:pt idx="3">
                  <c:v>45</c:v>
                </c:pt>
                <c:pt idx="4">
                  <c:v>38</c:v>
                </c:pt>
                <c:pt idx="5">
                  <c:v>50</c:v>
                </c:pt>
                <c:pt idx="6">
                  <c:v>59</c:v>
                </c:pt>
                <c:pt idx="7">
                  <c:v>42</c:v>
                </c:pt>
                <c:pt idx="8">
                  <c:v>55</c:v>
                </c:pt>
                <c:pt idx="9">
                  <c:v>63</c:v>
                </c:pt>
                <c:pt idx="10">
                  <c:v>58</c:v>
                </c:pt>
                <c:pt idx="11">
                  <c:v>60</c:v>
                </c:pt>
                <c:pt idx="12">
                  <c:v>28</c:v>
                </c:pt>
                <c:pt idx="13">
                  <c:v>29</c:v>
                </c:pt>
                <c:pt idx="14">
                  <c:v>33</c:v>
                </c:pt>
                <c:pt idx="15">
                  <c:v>45</c:v>
                </c:pt>
                <c:pt idx="16">
                  <c:v>49</c:v>
                </c:pt>
                <c:pt idx="17">
                  <c:v>57</c:v>
                </c:pt>
                <c:pt idx="18">
                  <c:v>47</c:v>
                </c:pt>
                <c:pt idx="19">
                  <c:v>44</c:v>
                </c:pt>
                <c:pt idx="20">
                  <c:v>45</c:v>
                </c:pt>
                <c:pt idx="21">
                  <c:v>44</c:v>
                </c:pt>
                <c:pt idx="22">
                  <c:v>43</c:v>
                </c:pt>
                <c:pt idx="23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54-4979-8BE2-41F49D0EEE3B}"/>
            </c:ext>
          </c:extLst>
        </c:ser>
        <c:ser>
          <c:idx val="1"/>
          <c:order val="1"/>
          <c:tx>
            <c:strRef>
              <c:f>'03.08 Karuma-Kigumba-24h'!$AF$9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Karuma-Kigumba-24h'!$R$10:$R$33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Karuma-Kigumba-24h'!$AF$10:$AF$33</c:f>
              <c:numCache>
                <c:formatCode>0</c:formatCode>
                <c:ptCount val="24"/>
                <c:pt idx="0">
                  <c:v>23</c:v>
                </c:pt>
                <c:pt idx="1">
                  <c:v>38</c:v>
                </c:pt>
                <c:pt idx="2">
                  <c:v>36</c:v>
                </c:pt>
                <c:pt idx="3">
                  <c:v>66</c:v>
                </c:pt>
                <c:pt idx="4">
                  <c:v>51</c:v>
                </c:pt>
                <c:pt idx="5">
                  <c:v>56</c:v>
                </c:pt>
                <c:pt idx="6">
                  <c:v>67</c:v>
                </c:pt>
                <c:pt idx="7">
                  <c:v>54</c:v>
                </c:pt>
                <c:pt idx="8">
                  <c:v>68</c:v>
                </c:pt>
                <c:pt idx="9">
                  <c:v>72</c:v>
                </c:pt>
                <c:pt idx="10">
                  <c:v>78</c:v>
                </c:pt>
                <c:pt idx="11">
                  <c:v>79</c:v>
                </c:pt>
                <c:pt idx="12">
                  <c:v>35</c:v>
                </c:pt>
                <c:pt idx="13">
                  <c:v>38</c:v>
                </c:pt>
                <c:pt idx="14">
                  <c:v>40</c:v>
                </c:pt>
                <c:pt idx="15">
                  <c:v>49</c:v>
                </c:pt>
                <c:pt idx="16">
                  <c:v>53</c:v>
                </c:pt>
                <c:pt idx="17">
                  <c:v>60</c:v>
                </c:pt>
                <c:pt idx="18">
                  <c:v>47</c:v>
                </c:pt>
                <c:pt idx="19">
                  <c:v>44</c:v>
                </c:pt>
                <c:pt idx="20">
                  <c:v>45</c:v>
                </c:pt>
                <c:pt idx="21">
                  <c:v>44</c:v>
                </c:pt>
                <c:pt idx="22">
                  <c:v>62</c:v>
                </c:pt>
                <c:pt idx="23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54-4979-8BE2-41F49D0EE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60232"/>
        <c:axId val="167262976"/>
      </c:lineChart>
      <c:catAx>
        <c:axId val="1672602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262976"/>
        <c:crosses val="autoZero"/>
        <c:auto val="1"/>
        <c:lblAlgn val="ctr"/>
        <c:lblOffset val="100"/>
        <c:noMultiLvlLbl val="0"/>
      </c:catAx>
      <c:valAx>
        <c:axId val="1672629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260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E19-441D-B777-016C0F229D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E19-441D-B777-016C0F229D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E19-441D-B777-016C0F229D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E19-441D-B777-016C0F229D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E19-441D-B777-016C0F229D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E19-441D-B777-016C0F229D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E19-441D-B777-016C0F229D3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E19-441D-B777-016C0F229D3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E19-441D-B777-016C0F229D3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E19-441D-B777-016C0F229D3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E19-441D-B777-016C0F229D3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E19-441D-B777-016C0F229D3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E19-441D-B777-016C0F229D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Karuma-Kigumba-24h'!$C$9:$N$9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Karuma-Kigumba-24h'!$C$107:$N$107</c:f>
              <c:numCache>
                <c:formatCode>0.0%</c:formatCode>
                <c:ptCount val="12"/>
                <c:pt idx="0">
                  <c:v>0.10513833992094862</c:v>
                </c:pt>
                <c:pt idx="1">
                  <c:v>0.108300395256917</c:v>
                </c:pt>
                <c:pt idx="2">
                  <c:v>0.19288537549407114</c:v>
                </c:pt>
                <c:pt idx="3">
                  <c:v>0.10434782608695652</c:v>
                </c:pt>
                <c:pt idx="4">
                  <c:v>2.3715415019762848E-3</c:v>
                </c:pt>
                <c:pt idx="5">
                  <c:v>6.1660079051383397E-2</c:v>
                </c:pt>
                <c:pt idx="6">
                  <c:v>0.11778656126482213</c:v>
                </c:pt>
                <c:pt idx="7">
                  <c:v>2.3715415019762844E-2</c:v>
                </c:pt>
                <c:pt idx="8">
                  <c:v>7.9051383399209481E-3</c:v>
                </c:pt>
                <c:pt idx="9">
                  <c:v>0.10197628458498023</c:v>
                </c:pt>
                <c:pt idx="10">
                  <c:v>0.17391304347826086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E19-441D-B777-016C0F229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287-4D8D-B9E2-5C793C7B65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287-4D8D-B9E2-5C793C7B65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287-4D8D-B9E2-5C793C7B65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287-4D8D-B9E2-5C793C7B65F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287-4D8D-B9E2-5C793C7B65F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287-4D8D-B9E2-5C793C7B65F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287-4D8D-B9E2-5C793C7B65F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287-4D8D-B9E2-5C793C7B65F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287-4D8D-B9E2-5C793C7B65F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287-4D8D-B9E2-5C793C7B65F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287-4D8D-B9E2-5C793C7B65F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287-4D8D-B9E2-5C793C7B65F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287-4D8D-B9E2-5C793C7B65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Karuma-Kigumba-24h'!$C$9:$N$9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Karuma-Kigumba-24h'!$C$108:$N$108</c:f>
              <c:numCache>
                <c:formatCode>0.00%</c:formatCode>
                <c:ptCount val="12"/>
                <c:pt idx="0">
                  <c:v>0.12727272727272726</c:v>
                </c:pt>
                <c:pt idx="1">
                  <c:v>0.13110047846889952</c:v>
                </c:pt>
                <c:pt idx="2">
                  <c:v>0.23349282296650717</c:v>
                </c:pt>
                <c:pt idx="3">
                  <c:v>0.12631578947368421</c:v>
                </c:pt>
                <c:pt idx="4">
                  <c:v>2.8708133971291866E-3</c:v>
                </c:pt>
                <c:pt idx="5">
                  <c:v>7.4641148325358855E-2</c:v>
                </c:pt>
                <c:pt idx="6">
                  <c:v>0.14258373205741626</c:v>
                </c:pt>
                <c:pt idx="7">
                  <c:v>2.8708133971291867E-2</c:v>
                </c:pt>
                <c:pt idx="8">
                  <c:v>9.5693779904306216E-3</c:v>
                </c:pt>
                <c:pt idx="9">
                  <c:v>0.12344497607655502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287-4D8D-B9E2-5C793C7B6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Kigumba-Karuma-24h'!$AE$9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Kigumba-Karuma-24h'!$R$10:$R$33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Kigumba-Karuma-24h'!$AE$10:$AE$33</c:f>
              <c:numCache>
                <c:formatCode>0</c:formatCode>
                <c:ptCount val="24"/>
                <c:pt idx="0">
                  <c:v>41</c:v>
                </c:pt>
                <c:pt idx="1">
                  <c:v>40</c:v>
                </c:pt>
                <c:pt idx="2">
                  <c:v>51</c:v>
                </c:pt>
                <c:pt idx="3">
                  <c:v>40</c:v>
                </c:pt>
                <c:pt idx="4">
                  <c:v>54</c:v>
                </c:pt>
                <c:pt idx="5">
                  <c:v>45</c:v>
                </c:pt>
                <c:pt idx="6">
                  <c:v>35</c:v>
                </c:pt>
                <c:pt idx="7">
                  <c:v>34</c:v>
                </c:pt>
                <c:pt idx="8">
                  <c:v>50</c:v>
                </c:pt>
                <c:pt idx="9">
                  <c:v>37</c:v>
                </c:pt>
                <c:pt idx="10">
                  <c:v>57</c:v>
                </c:pt>
                <c:pt idx="11">
                  <c:v>57</c:v>
                </c:pt>
                <c:pt idx="12">
                  <c:v>35</c:v>
                </c:pt>
                <c:pt idx="13">
                  <c:v>41</c:v>
                </c:pt>
                <c:pt idx="14">
                  <c:v>39</c:v>
                </c:pt>
                <c:pt idx="15">
                  <c:v>46</c:v>
                </c:pt>
                <c:pt idx="16">
                  <c:v>43</c:v>
                </c:pt>
                <c:pt idx="17">
                  <c:v>20</c:v>
                </c:pt>
                <c:pt idx="18">
                  <c:v>25</c:v>
                </c:pt>
                <c:pt idx="19">
                  <c:v>24</c:v>
                </c:pt>
                <c:pt idx="20">
                  <c:v>28</c:v>
                </c:pt>
                <c:pt idx="21">
                  <c:v>36</c:v>
                </c:pt>
                <c:pt idx="22">
                  <c:v>46</c:v>
                </c:pt>
                <c:pt idx="23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ED-4F24-B4E2-F2C8290D57DE}"/>
            </c:ext>
          </c:extLst>
        </c:ser>
        <c:ser>
          <c:idx val="1"/>
          <c:order val="1"/>
          <c:tx>
            <c:strRef>
              <c:f>'03.08 Kigumba-Karuma-24h'!$AF$9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Kigumba-Karuma-24h'!$R$10:$R$33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Kigumba-Karuma-24h'!$AF$10:$AF$33</c:f>
              <c:numCache>
                <c:formatCode>0</c:formatCode>
                <c:ptCount val="24"/>
                <c:pt idx="0">
                  <c:v>47</c:v>
                </c:pt>
                <c:pt idx="1">
                  <c:v>51</c:v>
                </c:pt>
                <c:pt idx="2">
                  <c:v>57</c:v>
                </c:pt>
                <c:pt idx="3">
                  <c:v>55</c:v>
                </c:pt>
                <c:pt idx="4">
                  <c:v>71</c:v>
                </c:pt>
                <c:pt idx="5">
                  <c:v>54</c:v>
                </c:pt>
                <c:pt idx="6">
                  <c:v>43</c:v>
                </c:pt>
                <c:pt idx="7">
                  <c:v>48</c:v>
                </c:pt>
                <c:pt idx="8">
                  <c:v>72</c:v>
                </c:pt>
                <c:pt idx="9">
                  <c:v>51</c:v>
                </c:pt>
                <c:pt idx="10">
                  <c:v>72</c:v>
                </c:pt>
                <c:pt idx="11">
                  <c:v>82</c:v>
                </c:pt>
                <c:pt idx="12">
                  <c:v>44</c:v>
                </c:pt>
                <c:pt idx="13">
                  <c:v>53</c:v>
                </c:pt>
                <c:pt idx="14">
                  <c:v>51</c:v>
                </c:pt>
                <c:pt idx="15">
                  <c:v>62</c:v>
                </c:pt>
                <c:pt idx="16">
                  <c:v>58</c:v>
                </c:pt>
                <c:pt idx="17">
                  <c:v>28</c:v>
                </c:pt>
                <c:pt idx="18">
                  <c:v>32</c:v>
                </c:pt>
                <c:pt idx="19">
                  <c:v>34</c:v>
                </c:pt>
                <c:pt idx="20">
                  <c:v>37</c:v>
                </c:pt>
                <c:pt idx="21">
                  <c:v>46</c:v>
                </c:pt>
                <c:pt idx="22">
                  <c:v>61</c:v>
                </c:pt>
                <c:pt idx="23">
                  <c:v>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ED-4F24-B4E2-F2C8290D5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66112"/>
        <c:axId val="167264936"/>
      </c:lineChart>
      <c:catAx>
        <c:axId val="167266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264936"/>
        <c:crosses val="autoZero"/>
        <c:auto val="1"/>
        <c:lblAlgn val="ctr"/>
        <c:lblOffset val="100"/>
        <c:noMultiLvlLbl val="0"/>
      </c:catAx>
      <c:valAx>
        <c:axId val="167264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26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8C8-4D3B-9948-8C49AE8820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C8-4D3B-9948-8C49AE8820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8C8-4D3B-9948-8C49AE8820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8C8-4D3B-9948-8C49AE8820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8C8-4D3B-9948-8C49AE8820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8C8-4D3B-9948-8C49AE8820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8C8-4D3B-9948-8C49AE8820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8C8-4D3B-9948-8C49AE8820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8C8-4D3B-9948-8C49AE8820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8C8-4D3B-9948-8C49AE88200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8C8-4D3B-9948-8C49AE88200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8C8-4D3B-9948-8C49AE88200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8C8-4D3B-9948-8C49AE8820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Kigumba-Karuma-24h'!$C$9:$N$9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Kigumba-Karuma-24h'!$C$107:$N$107</c:f>
              <c:numCache>
                <c:formatCode>0.0%</c:formatCode>
                <c:ptCount val="12"/>
                <c:pt idx="0">
                  <c:v>0.13661202185792351</c:v>
                </c:pt>
                <c:pt idx="1">
                  <c:v>0.1249024199843872</c:v>
                </c:pt>
                <c:pt idx="2">
                  <c:v>0.18032786885245902</c:v>
                </c:pt>
                <c:pt idx="3">
                  <c:v>0.10226385636221702</c:v>
                </c:pt>
                <c:pt idx="4">
                  <c:v>1.56128024980484E-3</c:v>
                </c:pt>
                <c:pt idx="5">
                  <c:v>4.8399687743950037E-2</c:v>
                </c:pt>
                <c:pt idx="6">
                  <c:v>8.7431693989071038E-2</c:v>
                </c:pt>
                <c:pt idx="7">
                  <c:v>1.3270882123341141E-2</c:v>
                </c:pt>
                <c:pt idx="8">
                  <c:v>1.56128024980484E-3</c:v>
                </c:pt>
                <c:pt idx="9">
                  <c:v>6.6354410616705703E-2</c:v>
                </c:pt>
                <c:pt idx="10">
                  <c:v>0.23731459797033569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8C8-4D3B-9948-8C49AE882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DBD-44B1-ACAC-74ED0DAE4C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DBD-44B1-ACAC-74ED0DAE4C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DBD-44B1-ACAC-74ED0DAE4C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DBD-44B1-ACAC-74ED0DAE4C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DBD-44B1-ACAC-74ED0DAE4C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DBD-44B1-ACAC-74ED0DAE4C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DBD-44B1-ACAC-74ED0DAE4C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DBD-44B1-ACAC-74ED0DAE4C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DBD-44B1-ACAC-74ED0DAE4C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DBD-44B1-ACAC-74ED0DAE4C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DBD-44B1-ACAC-74ED0DAE4C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DBD-44B1-ACAC-74ED0DAE4C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DBD-44B1-ACAC-74ED0DAE4C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Kigumba-Karuma-24h'!$C$9:$N$9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Kigumba-Karuma-24h'!$C$108:$N$108</c:f>
              <c:numCache>
                <c:formatCode>0.00%</c:formatCode>
                <c:ptCount val="12"/>
                <c:pt idx="0">
                  <c:v>0.17911975435005117</c:v>
                </c:pt>
                <c:pt idx="1">
                  <c:v>0.16376663254861823</c:v>
                </c:pt>
                <c:pt idx="2">
                  <c:v>0.23643807574206754</c:v>
                </c:pt>
                <c:pt idx="3">
                  <c:v>0.13408393039918118</c:v>
                </c:pt>
                <c:pt idx="4">
                  <c:v>2.0470829068577278E-3</c:v>
                </c:pt>
                <c:pt idx="5">
                  <c:v>6.3459570112589556E-2</c:v>
                </c:pt>
                <c:pt idx="6">
                  <c:v>0.11463664278403275</c:v>
                </c:pt>
                <c:pt idx="7">
                  <c:v>1.7400204708290685E-2</c:v>
                </c:pt>
                <c:pt idx="8">
                  <c:v>2.0470829068577278E-3</c:v>
                </c:pt>
                <c:pt idx="9">
                  <c:v>8.7001023541453434E-2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DBD-44B1-ACAC-74ED0DAE4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Karuma-Kigumba'!$AE$9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Karuma-Kigumba'!$AE$10:$AE$21</c:f>
              <c:numCache>
                <c:formatCode>0</c:formatCode>
                <c:ptCount val="12"/>
                <c:pt idx="0">
                  <c:v>19</c:v>
                </c:pt>
                <c:pt idx="1">
                  <c:v>30</c:v>
                </c:pt>
                <c:pt idx="2">
                  <c:v>42</c:v>
                </c:pt>
                <c:pt idx="3">
                  <c:v>37</c:v>
                </c:pt>
                <c:pt idx="4">
                  <c:v>49</c:v>
                </c:pt>
                <c:pt idx="5">
                  <c:v>74</c:v>
                </c:pt>
                <c:pt idx="6">
                  <c:v>73</c:v>
                </c:pt>
                <c:pt idx="7">
                  <c:v>74</c:v>
                </c:pt>
                <c:pt idx="8">
                  <c:v>75</c:v>
                </c:pt>
                <c:pt idx="9">
                  <c:v>65</c:v>
                </c:pt>
                <c:pt idx="10">
                  <c:v>71</c:v>
                </c:pt>
                <c:pt idx="11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'04.08 Karuma-Kigumba'!$AF$9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Karuma-Kigumba'!$AF$10:$AF$21</c:f>
              <c:numCache>
                <c:formatCode>0</c:formatCode>
                <c:ptCount val="12"/>
                <c:pt idx="0">
                  <c:v>29</c:v>
                </c:pt>
                <c:pt idx="1">
                  <c:v>45</c:v>
                </c:pt>
                <c:pt idx="2">
                  <c:v>54</c:v>
                </c:pt>
                <c:pt idx="3">
                  <c:v>60</c:v>
                </c:pt>
                <c:pt idx="4">
                  <c:v>61</c:v>
                </c:pt>
                <c:pt idx="5">
                  <c:v>101</c:v>
                </c:pt>
                <c:pt idx="6">
                  <c:v>91</c:v>
                </c:pt>
                <c:pt idx="7">
                  <c:v>96</c:v>
                </c:pt>
                <c:pt idx="8">
                  <c:v>100</c:v>
                </c:pt>
                <c:pt idx="9">
                  <c:v>98</c:v>
                </c:pt>
                <c:pt idx="10">
                  <c:v>90</c:v>
                </c:pt>
                <c:pt idx="11">
                  <c:v>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468032"/>
        <c:axId val="220471952"/>
      </c:lineChart>
      <c:catAx>
        <c:axId val="2204680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0471952"/>
        <c:crosses val="autoZero"/>
        <c:auto val="1"/>
        <c:lblAlgn val="ctr"/>
        <c:lblOffset val="100"/>
        <c:noMultiLvlLbl val="0"/>
      </c:catAx>
      <c:valAx>
        <c:axId val="220471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046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Karuma-Kigumba'!$C$9:$N$9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Karuma-Kigumba'!$C$59:$N$59</c:f>
              <c:numCache>
                <c:formatCode>0.0%</c:formatCode>
                <c:ptCount val="12"/>
                <c:pt idx="0">
                  <c:v>0.13053097345132744</c:v>
                </c:pt>
                <c:pt idx="1">
                  <c:v>9.5132743362831854E-2</c:v>
                </c:pt>
                <c:pt idx="2">
                  <c:v>0.18915929203539822</c:v>
                </c:pt>
                <c:pt idx="3">
                  <c:v>8.4070796460176997E-2</c:v>
                </c:pt>
                <c:pt idx="4">
                  <c:v>7.743362831858407E-3</c:v>
                </c:pt>
                <c:pt idx="5">
                  <c:v>4.9778761061946904E-2</c:v>
                </c:pt>
                <c:pt idx="6">
                  <c:v>8.8495575221238937E-2</c:v>
                </c:pt>
                <c:pt idx="7">
                  <c:v>1.2168141592920354E-2</c:v>
                </c:pt>
                <c:pt idx="8">
                  <c:v>8.8495575221238937E-3</c:v>
                </c:pt>
                <c:pt idx="9">
                  <c:v>7.1902654867256638E-2</c:v>
                </c:pt>
                <c:pt idx="10">
                  <c:v>0.26106194690265488</c:v>
                </c:pt>
                <c:pt idx="11">
                  <c:v>1.1061946902654867E-3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Karuma-Kigumba'!$C$9:$N$9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Karuma-Kigumba'!$C$60:$N$60</c:f>
              <c:numCache>
                <c:formatCode>0.00%</c:formatCode>
                <c:ptCount val="12"/>
                <c:pt idx="0">
                  <c:v>0.17664670658682635</c:v>
                </c:pt>
                <c:pt idx="1">
                  <c:v>0.12874251497005987</c:v>
                </c:pt>
                <c:pt idx="2">
                  <c:v>0.2559880239520958</c:v>
                </c:pt>
                <c:pt idx="3">
                  <c:v>0.11377245508982035</c:v>
                </c:pt>
                <c:pt idx="4">
                  <c:v>1.0479041916167664E-2</c:v>
                </c:pt>
                <c:pt idx="5">
                  <c:v>6.7365269461077848E-2</c:v>
                </c:pt>
                <c:pt idx="6">
                  <c:v>0.11976047904191617</c:v>
                </c:pt>
                <c:pt idx="7">
                  <c:v>1.6467065868263474E-2</c:v>
                </c:pt>
                <c:pt idx="8">
                  <c:v>1.1976047904191617E-2</c:v>
                </c:pt>
                <c:pt idx="9">
                  <c:v>9.730538922155689E-2</c:v>
                </c:pt>
                <c:pt idx="11">
                  <c:v>1.4970059880239522E-3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Karuma-Kigumba'!$S$9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Karuma-Kigumba'!$S$10:$S$21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9</c:v>
                </c:pt>
                <c:pt idx="3">
                  <c:v>7</c:v>
                </c:pt>
                <c:pt idx="4">
                  <c:v>5</c:v>
                </c:pt>
                <c:pt idx="5">
                  <c:v>17</c:v>
                </c:pt>
                <c:pt idx="6">
                  <c:v>18</c:v>
                </c:pt>
                <c:pt idx="7">
                  <c:v>11</c:v>
                </c:pt>
                <c:pt idx="8">
                  <c:v>9</c:v>
                </c:pt>
                <c:pt idx="9">
                  <c:v>8</c:v>
                </c:pt>
                <c:pt idx="10">
                  <c:v>6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'04.08 Karuma-Kigumba'!$T$9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Karuma-Kigumba'!$T$10:$T$21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11</c:v>
                </c:pt>
                <c:pt idx="8">
                  <c:v>14</c:v>
                </c:pt>
                <c:pt idx="9">
                  <c:v>9</c:v>
                </c:pt>
                <c:pt idx="10">
                  <c:v>8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'04.08 Karuma-Kigumba'!$U$9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'04.08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Karuma-Kigumba'!$U$10:$U$21</c:f>
              <c:numCache>
                <c:formatCode>0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15</c:v>
                </c:pt>
                <c:pt idx="5">
                  <c:v>15</c:v>
                </c:pt>
                <c:pt idx="6">
                  <c:v>20</c:v>
                </c:pt>
                <c:pt idx="7">
                  <c:v>20</c:v>
                </c:pt>
                <c:pt idx="8">
                  <c:v>24</c:v>
                </c:pt>
                <c:pt idx="9">
                  <c:v>19</c:v>
                </c:pt>
                <c:pt idx="10">
                  <c:v>14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'04.08 Karuma-Kigumba'!$V$9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'04.08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Karuma-Kigumba'!$V$10:$V$21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4</c:v>
                </c:pt>
                <c:pt idx="5">
                  <c:v>10</c:v>
                </c:pt>
                <c:pt idx="6">
                  <c:v>2</c:v>
                </c:pt>
                <c:pt idx="7">
                  <c:v>10</c:v>
                </c:pt>
                <c:pt idx="8">
                  <c:v>11</c:v>
                </c:pt>
                <c:pt idx="9">
                  <c:v>8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'04.08 Karuma-Kigumba'!$W$9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'04.08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Karuma-Kigumba'!$W$10:$W$21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'04.08 Karuma-Kigumba'!$X$9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'04.08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Karuma-Kigumba'!$X$10:$X$21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'04.08 Karuma-Kigumba'!$Y$9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'04.08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Karuma-Kigumba'!$Y$10:$Y$21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10</c:v>
                </c:pt>
                <c:pt idx="6">
                  <c:v>8</c:v>
                </c:pt>
                <c:pt idx="7">
                  <c:v>9</c:v>
                </c:pt>
                <c:pt idx="8">
                  <c:v>6</c:v>
                </c:pt>
                <c:pt idx="9">
                  <c:v>8</c:v>
                </c:pt>
                <c:pt idx="10">
                  <c:v>14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'04.08 Karuma-Kigumba'!$Z$9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'04.08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Karuma-Kigumba'!$Z$10:$Z$21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'04.08 Karuma-Kigumba'!$AA$9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'04.08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Karuma-Kigumba'!$AA$10:$AA$21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'04.08 Karuma-Kigumba'!$AB$9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'04.08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Karuma-Kigumba'!$AB$10:$AB$21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9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'04.08 Karuma-Kigumba'!$AC$9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'04.08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Karuma-Kigumba'!$AC$10:$AC$21</c:f>
              <c:numCache>
                <c:formatCode>0</c:formatCode>
                <c:ptCount val="12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23</c:v>
                </c:pt>
                <c:pt idx="4">
                  <c:v>12</c:v>
                </c:pt>
                <c:pt idx="5">
                  <c:v>27</c:v>
                </c:pt>
                <c:pt idx="6">
                  <c:v>18</c:v>
                </c:pt>
                <c:pt idx="7">
                  <c:v>22</c:v>
                </c:pt>
                <c:pt idx="8">
                  <c:v>25</c:v>
                </c:pt>
                <c:pt idx="9">
                  <c:v>33</c:v>
                </c:pt>
                <c:pt idx="10">
                  <c:v>19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'04.08 Karuma-Kigumba'!$AD$9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'04.08 Karuma-Kigumba'!$R$10:$R$21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Karuma-Kigumba'!$AD$10:$AD$21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471168"/>
        <c:axId val="220469600"/>
      </c:lineChart>
      <c:catAx>
        <c:axId val="22047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0469600"/>
        <c:crosses val="autoZero"/>
        <c:auto val="1"/>
        <c:lblAlgn val="ctr"/>
        <c:lblOffset val="100"/>
        <c:noMultiLvlLbl val="0"/>
      </c:catAx>
      <c:valAx>
        <c:axId val="2204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047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Kigumba-Karuma'!$AE$9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Kigumba-Karuma'!$AE$10:$AE$21</c:f>
              <c:numCache>
                <c:formatCode>0</c:formatCode>
                <c:ptCount val="12"/>
                <c:pt idx="0">
                  <c:v>23</c:v>
                </c:pt>
                <c:pt idx="1">
                  <c:v>37</c:v>
                </c:pt>
                <c:pt idx="2">
                  <c:v>30</c:v>
                </c:pt>
                <c:pt idx="3">
                  <c:v>36</c:v>
                </c:pt>
                <c:pt idx="4">
                  <c:v>46</c:v>
                </c:pt>
                <c:pt idx="5">
                  <c:v>41</c:v>
                </c:pt>
                <c:pt idx="6">
                  <c:v>37</c:v>
                </c:pt>
                <c:pt idx="7">
                  <c:v>60</c:v>
                </c:pt>
                <c:pt idx="8">
                  <c:v>51</c:v>
                </c:pt>
                <c:pt idx="9">
                  <c:v>72</c:v>
                </c:pt>
                <c:pt idx="10">
                  <c:v>70</c:v>
                </c:pt>
                <c:pt idx="11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'04.08 Kigumba-Karuma'!$AF$9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Kigumba-Karuma'!$AF$10:$AF$21</c:f>
              <c:numCache>
                <c:formatCode>0</c:formatCode>
                <c:ptCount val="12"/>
                <c:pt idx="0">
                  <c:v>31</c:v>
                </c:pt>
                <c:pt idx="1">
                  <c:v>50</c:v>
                </c:pt>
                <c:pt idx="2">
                  <c:v>43</c:v>
                </c:pt>
                <c:pt idx="3">
                  <c:v>55</c:v>
                </c:pt>
                <c:pt idx="4">
                  <c:v>68</c:v>
                </c:pt>
                <c:pt idx="5">
                  <c:v>62</c:v>
                </c:pt>
                <c:pt idx="6">
                  <c:v>51</c:v>
                </c:pt>
                <c:pt idx="7">
                  <c:v>85</c:v>
                </c:pt>
                <c:pt idx="8">
                  <c:v>84</c:v>
                </c:pt>
                <c:pt idx="9">
                  <c:v>96</c:v>
                </c:pt>
                <c:pt idx="10">
                  <c:v>96</c:v>
                </c:pt>
                <c:pt idx="11">
                  <c:v>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473128"/>
        <c:axId val="220473520"/>
      </c:lineChart>
      <c:catAx>
        <c:axId val="2204731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0473520"/>
        <c:crosses val="autoZero"/>
        <c:auto val="1"/>
        <c:lblAlgn val="ctr"/>
        <c:lblOffset val="100"/>
        <c:noMultiLvlLbl val="0"/>
      </c:catAx>
      <c:valAx>
        <c:axId val="220473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0473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Kigumba-Karuma'!$C$9:$N$9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Kigumba-Karuma'!$C$59:$N$59</c:f>
              <c:numCache>
                <c:formatCode>0.0%</c:formatCode>
                <c:ptCount val="12"/>
                <c:pt idx="0">
                  <c:v>8.8528678304239397E-2</c:v>
                </c:pt>
                <c:pt idx="1">
                  <c:v>0.1396508728179551</c:v>
                </c:pt>
                <c:pt idx="2">
                  <c:v>0.17331670822942644</c:v>
                </c:pt>
                <c:pt idx="3">
                  <c:v>8.7281795511221949E-2</c:v>
                </c:pt>
                <c:pt idx="4">
                  <c:v>6.2344139650872821E-3</c:v>
                </c:pt>
                <c:pt idx="5">
                  <c:v>4.8628428927680795E-2</c:v>
                </c:pt>
                <c:pt idx="6">
                  <c:v>7.6059850374064833E-2</c:v>
                </c:pt>
                <c:pt idx="7">
                  <c:v>2.119700748129676E-2</c:v>
                </c:pt>
                <c:pt idx="8">
                  <c:v>7.481296758104738E-3</c:v>
                </c:pt>
                <c:pt idx="9">
                  <c:v>4.1147132169576058E-2</c:v>
                </c:pt>
                <c:pt idx="10">
                  <c:v>0.31047381546134661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Kigumba-Karuma'!$C$9:$N$9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Kigumba-Karuma'!$C$60:$N$60</c:f>
              <c:numCache>
                <c:formatCode>0.00%</c:formatCode>
                <c:ptCount val="12"/>
                <c:pt idx="0">
                  <c:v>0.12839059674502712</c:v>
                </c:pt>
                <c:pt idx="1">
                  <c:v>0.20253164556962025</c:v>
                </c:pt>
                <c:pt idx="2">
                  <c:v>0.25135623869801083</c:v>
                </c:pt>
                <c:pt idx="3">
                  <c:v>0.12658227848101267</c:v>
                </c:pt>
                <c:pt idx="4">
                  <c:v>9.0415913200723331E-3</c:v>
                </c:pt>
                <c:pt idx="5">
                  <c:v>7.0524412296564198E-2</c:v>
                </c:pt>
                <c:pt idx="6">
                  <c:v>0.11030741410488246</c:v>
                </c:pt>
                <c:pt idx="7">
                  <c:v>3.074141048824593E-2</c:v>
                </c:pt>
                <c:pt idx="8">
                  <c:v>1.0849909584086799E-2</c:v>
                </c:pt>
                <c:pt idx="9">
                  <c:v>5.9674502712477394E-2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Kigumba-Karuma'!$S$9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Kigumba-Karuma'!$S$10:$S$21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  <c:pt idx="8">
                  <c:v>8</c:v>
                </c:pt>
                <c:pt idx="9">
                  <c:v>12</c:v>
                </c:pt>
                <c:pt idx="10">
                  <c:v>11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'04.08 Kigumba-Karuma'!$T$9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Kigumba-Karuma'!$T$10:$T$21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3</c:v>
                </c:pt>
                <c:pt idx="3">
                  <c:v>7</c:v>
                </c:pt>
                <c:pt idx="4">
                  <c:v>12</c:v>
                </c:pt>
                <c:pt idx="5">
                  <c:v>10</c:v>
                </c:pt>
                <c:pt idx="6">
                  <c:v>7</c:v>
                </c:pt>
                <c:pt idx="7">
                  <c:v>16</c:v>
                </c:pt>
                <c:pt idx="8">
                  <c:v>10</c:v>
                </c:pt>
                <c:pt idx="9">
                  <c:v>18</c:v>
                </c:pt>
                <c:pt idx="10">
                  <c:v>13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'04.08 Kigumba-Karuma'!$U$9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'04.08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Kigumba-Karuma'!$U$10:$U$21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11</c:v>
                </c:pt>
                <c:pt idx="4">
                  <c:v>14</c:v>
                </c:pt>
                <c:pt idx="5">
                  <c:v>10</c:v>
                </c:pt>
                <c:pt idx="6">
                  <c:v>9</c:v>
                </c:pt>
                <c:pt idx="7">
                  <c:v>17</c:v>
                </c:pt>
                <c:pt idx="8">
                  <c:v>10</c:v>
                </c:pt>
                <c:pt idx="9">
                  <c:v>19</c:v>
                </c:pt>
                <c:pt idx="10">
                  <c:v>16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'04.08 Kigumba-Karuma'!$V$9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'04.08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Kigumba-Karuma'!$V$10:$V$21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4</c:v>
                </c:pt>
                <c:pt idx="10">
                  <c:v>9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'04.08 Kigumba-Karuma'!$W$9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'04.08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Kigumba-Karuma'!$W$10:$W$21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'04.08 Kigumba-Karuma'!$X$9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'04.08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Kigumba-Karuma'!$X$10:$X$21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6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'04.08 Kigumba-Karuma'!$Y$9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'04.08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Kigumba-Karuma'!$Y$10:$Y$21</c:f>
              <c:numCache>
                <c:formatCode>0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7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'04.08 Kigumba-Karuma'!$Z$9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'04.08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Kigumba-Karuma'!$Z$10:$Z$21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'04.08 Kigumba-Karuma'!$AA$9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'04.08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Kigumba-Karuma'!$AA$10:$AA$21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'04.08 Kigumba-Karuma'!$AB$9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'04.08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Kigumba-Karuma'!$AB$10:$AB$21</c:f>
              <c:numCache>
                <c:formatCode>0</c:formatCode>
                <c:ptCount val="12"/>
                <c:pt idx="0">
                  <c:v>7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'04.08 Kigumba-Karuma'!$AC$9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'04.08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Kigumba-Karuma'!$AC$10:$AC$21</c:f>
              <c:numCache>
                <c:formatCode>0</c:formatCode>
                <c:ptCount val="12"/>
                <c:pt idx="0">
                  <c:v>8</c:v>
                </c:pt>
                <c:pt idx="1">
                  <c:v>13</c:v>
                </c:pt>
                <c:pt idx="2">
                  <c:v>13</c:v>
                </c:pt>
                <c:pt idx="3">
                  <c:v>19</c:v>
                </c:pt>
                <c:pt idx="4">
                  <c:v>22</c:v>
                </c:pt>
                <c:pt idx="5">
                  <c:v>21</c:v>
                </c:pt>
                <c:pt idx="6">
                  <c:v>14</c:v>
                </c:pt>
                <c:pt idx="7">
                  <c:v>25</c:v>
                </c:pt>
                <c:pt idx="8">
                  <c:v>33</c:v>
                </c:pt>
                <c:pt idx="9">
                  <c:v>24</c:v>
                </c:pt>
                <c:pt idx="10">
                  <c:v>26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'04.08 Kigumba-Karuma'!$AD$9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'04.08 Kigumba-Karuma'!$R$10:$R$21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Kigumba-Karuma'!$AD$10:$AD$21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122848"/>
        <c:axId val="219118928"/>
      </c:lineChart>
      <c:catAx>
        <c:axId val="21912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118928"/>
        <c:crosses val="autoZero"/>
        <c:auto val="1"/>
        <c:lblAlgn val="ctr"/>
        <c:lblOffset val="100"/>
        <c:noMultiLvlLbl val="0"/>
      </c:catAx>
      <c:valAx>
        <c:axId val="21911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1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Karuma-Kigumba'!$AE$9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Karuma-Kigumba'!$R$10:$R$33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Karuma-Kigumba'!$AE$10:$AE$33</c:f>
              <c:numCache>
                <c:formatCode>0</c:formatCode>
                <c:ptCount val="24"/>
                <c:pt idx="0">
                  <c:v>21.428571428571427</c:v>
                </c:pt>
                <c:pt idx="1">
                  <c:v>26.571428571428577</c:v>
                </c:pt>
                <c:pt idx="2">
                  <c:v>32.285714285714292</c:v>
                </c:pt>
                <c:pt idx="3">
                  <c:v>42.142857142857139</c:v>
                </c:pt>
                <c:pt idx="4">
                  <c:v>46.999999999999993</c:v>
                </c:pt>
                <c:pt idx="5">
                  <c:v>59.142857142857146</c:v>
                </c:pt>
                <c:pt idx="6">
                  <c:v>59.857142857142847</c:v>
                </c:pt>
                <c:pt idx="7">
                  <c:v>55.857142857142861</c:v>
                </c:pt>
                <c:pt idx="8">
                  <c:v>58.571428571428577</c:v>
                </c:pt>
                <c:pt idx="9">
                  <c:v>64.142857142857139</c:v>
                </c:pt>
                <c:pt idx="10">
                  <c:v>59.142857142857139</c:v>
                </c:pt>
                <c:pt idx="11">
                  <c:v>56</c:v>
                </c:pt>
                <c:pt idx="12">
                  <c:v>36</c:v>
                </c:pt>
                <c:pt idx="13">
                  <c:v>33</c:v>
                </c:pt>
                <c:pt idx="14">
                  <c:v>44</c:v>
                </c:pt>
                <c:pt idx="15">
                  <c:v>38.5</c:v>
                </c:pt>
                <c:pt idx="16">
                  <c:v>33.5</c:v>
                </c:pt>
                <c:pt idx="17">
                  <c:v>36</c:v>
                </c:pt>
                <c:pt idx="18">
                  <c:v>31</c:v>
                </c:pt>
                <c:pt idx="19">
                  <c:v>22.5</c:v>
                </c:pt>
                <c:pt idx="20">
                  <c:v>24</c:v>
                </c:pt>
                <c:pt idx="21">
                  <c:v>22.5</c:v>
                </c:pt>
                <c:pt idx="22">
                  <c:v>22.5</c:v>
                </c:pt>
                <c:pt idx="23">
                  <c:v>30.5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Karuma-Kigumba'!$AF$9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Karuma-Kigumba'!$R$10:$R$33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Karuma-Kigumba'!$AF$10:$AF$33</c:f>
              <c:numCache>
                <c:formatCode>0</c:formatCode>
                <c:ptCount val="24"/>
                <c:pt idx="0">
                  <c:v>31</c:v>
                </c:pt>
                <c:pt idx="1">
                  <c:v>39.142857142857146</c:v>
                </c:pt>
                <c:pt idx="2">
                  <c:v>44.857142857142861</c:v>
                </c:pt>
                <c:pt idx="3">
                  <c:v>57</c:v>
                </c:pt>
                <c:pt idx="4">
                  <c:v>60.142857142857139</c:v>
                </c:pt>
                <c:pt idx="5">
                  <c:v>70.571428571428569</c:v>
                </c:pt>
                <c:pt idx="6">
                  <c:v>74.142857142857139</c:v>
                </c:pt>
                <c:pt idx="7">
                  <c:v>68.857142857142861</c:v>
                </c:pt>
                <c:pt idx="8">
                  <c:v>75.714285714285722</c:v>
                </c:pt>
                <c:pt idx="9">
                  <c:v>83</c:v>
                </c:pt>
                <c:pt idx="10">
                  <c:v>77.285714285714292</c:v>
                </c:pt>
                <c:pt idx="11">
                  <c:v>74</c:v>
                </c:pt>
                <c:pt idx="12">
                  <c:v>46</c:v>
                </c:pt>
                <c:pt idx="13">
                  <c:v>43</c:v>
                </c:pt>
                <c:pt idx="14">
                  <c:v>54.5</c:v>
                </c:pt>
                <c:pt idx="15">
                  <c:v>45.5</c:v>
                </c:pt>
                <c:pt idx="16">
                  <c:v>37</c:v>
                </c:pt>
                <c:pt idx="17">
                  <c:v>39.5</c:v>
                </c:pt>
                <c:pt idx="18">
                  <c:v>34</c:v>
                </c:pt>
                <c:pt idx="19">
                  <c:v>23</c:v>
                </c:pt>
                <c:pt idx="20">
                  <c:v>24</c:v>
                </c:pt>
                <c:pt idx="21">
                  <c:v>22.5</c:v>
                </c:pt>
                <c:pt idx="22">
                  <c:v>32.5</c:v>
                </c:pt>
                <c:pt idx="23">
                  <c:v>39.5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124024"/>
        <c:axId val="219120104"/>
      </c:lineChart>
      <c:catAx>
        <c:axId val="2191240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120104"/>
        <c:crosses val="autoZero"/>
        <c:auto val="1"/>
        <c:lblAlgn val="ctr"/>
        <c:lblOffset val="100"/>
        <c:noMultiLvlLbl val="0"/>
      </c:catAx>
      <c:valAx>
        <c:axId val="219120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124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Karuma-Kigumba'!$C$9:$N$9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Karuma-Kigumba'!$C$107:$N$107</c:f>
              <c:numCache>
                <c:formatCode>0.0%</c:formatCode>
                <c:ptCount val="12"/>
                <c:pt idx="0">
                  <c:v>0.10821296406828219</c:v>
                </c:pt>
                <c:pt idx="1">
                  <c:v>8.7441804942103366E-2</c:v>
                </c:pt>
                <c:pt idx="2">
                  <c:v>0.21791810910827267</c:v>
                </c:pt>
                <c:pt idx="3">
                  <c:v>9.4305837411961316E-2</c:v>
                </c:pt>
                <c:pt idx="4">
                  <c:v>2.3874895547331973E-3</c:v>
                </c:pt>
                <c:pt idx="5">
                  <c:v>6.5476901038557953E-2</c:v>
                </c:pt>
                <c:pt idx="6">
                  <c:v>0.11328637937209023</c:v>
                </c:pt>
                <c:pt idx="7">
                  <c:v>2.0413035692968845E-2</c:v>
                </c:pt>
                <c:pt idx="8">
                  <c:v>7.1624686641995946E-3</c:v>
                </c:pt>
                <c:pt idx="9">
                  <c:v>8.1174644860928721E-2</c:v>
                </c:pt>
                <c:pt idx="10">
                  <c:v>0.20102662050853526</c:v>
                </c:pt>
                <c:pt idx="11">
                  <c:v>1.1937447773665989E-3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Karuma-Kigumba'!$C$9:$N$9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Karuma-Kigumba'!$C$108:$N$108</c:f>
              <c:numCache>
                <c:formatCode>0.00%</c:formatCode>
                <c:ptCount val="12"/>
                <c:pt idx="0">
                  <c:v>0.13544001195278649</c:v>
                </c:pt>
                <c:pt idx="1">
                  <c:v>0.10944270132974748</c:v>
                </c:pt>
                <c:pt idx="2">
                  <c:v>0.27274764679515917</c:v>
                </c:pt>
                <c:pt idx="3">
                  <c:v>0.1180337666218437</c:v>
                </c:pt>
                <c:pt idx="4">
                  <c:v>2.9881966233378143E-3</c:v>
                </c:pt>
                <c:pt idx="5">
                  <c:v>8.1951292395039593E-2</c:v>
                </c:pt>
                <c:pt idx="6">
                  <c:v>0.14178992977737931</c:v>
                </c:pt>
                <c:pt idx="7">
                  <c:v>2.5549081129538322E-2</c:v>
                </c:pt>
                <c:pt idx="8">
                  <c:v>8.9645898700134469E-3</c:v>
                </c:pt>
                <c:pt idx="9">
                  <c:v>0.10159868519348572</c:v>
                </c:pt>
                <c:pt idx="11">
                  <c:v>1.4940983116689074E-3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Kigumba-Karuma'!$AE$9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Kigumba-Karuma'!$R$10:$R$33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Kigumba-Karuma'!$AE$10:$AE$33</c:f>
              <c:numCache>
                <c:formatCode>0</c:formatCode>
                <c:ptCount val="24"/>
                <c:pt idx="0">
                  <c:v>33.142857142857146</c:v>
                </c:pt>
                <c:pt idx="1">
                  <c:v>39.571428571428569</c:v>
                </c:pt>
                <c:pt idx="2">
                  <c:v>38.714285714285715</c:v>
                </c:pt>
                <c:pt idx="3">
                  <c:v>41.999999999999993</c:v>
                </c:pt>
                <c:pt idx="4">
                  <c:v>44.428571428571431</c:v>
                </c:pt>
                <c:pt idx="5">
                  <c:v>43.142857142857139</c:v>
                </c:pt>
                <c:pt idx="6">
                  <c:v>47.714285714285715</c:v>
                </c:pt>
                <c:pt idx="7">
                  <c:v>47.571428571428577</c:v>
                </c:pt>
                <c:pt idx="8">
                  <c:v>56.714285714285708</c:v>
                </c:pt>
                <c:pt idx="9">
                  <c:v>62.571428571428569</c:v>
                </c:pt>
                <c:pt idx="10">
                  <c:v>59</c:v>
                </c:pt>
                <c:pt idx="11">
                  <c:v>60.571428571428569</c:v>
                </c:pt>
                <c:pt idx="12">
                  <c:v>48.5</c:v>
                </c:pt>
                <c:pt idx="13">
                  <c:v>39.5</c:v>
                </c:pt>
                <c:pt idx="14">
                  <c:v>30</c:v>
                </c:pt>
                <c:pt idx="15">
                  <c:v>29.5</c:v>
                </c:pt>
                <c:pt idx="16">
                  <c:v>24.5</c:v>
                </c:pt>
                <c:pt idx="17">
                  <c:v>15</c:v>
                </c:pt>
                <c:pt idx="18">
                  <c:v>14.5</c:v>
                </c:pt>
                <c:pt idx="19">
                  <c:v>18.5</c:v>
                </c:pt>
                <c:pt idx="20">
                  <c:v>21.5</c:v>
                </c:pt>
                <c:pt idx="21">
                  <c:v>25</c:v>
                </c:pt>
                <c:pt idx="22">
                  <c:v>28.5</c:v>
                </c:pt>
                <c:pt idx="23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Kigumba-Karuma'!$AF$9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Kigumba-Karuma'!$R$10:$R$33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Kigumba-Karuma'!$AF$10:$AF$33</c:f>
              <c:numCache>
                <c:formatCode>0</c:formatCode>
                <c:ptCount val="24"/>
                <c:pt idx="0">
                  <c:v>42.142857142857146</c:v>
                </c:pt>
                <c:pt idx="1">
                  <c:v>50.714285714285708</c:v>
                </c:pt>
                <c:pt idx="2">
                  <c:v>50</c:v>
                </c:pt>
                <c:pt idx="3">
                  <c:v>57.285714285714285</c:v>
                </c:pt>
                <c:pt idx="4">
                  <c:v>60</c:v>
                </c:pt>
                <c:pt idx="5">
                  <c:v>56.714285714285708</c:v>
                </c:pt>
                <c:pt idx="6">
                  <c:v>61</c:v>
                </c:pt>
                <c:pt idx="7">
                  <c:v>65.142857142857139</c:v>
                </c:pt>
                <c:pt idx="8">
                  <c:v>75.142857142857139</c:v>
                </c:pt>
                <c:pt idx="9">
                  <c:v>80.857142857142861</c:v>
                </c:pt>
                <c:pt idx="10">
                  <c:v>79.285714285714278</c:v>
                </c:pt>
                <c:pt idx="11">
                  <c:v>81.571428571428569</c:v>
                </c:pt>
                <c:pt idx="12">
                  <c:v>64.5</c:v>
                </c:pt>
                <c:pt idx="13">
                  <c:v>53</c:v>
                </c:pt>
                <c:pt idx="14">
                  <c:v>41</c:v>
                </c:pt>
                <c:pt idx="15">
                  <c:v>39.5</c:v>
                </c:pt>
                <c:pt idx="16">
                  <c:v>33.5</c:v>
                </c:pt>
                <c:pt idx="17">
                  <c:v>21.5</c:v>
                </c:pt>
                <c:pt idx="18">
                  <c:v>18.5</c:v>
                </c:pt>
                <c:pt idx="19">
                  <c:v>26</c:v>
                </c:pt>
                <c:pt idx="20">
                  <c:v>29</c:v>
                </c:pt>
                <c:pt idx="21">
                  <c:v>32</c:v>
                </c:pt>
                <c:pt idx="22">
                  <c:v>38.5</c:v>
                </c:pt>
                <c:pt idx="23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123632"/>
        <c:axId val="219125200"/>
      </c:lineChart>
      <c:catAx>
        <c:axId val="2191236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125200"/>
        <c:crosses val="autoZero"/>
        <c:auto val="1"/>
        <c:lblAlgn val="ctr"/>
        <c:lblOffset val="100"/>
        <c:noMultiLvlLbl val="0"/>
      </c:catAx>
      <c:valAx>
        <c:axId val="219125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12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Kigumba-Karuma'!$C$9:$N$9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Kigumba-Karuma'!$C$107:$N$107</c:f>
              <c:numCache>
                <c:formatCode>0.0%</c:formatCode>
                <c:ptCount val="12"/>
                <c:pt idx="0">
                  <c:v>0.12207298228931418</c:v>
                </c:pt>
                <c:pt idx="1">
                  <c:v>0.10668013788184955</c:v>
                </c:pt>
                <c:pt idx="2">
                  <c:v>0.19980981813859505</c:v>
                </c:pt>
                <c:pt idx="3">
                  <c:v>9.5685249019374766E-2</c:v>
                </c:pt>
                <c:pt idx="4">
                  <c:v>2.8527279210745272E-3</c:v>
                </c:pt>
                <c:pt idx="5">
                  <c:v>5.5390467134197097E-2</c:v>
                </c:pt>
                <c:pt idx="6">
                  <c:v>9.0158088672292899E-2</c:v>
                </c:pt>
                <c:pt idx="7">
                  <c:v>1.1708070842743378E-2</c:v>
                </c:pt>
                <c:pt idx="8">
                  <c:v>4.9922738618804249E-3</c:v>
                </c:pt>
                <c:pt idx="9">
                  <c:v>6.1868536788303827E-2</c:v>
                </c:pt>
                <c:pt idx="10">
                  <c:v>0.2485439201236182</c:v>
                </c:pt>
                <c:pt idx="11">
                  <c:v>2.3772732675621065E-4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Kigumba-Karuma'!$C$9:$N$9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Kigumba-Karuma'!$C$108:$N$108</c:f>
              <c:numCache>
                <c:formatCode>0.00%</c:formatCode>
                <c:ptCount val="12"/>
                <c:pt idx="0">
                  <c:v>0.16244859221765268</c:v>
                </c:pt>
                <c:pt idx="1">
                  <c:v>0.14196456817462833</c:v>
                </c:pt>
                <c:pt idx="2">
                  <c:v>0.26589686807972163</c:v>
                </c:pt>
                <c:pt idx="3">
                  <c:v>0.12733312242961087</c:v>
                </c:pt>
                <c:pt idx="4">
                  <c:v>3.796267004112622E-3</c:v>
                </c:pt>
                <c:pt idx="5">
                  <c:v>7.3710850996520111E-2</c:v>
                </c:pt>
                <c:pt idx="6">
                  <c:v>0.1199778551091427</c:v>
                </c:pt>
                <c:pt idx="7">
                  <c:v>1.5580512496045562E-2</c:v>
                </c:pt>
                <c:pt idx="8">
                  <c:v>6.6434672571970919E-3</c:v>
                </c:pt>
                <c:pt idx="9">
                  <c:v>8.2331540651692514E-2</c:v>
                </c:pt>
                <c:pt idx="11">
                  <c:v>3.1635558367605192E-4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Kigumba-Karuma-2Dir'!$C$9:$N$9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Kigumba-Karuma-2Dir'!$C$107:$N$107</c:f>
              <c:numCache>
                <c:formatCode>0.0%</c:formatCode>
                <c:ptCount val="12"/>
                <c:pt idx="0">
                  <c:v>0.11515783204288266</c:v>
                </c:pt>
                <c:pt idx="1">
                  <c:v>9.7081596188207261E-2</c:v>
                </c:pt>
                <c:pt idx="2">
                  <c:v>0.2088445503275759</c:v>
                </c:pt>
                <c:pt idx="3">
                  <c:v>9.4997022036926754E-2</c:v>
                </c:pt>
                <c:pt idx="4">
                  <c:v>2.6206075044669453E-3</c:v>
                </c:pt>
                <c:pt idx="5">
                  <c:v>6.0422870756402632E-2</c:v>
                </c:pt>
                <c:pt idx="6">
                  <c:v>0.10169743895175699</c:v>
                </c:pt>
                <c:pt idx="7">
                  <c:v>1.6051220964860037E-2</c:v>
                </c:pt>
                <c:pt idx="8">
                  <c:v>6.0750446694461009E-3</c:v>
                </c:pt>
                <c:pt idx="9">
                  <c:v>7.1500893388921988E-2</c:v>
                </c:pt>
                <c:pt idx="10">
                  <c:v>0.22483621203097079</c:v>
                </c:pt>
                <c:pt idx="11">
                  <c:v>7.1471113758189394E-4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Kigumba-Karuma-2Dir'!$C$9:$N$9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Kigumba-Karuma-2Dir'!$C$108:$N$108</c:f>
              <c:numCache>
                <c:formatCode>0.00%</c:formatCode>
                <c:ptCount val="12"/>
                <c:pt idx="0">
                  <c:v>0.14855935459085667</c:v>
                </c:pt>
                <c:pt idx="1">
                  <c:v>0.12524010756819054</c:v>
                </c:pt>
                <c:pt idx="2">
                  <c:v>0.26941990011525158</c:v>
                </c:pt>
                <c:pt idx="3">
                  <c:v>0.12255090280445641</c:v>
                </c:pt>
                <c:pt idx="4">
                  <c:v>3.3807145601229354E-3</c:v>
                </c:pt>
                <c:pt idx="5">
                  <c:v>7.7948520937379959E-2</c:v>
                </c:pt>
                <c:pt idx="6">
                  <c:v>0.13119477525931617</c:v>
                </c:pt>
                <c:pt idx="7">
                  <c:v>2.0706876680752977E-2</c:v>
                </c:pt>
                <c:pt idx="8">
                  <c:v>7.8371110257395328E-3</c:v>
                </c:pt>
                <c:pt idx="9">
                  <c:v>9.2239723396081469E-2</c:v>
                </c:pt>
                <c:pt idx="11">
                  <c:v>9.2201306185170947E-4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Kigumba-Karuma-2Dir'!$S$9:$AF$9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Kigumba-Karuma-2Dir'!$S$41:$AF$41</c:f>
              <c:numCache>
                <c:formatCode>_(* #,##0_);_(* \(#,##0\);_(* "-"_);_(@_)</c:formatCode>
                <c:ptCount val="14"/>
                <c:pt idx="0">
                  <c:v>276.21428571428572</c:v>
                </c:pt>
                <c:pt idx="1">
                  <c:v>232.85714285714286</c:v>
                </c:pt>
                <c:pt idx="2">
                  <c:v>500.92857142857139</c:v>
                </c:pt>
                <c:pt idx="3">
                  <c:v>227.85714285714286</c:v>
                </c:pt>
                <c:pt idx="4">
                  <c:v>6.2857142857142838</c:v>
                </c:pt>
                <c:pt idx="5">
                  <c:v>144.92857142857142</c:v>
                </c:pt>
                <c:pt idx="6">
                  <c:v>243.92857142857144</c:v>
                </c:pt>
                <c:pt idx="7">
                  <c:v>38.5</c:v>
                </c:pt>
                <c:pt idx="8">
                  <c:v>14.571428571428571</c:v>
                </c:pt>
                <c:pt idx="9">
                  <c:v>171.5</c:v>
                </c:pt>
                <c:pt idx="10">
                  <c:v>539.28571428571422</c:v>
                </c:pt>
                <c:pt idx="11">
                  <c:v>1.7142857142857142</c:v>
                </c:pt>
                <c:pt idx="12">
                  <c:v>1859.2857142857142</c:v>
                </c:pt>
                <c:pt idx="13">
                  <c:v>2398.5714285714289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1-4D3E-9870-E29BC7DF67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Kigumba-Karuma-2Dir'!$S$9:$AF$9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Kigumba-Karuma-2Dir'!$S$42:$AF$42</c:f>
              <c:numCache>
                <c:formatCode>0.000</c:formatCode>
                <c:ptCount val="14"/>
                <c:pt idx="0">
                  <c:v>1.6179916317991632</c:v>
                </c:pt>
                <c:pt idx="1">
                  <c:v>1.4658273381294964</c:v>
                </c:pt>
                <c:pt idx="2">
                  <c:v>1.6618483412322276</c:v>
                </c:pt>
                <c:pt idx="3">
                  <c:v>1.5729783037475344</c:v>
                </c:pt>
                <c:pt idx="4">
                  <c:v>1</c:v>
                </c:pt>
                <c:pt idx="5">
                  <c:v>1.8019538188277089</c:v>
                </c:pt>
                <c:pt idx="6">
                  <c:v>1.5898510242085659</c:v>
                </c:pt>
                <c:pt idx="7">
                  <c:v>1.4259259259259258</c:v>
                </c:pt>
                <c:pt idx="8">
                  <c:v>1.0736842105263158</c:v>
                </c:pt>
                <c:pt idx="9">
                  <c:v>1.732323232323232</c:v>
                </c:pt>
                <c:pt idx="10">
                  <c:v>1.5051834130781501</c:v>
                </c:pt>
                <c:pt idx="11">
                  <c:v>1</c:v>
                </c:pt>
                <c:pt idx="12">
                  <c:v>1.6065917787927417</c:v>
                </c:pt>
                <c:pt idx="13">
                  <c:v>1.5826185314355734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4-49B5-94E0-FE38CAF82C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Kigumba-Karuma-2Dir'!$AE$9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Kigumba-Karuma-2Dir'!$R$10:$R$33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Kigumba-Karuma-2Dir'!$AE$10:$AE$33</c:f>
              <c:numCache>
                <c:formatCode>0</c:formatCode>
                <c:ptCount val="24"/>
                <c:pt idx="0">
                  <c:v>54.571428571428569</c:v>
                </c:pt>
                <c:pt idx="1">
                  <c:v>66.142857142857139</c:v>
                </c:pt>
                <c:pt idx="2">
                  <c:v>71</c:v>
                </c:pt>
                <c:pt idx="3">
                  <c:v>84.142857142857139</c:v>
                </c:pt>
                <c:pt idx="4">
                  <c:v>91.428571428571416</c:v>
                </c:pt>
                <c:pt idx="5">
                  <c:v>102.28571428571428</c:v>
                </c:pt>
                <c:pt idx="6">
                  <c:v>107.57142857142857</c:v>
                </c:pt>
                <c:pt idx="7">
                  <c:v>103.42857142857142</c:v>
                </c:pt>
                <c:pt idx="8">
                  <c:v>115.28571428571428</c:v>
                </c:pt>
                <c:pt idx="9">
                  <c:v>126.71428571428571</c:v>
                </c:pt>
                <c:pt idx="10">
                  <c:v>118.14285714285715</c:v>
                </c:pt>
                <c:pt idx="11">
                  <c:v>116.57142857142856</c:v>
                </c:pt>
                <c:pt idx="12">
                  <c:v>84.5</c:v>
                </c:pt>
                <c:pt idx="13">
                  <c:v>72.5</c:v>
                </c:pt>
                <c:pt idx="14">
                  <c:v>74</c:v>
                </c:pt>
                <c:pt idx="15">
                  <c:v>68</c:v>
                </c:pt>
                <c:pt idx="16">
                  <c:v>58</c:v>
                </c:pt>
                <c:pt idx="17">
                  <c:v>51</c:v>
                </c:pt>
                <c:pt idx="18">
                  <c:v>45.5</c:v>
                </c:pt>
                <c:pt idx="19">
                  <c:v>41</c:v>
                </c:pt>
                <c:pt idx="20">
                  <c:v>45.5</c:v>
                </c:pt>
                <c:pt idx="21">
                  <c:v>47.5</c:v>
                </c:pt>
                <c:pt idx="22">
                  <c:v>51</c:v>
                </c:pt>
                <c:pt idx="23">
                  <c:v>63.5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05-4A65-A482-5D3791C5AC17}"/>
            </c:ext>
          </c:extLst>
        </c:ser>
        <c:ser>
          <c:idx val="1"/>
          <c:order val="1"/>
          <c:tx>
            <c:strRef>
              <c:f>'Avg Week Kigumba-Karuma-2Dir'!$AF$9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Kigumba-Karuma-2Dir'!$R$10:$R$33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Kigumba-Karuma-2Dir'!$AF$10:$AF$33</c:f>
              <c:numCache>
                <c:formatCode>0</c:formatCode>
                <c:ptCount val="24"/>
                <c:pt idx="0">
                  <c:v>73.142857142857139</c:v>
                </c:pt>
                <c:pt idx="1">
                  <c:v>89.857142857142847</c:v>
                </c:pt>
                <c:pt idx="2">
                  <c:v>94.857142857142861</c:v>
                </c:pt>
                <c:pt idx="3">
                  <c:v>114.28571428571428</c:v>
                </c:pt>
                <c:pt idx="4">
                  <c:v>120.14285714285714</c:v>
                </c:pt>
                <c:pt idx="5">
                  <c:v>127.28571428571428</c:v>
                </c:pt>
                <c:pt idx="6">
                  <c:v>135.14285714285714</c:v>
                </c:pt>
                <c:pt idx="7">
                  <c:v>133.99999999999997</c:v>
                </c:pt>
                <c:pt idx="8">
                  <c:v>150.85714285714283</c:v>
                </c:pt>
                <c:pt idx="9">
                  <c:v>163.85714285714286</c:v>
                </c:pt>
                <c:pt idx="10">
                  <c:v>156.57142857142858</c:v>
                </c:pt>
                <c:pt idx="11">
                  <c:v>155.57142857142856</c:v>
                </c:pt>
                <c:pt idx="12">
                  <c:v>110.5</c:v>
                </c:pt>
                <c:pt idx="13">
                  <c:v>96</c:v>
                </c:pt>
                <c:pt idx="14">
                  <c:v>95.5</c:v>
                </c:pt>
                <c:pt idx="15">
                  <c:v>85</c:v>
                </c:pt>
                <c:pt idx="16">
                  <c:v>70.5</c:v>
                </c:pt>
                <c:pt idx="17">
                  <c:v>61</c:v>
                </c:pt>
                <c:pt idx="18">
                  <c:v>52.5</c:v>
                </c:pt>
                <c:pt idx="19">
                  <c:v>49</c:v>
                </c:pt>
                <c:pt idx="20">
                  <c:v>53</c:v>
                </c:pt>
                <c:pt idx="21">
                  <c:v>54.5</c:v>
                </c:pt>
                <c:pt idx="22">
                  <c:v>71</c:v>
                </c:pt>
                <c:pt idx="23">
                  <c:v>84.5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05-4A65-A482-5D3791C5AC17}"/>
            </c:ext>
          </c:extLst>
        </c:ser>
        <c:ser>
          <c:idx val="5"/>
          <c:order val="2"/>
          <c:tx>
            <c:strRef>
              <c:f>'Avg Week Kigumba-Karuma-2Dir'!$AC$9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Kigumba-Karuma-2Dir'!$R$10:$R$33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Kigumba-Karuma-2Dir'!$AC$10:$AC$33</c:f>
              <c:numCache>
                <c:formatCode>0</c:formatCode>
                <c:ptCount val="24"/>
                <c:pt idx="0">
                  <c:v>18.571428571428569</c:v>
                </c:pt>
                <c:pt idx="1">
                  <c:v>23.714285714285715</c:v>
                </c:pt>
                <c:pt idx="2">
                  <c:v>23.857142857142858</c:v>
                </c:pt>
                <c:pt idx="3">
                  <c:v>30.142857142857139</c:v>
                </c:pt>
                <c:pt idx="4">
                  <c:v>28.714285714285712</c:v>
                </c:pt>
                <c:pt idx="5">
                  <c:v>25</c:v>
                </c:pt>
                <c:pt idx="6">
                  <c:v>27.571428571428569</c:v>
                </c:pt>
                <c:pt idx="7">
                  <c:v>30.571428571428569</c:v>
                </c:pt>
                <c:pt idx="8">
                  <c:v>35.571428571428569</c:v>
                </c:pt>
                <c:pt idx="9">
                  <c:v>37.142857142857139</c:v>
                </c:pt>
                <c:pt idx="10">
                  <c:v>38.428571428571431</c:v>
                </c:pt>
                <c:pt idx="11">
                  <c:v>39</c:v>
                </c:pt>
                <c:pt idx="12">
                  <c:v>26</c:v>
                </c:pt>
                <c:pt idx="13">
                  <c:v>23.5</c:v>
                </c:pt>
                <c:pt idx="14">
                  <c:v>21.5</c:v>
                </c:pt>
                <c:pt idx="15">
                  <c:v>17</c:v>
                </c:pt>
                <c:pt idx="16">
                  <c:v>12.5</c:v>
                </c:pt>
                <c:pt idx="17">
                  <c:v>10</c:v>
                </c:pt>
                <c:pt idx="18">
                  <c:v>7</c:v>
                </c:pt>
                <c:pt idx="19">
                  <c:v>8</c:v>
                </c:pt>
                <c:pt idx="20">
                  <c:v>7.5</c:v>
                </c:pt>
                <c:pt idx="21">
                  <c:v>7</c:v>
                </c:pt>
                <c:pt idx="22">
                  <c:v>20</c:v>
                </c:pt>
                <c:pt idx="2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05-4A65-A482-5D3791C5A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8191FF-E7F3-40F7-BCA6-2F6F03D79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F40CD3-B0D8-47B5-A214-9FDA7329A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280D97-C224-433B-A1F3-9B881F318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639E8C-BAC8-4C93-915A-E3599BE75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D8442E-B65E-484A-AB36-1E5FA174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553755-FD06-4BD5-B4C0-A2F1FC2A3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3B5A4-939C-4163-9D22-9CC1AEF93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E43882-A518-42B7-99CB-6E6489C28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6216B89-EAA6-4068-A161-6FAAEB4CA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FB968FE-FB9B-45B7-A453-3D3EBFE5B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6497663-4DAE-46B7-9831-3382D17F9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29F06A7-26A5-4597-9482-F3A2237FB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58FAA4C-EC1E-4A11-BF00-62235B2F1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B4BE7FB-DE4C-4F1C-9D15-5144E10C7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22FB903-8156-4237-99BC-22B4481A7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8F965-9DAD-4543-A8F6-916F6F6B8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938E55-4F7B-48E3-AEC5-2D59E8EA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CD268D-3073-4ED2-B8FE-F314BD3CE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F977F3-1BA8-43C2-AA1B-AEC74FC9E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7445D6-B2B8-4B79-B67D-6A534672C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E8FB2A-46BC-484A-953A-6FFC33DDE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23CAFE7-E6B8-45C6-85BD-0B07BC317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DD61D6-8042-4006-B706-E27D79490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F1C1A65-3146-47D0-9A5A-0960A5918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3B092C0-1419-4145-B1E1-1DDE52843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3C3161C3-DCAE-473E-B4CC-023CEB176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25AC203-3E83-4ED4-96EF-CD9DDA260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C5F5EF5-A64F-4DA3-AF8F-46A56D27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0D39307-B072-4308-9DD1-537DAB267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5DFF244-F76A-4E5D-9C16-749300A2AA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32</xdr:row>
      <xdr:rowOff>276224</xdr:rowOff>
    </xdr:from>
    <xdr:to>
      <xdr:col>24</xdr:col>
      <xdr:colOff>111125</xdr:colOff>
      <xdr:row>47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190500</xdr:colOff>
      <xdr:row>32</xdr:row>
      <xdr:rowOff>279400</xdr:rowOff>
    </xdr:from>
    <xdr:to>
      <xdr:col>31</xdr:col>
      <xdr:colOff>603250</xdr:colOff>
      <xdr:row>47</xdr:row>
      <xdr:rowOff>79375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48</xdr:row>
      <xdr:rowOff>15877</xdr:rowOff>
    </xdr:from>
    <xdr:to>
      <xdr:col>31</xdr:col>
      <xdr:colOff>666750</xdr:colOff>
      <xdr:row>62</xdr:row>
      <xdr:rowOff>79375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32</xdr:col>
      <xdr:colOff>382221</xdr:colOff>
      <xdr:row>48</xdr:row>
      <xdr:rowOff>53730</xdr:rowOff>
    </xdr:from>
    <xdr:to>
      <xdr:col>40</xdr:col>
      <xdr:colOff>69606</xdr:colOff>
      <xdr:row>65</xdr:row>
      <xdr:rowOff>2077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32</xdr:row>
      <xdr:rowOff>276224</xdr:rowOff>
    </xdr:from>
    <xdr:to>
      <xdr:col>24</xdr:col>
      <xdr:colOff>111125</xdr:colOff>
      <xdr:row>47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206375</xdr:colOff>
      <xdr:row>33</xdr:row>
      <xdr:rowOff>9525</xdr:rowOff>
    </xdr:from>
    <xdr:to>
      <xdr:col>31</xdr:col>
      <xdr:colOff>619125</xdr:colOff>
      <xdr:row>47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206376</xdr:colOff>
      <xdr:row>48</xdr:row>
      <xdr:rowOff>206377</xdr:rowOff>
    </xdr:from>
    <xdr:to>
      <xdr:col>31</xdr:col>
      <xdr:colOff>619125</xdr:colOff>
      <xdr:row>62</xdr:row>
      <xdr:rowOff>269875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32</xdr:col>
      <xdr:colOff>541618</xdr:colOff>
      <xdr:row>47</xdr:row>
      <xdr:rowOff>224118</xdr:rowOff>
    </xdr:from>
    <xdr:to>
      <xdr:col>40</xdr:col>
      <xdr:colOff>292287</xdr:colOff>
      <xdr:row>64</xdr:row>
      <xdr:rowOff>53510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42</xdr:row>
      <xdr:rowOff>276224</xdr:rowOff>
    </xdr:from>
    <xdr:to>
      <xdr:col>27</xdr:col>
      <xdr:colOff>698499</xdr:colOff>
      <xdr:row>57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58</xdr:row>
      <xdr:rowOff>279400</xdr:rowOff>
    </xdr:from>
    <xdr:to>
      <xdr:col>29</xdr:col>
      <xdr:colOff>698501</xdr:colOff>
      <xdr:row>74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23</xdr:col>
      <xdr:colOff>698500</xdr:colOff>
      <xdr:row>73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42</xdr:row>
      <xdr:rowOff>228599</xdr:rowOff>
    </xdr:from>
    <xdr:to>
      <xdr:col>28</xdr:col>
      <xdr:colOff>15875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59</xdr:row>
      <xdr:rowOff>9525</xdr:rowOff>
    </xdr:from>
    <xdr:to>
      <xdr:col>30</xdr:col>
      <xdr:colOff>15875</xdr:colOff>
      <xdr:row>73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24</xdr:col>
      <xdr:colOff>0</xdr:colOff>
      <xdr:row>73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74</xdr:row>
      <xdr:rowOff>9525</xdr:rowOff>
    </xdr:from>
    <xdr:to>
      <xdr:col>24</xdr:col>
      <xdr:colOff>301625</xdr:colOff>
      <xdr:row>89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31750</xdr:colOff>
      <xdr:row>59</xdr:row>
      <xdr:rowOff>0</xdr:rowOff>
    </xdr:from>
    <xdr:to>
      <xdr:col>24</xdr:col>
      <xdr:colOff>254000</xdr:colOff>
      <xdr:row>73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269876</xdr:colOff>
      <xdr:row>59</xdr:row>
      <xdr:rowOff>1587</xdr:rowOff>
    </xdr:from>
    <xdr:to>
      <xdr:col>30</xdr:col>
      <xdr:colOff>669200</xdr:colOff>
      <xdr:row>73</xdr:row>
      <xdr:rowOff>268672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AC48998-BA65-4E96-95AB-8444D63FC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317501</xdr:colOff>
      <xdr:row>74</xdr:row>
      <xdr:rowOff>17462</xdr:rowOff>
    </xdr:from>
    <xdr:to>
      <xdr:col>31</xdr:col>
      <xdr:colOff>79375</xdr:colOff>
      <xdr:row>89</xdr:row>
      <xdr:rowOff>15875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44A0572-9E8B-4DB6-8B9E-5F75ADFA2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15875</xdr:colOff>
      <xdr:row>42</xdr:row>
      <xdr:rowOff>269875</xdr:rowOff>
    </xdr:from>
    <xdr:to>
      <xdr:col>31</xdr:col>
      <xdr:colOff>0</xdr:colOff>
      <xdr:row>57</xdr:row>
      <xdr:rowOff>254000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BD99AA8-172E-4B69-AEE5-87AFAC62C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L10" sqref="L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1" t="s">
        <v>96</v>
      </c>
      <c r="C3" s="67" t="s">
        <v>168</v>
      </c>
      <c r="D3" s="67"/>
      <c r="E3" s="67"/>
      <c r="F3" s="67"/>
      <c r="G3" s="67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2" t="s">
        <v>167</v>
      </c>
      <c r="H5" s="63"/>
      <c r="I5" s="14"/>
      <c r="J5" s="2" t="s">
        <v>5</v>
      </c>
      <c r="K5" s="62" t="s">
        <v>162</v>
      </c>
      <c r="L5" s="63"/>
      <c r="M5" s="10"/>
      <c r="N5" s="10"/>
      <c r="O5" s="3"/>
      <c r="P5" s="3"/>
    </row>
    <row r="6" spans="2:32" ht="23.25" customHeight="1" x14ac:dyDescent="0.25">
      <c r="C6" s="2" t="s">
        <v>4</v>
      </c>
      <c r="D6" s="62" t="s">
        <v>165</v>
      </c>
      <c r="E6" s="63"/>
      <c r="F6" s="2" t="s">
        <v>2</v>
      </c>
      <c r="G6" s="62" t="s">
        <v>166</v>
      </c>
      <c r="H6" s="63"/>
      <c r="J6" s="2" t="s">
        <v>21</v>
      </c>
      <c r="K6" s="62" t="s">
        <v>162</v>
      </c>
      <c r="L6" s="6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1">
        <v>2</v>
      </c>
      <c r="D10" s="50">
        <v>3</v>
      </c>
      <c r="E10" s="51">
        <v>3</v>
      </c>
      <c r="F10" s="51">
        <v>0</v>
      </c>
      <c r="G10" s="51">
        <v>0</v>
      </c>
      <c r="H10" s="51">
        <v>0</v>
      </c>
      <c r="I10" s="51">
        <v>0</v>
      </c>
      <c r="J10" s="51">
        <v>1</v>
      </c>
      <c r="K10" s="51">
        <v>0</v>
      </c>
      <c r="L10" s="50">
        <v>0</v>
      </c>
      <c r="M10" s="51">
        <v>1</v>
      </c>
      <c r="N10" s="51">
        <v>0</v>
      </c>
      <c r="O10" s="15">
        <f t="shared" ref="O10:O57" si="0">SUM(C10:L10,N10)</f>
        <v>9</v>
      </c>
      <c r="P10" s="15">
        <f t="shared" ref="P10:P57" si="1">SUM(C10:N10)</f>
        <v>10</v>
      </c>
      <c r="R10" s="1" t="s">
        <v>6</v>
      </c>
      <c r="S10" s="17">
        <f t="shared" ref="S10:AF10" si="2">SUM(C10:C13)</f>
        <v>2</v>
      </c>
      <c r="T10" s="17">
        <f t="shared" si="2"/>
        <v>8</v>
      </c>
      <c r="U10" s="17">
        <f t="shared" si="2"/>
        <v>10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4</v>
      </c>
      <c r="AA10" s="17">
        <f t="shared" si="2"/>
        <v>0</v>
      </c>
      <c r="AB10" s="17">
        <f t="shared" si="2"/>
        <v>3</v>
      </c>
      <c r="AC10" s="17">
        <f t="shared" si="2"/>
        <v>13</v>
      </c>
      <c r="AD10" s="17">
        <f t="shared" si="2"/>
        <v>0</v>
      </c>
      <c r="AE10" s="31">
        <f t="shared" si="2"/>
        <v>30</v>
      </c>
      <c r="AF10" s="31">
        <f t="shared" si="2"/>
        <v>43</v>
      </c>
    </row>
    <row r="11" spans="2:32" s="6" customFormat="1" ht="23.1" customHeight="1" x14ac:dyDescent="0.25">
      <c r="B11" s="23" t="s">
        <v>38</v>
      </c>
      <c r="C11" s="51">
        <v>0</v>
      </c>
      <c r="D11" s="50">
        <v>1</v>
      </c>
      <c r="E11" s="51">
        <v>1</v>
      </c>
      <c r="F11" s="51">
        <v>1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0">
        <v>1</v>
      </c>
      <c r="M11" s="51">
        <v>3</v>
      </c>
      <c r="N11" s="51">
        <v>0</v>
      </c>
      <c r="O11" s="15">
        <f t="shared" si="0"/>
        <v>4</v>
      </c>
      <c r="P11" s="15">
        <f t="shared" si="1"/>
        <v>7</v>
      </c>
      <c r="R11" s="1" t="s">
        <v>7</v>
      </c>
      <c r="S11" s="17">
        <f t="shared" ref="S11:AF11" si="3">SUM(C14:C17)</f>
        <v>2</v>
      </c>
      <c r="T11" s="17">
        <f t="shared" si="3"/>
        <v>6</v>
      </c>
      <c r="U11" s="17">
        <f t="shared" si="3"/>
        <v>7</v>
      </c>
      <c r="V11" s="17">
        <f t="shared" si="3"/>
        <v>2</v>
      </c>
      <c r="W11" s="17">
        <f t="shared" si="3"/>
        <v>0</v>
      </c>
      <c r="X11" s="17">
        <f t="shared" si="3"/>
        <v>1</v>
      </c>
      <c r="Y11" s="17">
        <f t="shared" si="3"/>
        <v>0</v>
      </c>
      <c r="Z11" s="17">
        <f t="shared" si="3"/>
        <v>1</v>
      </c>
      <c r="AA11" s="17">
        <f t="shared" si="3"/>
        <v>1</v>
      </c>
      <c r="AB11" s="17">
        <f t="shared" si="3"/>
        <v>2</v>
      </c>
      <c r="AC11" s="17">
        <f t="shared" si="3"/>
        <v>10</v>
      </c>
      <c r="AD11" s="17">
        <f t="shared" si="3"/>
        <v>0</v>
      </c>
      <c r="AE11" s="31">
        <f t="shared" si="3"/>
        <v>22</v>
      </c>
      <c r="AF11" s="31">
        <f t="shared" si="3"/>
        <v>32</v>
      </c>
    </row>
    <row r="12" spans="2:32" ht="23.1" customHeight="1" x14ac:dyDescent="0.25">
      <c r="B12" s="23" t="s">
        <v>39</v>
      </c>
      <c r="C12" s="51">
        <v>0</v>
      </c>
      <c r="D12" s="50">
        <v>1</v>
      </c>
      <c r="E12" s="51">
        <v>2</v>
      </c>
      <c r="F12" s="51">
        <v>0</v>
      </c>
      <c r="G12" s="51">
        <v>0</v>
      </c>
      <c r="H12" s="51">
        <v>0</v>
      </c>
      <c r="I12" s="51">
        <v>1</v>
      </c>
      <c r="J12" s="51">
        <v>0</v>
      </c>
      <c r="K12" s="51">
        <v>0</v>
      </c>
      <c r="L12" s="50">
        <v>0</v>
      </c>
      <c r="M12" s="51">
        <v>4</v>
      </c>
      <c r="N12" s="51">
        <v>0</v>
      </c>
      <c r="O12" s="15">
        <f t="shared" si="0"/>
        <v>4</v>
      </c>
      <c r="P12" s="15">
        <f t="shared" si="1"/>
        <v>8</v>
      </c>
      <c r="R12" s="1" t="s">
        <v>8</v>
      </c>
      <c r="S12" s="17">
        <f t="shared" ref="S12:AF12" si="4">SUM(C18:C21)</f>
        <v>4</v>
      </c>
      <c r="T12" s="17">
        <f t="shared" si="4"/>
        <v>6</v>
      </c>
      <c r="U12" s="17">
        <f t="shared" si="4"/>
        <v>7</v>
      </c>
      <c r="V12" s="17">
        <f t="shared" si="4"/>
        <v>1</v>
      </c>
      <c r="W12" s="17">
        <f t="shared" si="4"/>
        <v>0</v>
      </c>
      <c r="X12" s="17">
        <f t="shared" si="4"/>
        <v>5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3</v>
      </c>
      <c r="AC12" s="17">
        <f t="shared" si="4"/>
        <v>15</v>
      </c>
      <c r="AD12" s="17">
        <f t="shared" si="4"/>
        <v>1</v>
      </c>
      <c r="AE12" s="31">
        <f t="shared" si="4"/>
        <v>28</v>
      </c>
      <c r="AF12" s="31">
        <f t="shared" si="4"/>
        <v>43</v>
      </c>
    </row>
    <row r="13" spans="2:32" ht="23.1" customHeight="1" x14ac:dyDescent="0.25">
      <c r="B13" s="23" t="s">
        <v>40</v>
      </c>
      <c r="C13" s="51">
        <v>0</v>
      </c>
      <c r="D13" s="50">
        <v>3</v>
      </c>
      <c r="E13" s="51">
        <v>4</v>
      </c>
      <c r="F13" s="51">
        <v>1</v>
      </c>
      <c r="G13" s="51">
        <v>0</v>
      </c>
      <c r="H13" s="51">
        <v>0</v>
      </c>
      <c r="I13" s="51">
        <v>0</v>
      </c>
      <c r="J13" s="51">
        <v>3</v>
      </c>
      <c r="K13" s="51">
        <v>0</v>
      </c>
      <c r="L13" s="50">
        <v>2</v>
      </c>
      <c r="M13" s="51">
        <v>5</v>
      </c>
      <c r="N13" s="51">
        <v>0</v>
      </c>
      <c r="O13" s="15">
        <f t="shared" si="0"/>
        <v>13</v>
      </c>
      <c r="P13" s="15">
        <f t="shared" si="1"/>
        <v>18</v>
      </c>
      <c r="R13" s="1" t="s">
        <v>9</v>
      </c>
      <c r="S13" s="17">
        <f t="shared" ref="S13:AF13" si="5">SUM(C22:C25)</f>
        <v>8</v>
      </c>
      <c r="T13" s="17">
        <f t="shared" si="5"/>
        <v>7</v>
      </c>
      <c r="U13" s="17">
        <f t="shared" si="5"/>
        <v>9</v>
      </c>
      <c r="V13" s="17">
        <f t="shared" si="5"/>
        <v>8</v>
      </c>
      <c r="W13" s="17">
        <f t="shared" si="5"/>
        <v>0</v>
      </c>
      <c r="X13" s="17">
        <f t="shared" si="5"/>
        <v>2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3</v>
      </c>
      <c r="AC13" s="17">
        <f t="shared" si="5"/>
        <v>8</v>
      </c>
      <c r="AD13" s="17">
        <f t="shared" si="5"/>
        <v>1</v>
      </c>
      <c r="AE13" s="31">
        <f t="shared" si="5"/>
        <v>40</v>
      </c>
      <c r="AF13" s="31">
        <f t="shared" si="5"/>
        <v>48</v>
      </c>
    </row>
    <row r="14" spans="2:32" ht="23.1" customHeight="1" x14ac:dyDescent="0.25">
      <c r="B14" s="23" t="s">
        <v>41</v>
      </c>
      <c r="C14" s="51">
        <v>1</v>
      </c>
      <c r="D14" s="50">
        <v>1</v>
      </c>
      <c r="E14" s="51">
        <v>1</v>
      </c>
      <c r="F14" s="51">
        <v>1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0">
        <v>1</v>
      </c>
      <c r="M14" s="51">
        <v>4</v>
      </c>
      <c r="N14" s="51">
        <v>0</v>
      </c>
      <c r="O14" s="15">
        <f t="shared" si="0"/>
        <v>5</v>
      </c>
      <c r="P14" s="15">
        <f t="shared" si="1"/>
        <v>9</v>
      </c>
      <c r="R14" s="1" t="s">
        <v>10</v>
      </c>
      <c r="S14" s="17">
        <f t="shared" ref="S14:AF14" si="6">SUM(C26:C29)</f>
        <v>7</v>
      </c>
      <c r="T14" s="17">
        <f t="shared" si="6"/>
        <v>8</v>
      </c>
      <c r="U14" s="17">
        <f t="shared" si="6"/>
        <v>11</v>
      </c>
      <c r="V14" s="17">
        <f t="shared" si="6"/>
        <v>4</v>
      </c>
      <c r="W14" s="17">
        <f t="shared" si="6"/>
        <v>0</v>
      </c>
      <c r="X14" s="17">
        <f t="shared" si="6"/>
        <v>3</v>
      </c>
      <c r="Y14" s="17">
        <f t="shared" si="6"/>
        <v>1</v>
      </c>
      <c r="Z14" s="17">
        <f t="shared" si="6"/>
        <v>3</v>
      </c>
      <c r="AA14" s="17">
        <f t="shared" si="6"/>
        <v>0</v>
      </c>
      <c r="AB14" s="17">
        <f t="shared" si="6"/>
        <v>2</v>
      </c>
      <c r="AC14" s="17">
        <f t="shared" si="6"/>
        <v>12</v>
      </c>
      <c r="AD14" s="17">
        <f t="shared" si="6"/>
        <v>2</v>
      </c>
      <c r="AE14" s="31">
        <f t="shared" si="6"/>
        <v>41</v>
      </c>
      <c r="AF14" s="31">
        <f t="shared" si="6"/>
        <v>53</v>
      </c>
    </row>
    <row r="15" spans="2:32" ht="23.1" customHeight="1" x14ac:dyDescent="0.25">
      <c r="B15" s="23" t="s">
        <v>42</v>
      </c>
      <c r="C15" s="51">
        <v>0</v>
      </c>
      <c r="D15" s="50">
        <v>2</v>
      </c>
      <c r="E15" s="51">
        <v>2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0">
        <v>0</v>
      </c>
      <c r="M15" s="51">
        <v>4</v>
      </c>
      <c r="N15" s="51">
        <v>0</v>
      </c>
      <c r="O15" s="15">
        <f t="shared" si="0"/>
        <v>4</v>
      </c>
      <c r="P15" s="15">
        <f t="shared" si="1"/>
        <v>8</v>
      </c>
      <c r="R15" s="1" t="s">
        <v>11</v>
      </c>
      <c r="S15" s="17">
        <f t="shared" ref="S15:AF15" si="7">SUM(C30:C33)</f>
        <v>4</v>
      </c>
      <c r="T15" s="17">
        <f t="shared" si="7"/>
        <v>13</v>
      </c>
      <c r="U15" s="17">
        <f t="shared" si="7"/>
        <v>15</v>
      </c>
      <c r="V15" s="17">
        <f t="shared" si="7"/>
        <v>10</v>
      </c>
      <c r="W15" s="17">
        <f t="shared" si="7"/>
        <v>0</v>
      </c>
      <c r="X15" s="17">
        <f t="shared" si="7"/>
        <v>11</v>
      </c>
      <c r="Y15" s="17">
        <f t="shared" si="7"/>
        <v>6</v>
      </c>
      <c r="Z15" s="17">
        <f t="shared" si="7"/>
        <v>0</v>
      </c>
      <c r="AA15" s="17">
        <f t="shared" si="7"/>
        <v>0</v>
      </c>
      <c r="AB15" s="17">
        <f t="shared" si="7"/>
        <v>2</v>
      </c>
      <c r="AC15" s="17">
        <f t="shared" si="7"/>
        <v>13</v>
      </c>
      <c r="AD15" s="17">
        <f t="shared" si="7"/>
        <v>0</v>
      </c>
      <c r="AE15" s="31">
        <f t="shared" si="7"/>
        <v>61</v>
      </c>
      <c r="AF15" s="31">
        <f t="shared" si="7"/>
        <v>74</v>
      </c>
    </row>
    <row r="16" spans="2:32" ht="23.1" customHeight="1" x14ac:dyDescent="0.25">
      <c r="B16" s="23" t="s">
        <v>43</v>
      </c>
      <c r="C16" s="51">
        <v>1</v>
      </c>
      <c r="D16" s="50">
        <v>2</v>
      </c>
      <c r="E16" s="51">
        <v>2</v>
      </c>
      <c r="F16" s="51">
        <v>1</v>
      </c>
      <c r="G16" s="51">
        <v>0</v>
      </c>
      <c r="H16" s="51">
        <v>0</v>
      </c>
      <c r="I16" s="51">
        <v>0</v>
      </c>
      <c r="J16" s="51">
        <v>1</v>
      </c>
      <c r="K16" s="51">
        <v>1</v>
      </c>
      <c r="L16" s="50">
        <v>0</v>
      </c>
      <c r="M16" s="51">
        <v>0</v>
      </c>
      <c r="N16" s="51">
        <v>0</v>
      </c>
      <c r="O16" s="15">
        <f t="shared" si="0"/>
        <v>8</v>
      </c>
      <c r="P16" s="15">
        <f t="shared" si="1"/>
        <v>8</v>
      </c>
      <c r="R16" s="1" t="s">
        <v>12</v>
      </c>
      <c r="S16" s="17">
        <f t="shared" ref="S16:AF16" si="8">SUM(C34:C37)</f>
        <v>6</v>
      </c>
      <c r="T16" s="17">
        <f t="shared" si="8"/>
        <v>9</v>
      </c>
      <c r="U16" s="17">
        <f t="shared" si="8"/>
        <v>11</v>
      </c>
      <c r="V16" s="17">
        <f t="shared" si="8"/>
        <v>3</v>
      </c>
      <c r="W16" s="17">
        <f t="shared" si="8"/>
        <v>0</v>
      </c>
      <c r="X16" s="17">
        <f t="shared" si="8"/>
        <v>5</v>
      </c>
      <c r="Y16" s="17">
        <f t="shared" si="8"/>
        <v>6</v>
      </c>
      <c r="Z16" s="17">
        <f t="shared" si="8"/>
        <v>4</v>
      </c>
      <c r="AA16" s="17">
        <f t="shared" si="8"/>
        <v>1</v>
      </c>
      <c r="AB16" s="17">
        <f t="shared" si="8"/>
        <v>3</v>
      </c>
      <c r="AC16" s="17">
        <f t="shared" si="8"/>
        <v>11</v>
      </c>
      <c r="AD16" s="17">
        <f t="shared" si="8"/>
        <v>0</v>
      </c>
      <c r="AE16" s="31">
        <f t="shared" si="8"/>
        <v>48</v>
      </c>
      <c r="AF16" s="31">
        <f t="shared" si="8"/>
        <v>59</v>
      </c>
    </row>
    <row r="17" spans="2:32" ht="23.1" customHeight="1" x14ac:dyDescent="0.25">
      <c r="B17" s="23" t="s">
        <v>44</v>
      </c>
      <c r="C17" s="51">
        <v>0</v>
      </c>
      <c r="D17" s="50">
        <v>1</v>
      </c>
      <c r="E17" s="51">
        <v>2</v>
      </c>
      <c r="F17" s="51">
        <v>0</v>
      </c>
      <c r="G17" s="51">
        <v>0</v>
      </c>
      <c r="H17" s="51">
        <v>1</v>
      </c>
      <c r="I17" s="51">
        <v>0</v>
      </c>
      <c r="J17" s="51">
        <v>0</v>
      </c>
      <c r="K17" s="51">
        <v>0</v>
      </c>
      <c r="L17" s="50">
        <v>1</v>
      </c>
      <c r="M17" s="51">
        <v>2</v>
      </c>
      <c r="N17" s="51">
        <v>0</v>
      </c>
      <c r="O17" s="15">
        <f t="shared" si="0"/>
        <v>5</v>
      </c>
      <c r="P17" s="15">
        <f t="shared" si="1"/>
        <v>7</v>
      </c>
      <c r="R17" s="1" t="s">
        <v>13</v>
      </c>
      <c r="S17" s="17">
        <f t="shared" ref="S17:AF17" si="9">SUM(C38:C41)</f>
        <v>10</v>
      </c>
      <c r="T17" s="17">
        <f t="shared" si="9"/>
        <v>8</v>
      </c>
      <c r="U17" s="17">
        <f t="shared" si="9"/>
        <v>8</v>
      </c>
      <c r="V17" s="17">
        <f t="shared" si="9"/>
        <v>9</v>
      </c>
      <c r="W17" s="17">
        <f t="shared" si="9"/>
        <v>0</v>
      </c>
      <c r="X17" s="17">
        <f t="shared" si="9"/>
        <v>5</v>
      </c>
      <c r="Y17" s="17">
        <f t="shared" si="9"/>
        <v>8</v>
      </c>
      <c r="Z17" s="17">
        <f t="shared" si="9"/>
        <v>0</v>
      </c>
      <c r="AA17" s="17">
        <f t="shared" si="9"/>
        <v>0</v>
      </c>
      <c r="AB17" s="17">
        <f t="shared" si="9"/>
        <v>4</v>
      </c>
      <c r="AC17" s="17">
        <f t="shared" si="9"/>
        <v>21</v>
      </c>
      <c r="AD17" s="17">
        <f t="shared" si="9"/>
        <v>0</v>
      </c>
      <c r="AE17" s="31">
        <f t="shared" si="9"/>
        <v>52</v>
      </c>
      <c r="AF17" s="31">
        <f t="shared" si="9"/>
        <v>73</v>
      </c>
    </row>
    <row r="18" spans="2:32" ht="23.1" customHeight="1" x14ac:dyDescent="0.25">
      <c r="B18" s="23" t="s">
        <v>45</v>
      </c>
      <c r="C18" s="51">
        <v>1</v>
      </c>
      <c r="D18" s="50">
        <v>2</v>
      </c>
      <c r="E18" s="51">
        <v>2</v>
      </c>
      <c r="F18" s="51">
        <v>1</v>
      </c>
      <c r="G18" s="51">
        <v>0</v>
      </c>
      <c r="H18" s="51">
        <v>2</v>
      </c>
      <c r="I18" s="51">
        <v>0</v>
      </c>
      <c r="J18" s="51">
        <v>0</v>
      </c>
      <c r="K18" s="51">
        <v>0</v>
      </c>
      <c r="L18" s="50">
        <v>1</v>
      </c>
      <c r="M18" s="51">
        <v>6</v>
      </c>
      <c r="N18" s="51">
        <v>0</v>
      </c>
      <c r="O18" s="15">
        <f t="shared" si="0"/>
        <v>9</v>
      </c>
      <c r="P18" s="15">
        <f t="shared" si="1"/>
        <v>15</v>
      </c>
      <c r="R18" s="1" t="s">
        <v>14</v>
      </c>
      <c r="S18" s="17">
        <f t="shared" ref="S18:AF18" si="10">SUM(C42:C45)</f>
        <v>9</v>
      </c>
      <c r="T18" s="17">
        <f t="shared" si="10"/>
        <v>5</v>
      </c>
      <c r="U18" s="17">
        <f t="shared" si="10"/>
        <v>6</v>
      </c>
      <c r="V18" s="17">
        <f t="shared" si="10"/>
        <v>7</v>
      </c>
      <c r="W18" s="17">
        <f t="shared" si="10"/>
        <v>0</v>
      </c>
      <c r="X18" s="17">
        <f t="shared" si="10"/>
        <v>5</v>
      </c>
      <c r="Y18" s="17">
        <f t="shared" si="10"/>
        <v>9</v>
      </c>
      <c r="Z18" s="17">
        <f t="shared" si="10"/>
        <v>1</v>
      </c>
      <c r="AA18" s="17">
        <f t="shared" si="10"/>
        <v>0</v>
      </c>
      <c r="AB18" s="17">
        <f t="shared" si="10"/>
        <v>6</v>
      </c>
      <c r="AC18" s="17">
        <f t="shared" si="10"/>
        <v>15</v>
      </c>
      <c r="AD18" s="17">
        <f t="shared" si="10"/>
        <v>1</v>
      </c>
      <c r="AE18" s="31">
        <f t="shared" si="10"/>
        <v>49</v>
      </c>
      <c r="AF18" s="31">
        <f t="shared" si="10"/>
        <v>64</v>
      </c>
    </row>
    <row r="19" spans="2:32" ht="23.1" customHeight="1" x14ac:dyDescent="0.25">
      <c r="B19" s="23" t="s">
        <v>46</v>
      </c>
      <c r="C19" s="51">
        <v>0</v>
      </c>
      <c r="D19" s="50">
        <v>1</v>
      </c>
      <c r="E19" s="51">
        <v>1</v>
      </c>
      <c r="F19" s="51">
        <v>0</v>
      </c>
      <c r="G19" s="51">
        <v>0</v>
      </c>
      <c r="H19" s="51">
        <v>1</v>
      </c>
      <c r="I19" s="51">
        <v>1</v>
      </c>
      <c r="J19" s="51">
        <v>0</v>
      </c>
      <c r="K19" s="51">
        <v>0</v>
      </c>
      <c r="L19" s="50">
        <v>0</v>
      </c>
      <c r="M19" s="51">
        <v>1</v>
      </c>
      <c r="N19" s="51">
        <v>0</v>
      </c>
      <c r="O19" s="15">
        <f t="shared" si="0"/>
        <v>4</v>
      </c>
      <c r="P19" s="15">
        <f t="shared" si="1"/>
        <v>5</v>
      </c>
      <c r="R19" s="1" t="s">
        <v>15</v>
      </c>
      <c r="S19" s="17">
        <f t="shared" ref="S19:AF19" si="11">SUM(C46:C49)</f>
        <v>5</v>
      </c>
      <c r="T19" s="17">
        <f t="shared" si="11"/>
        <v>7</v>
      </c>
      <c r="U19" s="17">
        <f t="shared" si="11"/>
        <v>10</v>
      </c>
      <c r="V19" s="17">
        <f t="shared" si="11"/>
        <v>5</v>
      </c>
      <c r="W19" s="17">
        <f t="shared" si="11"/>
        <v>1</v>
      </c>
      <c r="X19" s="17">
        <f t="shared" si="11"/>
        <v>3</v>
      </c>
      <c r="Y19" s="17">
        <f t="shared" si="11"/>
        <v>10</v>
      </c>
      <c r="Z19" s="17">
        <f t="shared" si="11"/>
        <v>0</v>
      </c>
      <c r="AA19" s="17">
        <f t="shared" si="11"/>
        <v>0</v>
      </c>
      <c r="AB19" s="17">
        <f t="shared" si="11"/>
        <v>5</v>
      </c>
      <c r="AC19" s="17">
        <f t="shared" si="11"/>
        <v>13</v>
      </c>
      <c r="AD19" s="17">
        <f t="shared" si="11"/>
        <v>0</v>
      </c>
      <c r="AE19" s="31">
        <f t="shared" si="11"/>
        <v>46</v>
      </c>
      <c r="AF19" s="31">
        <f t="shared" si="11"/>
        <v>59</v>
      </c>
    </row>
    <row r="20" spans="2:32" ht="23.1" customHeight="1" x14ac:dyDescent="0.25">
      <c r="B20" s="23" t="s">
        <v>47</v>
      </c>
      <c r="C20" s="51">
        <v>1</v>
      </c>
      <c r="D20" s="50">
        <v>2</v>
      </c>
      <c r="E20" s="51">
        <v>2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0">
        <v>2</v>
      </c>
      <c r="M20" s="51">
        <v>1</v>
      </c>
      <c r="N20" s="51">
        <v>0</v>
      </c>
      <c r="O20" s="15">
        <f t="shared" si="0"/>
        <v>7</v>
      </c>
      <c r="P20" s="15">
        <f t="shared" si="1"/>
        <v>8</v>
      </c>
      <c r="R20" s="1" t="s">
        <v>16</v>
      </c>
      <c r="S20" s="17">
        <f t="shared" ref="S20:AF20" si="12">SUM(C50:C53)</f>
        <v>5</v>
      </c>
      <c r="T20" s="17">
        <f t="shared" si="12"/>
        <v>6</v>
      </c>
      <c r="U20" s="17">
        <f t="shared" si="12"/>
        <v>8</v>
      </c>
      <c r="V20" s="17">
        <f t="shared" si="12"/>
        <v>4</v>
      </c>
      <c r="W20" s="17">
        <f t="shared" si="12"/>
        <v>0</v>
      </c>
      <c r="X20" s="17">
        <f t="shared" si="12"/>
        <v>6</v>
      </c>
      <c r="Y20" s="17">
        <f t="shared" si="12"/>
        <v>14</v>
      </c>
      <c r="Z20" s="17">
        <f t="shared" si="12"/>
        <v>0</v>
      </c>
      <c r="AA20" s="17">
        <f t="shared" si="12"/>
        <v>4</v>
      </c>
      <c r="AB20" s="17">
        <f t="shared" si="12"/>
        <v>7</v>
      </c>
      <c r="AC20" s="17">
        <f t="shared" si="12"/>
        <v>15</v>
      </c>
      <c r="AD20" s="17">
        <f t="shared" si="12"/>
        <v>0</v>
      </c>
      <c r="AE20" s="31">
        <f t="shared" si="12"/>
        <v>54</v>
      </c>
      <c r="AF20" s="31">
        <f t="shared" si="12"/>
        <v>69</v>
      </c>
    </row>
    <row r="21" spans="2:32" ht="23.1" customHeight="1" x14ac:dyDescent="0.25">
      <c r="B21" s="23" t="s">
        <v>48</v>
      </c>
      <c r="C21" s="51">
        <v>2</v>
      </c>
      <c r="D21" s="50">
        <v>1</v>
      </c>
      <c r="E21" s="51">
        <v>2</v>
      </c>
      <c r="F21" s="51">
        <v>0</v>
      </c>
      <c r="G21" s="51">
        <v>0</v>
      </c>
      <c r="H21" s="51">
        <v>2</v>
      </c>
      <c r="I21" s="51">
        <v>0</v>
      </c>
      <c r="J21" s="51">
        <v>0</v>
      </c>
      <c r="K21" s="51">
        <v>0</v>
      </c>
      <c r="L21" s="50">
        <v>0</v>
      </c>
      <c r="M21" s="51">
        <v>7</v>
      </c>
      <c r="N21" s="51">
        <v>1</v>
      </c>
      <c r="O21" s="15">
        <f t="shared" si="0"/>
        <v>8</v>
      </c>
      <c r="P21" s="15">
        <f t="shared" si="1"/>
        <v>15</v>
      </c>
      <c r="R21" s="36" t="s">
        <v>20</v>
      </c>
      <c r="S21" s="34">
        <f t="shared" ref="S21:AF21" si="13">SUM(C54:C57)</f>
        <v>4</v>
      </c>
      <c r="T21" s="17">
        <f t="shared" si="13"/>
        <v>5</v>
      </c>
      <c r="U21" s="17">
        <f t="shared" si="13"/>
        <v>7</v>
      </c>
      <c r="V21" s="17">
        <f t="shared" si="13"/>
        <v>5</v>
      </c>
      <c r="W21" s="17">
        <f t="shared" si="13"/>
        <v>0</v>
      </c>
      <c r="X21" s="17">
        <f t="shared" si="13"/>
        <v>2</v>
      </c>
      <c r="Y21" s="17">
        <f t="shared" si="13"/>
        <v>14</v>
      </c>
      <c r="Z21" s="17">
        <f t="shared" si="13"/>
        <v>8</v>
      </c>
      <c r="AA21" s="17">
        <f t="shared" si="13"/>
        <v>0</v>
      </c>
      <c r="AB21" s="17">
        <f t="shared" si="13"/>
        <v>8</v>
      </c>
      <c r="AC21" s="17">
        <f t="shared" si="13"/>
        <v>21</v>
      </c>
      <c r="AD21" s="17">
        <f t="shared" si="13"/>
        <v>0</v>
      </c>
      <c r="AE21" s="31">
        <f t="shared" si="13"/>
        <v>53</v>
      </c>
      <c r="AF21" s="31">
        <f t="shared" si="13"/>
        <v>74</v>
      </c>
    </row>
    <row r="22" spans="2:32" ht="23.1" customHeight="1" x14ac:dyDescent="0.25">
      <c r="B22" s="23" t="s">
        <v>49</v>
      </c>
      <c r="C22" s="51">
        <v>1</v>
      </c>
      <c r="D22" s="50">
        <v>1</v>
      </c>
      <c r="E22" s="51">
        <v>2</v>
      </c>
      <c r="F22" s="51">
        <v>2</v>
      </c>
      <c r="G22" s="51">
        <v>0</v>
      </c>
      <c r="H22" s="51">
        <v>1</v>
      </c>
      <c r="I22" s="51">
        <v>1</v>
      </c>
      <c r="J22" s="51">
        <v>0</v>
      </c>
      <c r="K22" s="51">
        <v>0</v>
      </c>
      <c r="L22" s="50">
        <v>1</v>
      </c>
      <c r="M22" s="51">
        <v>2</v>
      </c>
      <c r="N22" s="51">
        <v>0</v>
      </c>
      <c r="O22" s="15">
        <f t="shared" si="0"/>
        <v>9</v>
      </c>
      <c r="P22" s="15">
        <f t="shared" si="1"/>
        <v>11</v>
      </c>
      <c r="R22" s="38" t="s">
        <v>90</v>
      </c>
      <c r="S22" s="39">
        <f>MAX(S10:S12)</f>
        <v>4</v>
      </c>
      <c r="T22" s="39">
        <f t="shared" ref="T22:AF22" si="14">MAX(T10:T12)</f>
        <v>8</v>
      </c>
      <c r="U22" s="39">
        <f t="shared" si="14"/>
        <v>10</v>
      </c>
      <c r="V22" s="39">
        <f t="shared" si="14"/>
        <v>2</v>
      </c>
      <c r="W22" s="39">
        <f t="shared" si="14"/>
        <v>0</v>
      </c>
      <c r="X22" s="39">
        <f t="shared" si="14"/>
        <v>5</v>
      </c>
      <c r="Y22" s="39">
        <f t="shared" si="14"/>
        <v>1</v>
      </c>
      <c r="Z22" s="39">
        <f t="shared" si="14"/>
        <v>4</v>
      </c>
      <c r="AA22" s="39">
        <f t="shared" si="14"/>
        <v>1</v>
      </c>
      <c r="AB22" s="39">
        <f t="shared" si="14"/>
        <v>3</v>
      </c>
      <c r="AC22" s="39">
        <f t="shared" si="14"/>
        <v>15</v>
      </c>
      <c r="AD22" s="39">
        <f t="shared" si="14"/>
        <v>1</v>
      </c>
      <c r="AE22" s="40">
        <f t="shared" si="14"/>
        <v>30</v>
      </c>
      <c r="AF22" s="40">
        <f t="shared" si="14"/>
        <v>43</v>
      </c>
    </row>
    <row r="23" spans="2:32" ht="23.1" customHeight="1" x14ac:dyDescent="0.25">
      <c r="B23" s="23" t="s">
        <v>50</v>
      </c>
      <c r="C23" s="51">
        <v>1</v>
      </c>
      <c r="D23" s="50">
        <v>2</v>
      </c>
      <c r="E23" s="51">
        <v>2</v>
      </c>
      <c r="F23" s="51">
        <v>2</v>
      </c>
      <c r="G23" s="51">
        <v>0</v>
      </c>
      <c r="H23" s="51">
        <v>0</v>
      </c>
      <c r="I23" s="51">
        <v>1</v>
      </c>
      <c r="J23" s="51">
        <v>0</v>
      </c>
      <c r="K23" s="51">
        <v>0</v>
      </c>
      <c r="L23" s="50">
        <v>0</v>
      </c>
      <c r="M23" s="51">
        <v>1</v>
      </c>
      <c r="N23" s="51">
        <v>0</v>
      </c>
      <c r="O23" s="15">
        <f t="shared" si="0"/>
        <v>8</v>
      </c>
      <c r="P23" s="15">
        <f t="shared" si="1"/>
        <v>9</v>
      </c>
      <c r="R23" s="38" t="s">
        <v>91</v>
      </c>
      <c r="S23" s="39">
        <f>MAX(S13:S18)</f>
        <v>10</v>
      </c>
      <c r="T23" s="39">
        <f t="shared" ref="T23:AF23" si="15">MAX(T13:T18)</f>
        <v>13</v>
      </c>
      <c r="U23" s="39">
        <f t="shared" si="15"/>
        <v>15</v>
      </c>
      <c r="V23" s="39">
        <f t="shared" si="15"/>
        <v>10</v>
      </c>
      <c r="W23" s="39">
        <f t="shared" si="15"/>
        <v>0</v>
      </c>
      <c r="X23" s="39">
        <f t="shared" si="15"/>
        <v>11</v>
      </c>
      <c r="Y23" s="39">
        <f t="shared" si="15"/>
        <v>9</v>
      </c>
      <c r="Z23" s="39">
        <f t="shared" si="15"/>
        <v>4</v>
      </c>
      <c r="AA23" s="39">
        <f t="shared" si="15"/>
        <v>1</v>
      </c>
      <c r="AB23" s="39">
        <f t="shared" si="15"/>
        <v>6</v>
      </c>
      <c r="AC23" s="39">
        <f t="shared" si="15"/>
        <v>21</v>
      </c>
      <c r="AD23" s="39">
        <f t="shared" si="15"/>
        <v>2</v>
      </c>
      <c r="AE23" s="40">
        <f t="shared" si="15"/>
        <v>61</v>
      </c>
      <c r="AF23" s="40">
        <f t="shared" si="15"/>
        <v>74</v>
      </c>
    </row>
    <row r="24" spans="2:32" ht="23.1" customHeight="1" x14ac:dyDescent="0.25">
      <c r="B24" s="23" t="s">
        <v>51</v>
      </c>
      <c r="C24" s="51">
        <v>2</v>
      </c>
      <c r="D24" s="50">
        <v>1</v>
      </c>
      <c r="E24" s="51">
        <v>1</v>
      </c>
      <c r="F24" s="51">
        <v>1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0">
        <v>0</v>
      </c>
      <c r="M24" s="51">
        <v>2</v>
      </c>
      <c r="N24" s="51">
        <v>1</v>
      </c>
      <c r="O24" s="15">
        <f t="shared" si="0"/>
        <v>6</v>
      </c>
      <c r="P24" s="15">
        <f t="shared" si="1"/>
        <v>8</v>
      </c>
      <c r="R24" s="38" t="s">
        <v>92</v>
      </c>
      <c r="S24" s="39">
        <f>MAX(S19:S21)</f>
        <v>5</v>
      </c>
      <c r="T24" s="39">
        <f t="shared" ref="T24:AF24" si="16">MAX(T19:T21)</f>
        <v>7</v>
      </c>
      <c r="U24" s="39">
        <f t="shared" si="16"/>
        <v>10</v>
      </c>
      <c r="V24" s="39">
        <f t="shared" si="16"/>
        <v>5</v>
      </c>
      <c r="W24" s="39">
        <f t="shared" si="16"/>
        <v>1</v>
      </c>
      <c r="X24" s="39">
        <f t="shared" si="16"/>
        <v>6</v>
      </c>
      <c r="Y24" s="39">
        <f t="shared" si="16"/>
        <v>14</v>
      </c>
      <c r="Z24" s="39">
        <f t="shared" si="16"/>
        <v>8</v>
      </c>
      <c r="AA24" s="39">
        <f t="shared" si="16"/>
        <v>4</v>
      </c>
      <c r="AB24" s="39">
        <f t="shared" si="16"/>
        <v>8</v>
      </c>
      <c r="AC24" s="39">
        <f t="shared" si="16"/>
        <v>21</v>
      </c>
      <c r="AD24" s="39">
        <f t="shared" si="16"/>
        <v>0</v>
      </c>
      <c r="AE24" s="40">
        <f t="shared" si="16"/>
        <v>54</v>
      </c>
      <c r="AF24" s="40">
        <f t="shared" si="16"/>
        <v>74</v>
      </c>
    </row>
    <row r="25" spans="2:32" ht="23.1" customHeight="1" x14ac:dyDescent="0.25">
      <c r="B25" s="23" t="s">
        <v>52</v>
      </c>
      <c r="C25" s="51">
        <v>4</v>
      </c>
      <c r="D25" s="50">
        <v>3</v>
      </c>
      <c r="E25" s="51">
        <v>4</v>
      </c>
      <c r="F25" s="51">
        <v>3</v>
      </c>
      <c r="G25" s="51">
        <v>0</v>
      </c>
      <c r="H25" s="51">
        <v>1</v>
      </c>
      <c r="I25" s="51">
        <v>0</v>
      </c>
      <c r="J25" s="51">
        <v>0</v>
      </c>
      <c r="K25" s="51">
        <v>0</v>
      </c>
      <c r="L25" s="50">
        <v>2</v>
      </c>
      <c r="M25" s="51">
        <v>3</v>
      </c>
      <c r="N25" s="51">
        <v>0</v>
      </c>
      <c r="O25" s="15">
        <f t="shared" si="0"/>
        <v>17</v>
      </c>
      <c r="P25" s="15">
        <f t="shared" si="1"/>
        <v>20</v>
      </c>
      <c r="R25" s="37" t="s">
        <v>85</v>
      </c>
      <c r="S25" s="35">
        <f t="shared" ref="S25:AF25" si="17">SUM(S10:S12)</f>
        <v>8</v>
      </c>
      <c r="T25" s="16">
        <f t="shared" si="17"/>
        <v>20</v>
      </c>
      <c r="U25" s="16">
        <f t="shared" si="17"/>
        <v>24</v>
      </c>
      <c r="V25" s="16">
        <f t="shared" si="17"/>
        <v>5</v>
      </c>
      <c r="W25" s="16">
        <f t="shared" si="17"/>
        <v>0</v>
      </c>
      <c r="X25" s="16">
        <f t="shared" si="17"/>
        <v>6</v>
      </c>
      <c r="Y25" s="16">
        <f t="shared" si="17"/>
        <v>2</v>
      </c>
      <c r="Z25" s="16">
        <f t="shared" si="17"/>
        <v>5</v>
      </c>
      <c r="AA25" s="16">
        <f t="shared" si="17"/>
        <v>1</v>
      </c>
      <c r="AB25" s="16">
        <f t="shared" si="17"/>
        <v>8</v>
      </c>
      <c r="AC25" s="16">
        <f t="shared" si="17"/>
        <v>38</v>
      </c>
      <c r="AD25" s="16">
        <f t="shared" si="17"/>
        <v>1</v>
      </c>
      <c r="AE25" s="32">
        <f t="shared" si="17"/>
        <v>80</v>
      </c>
      <c r="AF25" s="32">
        <f t="shared" si="17"/>
        <v>118</v>
      </c>
    </row>
    <row r="26" spans="2:32" ht="23.1" customHeight="1" x14ac:dyDescent="0.25">
      <c r="B26" s="23" t="s">
        <v>53</v>
      </c>
      <c r="C26" s="51">
        <v>0</v>
      </c>
      <c r="D26" s="50">
        <v>2</v>
      </c>
      <c r="E26" s="51">
        <v>3</v>
      </c>
      <c r="F26" s="51">
        <v>2</v>
      </c>
      <c r="G26" s="51">
        <v>0</v>
      </c>
      <c r="H26" s="51">
        <v>2</v>
      </c>
      <c r="I26" s="51">
        <v>0</v>
      </c>
      <c r="J26" s="51">
        <v>1</v>
      </c>
      <c r="K26" s="51">
        <v>0</v>
      </c>
      <c r="L26" s="50">
        <v>2</v>
      </c>
      <c r="M26" s="51">
        <v>2</v>
      </c>
      <c r="N26" s="51">
        <v>1</v>
      </c>
      <c r="O26" s="15">
        <f t="shared" si="0"/>
        <v>13</v>
      </c>
      <c r="P26" s="15">
        <f t="shared" si="1"/>
        <v>15</v>
      </c>
      <c r="R26" s="28" t="s">
        <v>86</v>
      </c>
      <c r="S26" s="16">
        <f t="shared" ref="S26:AF26" si="18">SUM(S13:S18)</f>
        <v>44</v>
      </c>
      <c r="T26" s="16">
        <f t="shared" si="18"/>
        <v>50</v>
      </c>
      <c r="U26" s="16">
        <f t="shared" si="18"/>
        <v>60</v>
      </c>
      <c r="V26" s="16">
        <f t="shared" si="18"/>
        <v>41</v>
      </c>
      <c r="W26" s="16">
        <f t="shared" si="18"/>
        <v>0</v>
      </c>
      <c r="X26" s="16">
        <f t="shared" si="18"/>
        <v>31</v>
      </c>
      <c r="Y26" s="16">
        <f t="shared" si="18"/>
        <v>32</v>
      </c>
      <c r="Z26" s="16">
        <f t="shared" si="18"/>
        <v>8</v>
      </c>
      <c r="AA26" s="16">
        <f t="shared" si="18"/>
        <v>1</v>
      </c>
      <c r="AB26" s="16">
        <f t="shared" si="18"/>
        <v>20</v>
      </c>
      <c r="AC26" s="16">
        <f t="shared" si="18"/>
        <v>80</v>
      </c>
      <c r="AD26" s="16">
        <f t="shared" si="18"/>
        <v>4</v>
      </c>
      <c r="AE26" s="32">
        <f t="shared" si="18"/>
        <v>291</v>
      </c>
      <c r="AF26" s="32">
        <f t="shared" si="18"/>
        <v>371</v>
      </c>
    </row>
    <row r="27" spans="2:32" ht="23.1" customHeight="1" x14ac:dyDescent="0.25">
      <c r="B27" s="23" t="s">
        <v>54</v>
      </c>
      <c r="C27" s="51">
        <v>4</v>
      </c>
      <c r="D27" s="50">
        <v>3</v>
      </c>
      <c r="E27" s="51">
        <v>3</v>
      </c>
      <c r="F27" s="51">
        <v>0</v>
      </c>
      <c r="G27" s="51">
        <v>0</v>
      </c>
      <c r="H27" s="51">
        <v>0</v>
      </c>
      <c r="I27" s="51">
        <v>1</v>
      </c>
      <c r="J27" s="51">
        <v>0</v>
      </c>
      <c r="K27" s="51">
        <v>0</v>
      </c>
      <c r="L27" s="50">
        <v>0</v>
      </c>
      <c r="M27" s="51">
        <v>4</v>
      </c>
      <c r="N27" s="51">
        <v>1</v>
      </c>
      <c r="O27" s="15">
        <f t="shared" si="0"/>
        <v>12</v>
      </c>
      <c r="P27" s="15">
        <f t="shared" si="1"/>
        <v>16</v>
      </c>
      <c r="R27" s="29" t="s">
        <v>87</v>
      </c>
      <c r="S27" s="16">
        <f t="shared" ref="S27:AF27" si="19">SUM(S19:S21)</f>
        <v>14</v>
      </c>
      <c r="T27" s="16">
        <f t="shared" si="19"/>
        <v>18</v>
      </c>
      <c r="U27" s="16">
        <f t="shared" si="19"/>
        <v>25</v>
      </c>
      <c r="V27" s="16">
        <f t="shared" si="19"/>
        <v>14</v>
      </c>
      <c r="W27" s="16">
        <f t="shared" si="19"/>
        <v>1</v>
      </c>
      <c r="X27" s="16">
        <f t="shared" si="19"/>
        <v>11</v>
      </c>
      <c r="Y27" s="16">
        <f t="shared" si="19"/>
        <v>38</v>
      </c>
      <c r="Z27" s="16">
        <f t="shared" si="19"/>
        <v>8</v>
      </c>
      <c r="AA27" s="16">
        <f t="shared" si="19"/>
        <v>4</v>
      </c>
      <c r="AB27" s="16">
        <f t="shared" si="19"/>
        <v>20</v>
      </c>
      <c r="AC27" s="16">
        <f t="shared" si="19"/>
        <v>49</v>
      </c>
      <c r="AD27" s="16">
        <f t="shared" si="19"/>
        <v>0</v>
      </c>
      <c r="AE27" s="32">
        <f t="shared" si="19"/>
        <v>153</v>
      </c>
      <c r="AF27" s="32">
        <f t="shared" si="19"/>
        <v>202</v>
      </c>
    </row>
    <row r="28" spans="2:32" ht="23.1" customHeight="1" x14ac:dyDescent="0.25">
      <c r="B28" s="23" t="s">
        <v>55</v>
      </c>
      <c r="C28" s="51">
        <v>1</v>
      </c>
      <c r="D28" s="50">
        <v>3</v>
      </c>
      <c r="E28" s="51">
        <v>4</v>
      </c>
      <c r="F28" s="51">
        <v>1</v>
      </c>
      <c r="G28" s="51">
        <v>0</v>
      </c>
      <c r="H28" s="51">
        <v>1</v>
      </c>
      <c r="I28" s="51">
        <v>0</v>
      </c>
      <c r="J28" s="51">
        <v>0</v>
      </c>
      <c r="K28" s="51">
        <v>0</v>
      </c>
      <c r="L28" s="50">
        <v>0</v>
      </c>
      <c r="M28" s="51">
        <v>2</v>
      </c>
      <c r="N28" s="51">
        <v>0</v>
      </c>
      <c r="O28" s="15">
        <f t="shared" si="0"/>
        <v>10</v>
      </c>
      <c r="P28" s="15">
        <f t="shared" si="1"/>
        <v>12</v>
      </c>
      <c r="R28" s="5" t="s">
        <v>17</v>
      </c>
      <c r="S28" s="16">
        <f t="shared" ref="S28:AF28" si="20">SUM(S10:S21)</f>
        <v>66</v>
      </c>
      <c r="T28" s="16">
        <f t="shared" si="20"/>
        <v>88</v>
      </c>
      <c r="U28" s="16">
        <f t="shared" si="20"/>
        <v>109</v>
      </c>
      <c r="V28" s="16">
        <f t="shared" si="20"/>
        <v>60</v>
      </c>
      <c r="W28" s="16">
        <f t="shared" si="20"/>
        <v>1</v>
      </c>
      <c r="X28" s="16">
        <f t="shared" si="20"/>
        <v>48</v>
      </c>
      <c r="Y28" s="16">
        <f t="shared" si="20"/>
        <v>72</v>
      </c>
      <c r="Z28" s="16">
        <f t="shared" si="20"/>
        <v>21</v>
      </c>
      <c r="AA28" s="16">
        <f t="shared" si="20"/>
        <v>6</v>
      </c>
      <c r="AB28" s="16">
        <f t="shared" si="20"/>
        <v>48</v>
      </c>
      <c r="AC28" s="16">
        <f t="shared" si="20"/>
        <v>167</v>
      </c>
      <c r="AD28" s="16">
        <f t="shared" si="20"/>
        <v>5</v>
      </c>
      <c r="AE28" s="32">
        <f t="shared" si="20"/>
        <v>524</v>
      </c>
      <c r="AF28" s="32">
        <f t="shared" si="20"/>
        <v>691</v>
      </c>
    </row>
    <row r="29" spans="2:32" ht="23.1" customHeight="1" x14ac:dyDescent="0.25">
      <c r="B29" s="23" t="s">
        <v>56</v>
      </c>
      <c r="C29" s="51">
        <v>2</v>
      </c>
      <c r="D29" s="50">
        <v>0</v>
      </c>
      <c r="E29" s="51">
        <v>1</v>
      </c>
      <c r="F29" s="51">
        <v>1</v>
      </c>
      <c r="G29" s="51">
        <v>0</v>
      </c>
      <c r="H29" s="51">
        <v>0</v>
      </c>
      <c r="I29" s="51">
        <v>0</v>
      </c>
      <c r="J29" s="51">
        <v>2</v>
      </c>
      <c r="K29" s="51">
        <v>0</v>
      </c>
      <c r="L29" s="50">
        <v>0</v>
      </c>
      <c r="M29" s="51">
        <v>4</v>
      </c>
      <c r="N29" s="51">
        <v>0</v>
      </c>
      <c r="O29" s="15">
        <f t="shared" si="0"/>
        <v>6</v>
      </c>
      <c r="P29" s="15">
        <f t="shared" si="1"/>
        <v>10</v>
      </c>
      <c r="R29"/>
      <c r="S29" s="20"/>
      <c r="T29" s="19"/>
    </row>
    <row r="30" spans="2:32" ht="23.1" customHeight="1" x14ac:dyDescent="0.25">
      <c r="B30" s="23" t="s">
        <v>57</v>
      </c>
      <c r="C30" s="51">
        <v>1</v>
      </c>
      <c r="D30" s="50">
        <v>2</v>
      </c>
      <c r="E30" s="51">
        <v>2</v>
      </c>
      <c r="F30" s="51">
        <v>2</v>
      </c>
      <c r="G30" s="51">
        <v>0</v>
      </c>
      <c r="H30" s="51">
        <v>2</v>
      </c>
      <c r="I30" s="51">
        <v>3</v>
      </c>
      <c r="J30" s="51">
        <v>0</v>
      </c>
      <c r="K30" s="51">
        <v>0</v>
      </c>
      <c r="L30" s="50">
        <v>1</v>
      </c>
      <c r="M30" s="51">
        <v>2</v>
      </c>
      <c r="N30" s="51">
        <v>0</v>
      </c>
      <c r="O30" s="15">
        <f t="shared" si="0"/>
        <v>13</v>
      </c>
      <c r="P30" s="15">
        <f t="shared" si="1"/>
        <v>15</v>
      </c>
    </row>
    <row r="31" spans="2:32" ht="23.1" customHeight="1" x14ac:dyDescent="0.25">
      <c r="B31" s="24" t="s">
        <v>58</v>
      </c>
      <c r="C31" s="51">
        <v>1</v>
      </c>
      <c r="D31" s="50">
        <v>4</v>
      </c>
      <c r="E31" s="51">
        <v>5</v>
      </c>
      <c r="F31" s="51">
        <v>0</v>
      </c>
      <c r="G31" s="51">
        <v>0</v>
      </c>
      <c r="H31" s="51">
        <v>7</v>
      </c>
      <c r="I31" s="51">
        <v>1</v>
      </c>
      <c r="J31" s="51">
        <v>0</v>
      </c>
      <c r="K31" s="51">
        <v>0</v>
      </c>
      <c r="L31" s="50">
        <v>1</v>
      </c>
      <c r="M31" s="51">
        <v>5</v>
      </c>
      <c r="N31" s="51">
        <v>0</v>
      </c>
      <c r="O31" s="15">
        <f t="shared" si="0"/>
        <v>19</v>
      </c>
      <c r="P31" s="15">
        <f t="shared" si="1"/>
        <v>24</v>
      </c>
    </row>
    <row r="32" spans="2:32" ht="23.1" customHeight="1" x14ac:dyDescent="0.25">
      <c r="B32" s="24" t="s">
        <v>59</v>
      </c>
      <c r="C32" s="51">
        <v>2</v>
      </c>
      <c r="D32" s="50">
        <v>2</v>
      </c>
      <c r="E32" s="51">
        <v>3</v>
      </c>
      <c r="F32" s="51">
        <v>3</v>
      </c>
      <c r="G32" s="51">
        <v>0</v>
      </c>
      <c r="H32" s="51">
        <v>0</v>
      </c>
      <c r="I32" s="51">
        <v>1</v>
      </c>
      <c r="J32" s="51">
        <v>0</v>
      </c>
      <c r="K32" s="51">
        <v>0</v>
      </c>
      <c r="L32" s="50">
        <v>0</v>
      </c>
      <c r="M32" s="51">
        <v>3</v>
      </c>
      <c r="N32" s="51">
        <v>0</v>
      </c>
      <c r="O32" s="15">
        <f t="shared" si="0"/>
        <v>11</v>
      </c>
      <c r="P32" s="15">
        <f t="shared" si="1"/>
        <v>14</v>
      </c>
    </row>
    <row r="33" spans="2:20" ht="23.1" customHeight="1" x14ac:dyDescent="0.25">
      <c r="B33" s="23" t="s">
        <v>60</v>
      </c>
      <c r="C33" s="51">
        <v>0</v>
      </c>
      <c r="D33" s="50">
        <v>5</v>
      </c>
      <c r="E33" s="51">
        <v>5</v>
      </c>
      <c r="F33" s="51">
        <v>5</v>
      </c>
      <c r="G33" s="51">
        <v>0</v>
      </c>
      <c r="H33" s="51">
        <v>2</v>
      </c>
      <c r="I33" s="51">
        <v>1</v>
      </c>
      <c r="J33" s="51">
        <v>0</v>
      </c>
      <c r="K33" s="51">
        <v>0</v>
      </c>
      <c r="L33" s="50">
        <v>0</v>
      </c>
      <c r="M33" s="51">
        <v>3</v>
      </c>
      <c r="N33" s="51">
        <v>0</v>
      </c>
      <c r="O33" s="15">
        <f t="shared" si="0"/>
        <v>18</v>
      </c>
      <c r="P33" s="15">
        <f t="shared" si="1"/>
        <v>21</v>
      </c>
    </row>
    <row r="34" spans="2:20" ht="23.1" customHeight="1" x14ac:dyDescent="0.25">
      <c r="B34" s="24" t="s">
        <v>61</v>
      </c>
      <c r="C34" s="51">
        <v>1</v>
      </c>
      <c r="D34" s="50">
        <v>1</v>
      </c>
      <c r="E34" s="51">
        <v>2</v>
      </c>
      <c r="F34" s="51">
        <v>0</v>
      </c>
      <c r="G34" s="51">
        <v>0</v>
      </c>
      <c r="H34" s="51">
        <v>1</v>
      </c>
      <c r="I34" s="51">
        <v>0</v>
      </c>
      <c r="J34" s="51">
        <v>1</v>
      </c>
      <c r="K34" s="51">
        <v>0</v>
      </c>
      <c r="L34" s="50">
        <v>1</v>
      </c>
      <c r="M34" s="51">
        <v>4</v>
      </c>
      <c r="N34" s="51">
        <v>0</v>
      </c>
      <c r="O34" s="15">
        <f t="shared" si="0"/>
        <v>7</v>
      </c>
      <c r="P34" s="15">
        <f t="shared" si="1"/>
        <v>11</v>
      </c>
    </row>
    <row r="35" spans="2:20" ht="23.1" customHeight="1" x14ac:dyDescent="0.25">
      <c r="B35" s="24" t="s">
        <v>62</v>
      </c>
      <c r="C35" s="51">
        <v>1</v>
      </c>
      <c r="D35" s="50">
        <v>3</v>
      </c>
      <c r="E35" s="51">
        <v>3</v>
      </c>
      <c r="F35" s="51">
        <v>1</v>
      </c>
      <c r="G35" s="51">
        <v>0</v>
      </c>
      <c r="H35" s="51">
        <v>2</v>
      </c>
      <c r="I35" s="51">
        <v>1</v>
      </c>
      <c r="J35" s="51">
        <v>1</v>
      </c>
      <c r="K35" s="51">
        <v>0</v>
      </c>
      <c r="L35" s="50">
        <v>1</v>
      </c>
      <c r="M35" s="51">
        <v>2</v>
      </c>
      <c r="N35" s="51">
        <v>0</v>
      </c>
      <c r="O35" s="15">
        <f t="shared" si="0"/>
        <v>13</v>
      </c>
      <c r="P35" s="15">
        <f t="shared" si="1"/>
        <v>15</v>
      </c>
    </row>
    <row r="36" spans="2:20" ht="23.1" customHeight="1" x14ac:dyDescent="0.25">
      <c r="B36" s="24" t="s">
        <v>63</v>
      </c>
      <c r="C36" s="51">
        <v>2</v>
      </c>
      <c r="D36" s="50">
        <v>2</v>
      </c>
      <c r="E36" s="51">
        <v>2</v>
      </c>
      <c r="F36" s="51">
        <v>2</v>
      </c>
      <c r="G36" s="51">
        <v>0</v>
      </c>
      <c r="H36" s="51">
        <v>1</v>
      </c>
      <c r="I36" s="51">
        <v>3</v>
      </c>
      <c r="J36" s="51">
        <v>1</v>
      </c>
      <c r="K36" s="51">
        <v>0</v>
      </c>
      <c r="L36" s="50">
        <v>1</v>
      </c>
      <c r="M36" s="51">
        <v>1</v>
      </c>
      <c r="N36" s="51">
        <v>0</v>
      </c>
      <c r="O36" s="15">
        <f t="shared" si="0"/>
        <v>14</v>
      </c>
      <c r="P36" s="15">
        <f t="shared" si="1"/>
        <v>15</v>
      </c>
    </row>
    <row r="37" spans="2:20" ht="23.1" customHeight="1" x14ac:dyDescent="0.25">
      <c r="B37" s="23" t="s">
        <v>64</v>
      </c>
      <c r="C37" s="51">
        <v>2</v>
      </c>
      <c r="D37" s="50">
        <v>3</v>
      </c>
      <c r="E37" s="51">
        <v>4</v>
      </c>
      <c r="F37" s="51">
        <v>0</v>
      </c>
      <c r="G37" s="51">
        <v>0</v>
      </c>
      <c r="H37" s="51">
        <v>1</v>
      </c>
      <c r="I37" s="51">
        <v>2</v>
      </c>
      <c r="J37" s="51">
        <v>1</v>
      </c>
      <c r="K37" s="51">
        <v>1</v>
      </c>
      <c r="L37" s="50">
        <v>0</v>
      </c>
      <c r="M37" s="51">
        <v>4</v>
      </c>
      <c r="N37" s="51">
        <v>0</v>
      </c>
      <c r="O37" s="15">
        <f t="shared" si="0"/>
        <v>14</v>
      </c>
      <c r="P37" s="15">
        <f t="shared" si="1"/>
        <v>18</v>
      </c>
    </row>
    <row r="38" spans="2:20" ht="23.1" customHeight="1" x14ac:dyDescent="0.25">
      <c r="B38" s="24" t="s">
        <v>65</v>
      </c>
      <c r="C38" s="51">
        <v>2</v>
      </c>
      <c r="D38" s="50">
        <v>1</v>
      </c>
      <c r="E38" s="51">
        <v>1</v>
      </c>
      <c r="F38" s="51">
        <v>7</v>
      </c>
      <c r="G38" s="51">
        <v>0</v>
      </c>
      <c r="H38" s="51">
        <v>2</v>
      </c>
      <c r="I38" s="51">
        <v>2</v>
      </c>
      <c r="J38" s="51">
        <v>0</v>
      </c>
      <c r="K38" s="51">
        <v>0</v>
      </c>
      <c r="L38" s="50">
        <v>0</v>
      </c>
      <c r="M38" s="51">
        <v>4</v>
      </c>
      <c r="N38" s="51">
        <v>0</v>
      </c>
      <c r="O38" s="15">
        <f t="shared" si="0"/>
        <v>15</v>
      </c>
      <c r="P38" s="15">
        <f t="shared" si="1"/>
        <v>19</v>
      </c>
    </row>
    <row r="39" spans="2:20" ht="23.1" customHeight="1" x14ac:dyDescent="0.25">
      <c r="B39" s="24" t="s">
        <v>66</v>
      </c>
      <c r="C39" s="51">
        <v>2</v>
      </c>
      <c r="D39" s="50">
        <v>1</v>
      </c>
      <c r="E39" s="51">
        <v>1</v>
      </c>
      <c r="F39" s="51">
        <v>0</v>
      </c>
      <c r="G39" s="51">
        <v>0</v>
      </c>
      <c r="H39" s="51">
        <v>0</v>
      </c>
      <c r="I39" s="51">
        <v>1</v>
      </c>
      <c r="J39" s="51">
        <v>0</v>
      </c>
      <c r="K39" s="51">
        <v>0</v>
      </c>
      <c r="L39" s="50">
        <v>1</v>
      </c>
      <c r="M39" s="51">
        <v>4</v>
      </c>
      <c r="N39" s="51">
        <v>0</v>
      </c>
      <c r="O39" s="15">
        <f t="shared" si="0"/>
        <v>6</v>
      </c>
      <c r="P39" s="15">
        <f t="shared" si="1"/>
        <v>10</v>
      </c>
    </row>
    <row r="40" spans="2:20" ht="23.1" customHeight="1" x14ac:dyDescent="0.25">
      <c r="B40" s="24" t="s">
        <v>67</v>
      </c>
      <c r="C40" s="51">
        <v>4</v>
      </c>
      <c r="D40" s="50">
        <v>4</v>
      </c>
      <c r="E40" s="51">
        <v>4</v>
      </c>
      <c r="F40" s="51">
        <v>0</v>
      </c>
      <c r="G40" s="51">
        <v>0</v>
      </c>
      <c r="H40" s="51">
        <v>2</v>
      </c>
      <c r="I40" s="51">
        <v>3</v>
      </c>
      <c r="J40" s="51">
        <v>0</v>
      </c>
      <c r="K40" s="51">
        <v>0</v>
      </c>
      <c r="L40" s="50">
        <v>2</v>
      </c>
      <c r="M40" s="51">
        <v>6</v>
      </c>
      <c r="N40" s="51">
        <v>0</v>
      </c>
      <c r="O40" s="15">
        <f t="shared" si="0"/>
        <v>19</v>
      </c>
      <c r="P40" s="15">
        <f t="shared" si="1"/>
        <v>25</v>
      </c>
    </row>
    <row r="41" spans="2:20" ht="23.1" customHeight="1" x14ac:dyDescent="0.25">
      <c r="B41" s="23" t="s">
        <v>68</v>
      </c>
      <c r="C41" s="51">
        <v>2</v>
      </c>
      <c r="D41" s="50">
        <v>2</v>
      </c>
      <c r="E41" s="51">
        <v>2</v>
      </c>
      <c r="F41" s="51">
        <v>2</v>
      </c>
      <c r="G41" s="51">
        <v>0</v>
      </c>
      <c r="H41" s="51">
        <v>1</v>
      </c>
      <c r="I41" s="51">
        <v>2</v>
      </c>
      <c r="J41" s="51">
        <v>0</v>
      </c>
      <c r="K41" s="51">
        <v>0</v>
      </c>
      <c r="L41" s="50">
        <v>1</v>
      </c>
      <c r="M41" s="51">
        <v>7</v>
      </c>
      <c r="N41" s="51">
        <v>0</v>
      </c>
      <c r="O41" s="15">
        <f t="shared" si="0"/>
        <v>12</v>
      </c>
      <c r="P41" s="15">
        <f t="shared" si="1"/>
        <v>19</v>
      </c>
    </row>
    <row r="42" spans="2:20" ht="23.1" customHeight="1" x14ac:dyDescent="0.25">
      <c r="B42" s="24" t="s">
        <v>69</v>
      </c>
      <c r="C42" s="51">
        <v>1</v>
      </c>
      <c r="D42" s="50">
        <v>0</v>
      </c>
      <c r="E42" s="51">
        <v>0</v>
      </c>
      <c r="F42" s="51">
        <v>3</v>
      </c>
      <c r="G42" s="51">
        <v>0</v>
      </c>
      <c r="H42" s="51">
        <v>1</v>
      </c>
      <c r="I42" s="51">
        <v>4</v>
      </c>
      <c r="J42" s="51">
        <v>0</v>
      </c>
      <c r="K42" s="51">
        <v>0</v>
      </c>
      <c r="L42" s="50">
        <v>1</v>
      </c>
      <c r="M42" s="51">
        <v>6</v>
      </c>
      <c r="N42" s="51">
        <v>0</v>
      </c>
      <c r="O42" s="15">
        <f t="shared" si="0"/>
        <v>10</v>
      </c>
      <c r="P42" s="15">
        <f t="shared" si="1"/>
        <v>16</v>
      </c>
    </row>
    <row r="43" spans="2:20" ht="23.1" customHeight="1" x14ac:dyDescent="0.25">
      <c r="B43" s="23" t="s">
        <v>70</v>
      </c>
      <c r="C43" s="51">
        <v>1</v>
      </c>
      <c r="D43" s="50">
        <v>3</v>
      </c>
      <c r="E43" s="51">
        <v>3</v>
      </c>
      <c r="F43" s="51">
        <v>3</v>
      </c>
      <c r="G43" s="51">
        <v>0</v>
      </c>
      <c r="H43" s="51">
        <v>2</v>
      </c>
      <c r="I43" s="51">
        <v>1</v>
      </c>
      <c r="J43" s="51">
        <v>0</v>
      </c>
      <c r="K43" s="51">
        <v>0</v>
      </c>
      <c r="L43" s="50">
        <v>1</v>
      </c>
      <c r="M43" s="51">
        <v>2</v>
      </c>
      <c r="N43" s="51">
        <v>0</v>
      </c>
      <c r="O43" s="15">
        <f t="shared" si="0"/>
        <v>14</v>
      </c>
      <c r="P43" s="15">
        <f t="shared" si="1"/>
        <v>16</v>
      </c>
    </row>
    <row r="44" spans="2:20" ht="23.1" customHeight="1" x14ac:dyDescent="0.25">
      <c r="B44" s="25" t="s">
        <v>71</v>
      </c>
      <c r="C44" s="51">
        <v>6</v>
      </c>
      <c r="D44" s="50">
        <v>1</v>
      </c>
      <c r="E44" s="51">
        <v>1</v>
      </c>
      <c r="F44" s="51">
        <v>0</v>
      </c>
      <c r="G44" s="51">
        <v>0</v>
      </c>
      <c r="H44" s="51">
        <v>2</v>
      </c>
      <c r="I44" s="51">
        <v>0</v>
      </c>
      <c r="J44" s="51">
        <v>1</v>
      </c>
      <c r="K44" s="51">
        <v>0</v>
      </c>
      <c r="L44" s="50">
        <v>2</v>
      </c>
      <c r="M44" s="51">
        <v>5</v>
      </c>
      <c r="N44" s="51">
        <v>1</v>
      </c>
      <c r="O44" s="15">
        <f t="shared" si="0"/>
        <v>14</v>
      </c>
      <c r="P44" s="15">
        <f t="shared" si="1"/>
        <v>19</v>
      </c>
    </row>
    <row r="45" spans="2:20" ht="23.1" customHeight="1" x14ac:dyDescent="0.25">
      <c r="B45" s="23" t="s">
        <v>72</v>
      </c>
      <c r="C45" s="51">
        <v>1</v>
      </c>
      <c r="D45" s="50">
        <v>1</v>
      </c>
      <c r="E45" s="51">
        <v>2</v>
      </c>
      <c r="F45" s="51">
        <v>1</v>
      </c>
      <c r="G45" s="51">
        <v>0</v>
      </c>
      <c r="H45" s="51">
        <v>0</v>
      </c>
      <c r="I45" s="51">
        <v>4</v>
      </c>
      <c r="J45" s="51">
        <v>0</v>
      </c>
      <c r="K45" s="51">
        <v>0</v>
      </c>
      <c r="L45" s="50">
        <v>2</v>
      </c>
      <c r="M45" s="51">
        <v>2</v>
      </c>
      <c r="N45" s="51">
        <v>0</v>
      </c>
      <c r="O45" s="15">
        <f t="shared" si="0"/>
        <v>11</v>
      </c>
      <c r="P45" s="15">
        <f t="shared" si="1"/>
        <v>13</v>
      </c>
    </row>
    <row r="46" spans="2:20" ht="23.1" customHeight="1" x14ac:dyDescent="0.25">
      <c r="B46" s="24" t="s">
        <v>73</v>
      </c>
      <c r="C46" s="51">
        <v>1</v>
      </c>
      <c r="D46" s="50">
        <v>1</v>
      </c>
      <c r="E46" s="51">
        <v>2</v>
      </c>
      <c r="F46" s="51">
        <v>1</v>
      </c>
      <c r="G46" s="51">
        <v>0</v>
      </c>
      <c r="H46" s="51">
        <v>0</v>
      </c>
      <c r="I46" s="51">
        <v>1</v>
      </c>
      <c r="J46" s="51">
        <v>0</v>
      </c>
      <c r="K46" s="51">
        <v>0</v>
      </c>
      <c r="L46" s="50">
        <v>2</v>
      </c>
      <c r="M46" s="51">
        <v>5</v>
      </c>
      <c r="N46" s="51">
        <v>0</v>
      </c>
      <c r="O46" s="15">
        <f t="shared" si="0"/>
        <v>8</v>
      </c>
      <c r="P46" s="15">
        <f t="shared" si="1"/>
        <v>13</v>
      </c>
      <c r="R46" s="8"/>
      <c r="T46"/>
    </row>
    <row r="47" spans="2:20" ht="23.1" customHeight="1" x14ac:dyDescent="0.25">
      <c r="B47" s="24" t="s">
        <v>74</v>
      </c>
      <c r="C47" s="51">
        <v>1</v>
      </c>
      <c r="D47" s="50">
        <v>1</v>
      </c>
      <c r="E47" s="51">
        <v>2</v>
      </c>
      <c r="F47" s="51">
        <v>4</v>
      </c>
      <c r="G47" s="51">
        <v>1</v>
      </c>
      <c r="H47" s="51">
        <v>2</v>
      </c>
      <c r="I47" s="51">
        <v>1</v>
      </c>
      <c r="J47" s="51">
        <v>0</v>
      </c>
      <c r="K47" s="51">
        <v>0</v>
      </c>
      <c r="L47" s="50">
        <v>1</v>
      </c>
      <c r="M47" s="51">
        <v>1</v>
      </c>
      <c r="N47" s="51">
        <v>0</v>
      </c>
      <c r="O47" s="15">
        <f t="shared" si="0"/>
        <v>13</v>
      </c>
      <c r="P47" s="15">
        <f t="shared" si="1"/>
        <v>14</v>
      </c>
      <c r="R47" s="8"/>
      <c r="T47"/>
    </row>
    <row r="48" spans="2:20" ht="23.1" customHeight="1" x14ac:dyDescent="0.25">
      <c r="B48" s="24" t="s">
        <v>75</v>
      </c>
      <c r="C48" s="51">
        <v>2</v>
      </c>
      <c r="D48" s="50">
        <v>1</v>
      </c>
      <c r="E48" s="51">
        <v>1</v>
      </c>
      <c r="F48" s="51">
        <v>0</v>
      </c>
      <c r="G48" s="51">
        <v>0</v>
      </c>
      <c r="H48" s="51">
        <v>0</v>
      </c>
      <c r="I48" s="51">
        <v>1</v>
      </c>
      <c r="J48" s="51">
        <v>0</v>
      </c>
      <c r="K48" s="51">
        <v>0</v>
      </c>
      <c r="L48" s="50">
        <v>1</v>
      </c>
      <c r="M48" s="51">
        <v>5</v>
      </c>
      <c r="N48" s="51">
        <v>0</v>
      </c>
      <c r="O48" s="15">
        <f t="shared" si="0"/>
        <v>6</v>
      </c>
      <c r="P48" s="15">
        <f t="shared" si="1"/>
        <v>11</v>
      </c>
      <c r="R48" s="8"/>
      <c r="T48"/>
    </row>
    <row r="49" spans="2:20" ht="23.1" customHeight="1" x14ac:dyDescent="0.25">
      <c r="B49" s="23" t="s">
        <v>76</v>
      </c>
      <c r="C49" s="51">
        <v>1</v>
      </c>
      <c r="D49" s="50">
        <v>4</v>
      </c>
      <c r="E49" s="51">
        <v>5</v>
      </c>
      <c r="F49" s="51">
        <v>0</v>
      </c>
      <c r="G49" s="51">
        <v>0</v>
      </c>
      <c r="H49" s="51">
        <v>1</v>
      </c>
      <c r="I49" s="51">
        <v>7</v>
      </c>
      <c r="J49" s="51">
        <v>0</v>
      </c>
      <c r="K49" s="51">
        <v>0</v>
      </c>
      <c r="L49" s="50">
        <v>1</v>
      </c>
      <c r="M49" s="51">
        <v>2</v>
      </c>
      <c r="N49" s="51">
        <v>0</v>
      </c>
      <c r="O49" s="15">
        <f t="shared" si="0"/>
        <v>19</v>
      </c>
      <c r="P49" s="15">
        <f t="shared" si="1"/>
        <v>21</v>
      </c>
      <c r="R49" s="8"/>
      <c r="T49"/>
    </row>
    <row r="50" spans="2:20" ht="23.1" customHeight="1" x14ac:dyDescent="0.25">
      <c r="B50" s="24" t="s">
        <v>77</v>
      </c>
      <c r="C50" s="51">
        <v>1</v>
      </c>
      <c r="D50" s="50">
        <v>1</v>
      </c>
      <c r="E50" s="51">
        <v>2</v>
      </c>
      <c r="F50" s="51">
        <v>2</v>
      </c>
      <c r="G50" s="51">
        <v>0</v>
      </c>
      <c r="H50" s="51">
        <v>3</v>
      </c>
      <c r="I50" s="51">
        <v>5</v>
      </c>
      <c r="J50" s="51">
        <v>0</v>
      </c>
      <c r="K50" s="51">
        <v>1</v>
      </c>
      <c r="L50" s="50">
        <v>3</v>
      </c>
      <c r="M50" s="51">
        <v>8</v>
      </c>
      <c r="N50" s="51">
        <v>0</v>
      </c>
      <c r="O50" s="15">
        <f t="shared" si="0"/>
        <v>18</v>
      </c>
      <c r="P50" s="15">
        <f t="shared" si="1"/>
        <v>26</v>
      </c>
      <c r="R50" s="8"/>
      <c r="T50"/>
    </row>
    <row r="51" spans="2:20" ht="23.1" customHeight="1" x14ac:dyDescent="0.25">
      <c r="B51" s="24" t="s">
        <v>78</v>
      </c>
      <c r="C51" s="51">
        <v>2</v>
      </c>
      <c r="D51" s="50">
        <v>3</v>
      </c>
      <c r="E51" s="51">
        <v>3</v>
      </c>
      <c r="F51" s="51">
        <v>0</v>
      </c>
      <c r="G51" s="51">
        <v>0</v>
      </c>
      <c r="H51" s="51">
        <v>0</v>
      </c>
      <c r="I51" s="51">
        <v>3</v>
      </c>
      <c r="J51" s="51">
        <v>0</v>
      </c>
      <c r="K51" s="51">
        <v>0</v>
      </c>
      <c r="L51" s="50">
        <v>2</v>
      </c>
      <c r="M51" s="51">
        <v>1</v>
      </c>
      <c r="N51" s="51">
        <v>0</v>
      </c>
      <c r="O51" s="15">
        <f t="shared" si="0"/>
        <v>13</v>
      </c>
      <c r="P51" s="15">
        <f t="shared" si="1"/>
        <v>14</v>
      </c>
      <c r="R51" s="8"/>
      <c r="T51"/>
    </row>
    <row r="52" spans="2:20" ht="23.1" customHeight="1" x14ac:dyDescent="0.25">
      <c r="B52" s="24" t="s">
        <v>79</v>
      </c>
      <c r="C52" s="51">
        <v>1</v>
      </c>
      <c r="D52" s="50">
        <v>1</v>
      </c>
      <c r="E52" s="51">
        <v>2</v>
      </c>
      <c r="F52" s="51">
        <v>2</v>
      </c>
      <c r="G52" s="51">
        <v>0</v>
      </c>
      <c r="H52" s="51">
        <v>3</v>
      </c>
      <c r="I52" s="51">
        <v>3</v>
      </c>
      <c r="J52" s="51">
        <v>0</v>
      </c>
      <c r="K52" s="51">
        <v>1</v>
      </c>
      <c r="L52" s="50">
        <v>1</v>
      </c>
      <c r="M52" s="51">
        <v>2</v>
      </c>
      <c r="N52" s="51">
        <v>0</v>
      </c>
      <c r="O52" s="15">
        <f t="shared" si="0"/>
        <v>14</v>
      </c>
      <c r="P52" s="15">
        <f t="shared" si="1"/>
        <v>16</v>
      </c>
      <c r="R52" s="8"/>
      <c r="T52"/>
    </row>
    <row r="53" spans="2:20" ht="23.1" customHeight="1" x14ac:dyDescent="0.25">
      <c r="B53" s="23" t="s">
        <v>80</v>
      </c>
      <c r="C53" s="51">
        <v>1</v>
      </c>
      <c r="D53" s="50">
        <v>1</v>
      </c>
      <c r="E53" s="51">
        <v>1</v>
      </c>
      <c r="F53" s="51">
        <v>0</v>
      </c>
      <c r="G53" s="51">
        <v>0</v>
      </c>
      <c r="H53" s="51">
        <v>0</v>
      </c>
      <c r="I53" s="51">
        <v>3</v>
      </c>
      <c r="J53" s="51">
        <v>0</v>
      </c>
      <c r="K53" s="51">
        <v>2</v>
      </c>
      <c r="L53" s="50">
        <v>1</v>
      </c>
      <c r="M53" s="51">
        <v>4</v>
      </c>
      <c r="N53" s="51">
        <v>0</v>
      </c>
      <c r="O53" s="15">
        <f t="shared" si="0"/>
        <v>9</v>
      </c>
      <c r="P53" s="15">
        <f t="shared" si="1"/>
        <v>13</v>
      </c>
      <c r="R53" s="8"/>
      <c r="T53"/>
    </row>
    <row r="54" spans="2:20" ht="23.1" customHeight="1" x14ac:dyDescent="0.25">
      <c r="B54" s="23" t="s">
        <v>81</v>
      </c>
      <c r="C54" s="51">
        <v>0</v>
      </c>
      <c r="D54" s="50">
        <v>2</v>
      </c>
      <c r="E54" s="51">
        <v>2</v>
      </c>
      <c r="F54" s="51">
        <v>0</v>
      </c>
      <c r="G54" s="51">
        <v>0</v>
      </c>
      <c r="H54" s="51">
        <v>2</v>
      </c>
      <c r="I54" s="51">
        <v>6</v>
      </c>
      <c r="J54" s="51">
        <v>2</v>
      </c>
      <c r="K54" s="51">
        <v>0</v>
      </c>
      <c r="L54" s="50">
        <v>2</v>
      </c>
      <c r="M54" s="51">
        <v>6</v>
      </c>
      <c r="N54" s="51">
        <v>0</v>
      </c>
      <c r="O54" s="15">
        <f t="shared" si="0"/>
        <v>16</v>
      </c>
      <c r="P54" s="15">
        <f t="shared" si="1"/>
        <v>22</v>
      </c>
      <c r="R54" s="8"/>
      <c r="T54"/>
    </row>
    <row r="55" spans="2:20" ht="23.1" customHeight="1" x14ac:dyDescent="0.25">
      <c r="B55" s="23" t="s">
        <v>82</v>
      </c>
      <c r="C55" s="51">
        <v>0</v>
      </c>
      <c r="D55" s="50">
        <v>1</v>
      </c>
      <c r="E55" s="51">
        <v>1</v>
      </c>
      <c r="F55" s="51">
        <v>5</v>
      </c>
      <c r="G55" s="51">
        <v>0</v>
      </c>
      <c r="H55" s="51">
        <v>0</v>
      </c>
      <c r="I55" s="51">
        <v>0</v>
      </c>
      <c r="J55" s="51">
        <v>1</v>
      </c>
      <c r="K55" s="51">
        <v>0</v>
      </c>
      <c r="L55" s="50">
        <v>2</v>
      </c>
      <c r="M55" s="51">
        <v>4</v>
      </c>
      <c r="N55" s="51">
        <v>0</v>
      </c>
      <c r="O55" s="15">
        <f t="shared" si="0"/>
        <v>10</v>
      </c>
      <c r="P55" s="15">
        <f t="shared" si="1"/>
        <v>14</v>
      </c>
      <c r="R55" s="8"/>
      <c r="T55"/>
    </row>
    <row r="56" spans="2:20" ht="23.1" customHeight="1" x14ac:dyDescent="0.25">
      <c r="B56" s="23" t="s">
        <v>83</v>
      </c>
      <c r="C56" s="51">
        <v>3</v>
      </c>
      <c r="D56" s="50">
        <v>1</v>
      </c>
      <c r="E56" s="51">
        <v>2</v>
      </c>
      <c r="F56" s="51">
        <v>0</v>
      </c>
      <c r="G56" s="51">
        <v>0</v>
      </c>
      <c r="H56" s="51">
        <v>0</v>
      </c>
      <c r="I56" s="51">
        <v>5</v>
      </c>
      <c r="J56" s="51">
        <v>1</v>
      </c>
      <c r="K56" s="51">
        <v>0</v>
      </c>
      <c r="L56" s="50">
        <v>2</v>
      </c>
      <c r="M56" s="51">
        <v>5</v>
      </c>
      <c r="N56" s="51">
        <v>0</v>
      </c>
      <c r="O56" s="15">
        <f t="shared" si="0"/>
        <v>14</v>
      </c>
      <c r="P56" s="15">
        <f t="shared" si="1"/>
        <v>19</v>
      </c>
      <c r="R56" s="8"/>
      <c r="T56"/>
    </row>
    <row r="57" spans="2:20" ht="23.1" customHeight="1" x14ac:dyDescent="0.25">
      <c r="B57" s="23" t="s">
        <v>84</v>
      </c>
      <c r="C57" s="51">
        <v>1</v>
      </c>
      <c r="D57" s="50">
        <v>1</v>
      </c>
      <c r="E57" s="51">
        <v>2</v>
      </c>
      <c r="F57" s="51">
        <v>0</v>
      </c>
      <c r="G57" s="51">
        <v>0</v>
      </c>
      <c r="H57" s="51">
        <v>0</v>
      </c>
      <c r="I57" s="51">
        <v>3</v>
      </c>
      <c r="J57" s="51">
        <v>4</v>
      </c>
      <c r="K57" s="51">
        <v>0</v>
      </c>
      <c r="L57" s="50">
        <v>2</v>
      </c>
      <c r="M57" s="51">
        <v>6</v>
      </c>
      <c r="N57" s="51">
        <v>0</v>
      </c>
      <c r="O57" s="15">
        <f t="shared" si="0"/>
        <v>13</v>
      </c>
      <c r="P57" s="15">
        <f t="shared" si="1"/>
        <v>19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66</v>
      </c>
      <c r="D58" s="16">
        <f t="shared" si="21"/>
        <v>88</v>
      </c>
      <c r="E58" s="16">
        <f t="shared" si="21"/>
        <v>109</v>
      </c>
      <c r="F58" s="16">
        <f t="shared" si="21"/>
        <v>60</v>
      </c>
      <c r="G58" s="16">
        <f t="shared" si="21"/>
        <v>1</v>
      </c>
      <c r="H58" s="16">
        <f t="shared" si="21"/>
        <v>48</v>
      </c>
      <c r="I58" s="16">
        <f t="shared" si="21"/>
        <v>72</v>
      </c>
      <c r="J58" s="16">
        <f t="shared" si="21"/>
        <v>21</v>
      </c>
      <c r="K58" s="16">
        <f t="shared" si="21"/>
        <v>6</v>
      </c>
      <c r="L58" s="16">
        <f t="shared" si="21"/>
        <v>48</v>
      </c>
      <c r="M58" s="16">
        <f t="shared" si="21"/>
        <v>167</v>
      </c>
      <c r="N58" s="16">
        <f t="shared" si="21"/>
        <v>5</v>
      </c>
      <c r="O58" s="16">
        <f t="shared" si="21"/>
        <v>524</v>
      </c>
      <c r="P58" s="16">
        <f t="shared" si="21"/>
        <v>691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9.5513748191027495E-2</v>
      </c>
      <c r="D59" s="43">
        <f t="shared" si="22"/>
        <v>0.12735166425470332</v>
      </c>
      <c r="E59" s="43">
        <f t="shared" si="22"/>
        <v>0.15774240231548481</v>
      </c>
      <c r="F59" s="43">
        <f t="shared" si="22"/>
        <v>8.6830680173661356E-2</v>
      </c>
      <c r="G59" s="43">
        <f t="shared" si="22"/>
        <v>1.4471780028943559E-3</v>
      </c>
      <c r="H59" s="43">
        <f t="shared" si="22"/>
        <v>6.9464544138929094E-2</v>
      </c>
      <c r="I59" s="43">
        <f t="shared" si="22"/>
        <v>0.10419681620839363</v>
      </c>
      <c r="J59" s="43">
        <f t="shared" si="22"/>
        <v>3.0390738060781478E-2</v>
      </c>
      <c r="K59" s="43">
        <f t="shared" si="22"/>
        <v>8.6830680173661367E-3</v>
      </c>
      <c r="L59" s="43">
        <f t="shared" si="22"/>
        <v>6.9464544138929094E-2</v>
      </c>
      <c r="M59" s="43">
        <f t="shared" si="22"/>
        <v>0.24167872648335745</v>
      </c>
      <c r="N59" s="43">
        <f t="shared" si="22"/>
        <v>7.2358900144717797E-3</v>
      </c>
      <c r="R59" s="8"/>
      <c r="T59"/>
    </row>
    <row r="60" spans="2:20" ht="23.1" customHeight="1" x14ac:dyDescent="0.25">
      <c r="B60" s="42" t="s">
        <v>94</v>
      </c>
      <c r="C60" s="44">
        <f>C58/$O$58</f>
        <v>0.12595419847328243</v>
      </c>
      <c r="D60" s="44">
        <f t="shared" ref="D60:N60" si="23">D58/$O$58</f>
        <v>0.16793893129770993</v>
      </c>
      <c r="E60" s="44">
        <f t="shared" si="23"/>
        <v>0.20801526717557253</v>
      </c>
      <c r="F60" s="44">
        <f t="shared" si="23"/>
        <v>0.11450381679389313</v>
      </c>
      <c r="G60" s="44">
        <f t="shared" si="23"/>
        <v>1.9083969465648854E-3</v>
      </c>
      <c r="H60" s="44">
        <f t="shared" si="23"/>
        <v>9.1603053435114504E-2</v>
      </c>
      <c r="I60" s="44">
        <f t="shared" si="23"/>
        <v>0.13740458015267176</v>
      </c>
      <c r="J60" s="44">
        <f t="shared" si="23"/>
        <v>4.0076335877862593E-2</v>
      </c>
      <c r="K60" s="44">
        <f t="shared" si="23"/>
        <v>1.1450381679389313E-2</v>
      </c>
      <c r="L60" s="44">
        <f t="shared" si="23"/>
        <v>9.1603053435114504E-2</v>
      </c>
      <c r="M60" s="44"/>
      <c r="N60" s="44">
        <f t="shared" si="23"/>
        <v>9.5419847328244278E-3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L10" sqref="L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'29.07 Karuma-Kigumba'!C3:G3</f>
        <v>MCC - C5 - STN113 - KIGUMBA-KARUMA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'29.07 Karuma-Kigumba'!D5</f>
        <v>29.07.19</v>
      </c>
      <c r="E5" s="3"/>
      <c r="F5" s="41" t="s">
        <v>1</v>
      </c>
      <c r="G5" s="68" t="str">
        <f>'29.07 Karuma-Kigumba'!G5:H5</f>
        <v>nanda</v>
      </c>
      <c r="H5" s="69"/>
      <c r="I5" s="14"/>
      <c r="J5" s="2" t="s">
        <v>5</v>
      </c>
      <c r="K5" s="68" t="str">
        <f>'29.07 Karuma-Kigumba'!K5:L5</f>
        <v>xxx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2" t="s">
        <v>169</v>
      </c>
      <c r="E6" s="63"/>
      <c r="F6" s="2" t="s">
        <v>2</v>
      </c>
      <c r="G6" s="62" t="s">
        <v>170</v>
      </c>
      <c r="H6" s="63"/>
      <c r="J6" s="2" t="s">
        <v>21</v>
      </c>
      <c r="K6" s="68" t="str">
        <f>'29.07 Karuma-Kigumba'!K6:L6</f>
        <v>xxx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1">
        <v>0</v>
      </c>
      <c r="D10" s="50">
        <v>1</v>
      </c>
      <c r="E10" s="51">
        <v>1</v>
      </c>
      <c r="F10" s="51">
        <v>0</v>
      </c>
      <c r="G10" s="51">
        <v>0</v>
      </c>
      <c r="H10" s="51">
        <v>0</v>
      </c>
      <c r="I10" s="51">
        <v>2</v>
      </c>
      <c r="J10" s="51">
        <v>0</v>
      </c>
      <c r="K10" s="51">
        <v>0</v>
      </c>
      <c r="L10" s="50">
        <v>2</v>
      </c>
      <c r="M10" s="51">
        <v>1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5</v>
      </c>
      <c r="T10" s="17">
        <f t="shared" si="2"/>
        <v>4</v>
      </c>
      <c r="U10" s="17">
        <f t="shared" si="2"/>
        <v>7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0</v>
      </c>
      <c r="AA10" s="17">
        <f t="shared" si="2"/>
        <v>0</v>
      </c>
      <c r="AB10" s="17">
        <f t="shared" si="2"/>
        <v>3</v>
      </c>
      <c r="AC10" s="17">
        <f t="shared" si="2"/>
        <v>16</v>
      </c>
      <c r="AD10" s="17">
        <f t="shared" si="2"/>
        <v>0</v>
      </c>
      <c r="AE10" s="31">
        <f t="shared" si="2"/>
        <v>27</v>
      </c>
      <c r="AF10" s="31">
        <f t="shared" si="2"/>
        <v>43</v>
      </c>
    </row>
    <row r="11" spans="2:32" s="6" customFormat="1" ht="23.1" customHeight="1" x14ac:dyDescent="0.25">
      <c r="B11" s="23" t="s">
        <v>38</v>
      </c>
      <c r="C11" s="51">
        <v>2</v>
      </c>
      <c r="D11" s="50">
        <v>0</v>
      </c>
      <c r="E11" s="51">
        <v>1</v>
      </c>
      <c r="F11" s="51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0">
        <v>0</v>
      </c>
      <c r="M11" s="51">
        <v>2</v>
      </c>
      <c r="N11" s="50">
        <v>0</v>
      </c>
      <c r="O11" s="15">
        <f t="shared" si="0"/>
        <v>3</v>
      </c>
      <c r="P11" s="15">
        <f t="shared" si="1"/>
        <v>5</v>
      </c>
      <c r="R11" s="1" t="s">
        <v>7</v>
      </c>
      <c r="S11" s="17">
        <f t="shared" ref="S11:AF11" si="3">SUM(C14:C17)</f>
        <v>4</v>
      </c>
      <c r="T11" s="17">
        <f t="shared" si="3"/>
        <v>7</v>
      </c>
      <c r="U11" s="17">
        <f t="shared" si="3"/>
        <v>10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1</v>
      </c>
      <c r="AA11" s="17">
        <f t="shared" si="3"/>
        <v>0</v>
      </c>
      <c r="AB11" s="17">
        <f t="shared" si="3"/>
        <v>2</v>
      </c>
      <c r="AC11" s="17">
        <f t="shared" si="3"/>
        <v>8</v>
      </c>
      <c r="AD11" s="17">
        <f t="shared" si="3"/>
        <v>0</v>
      </c>
      <c r="AE11" s="31">
        <f t="shared" si="3"/>
        <v>33</v>
      </c>
      <c r="AF11" s="31">
        <f t="shared" si="3"/>
        <v>41</v>
      </c>
    </row>
    <row r="12" spans="2:32" ht="23.1" customHeight="1" x14ac:dyDescent="0.25">
      <c r="B12" s="23" t="s">
        <v>39</v>
      </c>
      <c r="C12" s="51">
        <v>2</v>
      </c>
      <c r="D12" s="50">
        <v>1</v>
      </c>
      <c r="E12" s="51">
        <v>2</v>
      </c>
      <c r="F12" s="51">
        <v>1</v>
      </c>
      <c r="G12" s="51">
        <v>0</v>
      </c>
      <c r="H12" s="51">
        <v>0</v>
      </c>
      <c r="I12" s="51">
        <v>1</v>
      </c>
      <c r="J12" s="51">
        <v>0</v>
      </c>
      <c r="K12" s="51">
        <v>0</v>
      </c>
      <c r="L12" s="50">
        <v>0</v>
      </c>
      <c r="M12" s="51">
        <v>5</v>
      </c>
      <c r="N12" s="50">
        <v>0</v>
      </c>
      <c r="O12" s="15">
        <f t="shared" si="0"/>
        <v>7</v>
      </c>
      <c r="P12" s="15">
        <f t="shared" si="1"/>
        <v>12</v>
      </c>
      <c r="R12" s="1" t="s">
        <v>8</v>
      </c>
      <c r="S12" s="17">
        <f t="shared" ref="S12:AF12" si="4">SUM(C18:C21)</f>
        <v>7</v>
      </c>
      <c r="T12" s="17">
        <f t="shared" si="4"/>
        <v>10</v>
      </c>
      <c r="U12" s="17">
        <f t="shared" si="4"/>
        <v>12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2</v>
      </c>
      <c r="AC12" s="17">
        <f t="shared" si="4"/>
        <v>7</v>
      </c>
      <c r="AD12" s="17">
        <f t="shared" si="4"/>
        <v>0</v>
      </c>
      <c r="AE12" s="31">
        <f t="shared" si="4"/>
        <v>40</v>
      </c>
      <c r="AF12" s="31">
        <f t="shared" si="4"/>
        <v>47</v>
      </c>
    </row>
    <row r="13" spans="2:32" ht="23.1" customHeight="1" x14ac:dyDescent="0.25">
      <c r="B13" s="23" t="s">
        <v>40</v>
      </c>
      <c r="C13" s="51">
        <v>1</v>
      </c>
      <c r="D13" s="50">
        <v>2</v>
      </c>
      <c r="E13" s="51">
        <v>3</v>
      </c>
      <c r="F13" s="51">
        <v>2</v>
      </c>
      <c r="G13" s="51">
        <v>0</v>
      </c>
      <c r="H13" s="51">
        <v>0</v>
      </c>
      <c r="I13" s="51">
        <v>2</v>
      </c>
      <c r="J13" s="51">
        <v>0</v>
      </c>
      <c r="K13" s="51">
        <v>0</v>
      </c>
      <c r="L13" s="50">
        <v>1</v>
      </c>
      <c r="M13" s="51">
        <v>8</v>
      </c>
      <c r="N13" s="50">
        <v>0</v>
      </c>
      <c r="O13" s="15">
        <f t="shared" si="0"/>
        <v>11</v>
      </c>
      <c r="P13" s="15">
        <f t="shared" si="1"/>
        <v>19</v>
      </c>
      <c r="R13" s="1" t="s">
        <v>9</v>
      </c>
      <c r="S13" s="17">
        <f t="shared" ref="S13:AF13" si="5">SUM(C22:C25)</f>
        <v>3</v>
      </c>
      <c r="T13" s="17">
        <f t="shared" si="5"/>
        <v>9</v>
      </c>
      <c r="U13" s="17">
        <f t="shared" si="5"/>
        <v>10</v>
      </c>
      <c r="V13" s="17">
        <f t="shared" si="5"/>
        <v>9</v>
      </c>
      <c r="W13" s="17">
        <f t="shared" si="5"/>
        <v>0</v>
      </c>
      <c r="X13" s="17">
        <f t="shared" si="5"/>
        <v>2</v>
      </c>
      <c r="Y13" s="17">
        <f t="shared" si="5"/>
        <v>6</v>
      </c>
      <c r="Z13" s="17">
        <f t="shared" si="5"/>
        <v>0</v>
      </c>
      <c r="AA13" s="17">
        <f t="shared" si="5"/>
        <v>0</v>
      </c>
      <c r="AB13" s="17">
        <f t="shared" si="5"/>
        <v>1</v>
      </c>
      <c r="AC13" s="17">
        <f t="shared" si="5"/>
        <v>6</v>
      </c>
      <c r="AD13" s="17">
        <f t="shared" si="5"/>
        <v>0</v>
      </c>
      <c r="AE13" s="31">
        <f t="shared" si="5"/>
        <v>40</v>
      </c>
      <c r="AF13" s="31">
        <f t="shared" si="5"/>
        <v>46</v>
      </c>
    </row>
    <row r="14" spans="2:32" ht="23.1" customHeight="1" x14ac:dyDescent="0.25">
      <c r="B14" s="23" t="s">
        <v>41</v>
      </c>
      <c r="C14" s="51">
        <v>0</v>
      </c>
      <c r="D14" s="50">
        <v>1</v>
      </c>
      <c r="E14" s="51">
        <v>1</v>
      </c>
      <c r="F14" s="51">
        <v>0</v>
      </c>
      <c r="G14" s="51">
        <v>0</v>
      </c>
      <c r="H14" s="51">
        <v>0</v>
      </c>
      <c r="I14" s="51">
        <v>0</v>
      </c>
      <c r="J14" s="51">
        <v>1</v>
      </c>
      <c r="K14" s="51">
        <v>0</v>
      </c>
      <c r="L14" s="50">
        <v>0</v>
      </c>
      <c r="M14" s="51">
        <v>1</v>
      </c>
      <c r="N14" s="50">
        <v>0</v>
      </c>
      <c r="O14" s="15">
        <f t="shared" si="0"/>
        <v>3</v>
      </c>
      <c r="P14" s="15">
        <f t="shared" si="1"/>
        <v>4</v>
      </c>
      <c r="R14" s="1" t="s">
        <v>10</v>
      </c>
      <c r="S14" s="17">
        <f t="shared" ref="S14:AF14" si="6">SUM(C26:C29)</f>
        <v>5</v>
      </c>
      <c r="T14" s="17">
        <f t="shared" si="6"/>
        <v>7</v>
      </c>
      <c r="U14" s="17">
        <f t="shared" si="6"/>
        <v>11</v>
      </c>
      <c r="V14" s="17">
        <f t="shared" si="6"/>
        <v>7</v>
      </c>
      <c r="W14" s="17">
        <f t="shared" si="6"/>
        <v>0</v>
      </c>
      <c r="X14" s="17">
        <f t="shared" si="6"/>
        <v>3</v>
      </c>
      <c r="Y14" s="17">
        <f t="shared" si="6"/>
        <v>3</v>
      </c>
      <c r="Z14" s="17">
        <f t="shared" si="6"/>
        <v>0</v>
      </c>
      <c r="AA14" s="17">
        <f t="shared" si="6"/>
        <v>1</v>
      </c>
      <c r="AB14" s="17">
        <f t="shared" si="6"/>
        <v>1</v>
      </c>
      <c r="AC14" s="17">
        <f t="shared" si="6"/>
        <v>10</v>
      </c>
      <c r="AD14" s="17">
        <f t="shared" si="6"/>
        <v>0</v>
      </c>
      <c r="AE14" s="31">
        <f t="shared" si="6"/>
        <v>38</v>
      </c>
      <c r="AF14" s="31">
        <f t="shared" si="6"/>
        <v>48</v>
      </c>
    </row>
    <row r="15" spans="2:32" ht="23.1" customHeight="1" x14ac:dyDescent="0.25">
      <c r="B15" s="23" t="s">
        <v>42</v>
      </c>
      <c r="C15" s="51">
        <v>0</v>
      </c>
      <c r="D15" s="50">
        <v>1</v>
      </c>
      <c r="E15" s="51">
        <v>2</v>
      </c>
      <c r="F15" s="51">
        <v>0</v>
      </c>
      <c r="G15" s="51">
        <v>0</v>
      </c>
      <c r="H15" s="51">
        <v>0</v>
      </c>
      <c r="I15" s="51">
        <v>2</v>
      </c>
      <c r="J15" s="51">
        <v>0</v>
      </c>
      <c r="K15" s="51">
        <v>0</v>
      </c>
      <c r="L15" s="50">
        <v>0</v>
      </c>
      <c r="M15" s="51">
        <v>2</v>
      </c>
      <c r="N15" s="50">
        <v>0</v>
      </c>
      <c r="O15" s="15">
        <f t="shared" si="0"/>
        <v>5</v>
      </c>
      <c r="P15" s="15">
        <f t="shared" si="1"/>
        <v>7</v>
      </c>
      <c r="R15" s="1" t="s">
        <v>11</v>
      </c>
      <c r="S15" s="17">
        <f t="shared" ref="S15:AF15" si="7">SUM(C30:C33)</f>
        <v>7</v>
      </c>
      <c r="T15" s="17">
        <f t="shared" si="7"/>
        <v>7</v>
      </c>
      <c r="U15" s="17">
        <f t="shared" si="7"/>
        <v>11</v>
      </c>
      <c r="V15" s="17">
        <f t="shared" si="7"/>
        <v>7</v>
      </c>
      <c r="W15" s="17">
        <f t="shared" si="7"/>
        <v>0</v>
      </c>
      <c r="X15" s="17">
        <f t="shared" si="7"/>
        <v>1</v>
      </c>
      <c r="Y15" s="17">
        <f t="shared" si="7"/>
        <v>3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5</v>
      </c>
      <c r="AD15" s="17">
        <f t="shared" si="7"/>
        <v>0</v>
      </c>
      <c r="AE15" s="31">
        <f t="shared" si="7"/>
        <v>37</v>
      </c>
      <c r="AF15" s="31">
        <f t="shared" si="7"/>
        <v>42</v>
      </c>
    </row>
    <row r="16" spans="2:32" ht="23.1" customHeight="1" x14ac:dyDescent="0.25">
      <c r="B16" s="23" t="s">
        <v>43</v>
      </c>
      <c r="C16" s="51">
        <v>3</v>
      </c>
      <c r="D16" s="50">
        <v>2</v>
      </c>
      <c r="E16" s="51">
        <v>3</v>
      </c>
      <c r="F16" s="51">
        <v>1</v>
      </c>
      <c r="G16" s="51">
        <v>0</v>
      </c>
      <c r="H16" s="51">
        <v>0</v>
      </c>
      <c r="I16" s="51">
        <v>4</v>
      </c>
      <c r="J16" s="51">
        <v>0</v>
      </c>
      <c r="K16" s="51">
        <v>0</v>
      </c>
      <c r="L16" s="50">
        <v>1</v>
      </c>
      <c r="M16" s="51">
        <v>4</v>
      </c>
      <c r="N16" s="50">
        <v>0</v>
      </c>
      <c r="O16" s="15">
        <f t="shared" si="0"/>
        <v>14</v>
      </c>
      <c r="P16" s="15">
        <f t="shared" si="1"/>
        <v>18</v>
      </c>
      <c r="R16" s="1" t="s">
        <v>12</v>
      </c>
      <c r="S16" s="17">
        <f t="shared" ref="S16:AF16" si="8">SUM(C34:C37)</f>
        <v>5</v>
      </c>
      <c r="T16" s="17">
        <f t="shared" si="8"/>
        <v>17</v>
      </c>
      <c r="U16" s="17">
        <f t="shared" si="8"/>
        <v>18</v>
      </c>
      <c r="V16" s="17">
        <f t="shared" si="8"/>
        <v>12</v>
      </c>
      <c r="W16" s="17">
        <f t="shared" si="8"/>
        <v>0</v>
      </c>
      <c r="X16" s="17">
        <f t="shared" si="8"/>
        <v>6</v>
      </c>
      <c r="Y16" s="17">
        <f t="shared" si="8"/>
        <v>8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20</v>
      </c>
      <c r="AD16" s="17">
        <f t="shared" si="8"/>
        <v>0</v>
      </c>
      <c r="AE16" s="31">
        <f t="shared" si="8"/>
        <v>66</v>
      </c>
      <c r="AF16" s="31">
        <f t="shared" si="8"/>
        <v>86</v>
      </c>
    </row>
    <row r="17" spans="2:32" ht="23.1" customHeight="1" x14ac:dyDescent="0.25">
      <c r="B17" s="23" t="s">
        <v>44</v>
      </c>
      <c r="C17" s="51">
        <v>1</v>
      </c>
      <c r="D17" s="50">
        <v>3</v>
      </c>
      <c r="E17" s="51">
        <v>4</v>
      </c>
      <c r="F17" s="51">
        <v>1</v>
      </c>
      <c r="G17" s="51">
        <v>0</v>
      </c>
      <c r="H17" s="51">
        <v>0</v>
      </c>
      <c r="I17" s="51">
        <v>1</v>
      </c>
      <c r="J17" s="51">
        <v>0</v>
      </c>
      <c r="K17" s="51">
        <v>0</v>
      </c>
      <c r="L17" s="50">
        <v>1</v>
      </c>
      <c r="M17" s="51">
        <v>1</v>
      </c>
      <c r="N17" s="50">
        <v>0</v>
      </c>
      <c r="O17" s="15">
        <f t="shared" si="0"/>
        <v>11</v>
      </c>
      <c r="P17" s="15">
        <f t="shared" si="1"/>
        <v>12</v>
      </c>
      <c r="R17" s="1" t="s">
        <v>13</v>
      </c>
      <c r="S17" s="17">
        <f t="shared" ref="S17:AF17" si="9">SUM(C38:C41)</f>
        <v>2</v>
      </c>
      <c r="T17" s="17">
        <f t="shared" si="9"/>
        <v>14</v>
      </c>
      <c r="U17" s="17">
        <f t="shared" si="9"/>
        <v>15</v>
      </c>
      <c r="V17" s="17">
        <f t="shared" si="9"/>
        <v>8</v>
      </c>
      <c r="W17" s="17">
        <f t="shared" si="9"/>
        <v>0</v>
      </c>
      <c r="X17" s="17">
        <f t="shared" si="9"/>
        <v>4</v>
      </c>
      <c r="Y17" s="17">
        <f t="shared" si="9"/>
        <v>2</v>
      </c>
      <c r="Z17" s="17">
        <f t="shared" si="9"/>
        <v>0</v>
      </c>
      <c r="AA17" s="17">
        <f t="shared" si="9"/>
        <v>2</v>
      </c>
      <c r="AB17" s="17">
        <f t="shared" si="9"/>
        <v>1</v>
      </c>
      <c r="AC17" s="17">
        <f t="shared" si="9"/>
        <v>14</v>
      </c>
      <c r="AD17" s="17">
        <f t="shared" si="9"/>
        <v>0</v>
      </c>
      <c r="AE17" s="31">
        <f t="shared" si="9"/>
        <v>48</v>
      </c>
      <c r="AF17" s="31">
        <f t="shared" si="9"/>
        <v>62</v>
      </c>
    </row>
    <row r="18" spans="2:32" ht="23.1" customHeight="1" x14ac:dyDescent="0.25">
      <c r="B18" s="23" t="s">
        <v>45</v>
      </c>
      <c r="C18" s="51">
        <v>0</v>
      </c>
      <c r="D18" s="50">
        <v>1</v>
      </c>
      <c r="E18" s="51">
        <v>2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0">
        <v>1</v>
      </c>
      <c r="M18" s="51">
        <v>1</v>
      </c>
      <c r="N18" s="50">
        <v>0</v>
      </c>
      <c r="O18" s="15">
        <f t="shared" si="0"/>
        <v>4</v>
      </c>
      <c r="P18" s="15">
        <f t="shared" si="1"/>
        <v>5</v>
      </c>
      <c r="R18" s="1" t="s">
        <v>14</v>
      </c>
      <c r="S18" s="17">
        <f t="shared" ref="S18:AF18" si="10">SUM(C42:C45)</f>
        <v>8</v>
      </c>
      <c r="T18" s="17">
        <f t="shared" si="10"/>
        <v>16</v>
      </c>
      <c r="U18" s="17">
        <f t="shared" si="10"/>
        <v>17</v>
      </c>
      <c r="V18" s="17">
        <f t="shared" si="10"/>
        <v>9</v>
      </c>
      <c r="W18" s="17">
        <f t="shared" si="10"/>
        <v>0</v>
      </c>
      <c r="X18" s="17">
        <f t="shared" si="10"/>
        <v>4</v>
      </c>
      <c r="Y18" s="17">
        <f t="shared" si="10"/>
        <v>6</v>
      </c>
      <c r="Z18" s="17">
        <f t="shared" si="10"/>
        <v>3</v>
      </c>
      <c r="AA18" s="17">
        <f t="shared" si="10"/>
        <v>0</v>
      </c>
      <c r="AB18" s="17">
        <f t="shared" si="10"/>
        <v>2</v>
      </c>
      <c r="AC18" s="17">
        <f t="shared" si="10"/>
        <v>23</v>
      </c>
      <c r="AD18" s="17">
        <f t="shared" si="10"/>
        <v>0</v>
      </c>
      <c r="AE18" s="31">
        <f t="shared" si="10"/>
        <v>65</v>
      </c>
      <c r="AF18" s="31">
        <f t="shared" si="10"/>
        <v>88</v>
      </c>
    </row>
    <row r="19" spans="2:32" ht="23.1" customHeight="1" x14ac:dyDescent="0.25">
      <c r="B19" s="23" t="s">
        <v>46</v>
      </c>
      <c r="C19" s="51">
        <v>3</v>
      </c>
      <c r="D19" s="50">
        <v>2</v>
      </c>
      <c r="E19" s="51">
        <v>2</v>
      </c>
      <c r="F19" s="51">
        <v>1</v>
      </c>
      <c r="G19" s="51">
        <v>0</v>
      </c>
      <c r="H19" s="51">
        <v>0</v>
      </c>
      <c r="I19" s="51">
        <v>2</v>
      </c>
      <c r="J19" s="51">
        <v>0</v>
      </c>
      <c r="K19" s="51">
        <v>0</v>
      </c>
      <c r="L19" s="50">
        <v>1</v>
      </c>
      <c r="M19" s="51">
        <v>5</v>
      </c>
      <c r="N19" s="50">
        <v>0</v>
      </c>
      <c r="O19" s="15">
        <f t="shared" si="0"/>
        <v>11</v>
      </c>
      <c r="P19" s="15">
        <f t="shared" si="1"/>
        <v>16</v>
      </c>
      <c r="R19" s="1" t="s">
        <v>15</v>
      </c>
      <c r="S19" s="17">
        <f t="shared" ref="S19:AF19" si="11">SUM(C46:C49)</f>
        <v>13</v>
      </c>
      <c r="T19" s="17">
        <f t="shared" si="11"/>
        <v>13</v>
      </c>
      <c r="U19" s="17">
        <f t="shared" si="11"/>
        <v>16</v>
      </c>
      <c r="V19" s="17">
        <f t="shared" si="11"/>
        <v>9</v>
      </c>
      <c r="W19" s="17">
        <f t="shared" si="11"/>
        <v>1</v>
      </c>
      <c r="X19" s="17">
        <f t="shared" si="11"/>
        <v>8</v>
      </c>
      <c r="Y19" s="17">
        <f t="shared" si="11"/>
        <v>9</v>
      </c>
      <c r="Z19" s="17">
        <f t="shared" si="11"/>
        <v>0</v>
      </c>
      <c r="AA19" s="17">
        <f t="shared" si="11"/>
        <v>3</v>
      </c>
      <c r="AB19" s="17">
        <f t="shared" si="11"/>
        <v>1</v>
      </c>
      <c r="AC19" s="17">
        <f t="shared" si="11"/>
        <v>14</v>
      </c>
      <c r="AD19" s="17">
        <f t="shared" si="11"/>
        <v>0</v>
      </c>
      <c r="AE19" s="31">
        <f t="shared" si="11"/>
        <v>73</v>
      </c>
      <c r="AF19" s="31">
        <f t="shared" si="11"/>
        <v>87</v>
      </c>
    </row>
    <row r="20" spans="2:32" ht="23.1" customHeight="1" x14ac:dyDescent="0.25">
      <c r="B20" s="23" t="s">
        <v>47</v>
      </c>
      <c r="C20" s="51">
        <v>1</v>
      </c>
      <c r="D20" s="50">
        <v>3</v>
      </c>
      <c r="E20" s="51">
        <v>4</v>
      </c>
      <c r="F20" s="51">
        <v>1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0">
        <v>0</v>
      </c>
      <c r="M20" s="51">
        <v>1</v>
      </c>
      <c r="N20" s="50">
        <v>0</v>
      </c>
      <c r="O20" s="15">
        <f t="shared" si="0"/>
        <v>9</v>
      </c>
      <c r="P20" s="15">
        <f t="shared" si="1"/>
        <v>10</v>
      </c>
      <c r="R20" s="1" t="s">
        <v>16</v>
      </c>
      <c r="S20" s="17">
        <f t="shared" ref="S20:AF20" si="12">SUM(C50:C53)</f>
        <v>4</v>
      </c>
      <c r="T20" s="17">
        <f t="shared" si="12"/>
        <v>9</v>
      </c>
      <c r="U20" s="17">
        <f t="shared" si="12"/>
        <v>10</v>
      </c>
      <c r="V20" s="17">
        <f t="shared" si="12"/>
        <v>6</v>
      </c>
      <c r="W20" s="17">
        <f t="shared" si="12"/>
        <v>0</v>
      </c>
      <c r="X20" s="17">
        <f t="shared" si="12"/>
        <v>4</v>
      </c>
      <c r="Y20" s="17">
        <f t="shared" si="12"/>
        <v>6</v>
      </c>
      <c r="Z20" s="17">
        <f t="shared" si="12"/>
        <v>2</v>
      </c>
      <c r="AA20" s="17">
        <f t="shared" si="12"/>
        <v>0</v>
      </c>
      <c r="AB20" s="17">
        <f t="shared" si="12"/>
        <v>2</v>
      </c>
      <c r="AC20" s="17">
        <f t="shared" si="12"/>
        <v>14</v>
      </c>
      <c r="AD20" s="17">
        <f t="shared" si="12"/>
        <v>0</v>
      </c>
      <c r="AE20" s="31">
        <f t="shared" si="12"/>
        <v>43</v>
      </c>
      <c r="AF20" s="31">
        <f t="shared" si="12"/>
        <v>57</v>
      </c>
    </row>
    <row r="21" spans="2:32" ht="23.1" customHeight="1" x14ac:dyDescent="0.25">
      <c r="B21" s="23" t="s">
        <v>48</v>
      </c>
      <c r="C21" s="51">
        <v>3</v>
      </c>
      <c r="D21" s="50">
        <v>4</v>
      </c>
      <c r="E21" s="51">
        <v>4</v>
      </c>
      <c r="F21" s="51">
        <v>2</v>
      </c>
      <c r="G21" s="51">
        <v>0</v>
      </c>
      <c r="H21" s="51">
        <v>0</v>
      </c>
      <c r="I21" s="51">
        <v>3</v>
      </c>
      <c r="J21" s="51">
        <v>0</v>
      </c>
      <c r="K21" s="51">
        <v>0</v>
      </c>
      <c r="L21" s="50">
        <v>0</v>
      </c>
      <c r="M21" s="51">
        <v>0</v>
      </c>
      <c r="N21" s="50">
        <v>0</v>
      </c>
      <c r="O21" s="15">
        <f t="shared" si="0"/>
        <v>16</v>
      </c>
      <c r="P21" s="15">
        <f t="shared" si="1"/>
        <v>16</v>
      </c>
      <c r="R21" s="36" t="s">
        <v>20</v>
      </c>
      <c r="S21" s="34">
        <f t="shared" ref="S21:AF21" si="13">SUM(C54:C57)</f>
        <v>12</v>
      </c>
      <c r="T21" s="17">
        <f t="shared" si="13"/>
        <v>14</v>
      </c>
      <c r="U21" s="17">
        <f t="shared" si="13"/>
        <v>16</v>
      </c>
      <c r="V21" s="17">
        <f t="shared" si="13"/>
        <v>4</v>
      </c>
      <c r="W21" s="17">
        <f t="shared" si="13"/>
        <v>1</v>
      </c>
      <c r="X21" s="17">
        <f t="shared" si="13"/>
        <v>5</v>
      </c>
      <c r="Y21" s="17">
        <f t="shared" si="13"/>
        <v>9</v>
      </c>
      <c r="Z21" s="17">
        <f t="shared" si="13"/>
        <v>0</v>
      </c>
      <c r="AA21" s="17">
        <f t="shared" si="13"/>
        <v>2</v>
      </c>
      <c r="AB21" s="17">
        <f t="shared" si="13"/>
        <v>1</v>
      </c>
      <c r="AC21" s="17">
        <f t="shared" si="13"/>
        <v>18</v>
      </c>
      <c r="AD21" s="17">
        <f t="shared" si="13"/>
        <v>0</v>
      </c>
      <c r="AE21" s="31">
        <f t="shared" si="13"/>
        <v>64</v>
      </c>
      <c r="AF21" s="31">
        <f t="shared" si="13"/>
        <v>82</v>
      </c>
    </row>
    <row r="22" spans="2:32" ht="23.1" customHeight="1" x14ac:dyDescent="0.25">
      <c r="B22" s="23" t="s">
        <v>49</v>
      </c>
      <c r="C22" s="51">
        <v>1</v>
      </c>
      <c r="D22" s="50">
        <v>3</v>
      </c>
      <c r="E22" s="51">
        <v>4</v>
      </c>
      <c r="F22" s="51">
        <v>0</v>
      </c>
      <c r="G22" s="51">
        <v>0</v>
      </c>
      <c r="H22" s="51">
        <v>0</v>
      </c>
      <c r="I22" s="51">
        <v>2</v>
      </c>
      <c r="J22" s="51">
        <v>0</v>
      </c>
      <c r="K22" s="51">
        <v>0</v>
      </c>
      <c r="L22" s="50">
        <v>0</v>
      </c>
      <c r="M22" s="51">
        <v>1</v>
      </c>
      <c r="N22" s="50">
        <v>0</v>
      </c>
      <c r="O22" s="15">
        <f t="shared" si="0"/>
        <v>10</v>
      </c>
      <c r="P22" s="15">
        <f t="shared" si="1"/>
        <v>11</v>
      </c>
      <c r="R22" s="38" t="s">
        <v>90</v>
      </c>
      <c r="S22" s="39">
        <f>MAX(S10:S12)</f>
        <v>7</v>
      </c>
      <c r="T22" s="39">
        <f t="shared" ref="T22:AF22" si="14">MAX(T10:T12)</f>
        <v>10</v>
      </c>
      <c r="U22" s="39">
        <f t="shared" si="14"/>
        <v>12</v>
      </c>
      <c r="V22" s="39">
        <f t="shared" si="14"/>
        <v>4</v>
      </c>
      <c r="W22" s="39">
        <f t="shared" si="14"/>
        <v>0</v>
      </c>
      <c r="X22" s="39">
        <f t="shared" si="14"/>
        <v>0</v>
      </c>
      <c r="Y22" s="39">
        <f t="shared" si="14"/>
        <v>7</v>
      </c>
      <c r="Z22" s="39">
        <f t="shared" si="14"/>
        <v>1</v>
      </c>
      <c r="AA22" s="39">
        <f t="shared" si="14"/>
        <v>0</v>
      </c>
      <c r="AB22" s="39">
        <f t="shared" si="14"/>
        <v>3</v>
      </c>
      <c r="AC22" s="39">
        <f t="shared" si="14"/>
        <v>16</v>
      </c>
      <c r="AD22" s="39">
        <f t="shared" si="14"/>
        <v>0</v>
      </c>
      <c r="AE22" s="40">
        <f t="shared" si="14"/>
        <v>40</v>
      </c>
      <c r="AF22" s="40">
        <f t="shared" si="14"/>
        <v>47</v>
      </c>
    </row>
    <row r="23" spans="2:32" ht="23.1" customHeight="1" x14ac:dyDescent="0.25">
      <c r="B23" s="23" t="s">
        <v>50</v>
      </c>
      <c r="C23" s="51">
        <v>0</v>
      </c>
      <c r="D23" s="50">
        <v>1</v>
      </c>
      <c r="E23" s="51">
        <v>1</v>
      </c>
      <c r="F23" s="51">
        <v>5</v>
      </c>
      <c r="G23" s="51">
        <v>0</v>
      </c>
      <c r="H23" s="51">
        <v>1</v>
      </c>
      <c r="I23" s="51">
        <v>2</v>
      </c>
      <c r="J23" s="51">
        <v>0</v>
      </c>
      <c r="K23" s="51">
        <v>0</v>
      </c>
      <c r="L23" s="50">
        <v>1</v>
      </c>
      <c r="M23" s="51">
        <v>2</v>
      </c>
      <c r="N23" s="50">
        <v>0</v>
      </c>
      <c r="O23" s="15">
        <f t="shared" si="0"/>
        <v>11</v>
      </c>
      <c r="P23" s="15">
        <f t="shared" si="1"/>
        <v>13</v>
      </c>
      <c r="R23" s="38" t="s">
        <v>91</v>
      </c>
      <c r="S23" s="39">
        <f>MAX(S13:S18)</f>
        <v>8</v>
      </c>
      <c r="T23" s="39">
        <f t="shared" ref="T23:AF23" si="15">MAX(T13:T18)</f>
        <v>17</v>
      </c>
      <c r="U23" s="39">
        <f t="shared" si="15"/>
        <v>18</v>
      </c>
      <c r="V23" s="39">
        <f t="shared" si="15"/>
        <v>12</v>
      </c>
      <c r="W23" s="39">
        <f t="shared" si="15"/>
        <v>0</v>
      </c>
      <c r="X23" s="39">
        <f t="shared" si="15"/>
        <v>6</v>
      </c>
      <c r="Y23" s="39">
        <f t="shared" si="15"/>
        <v>8</v>
      </c>
      <c r="Z23" s="39">
        <f t="shared" si="15"/>
        <v>3</v>
      </c>
      <c r="AA23" s="39">
        <f t="shared" si="15"/>
        <v>2</v>
      </c>
      <c r="AB23" s="39">
        <f t="shared" si="15"/>
        <v>2</v>
      </c>
      <c r="AC23" s="39">
        <f t="shared" si="15"/>
        <v>23</v>
      </c>
      <c r="AD23" s="39">
        <f t="shared" si="15"/>
        <v>0</v>
      </c>
      <c r="AE23" s="40">
        <f t="shared" si="15"/>
        <v>66</v>
      </c>
      <c r="AF23" s="40">
        <f t="shared" si="15"/>
        <v>88</v>
      </c>
    </row>
    <row r="24" spans="2:32" ht="23.1" customHeight="1" x14ac:dyDescent="0.25">
      <c r="B24" s="23" t="s">
        <v>51</v>
      </c>
      <c r="C24" s="51">
        <v>0</v>
      </c>
      <c r="D24" s="50">
        <v>3</v>
      </c>
      <c r="E24" s="51">
        <v>3</v>
      </c>
      <c r="F24" s="51">
        <v>0</v>
      </c>
      <c r="G24" s="51">
        <v>0</v>
      </c>
      <c r="H24" s="51">
        <v>1</v>
      </c>
      <c r="I24" s="51">
        <v>2</v>
      </c>
      <c r="J24" s="51">
        <v>0</v>
      </c>
      <c r="K24" s="51">
        <v>0</v>
      </c>
      <c r="L24" s="50">
        <v>0</v>
      </c>
      <c r="M24" s="51">
        <v>3</v>
      </c>
      <c r="N24" s="50">
        <v>0</v>
      </c>
      <c r="O24" s="15">
        <f t="shared" si="0"/>
        <v>9</v>
      </c>
      <c r="P24" s="15">
        <f t="shared" si="1"/>
        <v>12</v>
      </c>
      <c r="R24" s="38" t="s">
        <v>92</v>
      </c>
      <c r="S24" s="39">
        <f>MAX(S19:S21)</f>
        <v>13</v>
      </c>
      <c r="T24" s="39">
        <f t="shared" ref="T24:AF24" si="16">MAX(T19:T21)</f>
        <v>14</v>
      </c>
      <c r="U24" s="39">
        <f t="shared" si="16"/>
        <v>16</v>
      </c>
      <c r="V24" s="39">
        <f t="shared" si="16"/>
        <v>9</v>
      </c>
      <c r="W24" s="39">
        <f t="shared" si="16"/>
        <v>1</v>
      </c>
      <c r="X24" s="39">
        <f t="shared" si="16"/>
        <v>8</v>
      </c>
      <c r="Y24" s="39">
        <f t="shared" si="16"/>
        <v>9</v>
      </c>
      <c r="Z24" s="39">
        <f t="shared" si="16"/>
        <v>2</v>
      </c>
      <c r="AA24" s="39">
        <f t="shared" si="16"/>
        <v>3</v>
      </c>
      <c r="AB24" s="39">
        <f t="shared" si="16"/>
        <v>2</v>
      </c>
      <c r="AC24" s="39">
        <f t="shared" si="16"/>
        <v>18</v>
      </c>
      <c r="AD24" s="39">
        <f t="shared" si="16"/>
        <v>0</v>
      </c>
      <c r="AE24" s="40">
        <f t="shared" si="16"/>
        <v>73</v>
      </c>
      <c r="AF24" s="40">
        <f t="shared" si="16"/>
        <v>87</v>
      </c>
    </row>
    <row r="25" spans="2:32" ht="23.1" customHeight="1" x14ac:dyDescent="0.25">
      <c r="B25" s="23" t="s">
        <v>52</v>
      </c>
      <c r="C25" s="51">
        <v>2</v>
      </c>
      <c r="D25" s="50">
        <v>2</v>
      </c>
      <c r="E25" s="51">
        <v>2</v>
      </c>
      <c r="F25" s="51">
        <v>4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0">
        <v>0</v>
      </c>
      <c r="M25" s="51">
        <v>0</v>
      </c>
      <c r="N25" s="50">
        <v>0</v>
      </c>
      <c r="O25" s="15">
        <f t="shared" si="0"/>
        <v>10</v>
      </c>
      <c r="P25" s="15">
        <f t="shared" si="1"/>
        <v>10</v>
      </c>
      <c r="R25" s="37" t="s">
        <v>85</v>
      </c>
      <c r="S25" s="35">
        <f t="shared" ref="S25:AF25" si="17">SUM(S10:S12)</f>
        <v>16</v>
      </c>
      <c r="T25" s="16">
        <f t="shared" si="17"/>
        <v>21</v>
      </c>
      <c r="U25" s="16">
        <f t="shared" si="17"/>
        <v>29</v>
      </c>
      <c r="V25" s="16">
        <f t="shared" si="17"/>
        <v>9</v>
      </c>
      <c r="W25" s="16">
        <f t="shared" si="17"/>
        <v>0</v>
      </c>
      <c r="X25" s="16">
        <f t="shared" si="17"/>
        <v>0</v>
      </c>
      <c r="Y25" s="16">
        <f t="shared" si="17"/>
        <v>17</v>
      </c>
      <c r="Z25" s="16">
        <f t="shared" si="17"/>
        <v>1</v>
      </c>
      <c r="AA25" s="16">
        <f t="shared" si="17"/>
        <v>0</v>
      </c>
      <c r="AB25" s="16">
        <f t="shared" si="17"/>
        <v>7</v>
      </c>
      <c r="AC25" s="16">
        <f t="shared" si="17"/>
        <v>31</v>
      </c>
      <c r="AD25" s="16">
        <f t="shared" si="17"/>
        <v>0</v>
      </c>
      <c r="AE25" s="32">
        <f t="shared" si="17"/>
        <v>100</v>
      </c>
      <c r="AF25" s="32">
        <f t="shared" si="17"/>
        <v>131</v>
      </c>
    </row>
    <row r="26" spans="2:32" ht="23.1" customHeight="1" x14ac:dyDescent="0.25">
      <c r="B26" s="23" t="s">
        <v>53</v>
      </c>
      <c r="C26" s="51">
        <v>1</v>
      </c>
      <c r="D26" s="50">
        <v>2</v>
      </c>
      <c r="E26" s="51">
        <v>3</v>
      </c>
      <c r="F26" s="51">
        <v>2</v>
      </c>
      <c r="G26" s="51">
        <v>0</v>
      </c>
      <c r="H26" s="51">
        <v>2</v>
      </c>
      <c r="I26" s="51">
        <v>0</v>
      </c>
      <c r="J26" s="51">
        <v>0</v>
      </c>
      <c r="K26" s="51">
        <v>1</v>
      </c>
      <c r="L26" s="50">
        <v>0</v>
      </c>
      <c r="M26" s="51">
        <v>5</v>
      </c>
      <c r="N26" s="50">
        <v>0</v>
      </c>
      <c r="O26" s="15">
        <f t="shared" si="0"/>
        <v>11</v>
      </c>
      <c r="P26" s="15">
        <f t="shared" si="1"/>
        <v>16</v>
      </c>
      <c r="R26" s="28" t="s">
        <v>86</v>
      </c>
      <c r="S26" s="16">
        <f t="shared" ref="S26:AF26" si="18">SUM(S13:S18)</f>
        <v>30</v>
      </c>
      <c r="T26" s="16">
        <f t="shared" si="18"/>
        <v>70</v>
      </c>
      <c r="U26" s="16">
        <f t="shared" si="18"/>
        <v>82</v>
      </c>
      <c r="V26" s="16">
        <f t="shared" si="18"/>
        <v>52</v>
      </c>
      <c r="W26" s="16">
        <f t="shared" si="18"/>
        <v>0</v>
      </c>
      <c r="X26" s="16">
        <f t="shared" si="18"/>
        <v>20</v>
      </c>
      <c r="Y26" s="16">
        <f t="shared" si="18"/>
        <v>28</v>
      </c>
      <c r="Z26" s="16">
        <f t="shared" si="18"/>
        <v>3</v>
      </c>
      <c r="AA26" s="16">
        <f t="shared" si="18"/>
        <v>4</v>
      </c>
      <c r="AB26" s="16">
        <f t="shared" si="18"/>
        <v>5</v>
      </c>
      <c r="AC26" s="16">
        <f t="shared" si="18"/>
        <v>78</v>
      </c>
      <c r="AD26" s="16">
        <f t="shared" si="18"/>
        <v>0</v>
      </c>
      <c r="AE26" s="32">
        <f t="shared" si="18"/>
        <v>294</v>
      </c>
      <c r="AF26" s="32">
        <f t="shared" si="18"/>
        <v>372</v>
      </c>
    </row>
    <row r="27" spans="2:32" ht="23.1" customHeight="1" x14ac:dyDescent="0.25">
      <c r="B27" s="23" t="s">
        <v>54</v>
      </c>
      <c r="C27" s="51">
        <v>2</v>
      </c>
      <c r="D27" s="50">
        <v>1</v>
      </c>
      <c r="E27" s="51">
        <v>2</v>
      </c>
      <c r="F27" s="51">
        <v>0</v>
      </c>
      <c r="G27" s="51">
        <v>0</v>
      </c>
      <c r="H27" s="51">
        <v>0</v>
      </c>
      <c r="I27" s="51">
        <v>1</v>
      </c>
      <c r="J27" s="51">
        <v>0</v>
      </c>
      <c r="K27" s="51">
        <v>0</v>
      </c>
      <c r="L27" s="50">
        <v>0</v>
      </c>
      <c r="M27" s="51">
        <v>0</v>
      </c>
      <c r="N27" s="50">
        <v>0</v>
      </c>
      <c r="O27" s="15">
        <f t="shared" si="0"/>
        <v>6</v>
      </c>
      <c r="P27" s="15">
        <f t="shared" si="1"/>
        <v>6</v>
      </c>
      <c r="R27" s="29" t="s">
        <v>87</v>
      </c>
      <c r="S27" s="16">
        <f t="shared" ref="S27:AF27" si="19">SUM(S19:S21)</f>
        <v>29</v>
      </c>
      <c r="T27" s="16">
        <f t="shared" si="19"/>
        <v>36</v>
      </c>
      <c r="U27" s="16">
        <f t="shared" si="19"/>
        <v>42</v>
      </c>
      <c r="V27" s="16">
        <f t="shared" si="19"/>
        <v>19</v>
      </c>
      <c r="W27" s="16">
        <f t="shared" si="19"/>
        <v>2</v>
      </c>
      <c r="X27" s="16">
        <f t="shared" si="19"/>
        <v>17</v>
      </c>
      <c r="Y27" s="16">
        <f t="shared" si="19"/>
        <v>24</v>
      </c>
      <c r="Z27" s="16">
        <f t="shared" si="19"/>
        <v>2</v>
      </c>
      <c r="AA27" s="16">
        <f t="shared" si="19"/>
        <v>5</v>
      </c>
      <c r="AB27" s="16">
        <f t="shared" si="19"/>
        <v>4</v>
      </c>
      <c r="AC27" s="16">
        <f t="shared" si="19"/>
        <v>46</v>
      </c>
      <c r="AD27" s="16">
        <f t="shared" si="19"/>
        <v>0</v>
      </c>
      <c r="AE27" s="32">
        <f t="shared" si="19"/>
        <v>180</v>
      </c>
      <c r="AF27" s="32">
        <f t="shared" si="19"/>
        <v>226</v>
      </c>
    </row>
    <row r="28" spans="2:32" ht="23.1" customHeight="1" x14ac:dyDescent="0.25">
      <c r="B28" s="23" t="s">
        <v>55</v>
      </c>
      <c r="C28" s="51">
        <v>0</v>
      </c>
      <c r="D28" s="50">
        <v>2</v>
      </c>
      <c r="E28" s="51">
        <v>3</v>
      </c>
      <c r="F28" s="51">
        <v>3</v>
      </c>
      <c r="G28" s="51">
        <v>0</v>
      </c>
      <c r="H28" s="51">
        <v>0</v>
      </c>
      <c r="I28" s="51">
        <v>1</v>
      </c>
      <c r="J28" s="51">
        <v>0</v>
      </c>
      <c r="K28" s="51">
        <v>0</v>
      </c>
      <c r="L28" s="50">
        <v>0</v>
      </c>
      <c r="M28" s="51">
        <v>3</v>
      </c>
      <c r="N28" s="50">
        <v>0</v>
      </c>
      <c r="O28" s="15">
        <f t="shared" si="0"/>
        <v>9</v>
      </c>
      <c r="P28" s="15">
        <f t="shared" si="1"/>
        <v>12</v>
      </c>
      <c r="R28" s="5" t="s">
        <v>17</v>
      </c>
      <c r="S28" s="16">
        <f t="shared" ref="S28:AF28" si="20">SUM(S10:S21)</f>
        <v>75</v>
      </c>
      <c r="T28" s="16">
        <f t="shared" si="20"/>
        <v>127</v>
      </c>
      <c r="U28" s="16">
        <f t="shared" si="20"/>
        <v>153</v>
      </c>
      <c r="V28" s="16">
        <f t="shared" si="20"/>
        <v>80</v>
      </c>
      <c r="W28" s="16">
        <f t="shared" si="20"/>
        <v>2</v>
      </c>
      <c r="X28" s="16">
        <f t="shared" si="20"/>
        <v>37</v>
      </c>
      <c r="Y28" s="16">
        <f t="shared" si="20"/>
        <v>69</v>
      </c>
      <c r="Z28" s="16">
        <f t="shared" si="20"/>
        <v>6</v>
      </c>
      <c r="AA28" s="16">
        <f t="shared" si="20"/>
        <v>9</v>
      </c>
      <c r="AB28" s="16">
        <f t="shared" si="20"/>
        <v>16</v>
      </c>
      <c r="AC28" s="16">
        <f t="shared" si="20"/>
        <v>155</v>
      </c>
      <c r="AD28" s="16">
        <f t="shared" si="20"/>
        <v>0</v>
      </c>
      <c r="AE28" s="32">
        <f t="shared" si="20"/>
        <v>574</v>
      </c>
      <c r="AF28" s="32">
        <f t="shared" si="20"/>
        <v>729</v>
      </c>
    </row>
    <row r="29" spans="2:32" ht="23.1" customHeight="1" x14ac:dyDescent="0.25">
      <c r="B29" s="23" t="s">
        <v>56</v>
      </c>
      <c r="C29" s="51">
        <v>2</v>
      </c>
      <c r="D29" s="50">
        <v>2</v>
      </c>
      <c r="E29" s="51">
        <v>3</v>
      </c>
      <c r="F29" s="51">
        <v>2</v>
      </c>
      <c r="G29" s="51">
        <v>0</v>
      </c>
      <c r="H29" s="51">
        <v>1</v>
      </c>
      <c r="I29" s="51">
        <v>1</v>
      </c>
      <c r="J29" s="51">
        <v>0</v>
      </c>
      <c r="K29" s="51">
        <v>0</v>
      </c>
      <c r="L29" s="50">
        <v>1</v>
      </c>
      <c r="M29" s="51">
        <v>2</v>
      </c>
      <c r="N29" s="50">
        <v>0</v>
      </c>
      <c r="O29" s="15">
        <f t="shared" si="0"/>
        <v>12</v>
      </c>
      <c r="P29" s="15">
        <f t="shared" si="1"/>
        <v>14</v>
      </c>
      <c r="R29"/>
      <c r="S29" s="20"/>
      <c r="T29" s="19"/>
    </row>
    <row r="30" spans="2:32" ht="23.1" customHeight="1" x14ac:dyDescent="0.25">
      <c r="B30" s="23" t="s">
        <v>57</v>
      </c>
      <c r="C30" s="51">
        <v>2</v>
      </c>
      <c r="D30" s="50">
        <v>1</v>
      </c>
      <c r="E30" s="51">
        <v>2</v>
      </c>
      <c r="F30" s="51">
        <v>6</v>
      </c>
      <c r="G30" s="51">
        <v>0</v>
      </c>
      <c r="H30" s="51">
        <v>1</v>
      </c>
      <c r="I30" s="51">
        <v>1</v>
      </c>
      <c r="J30" s="51">
        <v>0</v>
      </c>
      <c r="K30" s="51">
        <v>1</v>
      </c>
      <c r="L30" s="50">
        <v>0</v>
      </c>
      <c r="M30" s="51">
        <v>1</v>
      </c>
      <c r="N30" s="50">
        <v>0</v>
      </c>
      <c r="O30" s="15">
        <f t="shared" si="0"/>
        <v>14</v>
      </c>
      <c r="P30" s="15">
        <f t="shared" si="1"/>
        <v>15</v>
      </c>
    </row>
    <row r="31" spans="2:32" ht="23.1" customHeight="1" x14ac:dyDescent="0.25">
      <c r="B31" s="24" t="s">
        <v>58</v>
      </c>
      <c r="C31" s="51">
        <v>2</v>
      </c>
      <c r="D31" s="50">
        <v>4</v>
      </c>
      <c r="E31" s="51">
        <v>5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0">
        <v>0</v>
      </c>
      <c r="M31" s="51">
        <v>2</v>
      </c>
      <c r="N31" s="50">
        <v>0</v>
      </c>
      <c r="O31" s="15">
        <f t="shared" si="0"/>
        <v>11</v>
      </c>
      <c r="P31" s="15">
        <f t="shared" si="1"/>
        <v>13</v>
      </c>
    </row>
    <row r="32" spans="2:32" ht="23.1" customHeight="1" x14ac:dyDescent="0.25">
      <c r="B32" s="24" t="s">
        <v>59</v>
      </c>
      <c r="C32" s="51">
        <v>0</v>
      </c>
      <c r="D32" s="50">
        <v>0</v>
      </c>
      <c r="E32" s="51">
        <v>1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0">
        <v>0</v>
      </c>
      <c r="M32" s="51">
        <v>1</v>
      </c>
      <c r="N32" s="50">
        <v>0</v>
      </c>
      <c r="O32" s="15">
        <f t="shared" si="0"/>
        <v>1</v>
      </c>
      <c r="P32" s="15">
        <f t="shared" si="1"/>
        <v>2</v>
      </c>
    </row>
    <row r="33" spans="2:20" ht="23.1" customHeight="1" x14ac:dyDescent="0.25">
      <c r="B33" s="23" t="s">
        <v>60</v>
      </c>
      <c r="C33" s="51">
        <v>3</v>
      </c>
      <c r="D33" s="50">
        <v>2</v>
      </c>
      <c r="E33" s="51">
        <v>3</v>
      </c>
      <c r="F33" s="51">
        <v>1</v>
      </c>
      <c r="G33" s="51">
        <v>0</v>
      </c>
      <c r="H33" s="51">
        <v>0</v>
      </c>
      <c r="I33" s="51">
        <v>2</v>
      </c>
      <c r="J33" s="51">
        <v>0</v>
      </c>
      <c r="K33" s="51">
        <v>0</v>
      </c>
      <c r="L33" s="50">
        <v>0</v>
      </c>
      <c r="M33" s="51">
        <v>1</v>
      </c>
      <c r="N33" s="50">
        <v>0</v>
      </c>
      <c r="O33" s="15">
        <f t="shared" si="0"/>
        <v>11</v>
      </c>
      <c r="P33" s="15">
        <f t="shared" si="1"/>
        <v>12</v>
      </c>
    </row>
    <row r="34" spans="2:20" ht="23.1" customHeight="1" x14ac:dyDescent="0.25">
      <c r="B34" s="24" t="s">
        <v>61</v>
      </c>
      <c r="C34" s="51">
        <v>0</v>
      </c>
      <c r="D34" s="50">
        <v>4</v>
      </c>
      <c r="E34" s="51">
        <v>5</v>
      </c>
      <c r="F34" s="51">
        <v>1</v>
      </c>
      <c r="G34" s="51">
        <v>0</v>
      </c>
      <c r="H34" s="51">
        <v>1</v>
      </c>
      <c r="I34" s="51">
        <v>2</v>
      </c>
      <c r="J34" s="51">
        <v>0</v>
      </c>
      <c r="K34" s="51">
        <v>0</v>
      </c>
      <c r="L34" s="50">
        <v>0</v>
      </c>
      <c r="M34" s="51">
        <v>4</v>
      </c>
      <c r="N34" s="50">
        <v>0</v>
      </c>
      <c r="O34" s="15">
        <f t="shared" si="0"/>
        <v>13</v>
      </c>
      <c r="P34" s="15">
        <f t="shared" si="1"/>
        <v>17</v>
      </c>
    </row>
    <row r="35" spans="2:20" ht="23.1" customHeight="1" x14ac:dyDescent="0.25">
      <c r="B35" s="24" t="s">
        <v>62</v>
      </c>
      <c r="C35" s="51">
        <v>3</v>
      </c>
      <c r="D35" s="50">
        <v>4</v>
      </c>
      <c r="E35" s="51">
        <v>4</v>
      </c>
      <c r="F35" s="51">
        <v>7</v>
      </c>
      <c r="G35" s="51">
        <v>0</v>
      </c>
      <c r="H35" s="51">
        <v>3</v>
      </c>
      <c r="I35" s="51">
        <v>3</v>
      </c>
      <c r="J35" s="51">
        <v>0</v>
      </c>
      <c r="K35" s="51">
        <v>0</v>
      </c>
      <c r="L35" s="50">
        <v>0</v>
      </c>
      <c r="M35" s="51">
        <v>6</v>
      </c>
      <c r="N35" s="50">
        <v>0</v>
      </c>
      <c r="O35" s="15">
        <f t="shared" si="0"/>
        <v>24</v>
      </c>
      <c r="P35" s="15">
        <f t="shared" si="1"/>
        <v>30</v>
      </c>
    </row>
    <row r="36" spans="2:20" ht="23.1" customHeight="1" x14ac:dyDescent="0.25">
      <c r="B36" s="24" t="s">
        <v>63</v>
      </c>
      <c r="C36" s="51">
        <v>1</v>
      </c>
      <c r="D36" s="50">
        <v>5</v>
      </c>
      <c r="E36" s="51">
        <v>5</v>
      </c>
      <c r="F36" s="51">
        <v>0</v>
      </c>
      <c r="G36" s="51">
        <v>0</v>
      </c>
      <c r="H36" s="51">
        <v>2</v>
      </c>
      <c r="I36" s="51">
        <v>2</v>
      </c>
      <c r="J36" s="51">
        <v>0</v>
      </c>
      <c r="K36" s="51">
        <v>0</v>
      </c>
      <c r="L36" s="50">
        <v>0</v>
      </c>
      <c r="M36" s="51">
        <v>3</v>
      </c>
      <c r="N36" s="50">
        <v>0</v>
      </c>
      <c r="O36" s="15">
        <f t="shared" si="0"/>
        <v>15</v>
      </c>
      <c r="P36" s="15">
        <f t="shared" si="1"/>
        <v>18</v>
      </c>
    </row>
    <row r="37" spans="2:20" ht="23.1" customHeight="1" x14ac:dyDescent="0.25">
      <c r="B37" s="23" t="s">
        <v>64</v>
      </c>
      <c r="C37" s="51">
        <v>1</v>
      </c>
      <c r="D37" s="50">
        <v>4</v>
      </c>
      <c r="E37" s="51">
        <v>4</v>
      </c>
      <c r="F37" s="51">
        <v>4</v>
      </c>
      <c r="G37" s="51">
        <v>0</v>
      </c>
      <c r="H37" s="51">
        <v>0</v>
      </c>
      <c r="I37" s="51">
        <v>1</v>
      </c>
      <c r="J37" s="51">
        <v>0</v>
      </c>
      <c r="K37" s="51">
        <v>0</v>
      </c>
      <c r="L37" s="50">
        <v>0</v>
      </c>
      <c r="M37" s="51">
        <v>7</v>
      </c>
      <c r="N37" s="50">
        <v>0</v>
      </c>
      <c r="O37" s="15">
        <f t="shared" si="0"/>
        <v>14</v>
      </c>
      <c r="P37" s="15">
        <f t="shared" si="1"/>
        <v>21</v>
      </c>
    </row>
    <row r="38" spans="2:20" ht="23.1" customHeight="1" x14ac:dyDescent="0.25">
      <c r="B38" s="24" t="s">
        <v>65</v>
      </c>
      <c r="C38" s="51">
        <v>1</v>
      </c>
      <c r="D38" s="50">
        <v>3</v>
      </c>
      <c r="E38" s="51">
        <v>4</v>
      </c>
      <c r="F38" s="51">
        <v>2</v>
      </c>
      <c r="G38" s="51">
        <v>0</v>
      </c>
      <c r="H38" s="51">
        <v>1</v>
      </c>
      <c r="I38" s="51">
        <v>0</v>
      </c>
      <c r="J38" s="51">
        <v>0</v>
      </c>
      <c r="K38" s="51">
        <v>0</v>
      </c>
      <c r="L38" s="50">
        <v>0</v>
      </c>
      <c r="M38" s="51">
        <v>3</v>
      </c>
      <c r="N38" s="50">
        <v>0</v>
      </c>
      <c r="O38" s="15">
        <f t="shared" si="0"/>
        <v>11</v>
      </c>
      <c r="P38" s="15">
        <f t="shared" si="1"/>
        <v>14</v>
      </c>
    </row>
    <row r="39" spans="2:20" ht="23.1" customHeight="1" x14ac:dyDescent="0.25">
      <c r="B39" s="24" t="s">
        <v>66</v>
      </c>
      <c r="C39" s="51">
        <v>1</v>
      </c>
      <c r="D39" s="50">
        <v>3</v>
      </c>
      <c r="E39" s="51">
        <v>3</v>
      </c>
      <c r="F39" s="51">
        <v>0</v>
      </c>
      <c r="G39" s="51">
        <v>0</v>
      </c>
      <c r="H39" s="51">
        <v>1</v>
      </c>
      <c r="I39" s="51">
        <v>1</v>
      </c>
      <c r="J39" s="51">
        <v>0</v>
      </c>
      <c r="K39" s="51">
        <v>2</v>
      </c>
      <c r="L39" s="50">
        <v>1</v>
      </c>
      <c r="M39" s="51">
        <v>3</v>
      </c>
      <c r="N39" s="50">
        <v>0</v>
      </c>
      <c r="O39" s="15">
        <f t="shared" si="0"/>
        <v>12</v>
      </c>
      <c r="P39" s="15">
        <f t="shared" si="1"/>
        <v>15</v>
      </c>
    </row>
    <row r="40" spans="2:20" ht="23.1" customHeight="1" x14ac:dyDescent="0.25">
      <c r="B40" s="24" t="s">
        <v>67</v>
      </c>
      <c r="C40" s="51">
        <v>0</v>
      </c>
      <c r="D40" s="50">
        <v>4</v>
      </c>
      <c r="E40" s="51">
        <v>4</v>
      </c>
      <c r="F40" s="51">
        <v>3</v>
      </c>
      <c r="G40" s="51">
        <v>0</v>
      </c>
      <c r="H40" s="51">
        <v>1</v>
      </c>
      <c r="I40" s="51">
        <v>0</v>
      </c>
      <c r="J40" s="51">
        <v>0</v>
      </c>
      <c r="K40" s="51">
        <v>0</v>
      </c>
      <c r="L40" s="50">
        <v>0</v>
      </c>
      <c r="M40" s="51">
        <v>5</v>
      </c>
      <c r="N40" s="50">
        <v>0</v>
      </c>
      <c r="O40" s="15">
        <f t="shared" si="0"/>
        <v>12</v>
      </c>
      <c r="P40" s="15">
        <f t="shared" si="1"/>
        <v>17</v>
      </c>
    </row>
    <row r="41" spans="2:20" ht="23.1" customHeight="1" x14ac:dyDescent="0.25">
      <c r="B41" s="23" t="s">
        <v>68</v>
      </c>
      <c r="C41" s="51">
        <v>0</v>
      </c>
      <c r="D41" s="50">
        <v>4</v>
      </c>
      <c r="E41" s="51">
        <v>4</v>
      </c>
      <c r="F41" s="51">
        <v>3</v>
      </c>
      <c r="G41" s="51">
        <v>0</v>
      </c>
      <c r="H41" s="51">
        <v>1</v>
      </c>
      <c r="I41" s="51">
        <v>1</v>
      </c>
      <c r="J41" s="51">
        <v>0</v>
      </c>
      <c r="K41" s="51">
        <v>0</v>
      </c>
      <c r="L41" s="50">
        <v>0</v>
      </c>
      <c r="M41" s="51">
        <v>3</v>
      </c>
      <c r="N41" s="50">
        <v>0</v>
      </c>
      <c r="O41" s="15">
        <f t="shared" si="0"/>
        <v>13</v>
      </c>
      <c r="P41" s="15">
        <f t="shared" si="1"/>
        <v>16</v>
      </c>
    </row>
    <row r="42" spans="2:20" ht="23.1" customHeight="1" x14ac:dyDescent="0.25">
      <c r="B42" s="24" t="s">
        <v>69</v>
      </c>
      <c r="C42" s="51">
        <v>3</v>
      </c>
      <c r="D42" s="50">
        <v>5</v>
      </c>
      <c r="E42" s="51">
        <v>5</v>
      </c>
      <c r="F42" s="51">
        <v>2</v>
      </c>
      <c r="G42" s="51">
        <v>0</v>
      </c>
      <c r="H42" s="51">
        <v>0</v>
      </c>
      <c r="I42" s="51">
        <v>3</v>
      </c>
      <c r="J42" s="51">
        <v>0</v>
      </c>
      <c r="K42" s="51">
        <v>0</v>
      </c>
      <c r="L42" s="50">
        <v>0</v>
      </c>
      <c r="M42" s="51">
        <v>6</v>
      </c>
      <c r="N42" s="50">
        <v>0</v>
      </c>
      <c r="O42" s="15">
        <f t="shared" si="0"/>
        <v>18</v>
      </c>
      <c r="P42" s="15">
        <f t="shared" si="1"/>
        <v>24</v>
      </c>
    </row>
    <row r="43" spans="2:20" ht="23.1" customHeight="1" x14ac:dyDescent="0.25">
      <c r="B43" s="23" t="s">
        <v>70</v>
      </c>
      <c r="C43" s="51">
        <v>0</v>
      </c>
      <c r="D43" s="50">
        <v>4</v>
      </c>
      <c r="E43" s="51">
        <v>5</v>
      </c>
      <c r="F43" s="51">
        <v>3</v>
      </c>
      <c r="G43" s="51">
        <v>0</v>
      </c>
      <c r="H43" s="51">
        <v>2</v>
      </c>
      <c r="I43" s="51">
        <v>1</v>
      </c>
      <c r="J43" s="51">
        <v>1</v>
      </c>
      <c r="K43" s="51">
        <v>0</v>
      </c>
      <c r="L43" s="50">
        <v>1</v>
      </c>
      <c r="M43" s="51">
        <v>2</v>
      </c>
      <c r="N43" s="50">
        <v>0</v>
      </c>
      <c r="O43" s="15">
        <f t="shared" si="0"/>
        <v>17</v>
      </c>
      <c r="P43" s="15">
        <f t="shared" si="1"/>
        <v>19</v>
      </c>
    </row>
    <row r="44" spans="2:20" ht="23.1" customHeight="1" x14ac:dyDescent="0.25">
      <c r="B44" s="25" t="s">
        <v>71</v>
      </c>
      <c r="C44" s="51">
        <v>3</v>
      </c>
      <c r="D44" s="50">
        <v>4</v>
      </c>
      <c r="E44" s="51">
        <v>4</v>
      </c>
      <c r="F44" s="51">
        <v>1</v>
      </c>
      <c r="G44" s="51">
        <v>0</v>
      </c>
      <c r="H44" s="51">
        <v>0</v>
      </c>
      <c r="I44" s="51">
        <v>1</v>
      </c>
      <c r="J44" s="51">
        <v>1</v>
      </c>
      <c r="K44" s="51">
        <v>0</v>
      </c>
      <c r="L44" s="50">
        <v>0</v>
      </c>
      <c r="M44" s="51">
        <v>5</v>
      </c>
      <c r="N44" s="50">
        <v>0</v>
      </c>
      <c r="O44" s="15">
        <f t="shared" si="0"/>
        <v>14</v>
      </c>
      <c r="P44" s="15">
        <f t="shared" si="1"/>
        <v>19</v>
      </c>
    </row>
    <row r="45" spans="2:20" ht="23.1" customHeight="1" x14ac:dyDescent="0.25">
      <c r="B45" s="23" t="s">
        <v>72</v>
      </c>
      <c r="C45" s="51">
        <v>2</v>
      </c>
      <c r="D45" s="50">
        <v>3</v>
      </c>
      <c r="E45" s="51">
        <v>3</v>
      </c>
      <c r="F45" s="51">
        <v>3</v>
      </c>
      <c r="G45" s="51">
        <v>0</v>
      </c>
      <c r="H45" s="51">
        <v>2</v>
      </c>
      <c r="I45" s="51">
        <v>1</v>
      </c>
      <c r="J45" s="51">
        <v>1</v>
      </c>
      <c r="K45" s="51">
        <v>0</v>
      </c>
      <c r="L45" s="50">
        <v>1</v>
      </c>
      <c r="M45" s="51">
        <v>10</v>
      </c>
      <c r="N45" s="50">
        <v>0</v>
      </c>
      <c r="O45" s="15">
        <f t="shared" si="0"/>
        <v>16</v>
      </c>
      <c r="P45" s="15">
        <f t="shared" si="1"/>
        <v>26</v>
      </c>
    </row>
    <row r="46" spans="2:20" ht="23.1" customHeight="1" x14ac:dyDescent="0.25">
      <c r="B46" s="24" t="s">
        <v>73</v>
      </c>
      <c r="C46" s="51">
        <v>1</v>
      </c>
      <c r="D46" s="50">
        <v>2</v>
      </c>
      <c r="E46" s="51">
        <v>3</v>
      </c>
      <c r="F46" s="51">
        <v>0</v>
      </c>
      <c r="G46" s="51">
        <v>0</v>
      </c>
      <c r="H46" s="51">
        <v>3</v>
      </c>
      <c r="I46" s="51">
        <v>2</v>
      </c>
      <c r="J46" s="51">
        <v>0</v>
      </c>
      <c r="K46" s="51">
        <v>1</v>
      </c>
      <c r="L46" s="50">
        <v>0</v>
      </c>
      <c r="M46" s="51">
        <v>2</v>
      </c>
      <c r="N46" s="50">
        <v>0</v>
      </c>
      <c r="O46" s="15">
        <f t="shared" si="0"/>
        <v>12</v>
      </c>
      <c r="P46" s="15">
        <f t="shared" si="1"/>
        <v>14</v>
      </c>
      <c r="R46" s="8"/>
      <c r="T46"/>
    </row>
    <row r="47" spans="2:20" ht="23.1" customHeight="1" x14ac:dyDescent="0.25">
      <c r="B47" s="24" t="s">
        <v>74</v>
      </c>
      <c r="C47" s="51">
        <v>3</v>
      </c>
      <c r="D47" s="50">
        <v>4</v>
      </c>
      <c r="E47" s="51">
        <v>5</v>
      </c>
      <c r="F47" s="51">
        <v>4</v>
      </c>
      <c r="G47" s="51">
        <v>0</v>
      </c>
      <c r="H47" s="51">
        <v>2</v>
      </c>
      <c r="I47" s="51">
        <v>3</v>
      </c>
      <c r="J47" s="51">
        <v>0</v>
      </c>
      <c r="K47" s="51">
        <v>2</v>
      </c>
      <c r="L47" s="50">
        <v>0</v>
      </c>
      <c r="M47" s="51">
        <v>1</v>
      </c>
      <c r="N47" s="50">
        <v>0</v>
      </c>
      <c r="O47" s="15">
        <f t="shared" si="0"/>
        <v>23</v>
      </c>
      <c r="P47" s="15">
        <f t="shared" si="1"/>
        <v>24</v>
      </c>
      <c r="R47" s="8"/>
      <c r="T47"/>
    </row>
    <row r="48" spans="2:20" ht="23.1" customHeight="1" x14ac:dyDescent="0.25">
      <c r="B48" s="24" t="s">
        <v>75</v>
      </c>
      <c r="C48" s="51">
        <v>5</v>
      </c>
      <c r="D48" s="50">
        <v>4</v>
      </c>
      <c r="E48" s="51">
        <v>5</v>
      </c>
      <c r="F48" s="51">
        <v>4</v>
      </c>
      <c r="G48" s="51">
        <v>0</v>
      </c>
      <c r="H48" s="51">
        <v>2</v>
      </c>
      <c r="I48" s="51">
        <v>1</v>
      </c>
      <c r="J48" s="51">
        <v>0</v>
      </c>
      <c r="K48" s="51">
        <v>0</v>
      </c>
      <c r="L48" s="50">
        <v>1</v>
      </c>
      <c r="M48" s="51">
        <v>5</v>
      </c>
      <c r="N48" s="50">
        <v>0</v>
      </c>
      <c r="O48" s="15">
        <f t="shared" si="0"/>
        <v>22</v>
      </c>
      <c r="P48" s="15">
        <f t="shared" si="1"/>
        <v>27</v>
      </c>
      <c r="R48" s="8"/>
      <c r="T48"/>
    </row>
    <row r="49" spans="2:20" ht="23.1" customHeight="1" x14ac:dyDescent="0.25">
      <c r="B49" s="23" t="s">
        <v>76</v>
      </c>
      <c r="C49" s="51">
        <v>4</v>
      </c>
      <c r="D49" s="50">
        <v>3</v>
      </c>
      <c r="E49" s="51">
        <v>3</v>
      </c>
      <c r="F49" s="51">
        <v>1</v>
      </c>
      <c r="G49" s="51">
        <v>1</v>
      </c>
      <c r="H49" s="51">
        <v>1</v>
      </c>
      <c r="I49" s="51">
        <v>3</v>
      </c>
      <c r="J49" s="51">
        <v>0</v>
      </c>
      <c r="K49" s="51">
        <v>0</v>
      </c>
      <c r="L49" s="50">
        <v>0</v>
      </c>
      <c r="M49" s="51">
        <v>6</v>
      </c>
      <c r="N49" s="50">
        <v>0</v>
      </c>
      <c r="O49" s="15">
        <f t="shared" si="0"/>
        <v>16</v>
      </c>
      <c r="P49" s="15">
        <f t="shared" si="1"/>
        <v>22</v>
      </c>
      <c r="R49" s="8"/>
      <c r="T49"/>
    </row>
    <row r="50" spans="2:20" ht="23.1" customHeight="1" x14ac:dyDescent="0.25">
      <c r="B50" s="24" t="s">
        <v>77</v>
      </c>
      <c r="C50" s="51">
        <v>1</v>
      </c>
      <c r="D50" s="50">
        <v>3</v>
      </c>
      <c r="E50" s="51">
        <v>3</v>
      </c>
      <c r="F50" s="51">
        <v>2</v>
      </c>
      <c r="G50" s="51">
        <v>0</v>
      </c>
      <c r="H50" s="51">
        <v>3</v>
      </c>
      <c r="I50" s="51">
        <v>2</v>
      </c>
      <c r="J50" s="51">
        <v>0</v>
      </c>
      <c r="K50" s="51">
        <v>0</v>
      </c>
      <c r="L50" s="50">
        <v>0</v>
      </c>
      <c r="M50" s="51">
        <v>3</v>
      </c>
      <c r="N50" s="50">
        <v>0</v>
      </c>
      <c r="O50" s="15">
        <f t="shared" si="0"/>
        <v>14</v>
      </c>
      <c r="P50" s="15">
        <f t="shared" si="1"/>
        <v>17</v>
      </c>
      <c r="R50" s="8"/>
      <c r="T50"/>
    </row>
    <row r="51" spans="2:20" ht="23.1" customHeight="1" x14ac:dyDescent="0.25">
      <c r="B51" s="24" t="s">
        <v>78</v>
      </c>
      <c r="C51" s="51">
        <v>1</v>
      </c>
      <c r="D51" s="50">
        <v>1</v>
      </c>
      <c r="E51" s="51">
        <v>2</v>
      </c>
      <c r="F51" s="51">
        <v>1</v>
      </c>
      <c r="G51" s="51">
        <v>0</v>
      </c>
      <c r="H51" s="51">
        <v>1</v>
      </c>
      <c r="I51" s="51">
        <v>1</v>
      </c>
      <c r="J51" s="51">
        <v>0</v>
      </c>
      <c r="K51" s="51">
        <v>0</v>
      </c>
      <c r="L51" s="50">
        <v>2</v>
      </c>
      <c r="M51" s="51">
        <v>5</v>
      </c>
      <c r="N51" s="50">
        <v>0</v>
      </c>
      <c r="O51" s="15">
        <f t="shared" si="0"/>
        <v>9</v>
      </c>
      <c r="P51" s="15">
        <f t="shared" si="1"/>
        <v>14</v>
      </c>
      <c r="R51" s="8"/>
      <c r="T51"/>
    </row>
    <row r="52" spans="2:20" ht="23.1" customHeight="1" x14ac:dyDescent="0.25">
      <c r="B52" s="24" t="s">
        <v>79</v>
      </c>
      <c r="C52" s="51">
        <v>1</v>
      </c>
      <c r="D52" s="50">
        <v>4</v>
      </c>
      <c r="E52" s="51">
        <v>4</v>
      </c>
      <c r="F52" s="51">
        <v>2</v>
      </c>
      <c r="G52" s="51">
        <v>0</v>
      </c>
      <c r="H52" s="51">
        <v>0</v>
      </c>
      <c r="I52" s="51">
        <v>1</v>
      </c>
      <c r="J52" s="51">
        <v>0</v>
      </c>
      <c r="K52" s="51">
        <v>0</v>
      </c>
      <c r="L52" s="50">
        <v>0</v>
      </c>
      <c r="M52" s="51">
        <v>5</v>
      </c>
      <c r="N52" s="50">
        <v>0</v>
      </c>
      <c r="O52" s="15">
        <f t="shared" si="0"/>
        <v>12</v>
      </c>
      <c r="P52" s="15">
        <f t="shared" si="1"/>
        <v>17</v>
      </c>
      <c r="R52" s="8"/>
      <c r="T52"/>
    </row>
    <row r="53" spans="2:20" ht="23.1" customHeight="1" x14ac:dyDescent="0.25">
      <c r="B53" s="23" t="s">
        <v>80</v>
      </c>
      <c r="C53" s="51">
        <v>1</v>
      </c>
      <c r="D53" s="50">
        <v>1</v>
      </c>
      <c r="E53" s="51">
        <v>1</v>
      </c>
      <c r="F53" s="51">
        <v>1</v>
      </c>
      <c r="G53" s="51">
        <v>0</v>
      </c>
      <c r="H53" s="51">
        <v>0</v>
      </c>
      <c r="I53" s="51">
        <v>2</v>
      </c>
      <c r="J53" s="51">
        <v>2</v>
      </c>
      <c r="K53" s="51">
        <v>0</v>
      </c>
      <c r="L53" s="50">
        <v>0</v>
      </c>
      <c r="M53" s="51">
        <v>1</v>
      </c>
      <c r="N53" s="50">
        <v>0</v>
      </c>
      <c r="O53" s="15">
        <f t="shared" si="0"/>
        <v>8</v>
      </c>
      <c r="P53" s="15">
        <f t="shared" si="1"/>
        <v>9</v>
      </c>
      <c r="R53" s="8"/>
      <c r="T53"/>
    </row>
    <row r="54" spans="2:20" ht="23.1" customHeight="1" x14ac:dyDescent="0.25">
      <c r="B54" s="23" t="s">
        <v>81</v>
      </c>
      <c r="C54" s="51">
        <v>2</v>
      </c>
      <c r="D54" s="50">
        <v>4</v>
      </c>
      <c r="E54" s="51">
        <v>5</v>
      </c>
      <c r="F54" s="51">
        <v>1</v>
      </c>
      <c r="G54" s="51">
        <v>0</v>
      </c>
      <c r="H54" s="51">
        <v>2</v>
      </c>
      <c r="I54" s="51">
        <v>1</v>
      </c>
      <c r="J54" s="51">
        <v>0</v>
      </c>
      <c r="K54" s="51">
        <v>0</v>
      </c>
      <c r="L54" s="50">
        <v>1</v>
      </c>
      <c r="M54" s="51">
        <v>4</v>
      </c>
      <c r="N54" s="50">
        <v>0</v>
      </c>
      <c r="O54" s="15">
        <f t="shared" si="0"/>
        <v>16</v>
      </c>
      <c r="P54" s="15">
        <f t="shared" si="1"/>
        <v>20</v>
      </c>
      <c r="R54" s="8"/>
      <c r="T54"/>
    </row>
    <row r="55" spans="2:20" ht="23.1" customHeight="1" x14ac:dyDescent="0.25">
      <c r="B55" s="23" t="s">
        <v>82</v>
      </c>
      <c r="C55" s="51">
        <v>4</v>
      </c>
      <c r="D55" s="50">
        <v>3</v>
      </c>
      <c r="E55" s="51">
        <v>3</v>
      </c>
      <c r="F55" s="51">
        <v>1</v>
      </c>
      <c r="G55" s="51">
        <v>1</v>
      </c>
      <c r="H55" s="51">
        <v>2</v>
      </c>
      <c r="I55" s="51">
        <v>2</v>
      </c>
      <c r="J55" s="51">
        <v>0</v>
      </c>
      <c r="K55" s="51">
        <v>1</v>
      </c>
      <c r="L55" s="50">
        <v>0</v>
      </c>
      <c r="M55" s="51">
        <v>7</v>
      </c>
      <c r="N55" s="50">
        <v>0</v>
      </c>
      <c r="O55" s="15">
        <f t="shared" si="0"/>
        <v>17</v>
      </c>
      <c r="P55" s="15">
        <f t="shared" si="1"/>
        <v>24</v>
      </c>
      <c r="R55" s="8"/>
      <c r="T55"/>
    </row>
    <row r="56" spans="2:20" ht="23.1" customHeight="1" x14ac:dyDescent="0.25">
      <c r="B56" s="23" t="s">
        <v>83</v>
      </c>
      <c r="C56" s="51">
        <v>3</v>
      </c>
      <c r="D56" s="50">
        <v>4</v>
      </c>
      <c r="E56" s="51">
        <v>5</v>
      </c>
      <c r="F56" s="51">
        <v>0</v>
      </c>
      <c r="G56" s="51">
        <v>0</v>
      </c>
      <c r="H56" s="51">
        <v>0</v>
      </c>
      <c r="I56" s="51">
        <v>3</v>
      </c>
      <c r="J56" s="51">
        <v>0</v>
      </c>
      <c r="K56" s="51">
        <v>0</v>
      </c>
      <c r="L56" s="50">
        <v>0</v>
      </c>
      <c r="M56" s="51">
        <v>2</v>
      </c>
      <c r="N56" s="50">
        <v>0</v>
      </c>
      <c r="O56" s="15">
        <f t="shared" si="0"/>
        <v>15</v>
      </c>
      <c r="P56" s="15">
        <f t="shared" si="1"/>
        <v>17</v>
      </c>
      <c r="R56" s="8"/>
      <c r="T56"/>
    </row>
    <row r="57" spans="2:20" ht="23.1" customHeight="1" x14ac:dyDescent="0.25">
      <c r="B57" s="23" t="s">
        <v>84</v>
      </c>
      <c r="C57" s="51">
        <v>3</v>
      </c>
      <c r="D57" s="50">
        <v>3</v>
      </c>
      <c r="E57" s="51">
        <v>3</v>
      </c>
      <c r="F57" s="51">
        <v>2</v>
      </c>
      <c r="G57" s="51">
        <v>0</v>
      </c>
      <c r="H57" s="51">
        <v>1</v>
      </c>
      <c r="I57" s="51">
        <v>3</v>
      </c>
      <c r="J57" s="51">
        <v>0</v>
      </c>
      <c r="K57" s="51">
        <v>1</v>
      </c>
      <c r="L57" s="50">
        <v>0</v>
      </c>
      <c r="M57" s="51">
        <v>5</v>
      </c>
      <c r="N57" s="50">
        <v>0</v>
      </c>
      <c r="O57" s="15">
        <f t="shared" si="0"/>
        <v>16</v>
      </c>
      <c r="P57" s="15">
        <f t="shared" si="1"/>
        <v>21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75</v>
      </c>
      <c r="D58" s="16">
        <f t="shared" si="21"/>
        <v>127</v>
      </c>
      <c r="E58" s="16">
        <f t="shared" si="21"/>
        <v>153</v>
      </c>
      <c r="F58" s="16">
        <f t="shared" si="21"/>
        <v>80</v>
      </c>
      <c r="G58" s="16">
        <f t="shared" si="21"/>
        <v>2</v>
      </c>
      <c r="H58" s="16">
        <f t="shared" si="21"/>
        <v>37</v>
      </c>
      <c r="I58" s="16">
        <f t="shared" si="21"/>
        <v>69</v>
      </c>
      <c r="J58" s="16">
        <f t="shared" si="21"/>
        <v>6</v>
      </c>
      <c r="K58" s="16">
        <f t="shared" si="21"/>
        <v>9</v>
      </c>
      <c r="L58" s="16">
        <f t="shared" si="21"/>
        <v>16</v>
      </c>
      <c r="M58" s="16">
        <f t="shared" si="21"/>
        <v>155</v>
      </c>
      <c r="N58" s="16">
        <f t="shared" si="21"/>
        <v>0</v>
      </c>
      <c r="O58" s="16">
        <f t="shared" si="21"/>
        <v>574</v>
      </c>
      <c r="P58" s="16">
        <f t="shared" si="21"/>
        <v>729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0.102880658436214</v>
      </c>
      <c r="D59" s="43">
        <f t="shared" si="22"/>
        <v>0.17421124828532236</v>
      </c>
      <c r="E59" s="43">
        <f t="shared" si="22"/>
        <v>0.20987654320987653</v>
      </c>
      <c r="F59" s="43">
        <f t="shared" si="22"/>
        <v>0.10973936899862825</v>
      </c>
      <c r="G59" s="43">
        <f t="shared" si="22"/>
        <v>2.7434842249657062E-3</v>
      </c>
      <c r="H59" s="43">
        <f t="shared" si="22"/>
        <v>5.0754458161865572E-2</v>
      </c>
      <c r="I59" s="43">
        <f t="shared" si="22"/>
        <v>9.4650205761316872E-2</v>
      </c>
      <c r="J59" s="43">
        <f t="shared" si="22"/>
        <v>8.23045267489712E-3</v>
      </c>
      <c r="K59" s="43">
        <f t="shared" si="22"/>
        <v>1.2345679012345678E-2</v>
      </c>
      <c r="L59" s="43">
        <f t="shared" si="22"/>
        <v>2.194787379972565E-2</v>
      </c>
      <c r="M59" s="43">
        <f t="shared" si="22"/>
        <v>0.21262002743484226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0.13066202090592335</v>
      </c>
      <c r="D60" s="44">
        <f t="shared" ref="D60:N60" si="23">D58/$O$58</f>
        <v>0.22125435540069685</v>
      </c>
      <c r="E60" s="44">
        <f t="shared" si="23"/>
        <v>0.2665505226480836</v>
      </c>
      <c r="F60" s="44">
        <f t="shared" si="23"/>
        <v>0.13937282229965156</v>
      </c>
      <c r="G60" s="44">
        <f t="shared" si="23"/>
        <v>3.4843205574912892E-3</v>
      </c>
      <c r="H60" s="44">
        <f t="shared" si="23"/>
        <v>6.4459930313588848E-2</v>
      </c>
      <c r="I60" s="44">
        <f t="shared" si="23"/>
        <v>0.12020905923344948</v>
      </c>
      <c r="J60" s="44">
        <f t="shared" si="23"/>
        <v>1.0452961672473868E-2</v>
      </c>
      <c r="K60" s="44">
        <f t="shared" si="23"/>
        <v>1.5679442508710801E-2</v>
      </c>
      <c r="L60" s="44">
        <f t="shared" si="23"/>
        <v>2.7874564459930314E-2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zoomScale="60" workbookViewId="0">
      <selection activeCell="F10" sqref="F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'29.07 Karuma-Kigumba'!C3:G3</f>
        <v>MCC - C5 - STN113 - KIGUMBA-KARUMA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71" t="str">
        <f>'29.07 Karuma-Kigumba'!G5:H5</f>
        <v>nanda</v>
      </c>
      <c r="H5" s="72"/>
      <c r="I5" s="14"/>
      <c r="J5" s="2" t="s">
        <v>5</v>
      </c>
      <c r="K5" s="71" t="str">
        <f>'29.07 Karuma-Kigumba'!K5:L5</f>
        <v>xxx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'29.07 Karuma-Kigumba'!D6:E6</f>
        <v>karuma</v>
      </c>
      <c r="E6" s="72"/>
      <c r="F6" s="2" t="s">
        <v>2</v>
      </c>
      <c r="G6" s="71" t="str">
        <f>'29.07 Karuma-Kigumba'!G6:H6</f>
        <v>kigumba</v>
      </c>
      <c r="H6" s="72"/>
      <c r="J6" s="2" t="s">
        <v>21</v>
      </c>
      <c r="K6" s="71" t="str">
        <f>'29.07 Karuma-Kigumba'!K6:L6</f>
        <v>xxx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1">
        <v>1</v>
      </c>
      <c r="D10" s="50">
        <v>0</v>
      </c>
      <c r="E10" s="51">
        <v>1</v>
      </c>
      <c r="F10" s="51">
        <v>0</v>
      </c>
      <c r="G10" s="51">
        <v>0</v>
      </c>
      <c r="H10" s="51">
        <v>0</v>
      </c>
      <c r="I10" s="51">
        <v>2</v>
      </c>
      <c r="J10" s="51">
        <v>1</v>
      </c>
      <c r="K10" s="51">
        <v>0</v>
      </c>
      <c r="L10" s="50">
        <v>1</v>
      </c>
      <c r="M10" s="51">
        <v>2</v>
      </c>
      <c r="N10" s="51">
        <v>0</v>
      </c>
      <c r="O10" s="15">
        <f t="shared" ref="O10:O57" si="0">SUM(C10:L10,N10)</f>
        <v>6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6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2</v>
      </c>
      <c r="AA10" s="17">
        <f t="shared" si="2"/>
        <v>0</v>
      </c>
      <c r="AB10" s="17">
        <f t="shared" si="2"/>
        <v>4</v>
      </c>
      <c r="AC10" s="17">
        <f t="shared" si="2"/>
        <v>10</v>
      </c>
      <c r="AD10" s="17">
        <f t="shared" si="2"/>
        <v>0</v>
      </c>
      <c r="AE10" s="31">
        <f t="shared" si="2"/>
        <v>22</v>
      </c>
      <c r="AF10" s="31">
        <f t="shared" si="2"/>
        <v>32</v>
      </c>
    </row>
    <row r="11" spans="2:32" s="6" customFormat="1" ht="23.1" customHeight="1" x14ac:dyDescent="0.25">
      <c r="B11" s="23" t="s">
        <v>38</v>
      </c>
      <c r="C11" s="51">
        <v>0</v>
      </c>
      <c r="D11" s="50">
        <v>0</v>
      </c>
      <c r="E11" s="51">
        <v>3</v>
      </c>
      <c r="F11" s="51">
        <v>2</v>
      </c>
      <c r="G11" s="51">
        <v>0</v>
      </c>
      <c r="H11" s="51">
        <v>0</v>
      </c>
      <c r="I11" s="51">
        <v>1</v>
      </c>
      <c r="J11" s="51">
        <v>1</v>
      </c>
      <c r="K11" s="51">
        <v>0</v>
      </c>
      <c r="L11" s="50">
        <v>0</v>
      </c>
      <c r="M11" s="51">
        <v>2</v>
      </c>
      <c r="N11" s="51">
        <v>0</v>
      </c>
      <c r="O11" s="15">
        <f t="shared" si="0"/>
        <v>7</v>
      </c>
      <c r="P11" s="15">
        <f t="shared" si="1"/>
        <v>9</v>
      </c>
      <c r="R11" s="1" t="s">
        <v>7</v>
      </c>
      <c r="S11" s="17">
        <f t="shared" ref="S11:AF11" si="3">SUM(C14:C17)</f>
        <v>1</v>
      </c>
      <c r="T11" s="17">
        <f t="shared" si="3"/>
        <v>2</v>
      </c>
      <c r="U11" s="17">
        <f t="shared" si="3"/>
        <v>10</v>
      </c>
      <c r="V11" s="17">
        <f t="shared" si="3"/>
        <v>4</v>
      </c>
      <c r="W11" s="17">
        <f t="shared" si="3"/>
        <v>0</v>
      </c>
      <c r="X11" s="17">
        <f t="shared" si="3"/>
        <v>2</v>
      </c>
      <c r="Y11" s="17">
        <f t="shared" si="3"/>
        <v>5</v>
      </c>
      <c r="Z11" s="17">
        <f t="shared" si="3"/>
        <v>0</v>
      </c>
      <c r="AA11" s="17">
        <f t="shared" si="3"/>
        <v>1</v>
      </c>
      <c r="AB11" s="17">
        <f t="shared" si="3"/>
        <v>1</v>
      </c>
      <c r="AC11" s="17">
        <f t="shared" si="3"/>
        <v>15</v>
      </c>
      <c r="AD11" s="17">
        <f t="shared" si="3"/>
        <v>1</v>
      </c>
      <c r="AE11" s="31">
        <f t="shared" si="3"/>
        <v>27</v>
      </c>
      <c r="AF11" s="31">
        <f t="shared" si="3"/>
        <v>42</v>
      </c>
    </row>
    <row r="12" spans="2:32" ht="23.1" customHeight="1" x14ac:dyDescent="0.25">
      <c r="B12" s="23" t="s">
        <v>39</v>
      </c>
      <c r="C12" s="51">
        <v>2</v>
      </c>
      <c r="D12" s="50">
        <v>0</v>
      </c>
      <c r="E12" s="51">
        <v>2</v>
      </c>
      <c r="F12" s="51">
        <v>0</v>
      </c>
      <c r="G12" s="51">
        <v>0</v>
      </c>
      <c r="H12" s="51">
        <v>0</v>
      </c>
      <c r="I12" s="51">
        <v>1</v>
      </c>
      <c r="J12" s="51">
        <v>0</v>
      </c>
      <c r="K12" s="51">
        <v>0</v>
      </c>
      <c r="L12" s="50">
        <v>2</v>
      </c>
      <c r="M12" s="51">
        <v>5</v>
      </c>
      <c r="N12" s="51">
        <v>0</v>
      </c>
      <c r="O12" s="15">
        <f t="shared" si="0"/>
        <v>7</v>
      </c>
      <c r="P12" s="15">
        <f t="shared" si="1"/>
        <v>12</v>
      </c>
      <c r="R12" s="1" t="s">
        <v>8</v>
      </c>
      <c r="S12" s="17">
        <f t="shared" ref="S12:AF12" si="4">SUM(C18:C21)</f>
        <v>4</v>
      </c>
      <c r="T12" s="17">
        <f t="shared" si="4"/>
        <v>1</v>
      </c>
      <c r="U12" s="17">
        <f t="shared" si="4"/>
        <v>10</v>
      </c>
      <c r="V12" s="17">
        <f t="shared" si="4"/>
        <v>1</v>
      </c>
      <c r="W12" s="17">
        <f t="shared" si="4"/>
        <v>0</v>
      </c>
      <c r="X12" s="17">
        <f t="shared" si="4"/>
        <v>3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17</v>
      </c>
      <c r="AD12" s="17">
        <f t="shared" si="4"/>
        <v>0</v>
      </c>
      <c r="AE12" s="31">
        <f t="shared" si="4"/>
        <v>24</v>
      </c>
      <c r="AF12" s="31">
        <f t="shared" si="4"/>
        <v>41</v>
      </c>
    </row>
    <row r="13" spans="2:32" ht="23.1" customHeight="1" x14ac:dyDescent="0.25">
      <c r="B13" s="23" t="s">
        <v>40</v>
      </c>
      <c r="C13" s="51">
        <v>1</v>
      </c>
      <c r="D13" s="50">
        <v>0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0">
        <v>1</v>
      </c>
      <c r="M13" s="51">
        <v>1</v>
      </c>
      <c r="N13" s="51">
        <v>0</v>
      </c>
      <c r="O13" s="15">
        <f t="shared" si="0"/>
        <v>2</v>
      </c>
      <c r="P13" s="15">
        <f t="shared" si="1"/>
        <v>3</v>
      </c>
      <c r="R13" s="1" t="s">
        <v>9</v>
      </c>
      <c r="S13" s="17">
        <f t="shared" ref="S13:AF13" si="5">SUM(C22:C25)</f>
        <v>5</v>
      </c>
      <c r="T13" s="17">
        <f t="shared" si="5"/>
        <v>3</v>
      </c>
      <c r="U13" s="17">
        <f t="shared" si="5"/>
        <v>10</v>
      </c>
      <c r="V13" s="17">
        <f t="shared" si="5"/>
        <v>6</v>
      </c>
      <c r="W13" s="17">
        <f t="shared" si="5"/>
        <v>1</v>
      </c>
      <c r="X13" s="17">
        <f t="shared" si="5"/>
        <v>1</v>
      </c>
      <c r="Y13" s="17">
        <f t="shared" si="5"/>
        <v>4</v>
      </c>
      <c r="Z13" s="17">
        <f t="shared" si="5"/>
        <v>1</v>
      </c>
      <c r="AA13" s="17">
        <f t="shared" si="5"/>
        <v>0</v>
      </c>
      <c r="AB13" s="17">
        <f t="shared" si="5"/>
        <v>2</v>
      </c>
      <c r="AC13" s="17">
        <f t="shared" si="5"/>
        <v>14</v>
      </c>
      <c r="AD13" s="17">
        <f t="shared" si="5"/>
        <v>0</v>
      </c>
      <c r="AE13" s="31">
        <f t="shared" si="5"/>
        <v>33</v>
      </c>
      <c r="AF13" s="31">
        <f t="shared" si="5"/>
        <v>47</v>
      </c>
    </row>
    <row r="14" spans="2:32" ht="23.1" customHeight="1" x14ac:dyDescent="0.25">
      <c r="B14" s="23" t="s">
        <v>41</v>
      </c>
      <c r="C14" s="51">
        <v>1</v>
      </c>
      <c r="D14" s="50">
        <v>0</v>
      </c>
      <c r="E14" s="51">
        <v>3</v>
      </c>
      <c r="F14" s="51">
        <v>0</v>
      </c>
      <c r="G14" s="51">
        <v>0</v>
      </c>
      <c r="H14" s="51">
        <v>0</v>
      </c>
      <c r="I14" s="51">
        <v>1</v>
      </c>
      <c r="J14" s="51">
        <v>0</v>
      </c>
      <c r="K14" s="51">
        <v>0</v>
      </c>
      <c r="L14" s="50">
        <v>0</v>
      </c>
      <c r="M14" s="51">
        <v>1</v>
      </c>
      <c r="N14" s="51">
        <v>0</v>
      </c>
      <c r="O14" s="15">
        <f t="shared" si="0"/>
        <v>5</v>
      </c>
      <c r="P14" s="15">
        <f t="shared" si="1"/>
        <v>6</v>
      </c>
      <c r="R14" s="1" t="s">
        <v>10</v>
      </c>
      <c r="S14" s="17">
        <f t="shared" ref="S14:AF14" si="6">SUM(C26:C29)</f>
        <v>2</v>
      </c>
      <c r="T14" s="17">
        <f t="shared" si="6"/>
        <v>2</v>
      </c>
      <c r="U14" s="17">
        <f t="shared" si="6"/>
        <v>14</v>
      </c>
      <c r="V14" s="17">
        <f t="shared" si="6"/>
        <v>3</v>
      </c>
      <c r="W14" s="17">
        <f t="shared" si="6"/>
        <v>0</v>
      </c>
      <c r="X14" s="17">
        <f t="shared" si="6"/>
        <v>5</v>
      </c>
      <c r="Y14" s="17">
        <f t="shared" si="6"/>
        <v>11</v>
      </c>
      <c r="Z14" s="17">
        <f t="shared" si="6"/>
        <v>1</v>
      </c>
      <c r="AA14" s="17">
        <f t="shared" si="6"/>
        <v>1</v>
      </c>
      <c r="AB14" s="17">
        <f t="shared" si="6"/>
        <v>2</v>
      </c>
      <c r="AC14" s="17">
        <f t="shared" si="6"/>
        <v>19</v>
      </c>
      <c r="AD14" s="17">
        <f t="shared" si="6"/>
        <v>0</v>
      </c>
      <c r="AE14" s="31">
        <f t="shared" si="6"/>
        <v>41</v>
      </c>
      <c r="AF14" s="31">
        <f t="shared" si="6"/>
        <v>60</v>
      </c>
    </row>
    <row r="15" spans="2:32" ht="23.1" customHeight="1" x14ac:dyDescent="0.25">
      <c r="B15" s="23" t="s">
        <v>42</v>
      </c>
      <c r="C15" s="51">
        <v>0</v>
      </c>
      <c r="D15" s="50">
        <v>1</v>
      </c>
      <c r="E15" s="51">
        <v>3</v>
      </c>
      <c r="F15" s="51">
        <v>1</v>
      </c>
      <c r="G15" s="51">
        <v>0</v>
      </c>
      <c r="H15" s="51">
        <v>0</v>
      </c>
      <c r="I15" s="51">
        <v>1</v>
      </c>
      <c r="J15" s="51">
        <v>0</v>
      </c>
      <c r="K15" s="51">
        <v>0</v>
      </c>
      <c r="L15" s="50">
        <v>0</v>
      </c>
      <c r="M15" s="51">
        <v>4</v>
      </c>
      <c r="N15" s="51">
        <v>0</v>
      </c>
      <c r="O15" s="15">
        <f t="shared" si="0"/>
        <v>6</v>
      </c>
      <c r="P15" s="15">
        <f t="shared" si="1"/>
        <v>10</v>
      </c>
      <c r="R15" s="1" t="s">
        <v>11</v>
      </c>
      <c r="S15" s="17">
        <f t="shared" ref="S15:AF15" si="7">SUM(C30:C33)</f>
        <v>7</v>
      </c>
      <c r="T15" s="17">
        <f t="shared" si="7"/>
        <v>4</v>
      </c>
      <c r="U15" s="17">
        <f t="shared" si="7"/>
        <v>16</v>
      </c>
      <c r="V15" s="17">
        <f t="shared" si="7"/>
        <v>2</v>
      </c>
      <c r="W15" s="17">
        <f t="shared" si="7"/>
        <v>0</v>
      </c>
      <c r="X15" s="17">
        <f t="shared" si="7"/>
        <v>9</v>
      </c>
      <c r="Y15" s="17">
        <f t="shared" si="7"/>
        <v>9</v>
      </c>
      <c r="Z15" s="17">
        <f t="shared" si="7"/>
        <v>0</v>
      </c>
      <c r="AA15" s="17">
        <f t="shared" si="7"/>
        <v>0</v>
      </c>
      <c r="AB15" s="17">
        <f t="shared" si="7"/>
        <v>5</v>
      </c>
      <c r="AC15" s="17">
        <f t="shared" si="7"/>
        <v>3</v>
      </c>
      <c r="AD15" s="17">
        <f t="shared" si="7"/>
        <v>0</v>
      </c>
      <c r="AE15" s="31">
        <f t="shared" si="7"/>
        <v>52</v>
      </c>
      <c r="AF15" s="31">
        <f t="shared" si="7"/>
        <v>55</v>
      </c>
    </row>
    <row r="16" spans="2:32" ht="23.1" customHeight="1" x14ac:dyDescent="0.25">
      <c r="B16" s="23" t="s">
        <v>43</v>
      </c>
      <c r="C16" s="51">
        <v>0</v>
      </c>
      <c r="D16" s="50">
        <v>0</v>
      </c>
      <c r="E16" s="51">
        <v>1</v>
      </c>
      <c r="F16" s="51">
        <v>2</v>
      </c>
      <c r="G16" s="51">
        <v>0</v>
      </c>
      <c r="H16" s="51">
        <v>0</v>
      </c>
      <c r="I16" s="51">
        <v>1</v>
      </c>
      <c r="J16" s="51">
        <v>0</v>
      </c>
      <c r="K16" s="51">
        <v>0</v>
      </c>
      <c r="L16" s="50">
        <v>0</v>
      </c>
      <c r="M16" s="51">
        <v>6</v>
      </c>
      <c r="N16" s="51">
        <v>0</v>
      </c>
      <c r="O16" s="15">
        <f t="shared" si="0"/>
        <v>4</v>
      </c>
      <c r="P16" s="15">
        <f t="shared" si="1"/>
        <v>10</v>
      </c>
      <c r="R16" s="1" t="s">
        <v>12</v>
      </c>
      <c r="S16" s="17">
        <f t="shared" ref="S16:AF16" si="8">SUM(C34:C37)</f>
        <v>7</v>
      </c>
      <c r="T16" s="17">
        <f t="shared" si="8"/>
        <v>4</v>
      </c>
      <c r="U16" s="17">
        <f t="shared" si="8"/>
        <v>17</v>
      </c>
      <c r="V16" s="17">
        <f t="shared" si="8"/>
        <v>6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3</v>
      </c>
      <c r="AA16" s="17">
        <f t="shared" si="8"/>
        <v>0</v>
      </c>
      <c r="AB16" s="17">
        <f t="shared" si="8"/>
        <v>5</v>
      </c>
      <c r="AC16" s="17">
        <f t="shared" si="8"/>
        <v>8</v>
      </c>
      <c r="AD16" s="17">
        <f t="shared" si="8"/>
        <v>0</v>
      </c>
      <c r="AE16" s="31">
        <f t="shared" si="8"/>
        <v>48</v>
      </c>
      <c r="AF16" s="31">
        <f t="shared" si="8"/>
        <v>56</v>
      </c>
    </row>
    <row r="17" spans="2:32" ht="23.1" customHeight="1" x14ac:dyDescent="0.25">
      <c r="B17" s="23" t="s">
        <v>44</v>
      </c>
      <c r="C17" s="51">
        <v>0</v>
      </c>
      <c r="D17" s="50">
        <v>1</v>
      </c>
      <c r="E17" s="51">
        <v>3</v>
      </c>
      <c r="F17" s="51">
        <v>1</v>
      </c>
      <c r="G17" s="51">
        <v>0</v>
      </c>
      <c r="H17" s="51">
        <v>2</v>
      </c>
      <c r="I17" s="51">
        <v>2</v>
      </c>
      <c r="J17" s="51">
        <v>0</v>
      </c>
      <c r="K17" s="51">
        <v>1</v>
      </c>
      <c r="L17" s="50">
        <v>1</v>
      </c>
      <c r="M17" s="51">
        <v>4</v>
      </c>
      <c r="N17" s="51">
        <v>1</v>
      </c>
      <c r="O17" s="15">
        <f t="shared" si="0"/>
        <v>12</v>
      </c>
      <c r="P17" s="15">
        <f t="shared" si="1"/>
        <v>16</v>
      </c>
      <c r="R17" s="1" t="s">
        <v>13</v>
      </c>
      <c r="S17" s="17">
        <f t="shared" ref="S17:AF17" si="9">SUM(C38:C41)</f>
        <v>10</v>
      </c>
      <c r="T17" s="17">
        <f t="shared" si="9"/>
        <v>3</v>
      </c>
      <c r="U17" s="17">
        <f t="shared" si="9"/>
        <v>15</v>
      </c>
      <c r="V17" s="17">
        <f t="shared" si="9"/>
        <v>8</v>
      </c>
      <c r="W17" s="17">
        <f t="shared" si="9"/>
        <v>0</v>
      </c>
      <c r="X17" s="17">
        <f t="shared" si="9"/>
        <v>5</v>
      </c>
      <c r="Y17" s="17">
        <f t="shared" si="9"/>
        <v>10</v>
      </c>
      <c r="Z17" s="17">
        <f t="shared" si="9"/>
        <v>4</v>
      </c>
      <c r="AA17" s="17">
        <f t="shared" si="9"/>
        <v>1</v>
      </c>
      <c r="AB17" s="17">
        <f t="shared" si="9"/>
        <v>10</v>
      </c>
      <c r="AC17" s="17">
        <f t="shared" si="9"/>
        <v>10</v>
      </c>
      <c r="AD17" s="17">
        <f t="shared" si="9"/>
        <v>0</v>
      </c>
      <c r="AE17" s="31">
        <f t="shared" si="9"/>
        <v>66</v>
      </c>
      <c r="AF17" s="31">
        <f t="shared" si="9"/>
        <v>76</v>
      </c>
    </row>
    <row r="18" spans="2:32" ht="23.1" customHeight="1" x14ac:dyDescent="0.25">
      <c r="B18" s="23" t="s">
        <v>45</v>
      </c>
      <c r="C18" s="51">
        <v>1</v>
      </c>
      <c r="D18" s="50">
        <v>0</v>
      </c>
      <c r="E18" s="51">
        <v>3</v>
      </c>
      <c r="F18" s="51">
        <v>0</v>
      </c>
      <c r="G18" s="51">
        <v>0</v>
      </c>
      <c r="H18" s="51">
        <v>0</v>
      </c>
      <c r="I18" s="51">
        <v>1</v>
      </c>
      <c r="J18" s="51">
        <v>0</v>
      </c>
      <c r="K18" s="51">
        <v>0</v>
      </c>
      <c r="L18" s="50">
        <v>0</v>
      </c>
      <c r="M18" s="51">
        <v>6</v>
      </c>
      <c r="N18" s="51">
        <v>0</v>
      </c>
      <c r="O18" s="15">
        <f t="shared" si="0"/>
        <v>5</v>
      </c>
      <c r="P18" s="15">
        <f t="shared" si="1"/>
        <v>11</v>
      </c>
      <c r="R18" s="1" t="s">
        <v>14</v>
      </c>
      <c r="S18" s="17">
        <f t="shared" ref="S18:AF18" si="10">SUM(C42:C45)</f>
        <v>5</v>
      </c>
      <c r="T18" s="17">
        <f t="shared" si="10"/>
        <v>3</v>
      </c>
      <c r="U18" s="17">
        <f t="shared" si="10"/>
        <v>13</v>
      </c>
      <c r="V18" s="17">
        <f t="shared" si="10"/>
        <v>4</v>
      </c>
      <c r="W18" s="17">
        <f t="shared" si="10"/>
        <v>0</v>
      </c>
      <c r="X18" s="17">
        <f t="shared" si="10"/>
        <v>7</v>
      </c>
      <c r="Y18" s="17">
        <f t="shared" si="10"/>
        <v>12</v>
      </c>
      <c r="Z18" s="17">
        <f t="shared" si="10"/>
        <v>0</v>
      </c>
      <c r="AA18" s="17">
        <f t="shared" si="10"/>
        <v>1</v>
      </c>
      <c r="AB18" s="17">
        <f t="shared" si="10"/>
        <v>5</v>
      </c>
      <c r="AC18" s="17">
        <f t="shared" si="10"/>
        <v>14</v>
      </c>
      <c r="AD18" s="17">
        <f t="shared" si="10"/>
        <v>0</v>
      </c>
      <c r="AE18" s="31">
        <f t="shared" si="10"/>
        <v>50</v>
      </c>
      <c r="AF18" s="31">
        <f t="shared" si="10"/>
        <v>64</v>
      </c>
    </row>
    <row r="19" spans="2:32" ht="23.1" customHeight="1" x14ac:dyDescent="0.25">
      <c r="B19" s="23" t="s">
        <v>46</v>
      </c>
      <c r="C19" s="51">
        <v>2</v>
      </c>
      <c r="D19" s="50">
        <v>1</v>
      </c>
      <c r="E19" s="51">
        <v>4</v>
      </c>
      <c r="F19" s="51">
        <v>1</v>
      </c>
      <c r="G19" s="51">
        <v>0</v>
      </c>
      <c r="H19" s="51">
        <v>0</v>
      </c>
      <c r="I19" s="51">
        <v>2</v>
      </c>
      <c r="J19" s="51">
        <v>0</v>
      </c>
      <c r="K19" s="51">
        <v>0</v>
      </c>
      <c r="L19" s="50">
        <v>0</v>
      </c>
      <c r="M19" s="51">
        <v>5</v>
      </c>
      <c r="N19" s="51">
        <v>0</v>
      </c>
      <c r="O19" s="15">
        <f t="shared" si="0"/>
        <v>10</v>
      </c>
      <c r="P19" s="15">
        <f t="shared" si="1"/>
        <v>15</v>
      </c>
      <c r="R19" s="1" t="s">
        <v>15</v>
      </c>
      <c r="S19" s="17">
        <f t="shared" ref="S19:AF19" si="11">SUM(C46:C49)</f>
        <v>10</v>
      </c>
      <c r="T19" s="17">
        <f t="shared" si="11"/>
        <v>5</v>
      </c>
      <c r="U19" s="17">
        <f t="shared" si="11"/>
        <v>17</v>
      </c>
      <c r="V19" s="17">
        <f t="shared" si="11"/>
        <v>6</v>
      </c>
      <c r="W19" s="17">
        <f t="shared" si="11"/>
        <v>0</v>
      </c>
      <c r="X19" s="17">
        <f t="shared" si="11"/>
        <v>3</v>
      </c>
      <c r="Y19" s="17">
        <f t="shared" si="11"/>
        <v>6</v>
      </c>
      <c r="Z19" s="17">
        <f t="shared" si="11"/>
        <v>4</v>
      </c>
      <c r="AA19" s="17">
        <f t="shared" si="11"/>
        <v>0</v>
      </c>
      <c r="AB19" s="17">
        <f t="shared" si="11"/>
        <v>6</v>
      </c>
      <c r="AC19" s="17">
        <f t="shared" si="11"/>
        <v>15</v>
      </c>
      <c r="AD19" s="17">
        <f t="shared" si="11"/>
        <v>0</v>
      </c>
      <c r="AE19" s="31">
        <f t="shared" si="11"/>
        <v>57</v>
      </c>
      <c r="AF19" s="31">
        <f t="shared" si="11"/>
        <v>72</v>
      </c>
    </row>
    <row r="20" spans="2:32" ht="23.1" customHeight="1" x14ac:dyDescent="0.25">
      <c r="B20" s="23" t="s">
        <v>47</v>
      </c>
      <c r="C20" s="51">
        <v>0</v>
      </c>
      <c r="D20" s="50">
        <v>0</v>
      </c>
      <c r="E20" s="51">
        <v>1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0">
        <v>0</v>
      </c>
      <c r="M20" s="51">
        <v>5</v>
      </c>
      <c r="N20" s="51">
        <v>0</v>
      </c>
      <c r="O20" s="15">
        <f t="shared" si="0"/>
        <v>1</v>
      </c>
      <c r="P20" s="15">
        <f t="shared" si="1"/>
        <v>6</v>
      </c>
      <c r="R20" s="1" t="s">
        <v>16</v>
      </c>
      <c r="S20" s="17">
        <f t="shared" ref="S20:AF20" si="12">SUM(C50:C53)</f>
        <v>9</v>
      </c>
      <c r="T20" s="17">
        <f t="shared" si="12"/>
        <v>6</v>
      </c>
      <c r="U20" s="17">
        <f t="shared" si="12"/>
        <v>20</v>
      </c>
      <c r="V20" s="17">
        <f t="shared" si="12"/>
        <v>6</v>
      </c>
      <c r="W20" s="17">
        <f t="shared" si="12"/>
        <v>0</v>
      </c>
      <c r="X20" s="17">
        <f t="shared" si="12"/>
        <v>2</v>
      </c>
      <c r="Y20" s="17">
        <f t="shared" si="12"/>
        <v>17</v>
      </c>
      <c r="Z20" s="17">
        <f t="shared" si="12"/>
        <v>2</v>
      </c>
      <c r="AA20" s="17">
        <f t="shared" si="12"/>
        <v>0</v>
      </c>
      <c r="AB20" s="17">
        <f t="shared" si="12"/>
        <v>2</v>
      </c>
      <c r="AC20" s="17">
        <f t="shared" si="12"/>
        <v>15</v>
      </c>
      <c r="AD20" s="17">
        <f t="shared" si="12"/>
        <v>1</v>
      </c>
      <c r="AE20" s="31">
        <f t="shared" si="12"/>
        <v>65</v>
      </c>
      <c r="AF20" s="31">
        <f t="shared" si="12"/>
        <v>80</v>
      </c>
    </row>
    <row r="21" spans="2:32" ht="23.1" customHeight="1" x14ac:dyDescent="0.25">
      <c r="B21" s="23" t="s">
        <v>48</v>
      </c>
      <c r="C21" s="51">
        <v>1</v>
      </c>
      <c r="D21" s="50">
        <v>0</v>
      </c>
      <c r="E21" s="51">
        <v>2</v>
      </c>
      <c r="F21" s="51">
        <v>0</v>
      </c>
      <c r="G21" s="51">
        <v>0</v>
      </c>
      <c r="H21" s="51">
        <v>3</v>
      </c>
      <c r="I21" s="51">
        <v>2</v>
      </c>
      <c r="J21" s="51">
        <v>0</v>
      </c>
      <c r="K21" s="51">
        <v>0</v>
      </c>
      <c r="L21" s="50">
        <v>0</v>
      </c>
      <c r="M21" s="51">
        <v>1</v>
      </c>
      <c r="N21" s="51">
        <v>0</v>
      </c>
      <c r="O21" s="15">
        <f t="shared" si="0"/>
        <v>8</v>
      </c>
      <c r="P21" s="15">
        <f t="shared" si="1"/>
        <v>9</v>
      </c>
      <c r="R21" s="36" t="s">
        <v>20</v>
      </c>
      <c r="S21" s="34">
        <f t="shared" ref="S21:AF21" si="13">SUM(C54:C57)</f>
        <v>3</v>
      </c>
      <c r="T21" s="17">
        <f t="shared" si="13"/>
        <v>1</v>
      </c>
      <c r="U21" s="17">
        <f t="shared" si="13"/>
        <v>14</v>
      </c>
      <c r="V21" s="17">
        <f t="shared" si="13"/>
        <v>11</v>
      </c>
      <c r="W21" s="17">
        <f t="shared" si="13"/>
        <v>0</v>
      </c>
      <c r="X21" s="17">
        <f t="shared" si="13"/>
        <v>3</v>
      </c>
      <c r="Y21" s="17">
        <f t="shared" si="13"/>
        <v>12</v>
      </c>
      <c r="Z21" s="17">
        <f t="shared" si="13"/>
        <v>0</v>
      </c>
      <c r="AA21" s="17">
        <f t="shared" si="13"/>
        <v>0</v>
      </c>
      <c r="AB21" s="17">
        <f t="shared" si="13"/>
        <v>6</v>
      </c>
      <c r="AC21" s="17">
        <f t="shared" si="13"/>
        <v>15</v>
      </c>
      <c r="AD21" s="17">
        <f t="shared" si="13"/>
        <v>0</v>
      </c>
      <c r="AE21" s="31">
        <f t="shared" si="13"/>
        <v>50</v>
      </c>
      <c r="AF21" s="31">
        <f t="shared" si="13"/>
        <v>65</v>
      </c>
    </row>
    <row r="22" spans="2:32" ht="23.1" customHeight="1" x14ac:dyDescent="0.25">
      <c r="B22" s="23" t="s">
        <v>49</v>
      </c>
      <c r="C22" s="51">
        <v>1</v>
      </c>
      <c r="D22" s="50">
        <v>1</v>
      </c>
      <c r="E22" s="51">
        <v>3</v>
      </c>
      <c r="F22" s="51">
        <v>1</v>
      </c>
      <c r="G22" s="51">
        <v>0</v>
      </c>
      <c r="H22" s="51">
        <v>0</v>
      </c>
      <c r="I22" s="51">
        <v>2</v>
      </c>
      <c r="J22" s="51">
        <v>0</v>
      </c>
      <c r="K22" s="51">
        <v>0</v>
      </c>
      <c r="L22" s="50">
        <v>0</v>
      </c>
      <c r="M22" s="51">
        <v>5</v>
      </c>
      <c r="N22" s="51">
        <v>0</v>
      </c>
      <c r="O22" s="15">
        <f t="shared" si="0"/>
        <v>8</v>
      </c>
      <c r="P22" s="15">
        <f t="shared" si="1"/>
        <v>13</v>
      </c>
      <c r="R22" s="38" t="s">
        <v>90</v>
      </c>
      <c r="S22" s="39">
        <f>MAX(S10:S12)</f>
        <v>4</v>
      </c>
      <c r="T22" s="39">
        <f t="shared" ref="T22:AF22" si="14">MAX(T10:T12)</f>
        <v>2</v>
      </c>
      <c r="U22" s="39">
        <f t="shared" si="14"/>
        <v>10</v>
      </c>
      <c r="V22" s="39">
        <f t="shared" si="14"/>
        <v>4</v>
      </c>
      <c r="W22" s="39">
        <f t="shared" si="14"/>
        <v>0</v>
      </c>
      <c r="X22" s="39">
        <f t="shared" si="14"/>
        <v>3</v>
      </c>
      <c r="Y22" s="39">
        <f t="shared" si="14"/>
        <v>5</v>
      </c>
      <c r="Z22" s="39">
        <f t="shared" si="14"/>
        <v>2</v>
      </c>
      <c r="AA22" s="39">
        <f t="shared" si="14"/>
        <v>1</v>
      </c>
      <c r="AB22" s="39">
        <f t="shared" si="14"/>
        <v>4</v>
      </c>
      <c r="AC22" s="39">
        <f t="shared" si="14"/>
        <v>17</v>
      </c>
      <c r="AD22" s="39">
        <f t="shared" si="14"/>
        <v>1</v>
      </c>
      <c r="AE22" s="40">
        <f t="shared" si="14"/>
        <v>27</v>
      </c>
      <c r="AF22" s="40">
        <f t="shared" si="14"/>
        <v>42</v>
      </c>
    </row>
    <row r="23" spans="2:32" ht="23.1" customHeight="1" x14ac:dyDescent="0.25">
      <c r="B23" s="23" t="s">
        <v>50</v>
      </c>
      <c r="C23" s="51">
        <v>0</v>
      </c>
      <c r="D23" s="50">
        <v>0</v>
      </c>
      <c r="E23" s="51">
        <v>1</v>
      </c>
      <c r="F23" s="51">
        <v>0</v>
      </c>
      <c r="G23" s="51">
        <v>0</v>
      </c>
      <c r="H23" s="51">
        <v>1</v>
      </c>
      <c r="I23" s="51">
        <v>2</v>
      </c>
      <c r="J23" s="51">
        <v>0</v>
      </c>
      <c r="K23" s="51">
        <v>0</v>
      </c>
      <c r="L23" s="50">
        <v>2</v>
      </c>
      <c r="M23" s="51">
        <v>5</v>
      </c>
      <c r="N23" s="51">
        <v>0</v>
      </c>
      <c r="O23" s="15">
        <f t="shared" si="0"/>
        <v>6</v>
      </c>
      <c r="P23" s="15">
        <f t="shared" si="1"/>
        <v>11</v>
      </c>
      <c r="R23" s="38" t="s">
        <v>91</v>
      </c>
      <c r="S23" s="39">
        <f>MAX(S13:S18)</f>
        <v>10</v>
      </c>
      <c r="T23" s="39">
        <f t="shared" ref="T23:AF23" si="15">MAX(T13:T18)</f>
        <v>4</v>
      </c>
      <c r="U23" s="39">
        <f t="shared" si="15"/>
        <v>17</v>
      </c>
      <c r="V23" s="39">
        <f t="shared" si="15"/>
        <v>8</v>
      </c>
      <c r="W23" s="39">
        <f t="shared" si="15"/>
        <v>1</v>
      </c>
      <c r="X23" s="39">
        <f t="shared" si="15"/>
        <v>9</v>
      </c>
      <c r="Y23" s="39">
        <f t="shared" si="15"/>
        <v>12</v>
      </c>
      <c r="Z23" s="39">
        <f t="shared" si="15"/>
        <v>4</v>
      </c>
      <c r="AA23" s="39">
        <f t="shared" si="15"/>
        <v>1</v>
      </c>
      <c r="AB23" s="39">
        <f t="shared" si="15"/>
        <v>10</v>
      </c>
      <c r="AC23" s="39">
        <f t="shared" si="15"/>
        <v>19</v>
      </c>
      <c r="AD23" s="39">
        <f t="shared" si="15"/>
        <v>0</v>
      </c>
      <c r="AE23" s="40">
        <f t="shared" si="15"/>
        <v>66</v>
      </c>
      <c r="AF23" s="40">
        <f t="shared" si="15"/>
        <v>76</v>
      </c>
    </row>
    <row r="24" spans="2:32" ht="23.1" customHeight="1" x14ac:dyDescent="0.25">
      <c r="B24" s="23" t="s">
        <v>51</v>
      </c>
      <c r="C24" s="51">
        <v>2</v>
      </c>
      <c r="D24" s="50">
        <v>2</v>
      </c>
      <c r="E24" s="51">
        <v>5</v>
      </c>
      <c r="F24" s="51">
        <v>3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0">
        <v>0</v>
      </c>
      <c r="M24" s="51">
        <v>1</v>
      </c>
      <c r="N24" s="51">
        <v>0</v>
      </c>
      <c r="O24" s="15">
        <f t="shared" si="0"/>
        <v>12</v>
      </c>
      <c r="P24" s="15">
        <f t="shared" si="1"/>
        <v>13</v>
      </c>
      <c r="R24" s="38" t="s">
        <v>92</v>
      </c>
      <c r="S24" s="39">
        <f>MAX(S19:S21)</f>
        <v>10</v>
      </c>
      <c r="T24" s="39">
        <f t="shared" ref="T24:AF24" si="16">MAX(T19:T21)</f>
        <v>6</v>
      </c>
      <c r="U24" s="39">
        <f t="shared" si="16"/>
        <v>20</v>
      </c>
      <c r="V24" s="39">
        <f t="shared" si="16"/>
        <v>11</v>
      </c>
      <c r="W24" s="39">
        <f t="shared" si="16"/>
        <v>0</v>
      </c>
      <c r="X24" s="39">
        <f t="shared" si="16"/>
        <v>3</v>
      </c>
      <c r="Y24" s="39">
        <f t="shared" si="16"/>
        <v>17</v>
      </c>
      <c r="Z24" s="39">
        <f t="shared" si="16"/>
        <v>4</v>
      </c>
      <c r="AA24" s="39">
        <f t="shared" si="16"/>
        <v>0</v>
      </c>
      <c r="AB24" s="39">
        <f t="shared" si="16"/>
        <v>6</v>
      </c>
      <c r="AC24" s="39">
        <f t="shared" si="16"/>
        <v>15</v>
      </c>
      <c r="AD24" s="39">
        <f t="shared" si="16"/>
        <v>1</v>
      </c>
      <c r="AE24" s="40">
        <f t="shared" si="16"/>
        <v>65</v>
      </c>
      <c r="AF24" s="40">
        <f t="shared" si="16"/>
        <v>80</v>
      </c>
    </row>
    <row r="25" spans="2:32" ht="23.1" customHeight="1" x14ac:dyDescent="0.25">
      <c r="B25" s="23" t="s">
        <v>52</v>
      </c>
      <c r="C25" s="51">
        <v>2</v>
      </c>
      <c r="D25" s="50">
        <v>0</v>
      </c>
      <c r="E25" s="51">
        <v>1</v>
      </c>
      <c r="F25" s="51">
        <v>2</v>
      </c>
      <c r="G25" s="51">
        <v>1</v>
      </c>
      <c r="H25" s="51">
        <v>0</v>
      </c>
      <c r="I25" s="51">
        <v>0</v>
      </c>
      <c r="J25" s="51">
        <v>1</v>
      </c>
      <c r="K25" s="51">
        <v>0</v>
      </c>
      <c r="L25" s="50">
        <v>0</v>
      </c>
      <c r="M25" s="51">
        <v>3</v>
      </c>
      <c r="N25" s="51">
        <v>0</v>
      </c>
      <c r="O25" s="15">
        <f t="shared" si="0"/>
        <v>7</v>
      </c>
      <c r="P25" s="15">
        <f t="shared" si="1"/>
        <v>10</v>
      </c>
      <c r="R25" s="37" t="s">
        <v>85</v>
      </c>
      <c r="S25" s="35">
        <f t="shared" ref="S25:AF25" si="17">SUM(S10:S12)</f>
        <v>9</v>
      </c>
      <c r="T25" s="16">
        <f t="shared" si="17"/>
        <v>3</v>
      </c>
      <c r="U25" s="16">
        <f t="shared" si="17"/>
        <v>26</v>
      </c>
      <c r="V25" s="16">
        <f t="shared" si="17"/>
        <v>7</v>
      </c>
      <c r="W25" s="16">
        <f t="shared" si="17"/>
        <v>0</v>
      </c>
      <c r="X25" s="16">
        <f t="shared" si="17"/>
        <v>5</v>
      </c>
      <c r="Y25" s="16">
        <f t="shared" si="17"/>
        <v>14</v>
      </c>
      <c r="Z25" s="16">
        <f t="shared" si="17"/>
        <v>2</v>
      </c>
      <c r="AA25" s="16">
        <f t="shared" si="17"/>
        <v>1</v>
      </c>
      <c r="AB25" s="16">
        <f t="shared" si="17"/>
        <v>5</v>
      </c>
      <c r="AC25" s="16">
        <f t="shared" si="17"/>
        <v>42</v>
      </c>
      <c r="AD25" s="16">
        <f t="shared" si="17"/>
        <v>1</v>
      </c>
      <c r="AE25" s="32">
        <f t="shared" si="17"/>
        <v>73</v>
      </c>
      <c r="AF25" s="32">
        <f t="shared" si="17"/>
        <v>115</v>
      </c>
    </row>
    <row r="26" spans="2:32" ht="23.1" customHeight="1" x14ac:dyDescent="0.25">
      <c r="B26" s="23" t="s">
        <v>53</v>
      </c>
      <c r="C26" s="51">
        <v>1</v>
      </c>
      <c r="D26" s="50">
        <v>0</v>
      </c>
      <c r="E26" s="51">
        <v>3</v>
      </c>
      <c r="F26" s="51">
        <v>0</v>
      </c>
      <c r="G26" s="51">
        <v>0</v>
      </c>
      <c r="H26" s="51">
        <v>2</v>
      </c>
      <c r="I26" s="51">
        <v>2</v>
      </c>
      <c r="J26" s="51">
        <v>0</v>
      </c>
      <c r="K26" s="51">
        <v>0</v>
      </c>
      <c r="L26" s="50">
        <v>0</v>
      </c>
      <c r="M26" s="51">
        <v>8</v>
      </c>
      <c r="N26" s="51">
        <v>0</v>
      </c>
      <c r="O26" s="15">
        <f t="shared" si="0"/>
        <v>8</v>
      </c>
      <c r="P26" s="15">
        <f t="shared" si="1"/>
        <v>16</v>
      </c>
      <c r="R26" s="28" t="s">
        <v>86</v>
      </c>
      <c r="S26" s="16">
        <f t="shared" ref="S26:AF26" si="18">SUM(S13:S18)</f>
        <v>36</v>
      </c>
      <c r="T26" s="16">
        <f t="shared" si="18"/>
        <v>19</v>
      </c>
      <c r="U26" s="16">
        <f t="shared" si="18"/>
        <v>85</v>
      </c>
      <c r="V26" s="16">
        <f t="shared" si="18"/>
        <v>29</v>
      </c>
      <c r="W26" s="16">
        <f t="shared" si="18"/>
        <v>1</v>
      </c>
      <c r="X26" s="16">
        <f t="shared" si="18"/>
        <v>27</v>
      </c>
      <c r="Y26" s="16">
        <f t="shared" si="18"/>
        <v>52</v>
      </c>
      <c r="Z26" s="16">
        <f t="shared" si="18"/>
        <v>9</v>
      </c>
      <c r="AA26" s="16">
        <f t="shared" si="18"/>
        <v>3</v>
      </c>
      <c r="AB26" s="16">
        <f t="shared" si="18"/>
        <v>29</v>
      </c>
      <c r="AC26" s="16">
        <f t="shared" si="18"/>
        <v>68</v>
      </c>
      <c r="AD26" s="16">
        <f t="shared" si="18"/>
        <v>0</v>
      </c>
      <c r="AE26" s="32">
        <f t="shared" si="18"/>
        <v>290</v>
      </c>
      <c r="AF26" s="32">
        <f t="shared" si="18"/>
        <v>358</v>
      </c>
    </row>
    <row r="27" spans="2:32" ht="23.1" customHeight="1" x14ac:dyDescent="0.25">
      <c r="B27" s="23" t="s">
        <v>54</v>
      </c>
      <c r="C27" s="51">
        <v>1</v>
      </c>
      <c r="D27" s="50">
        <v>1</v>
      </c>
      <c r="E27" s="51">
        <v>4</v>
      </c>
      <c r="F27" s="51">
        <v>2</v>
      </c>
      <c r="G27" s="51">
        <v>0</v>
      </c>
      <c r="H27" s="51">
        <v>1</v>
      </c>
      <c r="I27" s="51">
        <v>2</v>
      </c>
      <c r="J27" s="51">
        <v>0</v>
      </c>
      <c r="K27" s="51">
        <v>1</v>
      </c>
      <c r="L27" s="50">
        <v>1</v>
      </c>
      <c r="M27" s="51">
        <v>5</v>
      </c>
      <c r="N27" s="51">
        <v>0</v>
      </c>
      <c r="O27" s="15">
        <f t="shared" si="0"/>
        <v>13</v>
      </c>
      <c r="P27" s="15">
        <f t="shared" si="1"/>
        <v>18</v>
      </c>
      <c r="R27" s="29" t="s">
        <v>87</v>
      </c>
      <c r="S27" s="16">
        <f t="shared" ref="S27:AF27" si="19">SUM(S19:S21)</f>
        <v>22</v>
      </c>
      <c r="T27" s="16">
        <f t="shared" si="19"/>
        <v>12</v>
      </c>
      <c r="U27" s="16">
        <f t="shared" si="19"/>
        <v>51</v>
      </c>
      <c r="V27" s="16">
        <f t="shared" si="19"/>
        <v>23</v>
      </c>
      <c r="W27" s="16">
        <f t="shared" si="19"/>
        <v>0</v>
      </c>
      <c r="X27" s="16">
        <f t="shared" si="19"/>
        <v>8</v>
      </c>
      <c r="Y27" s="16">
        <f t="shared" si="19"/>
        <v>35</v>
      </c>
      <c r="Z27" s="16">
        <f t="shared" si="19"/>
        <v>6</v>
      </c>
      <c r="AA27" s="16">
        <f t="shared" si="19"/>
        <v>0</v>
      </c>
      <c r="AB27" s="16">
        <f t="shared" si="19"/>
        <v>14</v>
      </c>
      <c r="AC27" s="16">
        <f t="shared" si="19"/>
        <v>45</v>
      </c>
      <c r="AD27" s="16">
        <f t="shared" si="19"/>
        <v>1</v>
      </c>
      <c r="AE27" s="32">
        <f t="shared" si="19"/>
        <v>172</v>
      </c>
      <c r="AF27" s="32">
        <f t="shared" si="19"/>
        <v>217</v>
      </c>
    </row>
    <row r="28" spans="2:32" ht="23.1" customHeight="1" x14ac:dyDescent="0.25">
      <c r="B28" s="23" t="s">
        <v>55</v>
      </c>
      <c r="C28" s="51">
        <v>0</v>
      </c>
      <c r="D28" s="50">
        <v>1</v>
      </c>
      <c r="E28" s="51">
        <v>4</v>
      </c>
      <c r="F28" s="51">
        <v>0</v>
      </c>
      <c r="G28" s="51">
        <v>0</v>
      </c>
      <c r="H28" s="51">
        <v>1</v>
      </c>
      <c r="I28" s="51">
        <v>2</v>
      </c>
      <c r="J28" s="51">
        <v>1</v>
      </c>
      <c r="K28" s="51">
        <v>0</v>
      </c>
      <c r="L28" s="50">
        <v>0</v>
      </c>
      <c r="M28" s="51">
        <v>3</v>
      </c>
      <c r="N28" s="51">
        <v>0</v>
      </c>
      <c r="O28" s="15">
        <f t="shared" si="0"/>
        <v>9</v>
      </c>
      <c r="P28" s="15">
        <f t="shared" si="1"/>
        <v>12</v>
      </c>
      <c r="R28" s="5" t="s">
        <v>17</v>
      </c>
      <c r="S28" s="16">
        <f t="shared" ref="S28:AF28" si="20">SUM(S10:S21)</f>
        <v>67</v>
      </c>
      <c r="T28" s="16">
        <f t="shared" si="20"/>
        <v>34</v>
      </c>
      <c r="U28" s="16">
        <f t="shared" si="20"/>
        <v>162</v>
      </c>
      <c r="V28" s="16">
        <f t="shared" si="20"/>
        <v>59</v>
      </c>
      <c r="W28" s="16">
        <f t="shared" si="20"/>
        <v>1</v>
      </c>
      <c r="X28" s="16">
        <f t="shared" si="20"/>
        <v>40</v>
      </c>
      <c r="Y28" s="16">
        <f t="shared" si="20"/>
        <v>101</v>
      </c>
      <c r="Z28" s="16">
        <f t="shared" si="20"/>
        <v>17</v>
      </c>
      <c r="AA28" s="16">
        <f t="shared" si="20"/>
        <v>4</v>
      </c>
      <c r="AB28" s="16">
        <f t="shared" si="20"/>
        <v>48</v>
      </c>
      <c r="AC28" s="16">
        <f t="shared" si="20"/>
        <v>155</v>
      </c>
      <c r="AD28" s="16">
        <f t="shared" si="20"/>
        <v>2</v>
      </c>
      <c r="AE28" s="32">
        <f t="shared" si="20"/>
        <v>535</v>
      </c>
      <c r="AF28" s="32">
        <f t="shared" si="20"/>
        <v>690</v>
      </c>
    </row>
    <row r="29" spans="2:32" ht="23.1" customHeight="1" x14ac:dyDescent="0.25">
      <c r="B29" s="23" t="s">
        <v>56</v>
      </c>
      <c r="C29" s="51">
        <v>0</v>
      </c>
      <c r="D29" s="50">
        <v>0</v>
      </c>
      <c r="E29" s="51">
        <v>3</v>
      </c>
      <c r="F29" s="51">
        <v>1</v>
      </c>
      <c r="G29" s="51">
        <v>0</v>
      </c>
      <c r="H29" s="51">
        <v>1</v>
      </c>
      <c r="I29" s="51">
        <v>5</v>
      </c>
      <c r="J29" s="51">
        <v>0</v>
      </c>
      <c r="K29" s="51">
        <v>0</v>
      </c>
      <c r="L29" s="50">
        <v>1</v>
      </c>
      <c r="M29" s="51">
        <v>3</v>
      </c>
      <c r="N29" s="51">
        <v>0</v>
      </c>
      <c r="O29" s="15">
        <f t="shared" si="0"/>
        <v>11</v>
      </c>
      <c r="P29" s="15">
        <f t="shared" si="1"/>
        <v>14</v>
      </c>
      <c r="R29"/>
      <c r="S29" s="20"/>
      <c r="T29" s="19"/>
    </row>
    <row r="30" spans="2:32" ht="23.1" customHeight="1" x14ac:dyDescent="0.25">
      <c r="B30" s="23" t="s">
        <v>57</v>
      </c>
      <c r="C30" s="51">
        <v>2</v>
      </c>
      <c r="D30" s="50">
        <v>1</v>
      </c>
      <c r="E30" s="51">
        <v>3</v>
      </c>
      <c r="F30" s="51">
        <v>1</v>
      </c>
      <c r="G30" s="51">
        <v>0</v>
      </c>
      <c r="H30" s="51">
        <v>2</v>
      </c>
      <c r="I30" s="51">
        <v>3</v>
      </c>
      <c r="J30" s="51">
        <v>0</v>
      </c>
      <c r="K30" s="51">
        <v>0</v>
      </c>
      <c r="L30" s="50">
        <v>1</v>
      </c>
      <c r="M30" s="51">
        <v>2</v>
      </c>
      <c r="N30" s="51">
        <v>0</v>
      </c>
      <c r="O30" s="15">
        <f t="shared" si="0"/>
        <v>13</v>
      </c>
      <c r="P30" s="15">
        <f t="shared" si="1"/>
        <v>15</v>
      </c>
    </row>
    <row r="31" spans="2:32" ht="23.1" customHeight="1" x14ac:dyDescent="0.25">
      <c r="B31" s="24" t="s">
        <v>58</v>
      </c>
      <c r="C31" s="51">
        <v>2</v>
      </c>
      <c r="D31" s="50">
        <v>0</v>
      </c>
      <c r="E31" s="51">
        <v>3</v>
      </c>
      <c r="F31" s="51">
        <v>0</v>
      </c>
      <c r="G31" s="51">
        <v>0</v>
      </c>
      <c r="H31" s="51">
        <v>3</v>
      </c>
      <c r="I31" s="51">
        <v>1</v>
      </c>
      <c r="J31" s="51">
        <v>0</v>
      </c>
      <c r="K31" s="51">
        <v>0</v>
      </c>
      <c r="L31" s="50">
        <v>2</v>
      </c>
      <c r="M31" s="51">
        <v>1</v>
      </c>
      <c r="N31" s="51">
        <v>0</v>
      </c>
      <c r="O31" s="15">
        <f t="shared" si="0"/>
        <v>11</v>
      </c>
      <c r="P31" s="15">
        <f t="shared" si="1"/>
        <v>12</v>
      </c>
    </row>
    <row r="32" spans="2:32" ht="23.1" customHeight="1" x14ac:dyDescent="0.25">
      <c r="B32" s="24" t="s">
        <v>59</v>
      </c>
      <c r="C32" s="51">
        <v>2</v>
      </c>
      <c r="D32" s="50">
        <v>1</v>
      </c>
      <c r="E32" s="51">
        <v>5</v>
      </c>
      <c r="F32" s="51">
        <v>0</v>
      </c>
      <c r="G32" s="51">
        <v>0</v>
      </c>
      <c r="H32" s="51">
        <v>0</v>
      </c>
      <c r="I32" s="51">
        <v>1</v>
      </c>
      <c r="J32" s="51">
        <v>0</v>
      </c>
      <c r="K32" s="51">
        <v>0</v>
      </c>
      <c r="L32" s="50">
        <v>1</v>
      </c>
      <c r="M32" s="51">
        <v>0</v>
      </c>
      <c r="N32" s="51">
        <v>0</v>
      </c>
      <c r="O32" s="15">
        <f t="shared" si="0"/>
        <v>10</v>
      </c>
      <c r="P32" s="15">
        <f t="shared" si="1"/>
        <v>10</v>
      </c>
    </row>
    <row r="33" spans="2:20" ht="23.1" customHeight="1" x14ac:dyDescent="0.25">
      <c r="B33" s="23" t="s">
        <v>60</v>
      </c>
      <c r="C33" s="51">
        <v>1</v>
      </c>
      <c r="D33" s="50">
        <v>2</v>
      </c>
      <c r="E33" s="51">
        <v>5</v>
      </c>
      <c r="F33" s="51">
        <v>1</v>
      </c>
      <c r="G33" s="51">
        <v>0</v>
      </c>
      <c r="H33" s="51">
        <v>4</v>
      </c>
      <c r="I33" s="51">
        <v>4</v>
      </c>
      <c r="J33" s="51">
        <v>0</v>
      </c>
      <c r="K33" s="51">
        <v>0</v>
      </c>
      <c r="L33" s="50">
        <v>1</v>
      </c>
      <c r="M33" s="51">
        <v>0</v>
      </c>
      <c r="N33" s="51">
        <v>0</v>
      </c>
      <c r="O33" s="15">
        <f t="shared" si="0"/>
        <v>18</v>
      </c>
      <c r="P33" s="15">
        <f t="shared" si="1"/>
        <v>18</v>
      </c>
    </row>
    <row r="34" spans="2:20" ht="23.1" customHeight="1" x14ac:dyDescent="0.25">
      <c r="B34" s="24" t="s">
        <v>61</v>
      </c>
      <c r="C34" s="51">
        <v>2</v>
      </c>
      <c r="D34" s="50">
        <v>1</v>
      </c>
      <c r="E34" s="51">
        <v>3</v>
      </c>
      <c r="F34" s="51">
        <v>2</v>
      </c>
      <c r="G34" s="51">
        <v>0</v>
      </c>
      <c r="H34" s="51">
        <v>0</v>
      </c>
      <c r="I34" s="51">
        <v>0</v>
      </c>
      <c r="J34" s="51">
        <v>1</v>
      </c>
      <c r="K34" s="51">
        <v>0</v>
      </c>
      <c r="L34" s="50">
        <v>3</v>
      </c>
      <c r="M34" s="51">
        <v>4</v>
      </c>
      <c r="N34" s="51">
        <v>0</v>
      </c>
      <c r="O34" s="15">
        <f t="shared" si="0"/>
        <v>12</v>
      </c>
      <c r="P34" s="15">
        <f t="shared" si="1"/>
        <v>16</v>
      </c>
    </row>
    <row r="35" spans="2:20" ht="23.1" customHeight="1" x14ac:dyDescent="0.25">
      <c r="B35" s="24" t="s">
        <v>62</v>
      </c>
      <c r="C35" s="51">
        <v>0</v>
      </c>
      <c r="D35" s="50">
        <v>0</v>
      </c>
      <c r="E35" s="51">
        <v>3</v>
      </c>
      <c r="F35" s="51">
        <v>3</v>
      </c>
      <c r="G35" s="51">
        <v>0</v>
      </c>
      <c r="H35" s="51">
        <v>0</v>
      </c>
      <c r="I35" s="51">
        <v>1</v>
      </c>
      <c r="J35" s="51">
        <v>1</v>
      </c>
      <c r="K35" s="51">
        <v>0</v>
      </c>
      <c r="L35" s="50">
        <v>0</v>
      </c>
      <c r="M35" s="51">
        <v>2</v>
      </c>
      <c r="N35" s="51">
        <v>0</v>
      </c>
      <c r="O35" s="15">
        <f t="shared" si="0"/>
        <v>8</v>
      </c>
      <c r="P35" s="15">
        <f t="shared" si="1"/>
        <v>10</v>
      </c>
    </row>
    <row r="36" spans="2:20" ht="23.1" customHeight="1" x14ac:dyDescent="0.25">
      <c r="B36" s="24" t="s">
        <v>63</v>
      </c>
      <c r="C36" s="51">
        <v>2</v>
      </c>
      <c r="D36" s="50">
        <v>1</v>
      </c>
      <c r="E36" s="51">
        <v>5</v>
      </c>
      <c r="F36" s="51">
        <v>0</v>
      </c>
      <c r="G36" s="51">
        <v>0</v>
      </c>
      <c r="H36" s="51">
        <v>0</v>
      </c>
      <c r="I36" s="51">
        <v>5</v>
      </c>
      <c r="J36" s="51">
        <v>0</v>
      </c>
      <c r="K36" s="51">
        <v>0</v>
      </c>
      <c r="L36" s="50">
        <v>0</v>
      </c>
      <c r="M36" s="51">
        <v>1</v>
      </c>
      <c r="N36" s="51">
        <v>0</v>
      </c>
      <c r="O36" s="15">
        <f t="shared" si="0"/>
        <v>13</v>
      </c>
      <c r="P36" s="15">
        <f t="shared" si="1"/>
        <v>14</v>
      </c>
    </row>
    <row r="37" spans="2:20" ht="23.1" customHeight="1" x14ac:dyDescent="0.25">
      <c r="B37" s="23" t="s">
        <v>64</v>
      </c>
      <c r="C37" s="51">
        <v>3</v>
      </c>
      <c r="D37" s="50">
        <v>2</v>
      </c>
      <c r="E37" s="51">
        <v>6</v>
      </c>
      <c r="F37" s="51">
        <v>1</v>
      </c>
      <c r="G37" s="51">
        <v>0</v>
      </c>
      <c r="H37" s="51">
        <v>0</v>
      </c>
      <c r="I37" s="51">
        <v>0</v>
      </c>
      <c r="J37" s="51">
        <v>1</v>
      </c>
      <c r="K37" s="51">
        <v>0</v>
      </c>
      <c r="L37" s="50">
        <v>2</v>
      </c>
      <c r="M37" s="51">
        <v>1</v>
      </c>
      <c r="N37" s="51">
        <v>0</v>
      </c>
      <c r="O37" s="15">
        <f t="shared" si="0"/>
        <v>15</v>
      </c>
      <c r="P37" s="15">
        <f t="shared" si="1"/>
        <v>16</v>
      </c>
    </row>
    <row r="38" spans="2:20" ht="23.1" customHeight="1" x14ac:dyDescent="0.25">
      <c r="B38" s="24" t="s">
        <v>65</v>
      </c>
      <c r="C38" s="51">
        <v>1</v>
      </c>
      <c r="D38" s="50">
        <v>1</v>
      </c>
      <c r="E38" s="51">
        <v>5</v>
      </c>
      <c r="F38" s="51">
        <v>2</v>
      </c>
      <c r="G38" s="51">
        <v>0</v>
      </c>
      <c r="H38" s="51">
        <v>2</v>
      </c>
      <c r="I38" s="51">
        <v>3</v>
      </c>
      <c r="J38" s="51">
        <v>0</v>
      </c>
      <c r="K38" s="51">
        <v>1</v>
      </c>
      <c r="L38" s="50">
        <v>0</v>
      </c>
      <c r="M38" s="51">
        <v>2</v>
      </c>
      <c r="N38" s="51">
        <v>0</v>
      </c>
      <c r="O38" s="15">
        <f t="shared" si="0"/>
        <v>15</v>
      </c>
      <c r="P38" s="15">
        <f t="shared" si="1"/>
        <v>17</v>
      </c>
    </row>
    <row r="39" spans="2:20" ht="23.1" customHeight="1" x14ac:dyDescent="0.25">
      <c r="B39" s="24" t="s">
        <v>66</v>
      </c>
      <c r="C39" s="51">
        <v>3</v>
      </c>
      <c r="D39" s="50">
        <v>1</v>
      </c>
      <c r="E39" s="51">
        <v>3</v>
      </c>
      <c r="F39" s="51">
        <v>2</v>
      </c>
      <c r="G39" s="51">
        <v>0</v>
      </c>
      <c r="H39" s="51">
        <v>0</v>
      </c>
      <c r="I39" s="51">
        <v>2</v>
      </c>
      <c r="J39" s="51">
        <v>1</v>
      </c>
      <c r="K39" s="51">
        <v>0</v>
      </c>
      <c r="L39" s="50">
        <v>2</v>
      </c>
      <c r="M39" s="51">
        <v>3</v>
      </c>
      <c r="N39" s="51">
        <v>0</v>
      </c>
      <c r="O39" s="15">
        <f t="shared" si="0"/>
        <v>14</v>
      </c>
      <c r="P39" s="15">
        <f t="shared" si="1"/>
        <v>17</v>
      </c>
    </row>
    <row r="40" spans="2:20" ht="23.1" customHeight="1" x14ac:dyDescent="0.25">
      <c r="B40" s="24" t="s">
        <v>67</v>
      </c>
      <c r="C40" s="51">
        <v>3</v>
      </c>
      <c r="D40" s="50">
        <v>0</v>
      </c>
      <c r="E40" s="51">
        <v>2</v>
      </c>
      <c r="F40" s="51">
        <v>2</v>
      </c>
      <c r="G40" s="51">
        <v>0</v>
      </c>
      <c r="H40" s="51">
        <v>0</v>
      </c>
      <c r="I40" s="51">
        <v>4</v>
      </c>
      <c r="J40" s="51">
        <v>2</v>
      </c>
      <c r="K40" s="51">
        <v>0</v>
      </c>
      <c r="L40" s="50">
        <v>7</v>
      </c>
      <c r="M40" s="51">
        <v>4</v>
      </c>
      <c r="N40" s="51">
        <v>0</v>
      </c>
      <c r="O40" s="15">
        <f t="shared" si="0"/>
        <v>20</v>
      </c>
      <c r="P40" s="15">
        <f t="shared" si="1"/>
        <v>24</v>
      </c>
    </row>
    <row r="41" spans="2:20" ht="23.1" customHeight="1" x14ac:dyDescent="0.25">
      <c r="B41" s="23" t="s">
        <v>68</v>
      </c>
      <c r="C41" s="51">
        <v>3</v>
      </c>
      <c r="D41" s="50">
        <v>1</v>
      </c>
      <c r="E41" s="51">
        <v>5</v>
      </c>
      <c r="F41" s="51">
        <v>2</v>
      </c>
      <c r="G41" s="51">
        <v>0</v>
      </c>
      <c r="H41" s="51">
        <v>3</v>
      </c>
      <c r="I41" s="51">
        <v>1</v>
      </c>
      <c r="J41" s="51">
        <v>1</v>
      </c>
      <c r="K41" s="51">
        <v>0</v>
      </c>
      <c r="L41" s="50">
        <v>1</v>
      </c>
      <c r="M41" s="51">
        <v>1</v>
      </c>
      <c r="N41" s="51">
        <v>0</v>
      </c>
      <c r="O41" s="15">
        <f t="shared" si="0"/>
        <v>17</v>
      </c>
      <c r="P41" s="15">
        <f t="shared" si="1"/>
        <v>18</v>
      </c>
    </row>
    <row r="42" spans="2:20" ht="23.1" customHeight="1" x14ac:dyDescent="0.25">
      <c r="B42" s="24" t="s">
        <v>69</v>
      </c>
      <c r="C42" s="51">
        <v>3</v>
      </c>
      <c r="D42" s="50">
        <v>1</v>
      </c>
      <c r="E42" s="51">
        <v>4</v>
      </c>
      <c r="F42" s="51">
        <v>1</v>
      </c>
      <c r="G42" s="51">
        <v>0</v>
      </c>
      <c r="H42" s="51">
        <v>2</v>
      </c>
      <c r="I42" s="51">
        <v>6</v>
      </c>
      <c r="J42" s="51">
        <v>0</v>
      </c>
      <c r="K42" s="51">
        <v>1</v>
      </c>
      <c r="L42" s="50">
        <v>2</v>
      </c>
      <c r="M42" s="51">
        <v>2</v>
      </c>
      <c r="N42" s="51">
        <v>0</v>
      </c>
      <c r="O42" s="15">
        <f t="shared" si="0"/>
        <v>20</v>
      </c>
      <c r="P42" s="15">
        <f t="shared" si="1"/>
        <v>22</v>
      </c>
    </row>
    <row r="43" spans="2:20" ht="23.1" customHeight="1" x14ac:dyDescent="0.25">
      <c r="B43" s="23" t="s">
        <v>70</v>
      </c>
      <c r="C43" s="51">
        <v>1</v>
      </c>
      <c r="D43" s="50">
        <v>1</v>
      </c>
      <c r="E43" s="51">
        <v>3</v>
      </c>
      <c r="F43" s="51">
        <v>2</v>
      </c>
      <c r="G43" s="51">
        <v>0</v>
      </c>
      <c r="H43" s="51">
        <v>1</v>
      </c>
      <c r="I43" s="51">
        <v>2</v>
      </c>
      <c r="J43" s="51">
        <v>0</v>
      </c>
      <c r="K43" s="51">
        <v>0</v>
      </c>
      <c r="L43" s="50">
        <v>1</v>
      </c>
      <c r="M43" s="51">
        <v>3</v>
      </c>
      <c r="N43" s="51">
        <v>0</v>
      </c>
      <c r="O43" s="15">
        <f t="shared" si="0"/>
        <v>11</v>
      </c>
      <c r="P43" s="15">
        <f t="shared" si="1"/>
        <v>14</v>
      </c>
    </row>
    <row r="44" spans="2:20" ht="23.1" customHeight="1" x14ac:dyDescent="0.25">
      <c r="B44" s="25" t="s">
        <v>71</v>
      </c>
      <c r="C44" s="51">
        <v>1</v>
      </c>
      <c r="D44" s="50">
        <v>0</v>
      </c>
      <c r="E44" s="51">
        <v>3</v>
      </c>
      <c r="F44" s="51">
        <v>0</v>
      </c>
      <c r="G44" s="51">
        <v>0</v>
      </c>
      <c r="H44" s="51">
        <v>1</v>
      </c>
      <c r="I44" s="51">
        <v>1</v>
      </c>
      <c r="J44" s="51">
        <v>0</v>
      </c>
      <c r="K44" s="51">
        <v>0</v>
      </c>
      <c r="L44" s="50">
        <v>1</v>
      </c>
      <c r="M44" s="51">
        <v>3</v>
      </c>
      <c r="N44" s="51">
        <v>0</v>
      </c>
      <c r="O44" s="15">
        <f t="shared" si="0"/>
        <v>7</v>
      </c>
      <c r="P44" s="15">
        <f t="shared" si="1"/>
        <v>10</v>
      </c>
    </row>
    <row r="45" spans="2:20" ht="23.1" customHeight="1" x14ac:dyDescent="0.25">
      <c r="B45" s="23" t="s">
        <v>72</v>
      </c>
      <c r="C45" s="51">
        <v>0</v>
      </c>
      <c r="D45" s="50">
        <v>1</v>
      </c>
      <c r="E45" s="51">
        <v>3</v>
      </c>
      <c r="F45" s="51">
        <v>1</v>
      </c>
      <c r="G45" s="51">
        <v>0</v>
      </c>
      <c r="H45" s="51">
        <v>3</v>
      </c>
      <c r="I45" s="51">
        <v>3</v>
      </c>
      <c r="J45" s="51">
        <v>0</v>
      </c>
      <c r="K45" s="51">
        <v>0</v>
      </c>
      <c r="L45" s="50">
        <v>1</v>
      </c>
      <c r="M45" s="51">
        <v>6</v>
      </c>
      <c r="N45" s="51">
        <v>0</v>
      </c>
      <c r="O45" s="15">
        <f t="shared" si="0"/>
        <v>12</v>
      </c>
      <c r="P45" s="15">
        <f t="shared" si="1"/>
        <v>18</v>
      </c>
    </row>
    <row r="46" spans="2:20" ht="23.1" customHeight="1" x14ac:dyDescent="0.25">
      <c r="B46" s="24" t="s">
        <v>73</v>
      </c>
      <c r="C46" s="51">
        <v>2</v>
      </c>
      <c r="D46" s="50">
        <v>2</v>
      </c>
      <c r="E46" s="51">
        <v>6</v>
      </c>
      <c r="F46" s="51">
        <v>2</v>
      </c>
      <c r="G46" s="51">
        <v>0</v>
      </c>
      <c r="H46" s="51">
        <v>1</v>
      </c>
      <c r="I46" s="51">
        <v>1</v>
      </c>
      <c r="J46" s="51">
        <v>2</v>
      </c>
      <c r="K46" s="51">
        <v>0</v>
      </c>
      <c r="L46" s="50">
        <v>1</v>
      </c>
      <c r="M46" s="51">
        <v>5</v>
      </c>
      <c r="N46" s="51">
        <v>0</v>
      </c>
      <c r="O46" s="15">
        <f t="shared" si="0"/>
        <v>17</v>
      </c>
      <c r="P46" s="15">
        <f t="shared" si="1"/>
        <v>22</v>
      </c>
      <c r="R46" s="8"/>
      <c r="T46"/>
    </row>
    <row r="47" spans="2:20" ht="23.1" customHeight="1" x14ac:dyDescent="0.25">
      <c r="B47" s="24" t="s">
        <v>74</v>
      </c>
      <c r="C47" s="51">
        <v>2</v>
      </c>
      <c r="D47" s="50">
        <v>1</v>
      </c>
      <c r="E47" s="51">
        <v>4</v>
      </c>
      <c r="F47" s="51">
        <v>0</v>
      </c>
      <c r="G47" s="51">
        <v>0</v>
      </c>
      <c r="H47" s="51">
        <v>0</v>
      </c>
      <c r="I47" s="51">
        <v>2</v>
      </c>
      <c r="J47" s="51">
        <v>2</v>
      </c>
      <c r="K47" s="51">
        <v>0</v>
      </c>
      <c r="L47" s="50">
        <v>2</v>
      </c>
      <c r="M47" s="51">
        <v>2</v>
      </c>
      <c r="N47" s="51">
        <v>0</v>
      </c>
      <c r="O47" s="15">
        <f t="shared" si="0"/>
        <v>13</v>
      </c>
      <c r="P47" s="15">
        <f t="shared" si="1"/>
        <v>15</v>
      </c>
      <c r="R47" s="8"/>
      <c r="T47"/>
    </row>
    <row r="48" spans="2:20" ht="23.1" customHeight="1" x14ac:dyDescent="0.25">
      <c r="B48" s="24" t="s">
        <v>75</v>
      </c>
      <c r="C48" s="51">
        <v>2</v>
      </c>
      <c r="D48" s="50">
        <v>1</v>
      </c>
      <c r="E48" s="51">
        <v>3</v>
      </c>
      <c r="F48" s="51">
        <v>2</v>
      </c>
      <c r="G48" s="51">
        <v>0</v>
      </c>
      <c r="H48" s="51">
        <v>1</v>
      </c>
      <c r="I48" s="51">
        <v>2</v>
      </c>
      <c r="J48" s="51">
        <v>0</v>
      </c>
      <c r="K48" s="51">
        <v>0</v>
      </c>
      <c r="L48" s="50">
        <v>0</v>
      </c>
      <c r="M48" s="51">
        <v>5</v>
      </c>
      <c r="N48" s="51">
        <v>0</v>
      </c>
      <c r="O48" s="15">
        <f t="shared" si="0"/>
        <v>11</v>
      </c>
      <c r="P48" s="15">
        <f t="shared" si="1"/>
        <v>16</v>
      </c>
      <c r="R48" s="8"/>
      <c r="T48"/>
    </row>
    <row r="49" spans="2:20" ht="23.1" customHeight="1" x14ac:dyDescent="0.25">
      <c r="B49" s="23" t="s">
        <v>76</v>
      </c>
      <c r="C49" s="51">
        <v>4</v>
      </c>
      <c r="D49" s="50">
        <v>1</v>
      </c>
      <c r="E49" s="51">
        <v>4</v>
      </c>
      <c r="F49" s="51">
        <v>2</v>
      </c>
      <c r="G49" s="51">
        <v>0</v>
      </c>
      <c r="H49" s="51">
        <v>1</v>
      </c>
      <c r="I49" s="51">
        <v>1</v>
      </c>
      <c r="J49" s="51">
        <v>0</v>
      </c>
      <c r="K49" s="51">
        <v>0</v>
      </c>
      <c r="L49" s="50">
        <v>3</v>
      </c>
      <c r="M49" s="51">
        <v>3</v>
      </c>
      <c r="N49" s="51">
        <v>0</v>
      </c>
      <c r="O49" s="15">
        <f t="shared" si="0"/>
        <v>16</v>
      </c>
      <c r="P49" s="15">
        <f t="shared" si="1"/>
        <v>19</v>
      </c>
      <c r="R49" s="8"/>
      <c r="T49"/>
    </row>
    <row r="50" spans="2:20" ht="23.1" customHeight="1" x14ac:dyDescent="0.25">
      <c r="B50" s="24" t="s">
        <v>77</v>
      </c>
      <c r="C50" s="51">
        <v>3</v>
      </c>
      <c r="D50" s="50">
        <v>1</v>
      </c>
      <c r="E50" s="51">
        <v>3</v>
      </c>
      <c r="F50" s="51">
        <v>1</v>
      </c>
      <c r="G50" s="51">
        <v>0</v>
      </c>
      <c r="H50" s="51">
        <v>1</v>
      </c>
      <c r="I50" s="51">
        <v>4</v>
      </c>
      <c r="J50" s="51">
        <v>0</v>
      </c>
      <c r="K50" s="51">
        <v>0</v>
      </c>
      <c r="L50" s="50">
        <v>2</v>
      </c>
      <c r="M50" s="51">
        <v>4</v>
      </c>
      <c r="N50" s="51">
        <v>0</v>
      </c>
      <c r="O50" s="15">
        <f t="shared" si="0"/>
        <v>15</v>
      </c>
      <c r="P50" s="15">
        <f t="shared" si="1"/>
        <v>19</v>
      </c>
      <c r="R50" s="8"/>
      <c r="T50"/>
    </row>
    <row r="51" spans="2:20" ht="23.1" customHeight="1" x14ac:dyDescent="0.25">
      <c r="B51" s="24" t="s">
        <v>78</v>
      </c>
      <c r="C51" s="51">
        <v>3</v>
      </c>
      <c r="D51" s="50">
        <v>1</v>
      </c>
      <c r="E51" s="51">
        <v>5</v>
      </c>
      <c r="F51" s="51">
        <v>2</v>
      </c>
      <c r="G51" s="51">
        <v>0</v>
      </c>
      <c r="H51" s="51">
        <v>0</v>
      </c>
      <c r="I51" s="51">
        <v>6</v>
      </c>
      <c r="J51" s="51">
        <v>1</v>
      </c>
      <c r="K51" s="51">
        <v>0</v>
      </c>
      <c r="L51" s="50">
        <v>0</v>
      </c>
      <c r="M51" s="51">
        <v>4</v>
      </c>
      <c r="N51" s="51">
        <v>0</v>
      </c>
      <c r="O51" s="15">
        <f t="shared" si="0"/>
        <v>18</v>
      </c>
      <c r="P51" s="15">
        <f t="shared" si="1"/>
        <v>22</v>
      </c>
      <c r="R51" s="8"/>
      <c r="T51"/>
    </row>
    <row r="52" spans="2:20" ht="23.1" customHeight="1" x14ac:dyDescent="0.25">
      <c r="B52" s="24" t="s">
        <v>79</v>
      </c>
      <c r="C52" s="51">
        <v>3</v>
      </c>
      <c r="D52" s="50">
        <v>3</v>
      </c>
      <c r="E52" s="51">
        <v>9</v>
      </c>
      <c r="F52" s="51">
        <v>2</v>
      </c>
      <c r="G52" s="51">
        <v>0</v>
      </c>
      <c r="H52" s="51">
        <v>0</v>
      </c>
      <c r="I52" s="51">
        <v>4</v>
      </c>
      <c r="J52" s="51">
        <v>1</v>
      </c>
      <c r="K52" s="51">
        <v>0</v>
      </c>
      <c r="L52" s="50">
        <v>0</v>
      </c>
      <c r="M52" s="51">
        <v>5</v>
      </c>
      <c r="N52" s="51">
        <v>1</v>
      </c>
      <c r="O52" s="15">
        <f t="shared" si="0"/>
        <v>23</v>
      </c>
      <c r="P52" s="15">
        <f t="shared" si="1"/>
        <v>28</v>
      </c>
      <c r="R52" s="8"/>
      <c r="T52"/>
    </row>
    <row r="53" spans="2:20" ht="23.1" customHeight="1" x14ac:dyDescent="0.25">
      <c r="B53" s="23" t="s">
        <v>80</v>
      </c>
      <c r="C53" s="51">
        <v>0</v>
      </c>
      <c r="D53" s="50">
        <v>1</v>
      </c>
      <c r="E53" s="51">
        <v>3</v>
      </c>
      <c r="F53" s="51">
        <v>1</v>
      </c>
      <c r="G53" s="51">
        <v>0</v>
      </c>
      <c r="H53" s="51">
        <v>1</v>
      </c>
      <c r="I53" s="51">
        <v>3</v>
      </c>
      <c r="J53" s="51">
        <v>0</v>
      </c>
      <c r="K53" s="51">
        <v>0</v>
      </c>
      <c r="L53" s="50">
        <v>0</v>
      </c>
      <c r="M53" s="51">
        <v>2</v>
      </c>
      <c r="N53" s="51">
        <v>0</v>
      </c>
      <c r="O53" s="15">
        <f t="shared" si="0"/>
        <v>9</v>
      </c>
      <c r="P53" s="15">
        <f t="shared" si="1"/>
        <v>11</v>
      </c>
      <c r="R53" s="8"/>
      <c r="T53"/>
    </row>
    <row r="54" spans="2:20" ht="23.1" customHeight="1" x14ac:dyDescent="0.25">
      <c r="B54" s="23" t="s">
        <v>81</v>
      </c>
      <c r="C54" s="51">
        <v>1</v>
      </c>
      <c r="D54" s="50">
        <v>0</v>
      </c>
      <c r="E54" s="51">
        <v>3</v>
      </c>
      <c r="F54" s="51">
        <v>3</v>
      </c>
      <c r="G54" s="51">
        <v>0</v>
      </c>
      <c r="H54" s="51">
        <v>2</v>
      </c>
      <c r="I54" s="51">
        <v>3</v>
      </c>
      <c r="J54" s="51">
        <v>0</v>
      </c>
      <c r="K54" s="51">
        <v>0</v>
      </c>
      <c r="L54" s="50">
        <v>3</v>
      </c>
      <c r="M54" s="51">
        <v>5</v>
      </c>
      <c r="N54" s="51">
        <v>0</v>
      </c>
      <c r="O54" s="15">
        <f t="shared" si="0"/>
        <v>15</v>
      </c>
      <c r="P54" s="15">
        <f t="shared" si="1"/>
        <v>20</v>
      </c>
      <c r="R54" s="8"/>
      <c r="T54"/>
    </row>
    <row r="55" spans="2:20" ht="23.1" customHeight="1" x14ac:dyDescent="0.25">
      <c r="B55" s="23" t="s">
        <v>82</v>
      </c>
      <c r="C55" s="51">
        <v>1</v>
      </c>
      <c r="D55" s="50">
        <v>1</v>
      </c>
      <c r="E55" s="51">
        <v>5</v>
      </c>
      <c r="F55" s="51">
        <v>4</v>
      </c>
      <c r="G55" s="51">
        <v>0</v>
      </c>
      <c r="H55" s="51">
        <v>1</v>
      </c>
      <c r="I55" s="51">
        <v>3</v>
      </c>
      <c r="J55" s="51">
        <v>0</v>
      </c>
      <c r="K55" s="51">
        <v>0</v>
      </c>
      <c r="L55" s="50">
        <v>2</v>
      </c>
      <c r="M55" s="51">
        <v>4</v>
      </c>
      <c r="N55" s="51">
        <v>0</v>
      </c>
      <c r="O55" s="15">
        <f t="shared" si="0"/>
        <v>17</v>
      </c>
      <c r="P55" s="15">
        <f t="shared" si="1"/>
        <v>21</v>
      </c>
      <c r="R55" s="8"/>
      <c r="T55"/>
    </row>
    <row r="56" spans="2:20" ht="23.1" customHeight="1" x14ac:dyDescent="0.25">
      <c r="B56" s="23" t="s">
        <v>83</v>
      </c>
      <c r="C56" s="51">
        <v>1</v>
      </c>
      <c r="D56" s="50">
        <v>0</v>
      </c>
      <c r="E56" s="51">
        <v>3</v>
      </c>
      <c r="F56" s="51">
        <v>3</v>
      </c>
      <c r="G56" s="51">
        <v>0</v>
      </c>
      <c r="H56" s="51">
        <v>0</v>
      </c>
      <c r="I56" s="51">
        <v>5</v>
      </c>
      <c r="J56" s="51">
        <v>0</v>
      </c>
      <c r="K56" s="51">
        <v>0</v>
      </c>
      <c r="L56" s="50">
        <v>0</v>
      </c>
      <c r="M56" s="51">
        <v>5</v>
      </c>
      <c r="N56" s="51">
        <v>0</v>
      </c>
      <c r="O56" s="15">
        <f t="shared" si="0"/>
        <v>12</v>
      </c>
      <c r="P56" s="15">
        <f t="shared" si="1"/>
        <v>17</v>
      </c>
      <c r="R56" s="8"/>
      <c r="T56"/>
    </row>
    <row r="57" spans="2:20" ht="23.1" customHeight="1" x14ac:dyDescent="0.25">
      <c r="B57" s="23" t="s">
        <v>84</v>
      </c>
      <c r="C57" s="51">
        <v>0</v>
      </c>
      <c r="D57" s="50">
        <v>0</v>
      </c>
      <c r="E57" s="51">
        <v>3</v>
      </c>
      <c r="F57" s="51">
        <v>1</v>
      </c>
      <c r="G57" s="51">
        <v>0</v>
      </c>
      <c r="H57" s="51">
        <v>0</v>
      </c>
      <c r="I57" s="51">
        <v>1</v>
      </c>
      <c r="J57" s="51">
        <v>0</v>
      </c>
      <c r="K57" s="51">
        <v>0</v>
      </c>
      <c r="L57" s="50">
        <v>1</v>
      </c>
      <c r="M57" s="51">
        <v>1</v>
      </c>
      <c r="N57" s="51">
        <v>0</v>
      </c>
      <c r="O57" s="15">
        <f t="shared" si="0"/>
        <v>6</v>
      </c>
      <c r="P57" s="15">
        <f t="shared" si="1"/>
        <v>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67</v>
      </c>
      <c r="D58" s="16">
        <f t="shared" si="21"/>
        <v>34</v>
      </c>
      <c r="E58" s="16">
        <f t="shared" si="21"/>
        <v>162</v>
      </c>
      <c r="F58" s="16">
        <f t="shared" si="21"/>
        <v>59</v>
      </c>
      <c r="G58" s="16">
        <f t="shared" si="21"/>
        <v>1</v>
      </c>
      <c r="H58" s="16">
        <f t="shared" si="21"/>
        <v>40</v>
      </c>
      <c r="I58" s="16">
        <f t="shared" si="21"/>
        <v>101</v>
      </c>
      <c r="J58" s="16">
        <f t="shared" si="21"/>
        <v>17</v>
      </c>
      <c r="K58" s="16">
        <f t="shared" si="21"/>
        <v>4</v>
      </c>
      <c r="L58" s="16">
        <f t="shared" si="21"/>
        <v>48</v>
      </c>
      <c r="M58" s="16">
        <f t="shared" si="21"/>
        <v>155</v>
      </c>
      <c r="N58" s="16">
        <f t="shared" si="21"/>
        <v>2</v>
      </c>
      <c r="O58" s="16">
        <f t="shared" si="21"/>
        <v>535</v>
      </c>
      <c r="P58" s="16">
        <f t="shared" si="21"/>
        <v>690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9.7101449275362323E-2</v>
      </c>
      <c r="D59" s="43">
        <f t="shared" si="22"/>
        <v>4.9275362318840582E-2</v>
      </c>
      <c r="E59" s="43">
        <f t="shared" si="22"/>
        <v>0.23478260869565218</v>
      </c>
      <c r="F59" s="43">
        <f t="shared" si="22"/>
        <v>8.5507246376811591E-2</v>
      </c>
      <c r="G59" s="43">
        <f t="shared" si="22"/>
        <v>1.4492753623188406E-3</v>
      </c>
      <c r="H59" s="43">
        <f t="shared" si="22"/>
        <v>5.7971014492753624E-2</v>
      </c>
      <c r="I59" s="43">
        <f t="shared" si="22"/>
        <v>0.1463768115942029</v>
      </c>
      <c r="J59" s="43">
        <f t="shared" si="22"/>
        <v>2.4637681159420291E-2</v>
      </c>
      <c r="K59" s="43">
        <f t="shared" si="22"/>
        <v>5.7971014492753624E-3</v>
      </c>
      <c r="L59" s="43">
        <f t="shared" si="22"/>
        <v>6.9565217391304349E-2</v>
      </c>
      <c r="M59" s="43">
        <f t="shared" si="22"/>
        <v>0.22463768115942029</v>
      </c>
      <c r="N59" s="43">
        <f t="shared" si="22"/>
        <v>2.8985507246376812E-3</v>
      </c>
      <c r="R59" s="8"/>
      <c r="T59"/>
    </row>
    <row r="60" spans="2:20" ht="23.1" customHeight="1" x14ac:dyDescent="0.25">
      <c r="B60" s="42" t="s">
        <v>94</v>
      </c>
      <c r="C60" s="44">
        <f>C58/$O$58</f>
        <v>0.12523364485981309</v>
      </c>
      <c r="D60" s="44">
        <f t="shared" ref="D60:N60" si="23">D58/$O$58</f>
        <v>6.3551401869158877E-2</v>
      </c>
      <c r="E60" s="44">
        <f t="shared" si="23"/>
        <v>0.30280373831775703</v>
      </c>
      <c r="F60" s="44">
        <f t="shared" si="23"/>
        <v>0.1102803738317757</v>
      </c>
      <c r="G60" s="44">
        <f t="shared" si="23"/>
        <v>1.869158878504673E-3</v>
      </c>
      <c r="H60" s="44">
        <f t="shared" si="23"/>
        <v>7.476635514018691E-2</v>
      </c>
      <c r="I60" s="44">
        <f t="shared" si="23"/>
        <v>0.18878504672897195</v>
      </c>
      <c r="J60" s="44">
        <f t="shared" si="23"/>
        <v>3.1775700934579439E-2</v>
      </c>
      <c r="K60" s="44">
        <f t="shared" si="23"/>
        <v>7.4766355140186919E-3</v>
      </c>
      <c r="L60" s="44">
        <f t="shared" si="23"/>
        <v>8.9719626168224292E-2</v>
      </c>
      <c r="M60" s="44"/>
      <c r="N60" s="44">
        <f t="shared" si="23"/>
        <v>3.7383177570093459E-3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zoomScale="60" workbookViewId="0">
      <selection activeCell="M10" sqref="M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'29.07 Kigumba-Karuma'!C3:G3</f>
        <v>MCC - C5 - STN113 - KIGUMBA-KARUMA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'30.07 Karuma-Kigumba'!D5</f>
        <v>30.07.19</v>
      </c>
      <c r="E5" s="3"/>
      <c r="F5" s="41" t="s">
        <v>1</v>
      </c>
      <c r="G5" s="71" t="str">
        <f>'29.07 Karuma-Kigumba'!G5:H5</f>
        <v>nanda</v>
      </c>
      <c r="H5" s="72"/>
      <c r="I5" s="14"/>
      <c r="J5" s="2" t="s">
        <v>5</v>
      </c>
      <c r="K5" s="71" t="str">
        <f>'29.07 Karuma-Kigumba'!K5:L5</f>
        <v>xxx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'29.07 Kigumba-Karuma'!D6:E6</f>
        <v>Kigumba</v>
      </c>
      <c r="E6" s="72"/>
      <c r="F6" s="2" t="s">
        <v>2</v>
      </c>
      <c r="G6" s="71" t="str">
        <f>'29.07 Kigumba-Karuma'!G6:H6</f>
        <v>Karuma</v>
      </c>
      <c r="H6" s="72"/>
      <c r="J6" s="2" t="s">
        <v>21</v>
      </c>
      <c r="K6" s="71" t="str">
        <f>'29.07 Karuma-Kigumba'!K6:L6</f>
        <v>xxx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1">
        <v>1</v>
      </c>
      <c r="D10" s="50">
        <v>0</v>
      </c>
      <c r="E10" s="51">
        <v>0</v>
      </c>
      <c r="F10" s="51">
        <v>1</v>
      </c>
      <c r="G10" s="51">
        <v>0</v>
      </c>
      <c r="H10" s="51">
        <v>0</v>
      </c>
      <c r="I10" s="51">
        <v>1</v>
      </c>
      <c r="J10" s="51">
        <v>0</v>
      </c>
      <c r="K10" s="51">
        <v>0</v>
      </c>
      <c r="L10" s="50">
        <v>3</v>
      </c>
      <c r="M10" s="51">
        <v>4</v>
      </c>
      <c r="N10" s="51">
        <v>0</v>
      </c>
      <c r="O10" s="15">
        <f t="shared" ref="O10:O57" si="0">SUM(C10:L10,N10)</f>
        <v>6</v>
      </c>
      <c r="P10" s="15">
        <f t="shared" ref="P10:P57" si="1">SUM(C10:N10)</f>
        <v>10</v>
      </c>
      <c r="R10" s="1" t="s">
        <v>6</v>
      </c>
      <c r="S10" s="17">
        <f t="shared" ref="S10:AF10" si="2">SUM(C10:C13)</f>
        <v>2</v>
      </c>
      <c r="T10" s="17">
        <f t="shared" si="2"/>
        <v>4</v>
      </c>
      <c r="U10" s="17">
        <f t="shared" si="2"/>
        <v>6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0</v>
      </c>
      <c r="AA10" s="17">
        <f t="shared" si="2"/>
        <v>0</v>
      </c>
      <c r="AB10" s="17">
        <f t="shared" si="2"/>
        <v>13</v>
      </c>
      <c r="AC10" s="17">
        <f t="shared" si="2"/>
        <v>9</v>
      </c>
      <c r="AD10" s="17">
        <f t="shared" si="2"/>
        <v>0</v>
      </c>
      <c r="AE10" s="31">
        <f t="shared" si="2"/>
        <v>34</v>
      </c>
      <c r="AF10" s="31">
        <f t="shared" si="2"/>
        <v>43</v>
      </c>
    </row>
    <row r="11" spans="2:32" s="6" customFormat="1" ht="23.1" customHeight="1" x14ac:dyDescent="0.25">
      <c r="B11" s="23" t="s">
        <v>38</v>
      </c>
      <c r="C11" s="51">
        <v>1</v>
      </c>
      <c r="D11" s="50">
        <v>2</v>
      </c>
      <c r="E11" s="51">
        <v>2</v>
      </c>
      <c r="F11" s="51">
        <v>1</v>
      </c>
      <c r="G11" s="51">
        <v>0</v>
      </c>
      <c r="H11" s="51">
        <v>0</v>
      </c>
      <c r="I11" s="51">
        <v>2</v>
      </c>
      <c r="J11" s="51">
        <v>0</v>
      </c>
      <c r="K11" s="51">
        <v>0</v>
      </c>
      <c r="L11" s="50">
        <v>0</v>
      </c>
      <c r="M11" s="51">
        <v>0</v>
      </c>
      <c r="N11" s="51">
        <v>0</v>
      </c>
      <c r="O11" s="15">
        <f t="shared" si="0"/>
        <v>8</v>
      </c>
      <c r="P11" s="15">
        <f t="shared" si="1"/>
        <v>8</v>
      </c>
      <c r="R11" s="1" t="s">
        <v>7</v>
      </c>
      <c r="S11" s="17">
        <f t="shared" ref="S11:AF11" si="3">SUM(C14:C17)</f>
        <v>6</v>
      </c>
      <c r="T11" s="17">
        <f t="shared" si="3"/>
        <v>8</v>
      </c>
      <c r="U11" s="17">
        <f t="shared" si="3"/>
        <v>10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2</v>
      </c>
      <c r="AA11" s="17">
        <f t="shared" si="3"/>
        <v>2</v>
      </c>
      <c r="AB11" s="17">
        <f t="shared" si="3"/>
        <v>3</v>
      </c>
      <c r="AC11" s="17">
        <f t="shared" si="3"/>
        <v>9</v>
      </c>
      <c r="AD11" s="17">
        <f t="shared" si="3"/>
        <v>1</v>
      </c>
      <c r="AE11" s="31">
        <f t="shared" si="3"/>
        <v>43</v>
      </c>
      <c r="AF11" s="31">
        <f t="shared" si="3"/>
        <v>52</v>
      </c>
    </row>
    <row r="12" spans="2:32" ht="23.1" customHeight="1" x14ac:dyDescent="0.25">
      <c r="B12" s="23" t="s">
        <v>39</v>
      </c>
      <c r="C12" s="51">
        <v>0</v>
      </c>
      <c r="D12" s="50">
        <v>1</v>
      </c>
      <c r="E12" s="51">
        <v>2</v>
      </c>
      <c r="F12" s="51">
        <v>2</v>
      </c>
      <c r="G12" s="51">
        <v>0</v>
      </c>
      <c r="H12" s="51">
        <v>0</v>
      </c>
      <c r="I12" s="51">
        <v>1</v>
      </c>
      <c r="J12" s="51">
        <v>0</v>
      </c>
      <c r="K12" s="51">
        <v>0</v>
      </c>
      <c r="L12" s="50">
        <v>4</v>
      </c>
      <c r="M12" s="51">
        <v>3</v>
      </c>
      <c r="N12" s="51">
        <v>0</v>
      </c>
      <c r="O12" s="15">
        <f t="shared" si="0"/>
        <v>10</v>
      </c>
      <c r="P12" s="15">
        <f t="shared" si="1"/>
        <v>13</v>
      </c>
      <c r="R12" s="1" t="s">
        <v>8</v>
      </c>
      <c r="S12" s="17">
        <f t="shared" ref="S12:AF12" si="4">SUM(C18:C21)</f>
        <v>6</v>
      </c>
      <c r="T12" s="17">
        <f t="shared" si="4"/>
        <v>6</v>
      </c>
      <c r="U12" s="17">
        <f t="shared" si="4"/>
        <v>8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0</v>
      </c>
      <c r="AA12" s="17">
        <f t="shared" si="4"/>
        <v>0</v>
      </c>
      <c r="AB12" s="17">
        <f t="shared" si="4"/>
        <v>7</v>
      </c>
      <c r="AC12" s="17">
        <f t="shared" si="4"/>
        <v>12</v>
      </c>
      <c r="AD12" s="17">
        <f t="shared" si="4"/>
        <v>0</v>
      </c>
      <c r="AE12" s="31">
        <f t="shared" si="4"/>
        <v>41</v>
      </c>
      <c r="AF12" s="31">
        <f t="shared" si="4"/>
        <v>53</v>
      </c>
    </row>
    <row r="13" spans="2:32" ht="23.1" customHeight="1" x14ac:dyDescent="0.25">
      <c r="B13" s="23" t="s">
        <v>40</v>
      </c>
      <c r="C13" s="51">
        <v>0</v>
      </c>
      <c r="D13" s="50">
        <v>1</v>
      </c>
      <c r="E13" s="51">
        <v>2</v>
      </c>
      <c r="F13" s="51">
        <v>0</v>
      </c>
      <c r="G13" s="51">
        <v>0</v>
      </c>
      <c r="H13" s="51">
        <v>0</v>
      </c>
      <c r="I13" s="51">
        <v>1</v>
      </c>
      <c r="J13" s="51">
        <v>0</v>
      </c>
      <c r="K13" s="51">
        <v>0</v>
      </c>
      <c r="L13" s="50">
        <v>6</v>
      </c>
      <c r="M13" s="51">
        <v>2</v>
      </c>
      <c r="N13" s="51">
        <v>0</v>
      </c>
      <c r="O13" s="15">
        <f t="shared" si="0"/>
        <v>10</v>
      </c>
      <c r="P13" s="15">
        <f t="shared" si="1"/>
        <v>12</v>
      </c>
      <c r="R13" s="1" t="s">
        <v>9</v>
      </c>
      <c r="S13" s="17">
        <f t="shared" ref="S13:AF13" si="5">SUM(C22:C25)</f>
        <v>9</v>
      </c>
      <c r="T13" s="17">
        <f t="shared" si="5"/>
        <v>7</v>
      </c>
      <c r="U13" s="17">
        <f t="shared" si="5"/>
        <v>9</v>
      </c>
      <c r="V13" s="17">
        <f t="shared" si="5"/>
        <v>8</v>
      </c>
      <c r="W13" s="17">
        <f t="shared" si="5"/>
        <v>0</v>
      </c>
      <c r="X13" s="17">
        <f t="shared" si="5"/>
        <v>3</v>
      </c>
      <c r="Y13" s="17">
        <f t="shared" si="5"/>
        <v>8</v>
      </c>
      <c r="Z13" s="17">
        <f t="shared" si="5"/>
        <v>1</v>
      </c>
      <c r="AA13" s="17">
        <f t="shared" si="5"/>
        <v>0</v>
      </c>
      <c r="AB13" s="17">
        <f t="shared" si="5"/>
        <v>4</v>
      </c>
      <c r="AC13" s="17">
        <f t="shared" si="5"/>
        <v>12</v>
      </c>
      <c r="AD13" s="17">
        <f t="shared" si="5"/>
        <v>0</v>
      </c>
      <c r="AE13" s="31">
        <f t="shared" si="5"/>
        <v>49</v>
      </c>
      <c r="AF13" s="31">
        <f t="shared" si="5"/>
        <v>61</v>
      </c>
    </row>
    <row r="14" spans="2:32" ht="23.1" customHeight="1" x14ac:dyDescent="0.25">
      <c r="B14" s="23" t="s">
        <v>41</v>
      </c>
      <c r="C14" s="51">
        <v>1</v>
      </c>
      <c r="D14" s="50">
        <v>2</v>
      </c>
      <c r="E14" s="51">
        <v>2</v>
      </c>
      <c r="F14" s="51">
        <v>1</v>
      </c>
      <c r="G14" s="51">
        <v>0</v>
      </c>
      <c r="H14" s="51">
        <v>0</v>
      </c>
      <c r="I14" s="51">
        <v>2</v>
      </c>
      <c r="J14" s="51">
        <v>0</v>
      </c>
      <c r="K14" s="51">
        <v>1</v>
      </c>
      <c r="L14" s="50">
        <v>0</v>
      </c>
      <c r="M14" s="51">
        <v>2</v>
      </c>
      <c r="N14" s="51">
        <v>0</v>
      </c>
      <c r="O14" s="15">
        <f t="shared" si="0"/>
        <v>9</v>
      </c>
      <c r="P14" s="15">
        <f t="shared" si="1"/>
        <v>11</v>
      </c>
      <c r="R14" s="1" t="s">
        <v>10</v>
      </c>
      <c r="S14" s="17">
        <f t="shared" ref="S14:AF14" si="6">SUM(C26:C29)</f>
        <v>7</v>
      </c>
      <c r="T14" s="17">
        <f t="shared" si="6"/>
        <v>6</v>
      </c>
      <c r="U14" s="17">
        <f t="shared" si="6"/>
        <v>9</v>
      </c>
      <c r="V14" s="17">
        <f t="shared" si="6"/>
        <v>5</v>
      </c>
      <c r="W14" s="17">
        <f t="shared" si="6"/>
        <v>1</v>
      </c>
      <c r="X14" s="17">
        <f t="shared" si="6"/>
        <v>4</v>
      </c>
      <c r="Y14" s="17">
        <f t="shared" si="6"/>
        <v>7</v>
      </c>
      <c r="Z14" s="17">
        <f t="shared" si="6"/>
        <v>0</v>
      </c>
      <c r="AA14" s="17">
        <f t="shared" si="6"/>
        <v>0</v>
      </c>
      <c r="AB14" s="17">
        <f t="shared" si="6"/>
        <v>3</v>
      </c>
      <c r="AC14" s="17">
        <f t="shared" si="6"/>
        <v>15</v>
      </c>
      <c r="AD14" s="17">
        <f t="shared" si="6"/>
        <v>0</v>
      </c>
      <c r="AE14" s="31">
        <f t="shared" si="6"/>
        <v>42</v>
      </c>
      <c r="AF14" s="31">
        <f t="shared" si="6"/>
        <v>57</v>
      </c>
    </row>
    <row r="15" spans="2:32" ht="23.1" customHeight="1" x14ac:dyDescent="0.25">
      <c r="B15" s="23" t="s">
        <v>42</v>
      </c>
      <c r="C15" s="51">
        <v>2</v>
      </c>
      <c r="D15" s="50">
        <v>1</v>
      </c>
      <c r="E15" s="51">
        <v>2</v>
      </c>
      <c r="F15" s="51">
        <v>2</v>
      </c>
      <c r="G15" s="51">
        <v>0</v>
      </c>
      <c r="H15" s="51">
        <v>0</v>
      </c>
      <c r="I15" s="51">
        <v>3</v>
      </c>
      <c r="J15" s="51">
        <v>1</v>
      </c>
      <c r="K15" s="51">
        <v>1</v>
      </c>
      <c r="L15" s="50">
        <v>1</v>
      </c>
      <c r="M15" s="51">
        <v>0</v>
      </c>
      <c r="N15" s="51">
        <v>0</v>
      </c>
      <c r="O15" s="15">
        <f t="shared" si="0"/>
        <v>13</v>
      </c>
      <c r="P15" s="15">
        <f t="shared" si="1"/>
        <v>13</v>
      </c>
      <c r="R15" s="1" t="s">
        <v>11</v>
      </c>
      <c r="S15" s="17">
        <f t="shared" ref="S15:AF15" si="7">SUM(C30:C33)</f>
        <v>12</v>
      </c>
      <c r="T15" s="17">
        <f t="shared" si="7"/>
        <v>5</v>
      </c>
      <c r="U15" s="17">
        <f t="shared" si="7"/>
        <v>8</v>
      </c>
      <c r="V15" s="17">
        <f t="shared" si="7"/>
        <v>8</v>
      </c>
      <c r="W15" s="17">
        <f t="shared" si="7"/>
        <v>0</v>
      </c>
      <c r="X15" s="17">
        <f t="shared" si="7"/>
        <v>3</v>
      </c>
      <c r="Y15" s="17">
        <f t="shared" si="7"/>
        <v>7</v>
      </c>
      <c r="Z15" s="17">
        <f t="shared" si="7"/>
        <v>0</v>
      </c>
      <c r="AA15" s="17">
        <f t="shared" si="7"/>
        <v>0</v>
      </c>
      <c r="AB15" s="17">
        <f t="shared" si="7"/>
        <v>2</v>
      </c>
      <c r="AC15" s="17">
        <f t="shared" si="7"/>
        <v>12</v>
      </c>
      <c r="AD15" s="17">
        <f t="shared" si="7"/>
        <v>0</v>
      </c>
      <c r="AE15" s="31">
        <f t="shared" si="7"/>
        <v>45</v>
      </c>
      <c r="AF15" s="31">
        <f t="shared" si="7"/>
        <v>57</v>
      </c>
    </row>
    <row r="16" spans="2:32" ht="23.1" customHeight="1" x14ac:dyDescent="0.25">
      <c r="B16" s="23" t="s">
        <v>43</v>
      </c>
      <c r="C16" s="51">
        <v>1</v>
      </c>
      <c r="D16" s="50">
        <v>2</v>
      </c>
      <c r="E16" s="51">
        <v>3</v>
      </c>
      <c r="F16" s="51">
        <v>0</v>
      </c>
      <c r="G16" s="51">
        <v>0</v>
      </c>
      <c r="H16" s="51">
        <v>0</v>
      </c>
      <c r="I16" s="51">
        <v>1</v>
      </c>
      <c r="J16" s="51">
        <v>1</v>
      </c>
      <c r="K16" s="51">
        <v>0</v>
      </c>
      <c r="L16" s="50">
        <v>1</v>
      </c>
      <c r="M16" s="51">
        <v>4</v>
      </c>
      <c r="N16" s="51">
        <v>0</v>
      </c>
      <c r="O16" s="15">
        <f t="shared" si="0"/>
        <v>9</v>
      </c>
      <c r="P16" s="15">
        <f t="shared" si="1"/>
        <v>13</v>
      </c>
      <c r="R16" s="1" t="s">
        <v>12</v>
      </c>
      <c r="S16" s="17">
        <f t="shared" ref="S16:AF16" si="8">SUM(C34:C37)</f>
        <v>3</v>
      </c>
      <c r="T16" s="17">
        <f t="shared" si="8"/>
        <v>12</v>
      </c>
      <c r="U16" s="17">
        <f t="shared" si="8"/>
        <v>13</v>
      </c>
      <c r="V16" s="17">
        <f t="shared" si="8"/>
        <v>8</v>
      </c>
      <c r="W16" s="17">
        <f t="shared" si="8"/>
        <v>0</v>
      </c>
      <c r="X16" s="17">
        <f t="shared" si="8"/>
        <v>4</v>
      </c>
      <c r="Y16" s="17">
        <f t="shared" si="8"/>
        <v>10</v>
      </c>
      <c r="Z16" s="17">
        <f t="shared" si="8"/>
        <v>0</v>
      </c>
      <c r="AA16" s="17">
        <f t="shared" si="8"/>
        <v>0</v>
      </c>
      <c r="AB16" s="17">
        <f t="shared" si="8"/>
        <v>5</v>
      </c>
      <c r="AC16" s="17">
        <f t="shared" si="8"/>
        <v>11</v>
      </c>
      <c r="AD16" s="17">
        <f t="shared" si="8"/>
        <v>0</v>
      </c>
      <c r="AE16" s="31">
        <f t="shared" si="8"/>
        <v>55</v>
      </c>
      <c r="AF16" s="31">
        <f t="shared" si="8"/>
        <v>66</v>
      </c>
    </row>
    <row r="17" spans="2:32" ht="23.1" customHeight="1" x14ac:dyDescent="0.25">
      <c r="B17" s="23" t="s">
        <v>44</v>
      </c>
      <c r="C17" s="51">
        <v>2</v>
      </c>
      <c r="D17" s="50">
        <v>3</v>
      </c>
      <c r="E17" s="51">
        <v>3</v>
      </c>
      <c r="F17" s="51">
        <v>2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0">
        <v>1</v>
      </c>
      <c r="M17" s="51">
        <v>3</v>
      </c>
      <c r="N17" s="51">
        <v>1</v>
      </c>
      <c r="O17" s="15">
        <f t="shared" si="0"/>
        <v>12</v>
      </c>
      <c r="P17" s="15">
        <f t="shared" si="1"/>
        <v>15</v>
      </c>
      <c r="R17" s="1" t="s">
        <v>13</v>
      </c>
      <c r="S17" s="17">
        <f t="shared" ref="S17:AF17" si="9">SUM(C38:C41)</f>
        <v>12</v>
      </c>
      <c r="T17" s="17">
        <f t="shared" si="9"/>
        <v>10</v>
      </c>
      <c r="U17" s="17">
        <f t="shared" si="9"/>
        <v>13</v>
      </c>
      <c r="V17" s="17">
        <f t="shared" si="9"/>
        <v>5</v>
      </c>
      <c r="W17" s="17">
        <f t="shared" si="9"/>
        <v>0</v>
      </c>
      <c r="X17" s="17">
        <f t="shared" si="9"/>
        <v>2</v>
      </c>
      <c r="Y17" s="17">
        <f t="shared" si="9"/>
        <v>6</v>
      </c>
      <c r="Z17" s="17">
        <f t="shared" si="9"/>
        <v>1</v>
      </c>
      <c r="AA17" s="17">
        <f t="shared" si="9"/>
        <v>0</v>
      </c>
      <c r="AB17" s="17">
        <f t="shared" si="9"/>
        <v>4</v>
      </c>
      <c r="AC17" s="17">
        <f t="shared" si="9"/>
        <v>14</v>
      </c>
      <c r="AD17" s="17">
        <f t="shared" si="9"/>
        <v>0</v>
      </c>
      <c r="AE17" s="31">
        <f t="shared" si="9"/>
        <v>53</v>
      </c>
      <c r="AF17" s="31">
        <f t="shared" si="9"/>
        <v>67</v>
      </c>
    </row>
    <row r="18" spans="2:32" ht="23.1" customHeight="1" x14ac:dyDescent="0.25">
      <c r="B18" s="23" t="s">
        <v>45</v>
      </c>
      <c r="C18" s="51">
        <v>2</v>
      </c>
      <c r="D18" s="50">
        <v>1</v>
      </c>
      <c r="E18" s="51">
        <v>1</v>
      </c>
      <c r="F18" s="51">
        <v>2</v>
      </c>
      <c r="G18" s="51">
        <v>0</v>
      </c>
      <c r="H18" s="51">
        <v>0</v>
      </c>
      <c r="I18" s="51">
        <v>2</v>
      </c>
      <c r="J18" s="51">
        <v>0</v>
      </c>
      <c r="K18" s="51">
        <v>0</v>
      </c>
      <c r="L18" s="50">
        <v>6</v>
      </c>
      <c r="M18" s="51">
        <v>3</v>
      </c>
      <c r="N18" s="51">
        <v>0</v>
      </c>
      <c r="O18" s="15">
        <f t="shared" si="0"/>
        <v>14</v>
      </c>
      <c r="P18" s="15">
        <f t="shared" si="1"/>
        <v>17</v>
      </c>
      <c r="R18" s="1" t="s">
        <v>14</v>
      </c>
      <c r="S18" s="17">
        <f t="shared" ref="S18:AF18" si="10">SUM(C42:C45)</f>
        <v>10</v>
      </c>
      <c r="T18" s="17">
        <f t="shared" si="10"/>
        <v>15</v>
      </c>
      <c r="U18" s="17">
        <f t="shared" si="10"/>
        <v>17</v>
      </c>
      <c r="V18" s="17">
        <f t="shared" si="10"/>
        <v>2</v>
      </c>
      <c r="W18" s="17">
        <f t="shared" si="10"/>
        <v>0</v>
      </c>
      <c r="X18" s="17">
        <f t="shared" si="10"/>
        <v>6</v>
      </c>
      <c r="Y18" s="17">
        <f t="shared" si="10"/>
        <v>6</v>
      </c>
      <c r="Z18" s="17">
        <f t="shared" si="10"/>
        <v>0</v>
      </c>
      <c r="AA18" s="17">
        <f t="shared" si="10"/>
        <v>0</v>
      </c>
      <c r="AB18" s="17">
        <f t="shared" si="10"/>
        <v>3</v>
      </c>
      <c r="AC18" s="17">
        <f t="shared" si="10"/>
        <v>12</v>
      </c>
      <c r="AD18" s="17">
        <f t="shared" si="10"/>
        <v>0</v>
      </c>
      <c r="AE18" s="31">
        <f t="shared" si="10"/>
        <v>59</v>
      </c>
      <c r="AF18" s="31">
        <f t="shared" si="10"/>
        <v>71</v>
      </c>
    </row>
    <row r="19" spans="2:32" ht="23.1" customHeight="1" x14ac:dyDescent="0.25">
      <c r="B19" s="23" t="s">
        <v>46</v>
      </c>
      <c r="C19" s="51">
        <v>1</v>
      </c>
      <c r="D19" s="50">
        <v>2</v>
      </c>
      <c r="E19" s="51">
        <v>3</v>
      </c>
      <c r="F19" s="51">
        <v>1</v>
      </c>
      <c r="G19" s="51">
        <v>0</v>
      </c>
      <c r="H19" s="51">
        <v>0</v>
      </c>
      <c r="I19" s="51">
        <v>1</v>
      </c>
      <c r="J19" s="51">
        <v>0</v>
      </c>
      <c r="K19" s="51">
        <v>0</v>
      </c>
      <c r="L19" s="50">
        <v>1</v>
      </c>
      <c r="M19" s="51">
        <v>3</v>
      </c>
      <c r="N19" s="51">
        <v>0</v>
      </c>
      <c r="O19" s="15">
        <f t="shared" si="0"/>
        <v>9</v>
      </c>
      <c r="P19" s="15">
        <f t="shared" si="1"/>
        <v>12</v>
      </c>
      <c r="R19" s="1" t="s">
        <v>15</v>
      </c>
      <c r="S19" s="17">
        <f t="shared" ref="S19:AF19" si="11">SUM(C46:C49)</f>
        <v>11</v>
      </c>
      <c r="T19" s="17">
        <f t="shared" si="11"/>
        <v>14</v>
      </c>
      <c r="U19" s="17">
        <f t="shared" si="11"/>
        <v>16</v>
      </c>
      <c r="V19" s="17">
        <f t="shared" si="11"/>
        <v>14</v>
      </c>
      <c r="W19" s="17">
        <f t="shared" si="11"/>
        <v>0</v>
      </c>
      <c r="X19" s="17">
        <f t="shared" si="11"/>
        <v>7</v>
      </c>
      <c r="Y19" s="17">
        <f t="shared" si="11"/>
        <v>7</v>
      </c>
      <c r="Z19" s="17">
        <f t="shared" si="11"/>
        <v>0</v>
      </c>
      <c r="AA19" s="17">
        <f t="shared" si="11"/>
        <v>4</v>
      </c>
      <c r="AB19" s="17">
        <f t="shared" si="11"/>
        <v>8</v>
      </c>
      <c r="AC19" s="17">
        <f t="shared" si="11"/>
        <v>13</v>
      </c>
      <c r="AD19" s="17">
        <f t="shared" si="11"/>
        <v>0</v>
      </c>
      <c r="AE19" s="31">
        <f t="shared" si="11"/>
        <v>81</v>
      </c>
      <c r="AF19" s="31">
        <f t="shared" si="11"/>
        <v>94</v>
      </c>
    </row>
    <row r="20" spans="2:32" ht="23.1" customHeight="1" x14ac:dyDescent="0.25">
      <c r="B20" s="23" t="s">
        <v>47</v>
      </c>
      <c r="C20" s="51">
        <v>1</v>
      </c>
      <c r="D20" s="50">
        <v>2</v>
      </c>
      <c r="E20" s="51">
        <v>2</v>
      </c>
      <c r="F20" s="51">
        <v>2</v>
      </c>
      <c r="G20" s="51">
        <v>0</v>
      </c>
      <c r="H20" s="51">
        <v>0</v>
      </c>
      <c r="I20" s="51">
        <v>3</v>
      </c>
      <c r="J20" s="51">
        <v>0</v>
      </c>
      <c r="K20" s="51">
        <v>0</v>
      </c>
      <c r="L20" s="50">
        <v>0</v>
      </c>
      <c r="M20" s="51">
        <v>0</v>
      </c>
      <c r="N20" s="51">
        <v>0</v>
      </c>
      <c r="O20" s="15">
        <f t="shared" si="0"/>
        <v>10</v>
      </c>
      <c r="P20" s="15">
        <f t="shared" si="1"/>
        <v>10</v>
      </c>
      <c r="R20" s="1" t="s">
        <v>16</v>
      </c>
      <c r="S20" s="17">
        <f t="shared" ref="S20:AF20" si="12">SUM(C50:C53)</f>
        <v>7</v>
      </c>
      <c r="T20" s="17">
        <f t="shared" si="12"/>
        <v>19</v>
      </c>
      <c r="U20" s="17">
        <f t="shared" si="12"/>
        <v>21</v>
      </c>
      <c r="V20" s="17">
        <f t="shared" si="12"/>
        <v>9</v>
      </c>
      <c r="W20" s="17">
        <f t="shared" si="12"/>
        <v>1</v>
      </c>
      <c r="X20" s="17">
        <f t="shared" si="12"/>
        <v>7</v>
      </c>
      <c r="Y20" s="17">
        <f t="shared" si="12"/>
        <v>8</v>
      </c>
      <c r="Z20" s="17">
        <f t="shared" si="12"/>
        <v>2</v>
      </c>
      <c r="AA20" s="17">
        <f t="shared" si="12"/>
        <v>1</v>
      </c>
      <c r="AB20" s="17">
        <f t="shared" si="12"/>
        <v>3</v>
      </c>
      <c r="AC20" s="17">
        <f t="shared" si="12"/>
        <v>15</v>
      </c>
      <c r="AD20" s="17">
        <f t="shared" si="12"/>
        <v>1</v>
      </c>
      <c r="AE20" s="31">
        <f t="shared" si="12"/>
        <v>79</v>
      </c>
      <c r="AF20" s="31">
        <f t="shared" si="12"/>
        <v>94</v>
      </c>
    </row>
    <row r="21" spans="2:32" ht="23.1" customHeight="1" x14ac:dyDescent="0.25">
      <c r="B21" s="23" t="s">
        <v>48</v>
      </c>
      <c r="C21" s="51">
        <v>2</v>
      </c>
      <c r="D21" s="50">
        <v>1</v>
      </c>
      <c r="E21" s="51">
        <v>2</v>
      </c>
      <c r="F21" s="51">
        <v>2</v>
      </c>
      <c r="G21" s="51">
        <v>0</v>
      </c>
      <c r="H21" s="51">
        <v>0</v>
      </c>
      <c r="I21" s="51">
        <v>1</v>
      </c>
      <c r="J21" s="51">
        <v>0</v>
      </c>
      <c r="K21" s="51">
        <v>0</v>
      </c>
      <c r="L21" s="50">
        <v>0</v>
      </c>
      <c r="M21" s="51">
        <v>6</v>
      </c>
      <c r="N21" s="51">
        <v>0</v>
      </c>
      <c r="O21" s="15">
        <f t="shared" si="0"/>
        <v>8</v>
      </c>
      <c r="P21" s="15">
        <f t="shared" si="1"/>
        <v>14</v>
      </c>
      <c r="R21" s="36" t="s">
        <v>20</v>
      </c>
      <c r="S21" s="34">
        <f t="shared" ref="S21:AF21" si="13">SUM(C54:C57)</f>
        <v>4</v>
      </c>
      <c r="T21" s="17">
        <f t="shared" si="13"/>
        <v>9</v>
      </c>
      <c r="U21" s="17">
        <f t="shared" si="13"/>
        <v>13</v>
      </c>
      <c r="V21" s="17">
        <f t="shared" si="13"/>
        <v>9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1</v>
      </c>
      <c r="AA21" s="17">
        <f t="shared" si="13"/>
        <v>0</v>
      </c>
      <c r="AB21" s="17">
        <f t="shared" si="13"/>
        <v>5</v>
      </c>
      <c r="AC21" s="17">
        <f t="shared" si="13"/>
        <v>20</v>
      </c>
      <c r="AD21" s="17">
        <f t="shared" si="13"/>
        <v>0</v>
      </c>
      <c r="AE21" s="31">
        <f t="shared" si="13"/>
        <v>41</v>
      </c>
      <c r="AF21" s="31">
        <f t="shared" si="13"/>
        <v>61</v>
      </c>
    </row>
    <row r="22" spans="2:32" ht="23.1" customHeight="1" x14ac:dyDescent="0.25">
      <c r="B22" s="23" t="s">
        <v>49</v>
      </c>
      <c r="C22" s="51">
        <v>0</v>
      </c>
      <c r="D22" s="50">
        <v>1</v>
      </c>
      <c r="E22" s="51">
        <v>2</v>
      </c>
      <c r="F22" s="51">
        <v>2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0">
        <v>0</v>
      </c>
      <c r="M22" s="51">
        <v>5</v>
      </c>
      <c r="N22" s="51">
        <v>0</v>
      </c>
      <c r="O22" s="15">
        <f t="shared" si="0"/>
        <v>5</v>
      </c>
      <c r="P22" s="15">
        <f t="shared" si="1"/>
        <v>10</v>
      </c>
      <c r="R22" s="38" t="s">
        <v>90</v>
      </c>
      <c r="S22" s="39">
        <f>MAX(S10:S12)</f>
        <v>6</v>
      </c>
      <c r="T22" s="39">
        <f t="shared" ref="T22:AF22" si="14">MAX(T10:T12)</f>
        <v>8</v>
      </c>
      <c r="U22" s="39">
        <f t="shared" si="14"/>
        <v>10</v>
      </c>
      <c r="V22" s="39">
        <f t="shared" si="14"/>
        <v>7</v>
      </c>
      <c r="W22" s="39">
        <f t="shared" si="14"/>
        <v>0</v>
      </c>
      <c r="X22" s="39">
        <f t="shared" si="14"/>
        <v>0</v>
      </c>
      <c r="Y22" s="39">
        <f t="shared" si="14"/>
        <v>7</v>
      </c>
      <c r="Z22" s="39">
        <f t="shared" si="14"/>
        <v>2</v>
      </c>
      <c r="AA22" s="39">
        <f t="shared" si="14"/>
        <v>2</v>
      </c>
      <c r="AB22" s="39">
        <f t="shared" si="14"/>
        <v>13</v>
      </c>
      <c r="AC22" s="39">
        <f t="shared" si="14"/>
        <v>12</v>
      </c>
      <c r="AD22" s="39">
        <f t="shared" si="14"/>
        <v>1</v>
      </c>
      <c r="AE22" s="40">
        <f t="shared" si="14"/>
        <v>43</v>
      </c>
      <c r="AF22" s="40">
        <f t="shared" si="14"/>
        <v>53</v>
      </c>
    </row>
    <row r="23" spans="2:32" ht="23.1" customHeight="1" x14ac:dyDescent="0.25">
      <c r="B23" s="23" t="s">
        <v>50</v>
      </c>
      <c r="C23" s="51">
        <v>3</v>
      </c>
      <c r="D23" s="50">
        <v>2</v>
      </c>
      <c r="E23" s="51">
        <v>2</v>
      </c>
      <c r="F23" s="51">
        <v>0</v>
      </c>
      <c r="G23" s="51">
        <v>0</v>
      </c>
      <c r="H23" s="51">
        <v>1</v>
      </c>
      <c r="I23" s="51">
        <v>3</v>
      </c>
      <c r="J23" s="51">
        <v>0</v>
      </c>
      <c r="K23" s="51">
        <v>0</v>
      </c>
      <c r="L23" s="50">
        <v>0</v>
      </c>
      <c r="M23" s="51">
        <v>3</v>
      </c>
      <c r="N23" s="51">
        <v>0</v>
      </c>
      <c r="O23" s="15">
        <f t="shared" si="0"/>
        <v>11</v>
      </c>
      <c r="P23" s="15">
        <f t="shared" si="1"/>
        <v>14</v>
      </c>
      <c r="R23" s="38" t="s">
        <v>91</v>
      </c>
      <c r="S23" s="39">
        <f>MAX(S13:S18)</f>
        <v>12</v>
      </c>
      <c r="T23" s="39">
        <f t="shared" ref="T23:AF23" si="15">MAX(T13:T18)</f>
        <v>15</v>
      </c>
      <c r="U23" s="39">
        <f t="shared" si="15"/>
        <v>17</v>
      </c>
      <c r="V23" s="39">
        <f t="shared" si="15"/>
        <v>8</v>
      </c>
      <c r="W23" s="39">
        <f t="shared" si="15"/>
        <v>1</v>
      </c>
      <c r="X23" s="39">
        <f t="shared" si="15"/>
        <v>6</v>
      </c>
      <c r="Y23" s="39">
        <f t="shared" si="15"/>
        <v>10</v>
      </c>
      <c r="Z23" s="39">
        <f t="shared" si="15"/>
        <v>1</v>
      </c>
      <c r="AA23" s="39">
        <f t="shared" si="15"/>
        <v>0</v>
      </c>
      <c r="AB23" s="39">
        <f t="shared" si="15"/>
        <v>5</v>
      </c>
      <c r="AC23" s="39">
        <f t="shared" si="15"/>
        <v>15</v>
      </c>
      <c r="AD23" s="39">
        <f t="shared" si="15"/>
        <v>0</v>
      </c>
      <c r="AE23" s="40">
        <f t="shared" si="15"/>
        <v>59</v>
      </c>
      <c r="AF23" s="40">
        <f t="shared" si="15"/>
        <v>71</v>
      </c>
    </row>
    <row r="24" spans="2:32" ht="23.1" customHeight="1" x14ac:dyDescent="0.25">
      <c r="B24" s="23" t="s">
        <v>51</v>
      </c>
      <c r="C24" s="51">
        <v>4</v>
      </c>
      <c r="D24" s="50">
        <v>1</v>
      </c>
      <c r="E24" s="51">
        <v>1</v>
      </c>
      <c r="F24" s="51">
        <v>2</v>
      </c>
      <c r="G24" s="51">
        <v>0</v>
      </c>
      <c r="H24" s="51">
        <v>1</v>
      </c>
      <c r="I24" s="51">
        <v>2</v>
      </c>
      <c r="J24" s="51">
        <v>1</v>
      </c>
      <c r="K24" s="51">
        <v>0</v>
      </c>
      <c r="L24" s="50">
        <v>4</v>
      </c>
      <c r="M24" s="51">
        <v>1</v>
      </c>
      <c r="N24" s="51">
        <v>0</v>
      </c>
      <c r="O24" s="15">
        <f t="shared" si="0"/>
        <v>16</v>
      </c>
      <c r="P24" s="15">
        <f t="shared" si="1"/>
        <v>17</v>
      </c>
      <c r="R24" s="38" t="s">
        <v>92</v>
      </c>
      <c r="S24" s="39">
        <f>MAX(S19:S21)</f>
        <v>11</v>
      </c>
      <c r="T24" s="39">
        <f t="shared" ref="T24:AF24" si="16">MAX(T19:T21)</f>
        <v>19</v>
      </c>
      <c r="U24" s="39">
        <f t="shared" si="16"/>
        <v>21</v>
      </c>
      <c r="V24" s="39">
        <f t="shared" si="16"/>
        <v>14</v>
      </c>
      <c r="W24" s="39">
        <f t="shared" si="16"/>
        <v>1</v>
      </c>
      <c r="X24" s="39">
        <f t="shared" si="16"/>
        <v>7</v>
      </c>
      <c r="Y24" s="39">
        <f t="shared" si="16"/>
        <v>8</v>
      </c>
      <c r="Z24" s="39">
        <f t="shared" si="16"/>
        <v>2</v>
      </c>
      <c r="AA24" s="39">
        <f t="shared" si="16"/>
        <v>4</v>
      </c>
      <c r="AB24" s="39">
        <f t="shared" si="16"/>
        <v>8</v>
      </c>
      <c r="AC24" s="39">
        <f t="shared" si="16"/>
        <v>20</v>
      </c>
      <c r="AD24" s="39">
        <f t="shared" si="16"/>
        <v>1</v>
      </c>
      <c r="AE24" s="40">
        <f t="shared" si="16"/>
        <v>81</v>
      </c>
      <c r="AF24" s="40">
        <f t="shared" si="16"/>
        <v>94</v>
      </c>
    </row>
    <row r="25" spans="2:32" ht="23.1" customHeight="1" x14ac:dyDescent="0.25">
      <c r="B25" s="23" t="s">
        <v>52</v>
      </c>
      <c r="C25" s="51">
        <v>2</v>
      </c>
      <c r="D25" s="50">
        <v>3</v>
      </c>
      <c r="E25" s="51">
        <v>4</v>
      </c>
      <c r="F25" s="51">
        <v>4</v>
      </c>
      <c r="G25" s="51">
        <v>0</v>
      </c>
      <c r="H25" s="51">
        <v>1</v>
      </c>
      <c r="I25" s="51">
        <v>3</v>
      </c>
      <c r="J25" s="51">
        <v>0</v>
      </c>
      <c r="K25" s="51">
        <v>0</v>
      </c>
      <c r="L25" s="50">
        <v>0</v>
      </c>
      <c r="M25" s="51">
        <v>3</v>
      </c>
      <c r="N25" s="51">
        <v>0</v>
      </c>
      <c r="O25" s="15">
        <f t="shared" si="0"/>
        <v>17</v>
      </c>
      <c r="P25" s="15">
        <f t="shared" si="1"/>
        <v>20</v>
      </c>
      <c r="R25" s="37" t="s">
        <v>85</v>
      </c>
      <c r="S25" s="35">
        <f t="shared" ref="S25:AF25" si="17">SUM(S10:S12)</f>
        <v>14</v>
      </c>
      <c r="T25" s="16">
        <f t="shared" si="17"/>
        <v>18</v>
      </c>
      <c r="U25" s="16">
        <f t="shared" si="17"/>
        <v>24</v>
      </c>
      <c r="V25" s="16">
        <f t="shared" si="17"/>
        <v>16</v>
      </c>
      <c r="W25" s="16">
        <f t="shared" si="17"/>
        <v>0</v>
      </c>
      <c r="X25" s="16">
        <f t="shared" si="17"/>
        <v>0</v>
      </c>
      <c r="Y25" s="16">
        <f t="shared" si="17"/>
        <v>18</v>
      </c>
      <c r="Z25" s="16">
        <f t="shared" si="17"/>
        <v>2</v>
      </c>
      <c r="AA25" s="16">
        <f t="shared" si="17"/>
        <v>2</v>
      </c>
      <c r="AB25" s="16">
        <f t="shared" si="17"/>
        <v>23</v>
      </c>
      <c r="AC25" s="16">
        <f t="shared" si="17"/>
        <v>30</v>
      </c>
      <c r="AD25" s="16">
        <f t="shared" si="17"/>
        <v>1</v>
      </c>
      <c r="AE25" s="32">
        <f t="shared" si="17"/>
        <v>118</v>
      </c>
      <c r="AF25" s="32">
        <f t="shared" si="17"/>
        <v>148</v>
      </c>
    </row>
    <row r="26" spans="2:32" ht="23.1" customHeight="1" x14ac:dyDescent="0.25">
      <c r="B26" s="23" t="s">
        <v>53</v>
      </c>
      <c r="C26" s="51">
        <v>3</v>
      </c>
      <c r="D26" s="50">
        <v>2</v>
      </c>
      <c r="E26" s="51">
        <v>3</v>
      </c>
      <c r="F26" s="51">
        <v>0</v>
      </c>
      <c r="G26" s="51">
        <v>0</v>
      </c>
      <c r="H26" s="51">
        <v>1</v>
      </c>
      <c r="I26" s="51">
        <v>3</v>
      </c>
      <c r="J26" s="51">
        <v>0</v>
      </c>
      <c r="K26" s="51">
        <v>0</v>
      </c>
      <c r="L26" s="50">
        <v>2</v>
      </c>
      <c r="M26" s="51">
        <v>5</v>
      </c>
      <c r="N26" s="51">
        <v>0</v>
      </c>
      <c r="O26" s="15">
        <f t="shared" si="0"/>
        <v>14</v>
      </c>
      <c r="P26" s="15">
        <f t="shared" si="1"/>
        <v>19</v>
      </c>
      <c r="R26" s="28" t="s">
        <v>86</v>
      </c>
      <c r="S26" s="16">
        <f t="shared" ref="S26:AF26" si="18">SUM(S13:S18)</f>
        <v>53</v>
      </c>
      <c r="T26" s="16">
        <f t="shared" si="18"/>
        <v>55</v>
      </c>
      <c r="U26" s="16">
        <f t="shared" si="18"/>
        <v>69</v>
      </c>
      <c r="V26" s="16">
        <f t="shared" si="18"/>
        <v>36</v>
      </c>
      <c r="W26" s="16">
        <f t="shared" si="18"/>
        <v>1</v>
      </c>
      <c r="X26" s="16">
        <f t="shared" si="18"/>
        <v>22</v>
      </c>
      <c r="Y26" s="16">
        <f t="shared" si="18"/>
        <v>44</v>
      </c>
      <c r="Z26" s="16">
        <f t="shared" si="18"/>
        <v>2</v>
      </c>
      <c r="AA26" s="16">
        <f t="shared" si="18"/>
        <v>0</v>
      </c>
      <c r="AB26" s="16">
        <f t="shared" si="18"/>
        <v>21</v>
      </c>
      <c r="AC26" s="16">
        <f t="shared" si="18"/>
        <v>76</v>
      </c>
      <c r="AD26" s="16">
        <f t="shared" si="18"/>
        <v>0</v>
      </c>
      <c r="AE26" s="32">
        <f t="shared" si="18"/>
        <v>303</v>
      </c>
      <c r="AF26" s="32">
        <f t="shared" si="18"/>
        <v>379</v>
      </c>
    </row>
    <row r="27" spans="2:32" ht="23.1" customHeight="1" x14ac:dyDescent="0.25">
      <c r="B27" s="23" t="s">
        <v>54</v>
      </c>
      <c r="C27" s="51">
        <v>2</v>
      </c>
      <c r="D27" s="50">
        <v>1</v>
      </c>
      <c r="E27" s="51">
        <v>1</v>
      </c>
      <c r="F27" s="51">
        <v>1</v>
      </c>
      <c r="G27" s="51">
        <v>0</v>
      </c>
      <c r="H27" s="51">
        <v>1</v>
      </c>
      <c r="I27" s="51">
        <v>0</v>
      </c>
      <c r="J27" s="51">
        <v>0</v>
      </c>
      <c r="K27" s="51">
        <v>0</v>
      </c>
      <c r="L27" s="50">
        <v>0</v>
      </c>
      <c r="M27" s="51">
        <v>2</v>
      </c>
      <c r="N27" s="51">
        <v>0</v>
      </c>
      <c r="O27" s="15">
        <f t="shared" si="0"/>
        <v>6</v>
      </c>
      <c r="P27" s="15">
        <f t="shared" si="1"/>
        <v>8</v>
      </c>
      <c r="R27" s="29" t="s">
        <v>87</v>
      </c>
      <c r="S27" s="16">
        <f t="shared" ref="S27:AF27" si="19">SUM(S19:S21)</f>
        <v>22</v>
      </c>
      <c r="T27" s="16">
        <f t="shared" si="19"/>
        <v>42</v>
      </c>
      <c r="U27" s="16">
        <f t="shared" si="19"/>
        <v>50</v>
      </c>
      <c r="V27" s="16">
        <f t="shared" si="19"/>
        <v>32</v>
      </c>
      <c r="W27" s="16">
        <f t="shared" si="19"/>
        <v>1</v>
      </c>
      <c r="X27" s="16">
        <f t="shared" si="19"/>
        <v>14</v>
      </c>
      <c r="Y27" s="16">
        <f t="shared" si="19"/>
        <v>15</v>
      </c>
      <c r="Z27" s="16">
        <f t="shared" si="19"/>
        <v>3</v>
      </c>
      <c r="AA27" s="16">
        <f t="shared" si="19"/>
        <v>5</v>
      </c>
      <c r="AB27" s="16">
        <f t="shared" si="19"/>
        <v>16</v>
      </c>
      <c r="AC27" s="16">
        <f t="shared" si="19"/>
        <v>48</v>
      </c>
      <c r="AD27" s="16">
        <f t="shared" si="19"/>
        <v>1</v>
      </c>
      <c r="AE27" s="32">
        <f t="shared" si="19"/>
        <v>201</v>
      </c>
      <c r="AF27" s="32">
        <f t="shared" si="19"/>
        <v>249</v>
      </c>
    </row>
    <row r="28" spans="2:32" ht="23.1" customHeight="1" x14ac:dyDescent="0.25">
      <c r="B28" s="23" t="s">
        <v>55</v>
      </c>
      <c r="C28" s="51">
        <v>1</v>
      </c>
      <c r="D28" s="50">
        <v>2</v>
      </c>
      <c r="E28" s="51">
        <v>3</v>
      </c>
      <c r="F28" s="51">
        <v>2</v>
      </c>
      <c r="G28" s="51">
        <v>0</v>
      </c>
      <c r="H28" s="51">
        <v>2</v>
      </c>
      <c r="I28" s="51">
        <v>3</v>
      </c>
      <c r="J28" s="51">
        <v>0</v>
      </c>
      <c r="K28" s="51">
        <v>0</v>
      </c>
      <c r="L28" s="50">
        <v>1</v>
      </c>
      <c r="M28" s="51">
        <v>4</v>
      </c>
      <c r="N28" s="51">
        <v>0</v>
      </c>
      <c r="O28" s="15">
        <f t="shared" si="0"/>
        <v>14</v>
      </c>
      <c r="P28" s="15">
        <f t="shared" si="1"/>
        <v>18</v>
      </c>
      <c r="R28" s="5" t="s">
        <v>17</v>
      </c>
      <c r="S28" s="16">
        <f t="shared" ref="S28:AF28" si="20">SUM(S10:S21)</f>
        <v>89</v>
      </c>
      <c r="T28" s="16">
        <f t="shared" si="20"/>
        <v>115</v>
      </c>
      <c r="U28" s="16">
        <f t="shared" si="20"/>
        <v>143</v>
      </c>
      <c r="V28" s="16">
        <f t="shared" si="20"/>
        <v>84</v>
      </c>
      <c r="W28" s="16">
        <f t="shared" si="20"/>
        <v>2</v>
      </c>
      <c r="X28" s="16">
        <f t="shared" si="20"/>
        <v>36</v>
      </c>
      <c r="Y28" s="16">
        <f t="shared" si="20"/>
        <v>77</v>
      </c>
      <c r="Z28" s="16">
        <f t="shared" si="20"/>
        <v>7</v>
      </c>
      <c r="AA28" s="16">
        <f t="shared" si="20"/>
        <v>7</v>
      </c>
      <c r="AB28" s="16">
        <f t="shared" si="20"/>
        <v>60</v>
      </c>
      <c r="AC28" s="16">
        <f t="shared" si="20"/>
        <v>154</v>
      </c>
      <c r="AD28" s="16">
        <f t="shared" si="20"/>
        <v>2</v>
      </c>
      <c r="AE28" s="32">
        <f t="shared" si="20"/>
        <v>622</v>
      </c>
      <c r="AF28" s="32">
        <f t="shared" si="20"/>
        <v>776</v>
      </c>
    </row>
    <row r="29" spans="2:32" ht="23.1" customHeight="1" x14ac:dyDescent="0.25">
      <c r="B29" s="23" t="s">
        <v>56</v>
      </c>
      <c r="C29" s="51">
        <v>1</v>
      </c>
      <c r="D29" s="50">
        <v>1</v>
      </c>
      <c r="E29" s="51">
        <v>2</v>
      </c>
      <c r="F29" s="51">
        <v>2</v>
      </c>
      <c r="G29" s="51">
        <v>1</v>
      </c>
      <c r="H29" s="51">
        <v>0</v>
      </c>
      <c r="I29" s="51">
        <v>1</v>
      </c>
      <c r="J29" s="51">
        <v>0</v>
      </c>
      <c r="K29" s="51">
        <v>0</v>
      </c>
      <c r="L29" s="50">
        <v>0</v>
      </c>
      <c r="M29" s="51">
        <v>4</v>
      </c>
      <c r="N29" s="51">
        <v>0</v>
      </c>
      <c r="O29" s="15">
        <f t="shared" si="0"/>
        <v>8</v>
      </c>
      <c r="P29" s="15">
        <f t="shared" si="1"/>
        <v>12</v>
      </c>
      <c r="R29"/>
      <c r="S29" s="20"/>
      <c r="T29" s="19"/>
    </row>
    <row r="30" spans="2:32" ht="23.1" customHeight="1" x14ac:dyDescent="0.25">
      <c r="B30" s="23" t="s">
        <v>57</v>
      </c>
      <c r="C30" s="51">
        <v>3</v>
      </c>
      <c r="D30" s="50">
        <v>1</v>
      </c>
      <c r="E30" s="51">
        <v>2</v>
      </c>
      <c r="F30" s="51">
        <v>3</v>
      </c>
      <c r="G30" s="51">
        <v>0</v>
      </c>
      <c r="H30" s="51">
        <v>0</v>
      </c>
      <c r="I30" s="51">
        <v>2</v>
      </c>
      <c r="J30" s="51">
        <v>0</v>
      </c>
      <c r="K30" s="51">
        <v>0</v>
      </c>
      <c r="L30" s="50">
        <v>1</v>
      </c>
      <c r="M30" s="51">
        <v>4</v>
      </c>
      <c r="N30" s="51">
        <v>0</v>
      </c>
      <c r="O30" s="15">
        <f t="shared" si="0"/>
        <v>12</v>
      </c>
      <c r="P30" s="15">
        <f t="shared" si="1"/>
        <v>16</v>
      </c>
    </row>
    <row r="31" spans="2:32" ht="23.1" customHeight="1" x14ac:dyDescent="0.25">
      <c r="B31" s="24" t="s">
        <v>58</v>
      </c>
      <c r="C31" s="51">
        <v>6</v>
      </c>
      <c r="D31" s="50">
        <v>2</v>
      </c>
      <c r="E31" s="51">
        <v>2</v>
      </c>
      <c r="F31" s="51">
        <v>2</v>
      </c>
      <c r="G31" s="51">
        <v>0</v>
      </c>
      <c r="H31" s="51">
        <v>0</v>
      </c>
      <c r="I31" s="51">
        <v>2</v>
      </c>
      <c r="J31" s="51">
        <v>0</v>
      </c>
      <c r="K31" s="51">
        <v>0</v>
      </c>
      <c r="L31" s="50">
        <v>0</v>
      </c>
      <c r="M31" s="51">
        <v>3</v>
      </c>
      <c r="N31" s="51">
        <v>0</v>
      </c>
      <c r="O31" s="15">
        <f t="shared" si="0"/>
        <v>14</v>
      </c>
      <c r="P31" s="15">
        <f t="shared" si="1"/>
        <v>17</v>
      </c>
    </row>
    <row r="32" spans="2:32" ht="23.1" customHeight="1" x14ac:dyDescent="0.25">
      <c r="B32" s="24" t="s">
        <v>59</v>
      </c>
      <c r="C32" s="51">
        <v>0</v>
      </c>
      <c r="D32" s="50">
        <v>2</v>
      </c>
      <c r="E32" s="51">
        <v>3</v>
      </c>
      <c r="F32" s="51">
        <v>1</v>
      </c>
      <c r="G32" s="51">
        <v>0</v>
      </c>
      <c r="H32" s="51">
        <v>2</v>
      </c>
      <c r="I32" s="51">
        <v>2</v>
      </c>
      <c r="J32" s="51">
        <v>0</v>
      </c>
      <c r="K32" s="51">
        <v>0</v>
      </c>
      <c r="L32" s="50">
        <v>0</v>
      </c>
      <c r="M32" s="51">
        <v>3</v>
      </c>
      <c r="N32" s="51">
        <v>0</v>
      </c>
      <c r="O32" s="15">
        <f t="shared" si="0"/>
        <v>10</v>
      </c>
      <c r="P32" s="15">
        <f t="shared" si="1"/>
        <v>13</v>
      </c>
    </row>
    <row r="33" spans="2:20" ht="23.1" customHeight="1" x14ac:dyDescent="0.25">
      <c r="B33" s="23" t="s">
        <v>60</v>
      </c>
      <c r="C33" s="51">
        <v>3</v>
      </c>
      <c r="D33" s="50">
        <v>0</v>
      </c>
      <c r="E33" s="51">
        <v>1</v>
      </c>
      <c r="F33" s="51">
        <v>2</v>
      </c>
      <c r="G33" s="51">
        <v>0</v>
      </c>
      <c r="H33" s="51">
        <v>1</v>
      </c>
      <c r="I33" s="51">
        <v>1</v>
      </c>
      <c r="J33" s="51">
        <v>0</v>
      </c>
      <c r="K33" s="51">
        <v>0</v>
      </c>
      <c r="L33" s="50">
        <v>1</v>
      </c>
      <c r="M33" s="51">
        <v>2</v>
      </c>
      <c r="N33" s="51">
        <v>0</v>
      </c>
      <c r="O33" s="15">
        <f t="shared" si="0"/>
        <v>9</v>
      </c>
      <c r="P33" s="15">
        <f t="shared" si="1"/>
        <v>11</v>
      </c>
    </row>
    <row r="34" spans="2:20" ht="23.1" customHeight="1" x14ac:dyDescent="0.25">
      <c r="B34" s="24" t="s">
        <v>61</v>
      </c>
      <c r="C34" s="51">
        <v>3</v>
      </c>
      <c r="D34" s="50">
        <v>2</v>
      </c>
      <c r="E34" s="51">
        <v>2</v>
      </c>
      <c r="F34" s="51">
        <v>4</v>
      </c>
      <c r="G34" s="51">
        <v>0</v>
      </c>
      <c r="H34" s="51">
        <v>0</v>
      </c>
      <c r="I34" s="51">
        <v>2</v>
      </c>
      <c r="J34" s="51">
        <v>0</v>
      </c>
      <c r="K34" s="51">
        <v>0</v>
      </c>
      <c r="L34" s="50">
        <v>0</v>
      </c>
      <c r="M34" s="51">
        <v>7</v>
      </c>
      <c r="N34" s="51">
        <v>0</v>
      </c>
      <c r="O34" s="15">
        <f t="shared" si="0"/>
        <v>13</v>
      </c>
      <c r="P34" s="15">
        <f t="shared" si="1"/>
        <v>20</v>
      </c>
    </row>
    <row r="35" spans="2:20" ht="23.1" customHeight="1" x14ac:dyDescent="0.25">
      <c r="B35" s="24" t="s">
        <v>62</v>
      </c>
      <c r="C35" s="51">
        <v>0</v>
      </c>
      <c r="D35" s="50">
        <v>4</v>
      </c>
      <c r="E35" s="51">
        <v>4</v>
      </c>
      <c r="F35" s="51">
        <v>3</v>
      </c>
      <c r="G35" s="51">
        <v>0</v>
      </c>
      <c r="H35" s="51">
        <v>0</v>
      </c>
      <c r="I35" s="51">
        <v>3</v>
      </c>
      <c r="J35" s="51">
        <v>0</v>
      </c>
      <c r="K35" s="51">
        <v>0</v>
      </c>
      <c r="L35" s="50">
        <v>3</v>
      </c>
      <c r="M35" s="51">
        <v>1</v>
      </c>
      <c r="N35" s="51">
        <v>0</v>
      </c>
      <c r="O35" s="15">
        <f t="shared" si="0"/>
        <v>17</v>
      </c>
      <c r="P35" s="15">
        <f t="shared" si="1"/>
        <v>18</v>
      </c>
    </row>
    <row r="36" spans="2:20" ht="23.1" customHeight="1" x14ac:dyDescent="0.25">
      <c r="B36" s="24" t="s">
        <v>63</v>
      </c>
      <c r="C36" s="51">
        <v>0</v>
      </c>
      <c r="D36" s="50">
        <v>4</v>
      </c>
      <c r="E36" s="51">
        <v>4</v>
      </c>
      <c r="F36" s="51">
        <v>1</v>
      </c>
      <c r="G36" s="51">
        <v>0</v>
      </c>
      <c r="H36" s="51">
        <v>2</v>
      </c>
      <c r="I36" s="51">
        <v>2</v>
      </c>
      <c r="J36" s="51">
        <v>0</v>
      </c>
      <c r="K36" s="51">
        <v>0</v>
      </c>
      <c r="L36" s="50">
        <v>1</v>
      </c>
      <c r="M36" s="51">
        <v>0</v>
      </c>
      <c r="N36" s="51">
        <v>0</v>
      </c>
      <c r="O36" s="15">
        <f t="shared" si="0"/>
        <v>14</v>
      </c>
      <c r="P36" s="15">
        <f t="shared" si="1"/>
        <v>14</v>
      </c>
    </row>
    <row r="37" spans="2:20" ht="23.1" customHeight="1" x14ac:dyDescent="0.25">
      <c r="B37" s="23" t="s">
        <v>64</v>
      </c>
      <c r="C37" s="51">
        <v>0</v>
      </c>
      <c r="D37" s="50">
        <v>2</v>
      </c>
      <c r="E37" s="51">
        <v>3</v>
      </c>
      <c r="F37" s="51">
        <v>0</v>
      </c>
      <c r="G37" s="51">
        <v>0</v>
      </c>
      <c r="H37" s="51">
        <v>2</v>
      </c>
      <c r="I37" s="51">
        <v>3</v>
      </c>
      <c r="J37" s="51">
        <v>0</v>
      </c>
      <c r="K37" s="51">
        <v>0</v>
      </c>
      <c r="L37" s="50">
        <v>1</v>
      </c>
      <c r="M37" s="51">
        <v>3</v>
      </c>
      <c r="N37" s="51">
        <v>0</v>
      </c>
      <c r="O37" s="15">
        <f t="shared" si="0"/>
        <v>11</v>
      </c>
      <c r="P37" s="15">
        <f t="shared" si="1"/>
        <v>14</v>
      </c>
    </row>
    <row r="38" spans="2:20" ht="23.1" customHeight="1" x14ac:dyDescent="0.25">
      <c r="B38" s="24" t="s">
        <v>65</v>
      </c>
      <c r="C38" s="51">
        <v>3</v>
      </c>
      <c r="D38" s="50">
        <v>2</v>
      </c>
      <c r="E38" s="51">
        <v>2</v>
      </c>
      <c r="F38" s="51">
        <v>2</v>
      </c>
      <c r="G38" s="51">
        <v>0</v>
      </c>
      <c r="H38" s="51">
        <v>1</v>
      </c>
      <c r="I38" s="51">
        <v>1</v>
      </c>
      <c r="J38" s="51">
        <v>0</v>
      </c>
      <c r="K38" s="51">
        <v>0</v>
      </c>
      <c r="L38" s="50">
        <v>1</v>
      </c>
      <c r="M38" s="51">
        <v>4</v>
      </c>
      <c r="N38" s="51">
        <v>0</v>
      </c>
      <c r="O38" s="15">
        <f t="shared" si="0"/>
        <v>12</v>
      </c>
      <c r="P38" s="15">
        <f t="shared" si="1"/>
        <v>16</v>
      </c>
    </row>
    <row r="39" spans="2:20" ht="23.1" customHeight="1" x14ac:dyDescent="0.25">
      <c r="B39" s="24" t="s">
        <v>66</v>
      </c>
      <c r="C39" s="51">
        <v>3</v>
      </c>
      <c r="D39" s="50">
        <v>3</v>
      </c>
      <c r="E39" s="51">
        <v>3</v>
      </c>
      <c r="F39" s="51">
        <v>0</v>
      </c>
      <c r="G39" s="51">
        <v>0</v>
      </c>
      <c r="H39" s="51">
        <v>1</v>
      </c>
      <c r="I39" s="51">
        <v>2</v>
      </c>
      <c r="J39" s="51">
        <v>0</v>
      </c>
      <c r="K39" s="51">
        <v>0</v>
      </c>
      <c r="L39" s="50">
        <v>0</v>
      </c>
      <c r="M39" s="51">
        <v>6</v>
      </c>
      <c r="N39" s="51">
        <v>0</v>
      </c>
      <c r="O39" s="15">
        <f t="shared" si="0"/>
        <v>12</v>
      </c>
      <c r="P39" s="15">
        <f t="shared" si="1"/>
        <v>18</v>
      </c>
    </row>
    <row r="40" spans="2:20" ht="23.1" customHeight="1" x14ac:dyDescent="0.25">
      <c r="B40" s="24" t="s">
        <v>67</v>
      </c>
      <c r="C40" s="51">
        <v>4</v>
      </c>
      <c r="D40" s="50">
        <v>3</v>
      </c>
      <c r="E40" s="51">
        <v>4</v>
      </c>
      <c r="F40" s="51">
        <v>2</v>
      </c>
      <c r="G40" s="51">
        <v>0</v>
      </c>
      <c r="H40" s="51">
        <v>0</v>
      </c>
      <c r="I40" s="51">
        <v>1</v>
      </c>
      <c r="J40" s="51">
        <v>0</v>
      </c>
      <c r="K40" s="51">
        <v>0</v>
      </c>
      <c r="L40" s="50">
        <v>0</v>
      </c>
      <c r="M40" s="51">
        <v>1</v>
      </c>
      <c r="N40" s="51">
        <v>0</v>
      </c>
      <c r="O40" s="15">
        <f t="shared" si="0"/>
        <v>14</v>
      </c>
      <c r="P40" s="15">
        <f t="shared" si="1"/>
        <v>15</v>
      </c>
    </row>
    <row r="41" spans="2:20" ht="23.1" customHeight="1" x14ac:dyDescent="0.25">
      <c r="B41" s="23" t="s">
        <v>68</v>
      </c>
      <c r="C41" s="51">
        <v>2</v>
      </c>
      <c r="D41" s="50">
        <v>2</v>
      </c>
      <c r="E41" s="51">
        <v>4</v>
      </c>
      <c r="F41" s="51">
        <v>1</v>
      </c>
      <c r="G41" s="51">
        <v>0</v>
      </c>
      <c r="H41" s="51">
        <v>0</v>
      </c>
      <c r="I41" s="51">
        <v>2</v>
      </c>
      <c r="J41" s="51">
        <v>1</v>
      </c>
      <c r="K41" s="51">
        <v>0</v>
      </c>
      <c r="L41" s="50">
        <v>3</v>
      </c>
      <c r="M41" s="51">
        <v>3</v>
      </c>
      <c r="N41" s="51">
        <v>0</v>
      </c>
      <c r="O41" s="15">
        <f t="shared" si="0"/>
        <v>15</v>
      </c>
      <c r="P41" s="15">
        <f t="shared" si="1"/>
        <v>18</v>
      </c>
    </row>
    <row r="42" spans="2:20" ht="23.1" customHeight="1" x14ac:dyDescent="0.25">
      <c r="B42" s="24" t="s">
        <v>69</v>
      </c>
      <c r="C42" s="51">
        <v>0</v>
      </c>
      <c r="D42" s="50">
        <v>3</v>
      </c>
      <c r="E42" s="51">
        <v>4</v>
      </c>
      <c r="F42" s="51">
        <v>0</v>
      </c>
      <c r="G42" s="51">
        <v>0</v>
      </c>
      <c r="H42" s="51">
        <v>1</v>
      </c>
      <c r="I42" s="51">
        <v>1</v>
      </c>
      <c r="J42" s="51">
        <v>0</v>
      </c>
      <c r="K42" s="51">
        <v>0</v>
      </c>
      <c r="L42" s="50">
        <v>0</v>
      </c>
      <c r="M42" s="51">
        <v>0</v>
      </c>
      <c r="N42" s="51">
        <v>0</v>
      </c>
      <c r="O42" s="15">
        <f t="shared" si="0"/>
        <v>9</v>
      </c>
      <c r="P42" s="15">
        <f t="shared" si="1"/>
        <v>9</v>
      </c>
    </row>
    <row r="43" spans="2:20" ht="23.1" customHeight="1" x14ac:dyDescent="0.25">
      <c r="B43" s="23" t="s">
        <v>70</v>
      </c>
      <c r="C43" s="51">
        <v>3</v>
      </c>
      <c r="D43" s="50">
        <v>4</v>
      </c>
      <c r="E43" s="51">
        <v>4</v>
      </c>
      <c r="F43" s="51">
        <v>0</v>
      </c>
      <c r="G43" s="51">
        <v>0</v>
      </c>
      <c r="H43" s="51">
        <v>2</v>
      </c>
      <c r="I43" s="51">
        <v>0</v>
      </c>
      <c r="J43" s="51">
        <v>0</v>
      </c>
      <c r="K43" s="51">
        <v>0</v>
      </c>
      <c r="L43" s="50">
        <v>0</v>
      </c>
      <c r="M43" s="51">
        <v>3</v>
      </c>
      <c r="N43" s="51">
        <v>0</v>
      </c>
      <c r="O43" s="15">
        <f t="shared" si="0"/>
        <v>13</v>
      </c>
      <c r="P43" s="15">
        <f t="shared" si="1"/>
        <v>16</v>
      </c>
    </row>
    <row r="44" spans="2:20" ht="23.1" customHeight="1" x14ac:dyDescent="0.25">
      <c r="B44" s="25" t="s">
        <v>71</v>
      </c>
      <c r="C44" s="51">
        <v>3</v>
      </c>
      <c r="D44" s="50">
        <v>4</v>
      </c>
      <c r="E44" s="51">
        <v>5</v>
      </c>
      <c r="F44" s="51">
        <v>2</v>
      </c>
      <c r="G44" s="51">
        <v>0</v>
      </c>
      <c r="H44" s="51">
        <v>3</v>
      </c>
      <c r="I44" s="51">
        <v>1</v>
      </c>
      <c r="J44" s="51">
        <v>0</v>
      </c>
      <c r="K44" s="51">
        <v>0</v>
      </c>
      <c r="L44" s="50">
        <v>3</v>
      </c>
      <c r="M44" s="51">
        <v>4</v>
      </c>
      <c r="N44" s="51">
        <v>0</v>
      </c>
      <c r="O44" s="15">
        <f t="shared" si="0"/>
        <v>21</v>
      </c>
      <c r="P44" s="15">
        <f t="shared" si="1"/>
        <v>25</v>
      </c>
    </row>
    <row r="45" spans="2:20" ht="23.1" customHeight="1" x14ac:dyDescent="0.25">
      <c r="B45" s="23" t="s">
        <v>72</v>
      </c>
      <c r="C45" s="51">
        <v>4</v>
      </c>
      <c r="D45" s="50">
        <v>4</v>
      </c>
      <c r="E45" s="51">
        <v>4</v>
      </c>
      <c r="F45" s="51">
        <v>0</v>
      </c>
      <c r="G45" s="51">
        <v>0</v>
      </c>
      <c r="H45" s="51">
        <v>0</v>
      </c>
      <c r="I45" s="51">
        <v>4</v>
      </c>
      <c r="J45" s="51">
        <v>0</v>
      </c>
      <c r="K45" s="51">
        <v>0</v>
      </c>
      <c r="L45" s="50">
        <v>0</v>
      </c>
      <c r="M45" s="51">
        <v>5</v>
      </c>
      <c r="N45" s="51">
        <v>0</v>
      </c>
      <c r="O45" s="15">
        <f t="shared" si="0"/>
        <v>16</v>
      </c>
      <c r="P45" s="15">
        <f t="shared" si="1"/>
        <v>21</v>
      </c>
    </row>
    <row r="46" spans="2:20" ht="23.1" customHeight="1" x14ac:dyDescent="0.25">
      <c r="B46" s="24" t="s">
        <v>73</v>
      </c>
      <c r="C46" s="51">
        <v>1</v>
      </c>
      <c r="D46" s="50">
        <v>2</v>
      </c>
      <c r="E46" s="51">
        <v>3</v>
      </c>
      <c r="F46" s="51">
        <v>3</v>
      </c>
      <c r="G46" s="51">
        <v>0</v>
      </c>
      <c r="H46" s="51">
        <v>0</v>
      </c>
      <c r="I46" s="51">
        <v>1</v>
      </c>
      <c r="J46" s="51">
        <v>0</v>
      </c>
      <c r="K46" s="51">
        <v>1</v>
      </c>
      <c r="L46" s="50">
        <v>1</v>
      </c>
      <c r="M46" s="51">
        <v>8</v>
      </c>
      <c r="N46" s="51">
        <v>0</v>
      </c>
      <c r="O46" s="15">
        <f t="shared" si="0"/>
        <v>12</v>
      </c>
      <c r="P46" s="15">
        <f t="shared" si="1"/>
        <v>20</v>
      </c>
      <c r="R46" s="8"/>
      <c r="T46"/>
    </row>
    <row r="47" spans="2:20" ht="23.1" customHeight="1" x14ac:dyDescent="0.25">
      <c r="B47" s="24" t="s">
        <v>74</v>
      </c>
      <c r="C47" s="51">
        <v>5</v>
      </c>
      <c r="D47" s="50">
        <v>3</v>
      </c>
      <c r="E47" s="51">
        <v>3</v>
      </c>
      <c r="F47" s="51">
        <v>2</v>
      </c>
      <c r="G47" s="51">
        <v>0</v>
      </c>
      <c r="H47" s="51">
        <v>1</v>
      </c>
      <c r="I47" s="51">
        <v>1</v>
      </c>
      <c r="J47" s="51">
        <v>0</v>
      </c>
      <c r="K47" s="51">
        <v>1</v>
      </c>
      <c r="L47" s="50">
        <v>1</v>
      </c>
      <c r="M47" s="51">
        <v>2</v>
      </c>
      <c r="N47" s="51">
        <v>0</v>
      </c>
      <c r="O47" s="15">
        <f t="shared" si="0"/>
        <v>17</v>
      </c>
      <c r="P47" s="15">
        <f t="shared" si="1"/>
        <v>19</v>
      </c>
      <c r="R47" s="8"/>
      <c r="T47"/>
    </row>
    <row r="48" spans="2:20" ht="23.1" customHeight="1" x14ac:dyDescent="0.25">
      <c r="B48" s="24" t="s">
        <v>75</v>
      </c>
      <c r="C48" s="51">
        <v>3</v>
      </c>
      <c r="D48" s="50">
        <v>4</v>
      </c>
      <c r="E48" s="51">
        <v>5</v>
      </c>
      <c r="F48" s="51">
        <v>5</v>
      </c>
      <c r="G48" s="51">
        <v>0</v>
      </c>
      <c r="H48" s="51">
        <v>4</v>
      </c>
      <c r="I48" s="51">
        <v>2</v>
      </c>
      <c r="J48" s="51">
        <v>0</v>
      </c>
      <c r="K48" s="51">
        <v>2</v>
      </c>
      <c r="L48" s="50">
        <v>4</v>
      </c>
      <c r="M48" s="51">
        <v>2</v>
      </c>
      <c r="N48" s="51">
        <v>0</v>
      </c>
      <c r="O48" s="15">
        <f t="shared" si="0"/>
        <v>29</v>
      </c>
      <c r="P48" s="15">
        <f t="shared" si="1"/>
        <v>31</v>
      </c>
      <c r="R48" s="8"/>
      <c r="T48"/>
    </row>
    <row r="49" spans="2:20" ht="23.1" customHeight="1" x14ac:dyDescent="0.25">
      <c r="B49" s="23" t="s">
        <v>76</v>
      </c>
      <c r="C49" s="51">
        <v>2</v>
      </c>
      <c r="D49" s="50">
        <v>5</v>
      </c>
      <c r="E49" s="51">
        <v>5</v>
      </c>
      <c r="F49" s="51">
        <v>4</v>
      </c>
      <c r="G49" s="51">
        <v>0</v>
      </c>
      <c r="H49" s="51">
        <v>2</v>
      </c>
      <c r="I49" s="51">
        <v>3</v>
      </c>
      <c r="J49" s="51">
        <v>0</v>
      </c>
      <c r="K49" s="51">
        <v>0</v>
      </c>
      <c r="L49" s="50">
        <v>2</v>
      </c>
      <c r="M49" s="51">
        <v>1</v>
      </c>
      <c r="N49" s="51">
        <v>0</v>
      </c>
      <c r="O49" s="15">
        <f t="shared" si="0"/>
        <v>23</v>
      </c>
      <c r="P49" s="15">
        <f t="shared" si="1"/>
        <v>24</v>
      </c>
      <c r="R49" s="8"/>
      <c r="T49"/>
    </row>
    <row r="50" spans="2:20" ht="23.1" customHeight="1" x14ac:dyDescent="0.25">
      <c r="B50" s="24" t="s">
        <v>77</v>
      </c>
      <c r="C50" s="51">
        <v>0</v>
      </c>
      <c r="D50" s="50">
        <v>2</v>
      </c>
      <c r="E50" s="51">
        <v>3</v>
      </c>
      <c r="F50" s="51">
        <v>1</v>
      </c>
      <c r="G50" s="51">
        <v>0</v>
      </c>
      <c r="H50" s="51">
        <v>3</v>
      </c>
      <c r="I50" s="51">
        <v>1</v>
      </c>
      <c r="J50" s="51">
        <v>0</v>
      </c>
      <c r="K50" s="51">
        <v>0</v>
      </c>
      <c r="L50" s="50">
        <v>0</v>
      </c>
      <c r="M50" s="51">
        <v>4</v>
      </c>
      <c r="N50" s="51">
        <v>0</v>
      </c>
      <c r="O50" s="15">
        <f t="shared" si="0"/>
        <v>10</v>
      </c>
      <c r="P50" s="15">
        <f t="shared" si="1"/>
        <v>14</v>
      </c>
      <c r="R50" s="8"/>
      <c r="T50"/>
    </row>
    <row r="51" spans="2:20" ht="23.1" customHeight="1" x14ac:dyDescent="0.25">
      <c r="B51" s="24" t="s">
        <v>78</v>
      </c>
      <c r="C51" s="51">
        <v>2</v>
      </c>
      <c r="D51" s="50">
        <v>6</v>
      </c>
      <c r="E51" s="51">
        <v>6</v>
      </c>
      <c r="F51" s="51">
        <v>1</v>
      </c>
      <c r="G51" s="51">
        <v>0</v>
      </c>
      <c r="H51" s="51">
        <v>0</v>
      </c>
      <c r="I51" s="51">
        <v>1</v>
      </c>
      <c r="J51" s="51">
        <v>0</v>
      </c>
      <c r="K51" s="51">
        <v>0</v>
      </c>
      <c r="L51" s="50">
        <v>0</v>
      </c>
      <c r="M51" s="51">
        <v>2</v>
      </c>
      <c r="N51" s="51">
        <v>0</v>
      </c>
      <c r="O51" s="15">
        <f t="shared" si="0"/>
        <v>16</v>
      </c>
      <c r="P51" s="15">
        <f t="shared" si="1"/>
        <v>18</v>
      </c>
      <c r="R51" s="8"/>
      <c r="T51"/>
    </row>
    <row r="52" spans="2:20" ht="23.1" customHeight="1" x14ac:dyDescent="0.25">
      <c r="B52" s="24" t="s">
        <v>79</v>
      </c>
      <c r="C52" s="51">
        <v>4</v>
      </c>
      <c r="D52" s="50">
        <v>7</v>
      </c>
      <c r="E52" s="51">
        <v>8</v>
      </c>
      <c r="F52" s="51">
        <v>5</v>
      </c>
      <c r="G52" s="51">
        <v>1</v>
      </c>
      <c r="H52" s="51">
        <v>2</v>
      </c>
      <c r="I52" s="51">
        <v>3</v>
      </c>
      <c r="J52" s="51">
        <v>1</v>
      </c>
      <c r="K52" s="51">
        <v>1</v>
      </c>
      <c r="L52" s="50">
        <v>1</v>
      </c>
      <c r="M52" s="51">
        <v>5</v>
      </c>
      <c r="N52" s="51">
        <v>1</v>
      </c>
      <c r="O52" s="15">
        <f t="shared" si="0"/>
        <v>34</v>
      </c>
      <c r="P52" s="15">
        <f t="shared" si="1"/>
        <v>39</v>
      </c>
      <c r="R52" s="8"/>
      <c r="T52"/>
    </row>
    <row r="53" spans="2:20" ht="23.1" customHeight="1" x14ac:dyDescent="0.25">
      <c r="B53" s="23" t="s">
        <v>80</v>
      </c>
      <c r="C53" s="51">
        <v>1</v>
      </c>
      <c r="D53" s="50">
        <v>4</v>
      </c>
      <c r="E53" s="51">
        <v>4</v>
      </c>
      <c r="F53" s="51">
        <v>2</v>
      </c>
      <c r="G53" s="51">
        <v>0</v>
      </c>
      <c r="H53" s="51">
        <v>2</v>
      </c>
      <c r="I53" s="51">
        <v>3</v>
      </c>
      <c r="J53" s="51">
        <v>1</v>
      </c>
      <c r="K53" s="51">
        <v>0</v>
      </c>
      <c r="L53" s="50">
        <v>2</v>
      </c>
      <c r="M53" s="51">
        <v>4</v>
      </c>
      <c r="N53" s="51">
        <v>0</v>
      </c>
      <c r="O53" s="15">
        <f t="shared" si="0"/>
        <v>19</v>
      </c>
      <c r="P53" s="15">
        <f t="shared" si="1"/>
        <v>23</v>
      </c>
      <c r="R53" s="8"/>
      <c r="T53"/>
    </row>
    <row r="54" spans="2:20" ht="23.1" customHeight="1" x14ac:dyDescent="0.25">
      <c r="B54" s="23" t="s">
        <v>81</v>
      </c>
      <c r="C54" s="51">
        <v>0</v>
      </c>
      <c r="D54" s="50">
        <v>2</v>
      </c>
      <c r="E54" s="51">
        <v>3</v>
      </c>
      <c r="F54" s="51">
        <v>1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0">
        <v>0</v>
      </c>
      <c r="M54" s="51">
        <v>3</v>
      </c>
      <c r="N54" s="51">
        <v>0</v>
      </c>
      <c r="O54" s="15">
        <f t="shared" si="0"/>
        <v>6</v>
      </c>
      <c r="P54" s="15">
        <f t="shared" si="1"/>
        <v>9</v>
      </c>
      <c r="R54" s="8"/>
      <c r="T54"/>
    </row>
    <row r="55" spans="2:20" ht="23.1" customHeight="1" x14ac:dyDescent="0.25">
      <c r="B55" s="23" t="s">
        <v>82</v>
      </c>
      <c r="C55" s="51">
        <v>3</v>
      </c>
      <c r="D55" s="50">
        <v>2</v>
      </c>
      <c r="E55" s="51">
        <v>3</v>
      </c>
      <c r="F55" s="51">
        <v>2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0">
        <v>3</v>
      </c>
      <c r="M55" s="51">
        <v>4</v>
      </c>
      <c r="N55" s="51">
        <v>0</v>
      </c>
      <c r="O55" s="15">
        <f t="shared" si="0"/>
        <v>13</v>
      </c>
      <c r="P55" s="15">
        <f t="shared" si="1"/>
        <v>17</v>
      </c>
      <c r="R55" s="8"/>
      <c r="T55"/>
    </row>
    <row r="56" spans="2:20" ht="23.1" customHeight="1" x14ac:dyDescent="0.25">
      <c r="B56" s="23" t="s">
        <v>83</v>
      </c>
      <c r="C56" s="51">
        <v>0</v>
      </c>
      <c r="D56" s="50">
        <v>2</v>
      </c>
      <c r="E56" s="51">
        <v>3</v>
      </c>
      <c r="F56" s="51">
        <v>5</v>
      </c>
      <c r="G56" s="51">
        <v>0</v>
      </c>
      <c r="H56" s="51">
        <v>0</v>
      </c>
      <c r="I56" s="51">
        <v>0</v>
      </c>
      <c r="J56" s="51">
        <v>1</v>
      </c>
      <c r="K56" s="51">
        <v>0</v>
      </c>
      <c r="L56" s="50">
        <v>0</v>
      </c>
      <c r="M56" s="51">
        <v>3</v>
      </c>
      <c r="N56" s="51">
        <v>0</v>
      </c>
      <c r="O56" s="15">
        <f t="shared" si="0"/>
        <v>11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1">
        <v>1</v>
      </c>
      <c r="D57" s="50">
        <v>3</v>
      </c>
      <c r="E57" s="51">
        <v>4</v>
      </c>
      <c r="F57" s="51">
        <v>1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0">
        <v>2</v>
      </c>
      <c r="M57" s="51">
        <v>10</v>
      </c>
      <c r="N57" s="51">
        <v>0</v>
      </c>
      <c r="O57" s="15">
        <f t="shared" si="0"/>
        <v>11</v>
      </c>
      <c r="P57" s="15">
        <f t="shared" si="1"/>
        <v>21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89</v>
      </c>
      <c r="D58" s="16">
        <f t="shared" si="21"/>
        <v>115</v>
      </c>
      <c r="E58" s="16">
        <f t="shared" si="21"/>
        <v>143</v>
      </c>
      <c r="F58" s="16">
        <f t="shared" si="21"/>
        <v>84</v>
      </c>
      <c r="G58" s="16">
        <f t="shared" si="21"/>
        <v>2</v>
      </c>
      <c r="H58" s="16">
        <f t="shared" si="21"/>
        <v>36</v>
      </c>
      <c r="I58" s="16">
        <f t="shared" si="21"/>
        <v>77</v>
      </c>
      <c r="J58" s="16">
        <f t="shared" si="21"/>
        <v>7</v>
      </c>
      <c r="K58" s="16">
        <f t="shared" si="21"/>
        <v>7</v>
      </c>
      <c r="L58" s="16">
        <f t="shared" si="21"/>
        <v>60</v>
      </c>
      <c r="M58" s="16">
        <f t="shared" si="21"/>
        <v>154</v>
      </c>
      <c r="N58" s="16">
        <f t="shared" si="21"/>
        <v>2</v>
      </c>
      <c r="O58" s="16">
        <f t="shared" si="21"/>
        <v>622</v>
      </c>
      <c r="P58" s="16">
        <f t="shared" si="21"/>
        <v>776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0.11469072164948453</v>
      </c>
      <c r="D59" s="43">
        <f t="shared" si="22"/>
        <v>0.14819587628865979</v>
      </c>
      <c r="E59" s="43">
        <f t="shared" si="22"/>
        <v>0.18427835051546393</v>
      </c>
      <c r="F59" s="43">
        <f t="shared" si="22"/>
        <v>0.10824742268041238</v>
      </c>
      <c r="G59" s="43">
        <f t="shared" si="22"/>
        <v>2.5773195876288659E-3</v>
      </c>
      <c r="H59" s="43">
        <f t="shared" si="22"/>
        <v>4.6391752577319589E-2</v>
      </c>
      <c r="I59" s="43">
        <f t="shared" si="22"/>
        <v>9.9226804123711335E-2</v>
      </c>
      <c r="J59" s="43">
        <f t="shared" si="22"/>
        <v>9.0206185567010301E-3</v>
      </c>
      <c r="K59" s="43">
        <f t="shared" si="22"/>
        <v>9.0206185567010301E-3</v>
      </c>
      <c r="L59" s="43">
        <f t="shared" si="22"/>
        <v>7.7319587628865982E-2</v>
      </c>
      <c r="M59" s="43">
        <f t="shared" si="22"/>
        <v>0.19845360824742267</v>
      </c>
      <c r="N59" s="43">
        <f t="shared" si="22"/>
        <v>2.5773195876288659E-3</v>
      </c>
      <c r="R59" s="8"/>
      <c r="T59"/>
    </row>
    <row r="60" spans="2:20" ht="23.1" customHeight="1" x14ac:dyDescent="0.25">
      <c r="B60" s="42" t="s">
        <v>94</v>
      </c>
      <c r="C60" s="44">
        <f>C58/$O$58</f>
        <v>0.14308681672025725</v>
      </c>
      <c r="D60" s="44">
        <f t="shared" ref="D60:N60" si="23">D58/$O$58</f>
        <v>0.18488745980707397</v>
      </c>
      <c r="E60" s="44">
        <f t="shared" si="23"/>
        <v>0.22990353697749197</v>
      </c>
      <c r="F60" s="44">
        <f t="shared" si="23"/>
        <v>0.13504823151125403</v>
      </c>
      <c r="G60" s="44">
        <f t="shared" si="23"/>
        <v>3.2154340836012861E-3</v>
      </c>
      <c r="H60" s="44">
        <f t="shared" si="23"/>
        <v>5.7877813504823149E-2</v>
      </c>
      <c r="I60" s="44">
        <f t="shared" si="23"/>
        <v>0.12379421221864952</v>
      </c>
      <c r="J60" s="44">
        <f t="shared" si="23"/>
        <v>1.1254019292604502E-2</v>
      </c>
      <c r="K60" s="44">
        <f t="shared" si="23"/>
        <v>1.1254019292604502E-2</v>
      </c>
      <c r="L60" s="44">
        <f t="shared" si="23"/>
        <v>9.6463022508038579E-2</v>
      </c>
      <c r="M60" s="44"/>
      <c r="N60" s="44">
        <f t="shared" si="23"/>
        <v>3.2154340836012861E-3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L10" sqref="L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'29.07 Karuma-Kigumba'!C3:G3</f>
        <v>MCC - C5 - STN113 - KIGUMBA-KARUMA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71" t="str">
        <f>'29.07 Karuma-Kigumba'!G5:H5</f>
        <v>nanda</v>
      </c>
      <c r="H5" s="72"/>
      <c r="I5" s="14"/>
      <c r="J5" s="2" t="s">
        <v>5</v>
      </c>
      <c r="K5" s="71" t="str">
        <f>'29.07 Karuma-Kigumba'!K5:L5</f>
        <v>xxx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'29.07 Karuma-Kigumba'!D6:E6</f>
        <v>karuma</v>
      </c>
      <c r="E6" s="72"/>
      <c r="F6" s="2" t="s">
        <v>2</v>
      </c>
      <c r="G6" s="71" t="str">
        <f>'29.07 Karuma-Kigumba'!G6:H6</f>
        <v>kigumba</v>
      </c>
      <c r="H6" s="72"/>
      <c r="J6" s="2" t="s">
        <v>21</v>
      </c>
      <c r="K6" s="71" t="str">
        <f>'29.07 Karuma-Kigumba'!K6:L6</f>
        <v>xxx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1">
        <v>0</v>
      </c>
      <c r="D10" s="51">
        <v>0</v>
      </c>
      <c r="E10" s="51">
        <v>1</v>
      </c>
      <c r="F10" s="51">
        <v>1</v>
      </c>
      <c r="G10" s="51">
        <v>0</v>
      </c>
      <c r="H10" s="51">
        <v>0</v>
      </c>
      <c r="I10" s="51">
        <v>1</v>
      </c>
      <c r="J10" s="51">
        <v>0</v>
      </c>
      <c r="K10" s="51">
        <v>1</v>
      </c>
      <c r="L10" s="51">
        <v>2</v>
      </c>
      <c r="M10" s="51">
        <v>2</v>
      </c>
      <c r="N10" s="51">
        <v>0</v>
      </c>
      <c r="O10" s="15">
        <f t="shared" ref="O10:O57" si="0">SUM(C10:L10,N10)</f>
        <v>6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5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0</v>
      </c>
      <c r="AA10" s="17">
        <f t="shared" si="2"/>
        <v>1</v>
      </c>
      <c r="AB10" s="17">
        <f t="shared" si="2"/>
        <v>4</v>
      </c>
      <c r="AC10" s="17">
        <f t="shared" si="2"/>
        <v>5</v>
      </c>
      <c r="AD10" s="17">
        <f t="shared" si="2"/>
        <v>0</v>
      </c>
      <c r="AE10" s="31">
        <f t="shared" si="2"/>
        <v>21</v>
      </c>
      <c r="AF10" s="31">
        <f t="shared" si="2"/>
        <v>26</v>
      </c>
    </row>
    <row r="11" spans="2:32" s="6" customFormat="1" ht="23.1" customHeight="1" x14ac:dyDescent="0.25">
      <c r="B11" s="23" t="s">
        <v>38</v>
      </c>
      <c r="C11" s="51">
        <v>2</v>
      </c>
      <c r="D11" s="51">
        <v>0</v>
      </c>
      <c r="E11" s="51">
        <v>0</v>
      </c>
      <c r="F11" s="51">
        <v>0</v>
      </c>
      <c r="G11" s="51">
        <v>0</v>
      </c>
      <c r="H11" s="51">
        <v>0</v>
      </c>
      <c r="I11" s="51">
        <v>1</v>
      </c>
      <c r="J11" s="51">
        <v>0</v>
      </c>
      <c r="K11" s="51">
        <v>0</v>
      </c>
      <c r="L11" s="51">
        <v>1</v>
      </c>
      <c r="M11" s="51">
        <v>0</v>
      </c>
      <c r="N11" s="51">
        <v>0</v>
      </c>
      <c r="O11" s="15">
        <f t="shared" si="0"/>
        <v>4</v>
      </c>
      <c r="P11" s="15">
        <f t="shared" si="1"/>
        <v>4</v>
      </c>
      <c r="R11" s="1" t="s">
        <v>7</v>
      </c>
      <c r="S11" s="17">
        <f t="shared" ref="S11:AF11" si="3">SUM(C14:C17)</f>
        <v>2</v>
      </c>
      <c r="T11" s="17">
        <f t="shared" si="3"/>
        <v>2</v>
      </c>
      <c r="U11" s="17">
        <f t="shared" si="3"/>
        <v>13</v>
      </c>
      <c r="V11" s="17">
        <f t="shared" si="3"/>
        <v>3</v>
      </c>
      <c r="W11" s="17">
        <f t="shared" si="3"/>
        <v>0</v>
      </c>
      <c r="X11" s="17">
        <f t="shared" si="3"/>
        <v>1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1</v>
      </c>
      <c r="AC11" s="17">
        <f t="shared" si="3"/>
        <v>10</v>
      </c>
      <c r="AD11" s="17">
        <f t="shared" si="3"/>
        <v>0</v>
      </c>
      <c r="AE11" s="31">
        <f t="shared" si="3"/>
        <v>26</v>
      </c>
      <c r="AF11" s="31">
        <f t="shared" si="3"/>
        <v>36</v>
      </c>
    </row>
    <row r="12" spans="2:32" ht="23.1" customHeight="1" x14ac:dyDescent="0.25">
      <c r="B12" s="23" t="s">
        <v>39</v>
      </c>
      <c r="C12" s="51">
        <v>1</v>
      </c>
      <c r="D12" s="51">
        <v>0</v>
      </c>
      <c r="E12" s="51">
        <v>2</v>
      </c>
      <c r="F12" s="51">
        <v>2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1</v>
      </c>
      <c r="N12" s="51">
        <v>0</v>
      </c>
      <c r="O12" s="15">
        <f t="shared" si="0"/>
        <v>5</v>
      </c>
      <c r="P12" s="15">
        <f t="shared" si="1"/>
        <v>6</v>
      </c>
      <c r="R12" s="1" t="s">
        <v>8</v>
      </c>
      <c r="S12" s="17">
        <f t="shared" ref="S12:AF12" si="4">SUM(C18:C21)</f>
        <v>4</v>
      </c>
      <c r="T12" s="17">
        <f t="shared" si="4"/>
        <v>3</v>
      </c>
      <c r="U12" s="17">
        <f t="shared" si="4"/>
        <v>11</v>
      </c>
      <c r="V12" s="17">
        <f t="shared" si="4"/>
        <v>6</v>
      </c>
      <c r="W12" s="17">
        <f t="shared" si="4"/>
        <v>0</v>
      </c>
      <c r="X12" s="17">
        <f t="shared" si="4"/>
        <v>2</v>
      </c>
      <c r="Y12" s="17">
        <f t="shared" si="4"/>
        <v>3</v>
      </c>
      <c r="Z12" s="17">
        <f t="shared" si="4"/>
        <v>1</v>
      </c>
      <c r="AA12" s="17">
        <f t="shared" si="4"/>
        <v>0</v>
      </c>
      <c r="AB12" s="17">
        <f t="shared" si="4"/>
        <v>2</v>
      </c>
      <c r="AC12" s="17">
        <f t="shared" si="4"/>
        <v>13</v>
      </c>
      <c r="AD12" s="17">
        <f t="shared" si="4"/>
        <v>1</v>
      </c>
      <c r="AE12" s="31">
        <f t="shared" si="4"/>
        <v>33</v>
      </c>
      <c r="AF12" s="31">
        <f t="shared" si="4"/>
        <v>46</v>
      </c>
    </row>
    <row r="13" spans="2:32" ht="23.1" customHeight="1" x14ac:dyDescent="0.25">
      <c r="B13" s="23" t="s">
        <v>40</v>
      </c>
      <c r="C13" s="51">
        <v>0</v>
      </c>
      <c r="D13" s="51">
        <v>0</v>
      </c>
      <c r="E13" s="51">
        <v>2</v>
      </c>
      <c r="F13" s="51">
        <v>0</v>
      </c>
      <c r="G13" s="51">
        <v>0</v>
      </c>
      <c r="H13" s="51">
        <v>0</v>
      </c>
      <c r="I13" s="51">
        <v>3</v>
      </c>
      <c r="J13" s="51">
        <v>0</v>
      </c>
      <c r="K13" s="51">
        <v>0</v>
      </c>
      <c r="L13" s="51">
        <v>1</v>
      </c>
      <c r="M13" s="51">
        <v>2</v>
      </c>
      <c r="N13" s="51">
        <v>0</v>
      </c>
      <c r="O13" s="15">
        <f t="shared" si="0"/>
        <v>6</v>
      </c>
      <c r="P13" s="15">
        <f t="shared" si="1"/>
        <v>8</v>
      </c>
      <c r="R13" s="1" t="s">
        <v>9</v>
      </c>
      <c r="S13" s="17">
        <f t="shared" ref="S13:AF13" si="5">SUM(C22:C25)</f>
        <v>8</v>
      </c>
      <c r="T13" s="17">
        <f t="shared" si="5"/>
        <v>2</v>
      </c>
      <c r="U13" s="17">
        <f t="shared" si="5"/>
        <v>10</v>
      </c>
      <c r="V13" s="17">
        <f t="shared" si="5"/>
        <v>6</v>
      </c>
      <c r="W13" s="17">
        <f t="shared" si="5"/>
        <v>0</v>
      </c>
      <c r="X13" s="17">
        <f t="shared" si="5"/>
        <v>2</v>
      </c>
      <c r="Y13" s="17">
        <f t="shared" si="5"/>
        <v>3</v>
      </c>
      <c r="Z13" s="17">
        <f t="shared" si="5"/>
        <v>3</v>
      </c>
      <c r="AA13" s="17">
        <f t="shared" si="5"/>
        <v>1</v>
      </c>
      <c r="AB13" s="17">
        <f t="shared" si="5"/>
        <v>1</v>
      </c>
      <c r="AC13" s="17">
        <f t="shared" si="5"/>
        <v>9</v>
      </c>
      <c r="AD13" s="17">
        <f t="shared" si="5"/>
        <v>0</v>
      </c>
      <c r="AE13" s="31">
        <f t="shared" si="5"/>
        <v>36</v>
      </c>
      <c r="AF13" s="31">
        <f t="shared" si="5"/>
        <v>45</v>
      </c>
    </row>
    <row r="14" spans="2:32" ht="23.1" customHeight="1" x14ac:dyDescent="0.25">
      <c r="B14" s="23" t="s">
        <v>41</v>
      </c>
      <c r="C14" s="51">
        <v>0</v>
      </c>
      <c r="D14" s="51">
        <v>0</v>
      </c>
      <c r="E14" s="51">
        <v>3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1</v>
      </c>
      <c r="M14" s="51">
        <v>1</v>
      </c>
      <c r="N14" s="51">
        <v>0</v>
      </c>
      <c r="O14" s="15">
        <f t="shared" si="0"/>
        <v>4</v>
      </c>
      <c r="P14" s="15">
        <f t="shared" si="1"/>
        <v>5</v>
      </c>
      <c r="R14" s="1" t="s">
        <v>10</v>
      </c>
      <c r="S14" s="17">
        <f t="shared" ref="S14:AF14" si="6">SUM(C26:C29)</f>
        <v>12</v>
      </c>
      <c r="T14" s="17">
        <f t="shared" si="6"/>
        <v>5</v>
      </c>
      <c r="U14" s="17">
        <f t="shared" si="6"/>
        <v>17</v>
      </c>
      <c r="V14" s="17">
        <f t="shared" si="6"/>
        <v>3</v>
      </c>
      <c r="W14" s="17">
        <f t="shared" si="6"/>
        <v>0</v>
      </c>
      <c r="X14" s="17">
        <f t="shared" si="6"/>
        <v>4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5</v>
      </c>
      <c r="AC14" s="17">
        <f t="shared" si="6"/>
        <v>11</v>
      </c>
      <c r="AD14" s="17">
        <f t="shared" si="6"/>
        <v>0</v>
      </c>
      <c r="AE14" s="31">
        <f t="shared" si="6"/>
        <v>48</v>
      </c>
      <c r="AF14" s="31">
        <f t="shared" si="6"/>
        <v>59</v>
      </c>
    </row>
    <row r="15" spans="2:32" ht="23.1" customHeight="1" x14ac:dyDescent="0.25">
      <c r="B15" s="23" t="s">
        <v>42</v>
      </c>
      <c r="C15" s="51">
        <v>1</v>
      </c>
      <c r="D15" s="51">
        <v>0</v>
      </c>
      <c r="E15" s="51">
        <v>2</v>
      </c>
      <c r="F15" s="51">
        <v>1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4</v>
      </c>
      <c r="N15" s="51">
        <v>0</v>
      </c>
      <c r="O15" s="15">
        <f t="shared" si="0"/>
        <v>4</v>
      </c>
      <c r="P15" s="15">
        <f t="shared" si="1"/>
        <v>8</v>
      </c>
      <c r="R15" s="1" t="s">
        <v>11</v>
      </c>
      <c r="S15" s="17">
        <f t="shared" ref="S15:AF15" si="7">SUM(C30:C33)</f>
        <v>7</v>
      </c>
      <c r="T15" s="17">
        <f t="shared" si="7"/>
        <v>5</v>
      </c>
      <c r="U15" s="17">
        <f t="shared" si="7"/>
        <v>18</v>
      </c>
      <c r="V15" s="17">
        <f t="shared" si="7"/>
        <v>6</v>
      </c>
      <c r="W15" s="17">
        <f t="shared" si="7"/>
        <v>1</v>
      </c>
      <c r="X15" s="17">
        <f t="shared" si="7"/>
        <v>8</v>
      </c>
      <c r="Y15" s="17">
        <f t="shared" si="7"/>
        <v>6</v>
      </c>
      <c r="Z15" s="17">
        <f t="shared" si="7"/>
        <v>1</v>
      </c>
      <c r="AA15" s="17">
        <f t="shared" si="7"/>
        <v>0</v>
      </c>
      <c r="AB15" s="17">
        <f t="shared" si="7"/>
        <v>4</v>
      </c>
      <c r="AC15" s="17">
        <f t="shared" si="7"/>
        <v>8</v>
      </c>
      <c r="AD15" s="17">
        <f t="shared" si="7"/>
        <v>0</v>
      </c>
      <c r="AE15" s="31">
        <f t="shared" si="7"/>
        <v>56</v>
      </c>
      <c r="AF15" s="31">
        <f t="shared" si="7"/>
        <v>64</v>
      </c>
    </row>
    <row r="16" spans="2:32" ht="23.1" customHeight="1" x14ac:dyDescent="0.25">
      <c r="B16" s="23" t="s">
        <v>43</v>
      </c>
      <c r="C16" s="51">
        <v>0</v>
      </c>
      <c r="D16" s="51">
        <v>2</v>
      </c>
      <c r="E16" s="51">
        <v>5</v>
      </c>
      <c r="F16" s="51">
        <v>1</v>
      </c>
      <c r="G16" s="51">
        <v>0</v>
      </c>
      <c r="H16" s="51">
        <v>1</v>
      </c>
      <c r="I16" s="51">
        <v>2</v>
      </c>
      <c r="J16" s="51">
        <v>0</v>
      </c>
      <c r="K16" s="51">
        <v>0</v>
      </c>
      <c r="L16" s="51">
        <v>0</v>
      </c>
      <c r="M16" s="51">
        <v>4</v>
      </c>
      <c r="N16" s="51">
        <v>0</v>
      </c>
      <c r="O16" s="15">
        <f t="shared" si="0"/>
        <v>11</v>
      </c>
      <c r="P16" s="15">
        <f t="shared" si="1"/>
        <v>15</v>
      </c>
      <c r="R16" s="1" t="s">
        <v>12</v>
      </c>
      <c r="S16" s="17">
        <f t="shared" ref="S16:AF16" si="8">SUM(C34:C37)</f>
        <v>13</v>
      </c>
      <c r="T16" s="17">
        <f t="shared" si="8"/>
        <v>5</v>
      </c>
      <c r="U16" s="17">
        <f t="shared" si="8"/>
        <v>20</v>
      </c>
      <c r="V16" s="17">
        <f t="shared" si="8"/>
        <v>8</v>
      </c>
      <c r="W16" s="17">
        <f t="shared" si="8"/>
        <v>0</v>
      </c>
      <c r="X16" s="17">
        <f t="shared" si="8"/>
        <v>4</v>
      </c>
      <c r="Y16" s="17">
        <f t="shared" si="8"/>
        <v>11</v>
      </c>
      <c r="Z16" s="17">
        <f t="shared" si="8"/>
        <v>1</v>
      </c>
      <c r="AA16" s="17">
        <f t="shared" si="8"/>
        <v>3</v>
      </c>
      <c r="AB16" s="17">
        <f t="shared" si="8"/>
        <v>1</v>
      </c>
      <c r="AC16" s="17">
        <f t="shared" si="8"/>
        <v>28</v>
      </c>
      <c r="AD16" s="17">
        <f t="shared" si="8"/>
        <v>0</v>
      </c>
      <c r="AE16" s="31">
        <f t="shared" si="8"/>
        <v>66</v>
      </c>
      <c r="AF16" s="31">
        <f t="shared" si="8"/>
        <v>94</v>
      </c>
    </row>
    <row r="17" spans="2:32" ht="23.1" customHeight="1" x14ac:dyDescent="0.25">
      <c r="B17" s="23" t="s">
        <v>44</v>
      </c>
      <c r="C17" s="51">
        <v>1</v>
      </c>
      <c r="D17" s="51">
        <v>0</v>
      </c>
      <c r="E17" s="51">
        <v>3</v>
      </c>
      <c r="F17" s="51">
        <v>1</v>
      </c>
      <c r="G17" s="51">
        <v>0</v>
      </c>
      <c r="H17" s="51">
        <v>0</v>
      </c>
      <c r="I17" s="51">
        <v>2</v>
      </c>
      <c r="J17" s="51">
        <v>0</v>
      </c>
      <c r="K17" s="51">
        <v>0</v>
      </c>
      <c r="L17" s="51">
        <v>0</v>
      </c>
      <c r="M17" s="51">
        <v>1</v>
      </c>
      <c r="N17" s="51">
        <v>0</v>
      </c>
      <c r="O17" s="15">
        <f t="shared" si="0"/>
        <v>7</v>
      </c>
      <c r="P17" s="15">
        <f t="shared" si="1"/>
        <v>8</v>
      </c>
      <c r="R17" s="1" t="s">
        <v>13</v>
      </c>
      <c r="S17" s="17">
        <f t="shared" ref="S17:AF17" si="9">SUM(C38:C41)</f>
        <v>5</v>
      </c>
      <c r="T17" s="17">
        <f t="shared" si="9"/>
        <v>5</v>
      </c>
      <c r="U17" s="17">
        <f t="shared" si="9"/>
        <v>18</v>
      </c>
      <c r="V17" s="17">
        <f t="shared" si="9"/>
        <v>10</v>
      </c>
      <c r="W17" s="17">
        <f t="shared" si="9"/>
        <v>0</v>
      </c>
      <c r="X17" s="17">
        <f t="shared" si="9"/>
        <v>5</v>
      </c>
      <c r="Y17" s="17">
        <f t="shared" si="9"/>
        <v>8</v>
      </c>
      <c r="Z17" s="17">
        <f t="shared" si="9"/>
        <v>0</v>
      </c>
      <c r="AA17" s="17">
        <f t="shared" si="9"/>
        <v>0</v>
      </c>
      <c r="AB17" s="17">
        <f t="shared" si="9"/>
        <v>4</v>
      </c>
      <c r="AC17" s="17">
        <f t="shared" si="9"/>
        <v>14</v>
      </c>
      <c r="AD17" s="17">
        <f t="shared" si="9"/>
        <v>0</v>
      </c>
      <c r="AE17" s="31">
        <f t="shared" si="9"/>
        <v>55</v>
      </c>
      <c r="AF17" s="31">
        <f t="shared" si="9"/>
        <v>69</v>
      </c>
    </row>
    <row r="18" spans="2:32" ht="23.1" customHeight="1" x14ac:dyDescent="0.25">
      <c r="B18" s="23" t="s">
        <v>45</v>
      </c>
      <c r="C18" s="51">
        <v>0</v>
      </c>
      <c r="D18" s="51">
        <v>1</v>
      </c>
      <c r="E18" s="51">
        <v>4</v>
      </c>
      <c r="F18" s="51">
        <v>3</v>
      </c>
      <c r="G18" s="51">
        <v>0</v>
      </c>
      <c r="H18" s="51">
        <v>1</v>
      </c>
      <c r="I18" s="51">
        <v>1</v>
      </c>
      <c r="J18" s="51">
        <v>1</v>
      </c>
      <c r="K18" s="51">
        <v>0</v>
      </c>
      <c r="L18" s="51">
        <v>0</v>
      </c>
      <c r="M18" s="51">
        <v>1</v>
      </c>
      <c r="N18" s="51">
        <v>0</v>
      </c>
      <c r="O18" s="15">
        <f t="shared" si="0"/>
        <v>11</v>
      </c>
      <c r="P18" s="15">
        <f t="shared" si="1"/>
        <v>12</v>
      </c>
      <c r="R18" s="1" t="s">
        <v>14</v>
      </c>
      <c r="S18" s="17">
        <f t="shared" ref="S18:AF18" si="10">SUM(C42:C45)</f>
        <v>5</v>
      </c>
      <c r="T18" s="17">
        <f t="shared" si="10"/>
        <v>5</v>
      </c>
      <c r="U18" s="17">
        <f t="shared" si="10"/>
        <v>17</v>
      </c>
      <c r="V18" s="17">
        <f t="shared" si="10"/>
        <v>4</v>
      </c>
      <c r="W18" s="17">
        <f t="shared" si="10"/>
        <v>1</v>
      </c>
      <c r="X18" s="17">
        <f t="shared" si="10"/>
        <v>4</v>
      </c>
      <c r="Y18" s="17">
        <f t="shared" si="10"/>
        <v>15</v>
      </c>
      <c r="Z18" s="17">
        <f t="shared" si="10"/>
        <v>1</v>
      </c>
      <c r="AA18" s="17">
        <f t="shared" si="10"/>
        <v>1</v>
      </c>
      <c r="AB18" s="17">
        <f t="shared" si="10"/>
        <v>2</v>
      </c>
      <c r="AC18" s="17">
        <f t="shared" si="10"/>
        <v>24</v>
      </c>
      <c r="AD18" s="17">
        <f t="shared" si="10"/>
        <v>0</v>
      </c>
      <c r="AE18" s="31">
        <f t="shared" si="10"/>
        <v>55</v>
      </c>
      <c r="AF18" s="31">
        <f t="shared" si="10"/>
        <v>79</v>
      </c>
    </row>
    <row r="19" spans="2:32" ht="23.1" customHeight="1" x14ac:dyDescent="0.25">
      <c r="B19" s="23" t="s">
        <v>46</v>
      </c>
      <c r="C19" s="51">
        <v>1</v>
      </c>
      <c r="D19" s="51">
        <v>1</v>
      </c>
      <c r="E19" s="51">
        <v>3</v>
      </c>
      <c r="F19" s="51">
        <v>2</v>
      </c>
      <c r="G19" s="51">
        <v>0</v>
      </c>
      <c r="H19" s="51">
        <v>0</v>
      </c>
      <c r="I19" s="51">
        <v>1</v>
      </c>
      <c r="J19" s="51">
        <v>0</v>
      </c>
      <c r="K19" s="51">
        <v>0</v>
      </c>
      <c r="L19" s="51">
        <v>1</v>
      </c>
      <c r="M19" s="51">
        <v>6</v>
      </c>
      <c r="N19" s="51">
        <v>1</v>
      </c>
      <c r="O19" s="15">
        <f t="shared" si="0"/>
        <v>10</v>
      </c>
      <c r="P19" s="15">
        <f t="shared" si="1"/>
        <v>16</v>
      </c>
      <c r="R19" s="1" t="s">
        <v>15</v>
      </c>
      <c r="S19" s="17">
        <f t="shared" ref="S19:AF19" si="11">SUM(C46:C49)</f>
        <v>3</v>
      </c>
      <c r="T19" s="17">
        <f t="shared" si="11"/>
        <v>5</v>
      </c>
      <c r="U19" s="17">
        <f t="shared" si="11"/>
        <v>19</v>
      </c>
      <c r="V19" s="17">
        <f t="shared" si="11"/>
        <v>5</v>
      </c>
      <c r="W19" s="17">
        <f t="shared" si="11"/>
        <v>0</v>
      </c>
      <c r="X19" s="17">
        <f t="shared" si="11"/>
        <v>6</v>
      </c>
      <c r="Y19" s="17">
        <f t="shared" si="11"/>
        <v>15</v>
      </c>
      <c r="Z19" s="17">
        <f t="shared" si="11"/>
        <v>3</v>
      </c>
      <c r="AA19" s="17">
        <f t="shared" si="11"/>
        <v>1</v>
      </c>
      <c r="AB19" s="17">
        <f t="shared" si="11"/>
        <v>5</v>
      </c>
      <c r="AC19" s="17">
        <f t="shared" si="11"/>
        <v>18</v>
      </c>
      <c r="AD19" s="17">
        <f t="shared" si="11"/>
        <v>0</v>
      </c>
      <c r="AE19" s="31">
        <f t="shared" si="11"/>
        <v>62</v>
      </c>
      <c r="AF19" s="31">
        <f t="shared" si="11"/>
        <v>80</v>
      </c>
    </row>
    <row r="20" spans="2:32" ht="23.1" customHeight="1" x14ac:dyDescent="0.25">
      <c r="B20" s="23" t="s">
        <v>47</v>
      </c>
      <c r="C20" s="51">
        <v>2</v>
      </c>
      <c r="D20" s="51">
        <v>1</v>
      </c>
      <c r="E20" s="51">
        <v>3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1</v>
      </c>
      <c r="M20" s="51">
        <v>2</v>
      </c>
      <c r="N20" s="51">
        <v>0</v>
      </c>
      <c r="O20" s="15">
        <f t="shared" si="0"/>
        <v>7</v>
      </c>
      <c r="P20" s="15">
        <f t="shared" si="1"/>
        <v>9</v>
      </c>
      <c r="R20" s="1" t="s">
        <v>16</v>
      </c>
      <c r="S20" s="17">
        <f t="shared" ref="S20:AF20" si="12">SUM(C50:C53)</f>
        <v>5</v>
      </c>
      <c r="T20" s="17">
        <f t="shared" si="12"/>
        <v>3</v>
      </c>
      <c r="U20" s="17">
        <f t="shared" si="12"/>
        <v>17</v>
      </c>
      <c r="V20" s="17">
        <f t="shared" si="12"/>
        <v>8</v>
      </c>
      <c r="W20" s="17">
        <f t="shared" si="12"/>
        <v>0</v>
      </c>
      <c r="X20" s="17">
        <f t="shared" si="12"/>
        <v>4</v>
      </c>
      <c r="Y20" s="17">
        <f t="shared" si="12"/>
        <v>5</v>
      </c>
      <c r="Z20" s="17">
        <f t="shared" si="12"/>
        <v>0</v>
      </c>
      <c r="AA20" s="17">
        <f t="shared" si="12"/>
        <v>0</v>
      </c>
      <c r="AB20" s="17">
        <f t="shared" si="12"/>
        <v>9</v>
      </c>
      <c r="AC20" s="17">
        <f t="shared" si="12"/>
        <v>19</v>
      </c>
      <c r="AD20" s="17">
        <f t="shared" si="12"/>
        <v>0</v>
      </c>
      <c r="AE20" s="31">
        <f t="shared" si="12"/>
        <v>51</v>
      </c>
      <c r="AF20" s="31">
        <f t="shared" si="12"/>
        <v>70</v>
      </c>
    </row>
    <row r="21" spans="2:32" ht="23.1" customHeight="1" x14ac:dyDescent="0.25">
      <c r="B21" s="23" t="s">
        <v>48</v>
      </c>
      <c r="C21" s="51">
        <v>1</v>
      </c>
      <c r="D21" s="51">
        <v>0</v>
      </c>
      <c r="E21" s="51">
        <v>1</v>
      </c>
      <c r="F21" s="51">
        <v>1</v>
      </c>
      <c r="G21" s="51">
        <v>0</v>
      </c>
      <c r="H21" s="51">
        <v>1</v>
      </c>
      <c r="I21" s="51">
        <v>1</v>
      </c>
      <c r="J21" s="51">
        <v>0</v>
      </c>
      <c r="K21" s="51">
        <v>0</v>
      </c>
      <c r="L21" s="51">
        <v>0</v>
      </c>
      <c r="M21" s="51">
        <v>4</v>
      </c>
      <c r="N21" s="51">
        <v>0</v>
      </c>
      <c r="O21" s="15">
        <f t="shared" si="0"/>
        <v>5</v>
      </c>
      <c r="P21" s="15">
        <f t="shared" si="1"/>
        <v>9</v>
      </c>
      <c r="R21" s="36" t="s">
        <v>20</v>
      </c>
      <c r="S21" s="34">
        <f t="shared" ref="S21:AF21" si="13">SUM(C54:C57)</f>
        <v>8</v>
      </c>
      <c r="T21" s="17">
        <f t="shared" si="13"/>
        <v>3</v>
      </c>
      <c r="U21" s="17">
        <f t="shared" si="13"/>
        <v>13</v>
      </c>
      <c r="V21" s="17">
        <f t="shared" si="13"/>
        <v>11</v>
      </c>
      <c r="W21" s="17">
        <f t="shared" si="13"/>
        <v>0</v>
      </c>
      <c r="X21" s="17">
        <f t="shared" si="13"/>
        <v>2</v>
      </c>
      <c r="Y21" s="17">
        <f t="shared" si="13"/>
        <v>17</v>
      </c>
      <c r="Z21" s="17">
        <f t="shared" si="13"/>
        <v>2</v>
      </c>
      <c r="AA21" s="17">
        <f t="shared" si="13"/>
        <v>3</v>
      </c>
      <c r="AB21" s="17">
        <f t="shared" si="13"/>
        <v>6</v>
      </c>
      <c r="AC21" s="17">
        <f t="shared" si="13"/>
        <v>13</v>
      </c>
      <c r="AD21" s="17">
        <f t="shared" si="13"/>
        <v>0</v>
      </c>
      <c r="AE21" s="31">
        <f t="shared" si="13"/>
        <v>65</v>
      </c>
      <c r="AF21" s="31">
        <f t="shared" si="13"/>
        <v>78</v>
      </c>
    </row>
    <row r="22" spans="2:32" ht="23.1" customHeight="1" x14ac:dyDescent="0.25">
      <c r="B22" s="23" t="s">
        <v>49</v>
      </c>
      <c r="C22" s="51">
        <v>2</v>
      </c>
      <c r="D22" s="51">
        <v>1</v>
      </c>
      <c r="E22" s="51">
        <v>4</v>
      </c>
      <c r="F22" s="51">
        <v>1</v>
      </c>
      <c r="G22" s="51">
        <v>0</v>
      </c>
      <c r="H22" s="51">
        <v>2</v>
      </c>
      <c r="I22" s="51">
        <v>0</v>
      </c>
      <c r="J22" s="51">
        <v>1</v>
      </c>
      <c r="K22" s="51">
        <v>0</v>
      </c>
      <c r="L22" s="51">
        <v>0</v>
      </c>
      <c r="M22" s="51">
        <v>3</v>
      </c>
      <c r="N22" s="51">
        <v>0</v>
      </c>
      <c r="O22" s="15">
        <f t="shared" si="0"/>
        <v>11</v>
      </c>
      <c r="P22" s="15">
        <f t="shared" si="1"/>
        <v>14</v>
      </c>
      <c r="R22" s="38" t="s">
        <v>90</v>
      </c>
      <c r="S22" s="39">
        <f>MAX(S10:S12)</f>
        <v>4</v>
      </c>
      <c r="T22" s="39">
        <f t="shared" ref="T22:AF22" si="14">MAX(T10:T12)</f>
        <v>3</v>
      </c>
      <c r="U22" s="39">
        <f t="shared" si="14"/>
        <v>13</v>
      </c>
      <c r="V22" s="39">
        <f t="shared" si="14"/>
        <v>6</v>
      </c>
      <c r="W22" s="39">
        <f t="shared" si="14"/>
        <v>0</v>
      </c>
      <c r="X22" s="39">
        <f t="shared" si="14"/>
        <v>2</v>
      </c>
      <c r="Y22" s="39">
        <f t="shared" si="14"/>
        <v>5</v>
      </c>
      <c r="Z22" s="39">
        <f t="shared" si="14"/>
        <v>1</v>
      </c>
      <c r="AA22" s="39">
        <f t="shared" si="14"/>
        <v>1</v>
      </c>
      <c r="AB22" s="39">
        <f t="shared" si="14"/>
        <v>4</v>
      </c>
      <c r="AC22" s="39">
        <f t="shared" si="14"/>
        <v>13</v>
      </c>
      <c r="AD22" s="39">
        <f t="shared" si="14"/>
        <v>1</v>
      </c>
      <c r="AE22" s="40">
        <f t="shared" si="14"/>
        <v>33</v>
      </c>
      <c r="AF22" s="40">
        <f t="shared" si="14"/>
        <v>46</v>
      </c>
    </row>
    <row r="23" spans="2:32" ht="23.1" customHeight="1" x14ac:dyDescent="0.25">
      <c r="B23" s="23" t="s">
        <v>50</v>
      </c>
      <c r="C23" s="51">
        <v>4</v>
      </c>
      <c r="D23" s="51">
        <v>0</v>
      </c>
      <c r="E23" s="51">
        <v>2</v>
      </c>
      <c r="F23" s="51">
        <v>0</v>
      </c>
      <c r="G23" s="51">
        <v>0</v>
      </c>
      <c r="H23" s="51">
        <v>0</v>
      </c>
      <c r="I23" s="51">
        <v>2</v>
      </c>
      <c r="J23" s="51">
        <v>1</v>
      </c>
      <c r="K23" s="51">
        <v>0</v>
      </c>
      <c r="L23" s="51">
        <v>0</v>
      </c>
      <c r="M23" s="51">
        <v>2</v>
      </c>
      <c r="N23" s="51">
        <v>0</v>
      </c>
      <c r="O23" s="15">
        <f t="shared" si="0"/>
        <v>9</v>
      </c>
      <c r="P23" s="15">
        <f t="shared" si="1"/>
        <v>11</v>
      </c>
      <c r="R23" s="38" t="s">
        <v>91</v>
      </c>
      <c r="S23" s="39">
        <f>MAX(S13:S18)</f>
        <v>13</v>
      </c>
      <c r="T23" s="39">
        <f t="shared" ref="T23:AF23" si="15">MAX(T13:T18)</f>
        <v>5</v>
      </c>
      <c r="U23" s="39">
        <f t="shared" si="15"/>
        <v>20</v>
      </c>
      <c r="V23" s="39">
        <f t="shared" si="15"/>
        <v>10</v>
      </c>
      <c r="W23" s="39">
        <f t="shared" si="15"/>
        <v>1</v>
      </c>
      <c r="X23" s="39">
        <f t="shared" si="15"/>
        <v>8</v>
      </c>
      <c r="Y23" s="39">
        <f t="shared" si="15"/>
        <v>15</v>
      </c>
      <c r="Z23" s="39">
        <f t="shared" si="15"/>
        <v>3</v>
      </c>
      <c r="AA23" s="39">
        <f t="shared" si="15"/>
        <v>3</v>
      </c>
      <c r="AB23" s="39">
        <f t="shared" si="15"/>
        <v>5</v>
      </c>
      <c r="AC23" s="39">
        <f t="shared" si="15"/>
        <v>28</v>
      </c>
      <c r="AD23" s="39">
        <f t="shared" si="15"/>
        <v>0</v>
      </c>
      <c r="AE23" s="40">
        <f t="shared" si="15"/>
        <v>66</v>
      </c>
      <c r="AF23" s="40">
        <f t="shared" si="15"/>
        <v>94</v>
      </c>
    </row>
    <row r="24" spans="2:32" ht="23.1" customHeight="1" x14ac:dyDescent="0.25">
      <c r="B24" s="23" t="s">
        <v>51</v>
      </c>
      <c r="C24" s="51">
        <v>0</v>
      </c>
      <c r="D24" s="51">
        <v>1</v>
      </c>
      <c r="E24" s="51">
        <v>4</v>
      </c>
      <c r="F24" s="51">
        <v>3</v>
      </c>
      <c r="G24" s="51">
        <v>0</v>
      </c>
      <c r="H24" s="51">
        <v>0</v>
      </c>
      <c r="I24" s="51">
        <v>1</v>
      </c>
      <c r="J24" s="51">
        <v>1</v>
      </c>
      <c r="K24" s="51">
        <v>1</v>
      </c>
      <c r="L24" s="51">
        <v>1</v>
      </c>
      <c r="M24" s="51">
        <v>2</v>
      </c>
      <c r="N24" s="51">
        <v>0</v>
      </c>
      <c r="O24" s="15">
        <f t="shared" si="0"/>
        <v>12</v>
      </c>
      <c r="P24" s="15">
        <f t="shared" si="1"/>
        <v>14</v>
      </c>
      <c r="R24" s="38" t="s">
        <v>92</v>
      </c>
      <c r="S24" s="39">
        <f>MAX(S19:S21)</f>
        <v>8</v>
      </c>
      <c r="T24" s="39">
        <f t="shared" ref="T24:AF24" si="16">MAX(T19:T21)</f>
        <v>5</v>
      </c>
      <c r="U24" s="39">
        <f t="shared" si="16"/>
        <v>19</v>
      </c>
      <c r="V24" s="39">
        <f t="shared" si="16"/>
        <v>11</v>
      </c>
      <c r="W24" s="39">
        <f t="shared" si="16"/>
        <v>0</v>
      </c>
      <c r="X24" s="39">
        <f t="shared" si="16"/>
        <v>6</v>
      </c>
      <c r="Y24" s="39">
        <f t="shared" si="16"/>
        <v>17</v>
      </c>
      <c r="Z24" s="39">
        <f t="shared" si="16"/>
        <v>3</v>
      </c>
      <c r="AA24" s="39">
        <f t="shared" si="16"/>
        <v>3</v>
      </c>
      <c r="AB24" s="39">
        <f t="shared" si="16"/>
        <v>9</v>
      </c>
      <c r="AC24" s="39">
        <f t="shared" si="16"/>
        <v>19</v>
      </c>
      <c r="AD24" s="39">
        <f t="shared" si="16"/>
        <v>0</v>
      </c>
      <c r="AE24" s="40">
        <f t="shared" si="16"/>
        <v>65</v>
      </c>
      <c r="AF24" s="40">
        <f t="shared" si="16"/>
        <v>80</v>
      </c>
    </row>
    <row r="25" spans="2:32" ht="23.1" customHeight="1" x14ac:dyDescent="0.25">
      <c r="B25" s="23" t="s">
        <v>52</v>
      </c>
      <c r="C25" s="51">
        <v>2</v>
      </c>
      <c r="D25" s="51">
        <v>0</v>
      </c>
      <c r="E25" s="51">
        <v>0</v>
      </c>
      <c r="F25" s="51">
        <v>2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2</v>
      </c>
      <c r="N25" s="51">
        <v>0</v>
      </c>
      <c r="O25" s="15">
        <f t="shared" si="0"/>
        <v>4</v>
      </c>
      <c r="P25" s="15">
        <f t="shared" si="1"/>
        <v>6</v>
      </c>
      <c r="R25" s="37" t="s">
        <v>85</v>
      </c>
      <c r="S25" s="35">
        <f t="shared" ref="S25:AF25" si="17">SUM(S10:S12)</f>
        <v>9</v>
      </c>
      <c r="T25" s="16">
        <f t="shared" si="17"/>
        <v>5</v>
      </c>
      <c r="U25" s="16">
        <f t="shared" si="17"/>
        <v>29</v>
      </c>
      <c r="V25" s="16">
        <f t="shared" si="17"/>
        <v>12</v>
      </c>
      <c r="W25" s="16">
        <f t="shared" si="17"/>
        <v>0</v>
      </c>
      <c r="X25" s="16">
        <f t="shared" si="17"/>
        <v>3</v>
      </c>
      <c r="Y25" s="16">
        <f t="shared" si="17"/>
        <v>12</v>
      </c>
      <c r="Z25" s="16">
        <f t="shared" si="17"/>
        <v>1</v>
      </c>
      <c r="AA25" s="16">
        <f t="shared" si="17"/>
        <v>1</v>
      </c>
      <c r="AB25" s="16">
        <f t="shared" si="17"/>
        <v>7</v>
      </c>
      <c r="AC25" s="16">
        <f t="shared" si="17"/>
        <v>28</v>
      </c>
      <c r="AD25" s="16">
        <f t="shared" si="17"/>
        <v>1</v>
      </c>
      <c r="AE25" s="32">
        <f t="shared" si="17"/>
        <v>80</v>
      </c>
      <c r="AF25" s="32">
        <f t="shared" si="17"/>
        <v>108</v>
      </c>
    </row>
    <row r="26" spans="2:32" ht="23.1" customHeight="1" x14ac:dyDescent="0.25">
      <c r="B26" s="23" t="s">
        <v>53</v>
      </c>
      <c r="C26" s="51">
        <v>3</v>
      </c>
      <c r="D26" s="51">
        <v>1</v>
      </c>
      <c r="E26" s="51">
        <v>4</v>
      </c>
      <c r="F26" s="51">
        <v>2</v>
      </c>
      <c r="G26" s="51">
        <v>0</v>
      </c>
      <c r="H26" s="51">
        <v>1</v>
      </c>
      <c r="I26" s="51">
        <v>0</v>
      </c>
      <c r="J26" s="51">
        <v>0</v>
      </c>
      <c r="K26" s="51">
        <v>0</v>
      </c>
      <c r="L26" s="51">
        <v>3</v>
      </c>
      <c r="M26" s="51">
        <v>7</v>
      </c>
      <c r="N26" s="51">
        <v>0</v>
      </c>
      <c r="O26" s="15">
        <f t="shared" si="0"/>
        <v>14</v>
      </c>
      <c r="P26" s="15">
        <f t="shared" si="1"/>
        <v>21</v>
      </c>
      <c r="R26" s="28" t="s">
        <v>86</v>
      </c>
      <c r="S26" s="16">
        <f t="shared" ref="S26:AF26" si="18">SUM(S13:S18)</f>
        <v>50</v>
      </c>
      <c r="T26" s="16">
        <f t="shared" si="18"/>
        <v>27</v>
      </c>
      <c r="U26" s="16">
        <f t="shared" si="18"/>
        <v>100</v>
      </c>
      <c r="V26" s="16">
        <f t="shared" si="18"/>
        <v>37</v>
      </c>
      <c r="W26" s="16">
        <f t="shared" si="18"/>
        <v>2</v>
      </c>
      <c r="X26" s="16">
        <f t="shared" si="18"/>
        <v>27</v>
      </c>
      <c r="Y26" s="16">
        <f t="shared" si="18"/>
        <v>45</v>
      </c>
      <c r="Z26" s="16">
        <f t="shared" si="18"/>
        <v>6</v>
      </c>
      <c r="AA26" s="16">
        <f t="shared" si="18"/>
        <v>5</v>
      </c>
      <c r="AB26" s="16">
        <f t="shared" si="18"/>
        <v>17</v>
      </c>
      <c r="AC26" s="16">
        <f t="shared" si="18"/>
        <v>94</v>
      </c>
      <c r="AD26" s="16">
        <f t="shared" si="18"/>
        <v>0</v>
      </c>
      <c r="AE26" s="32">
        <f t="shared" si="18"/>
        <v>316</v>
      </c>
      <c r="AF26" s="32">
        <f t="shared" si="18"/>
        <v>410</v>
      </c>
    </row>
    <row r="27" spans="2:32" ht="23.1" customHeight="1" x14ac:dyDescent="0.25">
      <c r="B27" s="23" t="s">
        <v>54</v>
      </c>
      <c r="C27" s="51">
        <v>2</v>
      </c>
      <c r="D27" s="51">
        <v>1</v>
      </c>
      <c r="E27" s="51">
        <v>4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15">
        <f t="shared" si="0"/>
        <v>7</v>
      </c>
      <c r="P27" s="15">
        <f t="shared" si="1"/>
        <v>7</v>
      </c>
      <c r="R27" s="29" t="s">
        <v>87</v>
      </c>
      <c r="S27" s="16">
        <f t="shared" ref="S27:AF27" si="19">SUM(S19:S21)</f>
        <v>16</v>
      </c>
      <c r="T27" s="16">
        <f t="shared" si="19"/>
        <v>11</v>
      </c>
      <c r="U27" s="16">
        <f t="shared" si="19"/>
        <v>49</v>
      </c>
      <c r="V27" s="16">
        <f t="shared" si="19"/>
        <v>24</v>
      </c>
      <c r="W27" s="16">
        <f t="shared" si="19"/>
        <v>0</v>
      </c>
      <c r="X27" s="16">
        <f t="shared" si="19"/>
        <v>12</v>
      </c>
      <c r="Y27" s="16">
        <f t="shared" si="19"/>
        <v>37</v>
      </c>
      <c r="Z27" s="16">
        <f t="shared" si="19"/>
        <v>5</v>
      </c>
      <c r="AA27" s="16">
        <f t="shared" si="19"/>
        <v>4</v>
      </c>
      <c r="AB27" s="16">
        <f t="shared" si="19"/>
        <v>20</v>
      </c>
      <c r="AC27" s="16">
        <f t="shared" si="19"/>
        <v>50</v>
      </c>
      <c r="AD27" s="16">
        <f t="shared" si="19"/>
        <v>0</v>
      </c>
      <c r="AE27" s="32">
        <f t="shared" si="19"/>
        <v>178</v>
      </c>
      <c r="AF27" s="32">
        <f t="shared" si="19"/>
        <v>228</v>
      </c>
    </row>
    <row r="28" spans="2:32" ht="23.1" customHeight="1" x14ac:dyDescent="0.25">
      <c r="B28" s="23" t="s">
        <v>55</v>
      </c>
      <c r="C28" s="51">
        <v>3</v>
      </c>
      <c r="D28" s="51">
        <v>1</v>
      </c>
      <c r="E28" s="51">
        <v>4</v>
      </c>
      <c r="F28" s="51">
        <v>1</v>
      </c>
      <c r="G28" s="51">
        <v>0</v>
      </c>
      <c r="H28" s="51">
        <v>2</v>
      </c>
      <c r="I28" s="51">
        <v>0</v>
      </c>
      <c r="J28" s="51">
        <v>0</v>
      </c>
      <c r="K28" s="51">
        <v>0</v>
      </c>
      <c r="L28" s="51">
        <v>2</v>
      </c>
      <c r="M28" s="51">
        <v>1</v>
      </c>
      <c r="N28" s="51">
        <v>0</v>
      </c>
      <c r="O28" s="15">
        <f t="shared" si="0"/>
        <v>13</v>
      </c>
      <c r="P28" s="15">
        <f t="shared" si="1"/>
        <v>14</v>
      </c>
      <c r="R28" s="5" t="s">
        <v>17</v>
      </c>
      <c r="S28" s="16">
        <f t="shared" ref="S28:AF28" si="20">SUM(S10:S21)</f>
        <v>75</v>
      </c>
      <c r="T28" s="16">
        <f t="shared" si="20"/>
        <v>43</v>
      </c>
      <c r="U28" s="16">
        <f t="shared" si="20"/>
        <v>178</v>
      </c>
      <c r="V28" s="16">
        <f t="shared" si="20"/>
        <v>73</v>
      </c>
      <c r="W28" s="16">
        <f t="shared" si="20"/>
        <v>2</v>
      </c>
      <c r="X28" s="16">
        <f t="shared" si="20"/>
        <v>42</v>
      </c>
      <c r="Y28" s="16">
        <f t="shared" si="20"/>
        <v>94</v>
      </c>
      <c r="Z28" s="16">
        <f t="shared" si="20"/>
        <v>12</v>
      </c>
      <c r="AA28" s="16">
        <f t="shared" si="20"/>
        <v>10</v>
      </c>
      <c r="AB28" s="16">
        <f t="shared" si="20"/>
        <v>44</v>
      </c>
      <c r="AC28" s="16">
        <f t="shared" si="20"/>
        <v>172</v>
      </c>
      <c r="AD28" s="16">
        <f t="shared" si="20"/>
        <v>1</v>
      </c>
      <c r="AE28" s="32">
        <f t="shared" si="20"/>
        <v>574</v>
      </c>
      <c r="AF28" s="32">
        <f t="shared" si="20"/>
        <v>746</v>
      </c>
    </row>
    <row r="29" spans="2:32" ht="23.1" customHeight="1" x14ac:dyDescent="0.25">
      <c r="B29" s="23" t="s">
        <v>56</v>
      </c>
      <c r="C29" s="51">
        <v>4</v>
      </c>
      <c r="D29" s="51">
        <v>2</v>
      </c>
      <c r="E29" s="51">
        <v>5</v>
      </c>
      <c r="F29" s="51">
        <v>0</v>
      </c>
      <c r="G29" s="51">
        <v>0</v>
      </c>
      <c r="H29" s="51">
        <v>1</v>
      </c>
      <c r="I29" s="51">
        <v>2</v>
      </c>
      <c r="J29" s="51">
        <v>0</v>
      </c>
      <c r="K29" s="51">
        <v>0</v>
      </c>
      <c r="L29" s="51">
        <v>0</v>
      </c>
      <c r="M29" s="51">
        <v>3</v>
      </c>
      <c r="N29" s="51">
        <v>0</v>
      </c>
      <c r="O29" s="15">
        <f t="shared" si="0"/>
        <v>14</v>
      </c>
      <c r="P29" s="15">
        <f t="shared" si="1"/>
        <v>17</v>
      </c>
      <c r="R29"/>
      <c r="S29" s="20"/>
      <c r="T29" s="19"/>
    </row>
    <row r="30" spans="2:32" ht="23.1" customHeight="1" x14ac:dyDescent="0.25">
      <c r="B30" s="23" t="s">
        <v>57</v>
      </c>
      <c r="C30" s="51">
        <v>0</v>
      </c>
      <c r="D30" s="51">
        <v>1</v>
      </c>
      <c r="E30" s="51">
        <v>5</v>
      </c>
      <c r="F30" s="51">
        <v>2</v>
      </c>
      <c r="G30" s="51">
        <v>0</v>
      </c>
      <c r="H30" s="51">
        <v>1</v>
      </c>
      <c r="I30" s="51">
        <v>0</v>
      </c>
      <c r="J30" s="51">
        <v>1</v>
      </c>
      <c r="K30" s="51">
        <v>0</v>
      </c>
      <c r="L30" s="51">
        <v>1</v>
      </c>
      <c r="M30" s="51">
        <v>2</v>
      </c>
      <c r="N30" s="51">
        <v>0</v>
      </c>
      <c r="O30" s="15">
        <f t="shared" si="0"/>
        <v>11</v>
      </c>
      <c r="P30" s="15">
        <f t="shared" si="1"/>
        <v>13</v>
      </c>
    </row>
    <row r="31" spans="2:32" ht="23.1" customHeight="1" x14ac:dyDescent="0.25">
      <c r="B31" s="24" t="s">
        <v>58</v>
      </c>
      <c r="C31" s="51">
        <v>4</v>
      </c>
      <c r="D31" s="51">
        <v>2</v>
      </c>
      <c r="E31" s="51">
        <v>6</v>
      </c>
      <c r="F31" s="51">
        <v>1</v>
      </c>
      <c r="G31" s="51">
        <v>1</v>
      </c>
      <c r="H31" s="51">
        <v>4</v>
      </c>
      <c r="I31" s="51">
        <v>4</v>
      </c>
      <c r="J31" s="51">
        <v>0</v>
      </c>
      <c r="K31" s="51">
        <v>0</v>
      </c>
      <c r="L31" s="51">
        <v>1</v>
      </c>
      <c r="M31" s="51">
        <v>1</v>
      </c>
      <c r="N31" s="51">
        <v>0</v>
      </c>
      <c r="O31" s="15">
        <f t="shared" si="0"/>
        <v>23</v>
      </c>
      <c r="P31" s="15">
        <f t="shared" si="1"/>
        <v>24</v>
      </c>
    </row>
    <row r="32" spans="2:32" ht="23.1" customHeight="1" x14ac:dyDescent="0.25">
      <c r="B32" s="24" t="s">
        <v>59</v>
      </c>
      <c r="C32" s="51">
        <v>1</v>
      </c>
      <c r="D32" s="51">
        <v>1</v>
      </c>
      <c r="E32" s="51">
        <v>3</v>
      </c>
      <c r="F32" s="51">
        <v>2</v>
      </c>
      <c r="G32" s="51">
        <v>0</v>
      </c>
      <c r="H32" s="51">
        <v>0</v>
      </c>
      <c r="I32" s="51">
        <v>2</v>
      </c>
      <c r="J32" s="51">
        <v>0</v>
      </c>
      <c r="K32" s="51">
        <v>0</v>
      </c>
      <c r="L32" s="51">
        <v>0</v>
      </c>
      <c r="M32" s="51">
        <v>1</v>
      </c>
      <c r="N32" s="51">
        <v>0</v>
      </c>
      <c r="O32" s="15">
        <f t="shared" si="0"/>
        <v>9</v>
      </c>
      <c r="P32" s="15">
        <f t="shared" si="1"/>
        <v>10</v>
      </c>
    </row>
    <row r="33" spans="2:20" ht="23.1" customHeight="1" x14ac:dyDescent="0.25">
      <c r="B33" s="23" t="s">
        <v>60</v>
      </c>
      <c r="C33" s="51">
        <v>2</v>
      </c>
      <c r="D33" s="51">
        <v>1</v>
      </c>
      <c r="E33" s="51">
        <v>4</v>
      </c>
      <c r="F33" s="51">
        <v>1</v>
      </c>
      <c r="G33" s="51">
        <v>0</v>
      </c>
      <c r="H33" s="51">
        <v>3</v>
      </c>
      <c r="I33" s="51">
        <v>0</v>
      </c>
      <c r="J33" s="51">
        <v>0</v>
      </c>
      <c r="K33" s="51">
        <v>0</v>
      </c>
      <c r="L33" s="51">
        <v>2</v>
      </c>
      <c r="M33" s="51">
        <v>4</v>
      </c>
      <c r="N33" s="51">
        <v>0</v>
      </c>
      <c r="O33" s="15">
        <f t="shared" si="0"/>
        <v>13</v>
      </c>
      <c r="P33" s="15">
        <f t="shared" si="1"/>
        <v>17</v>
      </c>
    </row>
    <row r="34" spans="2:20" ht="23.1" customHeight="1" x14ac:dyDescent="0.25">
      <c r="B34" s="24" t="s">
        <v>61</v>
      </c>
      <c r="C34" s="51">
        <v>3</v>
      </c>
      <c r="D34" s="51">
        <v>2</v>
      </c>
      <c r="E34" s="51">
        <v>7</v>
      </c>
      <c r="F34" s="51">
        <v>2</v>
      </c>
      <c r="G34" s="51">
        <v>0</v>
      </c>
      <c r="H34" s="51">
        <v>2</v>
      </c>
      <c r="I34" s="51">
        <v>2</v>
      </c>
      <c r="J34" s="51">
        <v>1</v>
      </c>
      <c r="K34" s="51">
        <v>0</v>
      </c>
      <c r="L34" s="51">
        <v>0</v>
      </c>
      <c r="M34" s="51">
        <v>5</v>
      </c>
      <c r="N34" s="51">
        <v>0</v>
      </c>
      <c r="O34" s="15">
        <f t="shared" si="0"/>
        <v>19</v>
      </c>
      <c r="P34" s="15">
        <f t="shared" si="1"/>
        <v>24</v>
      </c>
    </row>
    <row r="35" spans="2:20" ht="23.1" customHeight="1" x14ac:dyDescent="0.25">
      <c r="B35" s="24" t="s">
        <v>62</v>
      </c>
      <c r="C35" s="51">
        <v>1</v>
      </c>
      <c r="D35" s="51">
        <v>2</v>
      </c>
      <c r="E35" s="51">
        <v>5</v>
      </c>
      <c r="F35" s="51">
        <v>2</v>
      </c>
      <c r="G35" s="51">
        <v>0</v>
      </c>
      <c r="H35" s="51">
        <v>0</v>
      </c>
      <c r="I35" s="51">
        <v>2</v>
      </c>
      <c r="J35" s="51">
        <v>0</v>
      </c>
      <c r="K35" s="51">
        <v>0</v>
      </c>
      <c r="L35" s="51">
        <v>1</v>
      </c>
      <c r="M35" s="51">
        <v>7</v>
      </c>
      <c r="N35" s="51">
        <v>0</v>
      </c>
      <c r="O35" s="15">
        <f t="shared" si="0"/>
        <v>13</v>
      </c>
      <c r="P35" s="15">
        <f t="shared" si="1"/>
        <v>20</v>
      </c>
    </row>
    <row r="36" spans="2:20" ht="23.1" customHeight="1" x14ac:dyDescent="0.25">
      <c r="B36" s="24" t="s">
        <v>63</v>
      </c>
      <c r="C36" s="51">
        <v>5</v>
      </c>
      <c r="D36" s="51">
        <v>0</v>
      </c>
      <c r="E36" s="51">
        <v>3</v>
      </c>
      <c r="F36" s="51">
        <v>3</v>
      </c>
      <c r="G36" s="51">
        <v>0</v>
      </c>
      <c r="H36" s="51">
        <v>2</v>
      </c>
      <c r="I36" s="51">
        <v>2</v>
      </c>
      <c r="J36" s="51">
        <v>0</v>
      </c>
      <c r="K36" s="51">
        <v>1</v>
      </c>
      <c r="L36" s="51">
        <v>0</v>
      </c>
      <c r="M36" s="51">
        <v>12</v>
      </c>
      <c r="N36" s="51">
        <v>0</v>
      </c>
      <c r="O36" s="15">
        <f t="shared" si="0"/>
        <v>16</v>
      </c>
      <c r="P36" s="15">
        <f t="shared" si="1"/>
        <v>28</v>
      </c>
    </row>
    <row r="37" spans="2:20" ht="23.1" customHeight="1" x14ac:dyDescent="0.25">
      <c r="B37" s="23" t="s">
        <v>64</v>
      </c>
      <c r="C37" s="51">
        <v>4</v>
      </c>
      <c r="D37" s="51">
        <v>1</v>
      </c>
      <c r="E37" s="51">
        <v>5</v>
      </c>
      <c r="F37" s="51">
        <v>1</v>
      </c>
      <c r="G37" s="51">
        <v>0</v>
      </c>
      <c r="H37" s="51">
        <v>0</v>
      </c>
      <c r="I37" s="51">
        <v>5</v>
      </c>
      <c r="J37" s="51">
        <v>0</v>
      </c>
      <c r="K37" s="51">
        <v>2</v>
      </c>
      <c r="L37" s="51">
        <v>0</v>
      </c>
      <c r="M37" s="51">
        <v>4</v>
      </c>
      <c r="N37" s="51">
        <v>0</v>
      </c>
      <c r="O37" s="15">
        <f t="shared" si="0"/>
        <v>18</v>
      </c>
      <c r="P37" s="15">
        <f t="shared" si="1"/>
        <v>22</v>
      </c>
    </row>
    <row r="38" spans="2:20" ht="23.1" customHeight="1" x14ac:dyDescent="0.25">
      <c r="B38" s="24" t="s">
        <v>65</v>
      </c>
      <c r="C38" s="51">
        <v>1</v>
      </c>
      <c r="D38" s="51">
        <v>1</v>
      </c>
      <c r="E38" s="51">
        <v>3</v>
      </c>
      <c r="F38" s="51">
        <v>0</v>
      </c>
      <c r="G38" s="51">
        <v>0</v>
      </c>
      <c r="H38" s="51">
        <v>1</v>
      </c>
      <c r="I38" s="51">
        <v>3</v>
      </c>
      <c r="J38" s="51">
        <v>0</v>
      </c>
      <c r="K38" s="51">
        <v>0</v>
      </c>
      <c r="L38" s="51">
        <v>0</v>
      </c>
      <c r="M38" s="51">
        <v>2</v>
      </c>
      <c r="N38" s="51">
        <v>0</v>
      </c>
      <c r="O38" s="15">
        <f t="shared" si="0"/>
        <v>9</v>
      </c>
      <c r="P38" s="15">
        <f t="shared" si="1"/>
        <v>11</v>
      </c>
    </row>
    <row r="39" spans="2:20" ht="23.1" customHeight="1" x14ac:dyDescent="0.25">
      <c r="B39" s="24" t="s">
        <v>66</v>
      </c>
      <c r="C39" s="51">
        <v>0</v>
      </c>
      <c r="D39" s="51">
        <v>1</v>
      </c>
      <c r="E39" s="51">
        <v>4</v>
      </c>
      <c r="F39" s="51">
        <v>2</v>
      </c>
      <c r="G39" s="51">
        <v>0</v>
      </c>
      <c r="H39" s="51">
        <v>0</v>
      </c>
      <c r="I39" s="51">
        <v>3</v>
      </c>
      <c r="J39" s="51">
        <v>0</v>
      </c>
      <c r="K39" s="51">
        <v>0</v>
      </c>
      <c r="L39" s="51">
        <v>2</v>
      </c>
      <c r="M39" s="51">
        <v>2</v>
      </c>
      <c r="N39" s="51">
        <v>0</v>
      </c>
      <c r="O39" s="15">
        <f t="shared" si="0"/>
        <v>12</v>
      </c>
      <c r="P39" s="15">
        <f t="shared" si="1"/>
        <v>14</v>
      </c>
    </row>
    <row r="40" spans="2:20" ht="23.1" customHeight="1" x14ac:dyDescent="0.25">
      <c r="B40" s="24" t="s">
        <v>67</v>
      </c>
      <c r="C40" s="51">
        <v>1</v>
      </c>
      <c r="D40" s="51">
        <v>1</v>
      </c>
      <c r="E40" s="51">
        <v>4</v>
      </c>
      <c r="F40" s="51">
        <v>4</v>
      </c>
      <c r="G40" s="51">
        <v>0</v>
      </c>
      <c r="H40" s="51">
        <v>2</v>
      </c>
      <c r="I40" s="51">
        <v>1</v>
      </c>
      <c r="J40" s="51">
        <v>0</v>
      </c>
      <c r="K40" s="51">
        <v>0</v>
      </c>
      <c r="L40" s="51">
        <v>2</v>
      </c>
      <c r="M40" s="51">
        <v>2</v>
      </c>
      <c r="N40" s="51">
        <v>0</v>
      </c>
      <c r="O40" s="15">
        <f t="shared" si="0"/>
        <v>15</v>
      </c>
      <c r="P40" s="15">
        <f t="shared" si="1"/>
        <v>17</v>
      </c>
    </row>
    <row r="41" spans="2:20" ht="23.1" customHeight="1" x14ac:dyDescent="0.25">
      <c r="B41" s="23" t="s">
        <v>68</v>
      </c>
      <c r="C41" s="51">
        <v>3</v>
      </c>
      <c r="D41" s="51">
        <v>2</v>
      </c>
      <c r="E41" s="51">
        <v>7</v>
      </c>
      <c r="F41" s="51">
        <v>4</v>
      </c>
      <c r="G41" s="51">
        <v>0</v>
      </c>
      <c r="H41" s="51">
        <v>2</v>
      </c>
      <c r="I41" s="51">
        <v>1</v>
      </c>
      <c r="J41" s="51">
        <v>0</v>
      </c>
      <c r="K41" s="51">
        <v>0</v>
      </c>
      <c r="L41" s="51">
        <v>0</v>
      </c>
      <c r="M41" s="51">
        <v>8</v>
      </c>
      <c r="N41" s="51">
        <v>0</v>
      </c>
      <c r="O41" s="15">
        <f t="shared" si="0"/>
        <v>19</v>
      </c>
      <c r="P41" s="15">
        <f t="shared" si="1"/>
        <v>27</v>
      </c>
    </row>
    <row r="42" spans="2:20" ht="23.1" customHeight="1" x14ac:dyDescent="0.25">
      <c r="B42" s="24" t="s">
        <v>69</v>
      </c>
      <c r="C42" s="51">
        <v>0</v>
      </c>
      <c r="D42" s="51">
        <v>2</v>
      </c>
      <c r="E42" s="51">
        <v>5</v>
      </c>
      <c r="F42" s="51">
        <v>0</v>
      </c>
      <c r="G42" s="51">
        <v>0</v>
      </c>
      <c r="H42" s="51">
        <v>1</v>
      </c>
      <c r="I42" s="51">
        <v>3</v>
      </c>
      <c r="J42" s="51">
        <v>0</v>
      </c>
      <c r="K42" s="51">
        <v>0</v>
      </c>
      <c r="L42" s="51">
        <v>1</v>
      </c>
      <c r="M42" s="51">
        <v>9</v>
      </c>
      <c r="N42" s="51">
        <v>0</v>
      </c>
      <c r="O42" s="15">
        <f t="shared" si="0"/>
        <v>12</v>
      </c>
      <c r="P42" s="15">
        <f t="shared" si="1"/>
        <v>21</v>
      </c>
    </row>
    <row r="43" spans="2:20" ht="23.1" customHeight="1" x14ac:dyDescent="0.25">
      <c r="B43" s="23" t="s">
        <v>70</v>
      </c>
      <c r="C43" s="51">
        <v>0</v>
      </c>
      <c r="D43" s="51">
        <v>2</v>
      </c>
      <c r="E43" s="51">
        <v>5</v>
      </c>
      <c r="F43" s="51">
        <v>0</v>
      </c>
      <c r="G43" s="51">
        <v>0</v>
      </c>
      <c r="H43" s="51">
        <v>0</v>
      </c>
      <c r="I43" s="51">
        <v>4</v>
      </c>
      <c r="J43" s="51">
        <v>0</v>
      </c>
      <c r="K43" s="51">
        <v>0</v>
      </c>
      <c r="L43" s="51">
        <v>0</v>
      </c>
      <c r="M43" s="51">
        <v>3</v>
      </c>
      <c r="N43" s="51">
        <v>0</v>
      </c>
      <c r="O43" s="15">
        <f t="shared" si="0"/>
        <v>11</v>
      </c>
      <c r="P43" s="15">
        <f t="shared" si="1"/>
        <v>14</v>
      </c>
    </row>
    <row r="44" spans="2:20" ht="23.1" customHeight="1" x14ac:dyDescent="0.25">
      <c r="B44" s="25" t="s">
        <v>71</v>
      </c>
      <c r="C44" s="51">
        <v>1</v>
      </c>
      <c r="D44" s="51">
        <v>1</v>
      </c>
      <c r="E44" s="51">
        <v>4</v>
      </c>
      <c r="F44" s="51">
        <v>1</v>
      </c>
      <c r="G44" s="51">
        <v>0</v>
      </c>
      <c r="H44" s="51">
        <v>1</v>
      </c>
      <c r="I44" s="51">
        <v>1</v>
      </c>
      <c r="J44" s="51">
        <v>1</v>
      </c>
      <c r="K44" s="51">
        <v>0</v>
      </c>
      <c r="L44" s="51">
        <v>1</v>
      </c>
      <c r="M44" s="51">
        <v>5</v>
      </c>
      <c r="N44" s="51">
        <v>0</v>
      </c>
      <c r="O44" s="15">
        <f t="shared" si="0"/>
        <v>11</v>
      </c>
      <c r="P44" s="15">
        <f t="shared" si="1"/>
        <v>16</v>
      </c>
    </row>
    <row r="45" spans="2:20" ht="23.1" customHeight="1" x14ac:dyDescent="0.25">
      <c r="B45" s="23" t="s">
        <v>72</v>
      </c>
      <c r="C45" s="51">
        <v>4</v>
      </c>
      <c r="D45" s="51">
        <v>0</v>
      </c>
      <c r="E45" s="51">
        <v>3</v>
      </c>
      <c r="F45" s="51">
        <v>3</v>
      </c>
      <c r="G45" s="51">
        <v>1</v>
      </c>
      <c r="H45" s="51">
        <v>2</v>
      </c>
      <c r="I45" s="51">
        <v>7</v>
      </c>
      <c r="J45" s="51">
        <v>0</v>
      </c>
      <c r="K45" s="51">
        <v>1</v>
      </c>
      <c r="L45" s="51">
        <v>0</v>
      </c>
      <c r="M45" s="51">
        <v>7</v>
      </c>
      <c r="N45" s="51">
        <v>0</v>
      </c>
      <c r="O45" s="15">
        <f t="shared" si="0"/>
        <v>21</v>
      </c>
      <c r="P45" s="15">
        <f t="shared" si="1"/>
        <v>28</v>
      </c>
    </row>
    <row r="46" spans="2:20" ht="23.1" customHeight="1" x14ac:dyDescent="0.25">
      <c r="B46" s="24" t="s">
        <v>73</v>
      </c>
      <c r="C46" s="51">
        <v>1</v>
      </c>
      <c r="D46" s="51">
        <v>1</v>
      </c>
      <c r="E46" s="51">
        <v>3</v>
      </c>
      <c r="F46" s="51">
        <v>1</v>
      </c>
      <c r="G46" s="51">
        <v>0</v>
      </c>
      <c r="H46" s="51">
        <v>1</v>
      </c>
      <c r="I46" s="51">
        <v>4</v>
      </c>
      <c r="J46" s="51">
        <v>1</v>
      </c>
      <c r="K46" s="51">
        <v>1</v>
      </c>
      <c r="L46" s="51">
        <v>1</v>
      </c>
      <c r="M46" s="51">
        <v>1</v>
      </c>
      <c r="N46" s="51">
        <v>0</v>
      </c>
      <c r="O46" s="15">
        <f t="shared" si="0"/>
        <v>14</v>
      </c>
      <c r="P46" s="15">
        <f t="shared" si="1"/>
        <v>15</v>
      </c>
      <c r="R46" s="8"/>
      <c r="T46"/>
    </row>
    <row r="47" spans="2:20" ht="23.1" customHeight="1" x14ac:dyDescent="0.25">
      <c r="B47" s="24" t="s">
        <v>74</v>
      </c>
      <c r="C47" s="51">
        <v>1</v>
      </c>
      <c r="D47" s="51">
        <v>1</v>
      </c>
      <c r="E47" s="51">
        <v>4</v>
      </c>
      <c r="F47" s="51">
        <v>3</v>
      </c>
      <c r="G47" s="51">
        <v>0</v>
      </c>
      <c r="H47" s="51">
        <v>0</v>
      </c>
      <c r="I47" s="51">
        <v>5</v>
      </c>
      <c r="J47" s="51">
        <v>1</v>
      </c>
      <c r="K47" s="51">
        <v>0</v>
      </c>
      <c r="L47" s="51">
        <v>3</v>
      </c>
      <c r="M47" s="51">
        <v>5</v>
      </c>
      <c r="N47" s="51">
        <v>0</v>
      </c>
      <c r="O47" s="15">
        <f t="shared" si="0"/>
        <v>18</v>
      </c>
      <c r="P47" s="15">
        <f t="shared" si="1"/>
        <v>23</v>
      </c>
      <c r="R47" s="8"/>
      <c r="T47"/>
    </row>
    <row r="48" spans="2:20" ht="23.1" customHeight="1" x14ac:dyDescent="0.25">
      <c r="B48" s="24" t="s">
        <v>75</v>
      </c>
      <c r="C48" s="51">
        <v>1</v>
      </c>
      <c r="D48" s="51">
        <v>1</v>
      </c>
      <c r="E48" s="51">
        <v>5</v>
      </c>
      <c r="F48" s="51">
        <v>1</v>
      </c>
      <c r="G48" s="51">
        <v>0</v>
      </c>
      <c r="H48" s="51">
        <v>2</v>
      </c>
      <c r="I48" s="51">
        <v>1</v>
      </c>
      <c r="J48" s="51">
        <v>1</v>
      </c>
      <c r="K48" s="51">
        <v>0</v>
      </c>
      <c r="L48" s="51">
        <v>0</v>
      </c>
      <c r="M48" s="51">
        <v>7</v>
      </c>
      <c r="N48" s="51">
        <v>0</v>
      </c>
      <c r="O48" s="15">
        <f t="shared" si="0"/>
        <v>12</v>
      </c>
      <c r="P48" s="15">
        <f t="shared" si="1"/>
        <v>19</v>
      </c>
      <c r="R48" s="8"/>
      <c r="T48"/>
    </row>
    <row r="49" spans="2:20" ht="23.1" customHeight="1" x14ac:dyDescent="0.25">
      <c r="B49" s="23" t="s">
        <v>76</v>
      </c>
      <c r="C49" s="51">
        <v>0</v>
      </c>
      <c r="D49" s="51">
        <v>2</v>
      </c>
      <c r="E49" s="51">
        <v>7</v>
      </c>
      <c r="F49" s="51">
        <v>0</v>
      </c>
      <c r="G49" s="51">
        <v>0</v>
      </c>
      <c r="H49" s="51">
        <v>3</v>
      </c>
      <c r="I49" s="51">
        <v>5</v>
      </c>
      <c r="J49" s="51">
        <v>0</v>
      </c>
      <c r="K49" s="51">
        <v>0</v>
      </c>
      <c r="L49" s="51">
        <v>1</v>
      </c>
      <c r="M49" s="51">
        <v>5</v>
      </c>
      <c r="N49" s="51">
        <v>0</v>
      </c>
      <c r="O49" s="15">
        <f t="shared" si="0"/>
        <v>18</v>
      </c>
      <c r="P49" s="15">
        <f t="shared" si="1"/>
        <v>23</v>
      </c>
      <c r="R49" s="8"/>
      <c r="T49"/>
    </row>
    <row r="50" spans="2:20" ht="23.1" customHeight="1" x14ac:dyDescent="0.25">
      <c r="B50" s="24" t="s">
        <v>77</v>
      </c>
      <c r="C50" s="51">
        <v>2</v>
      </c>
      <c r="D50" s="51">
        <v>1</v>
      </c>
      <c r="E50" s="51">
        <v>4</v>
      </c>
      <c r="F50" s="51">
        <v>2</v>
      </c>
      <c r="G50" s="51">
        <v>0</v>
      </c>
      <c r="H50" s="51">
        <v>0</v>
      </c>
      <c r="I50" s="51">
        <v>1</v>
      </c>
      <c r="J50" s="51">
        <v>0</v>
      </c>
      <c r="K50" s="51">
        <v>0</v>
      </c>
      <c r="L50" s="51">
        <v>2</v>
      </c>
      <c r="M50" s="51">
        <v>2</v>
      </c>
      <c r="N50" s="51">
        <v>0</v>
      </c>
      <c r="O50" s="15">
        <f t="shared" si="0"/>
        <v>12</v>
      </c>
      <c r="P50" s="15">
        <f t="shared" si="1"/>
        <v>14</v>
      </c>
      <c r="R50" s="8"/>
      <c r="T50"/>
    </row>
    <row r="51" spans="2:20" ht="23.1" customHeight="1" x14ac:dyDescent="0.25">
      <c r="B51" s="24" t="s">
        <v>78</v>
      </c>
      <c r="C51" s="51">
        <v>1</v>
      </c>
      <c r="D51" s="51">
        <v>0</v>
      </c>
      <c r="E51" s="51">
        <v>3</v>
      </c>
      <c r="F51" s="51">
        <v>2</v>
      </c>
      <c r="G51" s="51">
        <v>0</v>
      </c>
      <c r="H51" s="51">
        <v>2</v>
      </c>
      <c r="I51" s="51">
        <v>2</v>
      </c>
      <c r="J51" s="51">
        <v>0</v>
      </c>
      <c r="K51" s="51">
        <v>0</v>
      </c>
      <c r="L51" s="51">
        <v>1</v>
      </c>
      <c r="M51" s="51">
        <v>5</v>
      </c>
      <c r="N51" s="51">
        <v>0</v>
      </c>
      <c r="O51" s="15">
        <f t="shared" si="0"/>
        <v>11</v>
      </c>
      <c r="P51" s="15">
        <f t="shared" si="1"/>
        <v>16</v>
      </c>
      <c r="R51" s="8"/>
      <c r="T51"/>
    </row>
    <row r="52" spans="2:20" ht="23.1" customHeight="1" x14ac:dyDescent="0.25">
      <c r="B52" s="24" t="s">
        <v>79</v>
      </c>
      <c r="C52" s="51">
        <v>0</v>
      </c>
      <c r="D52" s="51">
        <v>1</v>
      </c>
      <c r="E52" s="51">
        <v>5</v>
      </c>
      <c r="F52" s="51">
        <v>0</v>
      </c>
      <c r="G52" s="51">
        <v>0</v>
      </c>
      <c r="H52" s="51">
        <v>0</v>
      </c>
      <c r="I52" s="51">
        <v>1</v>
      </c>
      <c r="J52" s="51">
        <v>0</v>
      </c>
      <c r="K52" s="51">
        <v>0</v>
      </c>
      <c r="L52" s="51">
        <v>4</v>
      </c>
      <c r="M52" s="51">
        <v>6</v>
      </c>
      <c r="N52" s="51">
        <v>0</v>
      </c>
      <c r="O52" s="15">
        <f t="shared" si="0"/>
        <v>11</v>
      </c>
      <c r="P52" s="15">
        <f t="shared" si="1"/>
        <v>17</v>
      </c>
      <c r="R52" s="8"/>
      <c r="T52"/>
    </row>
    <row r="53" spans="2:20" ht="23.1" customHeight="1" x14ac:dyDescent="0.25">
      <c r="B53" s="23" t="s">
        <v>80</v>
      </c>
      <c r="C53" s="51">
        <v>2</v>
      </c>
      <c r="D53" s="51">
        <v>1</v>
      </c>
      <c r="E53" s="51">
        <v>5</v>
      </c>
      <c r="F53" s="51">
        <v>4</v>
      </c>
      <c r="G53" s="51">
        <v>0</v>
      </c>
      <c r="H53" s="51">
        <v>2</v>
      </c>
      <c r="I53" s="51">
        <v>1</v>
      </c>
      <c r="J53" s="51">
        <v>0</v>
      </c>
      <c r="K53" s="51">
        <v>0</v>
      </c>
      <c r="L53" s="51">
        <v>2</v>
      </c>
      <c r="M53" s="51">
        <v>6</v>
      </c>
      <c r="N53" s="51">
        <v>0</v>
      </c>
      <c r="O53" s="15">
        <f t="shared" si="0"/>
        <v>17</v>
      </c>
      <c r="P53" s="15">
        <f t="shared" si="1"/>
        <v>23</v>
      </c>
      <c r="R53" s="8"/>
      <c r="T53"/>
    </row>
    <row r="54" spans="2:20" ht="23.1" customHeight="1" x14ac:dyDescent="0.25">
      <c r="B54" s="23" t="s">
        <v>81</v>
      </c>
      <c r="C54" s="51">
        <v>4</v>
      </c>
      <c r="D54" s="51">
        <v>1</v>
      </c>
      <c r="E54" s="51">
        <v>4</v>
      </c>
      <c r="F54" s="51">
        <v>2</v>
      </c>
      <c r="G54" s="51">
        <v>0</v>
      </c>
      <c r="H54" s="51">
        <v>0</v>
      </c>
      <c r="I54" s="51">
        <v>5</v>
      </c>
      <c r="J54" s="51">
        <v>2</v>
      </c>
      <c r="K54" s="51">
        <v>0</v>
      </c>
      <c r="L54" s="51">
        <v>2</v>
      </c>
      <c r="M54" s="51">
        <v>4</v>
      </c>
      <c r="N54" s="51">
        <v>0</v>
      </c>
      <c r="O54" s="15">
        <f t="shared" si="0"/>
        <v>20</v>
      </c>
      <c r="P54" s="15">
        <f t="shared" si="1"/>
        <v>24</v>
      </c>
      <c r="R54" s="8"/>
      <c r="T54"/>
    </row>
    <row r="55" spans="2:20" ht="23.1" customHeight="1" x14ac:dyDescent="0.25">
      <c r="B55" s="23" t="s">
        <v>82</v>
      </c>
      <c r="C55" s="51">
        <v>1</v>
      </c>
      <c r="D55" s="51">
        <v>0</v>
      </c>
      <c r="E55" s="51">
        <v>2</v>
      </c>
      <c r="F55" s="51">
        <v>2</v>
      </c>
      <c r="G55" s="51">
        <v>0</v>
      </c>
      <c r="H55" s="51">
        <v>1</v>
      </c>
      <c r="I55" s="51">
        <v>3</v>
      </c>
      <c r="J55" s="51">
        <v>0</v>
      </c>
      <c r="K55" s="51">
        <v>2</v>
      </c>
      <c r="L55" s="51">
        <v>2</v>
      </c>
      <c r="M55" s="51">
        <v>4</v>
      </c>
      <c r="N55" s="51">
        <v>0</v>
      </c>
      <c r="O55" s="15">
        <f t="shared" si="0"/>
        <v>13</v>
      </c>
      <c r="P55" s="15">
        <f t="shared" si="1"/>
        <v>17</v>
      </c>
      <c r="R55" s="8"/>
      <c r="T55"/>
    </row>
    <row r="56" spans="2:20" ht="23.1" customHeight="1" x14ac:dyDescent="0.25">
      <c r="B56" s="23" t="s">
        <v>83</v>
      </c>
      <c r="C56" s="51">
        <v>1</v>
      </c>
      <c r="D56" s="51">
        <v>1</v>
      </c>
      <c r="E56" s="51">
        <v>3</v>
      </c>
      <c r="F56" s="51">
        <v>2</v>
      </c>
      <c r="G56" s="51">
        <v>0</v>
      </c>
      <c r="H56" s="51">
        <v>1</v>
      </c>
      <c r="I56" s="51">
        <v>5</v>
      </c>
      <c r="J56" s="51">
        <v>0</v>
      </c>
      <c r="K56" s="51">
        <v>0</v>
      </c>
      <c r="L56" s="51">
        <v>0</v>
      </c>
      <c r="M56" s="51">
        <v>1</v>
      </c>
      <c r="N56" s="51">
        <v>0</v>
      </c>
      <c r="O56" s="15">
        <f t="shared" si="0"/>
        <v>13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1">
        <v>2</v>
      </c>
      <c r="D57" s="51">
        <v>1</v>
      </c>
      <c r="E57" s="51">
        <v>4</v>
      </c>
      <c r="F57" s="51">
        <v>5</v>
      </c>
      <c r="G57" s="51">
        <v>0</v>
      </c>
      <c r="H57" s="51">
        <v>0</v>
      </c>
      <c r="I57" s="51">
        <v>4</v>
      </c>
      <c r="J57" s="51">
        <v>0</v>
      </c>
      <c r="K57" s="51">
        <v>1</v>
      </c>
      <c r="L57" s="51">
        <v>2</v>
      </c>
      <c r="M57" s="51">
        <v>4</v>
      </c>
      <c r="N57" s="51">
        <v>0</v>
      </c>
      <c r="O57" s="15">
        <f t="shared" si="0"/>
        <v>19</v>
      </c>
      <c r="P57" s="15">
        <f t="shared" si="1"/>
        <v>23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75</v>
      </c>
      <c r="D58" s="16">
        <f t="shared" si="21"/>
        <v>43</v>
      </c>
      <c r="E58" s="16">
        <f t="shared" si="21"/>
        <v>178</v>
      </c>
      <c r="F58" s="16">
        <f t="shared" si="21"/>
        <v>73</v>
      </c>
      <c r="G58" s="16">
        <f t="shared" si="21"/>
        <v>2</v>
      </c>
      <c r="H58" s="16">
        <f t="shared" si="21"/>
        <v>42</v>
      </c>
      <c r="I58" s="16">
        <f t="shared" si="21"/>
        <v>94</v>
      </c>
      <c r="J58" s="16">
        <f t="shared" si="21"/>
        <v>12</v>
      </c>
      <c r="K58" s="16">
        <f t="shared" si="21"/>
        <v>10</v>
      </c>
      <c r="L58" s="16">
        <f t="shared" si="21"/>
        <v>44</v>
      </c>
      <c r="M58" s="16">
        <f t="shared" si="21"/>
        <v>172</v>
      </c>
      <c r="N58" s="16">
        <f t="shared" si="21"/>
        <v>1</v>
      </c>
      <c r="O58" s="16">
        <f t="shared" si="21"/>
        <v>574</v>
      </c>
      <c r="P58" s="16">
        <f t="shared" si="21"/>
        <v>746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0.10053619302949061</v>
      </c>
      <c r="D59" s="43">
        <f t="shared" si="22"/>
        <v>5.7640750670241284E-2</v>
      </c>
      <c r="E59" s="43">
        <f t="shared" si="22"/>
        <v>0.23860589812332439</v>
      </c>
      <c r="F59" s="43">
        <f t="shared" si="22"/>
        <v>9.7855227882037529E-2</v>
      </c>
      <c r="G59" s="43">
        <f t="shared" si="22"/>
        <v>2.6809651474530832E-3</v>
      </c>
      <c r="H59" s="43">
        <f t="shared" si="22"/>
        <v>5.6300268096514748E-2</v>
      </c>
      <c r="I59" s="43">
        <f t="shared" si="22"/>
        <v>0.12600536193029491</v>
      </c>
      <c r="J59" s="43">
        <f t="shared" si="22"/>
        <v>1.6085790884718499E-2</v>
      </c>
      <c r="K59" s="43">
        <f t="shared" si="22"/>
        <v>1.3404825737265416E-2</v>
      </c>
      <c r="L59" s="43">
        <f t="shared" si="22"/>
        <v>5.8981233243967826E-2</v>
      </c>
      <c r="M59" s="43">
        <f t="shared" si="22"/>
        <v>0.23056300268096513</v>
      </c>
      <c r="N59" s="43">
        <f t="shared" si="22"/>
        <v>1.3404825737265416E-3</v>
      </c>
      <c r="R59" s="8"/>
      <c r="T59"/>
    </row>
    <row r="60" spans="2:20" ht="23.1" customHeight="1" x14ac:dyDescent="0.25">
      <c r="B60" s="42" t="s">
        <v>94</v>
      </c>
      <c r="C60" s="44">
        <f>C58/$O$58</f>
        <v>0.13066202090592335</v>
      </c>
      <c r="D60" s="44">
        <f t="shared" ref="D60:N60" si="23">D58/$O$58</f>
        <v>7.4912891986062713E-2</v>
      </c>
      <c r="E60" s="44">
        <f t="shared" si="23"/>
        <v>0.31010452961672474</v>
      </c>
      <c r="F60" s="44">
        <f t="shared" si="23"/>
        <v>0.12717770034843207</v>
      </c>
      <c r="G60" s="44">
        <f t="shared" si="23"/>
        <v>3.4843205574912892E-3</v>
      </c>
      <c r="H60" s="44">
        <f t="shared" si="23"/>
        <v>7.3170731707317069E-2</v>
      </c>
      <c r="I60" s="44">
        <f t="shared" si="23"/>
        <v>0.16376306620209058</v>
      </c>
      <c r="J60" s="44">
        <f t="shared" si="23"/>
        <v>2.0905923344947737E-2</v>
      </c>
      <c r="K60" s="44">
        <f t="shared" si="23"/>
        <v>1.7421602787456445E-2</v>
      </c>
      <c r="L60" s="44">
        <f t="shared" si="23"/>
        <v>7.6655052264808357E-2</v>
      </c>
      <c r="M60" s="44"/>
      <c r="N60" s="44">
        <f t="shared" si="23"/>
        <v>1.7421602787456446E-3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L10" sqref="L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'29.07 Kigumba-Karuma'!C3:G3</f>
        <v>MCC - C5 - STN113 - KIGUMBA-KARUMA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'31.07 Karuma-Kigumba'!D5</f>
        <v>31.07.19</v>
      </c>
      <c r="E5" s="3"/>
      <c r="F5" s="41" t="s">
        <v>1</v>
      </c>
      <c r="G5" s="71" t="str">
        <f>'29.07 Karuma-Kigumba'!G5:H5</f>
        <v>nanda</v>
      </c>
      <c r="H5" s="72"/>
      <c r="I5" s="14"/>
      <c r="J5" s="2" t="s">
        <v>5</v>
      </c>
      <c r="K5" s="71" t="str">
        <f>'29.07 Karuma-Kigumba'!K5:L5</f>
        <v>xxx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'29.07 Kigumba-Karuma'!D6:E6</f>
        <v>Kigumba</v>
      </c>
      <c r="E6" s="72"/>
      <c r="F6" s="2" t="s">
        <v>2</v>
      </c>
      <c r="G6" s="71" t="str">
        <f>'29.07 Kigumba-Karuma'!G6:H6</f>
        <v>Karuma</v>
      </c>
      <c r="H6" s="72"/>
      <c r="J6" s="2" t="s">
        <v>21</v>
      </c>
      <c r="K6" s="71" t="str">
        <f>'29.07 Karuma-Kigumba'!K6:L6</f>
        <v>xxx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1">
        <v>4</v>
      </c>
      <c r="D10" s="50">
        <v>0</v>
      </c>
      <c r="E10" s="51">
        <v>1</v>
      </c>
      <c r="F10" s="51">
        <v>1</v>
      </c>
      <c r="G10" s="51">
        <v>0</v>
      </c>
      <c r="H10" s="51">
        <v>0</v>
      </c>
      <c r="I10" s="51">
        <v>3</v>
      </c>
      <c r="J10" s="51">
        <v>1</v>
      </c>
      <c r="K10" s="51">
        <v>0</v>
      </c>
      <c r="L10" s="50">
        <v>3</v>
      </c>
      <c r="M10" s="51">
        <v>5</v>
      </c>
      <c r="N10" s="50">
        <v>0</v>
      </c>
      <c r="O10" s="15">
        <f t="shared" ref="O10:O57" si="0">SUM(C10:L10,N10)</f>
        <v>13</v>
      </c>
      <c r="P10" s="15">
        <f t="shared" ref="P10:P57" si="1">SUM(C10:N10)</f>
        <v>18</v>
      </c>
      <c r="R10" s="1" t="s">
        <v>6</v>
      </c>
      <c r="S10" s="17">
        <f t="shared" ref="S10:AF10" si="2">SUM(C10:C13)</f>
        <v>8</v>
      </c>
      <c r="T10" s="17">
        <f t="shared" si="2"/>
        <v>1</v>
      </c>
      <c r="U10" s="17">
        <f t="shared" si="2"/>
        <v>8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11</v>
      </c>
      <c r="Z10" s="17">
        <f t="shared" si="2"/>
        <v>3</v>
      </c>
      <c r="AA10" s="17">
        <f t="shared" si="2"/>
        <v>0</v>
      </c>
      <c r="AB10" s="17">
        <f t="shared" si="2"/>
        <v>10</v>
      </c>
      <c r="AC10" s="17">
        <f t="shared" si="2"/>
        <v>11</v>
      </c>
      <c r="AD10" s="17">
        <f t="shared" si="2"/>
        <v>0</v>
      </c>
      <c r="AE10" s="31">
        <f t="shared" si="2"/>
        <v>44</v>
      </c>
      <c r="AF10" s="31">
        <f t="shared" si="2"/>
        <v>55</v>
      </c>
    </row>
    <row r="11" spans="2:32" s="6" customFormat="1" ht="23.1" customHeight="1" x14ac:dyDescent="0.25">
      <c r="B11" s="23" t="s">
        <v>38</v>
      </c>
      <c r="C11" s="51">
        <v>0</v>
      </c>
      <c r="D11" s="50">
        <v>0</v>
      </c>
      <c r="E11" s="51">
        <v>2</v>
      </c>
      <c r="F11" s="51">
        <v>0</v>
      </c>
      <c r="G11" s="51">
        <v>0</v>
      </c>
      <c r="H11" s="51">
        <v>0</v>
      </c>
      <c r="I11" s="51">
        <v>3</v>
      </c>
      <c r="J11" s="51">
        <v>2</v>
      </c>
      <c r="K11" s="51">
        <v>0</v>
      </c>
      <c r="L11" s="50">
        <v>1</v>
      </c>
      <c r="M11" s="51">
        <v>2</v>
      </c>
      <c r="N11" s="50">
        <v>0</v>
      </c>
      <c r="O11" s="15">
        <f t="shared" si="0"/>
        <v>8</v>
      </c>
      <c r="P11" s="15">
        <f t="shared" si="1"/>
        <v>10</v>
      </c>
      <c r="R11" s="1" t="s">
        <v>7</v>
      </c>
      <c r="S11" s="17">
        <f t="shared" ref="S11:AF11" si="3">SUM(C14:C17)</f>
        <v>7</v>
      </c>
      <c r="T11" s="17">
        <f t="shared" si="3"/>
        <v>4</v>
      </c>
      <c r="U11" s="17">
        <f t="shared" si="3"/>
        <v>12</v>
      </c>
      <c r="V11" s="17">
        <f t="shared" si="3"/>
        <v>9</v>
      </c>
      <c r="W11" s="17">
        <f t="shared" si="3"/>
        <v>0</v>
      </c>
      <c r="X11" s="17">
        <f t="shared" si="3"/>
        <v>1</v>
      </c>
      <c r="Y11" s="17">
        <f t="shared" si="3"/>
        <v>10</v>
      </c>
      <c r="Z11" s="17">
        <f t="shared" si="3"/>
        <v>3</v>
      </c>
      <c r="AA11" s="17">
        <f t="shared" si="3"/>
        <v>0</v>
      </c>
      <c r="AB11" s="17">
        <f t="shared" si="3"/>
        <v>1</v>
      </c>
      <c r="AC11" s="17">
        <f t="shared" si="3"/>
        <v>9</v>
      </c>
      <c r="AD11" s="17">
        <f t="shared" si="3"/>
        <v>0</v>
      </c>
      <c r="AE11" s="31">
        <f t="shared" si="3"/>
        <v>47</v>
      </c>
      <c r="AF11" s="31">
        <f t="shared" si="3"/>
        <v>56</v>
      </c>
    </row>
    <row r="12" spans="2:32" ht="23.1" customHeight="1" x14ac:dyDescent="0.25">
      <c r="B12" s="23" t="s">
        <v>39</v>
      </c>
      <c r="C12" s="51">
        <v>2</v>
      </c>
      <c r="D12" s="50">
        <v>0</v>
      </c>
      <c r="E12" s="51">
        <v>2</v>
      </c>
      <c r="F12" s="51">
        <v>0</v>
      </c>
      <c r="G12" s="51">
        <v>0</v>
      </c>
      <c r="H12" s="51">
        <v>0</v>
      </c>
      <c r="I12" s="51">
        <v>4</v>
      </c>
      <c r="J12" s="51">
        <v>0</v>
      </c>
      <c r="K12" s="51">
        <v>0</v>
      </c>
      <c r="L12" s="50">
        <v>3</v>
      </c>
      <c r="M12" s="51">
        <v>1</v>
      </c>
      <c r="N12" s="50">
        <v>0</v>
      </c>
      <c r="O12" s="15">
        <f t="shared" si="0"/>
        <v>11</v>
      </c>
      <c r="P12" s="15">
        <f t="shared" si="1"/>
        <v>12</v>
      </c>
      <c r="R12" s="1" t="s">
        <v>8</v>
      </c>
      <c r="S12" s="17">
        <f t="shared" ref="S12:AF12" si="4">SUM(C18:C21)</f>
        <v>5</v>
      </c>
      <c r="T12" s="17">
        <f t="shared" si="4"/>
        <v>6</v>
      </c>
      <c r="U12" s="17">
        <f t="shared" si="4"/>
        <v>12</v>
      </c>
      <c r="V12" s="17">
        <f t="shared" si="4"/>
        <v>11</v>
      </c>
      <c r="W12" s="17">
        <f t="shared" si="4"/>
        <v>1</v>
      </c>
      <c r="X12" s="17">
        <f t="shared" si="4"/>
        <v>0</v>
      </c>
      <c r="Y12" s="17">
        <f t="shared" si="4"/>
        <v>6</v>
      </c>
      <c r="Z12" s="17">
        <f t="shared" si="4"/>
        <v>1</v>
      </c>
      <c r="AA12" s="17">
        <f t="shared" si="4"/>
        <v>0</v>
      </c>
      <c r="AB12" s="17">
        <f t="shared" si="4"/>
        <v>3</v>
      </c>
      <c r="AC12" s="17">
        <f t="shared" si="4"/>
        <v>8</v>
      </c>
      <c r="AD12" s="17">
        <f t="shared" si="4"/>
        <v>0</v>
      </c>
      <c r="AE12" s="31">
        <f t="shared" si="4"/>
        <v>45</v>
      </c>
      <c r="AF12" s="31">
        <f t="shared" si="4"/>
        <v>53</v>
      </c>
    </row>
    <row r="13" spans="2:32" ht="23.1" customHeight="1" x14ac:dyDescent="0.25">
      <c r="B13" s="23" t="s">
        <v>40</v>
      </c>
      <c r="C13" s="51">
        <v>2</v>
      </c>
      <c r="D13" s="50">
        <v>1</v>
      </c>
      <c r="E13" s="51">
        <v>3</v>
      </c>
      <c r="F13" s="51">
        <v>2</v>
      </c>
      <c r="G13" s="51">
        <v>0</v>
      </c>
      <c r="H13" s="51">
        <v>0</v>
      </c>
      <c r="I13" s="51">
        <v>1</v>
      </c>
      <c r="J13" s="51">
        <v>0</v>
      </c>
      <c r="K13" s="51">
        <v>0</v>
      </c>
      <c r="L13" s="50">
        <v>3</v>
      </c>
      <c r="M13" s="51">
        <v>3</v>
      </c>
      <c r="N13" s="50">
        <v>0</v>
      </c>
      <c r="O13" s="15">
        <f t="shared" si="0"/>
        <v>12</v>
      </c>
      <c r="P13" s="15">
        <f t="shared" si="1"/>
        <v>15</v>
      </c>
      <c r="R13" s="1" t="s">
        <v>9</v>
      </c>
      <c r="S13" s="17">
        <f t="shared" ref="S13:AF13" si="5">SUM(C22:C25)</f>
        <v>3</v>
      </c>
      <c r="T13" s="17">
        <f t="shared" si="5"/>
        <v>4</v>
      </c>
      <c r="U13" s="17">
        <f t="shared" si="5"/>
        <v>11</v>
      </c>
      <c r="V13" s="17">
        <f t="shared" si="5"/>
        <v>9</v>
      </c>
      <c r="W13" s="17">
        <f t="shared" si="5"/>
        <v>0</v>
      </c>
      <c r="X13" s="17">
        <f t="shared" si="5"/>
        <v>4</v>
      </c>
      <c r="Y13" s="17">
        <f t="shared" si="5"/>
        <v>5</v>
      </c>
      <c r="Z13" s="17">
        <f t="shared" si="5"/>
        <v>1</v>
      </c>
      <c r="AA13" s="17">
        <f t="shared" si="5"/>
        <v>0</v>
      </c>
      <c r="AB13" s="17">
        <f t="shared" si="5"/>
        <v>2</v>
      </c>
      <c r="AC13" s="17">
        <f t="shared" si="5"/>
        <v>18</v>
      </c>
      <c r="AD13" s="17">
        <f t="shared" si="5"/>
        <v>0</v>
      </c>
      <c r="AE13" s="31">
        <f t="shared" si="5"/>
        <v>39</v>
      </c>
      <c r="AF13" s="31">
        <f t="shared" si="5"/>
        <v>57</v>
      </c>
    </row>
    <row r="14" spans="2:32" ht="23.1" customHeight="1" x14ac:dyDescent="0.25">
      <c r="B14" s="23" t="s">
        <v>41</v>
      </c>
      <c r="C14" s="51">
        <v>1</v>
      </c>
      <c r="D14" s="50">
        <v>1</v>
      </c>
      <c r="E14" s="51">
        <v>3</v>
      </c>
      <c r="F14" s="51">
        <v>1</v>
      </c>
      <c r="G14" s="51">
        <v>0</v>
      </c>
      <c r="H14" s="51">
        <v>0</v>
      </c>
      <c r="I14" s="51">
        <v>5</v>
      </c>
      <c r="J14" s="51">
        <v>2</v>
      </c>
      <c r="K14" s="51">
        <v>0</v>
      </c>
      <c r="L14" s="50">
        <v>0</v>
      </c>
      <c r="M14" s="51">
        <v>3</v>
      </c>
      <c r="N14" s="50">
        <v>0</v>
      </c>
      <c r="O14" s="15">
        <f t="shared" si="0"/>
        <v>13</v>
      </c>
      <c r="P14" s="15">
        <f t="shared" si="1"/>
        <v>16</v>
      </c>
      <c r="R14" s="1" t="s">
        <v>10</v>
      </c>
      <c r="S14" s="17">
        <f t="shared" ref="S14:AF14" si="6">SUM(C26:C29)</f>
        <v>10</v>
      </c>
      <c r="T14" s="17">
        <f t="shared" si="6"/>
        <v>3</v>
      </c>
      <c r="U14" s="17">
        <f t="shared" si="6"/>
        <v>9</v>
      </c>
      <c r="V14" s="17">
        <f t="shared" si="6"/>
        <v>12</v>
      </c>
      <c r="W14" s="17">
        <f t="shared" si="6"/>
        <v>1</v>
      </c>
      <c r="X14" s="17">
        <f t="shared" si="6"/>
        <v>1</v>
      </c>
      <c r="Y14" s="17">
        <f t="shared" si="6"/>
        <v>5</v>
      </c>
      <c r="Z14" s="17">
        <f t="shared" si="6"/>
        <v>2</v>
      </c>
      <c r="AA14" s="17">
        <f t="shared" si="6"/>
        <v>0</v>
      </c>
      <c r="AB14" s="17">
        <f t="shared" si="6"/>
        <v>3</v>
      </c>
      <c r="AC14" s="17">
        <f t="shared" si="6"/>
        <v>18</v>
      </c>
      <c r="AD14" s="17">
        <f t="shared" si="6"/>
        <v>0</v>
      </c>
      <c r="AE14" s="31">
        <f t="shared" si="6"/>
        <v>46</v>
      </c>
      <c r="AF14" s="31">
        <f t="shared" si="6"/>
        <v>64</v>
      </c>
    </row>
    <row r="15" spans="2:32" ht="23.1" customHeight="1" x14ac:dyDescent="0.25">
      <c r="B15" s="23" t="s">
        <v>42</v>
      </c>
      <c r="C15" s="51">
        <v>2</v>
      </c>
      <c r="D15" s="50">
        <v>1</v>
      </c>
      <c r="E15" s="51">
        <v>3</v>
      </c>
      <c r="F15" s="51">
        <v>2</v>
      </c>
      <c r="G15" s="51">
        <v>0</v>
      </c>
      <c r="H15" s="51">
        <v>0</v>
      </c>
      <c r="I15" s="51">
        <v>1</v>
      </c>
      <c r="J15" s="51">
        <v>0</v>
      </c>
      <c r="K15" s="51">
        <v>0</v>
      </c>
      <c r="L15" s="50">
        <v>1</v>
      </c>
      <c r="M15" s="51">
        <v>2</v>
      </c>
      <c r="N15" s="50">
        <v>0</v>
      </c>
      <c r="O15" s="15">
        <f t="shared" si="0"/>
        <v>10</v>
      </c>
      <c r="P15" s="15">
        <f t="shared" si="1"/>
        <v>12</v>
      </c>
      <c r="R15" s="1" t="s">
        <v>11</v>
      </c>
      <c r="S15" s="17">
        <f t="shared" ref="S15:AF15" si="7">SUM(C30:C33)</f>
        <v>5</v>
      </c>
      <c r="T15" s="17">
        <f t="shared" si="7"/>
        <v>7</v>
      </c>
      <c r="U15" s="17">
        <f t="shared" si="7"/>
        <v>15</v>
      </c>
      <c r="V15" s="17">
        <f t="shared" si="7"/>
        <v>6</v>
      </c>
      <c r="W15" s="17">
        <f t="shared" si="7"/>
        <v>1</v>
      </c>
      <c r="X15" s="17">
        <f t="shared" si="7"/>
        <v>5</v>
      </c>
      <c r="Y15" s="17">
        <f t="shared" si="7"/>
        <v>5</v>
      </c>
      <c r="Z15" s="17">
        <f t="shared" si="7"/>
        <v>1</v>
      </c>
      <c r="AA15" s="17">
        <f t="shared" si="7"/>
        <v>0</v>
      </c>
      <c r="AB15" s="17">
        <f t="shared" si="7"/>
        <v>2</v>
      </c>
      <c r="AC15" s="17">
        <f t="shared" si="7"/>
        <v>19</v>
      </c>
      <c r="AD15" s="17">
        <f t="shared" si="7"/>
        <v>0</v>
      </c>
      <c r="AE15" s="31">
        <f t="shared" si="7"/>
        <v>47</v>
      </c>
      <c r="AF15" s="31">
        <f t="shared" si="7"/>
        <v>66</v>
      </c>
    </row>
    <row r="16" spans="2:32" ht="23.1" customHeight="1" x14ac:dyDescent="0.25">
      <c r="B16" s="23" t="s">
        <v>43</v>
      </c>
      <c r="C16" s="51">
        <v>2</v>
      </c>
      <c r="D16" s="50">
        <v>0</v>
      </c>
      <c r="E16" s="51">
        <v>2</v>
      </c>
      <c r="F16" s="51">
        <v>3</v>
      </c>
      <c r="G16" s="51">
        <v>0</v>
      </c>
      <c r="H16" s="51">
        <v>0</v>
      </c>
      <c r="I16" s="51">
        <v>3</v>
      </c>
      <c r="J16" s="51">
        <v>1</v>
      </c>
      <c r="K16" s="51">
        <v>0</v>
      </c>
      <c r="L16" s="50">
        <v>0</v>
      </c>
      <c r="M16" s="51">
        <v>2</v>
      </c>
      <c r="N16" s="50">
        <v>0</v>
      </c>
      <c r="O16" s="15">
        <f t="shared" si="0"/>
        <v>11</v>
      </c>
      <c r="P16" s="15">
        <f t="shared" si="1"/>
        <v>13</v>
      </c>
      <c r="R16" s="1" t="s">
        <v>12</v>
      </c>
      <c r="S16" s="17">
        <f t="shared" ref="S16:AF16" si="8">SUM(C34:C37)</f>
        <v>6</v>
      </c>
      <c r="T16" s="17">
        <f t="shared" si="8"/>
        <v>3</v>
      </c>
      <c r="U16" s="17">
        <f t="shared" si="8"/>
        <v>7</v>
      </c>
      <c r="V16" s="17">
        <f t="shared" si="8"/>
        <v>5</v>
      </c>
      <c r="W16" s="17">
        <f t="shared" si="8"/>
        <v>0</v>
      </c>
      <c r="X16" s="17">
        <f t="shared" si="8"/>
        <v>2</v>
      </c>
      <c r="Y16" s="17">
        <f t="shared" si="8"/>
        <v>6</v>
      </c>
      <c r="Z16" s="17">
        <f t="shared" si="8"/>
        <v>0</v>
      </c>
      <c r="AA16" s="17">
        <f t="shared" si="8"/>
        <v>2</v>
      </c>
      <c r="AB16" s="17">
        <f t="shared" si="8"/>
        <v>0</v>
      </c>
      <c r="AC16" s="17">
        <f t="shared" si="8"/>
        <v>14</v>
      </c>
      <c r="AD16" s="17">
        <f t="shared" si="8"/>
        <v>0</v>
      </c>
      <c r="AE16" s="31">
        <f t="shared" si="8"/>
        <v>31</v>
      </c>
      <c r="AF16" s="31">
        <f t="shared" si="8"/>
        <v>45</v>
      </c>
    </row>
    <row r="17" spans="2:32" ht="23.1" customHeight="1" x14ac:dyDescent="0.25">
      <c r="B17" s="23" t="s">
        <v>44</v>
      </c>
      <c r="C17" s="51">
        <v>2</v>
      </c>
      <c r="D17" s="50">
        <v>2</v>
      </c>
      <c r="E17" s="51">
        <v>4</v>
      </c>
      <c r="F17" s="51">
        <v>3</v>
      </c>
      <c r="G17" s="51">
        <v>0</v>
      </c>
      <c r="H17" s="51">
        <v>1</v>
      </c>
      <c r="I17" s="51">
        <v>1</v>
      </c>
      <c r="J17" s="51">
        <v>0</v>
      </c>
      <c r="K17" s="51">
        <v>0</v>
      </c>
      <c r="L17" s="50">
        <v>0</v>
      </c>
      <c r="M17" s="51">
        <v>2</v>
      </c>
      <c r="N17" s="50">
        <v>0</v>
      </c>
      <c r="O17" s="15">
        <f t="shared" si="0"/>
        <v>13</v>
      </c>
      <c r="P17" s="15">
        <f t="shared" si="1"/>
        <v>15</v>
      </c>
      <c r="R17" s="1" t="s">
        <v>13</v>
      </c>
      <c r="S17" s="17">
        <f t="shared" ref="S17:AF17" si="9">SUM(C38:C41)</f>
        <v>10</v>
      </c>
      <c r="T17" s="17">
        <f t="shared" si="9"/>
        <v>5</v>
      </c>
      <c r="U17" s="17">
        <f t="shared" si="9"/>
        <v>14</v>
      </c>
      <c r="V17" s="17">
        <f t="shared" si="9"/>
        <v>3</v>
      </c>
      <c r="W17" s="17">
        <f t="shared" si="9"/>
        <v>0</v>
      </c>
      <c r="X17" s="17">
        <f t="shared" si="9"/>
        <v>3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4</v>
      </c>
      <c r="AC17" s="17">
        <f t="shared" si="9"/>
        <v>24</v>
      </c>
      <c r="AD17" s="17">
        <f t="shared" si="9"/>
        <v>0</v>
      </c>
      <c r="AE17" s="31">
        <f t="shared" si="9"/>
        <v>45</v>
      </c>
      <c r="AF17" s="31">
        <f t="shared" si="9"/>
        <v>69</v>
      </c>
    </row>
    <row r="18" spans="2:32" ht="23.1" customHeight="1" x14ac:dyDescent="0.25">
      <c r="B18" s="23" t="s">
        <v>45</v>
      </c>
      <c r="C18" s="51">
        <v>0</v>
      </c>
      <c r="D18" s="50">
        <v>2</v>
      </c>
      <c r="E18" s="51">
        <v>4</v>
      </c>
      <c r="F18" s="51">
        <v>4</v>
      </c>
      <c r="G18" s="51">
        <v>0</v>
      </c>
      <c r="H18" s="51">
        <v>0</v>
      </c>
      <c r="I18" s="51">
        <v>1</v>
      </c>
      <c r="J18" s="51">
        <v>1</v>
      </c>
      <c r="K18" s="51">
        <v>0</v>
      </c>
      <c r="L18" s="50">
        <v>2</v>
      </c>
      <c r="M18" s="51">
        <v>2</v>
      </c>
      <c r="N18" s="50">
        <v>0</v>
      </c>
      <c r="O18" s="15">
        <f t="shared" si="0"/>
        <v>14</v>
      </c>
      <c r="P18" s="15">
        <f t="shared" si="1"/>
        <v>16</v>
      </c>
      <c r="R18" s="1" t="s">
        <v>14</v>
      </c>
      <c r="S18" s="17">
        <f t="shared" ref="S18:AF18" si="10">SUM(C42:C45)</f>
        <v>13</v>
      </c>
      <c r="T18" s="17">
        <f t="shared" si="10"/>
        <v>6</v>
      </c>
      <c r="U18" s="17">
        <f t="shared" si="10"/>
        <v>14</v>
      </c>
      <c r="V18" s="17">
        <f t="shared" si="10"/>
        <v>4</v>
      </c>
      <c r="W18" s="17">
        <f t="shared" si="10"/>
        <v>0</v>
      </c>
      <c r="X18" s="17">
        <f t="shared" si="10"/>
        <v>7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1</v>
      </c>
      <c r="AC18" s="17">
        <f t="shared" si="10"/>
        <v>7</v>
      </c>
      <c r="AD18" s="17">
        <f t="shared" si="10"/>
        <v>0</v>
      </c>
      <c r="AE18" s="31">
        <f t="shared" si="10"/>
        <v>47</v>
      </c>
      <c r="AF18" s="31">
        <f t="shared" si="10"/>
        <v>54</v>
      </c>
    </row>
    <row r="19" spans="2:32" ht="23.1" customHeight="1" x14ac:dyDescent="0.25">
      <c r="B19" s="23" t="s">
        <v>46</v>
      </c>
      <c r="C19" s="51">
        <v>2</v>
      </c>
      <c r="D19" s="50">
        <v>2</v>
      </c>
      <c r="E19" s="51">
        <v>3</v>
      </c>
      <c r="F19" s="51">
        <v>0</v>
      </c>
      <c r="G19" s="51">
        <v>0</v>
      </c>
      <c r="H19" s="51">
        <v>0</v>
      </c>
      <c r="I19" s="51">
        <v>2</v>
      </c>
      <c r="J19" s="51">
        <v>0</v>
      </c>
      <c r="K19" s="51">
        <v>0</v>
      </c>
      <c r="L19" s="50">
        <v>0</v>
      </c>
      <c r="M19" s="51">
        <v>3</v>
      </c>
      <c r="N19" s="50">
        <v>0</v>
      </c>
      <c r="O19" s="15">
        <f t="shared" si="0"/>
        <v>9</v>
      </c>
      <c r="P19" s="15">
        <f t="shared" si="1"/>
        <v>12</v>
      </c>
      <c r="R19" s="1" t="s">
        <v>15</v>
      </c>
      <c r="S19" s="17">
        <f t="shared" ref="S19:AF19" si="11">SUM(C46:C49)</f>
        <v>8</v>
      </c>
      <c r="T19" s="17">
        <f t="shared" si="11"/>
        <v>6</v>
      </c>
      <c r="U19" s="17">
        <f t="shared" si="11"/>
        <v>14</v>
      </c>
      <c r="V19" s="17">
        <f t="shared" si="11"/>
        <v>7</v>
      </c>
      <c r="W19" s="17">
        <f t="shared" si="11"/>
        <v>1</v>
      </c>
      <c r="X19" s="17">
        <f t="shared" si="11"/>
        <v>7</v>
      </c>
      <c r="Y19" s="17">
        <f t="shared" si="11"/>
        <v>8</v>
      </c>
      <c r="Z19" s="17">
        <f t="shared" si="11"/>
        <v>3</v>
      </c>
      <c r="AA19" s="17">
        <f t="shared" si="11"/>
        <v>1</v>
      </c>
      <c r="AB19" s="17">
        <f t="shared" si="11"/>
        <v>7</v>
      </c>
      <c r="AC19" s="17">
        <f t="shared" si="11"/>
        <v>21</v>
      </c>
      <c r="AD19" s="17">
        <f t="shared" si="11"/>
        <v>0</v>
      </c>
      <c r="AE19" s="31">
        <f t="shared" si="11"/>
        <v>62</v>
      </c>
      <c r="AF19" s="31">
        <f t="shared" si="11"/>
        <v>83</v>
      </c>
    </row>
    <row r="20" spans="2:32" ht="23.1" customHeight="1" x14ac:dyDescent="0.25">
      <c r="B20" s="23" t="s">
        <v>47</v>
      </c>
      <c r="C20" s="51">
        <v>2</v>
      </c>
      <c r="D20" s="50">
        <v>1</v>
      </c>
      <c r="E20" s="51">
        <v>2</v>
      </c>
      <c r="F20" s="51">
        <v>2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0">
        <v>0</v>
      </c>
      <c r="M20" s="51">
        <v>2</v>
      </c>
      <c r="N20" s="50">
        <v>0</v>
      </c>
      <c r="O20" s="15">
        <f t="shared" si="0"/>
        <v>7</v>
      </c>
      <c r="P20" s="15">
        <f t="shared" si="1"/>
        <v>9</v>
      </c>
      <c r="R20" s="1" t="s">
        <v>16</v>
      </c>
      <c r="S20" s="17">
        <f t="shared" ref="S20:AF20" si="12">SUM(C50:C53)</f>
        <v>5</v>
      </c>
      <c r="T20" s="17">
        <f t="shared" si="12"/>
        <v>6</v>
      </c>
      <c r="U20" s="17">
        <f t="shared" si="12"/>
        <v>13</v>
      </c>
      <c r="V20" s="17">
        <f t="shared" si="12"/>
        <v>9</v>
      </c>
      <c r="W20" s="17">
        <f t="shared" si="12"/>
        <v>0</v>
      </c>
      <c r="X20" s="17">
        <f t="shared" si="12"/>
        <v>4</v>
      </c>
      <c r="Y20" s="17">
        <f t="shared" si="12"/>
        <v>1</v>
      </c>
      <c r="Z20" s="17">
        <f t="shared" si="12"/>
        <v>1</v>
      </c>
      <c r="AA20" s="17">
        <f t="shared" si="12"/>
        <v>0</v>
      </c>
      <c r="AB20" s="17">
        <f t="shared" si="12"/>
        <v>6</v>
      </c>
      <c r="AC20" s="17">
        <f t="shared" si="12"/>
        <v>26</v>
      </c>
      <c r="AD20" s="17">
        <f t="shared" si="12"/>
        <v>0</v>
      </c>
      <c r="AE20" s="31">
        <f t="shared" si="12"/>
        <v>45</v>
      </c>
      <c r="AF20" s="31">
        <f t="shared" si="12"/>
        <v>71</v>
      </c>
    </row>
    <row r="21" spans="2:32" ht="23.1" customHeight="1" x14ac:dyDescent="0.25">
      <c r="B21" s="23" t="s">
        <v>48</v>
      </c>
      <c r="C21" s="51">
        <v>1</v>
      </c>
      <c r="D21" s="50">
        <v>1</v>
      </c>
      <c r="E21" s="51">
        <v>3</v>
      </c>
      <c r="F21" s="51">
        <v>5</v>
      </c>
      <c r="G21" s="51">
        <v>1</v>
      </c>
      <c r="H21" s="51">
        <v>0</v>
      </c>
      <c r="I21" s="51">
        <v>3</v>
      </c>
      <c r="J21" s="51">
        <v>0</v>
      </c>
      <c r="K21" s="51">
        <v>0</v>
      </c>
      <c r="L21" s="50">
        <v>1</v>
      </c>
      <c r="M21" s="51">
        <v>1</v>
      </c>
      <c r="N21" s="50">
        <v>0</v>
      </c>
      <c r="O21" s="15">
        <f t="shared" si="0"/>
        <v>15</v>
      </c>
      <c r="P21" s="15">
        <f t="shared" si="1"/>
        <v>16</v>
      </c>
      <c r="R21" s="36" t="s">
        <v>20</v>
      </c>
      <c r="S21" s="34">
        <f t="shared" ref="S21:AF21" si="13">SUM(C54:C57)</f>
        <v>10</v>
      </c>
      <c r="T21" s="17">
        <f t="shared" si="13"/>
        <v>7</v>
      </c>
      <c r="U21" s="17">
        <f t="shared" si="13"/>
        <v>14</v>
      </c>
      <c r="V21" s="17">
        <f t="shared" si="13"/>
        <v>4</v>
      </c>
      <c r="W21" s="17">
        <f t="shared" si="13"/>
        <v>0</v>
      </c>
      <c r="X21" s="17">
        <f t="shared" si="13"/>
        <v>3</v>
      </c>
      <c r="Y21" s="17">
        <f t="shared" si="13"/>
        <v>10</v>
      </c>
      <c r="Z21" s="17">
        <f t="shared" si="13"/>
        <v>3</v>
      </c>
      <c r="AA21" s="17">
        <f t="shared" si="13"/>
        <v>0</v>
      </c>
      <c r="AB21" s="17">
        <f t="shared" si="13"/>
        <v>7</v>
      </c>
      <c r="AC21" s="17">
        <f t="shared" si="13"/>
        <v>13</v>
      </c>
      <c r="AD21" s="17">
        <f t="shared" si="13"/>
        <v>0</v>
      </c>
      <c r="AE21" s="31">
        <f t="shared" si="13"/>
        <v>58</v>
      </c>
      <c r="AF21" s="31">
        <f t="shared" si="13"/>
        <v>71</v>
      </c>
    </row>
    <row r="22" spans="2:32" ht="23.1" customHeight="1" x14ac:dyDescent="0.25">
      <c r="B22" s="23" t="s">
        <v>49</v>
      </c>
      <c r="C22" s="51">
        <v>0</v>
      </c>
      <c r="D22" s="50">
        <v>2</v>
      </c>
      <c r="E22" s="51">
        <v>4</v>
      </c>
      <c r="F22" s="51">
        <v>1</v>
      </c>
      <c r="G22" s="51">
        <v>0</v>
      </c>
      <c r="H22" s="51">
        <v>1</v>
      </c>
      <c r="I22" s="51">
        <v>2</v>
      </c>
      <c r="J22" s="51">
        <v>1</v>
      </c>
      <c r="K22" s="51">
        <v>0</v>
      </c>
      <c r="L22" s="50">
        <v>0</v>
      </c>
      <c r="M22" s="51">
        <v>5</v>
      </c>
      <c r="N22" s="50">
        <v>0</v>
      </c>
      <c r="O22" s="15">
        <f t="shared" si="0"/>
        <v>11</v>
      </c>
      <c r="P22" s="15">
        <f t="shared" si="1"/>
        <v>16</v>
      </c>
      <c r="R22" s="38" t="s">
        <v>90</v>
      </c>
      <c r="S22" s="39">
        <f>MAX(S10:S12)</f>
        <v>8</v>
      </c>
      <c r="T22" s="39">
        <f t="shared" ref="T22:AF22" si="14">MAX(T10:T12)</f>
        <v>6</v>
      </c>
      <c r="U22" s="39">
        <f t="shared" si="14"/>
        <v>12</v>
      </c>
      <c r="V22" s="39">
        <f t="shared" si="14"/>
        <v>11</v>
      </c>
      <c r="W22" s="39">
        <f t="shared" si="14"/>
        <v>1</v>
      </c>
      <c r="X22" s="39">
        <f t="shared" si="14"/>
        <v>1</v>
      </c>
      <c r="Y22" s="39">
        <f t="shared" si="14"/>
        <v>11</v>
      </c>
      <c r="Z22" s="39">
        <f t="shared" si="14"/>
        <v>3</v>
      </c>
      <c r="AA22" s="39">
        <f t="shared" si="14"/>
        <v>0</v>
      </c>
      <c r="AB22" s="39">
        <f t="shared" si="14"/>
        <v>10</v>
      </c>
      <c r="AC22" s="39">
        <f t="shared" si="14"/>
        <v>11</v>
      </c>
      <c r="AD22" s="39">
        <f t="shared" si="14"/>
        <v>0</v>
      </c>
      <c r="AE22" s="40">
        <f t="shared" si="14"/>
        <v>47</v>
      </c>
      <c r="AF22" s="40">
        <f t="shared" si="14"/>
        <v>56</v>
      </c>
    </row>
    <row r="23" spans="2:32" ht="23.1" customHeight="1" x14ac:dyDescent="0.25">
      <c r="B23" s="23" t="s">
        <v>50</v>
      </c>
      <c r="C23" s="51">
        <v>0</v>
      </c>
      <c r="D23" s="50">
        <v>1</v>
      </c>
      <c r="E23" s="51">
        <v>3</v>
      </c>
      <c r="F23" s="51">
        <v>3</v>
      </c>
      <c r="G23" s="51">
        <v>0</v>
      </c>
      <c r="H23" s="51">
        <v>0</v>
      </c>
      <c r="I23" s="51">
        <v>1</v>
      </c>
      <c r="J23" s="51">
        <v>0</v>
      </c>
      <c r="K23" s="51">
        <v>0</v>
      </c>
      <c r="L23" s="50">
        <v>0</v>
      </c>
      <c r="M23" s="51">
        <v>3</v>
      </c>
      <c r="N23" s="50">
        <v>0</v>
      </c>
      <c r="O23" s="15">
        <f t="shared" si="0"/>
        <v>8</v>
      </c>
      <c r="P23" s="15">
        <f t="shared" si="1"/>
        <v>11</v>
      </c>
      <c r="R23" s="38" t="s">
        <v>91</v>
      </c>
      <c r="S23" s="39">
        <f>MAX(S13:S18)</f>
        <v>13</v>
      </c>
      <c r="T23" s="39">
        <f t="shared" ref="T23:AF23" si="15">MAX(T13:T18)</f>
        <v>7</v>
      </c>
      <c r="U23" s="39">
        <f t="shared" si="15"/>
        <v>15</v>
      </c>
      <c r="V23" s="39">
        <f t="shared" si="15"/>
        <v>12</v>
      </c>
      <c r="W23" s="39">
        <f t="shared" si="15"/>
        <v>1</v>
      </c>
      <c r="X23" s="39">
        <f t="shared" si="15"/>
        <v>7</v>
      </c>
      <c r="Y23" s="39">
        <f t="shared" si="15"/>
        <v>6</v>
      </c>
      <c r="Z23" s="39">
        <f t="shared" si="15"/>
        <v>2</v>
      </c>
      <c r="AA23" s="39">
        <f t="shared" si="15"/>
        <v>2</v>
      </c>
      <c r="AB23" s="39">
        <f t="shared" si="15"/>
        <v>4</v>
      </c>
      <c r="AC23" s="39">
        <f t="shared" si="15"/>
        <v>24</v>
      </c>
      <c r="AD23" s="39">
        <f t="shared" si="15"/>
        <v>0</v>
      </c>
      <c r="AE23" s="40">
        <f t="shared" si="15"/>
        <v>47</v>
      </c>
      <c r="AF23" s="40">
        <f t="shared" si="15"/>
        <v>69</v>
      </c>
    </row>
    <row r="24" spans="2:32" ht="23.1" customHeight="1" x14ac:dyDescent="0.25">
      <c r="B24" s="23" t="s">
        <v>51</v>
      </c>
      <c r="C24" s="51">
        <v>1</v>
      </c>
      <c r="D24" s="50">
        <v>0</v>
      </c>
      <c r="E24" s="51">
        <v>1</v>
      </c>
      <c r="F24" s="51">
        <v>3</v>
      </c>
      <c r="G24" s="51">
        <v>0</v>
      </c>
      <c r="H24" s="51">
        <v>2</v>
      </c>
      <c r="I24" s="51">
        <v>0</v>
      </c>
      <c r="J24" s="51">
        <v>0</v>
      </c>
      <c r="K24" s="51">
        <v>0</v>
      </c>
      <c r="L24" s="50">
        <v>0</v>
      </c>
      <c r="M24" s="51">
        <v>3</v>
      </c>
      <c r="N24" s="50">
        <v>0</v>
      </c>
      <c r="O24" s="15">
        <f t="shared" si="0"/>
        <v>7</v>
      </c>
      <c r="P24" s="15">
        <f t="shared" si="1"/>
        <v>10</v>
      </c>
      <c r="R24" s="38" t="s">
        <v>92</v>
      </c>
      <c r="S24" s="39">
        <f>MAX(S19:S21)</f>
        <v>10</v>
      </c>
      <c r="T24" s="39">
        <f t="shared" ref="T24:AF24" si="16">MAX(T19:T21)</f>
        <v>7</v>
      </c>
      <c r="U24" s="39">
        <f t="shared" si="16"/>
        <v>14</v>
      </c>
      <c r="V24" s="39">
        <f t="shared" si="16"/>
        <v>9</v>
      </c>
      <c r="W24" s="39">
        <f t="shared" si="16"/>
        <v>1</v>
      </c>
      <c r="X24" s="39">
        <f t="shared" si="16"/>
        <v>7</v>
      </c>
      <c r="Y24" s="39">
        <f t="shared" si="16"/>
        <v>10</v>
      </c>
      <c r="Z24" s="39">
        <f t="shared" si="16"/>
        <v>3</v>
      </c>
      <c r="AA24" s="39">
        <f t="shared" si="16"/>
        <v>1</v>
      </c>
      <c r="AB24" s="39">
        <f t="shared" si="16"/>
        <v>7</v>
      </c>
      <c r="AC24" s="39">
        <f t="shared" si="16"/>
        <v>26</v>
      </c>
      <c r="AD24" s="39">
        <f t="shared" si="16"/>
        <v>0</v>
      </c>
      <c r="AE24" s="40">
        <f t="shared" si="16"/>
        <v>62</v>
      </c>
      <c r="AF24" s="40">
        <f t="shared" si="16"/>
        <v>83</v>
      </c>
    </row>
    <row r="25" spans="2:32" ht="23.1" customHeight="1" x14ac:dyDescent="0.25">
      <c r="B25" s="23" t="s">
        <v>52</v>
      </c>
      <c r="C25" s="51">
        <v>2</v>
      </c>
      <c r="D25" s="50">
        <v>1</v>
      </c>
      <c r="E25" s="51">
        <v>3</v>
      </c>
      <c r="F25" s="51">
        <v>2</v>
      </c>
      <c r="G25" s="51">
        <v>0</v>
      </c>
      <c r="H25" s="51">
        <v>1</v>
      </c>
      <c r="I25" s="51">
        <v>2</v>
      </c>
      <c r="J25" s="51">
        <v>0</v>
      </c>
      <c r="K25" s="51">
        <v>0</v>
      </c>
      <c r="L25" s="50">
        <v>2</v>
      </c>
      <c r="M25" s="51">
        <v>7</v>
      </c>
      <c r="N25" s="50">
        <v>0</v>
      </c>
      <c r="O25" s="15">
        <f t="shared" si="0"/>
        <v>13</v>
      </c>
      <c r="P25" s="15">
        <f t="shared" si="1"/>
        <v>20</v>
      </c>
      <c r="R25" s="37" t="s">
        <v>85</v>
      </c>
      <c r="S25" s="35">
        <f t="shared" ref="S25:AF25" si="17">SUM(S10:S12)</f>
        <v>20</v>
      </c>
      <c r="T25" s="16">
        <f t="shared" si="17"/>
        <v>11</v>
      </c>
      <c r="U25" s="16">
        <f t="shared" si="17"/>
        <v>32</v>
      </c>
      <c r="V25" s="16">
        <f t="shared" si="17"/>
        <v>23</v>
      </c>
      <c r="W25" s="16">
        <f t="shared" si="17"/>
        <v>1</v>
      </c>
      <c r="X25" s="16">
        <f t="shared" si="17"/>
        <v>1</v>
      </c>
      <c r="Y25" s="16">
        <f t="shared" si="17"/>
        <v>27</v>
      </c>
      <c r="Z25" s="16">
        <f t="shared" si="17"/>
        <v>7</v>
      </c>
      <c r="AA25" s="16">
        <f t="shared" si="17"/>
        <v>0</v>
      </c>
      <c r="AB25" s="16">
        <f t="shared" si="17"/>
        <v>14</v>
      </c>
      <c r="AC25" s="16">
        <f t="shared" si="17"/>
        <v>28</v>
      </c>
      <c r="AD25" s="16">
        <f t="shared" si="17"/>
        <v>0</v>
      </c>
      <c r="AE25" s="32">
        <f t="shared" si="17"/>
        <v>136</v>
      </c>
      <c r="AF25" s="32">
        <f t="shared" si="17"/>
        <v>164</v>
      </c>
    </row>
    <row r="26" spans="2:32" ht="23.1" customHeight="1" x14ac:dyDescent="0.25">
      <c r="B26" s="23" t="s">
        <v>53</v>
      </c>
      <c r="C26" s="51">
        <v>1</v>
      </c>
      <c r="D26" s="50">
        <v>2</v>
      </c>
      <c r="E26" s="51">
        <v>3</v>
      </c>
      <c r="F26" s="51">
        <v>3</v>
      </c>
      <c r="G26" s="51">
        <v>0</v>
      </c>
      <c r="H26" s="51">
        <v>0</v>
      </c>
      <c r="I26" s="51">
        <v>3</v>
      </c>
      <c r="J26" s="51">
        <v>2</v>
      </c>
      <c r="K26" s="51">
        <v>0</v>
      </c>
      <c r="L26" s="50">
        <v>1</v>
      </c>
      <c r="M26" s="51">
        <v>4</v>
      </c>
      <c r="N26" s="50">
        <v>0</v>
      </c>
      <c r="O26" s="15">
        <f t="shared" si="0"/>
        <v>15</v>
      </c>
      <c r="P26" s="15">
        <f t="shared" si="1"/>
        <v>19</v>
      </c>
      <c r="R26" s="28" t="s">
        <v>86</v>
      </c>
      <c r="S26" s="16">
        <f t="shared" ref="S26:AF26" si="18">SUM(S13:S18)</f>
        <v>47</v>
      </c>
      <c r="T26" s="16">
        <f t="shared" si="18"/>
        <v>28</v>
      </c>
      <c r="U26" s="16">
        <f t="shared" si="18"/>
        <v>70</v>
      </c>
      <c r="V26" s="16">
        <f t="shared" si="18"/>
        <v>39</v>
      </c>
      <c r="W26" s="16">
        <f t="shared" si="18"/>
        <v>2</v>
      </c>
      <c r="X26" s="16">
        <f t="shared" si="18"/>
        <v>22</v>
      </c>
      <c r="Y26" s="16">
        <f t="shared" si="18"/>
        <v>29</v>
      </c>
      <c r="Z26" s="16">
        <f t="shared" si="18"/>
        <v>4</v>
      </c>
      <c r="AA26" s="16">
        <f t="shared" si="18"/>
        <v>2</v>
      </c>
      <c r="AB26" s="16">
        <f t="shared" si="18"/>
        <v>12</v>
      </c>
      <c r="AC26" s="16">
        <f t="shared" si="18"/>
        <v>100</v>
      </c>
      <c r="AD26" s="16">
        <f t="shared" si="18"/>
        <v>0</v>
      </c>
      <c r="AE26" s="32">
        <f t="shared" si="18"/>
        <v>255</v>
      </c>
      <c r="AF26" s="32">
        <f t="shared" si="18"/>
        <v>355</v>
      </c>
    </row>
    <row r="27" spans="2:32" ht="23.1" customHeight="1" x14ac:dyDescent="0.25">
      <c r="B27" s="23" t="s">
        <v>54</v>
      </c>
      <c r="C27" s="51">
        <v>2</v>
      </c>
      <c r="D27" s="50">
        <v>1</v>
      </c>
      <c r="E27" s="51">
        <v>3</v>
      </c>
      <c r="F27" s="51">
        <v>3</v>
      </c>
      <c r="G27" s="51">
        <v>1</v>
      </c>
      <c r="H27" s="51">
        <v>0</v>
      </c>
      <c r="I27" s="51">
        <v>0</v>
      </c>
      <c r="J27" s="51">
        <v>0</v>
      </c>
      <c r="K27" s="51">
        <v>0</v>
      </c>
      <c r="L27" s="50">
        <v>0</v>
      </c>
      <c r="M27" s="51">
        <v>6</v>
      </c>
      <c r="N27" s="50">
        <v>0</v>
      </c>
      <c r="O27" s="15">
        <f t="shared" si="0"/>
        <v>10</v>
      </c>
      <c r="P27" s="15">
        <f t="shared" si="1"/>
        <v>16</v>
      </c>
      <c r="R27" s="29" t="s">
        <v>87</v>
      </c>
      <c r="S27" s="16">
        <f t="shared" ref="S27:AF27" si="19">SUM(S19:S21)</f>
        <v>23</v>
      </c>
      <c r="T27" s="16">
        <f t="shared" si="19"/>
        <v>19</v>
      </c>
      <c r="U27" s="16">
        <f t="shared" si="19"/>
        <v>41</v>
      </c>
      <c r="V27" s="16">
        <f t="shared" si="19"/>
        <v>20</v>
      </c>
      <c r="W27" s="16">
        <f t="shared" si="19"/>
        <v>1</v>
      </c>
      <c r="X27" s="16">
        <f t="shared" si="19"/>
        <v>14</v>
      </c>
      <c r="Y27" s="16">
        <f t="shared" si="19"/>
        <v>19</v>
      </c>
      <c r="Z27" s="16">
        <f t="shared" si="19"/>
        <v>7</v>
      </c>
      <c r="AA27" s="16">
        <f t="shared" si="19"/>
        <v>1</v>
      </c>
      <c r="AB27" s="16">
        <f t="shared" si="19"/>
        <v>20</v>
      </c>
      <c r="AC27" s="16">
        <f t="shared" si="19"/>
        <v>60</v>
      </c>
      <c r="AD27" s="16">
        <f t="shared" si="19"/>
        <v>0</v>
      </c>
      <c r="AE27" s="32">
        <f t="shared" si="19"/>
        <v>165</v>
      </c>
      <c r="AF27" s="32">
        <f t="shared" si="19"/>
        <v>225</v>
      </c>
    </row>
    <row r="28" spans="2:32" ht="23.1" customHeight="1" x14ac:dyDescent="0.25">
      <c r="B28" s="23" t="s">
        <v>55</v>
      </c>
      <c r="C28" s="51">
        <v>4</v>
      </c>
      <c r="D28" s="50">
        <v>0</v>
      </c>
      <c r="E28" s="51">
        <v>1</v>
      </c>
      <c r="F28" s="51">
        <v>4</v>
      </c>
      <c r="G28" s="51">
        <v>0</v>
      </c>
      <c r="H28" s="51">
        <v>1</v>
      </c>
      <c r="I28" s="51">
        <v>1</v>
      </c>
      <c r="J28" s="51">
        <v>0</v>
      </c>
      <c r="K28" s="51">
        <v>0</v>
      </c>
      <c r="L28" s="50">
        <v>2</v>
      </c>
      <c r="M28" s="51">
        <v>3</v>
      </c>
      <c r="N28" s="50">
        <v>0</v>
      </c>
      <c r="O28" s="15">
        <f t="shared" si="0"/>
        <v>13</v>
      </c>
      <c r="P28" s="15">
        <f t="shared" si="1"/>
        <v>16</v>
      </c>
      <c r="R28" s="5" t="s">
        <v>17</v>
      </c>
      <c r="S28" s="16">
        <f t="shared" ref="S28:AF28" si="20">SUM(S10:S21)</f>
        <v>90</v>
      </c>
      <c r="T28" s="16">
        <f t="shared" si="20"/>
        <v>58</v>
      </c>
      <c r="U28" s="16">
        <f t="shared" si="20"/>
        <v>143</v>
      </c>
      <c r="V28" s="16">
        <f t="shared" si="20"/>
        <v>82</v>
      </c>
      <c r="W28" s="16">
        <f t="shared" si="20"/>
        <v>4</v>
      </c>
      <c r="X28" s="16">
        <f t="shared" si="20"/>
        <v>37</v>
      </c>
      <c r="Y28" s="16">
        <f t="shared" si="20"/>
        <v>75</v>
      </c>
      <c r="Z28" s="16">
        <f t="shared" si="20"/>
        <v>18</v>
      </c>
      <c r="AA28" s="16">
        <f t="shared" si="20"/>
        <v>3</v>
      </c>
      <c r="AB28" s="16">
        <f t="shared" si="20"/>
        <v>46</v>
      </c>
      <c r="AC28" s="16">
        <f t="shared" si="20"/>
        <v>188</v>
      </c>
      <c r="AD28" s="16">
        <f t="shared" si="20"/>
        <v>0</v>
      </c>
      <c r="AE28" s="32">
        <f t="shared" si="20"/>
        <v>556</v>
      </c>
      <c r="AF28" s="32">
        <f t="shared" si="20"/>
        <v>744</v>
      </c>
    </row>
    <row r="29" spans="2:32" ht="23.1" customHeight="1" x14ac:dyDescent="0.25">
      <c r="B29" s="23" t="s">
        <v>56</v>
      </c>
      <c r="C29" s="51">
        <v>3</v>
      </c>
      <c r="D29" s="50">
        <v>0</v>
      </c>
      <c r="E29" s="51">
        <v>2</v>
      </c>
      <c r="F29" s="51">
        <v>2</v>
      </c>
      <c r="G29" s="51">
        <v>0</v>
      </c>
      <c r="H29" s="51">
        <v>0</v>
      </c>
      <c r="I29" s="51">
        <v>1</v>
      </c>
      <c r="J29" s="51">
        <v>0</v>
      </c>
      <c r="K29" s="51">
        <v>0</v>
      </c>
      <c r="L29" s="50">
        <v>0</v>
      </c>
      <c r="M29" s="51">
        <v>5</v>
      </c>
      <c r="N29" s="50">
        <v>0</v>
      </c>
      <c r="O29" s="15">
        <f t="shared" si="0"/>
        <v>8</v>
      </c>
      <c r="P29" s="15">
        <f t="shared" si="1"/>
        <v>13</v>
      </c>
      <c r="R29"/>
      <c r="S29" s="20"/>
      <c r="T29" s="19"/>
    </row>
    <row r="30" spans="2:32" ht="23.1" customHeight="1" x14ac:dyDescent="0.25">
      <c r="B30" s="23" t="s">
        <v>57</v>
      </c>
      <c r="C30" s="51">
        <v>2</v>
      </c>
      <c r="D30" s="50">
        <v>1</v>
      </c>
      <c r="E30" s="51">
        <v>3</v>
      </c>
      <c r="F30" s="51">
        <v>2</v>
      </c>
      <c r="G30" s="51">
        <v>0</v>
      </c>
      <c r="H30" s="51">
        <v>0</v>
      </c>
      <c r="I30" s="51">
        <v>1</v>
      </c>
      <c r="J30" s="51">
        <v>0</v>
      </c>
      <c r="K30" s="51">
        <v>0</v>
      </c>
      <c r="L30" s="50">
        <v>1</v>
      </c>
      <c r="M30" s="51">
        <v>3</v>
      </c>
      <c r="N30" s="50">
        <v>0</v>
      </c>
      <c r="O30" s="15">
        <f t="shared" si="0"/>
        <v>10</v>
      </c>
      <c r="P30" s="15">
        <f t="shared" si="1"/>
        <v>13</v>
      </c>
    </row>
    <row r="31" spans="2:32" ht="23.1" customHeight="1" x14ac:dyDescent="0.25">
      <c r="B31" s="24" t="s">
        <v>58</v>
      </c>
      <c r="C31" s="51">
        <v>2</v>
      </c>
      <c r="D31" s="50">
        <v>2</v>
      </c>
      <c r="E31" s="51">
        <v>4</v>
      </c>
      <c r="F31" s="51">
        <v>2</v>
      </c>
      <c r="G31" s="51">
        <v>0</v>
      </c>
      <c r="H31" s="51">
        <v>2</v>
      </c>
      <c r="I31" s="51">
        <v>1</v>
      </c>
      <c r="J31" s="51">
        <v>0</v>
      </c>
      <c r="K31" s="51">
        <v>0</v>
      </c>
      <c r="L31" s="50">
        <v>1</v>
      </c>
      <c r="M31" s="51">
        <v>3</v>
      </c>
      <c r="N31" s="50">
        <v>0</v>
      </c>
      <c r="O31" s="15">
        <f t="shared" si="0"/>
        <v>14</v>
      </c>
      <c r="P31" s="15">
        <f t="shared" si="1"/>
        <v>17</v>
      </c>
    </row>
    <row r="32" spans="2:32" ht="23.1" customHeight="1" x14ac:dyDescent="0.25">
      <c r="B32" s="24" t="s">
        <v>59</v>
      </c>
      <c r="C32" s="51">
        <v>0</v>
      </c>
      <c r="D32" s="50">
        <v>2</v>
      </c>
      <c r="E32" s="51">
        <v>4</v>
      </c>
      <c r="F32" s="51">
        <v>0</v>
      </c>
      <c r="G32" s="51">
        <v>1</v>
      </c>
      <c r="H32" s="51">
        <v>2</v>
      </c>
      <c r="I32" s="51">
        <v>2</v>
      </c>
      <c r="J32" s="51">
        <v>0</v>
      </c>
      <c r="K32" s="51">
        <v>0</v>
      </c>
      <c r="L32" s="50">
        <v>0</v>
      </c>
      <c r="M32" s="51">
        <v>8</v>
      </c>
      <c r="N32" s="50">
        <v>0</v>
      </c>
      <c r="O32" s="15">
        <f t="shared" si="0"/>
        <v>11</v>
      </c>
      <c r="P32" s="15">
        <f t="shared" si="1"/>
        <v>19</v>
      </c>
    </row>
    <row r="33" spans="2:20" ht="23.1" customHeight="1" x14ac:dyDescent="0.25">
      <c r="B33" s="23" t="s">
        <v>60</v>
      </c>
      <c r="C33" s="51">
        <v>1</v>
      </c>
      <c r="D33" s="50">
        <v>2</v>
      </c>
      <c r="E33" s="51">
        <v>4</v>
      </c>
      <c r="F33" s="51">
        <v>2</v>
      </c>
      <c r="G33" s="51">
        <v>0</v>
      </c>
      <c r="H33" s="51">
        <v>1</v>
      </c>
      <c r="I33" s="51">
        <v>1</v>
      </c>
      <c r="J33" s="51">
        <v>1</v>
      </c>
      <c r="K33" s="51">
        <v>0</v>
      </c>
      <c r="L33" s="50">
        <v>0</v>
      </c>
      <c r="M33" s="51">
        <v>5</v>
      </c>
      <c r="N33" s="50">
        <v>0</v>
      </c>
      <c r="O33" s="15">
        <f t="shared" si="0"/>
        <v>12</v>
      </c>
      <c r="P33" s="15">
        <f t="shared" si="1"/>
        <v>17</v>
      </c>
    </row>
    <row r="34" spans="2:20" ht="23.1" customHeight="1" x14ac:dyDescent="0.25">
      <c r="B34" s="24" t="s">
        <v>61</v>
      </c>
      <c r="C34" s="51">
        <v>0</v>
      </c>
      <c r="D34" s="50">
        <v>1</v>
      </c>
      <c r="E34" s="51">
        <v>2</v>
      </c>
      <c r="F34" s="51">
        <v>1</v>
      </c>
      <c r="G34" s="51">
        <v>0</v>
      </c>
      <c r="H34" s="51">
        <v>0</v>
      </c>
      <c r="I34" s="51">
        <v>5</v>
      </c>
      <c r="J34" s="51">
        <v>0</v>
      </c>
      <c r="K34" s="51">
        <v>0</v>
      </c>
      <c r="L34" s="50">
        <v>0</v>
      </c>
      <c r="M34" s="51">
        <v>5</v>
      </c>
      <c r="N34" s="50">
        <v>0</v>
      </c>
      <c r="O34" s="15">
        <f t="shared" si="0"/>
        <v>9</v>
      </c>
      <c r="P34" s="15">
        <f t="shared" si="1"/>
        <v>14</v>
      </c>
    </row>
    <row r="35" spans="2:20" ht="23.1" customHeight="1" x14ac:dyDescent="0.25">
      <c r="B35" s="24" t="s">
        <v>62</v>
      </c>
      <c r="C35" s="51">
        <v>2</v>
      </c>
      <c r="D35" s="50">
        <v>1</v>
      </c>
      <c r="E35" s="51">
        <v>2</v>
      </c>
      <c r="F35" s="51">
        <v>1</v>
      </c>
      <c r="G35" s="51">
        <v>0</v>
      </c>
      <c r="H35" s="51">
        <v>1</v>
      </c>
      <c r="I35" s="51">
        <v>1</v>
      </c>
      <c r="J35" s="51">
        <v>0</v>
      </c>
      <c r="K35" s="51">
        <v>0</v>
      </c>
      <c r="L35" s="50">
        <v>0</v>
      </c>
      <c r="M35" s="51">
        <v>2</v>
      </c>
      <c r="N35" s="50">
        <v>0</v>
      </c>
      <c r="O35" s="15">
        <f t="shared" si="0"/>
        <v>8</v>
      </c>
      <c r="P35" s="15">
        <f t="shared" si="1"/>
        <v>10</v>
      </c>
    </row>
    <row r="36" spans="2:20" ht="23.1" customHeight="1" x14ac:dyDescent="0.25">
      <c r="B36" s="24" t="s">
        <v>63</v>
      </c>
      <c r="C36" s="51">
        <v>1</v>
      </c>
      <c r="D36" s="50">
        <v>1</v>
      </c>
      <c r="E36" s="51">
        <v>2</v>
      </c>
      <c r="F36" s="51">
        <v>2</v>
      </c>
      <c r="G36" s="51">
        <v>0</v>
      </c>
      <c r="H36" s="51">
        <v>0</v>
      </c>
      <c r="I36" s="51">
        <v>0</v>
      </c>
      <c r="J36" s="51">
        <v>0</v>
      </c>
      <c r="K36" s="51">
        <v>2</v>
      </c>
      <c r="L36" s="50">
        <v>0</v>
      </c>
      <c r="M36" s="51">
        <v>2</v>
      </c>
      <c r="N36" s="50">
        <v>0</v>
      </c>
      <c r="O36" s="15">
        <f t="shared" si="0"/>
        <v>8</v>
      </c>
      <c r="P36" s="15">
        <f t="shared" si="1"/>
        <v>10</v>
      </c>
    </row>
    <row r="37" spans="2:20" ht="23.1" customHeight="1" x14ac:dyDescent="0.25">
      <c r="B37" s="23" t="s">
        <v>64</v>
      </c>
      <c r="C37" s="51">
        <v>3</v>
      </c>
      <c r="D37" s="50">
        <v>0</v>
      </c>
      <c r="E37" s="51">
        <v>1</v>
      </c>
      <c r="F37" s="51">
        <v>1</v>
      </c>
      <c r="G37" s="51">
        <v>0</v>
      </c>
      <c r="H37" s="51">
        <v>1</v>
      </c>
      <c r="I37" s="51">
        <v>0</v>
      </c>
      <c r="J37" s="51">
        <v>0</v>
      </c>
      <c r="K37" s="51">
        <v>0</v>
      </c>
      <c r="L37" s="50">
        <v>0</v>
      </c>
      <c r="M37" s="51">
        <v>5</v>
      </c>
      <c r="N37" s="50">
        <v>0</v>
      </c>
      <c r="O37" s="15">
        <f t="shared" si="0"/>
        <v>6</v>
      </c>
      <c r="P37" s="15">
        <f t="shared" si="1"/>
        <v>11</v>
      </c>
    </row>
    <row r="38" spans="2:20" ht="23.1" customHeight="1" x14ac:dyDescent="0.25">
      <c r="B38" s="24" t="s">
        <v>65</v>
      </c>
      <c r="C38" s="51">
        <v>4</v>
      </c>
      <c r="D38" s="50">
        <v>0</v>
      </c>
      <c r="E38" s="51">
        <v>2</v>
      </c>
      <c r="F38" s="51">
        <v>1</v>
      </c>
      <c r="G38" s="51">
        <v>0</v>
      </c>
      <c r="H38" s="51">
        <v>1</v>
      </c>
      <c r="I38" s="51">
        <v>1</v>
      </c>
      <c r="J38" s="51">
        <v>0</v>
      </c>
      <c r="K38" s="51">
        <v>0</v>
      </c>
      <c r="L38" s="50">
        <v>1</v>
      </c>
      <c r="M38" s="51">
        <v>8</v>
      </c>
      <c r="N38" s="50">
        <v>0</v>
      </c>
      <c r="O38" s="15">
        <f t="shared" si="0"/>
        <v>10</v>
      </c>
      <c r="P38" s="15">
        <f t="shared" si="1"/>
        <v>18</v>
      </c>
    </row>
    <row r="39" spans="2:20" ht="23.1" customHeight="1" x14ac:dyDescent="0.25">
      <c r="B39" s="24" t="s">
        <v>66</v>
      </c>
      <c r="C39" s="51">
        <v>2</v>
      </c>
      <c r="D39" s="50">
        <v>3</v>
      </c>
      <c r="E39" s="51">
        <v>5</v>
      </c>
      <c r="F39" s="51">
        <v>1</v>
      </c>
      <c r="G39" s="51">
        <v>0</v>
      </c>
      <c r="H39" s="51">
        <v>2</v>
      </c>
      <c r="I39" s="51">
        <v>2</v>
      </c>
      <c r="J39" s="51">
        <v>0</v>
      </c>
      <c r="K39" s="51">
        <v>0</v>
      </c>
      <c r="L39" s="50">
        <v>1</v>
      </c>
      <c r="M39" s="51">
        <v>6</v>
      </c>
      <c r="N39" s="50">
        <v>0</v>
      </c>
      <c r="O39" s="15">
        <f t="shared" si="0"/>
        <v>16</v>
      </c>
      <c r="P39" s="15">
        <f t="shared" si="1"/>
        <v>22</v>
      </c>
    </row>
    <row r="40" spans="2:20" ht="23.1" customHeight="1" x14ac:dyDescent="0.25">
      <c r="B40" s="24" t="s">
        <v>67</v>
      </c>
      <c r="C40" s="51">
        <v>2</v>
      </c>
      <c r="D40" s="50">
        <v>0</v>
      </c>
      <c r="E40" s="51">
        <v>2</v>
      </c>
      <c r="F40" s="51">
        <v>0</v>
      </c>
      <c r="G40" s="51">
        <v>0</v>
      </c>
      <c r="H40" s="51">
        <v>0</v>
      </c>
      <c r="I40" s="51">
        <v>1</v>
      </c>
      <c r="J40" s="51">
        <v>0</v>
      </c>
      <c r="K40" s="51">
        <v>0</v>
      </c>
      <c r="L40" s="50">
        <v>2</v>
      </c>
      <c r="M40" s="51">
        <v>6</v>
      </c>
      <c r="N40" s="50">
        <v>0</v>
      </c>
      <c r="O40" s="15">
        <f t="shared" si="0"/>
        <v>7</v>
      </c>
      <c r="P40" s="15">
        <f t="shared" si="1"/>
        <v>13</v>
      </c>
    </row>
    <row r="41" spans="2:20" ht="23.1" customHeight="1" x14ac:dyDescent="0.25">
      <c r="B41" s="23" t="s">
        <v>68</v>
      </c>
      <c r="C41" s="51">
        <v>2</v>
      </c>
      <c r="D41" s="50">
        <v>2</v>
      </c>
      <c r="E41" s="51">
        <v>5</v>
      </c>
      <c r="F41" s="51">
        <v>1</v>
      </c>
      <c r="G41" s="51">
        <v>0</v>
      </c>
      <c r="H41" s="51">
        <v>0</v>
      </c>
      <c r="I41" s="51">
        <v>2</v>
      </c>
      <c r="J41" s="51">
        <v>0</v>
      </c>
      <c r="K41" s="51">
        <v>0</v>
      </c>
      <c r="L41" s="50">
        <v>0</v>
      </c>
      <c r="M41" s="51">
        <v>4</v>
      </c>
      <c r="N41" s="50">
        <v>0</v>
      </c>
      <c r="O41" s="15">
        <f t="shared" si="0"/>
        <v>12</v>
      </c>
      <c r="P41" s="15">
        <f t="shared" si="1"/>
        <v>16</v>
      </c>
    </row>
    <row r="42" spans="2:20" ht="23.1" customHeight="1" x14ac:dyDescent="0.25">
      <c r="B42" s="24" t="s">
        <v>69</v>
      </c>
      <c r="C42" s="51">
        <v>0</v>
      </c>
      <c r="D42" s="50">
        <v>2</v>
      </c>
      <c r="E42" s="51">
        <v>4</v>
      </c>
      <c r="F42" s="51">
        <v>0</v>
      </c>
      <c r="G42" s="51">
        <v>0</v>
      </c>
      <c r="H42" s="51">
        <v>2</v>
      </c>
      <c r="I42" s="51">
        <v>0</v>
      </c>
      <c r="J42" s="51">
        <v>0</v>
      </c>
      <c r="K42" s="51">
        <v>0</v>
      </c>
      <c r="L42" s="50">
        <v>0</v>
      </c>
      <c r="M42" s="51">
        <v>1</v>
      </c>
      <c r="N42" s="50">
        <v>0</v>
      </c>
      <c r="O42" s="15">
        <f t="shared" si="0"/>
        <v>8</v>
      </c>
      <c r="P42" s="15">
        <f t="shared" si="1"/>
        <v>9</v>
      </c>
    </row>
    <row r="43" spans="2:20" ht="23.1" customHeight="1" x14ac:dyDescent="0.25">
      <c r="B43" s="23" t="s">
        <v>70</v>
      </c>
      <c r="C43" s="51">
        <v>8</v>
      </c>
      <c r="D43" s="50">
        <v>1</v>
      </c>
      <c r="E43" s="51">
        <v>3</v>
      </c>
      <c r="F43" s="51">
        <v>2</v>
      </c>
      <c r="G43" s="51">
        <v>0</v>
      </c>
      <c r="H43" s="51">
        <v>1</v>
      </c>
      <c r="I43" s="51">
        <v>1</v>
      </c>
      <c r="J43" s="51">
        <v>0</v>
      </c>
      <c r="K43" s="51">
        <v>0</v>
      </c>
      <c r="L43" s="50">
        <v>0</v>
      </c>
      <c r="M43" s="51">
        <v>1</v>
      </c>
      <c r="N43" s="50">
        <v>0</v>
      </c>
      <c r="O43" s="15">
        <f t="shared" si="0"/>
        <v>16</v>
      </c>
      <c r="P43" s="15">
        <f t="shared" si="1"/>
        <v>17</v>
      </c>
    </row>
    <row r="44" spans="2:20" ht="23.1" customHeight="1" x14ac:dyDescent="0.25">
      <c r="B44" s="25" t="s">
        <v>71</v>
      </c>
      <c r="C44" s="51">
        <v>3</v>
      </c>
      <c r="D44" s="50">
        <v>1</v>
      </c>
      <c r="E44" s="51">
        <v>3</v>
      </c>
      <c r="F44" s="51">
        <v>0</v>
      </c>
      <c r="G44" s="51">
        <v>0</v>
      </c>
      <c r="H44" s="51">
        <v>2</v>
      </c>
      <c r="I44" s="51">
        <v>0</v>
      </c>
      <c r="J44" s="51">
        <v>0</v>
      </c>
      <c r="K44" s="51">
        <v>0</v>
      </c>
      <c r="L44" s="50">
        <v>0</v>
      </c>
      <c r="M44" s="51">
        <v>1</v>
      </c>
      <c r="N44" s="50">
        <v>0</v>
      </c>
      <c r="O44" s="15">
        <f t="shared" si="0"/>
        <v>9</v>
      </c>
      <c r="P44" s="15">
        <f t="shared" si="1"/>
        <v>10</v>
      </c>
    </row>
    <row r="45" spans="2:20" ht="23.1" customHeight="1" x14ac:dyDescent="0.25">
      <c r="B45" s="23" t="s">
        <v>72</v>
      </c>
      <c r="C45" s="51">
        <v>2</v>
      </c>
      <c r="D45" s="50">
        <v>2</v>
      </c>
      <c r="E45" s="51">
        <v>4</v>
      </c>
      <c r="F45" s="51">
        <v>2</v>
      </c>
      <c r="G45" s="51">
        <v>0</v>
      </c>
      <c r="H45" s="51">
        <v>2</v>
      </c>
      <c r="I45" s="51">
        <v>1</v>
      </c>
      <c r="J45" s="51">
        <v>0</v>
      </c>
      <c r="K45" s="51">
        <v>0</v>
      </c>
      <c r="L45" s="50">
        <v>1</v>
      </c>
      <c r="M45" s="51">
        <v>4</v>
      </c>
      <c r="N45" s="50">
        <v>0</v>
      </c>
      <c r="O45" s="15">
        <f t="shared" si="0"/>
        <v>14</v>
      </c>
      <c r="P45" s="15">
        <f t="shared" si="1"/>
        <v>18</v>
      </c>
    </row>
    <row r="46" spans="2:20" ht="23.1" customHeight="1" x14ac:dyDescent="0.25">
      <c r="B46" s="24" t="s">
        <v>73</v>
      </c>
      <c r="C46" s="51">
        <v>0</v>
      </c>
      <c r="D46" s="50">
        <v>1</v>
      </c>
      <c r="E46" s="51">
        <v>3</v>
      </c>
      <c r="F46" s="51">
        <v>1</v>
      </c>
      <c r="G46" s="51">
        <v>1</v>
      </c>
      <c r="H46" s="51">
        <v>3</v>
      </c>
      <c r="I46" s="51">
        <v>2</v>
      </c>
      <c r="J46" s="51">
        <v>1</v>
      </c>
      <c r="K46" s="51">
        <v>0</v>
      </c>
      <c r="L46" s="50">
        <v>1</v>
      </c>
      <c r="M46" s="51">
        <v>6</v>
      </c>
      <c r="N46" s="50">
        <v>0</v>
      </c>
      <c r="O46" s="15">
        <f t="shared" si="0"/>
        <v>13</v>
      </c>
      <c r="P46" s="15">
        <f t="shared" si="1"/>
        <v>19</v>
      </c>
      <c r="R46" s="8"/>
      <c r="T46"/>
    </row>
    <row r="47" spans="2:20" ht="23.1" customHeight="1" x14ac:dyDescent="0.25">
      <c r="B47" s="24" t="s">
        <v>74</v>
      </c>
      <c r="C47" s="51">
        <v>3</v>
      </c>
      <c r="D47" s="50">
        <v>1</v>
      </c>
      <c r="E47" s="51">
        <v>2</v>
      </c>
      <c r="F47" s="51">
        <v>4</v>
      </c>
      <c r="G47" s="51">
        <v>0</v>
      </c>
      <c r="H47" s="51">
        <v>1</v>
      </c>
      <c r="I47" s="51">
        <v>0</v>
      </c>
      <c r="J47" s="51">
        <v>0</v>
      </c>
      <c r="K47" s="51">
        <v>0</v>
      </c>
      <c r="L47" s="50">
        <v>1</v>
      </c>
      <c r="M47" s="51">
        <v>5</v>
      </c>
      <c r="N47" s="50">
        <v>0</v>
      </c>
      <c r="O47" s="15">
        <f t="shared" si="0"/>
        <v>12</v>
      </c>
      <c r="P47" s="15">
        <f t="shared" si="1"/>
        <v>17</v>
      </c>
      <c r="R47" s="8"/>
      <c r="T47"/>
    </row>
    <row r="48" spans="2:20" ht="23.1" customHeight="1" x14ac:dyDescent="0.25">
      <c r="B48" s="24" t="s">
        <v>75</v>
      </c>
      <c r="C48" s="51">
        <v>4</v>
      </c>
      <c r="D48" s="50">
        <v>1</v>
      </c>
      <c r="E48" s="51">
        <v>3</v>
      </c>
      <c r="F48" s="51">
        <v>2</v>
      </c>
      <c r="G48" s="51">
        <v>0</v>
      </c>
      <c r="H48" s="51">
        <v>1</v>
      </c>
      <c r="I48" s="51">
        <v>2</v>
      </c>
      <c r="J48" s="51">
        <v>0</v>
      </c>
      <c r="K48" s="51">
        <v>0</v>
      </c>
      <c r="L48" s="50">
        <v>3</v>
      </c>
      <c r="M48" s="51">
        <v>5</v>
      </c>
      <c r="N48" s="50">
        <v>0</v>
      </c>
      <c r="O48" s="15">
        <f t="shared" si="0"/>
        <v>16</v>
      </c>
      <c r="P48" s="15">
        <f t="shared" si="1"/>
        <v>21</v>
      </c>
      <c r="R48" s="8"/>
      <c r="T48"/>
    </row>
    <row r="49" spans="2:20" ht="23.1" customHeight="1" x14ac:dyDescent="0.25">
      <c r="B49" s="23" t="s">
        <v>76</v>
      </c>
      <c r="C49" s="51">
        <v>1</v>
      </c>
      <c r="D49" s="50">
        <v>3</v>
      </c>
      <c r="E49" s="51">
        <v>6</v>
      </c>
      <c r="F49" s="51">
        <v>0</v>
      </c>
      <c r="G49" s="51">
        <v>0</v>
      </c>
      <c r="H49" s="51">
        <v>2</v>
      </c>
      <c r="I49" s="51">
        <v>4</v>
      </c>
      <c r="J49" s="51">
        <v>2</v>
      </c>
      <c r="K49" s="51">
        <v>1</v>
      </c>
      <c r="L49" s="50">
        <v>2</v>
      </c>
      <c r="M49" s="51">
        <v>5</v>
      </c>
      <c r="N49" s="50">
        <v>0</v>
      </c>
      <c r="O49" s="15">
        <f t="shared" si="0"/>
        <v>21</v>
      </c>
      <c r="P49" s="15">
        <f t="shared" si="1"/>
        <v>26</v>
      </c>
      <c r="R49" s="8"/>
      <c r="T49"/>
    </row>
    <row r="50" spans="2:20" ht="23.1" customHeight="1" x14ac:dyDescent="0.25">
      <c r="B50" s="24" t="s">
        <v>77</v>
      </c>
      <c r="C50" s="51">
        <v>2</v>
      </c>
      <c r="D50" s="50">
        <v>1</v>
      </c>
      <c r="E50" s="51">
        <v>3</v>
      </c>
      <c r="F50" s="51">
        <v>3</v>
      </c>
      <c r="G50" s="51">
        <v>0</v>
      </c>
      <c r="H50" s="51">
        <v>0</v>
      </c>
      <c r="I50" s="51">
        <v>0</v>
      </c>
      <c r="J50" s="51">
        <v>1</v>
      </c>
      <c r="K50" s="51">
        <v>0</v>
      </c>
      <c r="L50" s="50">
        <v>1</v>
      </c>
      <c r="M50" s="51">
        <v>7</v>
      </c>
      <c r="N50" s="50">
        <v>0</v>
      </c>
      <c r="O50" s="15">
        <f t="shared" si="0"/>
        <v>11</v>
      </c>
      <c r="P50" s="15">
        <f t="shared" si="1"/>
        <v>18</v>
      </c>
      <c r="R50" s="8"/>
      <c r="T50"/>
    </row>
    <row r="51" spans="2:20" ht="23.1" customHeight="1" x14ac:dyDescent="0.25">
      <c r="B51" s="24" t="s">
        <v>78</v>
      </c>
      <c r="C51" s="51">
        <v>1</v>
      </c>
      <c r="D51" s="50">
        <v>1</v>
      </c>
      <c r="E51" s="51">
        <v>3</v>
      </c>
      <c r="F51" s="51">
        <v>2</v>
      </c>
      <c r="G51" s="51">
        <v>0</v>
      </c>
      <c r="H51" s="51">
        <v>1</v>
      </c>
      <c r="I51" s="51">
        <v>1</v>
      </c>
      <c r="J51" s="51">
        <v>0</v>
      </c>
      <c r="K51" s="51">
        <v>0</v>
      </c>
      <c r="L51" s="50">
        <v>1</v>
      </c>
      <c r="M51" s="51">
        <v>7</v>
      </c>
      <c r="N51" s="50">
        <v>0</v>
      </c>
      <c r="O51" s="15">
        <f t="shared" si="0"/>
        <v>10</v>
      </c>
      <c r="P51" s="15">
        <f t="shared" si="1"/>
        <v>17</v>
      </c>
      <c r="R51" s="8"/>
      <c r="T51"/>
    </row>
    <row r="52" spans="2:20" ht="23.1" customHeight="1" x14ac:dyDescent="0.25">
      <c r="B52" s="24" t="s">
        <v>79</v>
      </c>
      <c r="C52" s="51">
        <v>1</v>
      </c>
      <c r="D52" s="50">
        <v>2</v>
      </c>
      <c r="E52" s="51">
        <v>4</v>
      </c>
      <c r="F52" s="51">
        <v>4</v>
      </c>
      <c r="G52" s="51">
        <v>0</v>
      </c>
      <c r="H52" s="51">
        <v>3</v>
      </c>
      <c r="I52" s="51">
        <v>0</v>
      </c>
      <c r="J52" s="51">
        <v>0</v>
      </c>
      <c r="K52" s="51">
        <v>0</v>
      </c>
      <c r="L52" s="50">
        <v>0</v>
      </c>
      <c r="M52" s="51">
        <v>3</v>
      </c>
      <c r="N52" s="50">
        <v>0</v>
      </c>
      <c r="O52" s="15">
        <f t="shared" si="0"/>
        <v>14</v>
      </c>
      <c r="P52" s="15">
        <f t="shared" si="1"/>
        <v>17</v>
      </c>
      <c r="R52" s="8"/>
      <c r="T52"/>
    </row>
    <row r="53" spans="2:20" ht="23.1" customHeight="1" x14ac:dyDescent="0.25">
      <c r="B53" s="23" t="s">
        <v>80</v>
      </c>
      <c r="C53" s="51">
        <v>1</v>
      </c>
      <c r="D53" s="50">
        <v>2</v>
      </c>
      <c r="E53" s="51">
        <v>3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0">
        <v>4</v>
      </c>
      <c r="M53" s="51">
        <v>9</v>
      </c>
      <c r="N53" s="50">
        <v>0</v>
      </c>
      <c r="O53" s="15">
        <f t="shared" si="0"/>
        <v>10</v>
      </c>
      <c r="P53" s="15">
        <f t="shared" si="1"/>
        <v>19</v>
      </c>
      <c r="R53" s="8"/>
      <c r="T53"/>
    </row>
    <row r="54" spans="2:20" ht="23.1" customHeight="1" x14ac:dyDescent="0.25">
      <c r="B54" s="23" t="s">
        <v>81</v>
      </c>
      <c r="C54" s="51">
        <v>1</v>
      </c>
      <c r="D54" s="50">
        <v>2</v>
      </c>
      <c r="E54" s="51">
        <v>3</v>
      </c>
      <c r="F54" s="51">
        <v>1</v>
      </c>
      <c r="G54" s="51">
        <v>0</v>
      </c>
      <c r="H54" s="51">
        <v>1</v>
      </c>
      <c r="I54" s="51">
        <v>1</v>
      </c>
      <c r="J54" s="51">
        <v>0</v>
      </c>
      <c r="K54" s="51">
        <v>0</v>
      </c>
      <c r="L54" s="50">
        <v>2</v>
      </c>
      <c r="M54" s="51">
        <v>4</v>
      </c>
      <c r="N54" s="50">
        <v>0</v>
      </c>
      <c r="O54" s="15">
        <f t="shared" si="0"/>
        <v>11</v>
      </c>
      <c r="P54" s="15">
        <f t="shared" si="1"/>
        <v>15</v>
      </c>
      <c r="R54" s="8"/>
      <c r="T54"/>
    </row>
    <row r="55" spans="2:20" ht="23.1" customHeight="1" x14ac:dyDescent="0.25">
      <c r="B55" s="23" t="s">
        <v>82</v>
      </c>
      <c r="C55" s="51">
        <v>5</v>
      </c>
      <c r="D55" s="50">
        <v>0</v>
      </c>
      <c r="E55" s="51">
        <v>2</v>
      </c>
      <c r="F55" s="51">
        <v>0</v>
      </c>
      <c r="G55" s="51">
        <v>0</v>
      </c>
      <c r="H55" s="51">
        <v>1</v>
      </c>
      <c r="I55" s="51">
        <v>6</v>
      </c>
      <c r="J55" s="51">
        <v>2</v>
      </c>
      <c r="K55" s="51">
        <v>0</v>
      </c>
      <c r="L55" s="50">
        <v>2</v>
      </c>
      <c r="M55" s="51">
        <v>3</v>
      </c>
      <c r="N55" s="50">
        <v>0</v>
      </c>
      <c r="O55" s="15">
        <f t="shared" si="0"/>
        <v>18</v>
      </c>
      <c r="P55" s="15">
        <f t="shared" si="1"/>
        <v>21</v>
      </c>
      <c r="R55" s="8"/>
      <c r="T55"/>
    </row>
    <row r="56" spans="2:20" ht="23.1" customHeight="1" x14ac:dyDescent="0.25">
      <c r="B56" s="23" t="s">
        <v>83</v>
      </c>
      <c r="C56" s="51">
        <v>2</v>
      </c>
      <c r="D56" s="50">
        <v>1</v>
      </c>
      <c r="E56" s="51">
        <v>2</v>
      </c>
      <c r="F56" s="51">
        <v>3</v>
      </c>
      <c r="G56" s="51">
        <v>0</v>
      </c>
      <c r="H56" s="51">
        <v>1</v>
      </c>
      <c r="I56" s="51">
        <v>3</v>
      </c>
      <c r="J56" s="51">
        <v>1</v>
      </c>
      <c r="K56" s="51">
        <v>0</v>
      </c>
      <c r="L56" s="50">
        <v>0</v>
      </c>
      <c r="M56" s="51">
        <v>2</v>
      </c>
      <c r="N56" s="50">
        <v>0</v>
      </c>
      <c r="O56" s="15">
        <f t="shared" si="0"/>
        <v>13</v>
      </c>
      <c r="P56" s="15">
        <f t="shared" si="1"/>
        <v>15</v>
      </c>
      <c r="R56" s="8"/>
      <c r="T56"/>
    </row>
    <row r="57" spans="2:20" ht="23.1" customHeight="1" x14ac:dyDescent="0.25">
      <c r="B57" s="23" t="s">
        <v>84</v>
      </c>
      <c r="C57" s="51">
        <v>2</v>
      </c>
      <c r="D57" s="50">
        <v>4</v>
      </c>
      <c r="E57" s="51">
        <v>7</v>
      </c>
      <c r="F57" s="50">
        <v>0</v>
      </c>
      <c r="G57" s="50">
        <v>0</v>
      </c>
      <c r="H57" s="50">
        <v>0</v>
      </c>
      <c r="I57" s="51">
        <v>0</v>
      </c>
      <c r="J57" s="51">
        <v>0</v>
      </c>
      <c r="K57" s="51">
        <v>0</v>
      </c>
      <c r="L57" s="50">
        <v>3</v>
      </c>
      <c r="M57" s="51">
        <v>4</v>
      </c>
      <c r="N57" s="50">
        <v>0</v>
      </c>
      <c r="O57" s="15">
        <f t="shared" si="0"/>
        <v>16</v>
      </c>
      <c r="P57" s="15">
        <f t="shared" si="1"/>
        <v>20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90</v>
      </c>
      <c r="D58" s="16">
        <f t="shared" si="21"/>
        <v>58</v>
      </c>
      <c r="E58" s="16">
        <f t="shared" si="21"/>
        <v>143</v>
      </c>
      <c r="F58" s="16">
        <f t="shared" si="21"/>
        <v>82</v>
      </c>
      <c r="G58" s="16">
        <f t="shared" si="21"/>
        <v>4</v>
      </c>
      <c r="H58" s="16">
        <f t="shared" si="21"/>
        <v>37</v>
      </c>
      <c r="I58" s="16">
        <f t="shared" si="21"/>
        <v>75</v>
      </c>
      <c r="J58" s="16">
        <f t="shared" si="21"/>
        <v>18</v>
      </c>
      <c r="K58" s="16">
        <f t="shared" si="21"/>
        <v>3</v>
      </c>
      <c r="L58" s="16">
        <f t="shared" si="21"/>
        <v>46</v>
      </c>
      <c r="M58" s="16">
        <f t="shared" si="21"/>
        <v>188</v>
      </c>
      <c r="N58" s="16">
        <f t="shared" si="21"/>
        <v>0</v>
      </c>
      <c r="O58" s="16">
        <f t="shared" si="21"/>
        <v>556</v>
      </c>
      <c r="P58" s="16">
        <f t="shared" si="21"/>
        <v>744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0.12096774193548387</v>
      </c>
      <c r="D59" s="43">
        <f t="shared" si="22"/>
        <v>7.7956989247311828E-2</v>
      </c>
      <c r="E59" s="43">
        <f t="shared" si="22"/>
        <v>0.19220430107526881</v>
      </c>
      <c r="F59" s="43">
        <f t="shared" si="22"/>
        <v>0.11021505376344086</v>
      </c>
      <c r="G59" s="43">
        <f t="shared" si="22"/>
        <v>5.3763440860215058E-3</v>
      </c>
      <c r="H59" s="43">
        <f t="shared" si="22"/>
        <v>4.9731182795698922E-2</v>
      </c>
      <c r="I59" s="43">
        <f t="shared" si="22"/>
        <v>0.10080645161290322</v>
      </c>
      <c r="J59" s="43">
        <f t="shared" si="22"/>
        <v>2.4193548387096774E-2</v>
      </c>
      <c r="K59" s="43">
        <f t="shared" si="22"/>
        <v>4.0322580645161289E-3</v>
      </c>
      <c r="L59" s="43">
        <f t="shared" si="22"/>
        <v>6.1827956989247312E-2</v>
      </c>
      <c r="M59" s="43">
        <f t="shared" si="22"/>
        <v>0.25268817204301075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0.16187050359712229</v>
      </c>
      <c r="D60" s="44">
        <f t="shared" ref="D60:N60" si="23">D58/$O$58</f>
        <v>0.10431654676258993</v>
      </c>
      <c r="E60" s="44">
        <f t="shared" si="23"/>
        <v>0.25719424460431656</v>
      </c>
      <c r="F60" s="44">
        <f t="shared" si="23"/>
        <v>0.14748201438848921</v>
      </c>
      <c r="G60" s="44">
        <f t="shared" si="23"/>
        <v>7.1942446043165471E-3</v>
      </c>
      <c r="H60" s="44">
        <f t="shared" si="23"/>
        <v>6.654676258992806E-2</v>
      </c>
      <c r="I60" s="44">
        <f t="shared" si="23"/>
        <v>0.13489208633093525</v>
      </c>
      <c r="J60" s="44">
        <f t="shared" si="23"/>
        <v>3.237410071942446E-2</v>
      </c>
      <c r="K60" s="44">
        <f t="shared" si="23"/>
        <v>5.3956834532374104E-3</v>
      </c>
      <c r="L60" s="44">
        <f t="shared" si="23"/>
        <v>8.2733812949640287E-2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126"/>
  <sheetViews>
    <sheetView view="pageBreakPreview" zoomScale="60" workbookViewId="0">
      <selection activeCell="F11" sqref="F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'29.07 Karuma-Kigumba'!C3:G3</f>
        <v>MCC - C5 - STN113 - KIGUMBA-KARUMA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71" t="str">
        <f>'31.07 Kigumba-Karuma'!G5:H5</f>
        <v>nanda</v>
      </c>
      <c r="H5" s="72"/>
      <c r="I5" s="14"/>
      <c r="J5" s="2" t="s">
        <v>5</v>
      </c>
      <c r="K5" s="71" t="str">
        <f>'31.07 Kigumba-Karuma'!K5:L5</f>
        <v>xxx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'29.07 Karuma-Kigumba'!D6:E6</f>
        <v>karuma</v>
      </c>
      <c r="E6" s="72"/>
      <c r="F6" s="2" t="s">
        <v>2</v>
      </c>
      <c r="G6" s="71" t="str">
        <f>'29.07 Karuma-Kigumba'!G6:H6</f>
        <v>kigumba</v>
      </c>
      <c r="H6" s="72"/>
      <c r="J6" s="2" t="s">
        <v>21</v>
      </c>
      <c r="K6" s="71" t="str">
        <f>'31.07 Kigumba-Karuma'!K6:L6</f>
        <v>xxx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1">
        <v>2</v>
      </c>
      <c r="D10" s="50">
        <v>0</v>
      </c>
      <c r="E10" s="51">
        <v>1</v>
      </c>
      <c r="F10" s="51">
        <v>1</v>
      </c>
      <c r="G10" s="51">
        <v>0</v>
      </c>
      <c r="H10" s="51">
        <v>0</v>
      </c>
      <c r="I10" s="51">
        <v>1</v>
      </c>
      <c r="J10" s="51">
        <v>0</v>
      </c>
      <c r="K10" s="51">
        <v>0</v>
      </c>
      <c r="L10" s="50">
        <v>0</v>
      </c>
      <c r="M10" s="51">
        <v>1</v>
      </c>
      <c r="N10" s="51">
        <v>0</v>
      </c>
      <c r="O10" s="15">
        <f t="shared" ref="O10:O57" si="0">SUM(C10:L10,N10)</f>
        <v>5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4</v>
      </c>
      <c r="T10" s="17">
        <f t="shared" si="2"/>
        <v>3</v>
      </c>
      <c r="U10" s="17">
        <f t="shared" si="2"/>
        <v>7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1</v>
      </c>
      <c r="AA10" s="17">
        <f t="shared" si="2"/>
        <v>1</v>
      </c>
      <c r="AB10" s="17">
        <f t="shared" si="2"/>
        <v>3</v>
      </c>
      <c r="AC10" s="17">
        <f t="shared" si="2"/>
        <v>13</v>
      </c>
      <c r="AD10" s="17">
        <f t="shared" si="2"/>
        <v>0</v>
      </c>
      <c r="AE10" s="31">
        <f t="shared" si="2"/>
        <v>26</v>
      </c>
      <c r="AF10" s="31">
        <f t="shared" si="2"/>
        <v>39</v>
      </c>
    </row>
    <row r="11" spans="2:32" s="6" customFormat="1" ht="23.1" customHeight="1" x14ac:dyDescent="0.25">
      <c r="B11" s="23" t="s">
        <v>38</v>
      </c>
      <c r="C11" s="51">
        <v>1</v>
      </c>
      <c r="D11" s="50">
        <v>1</v>
      </c>
      <c r="E11" s="51">
        <v>2</v>
      </c>
      <c r="F11" s="51">
        <v>1</v>
      </c>
      <c r="G11" s="51">
        <v>0</v>
      </c>
      <c r="H11" s="51">
        <v>0</v>
      </c>
      <c r="I11" s="51">
        <v>1</v>
      </c>
      <c r="J11" s="51">
        <v>1</v>
      </c>
      <c r="K11" s="51">
        <v>1</v>
      </c>
      <c r="L11" s="50">
        <v>1</v>
      </c>
      <c r="M11" s="51">
        <v>6</v>
      </c>
      <c r="N11" s="51">
        <v>0</v>
      </c>
      <c r="O11" s="15">
        <f t="shared" si="0"/>
        <v>9</v>
      </c>
      <c r="P11" s="15">
        <f t="shared" si="1"/>
        <v>15</v>
      </c>
      <c r="R11" s="1" t="s">
        <v>7</v>
      </c>
      <c r="S11" s="17">
        <f t="shared" ref="S11:AF11" si="3">SUM(C14:C17)</f>
        <v>1</v>
      </c>
      <c r="T11" s="17">
        <f t="shared" si="3"/>
        <v>5</v>
      </c>
      <c r="U11" s="17">
        <f t="shared" si="3"/>
        <v>6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1</v>
      </c>
      <c r="AC11" s="17">
        <f t="shared" si="3"/>
        <v>8</v>
      </c>
      <c r="AD11" s="17">
        <f t="shared" si="3"/>
        <v>0</v>
      </c>
      <c r="AE11" s="31">
        <f t="shared" si="3"/>
        <v>17</v>
      </c>
      <c r="AF11" s="31">
        <f t="shared" si="3"/>
        <v>25</v>
      </c>
    </row>
    <row r="12" spans="2:32" ht="23.1" customHeight="1" x14ac:dyDescent="0.25">
      <c r="B12" s="23" t="s">
        <v>39</v>
      </c>
      <c r="C12" s="51">
        <v>0</v>
      </c>
      <c r="D12" s="50">
        <v>0</v>
      </c>
      <c r="E12" s="51">
        <v>1</v>
      </c>
      <c r="F12" s="51">
        <v>1</v>
      </c>
      <c r="G12" s="51">
        <v>0</v>
      </c>
      <c r="H12" s="51">
        <v>0</v>
      </c>
      <c r="I12" s="51">
        <v>1</v>
      </c>
      <c r="J12" s="51">
        <v>0</v>
      </c>
      <c r="K12" s="51">
        <v>0</v>
      </c>
      <c r="L12" s="50">
        <v>1</v>
      </c>
      <c r="M12" s="51">
        <v>2</v>
      </c>
      <c r="N12" s="51">
        <v>0</v>
      </c>
      <c r="O12" s="15">
        <f t="shared" si="0"/>
        <v>4</v>
      </c>
      <c r="P12" s="15">
        <f t="shared" si="1"/>
        <v>6</v>
      </c>
      <c r="R12" s="1" t="s">
        <v>8</v>
      </c>
      <c r="S12" s="17">
        <f t="shared" ref="S12:AF12" si="4">SUM(C18:C21)</f>
        <v>7</v>
      </c>
      <c r="T12" s="17">
        <f t="shared" si="4"/>
        <v>5</v>
      </c>
      <c r="U12" s="17">
        <f t="shared" si="4"/>
        <v>7</v>
      </c>
      <c r="V12" s="17">
        <f t="shared" si="4"/>
        <v>2</v>
      </c>
      <c r="W12" s="17">
        <f t="shared" si="4"/>
        <v>1</v>
      </c>
      <c r="X12" s="17">
        <f t="shared" si="4"/>
        <v>3</v>
      </c>
      <c r="Y12" s="17">
        <f t="shared" si="4"/>
        <v>3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13</v>
      </c>
      <c r="AD12" s="17">
        <f t="shared" si="4"/>
        <v>0</v>
      </c>
      <c r="AE12" s="31">
        <f t="shared" si="4"/>
        <v>29</v>
      </c>
      <c r="AF12" s="31">
        <f t="shared" si="4"/>
        <v>42</v>
      </c>
    </row>
    <row r="13" spans="2:32" ht="23.1" customHeight="1" x14ac:dyDescent="0.25">
      <c r="B13" s="23" t="s">
        <v>40</v>
      </c>
      <c r="C13" s="51">
        <v>1</v>
      </c>
      <c r="D13" s="50">
        <v>2</v>
      </c>
      <c r="E13" s="51">
        <v>3</v>
      </c>
      <c r="F13" s="51">
        <v>1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0">
        <v>1</v>
      </c>
      <c r="M13" s="51">
        <v>4</v>
      </c>
      <c r="N13" s="51">
        <v>0</v>
      </c>
      <c r="O13" s="15">
        <f t="shared" si="0"/>
        <v>8</v>
      </c>
      <c r="P13" s="15">
        <f t="shared" si="1"/>
        <v>12</v>
      </c>
      <c r="R13" s="1" t="s">
        <v>9</v>
      </c>
      <c r="S13" s="17">
        <f t="shared" ref="S13:AF13" si="5">SUM(C22:C25)</f>
        <v>7</v>
      </c>
      <c r="T13" s="17">
        <f t="shared" si="5"/>
        <v>14</v>
      </c>
      <c r="U13" s="17">
        <f t="shared" si="5"/>
        <v>16</v>
      </c>
      <c r="V13" s="17">
        <f t="shared" si="5"/>
        <v>6</v>
      </c>
      <c r="W13" s="17">
        <f t="shared" si="5"/>
        <v>0</v>
      </c>
      <c r="X13" s="17">
        <f t="shared" si="5"/>
        <v>2</v>
      </c>
      <c r="Y13" s="17">
        <f t="shared" si="5"/>
        <v>4</v>
      </c>
      <c r="Z13" s="17">
        <f t="shared" si="5"/>
        <v>0</v>
      </c>
      <c r="AA13" s="17">
        <f t="shared" si="5"/>
        <v>0</v>
      </c>
      <c r="AB13" s="17">
        <f t="shared" si="5"/>
        <v>3</v>
      </c>
      <c r="AC13" s="17">
        <f t="shared" si="5"/>
        <v>11</v>
      </c>
      <c r="AD13" s="17">
        <f t="shared" si="5"/>
        <v>0</v>
      </c>
      <c r="AE13" s="31">
        <f t="shared" si="5"/>
        <v>52</v>
      </c>
      <c r="AF13" s="31">
        <f t="shared" si="5"/>
        <v>63</v>
      </c>
    </row>
    <row r="14" spans="2:32" ht="23.1" customHeight="1" x14ac:dyDescent="0.25">
      <c r="B14" s="23" t="s">
        <v>41</v>
      </c>
      <c r="C14" s="51">
        <v>0</v>
      </c>
      <c r="D14" s="50">
        <v>1</v>
      </c>
      <c r="E14" s="51">
        <v>1</v>
      </c>
      <c r="F14" s="51">
        <v>1</v>
      </c>
      <c r="G14" s="51">
        <v>0</v>
      </c>
      <c r="H14" s="51">
        <v>0</v>
      </c>
      <c r="I14" s="51">
        <v>1</v>
      </c>
      <c r="J14" s="51">
        <v>0</v>
      </c>
      <c r="K14" s="51">
        <v>0</v>
      </c>
      <c r="L14" s="50">
        <v>1</v>
      </c>
      <c r="M14" s="51">
        <v>2</v>
      </c>
      <c r="N14" s="51">
        <v>0</v>
      </c>
      <c r="O14" s="15">
        <f t="shared" si="0"/>
        <v>5</v>
      </c>
      <c r="P14" s="15">
        <f t="shared" si="1"/>
        <v>7</v>
      </c>
      <c r="R14" s="1" t="s">
        <v>10</v>
      </c>
      <c r="S14" s="17">
        <f t="shared" ref="S14:AF14" si="6">SUM(C26:C29)</f>
        <v>8</v>
      </c>
      <c r="T14" s="17">
        <f t="shared" si="6"/>
        <v>6</v>
      </c>
      <c r="U14" s="17">
        <f t="shared" si="6"/>
        <v>10</v>
      </c>
      <c r="V14" s="17">
        <f t="shared" si="6"/>
        <v>7</v>
      </c>
      <c r="W14" s="17">
        <f t="shared" si="6"/>
        <v>1</v>
      </c>
      <c r="X14" s="17">
        <f t="shared" si="6"/>
        <v>6</v>
      </c>
      <c r="Y14" s="17">
        <f t="shared" si="6"/>
        <v>7</v>
      </c>
      <c r="Z14" s="17">
        <f t="shared" si="6"/>
        <v>0</v>
      </c>
      <c r="AA14" s="17">
        <f t="shared" si="6"/>
        <v>0</v>
      </c>
      <c r="AB14" s="17">
        <f t="shared" si="6"/>
        <v>5</v>
      </c>
      <c r="AC14" s="17">
        <f t="shared" si="6"/>
        <v>10</v>
      </c>
      <c r="AD14" s="17">
        <f t="shared" si="6"/>
        <v>0</v>
      </c>
      <c r="AE14" s="31">
        <f t="shared" si="6"/>
        <v>50</v>
      </c>
      <c r="AF14" s="31">
        <f t="shared" si="6"/>
        <v>60</v>
      </c>
    </row>
    <row r="15" spans="2:32" ht="23.1" customHeight="1" x14ac:dyDescent="0.25">
      <c r="B15" s="23" t="s">
        <v>42</v>
      </c>
      <c r="C15" s="51">
        <v>1</v>
      </c>
      <c r="D15" s="50">
        <v>1</v>
      </c>
      <c r="E15" s="51">
        <v>2</v>
      </c>
      <c r="F15" s="51">
        <v>2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0">
        <v>0</v>
      </c>
      <c r="M15" s="51">
        <v>1</v>
      </c>
      <c r="N15" s="51">
        <v>0</v>
      </c>
      <c r="O15" s="15">
        <f t="shared" si="0"/>
        <v>6</v>
      </c>
      <c r="P15" s="15">
        <f t="shared" si="1"/>
        <v>7</v>
      </c>
      <c r="R15" s="1" t="s">
        <v>11</v>
      </c>
      <c r="S15" s="17">
        <f t="shared" ref="S15:AF15" si="7">SUM(C30:C33)</f>
        <v>2</v>
      </c>
      <c r="T15" s="17">
        <f t="shared" si="7"/>
        <v>10</v>
      </c>
      <c r="U15" s="17">
        <f t="shared" si="7"/>
        <v>13</v>
      </c>
      <c r="V15" s="17">
        <f t="shared" si="7"/>
        <v>7</v>
      </c>
      <c r="W15" s="17">
        <f t="shared" si="7"/>
        <v>0</v>
      </c>
      <c r="X15" s="17">
        <f t="shared" si="7"/>
        <v>4</v>
      </c>
      <c r="Y15" s="17">
        <f t="shared" si="7"/>
        <v>9</v>
      </c>
      <c r="Z15" s="17">
        <f t="shared" si="7"/>
        <v>0</v>
      </c>
      <c r="AA15" s="17">
        <f t="shared" si="7"/>
        <v>0</v>
      </c>
      <c r="AB15" s="17">
        <f t="shared" si="7"/>
        <v>6</v>
      </c>
      <c r="AC15" s="17">
        <f t="shared" si="7"/>
        <v>11</v>
      </c>
      <c r="AD15" s="17">
        <f t="shared" si="7"/>
        <v>0</v>
      </c>
      <c r="AE15" s="31">
        <f t="shared" si="7"/>
        <v>51</v>
      </c>
      <c r="AF15" s="31">
        <f t="shared" si="7"/>
        <v>62</v>
      </c>
    </row>
    <row r="16" spans="2:32" ht="23.1" customHeight="1" x14ac:dyDescent="0.25">
      <c r="B16" s="23" t="s">
        <v>43</v>
      </c>
      <c r="C16" s="51">
        <v>0</v>
      </c>
      <c r="D16" s="50">
        <v>2</v>
      </c>
      <c r="E16" s="51">
        <v>2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0">
        <v>0</v>
      </c>
      <c r="M16" s="51">
        <v>3</v>
      </c>
      <c r="N16" s="51">
        <v>0</v>
      </c>
      <c r="O16" s="15">
        <f t="shared" si="0"/>
        <v>4</v>
      </c>
      <c r="P16" s="15">
        <f t="shared" si="1"/>
        <v>7</v>
      </c>
      <c r="R16" s="1" t="s">
        <v>12</v>
      </c>
      <c r="S16" s="17">
        <f t="shared" ref="S16:AF16" si="8">SUM(C34:C37)</f>
        <v>7</v>
      </c>
      <c r="T16" s="17">
        <f t="shared" si="8"/>
        <v>10</v>
      </c>
      <c r="U16" s="17">
        <f t="shared" si="8"/>
        <v>11</v>
      </c>
      <c r="V16" s="17">
        <f t="shared" si="8"/>
        <v>3</v>
      </c>
      <c r="W16" s="17">
        <f t="shared" si="8"/>
        <v>1</v>
      </c>
      <c r="X16" s="17">
        <f t="shared" si="8"/>
        <v>5</v>
      </c>
      <c r="Y16" s="17">
        <f t="shared" si="8"/>
        <v>10</v>
      </c>
      <c r="Z16" s="17">
        <f t="shared" si="8"/>
        <v>0</v>
      </c>
      <c r="AA16" s="17">
        <f t="shared" si="8"/>
        <v>1</v>
      </c>
      <c r="AB16" s="17">
        <f t="shared" si="8"/>
        <v>3</v>
      </c>
      <c r="AC16" s="17">
        <f t="shared" si="8"/>
        <v>9</v>
      </c>
      <c r="AD16" s="17">
        <f t="shared" si="8"/>
        <v>0</v>
      </c>
      <c r="AE16" s="31">
        <f t="shared" si="8"/>
        <v>51</v>
      </c>
      <c r="AF16" s="31">
        <f t="shared" si="8"/>
        <v>60</v>
      </c>
    </row>
    <row r="17" spans="2:32" ht="23.1" customHeight="1" x14ac:dyDescent="0.25">
      <c r="B17" s="23" t="s">
        <v>44</v>
      </c>
      <c r="C17" s="51">
        <v>0</v>
      </c>
      <c r="D17" s="50">
        <v>1</v>
      </c>
      <c r="E17" s="51">
        <v>1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0">
        <v>0</v>
      </c>
      <c r="M17" s="51">
        <v>2</v>
      </c>
      <c r="N17" s="51">
        <v>0</v>
      </c>
      <c r="O17" s="15">
        <f t="shared" si="0"/>
        <v>2</v>
      </c>
      <c r="P17" s="15">
        <f t="shared" si="1"/>
        <v>4</v>
      </c>
      <c r="R17" s="1" t="s">
        <v>13</v>
      </c>
      <c r="S17" s="17">
        <f t="shared" ref="S17:AF17" si="9">SUM(C38:C41)</f>
        <v>7</v>
      </c>
      <c r="T17" s="17">
        <f t="shared" si="9"/>
        <v>8</v>
      </c>
      <c r="U17" s="17">
        <f t="shared" si="9"/>
        <v>9</v>
      </c>
      <c r="V17" s="17">
        <f t="shared" si="9"/>
        <v>6</v>
      </c>
      <c r="W17" s="17">
        <f t="shared" si="9"/>
        <v>0</v>
      </c>
      <c r="X17" s="17">
        <f t="shared" si="9"/>
        <v>4</v>
      </c>
      <c r="Y17" s="17">
        <f t="shared" si="9"/>
        <v>10</v>
      </c>
      <c r="Z17" s="17">
        <f t="shared" si="9"/>
        <v>2</v>
      </c>
      <c r="AA17" s="17">
        <f t="shared" si="9"/>
        <v>1</v>
      </c>
      <c r="AB17" s="17">
        <f t="shared" si="9"/>
        <v>8</v>
      </c>
      <c r="AC17" s="17">
        <f t="shared" si="9"/>
        <v>8</v>
      </c>
      <c r="AD17" s="17">
        <f t="shared" si="9"/>
        <v>0</v>
      </c>
      <c r="AE17" s="31">
        <f t="shared" si="9"/>
        <v>55</v>
      </c>
      <c r="AF17" s="31">
        <f t="shared" si="9"/>
        <v>63</v>
      </c>
    </row>
    <row r="18" spans="2:32" ht="23.1" customHeight="1" x14ac:dyDescent="0.25">
      <c r="B18" s="23" t="s">
        <v>45</v>
      </c>
      <c r="C18" s="51">
        <v>3</v>
      </c>
      <c r="D18" s="50">
        <v>2</v>
      </c>
      <c r="E18" s="51">
        <v>2</v>
      </c>
      <c r="F18" s="51">
        <v>0</v>
      </c>
      <c r="G18" s="51">
        <v>0</v>
      </c>
      <c r="H18" s="51">
        <v>2</v>
      </c>
      <c r="I18" s="51">
        <v>2</v>
      </c>
      <c r="J18" s="51">
        <v>0</v>
      </c>
      <c r="K18" s="51">
        <v>0</v>
      </c>
      <c r="L18" s="50">
        <v>0</v>
      </c>
      <c r="M18" s="51">
        <v>3</v>
      </c>
      <c r="N18" s="51">
        <v>0</v>
      </c>
      <c r="O18" s="15">
        <f t="shared" si="0"/>
        <v>11</v>
      </c>
      <c r="P18" s="15">
        <f t="shared" si="1"/>
        <v>14</v>
      </c>
      <c r="R18" s="1" t="s">
        <v>14</v>
      </c>
      <c r="S18" s="17">
        <f t="shared" ref="S18:AF18" si="10">SUM(C42:C45)</f>
        <v>9</v>
      </c>
      <c r="T18" s="17">
        <f t="shared" si="10"/>
        <v>11</v>
      </c>
      <c r="U18" s="17">
        <f t="shared" si="10"/>
        <v>12</v>
      </c>
      <c r="V18" s="17">
        <f t="shared" si="10"/>
        <v>5</v>
      </c>
      <c r="W18" s="17">
        <f t="shared" si="10"/>
        <v>1</v>
      </c>
      <c r="X18" s="17">
        <f t="shared" si="10"/>
        <v>7</v>
      </c>
      <c r="Y18" s="17">
        <f t="shared" si="10"/>
        <v>9</v>
      </c>
      <c r="Z18" s="17">
        <f t="shared" si="10"/>
        <v>0</v>
      </c>
      <c r="AA18" s="17">
        <f t="shared" si="10"/>
        <v>0</v>
      </c>
      <c r="AB18" s="17">
        <f t="shared" si="10"/>
        <v>4</v>
      </c>
      <c r="AC18" s="17">
        <f t="shared" si="10"/>
        <v>9</v>
      </c>
      <c r="AD18" s="17">
        <f t="shared" si="10"/>
        <v>0</v>
      </c>
      <c r="AE18" s="31">
        <f t="shared" si="10"/>
        <v>58</v>
      </c>
      <c r="AF18" s="31">
        <f t="shared" si="10"/>
        <v>67</v>
      </c>
    </row>
    <row r="19" spans="2:32" ht="23.1" customHeight="1" x14ac:dyDescent="0.25">
      <c r="B19" s="23" t="s">
        <v>46</v>
      </c>
      <c r="C19" s="51">
        <v>0</v>
      </c>
      <c r="D19" s="50">
        <v>1</v>
      </c>
      <c r="E19" s="51">
        <v>2</v>
      </c>
      <c r="F19" s="51">
        <v>0</v>
      </c>
      <c r="G19" s="51">
        <v>0</v>
      </c>
      <c r="H19" s="51">
        <v>0</v>
      </c>
      <c r="I19" s="51">
        <v>0</v>
      </c>
      <c r="J19" s="51">
        <v>1</v>
      </c>
      <c r="K19" s="51">
        <v>0</v>
      </c>
      <c r="L19" s="50">
        <v>0</v>
      </c>
      <c r="M19" s="51">
        <v>5</v>
      </c>
      <c r="N19" s="51">
        <v>0</v>
      </c>
      <c r="O19" s="15">
        <f t="shared" si="0"/>
        <v>4</v>
      </c>
      <c r="P19" s="15">
        <f t="shared" si="1"/>
        <v>9</v>
      </c>
      <c r="R19" s="1" t="s">
        <v>15</v>
      </c>
      <c r="S19" s="17">
        <f t="shared" ref="S19:AF19" si="11">SUM(C46:C49)</f>
        <v>10</v>
      </c>
      <c r="T19" s="17">
        <f t="shared" si="11"/>
        <v>11</v>
      </c>
      <c r="U19" s="17">
        <f t="shared" si="11"/>
        <v>13</v>
      </c>
      <c r="V19" s="17">
        <f t="shared" si="11"/>
        <v>5</v>
      </c>
      <c r="W19" s="17">
        <f t="shared" si="11"/>
        <v>0</v>
      </c>
      <c r="X19" s="17">
        <f t="shared" si="11"/>
        <v>3</v>
      </c>
      <c r="Y19" s="17">
        <f t="shared" si="11"/>
        <v>10</v>
      </c>
      <c r="Z19" s="17">
        <f t="shared" si="11"/>
        <v>1</v>
      </c>
      <c r="AA19" s="17">
        <f t="shared" si="11"/>
        <v>1</v>
      </c>
      <c r="AB19" s="17">
        <f t="shared" si="11"/>
        <v>8</v>
      </c>
      <c r="AC19" s="17">
        <f t="shared" si="11"/>
        <v>23</v>
      </c>
      <c r="AD19" s="17">
        <f t="shared" si="11"/>
        <v>1</v>
      </c>
      <c r="AE19" s="31">
        <f t="shared" si="11"/>
        <v>63</v>
      </c>
      <c r="AF19" s="31">
        <f t="shared" si="11"/>
        <v>86</v>
      </c>
    </row>
    <row r="20" spans="2:32" ht="23.1" customHeight="1" x14ac:dyDescent="0.25">
      <c r="B20" s="23" t="s">
        <v>47</v>
      </c>
      <c r="C20" s="51">
        <v>2</v>
      </c>
      <c r="D20" s="50">
        <v>1</v>
      </c>
      <c r="E20" s="51">
        <v>2</v>
      </c>
      <c r="F20" s="51">
        <v>0</v>
      </c>
      <c r="G20" s="51">
        <v>0</v>
      </c>
      <c r="H20" s="51">
        <v>1</v>
      </c>
      <c r="I20" s="51">
        <v>1</v>
      </c>
      <c r="J20" s="51">
        <v>0</v>
      </c>
      <c r="K20" s="51">
        <v>0</v>
      </c>
      <c r="L20" s="50">
        <v>0</v>
      </c>
      <c r="M20" s="51">
        <v>4</v>
      </c>
      <c r="N20" s="51">
        <v>0</v>
      </c>
      <c r="O20" s="15">
        <f t="shared" si="0"/>
        <v>7</v>
      </c>
      <c r="P20" s="15">
        <f t="shared" si="1"/>
        <v>11</v>
      </c>
      <c r="R20" s="1" t="s">
        <v>16</v>
      </c>
      <c r="S20" s="17">
        <f t="shared" ref="S20:AF20" si="12">SUM(C50:C53)</f>
        <v>7</v>
      </c>
      <c r="T20" s="17">
        <f t="shared" si="12"/>
        <v>10</v>
      </c>
      <c r="U20" s="17">
        <f t="shared" si="12"/>
        <v>12</v>
      </c>
      <c r="V20" s="17">
        <f t="shared" si="12"/>
        <v>7</v>
      </c>
      <c r="W20" s="17">
        <f t="shared" si="12"/>
        <v>0</v>
      </c>
      <c r="X20" s="17">
        <f t="shared" si="12"/>
        <v>6</v>
      </c>
      <c r="Y20" s="17">
        <f t="shared" si="12"/>
        <v>9</v>
      </c>
      <c r="Z20" s="17">
        <f t="shared" si="12"/>
        <v>6</v>
      </c>
      <c r="AA20" s="17">
        <f t="shared" si="12"/>
        <v>2</v>
      </c>
      <c r="AB20" s="17">
        <f t="shared" si="12"/>
        <v>5</v>
      </c>
      <c r="AC20" s="17">
        <f t="shared" si="12"/>
        <v>23</v>
      </c>
      <c r="AD20" s="17">
        <f t="shared" si="12"/>
        <v>0</v>
      </c>
      <c r="AE20" s="31">
        <f t="shared" si="12"/>
        <v>64</v>
      </c>
      <c r="AF20" s="31">
        <f t="shared" si="12"/>
        <v>87</v>
      </c>
    </row>
    <row r="21" spans="2:32" ht="23.1" customHeight="1" x14ac:dyDescent="0.25">
      <c r="B21" s="23" t="s">
        <v>48</v>
      </c>
      <c r="C21" s="51">
        <v>2</v>
      </c>
      <c r="D21" s="50">
        <v>1</v>
      </c>
      <c r="E21" s="51">
        <v>1</v>
      </c>
      <c r="F21" s="51">
        <v>2</v>
      </c>
      <c r="G21" s="51">
        <v>1</v>
      </c>
      <c r="H21" s="51">
        <v>0</v>
      </c>
      <c r="I21" s="51">
        <v>0</v>
      </c>
      <c r="J21" s="51">
        <v>0</v>
      </c>
      <c r="K21" s="51">
        <v>0</v>
      </c>
      <c r="L21" s="50">
        <v>0</v>
      </c>
      <c r="M21" s="51">
        <v>1</v>
      </c>
      <c r="N21" s="51">
        <v>0</v>
      </c>
      <c r="O21" s="15">
        <f t="shared" si="0"/>
        <v>7</v>
      </c>
      <c r="P21" s="15">
        <f t="shared" si="1"/>
        <v>8</v>
      </c>
      <c r="R21" s="36" t="s">
        <v>20</v>
      </c>
      <c r="S21" s="34">
        <f t="shared" ref="S21:AF21" si="13">SUM(C54:C57)</f>
        <v>8</v>
      </c>
      <c r="T21" s="17">
        <f t="shared" si="13"/>
        <v>11</v>
      </c>
      <c r="U21" s="17">
        <f t="shared" si="13"/>
        <v>12</v>
      </c>
      <c r="V21" s="17">
        <f t="shared" si="13"/>
        <v>4</v>
      </c>
      <c r="W21" s="17">
        <f t="shared" si="13"/>
        <v>0</v>
      </c>
      <c r="X21" s="17">
        <f t="shared" si="13"/>
        <v>3</v>
      </c>
      <c r="Y21" s="17">
        <f t="shared" si="13"/>
        <v>11</v>
      </c>
      <c r="Z21" s="17">
        <f t="shared" si="13"/>
        <v>3</v>
      </c>
      <c r="AA21" s="17">
        <f t="shared" si="13"/>
        <v>1</v>
      </c>
      <c r="AB21" s="17">
        <f t="shared" si="13"/>
        <v>11</v>
      </c>
      <c r="AC21" s="17">
        <f t="shared" si="13"/>
        <v>25</v>
      </c>
      <c r="AD21" s="17">
        <f t="shared" si="13"/>
        <v>0</v>
      </c>
      <c r="AE21" s="31">
        <f t="shared" si="13"/>
        <v>64</v>
      </c>
      <c r="AF21" s="31">
        <f t="shared" si="13"/>
        <v>89</v>
      </c>
    </row>
    <row r="22" spans="2:32" ht="23.1" customHeight="1" x14ac:dyDescent="0.25">
      <c r="B22" s="23" t="s">
        <v>49</v>
      </c>
      <c r="C22" s="51">
        <v>1</v>
      </c>
      <c r="D22" s="50">
        <v>5</v>
      </c>
      <c r="E22" s="51">
        <v>5</v>
      </c>
      <c r="F22" s="51">
        <v>1</v>
      </c>
      <c r="G22" s="51">
        <v>0</v>
      </c>
      <c r="H22" s="51">
        <v>1</v>
      </c>
      <c r="I22" s="51">
        <v>1</v>
      </c>
      <c r="J22" s="51">
        <v>0</v>
      </c>
      <c r="K22" s="51">
        <v>0</v>
      </c>
      <c r="L22" s="50">
        <v>0</v>
      </c>
      <c r="M22" s="51">
        <v>5</v>
      </c>
      <c r="N22" s="51">
        <v>0</v>
      </c>
      <c r="O22" s="15">
        <f t="shared" si="0"/>
        <v>14</v>
      </c>
      <c r="P22" s="15">
        <f t="shared" si="1"/>
        <v>19</v>
      </c>
      <c r="R22" s="38" t="s">
        <v>90</v>
      </c>
      <c r="S22" s="39">
        <f>MAX(S10:S12)</f>
        <v>7</v>
      </c>
      <c r="T22" s="39">
        <f t="shared" ref="T22:AF22" si="14">MAX(T10:T12)</f>
        <v>5</v>
      </c>
      <c r="U22" s="39">
        <f t="shared" si="14"/>
        <v>7</v>
      </c>
      <c r="V22" s="39">
        <f t="shared" si="14"/>
        <v>4</v>
      </c>
      <c r="W22" s="39">
        <f t="shared" si="14"/>
        <v>1</v>
      </c>
      <c r="X22" s="39">
        <f t="shared" si="14"/>
        <v>3</v>
      </c>
      <c r="Y22" s="39">
        <f t="shared" si="14"/>
        <v>3</v>
      </c>
      <c r="Z22" s="39">
        <f t="shared" si="14"/>
        <v>1</v>
      </c>
      <c r="AA22" s="39">
        <f t="shared" si="14"/>
        <v>1</v>
      </c>
      <c r="AB22" s="39">
        <f t="shared" si="14"/>
        <v>3</v>
      </c>
      <c r="AC22" s="39">
        <f t="shared" si="14"/>
        <v>13</v>
      </c>
      <c r="AD22" s="39">
        <f t="shared" si="14"/>
        <v>0</v>
      </c>
      <c r="AE22" s="40">
        <f t="shared" si="14"/>
        <v>29</v>
      </c>
      <c r="AF22" s="40">
        <f t="shared" si="14"/>
        <v>42</v>
      </c>
    </row>
    <row r="23" spans="2:32" ht="23.1" customHeight="1" x14ac:dyDescent="0.25">
      <c r="B23" s="23" t="s">
        <v>50</v>
      </c>
      <c r="C23" s="51">
        <v>1</v>
      </c>
      <c r="D23" s="50">
        <v>2</v>
      </c>
      <c r="E23" s="51">
        <v>3</v>
      </c>
      <c r="F23" s="51">
        <v>1</v>
      </c>
      <c r="G23" s="51">
        <v>0</v>
      </c>
      <c r="H23" s="51">
        <v>0</v>
      </c>
      <c r="I23" s="51">
        <v>2</v>
      </c>
      <c r="J23" s="51">
        <v>0</v>
      </c>
      <c r="K23" s="51">
        <v>0</v>
      </c>
      <c r="L23" s="50">
        <v>1</v>
      </c>
      <c r="M23" s="51">
        <v>1</v>
      </c>
      <c r="N23" s="51">
        <v>0</v>
      </c>
      <c r="O23" s="15">
        <f t="shared" si="0"/>
        <v>10</v>
      </c>
      <c r="P23" s="15">
        <f t="shared" si="1"/>
        <v>11</v>
      </c>
      <c r="R23" s="38" t="s">
        <v>91</v>
      </c>
      <c r="S23" s="39">
        <f>MAX(S13:S18)</f>
        <v>9</v>
      </c>
      <c r="T23" s="39">
        <f t="shared" ref="T23:AF23" si="15">MAX(T13:T18)</f>
        <v>14</v>
      </c>
      <c r="U23" s="39">
        <f t="shared" si="15"/>
        <v>16</v>
      </c>
      <c r="V23" s="39">
        <f t="shared" si="15"/>
        <v>7</v>
      </c>
      <c r="W23" s="39">
        <f t="shared" si="15"/>
        <v>1</v>
      </c>
      <c r="X23" s="39">
        <f t="shared" si="15"/>
        <v>7</v>
      </c>
      <c r="Y23" s="39">
        <f t="shared" si="15"/>
        <v>10</v>
      </c>
      <c r="Z23" s="39">
        <f t="shared" si="15"/>
        <v>2</v>
      </c>
      <c r="AA23" s="39">
        <f t="shared" si="15"/>
        <v>1</v>
      </c>
      <c r="AB23" s="39">
        <f t="shared" si="15"/>
        <v>8</v>
      </c>
      <c r="AC23" s="39">
        <f t="shared" si="15"/>
        <v>11</v>
      </c>
      <c r="AD23" s="39">
        <f t="shared" si="15"/>
        <v>0</v>
      </c>
      <c r="AE23" s="40">
        <f t="shared" si="15"/>
        <v>58</v>
      </c>
      <c r="AF23" s="40">
        <f t="shared" si="15"/>
        <v>67</v>
      </c>
    </row>
    <row r="24" spans="2:32" ht="23.1" customHeight="1" x14ac:dyDescent="0.25">
      <c r="B24" s="23" t="s">
        <v>51</v>
      </c>
      <c r="C24" s="51">
        <v>4</v>
      </c>
      <c r="D24" s="50">
        <v>5</v>
      </c>
      <c r="E24" s="51">
        <v>5</v>
      </c>
      <c r="F24" s="51">
        <v>2</v>
      </c>
      <c r="G24" s="51">
        <v>0</v>
      </c>
      <c r="H24" s="51">
        <v>0</v>
      </c>
      <c r="I24" s="51">
        <v>1</v>
      </c>
      <c r="J24" s="51">
        <v>0</v>
      </c>
      <c r="K24" s="51">
        <v>0</v>
      </c>
      <c r="L24" s="50">
        <v>0</v>
      </c>
      <c r="M24" s="51">
        <v>3</v>
      </c>
      <c r="N24" s="51">
        <v>0</v>
      </c>
      <c r="O24" s="15">
        <f t="shared" si="0"/>
        <v>17</v>
      </c>
      <c r="P24" s="15">
        <f t="shared" si="1"/>
        <v>20</v>
      </c>
      <c r="R24" s="38" t="s">
        <v>92</v>
      </c>
      <c r="S24" s="39">
        <f>MAX(S19:S21)</f>
        <v>10</v>
      </c>
      <c r="T24" s="39">
        <f t="shared" ref="T24:AF24" si="16">MAX(T19:T21)</f>
        <v>11</v>
      </c>
      <c r="U24" s="39">
        <f t="shared" si="16"/>
        <v>13</v>
      </c>
      <c r="V24" s="39">
        <f t="shared" si="16"/>
        <v>7</v>
      </c>
      <c r="W24" s="39">
        <f t="shared" si="16"/>
        <v>0</v>
      </c>
      <c r="X24" s="39">
        <f t="shared" si="16"/>
        <v>6</v>
      </c>
      <c r="Y24" s="39">
        <f t="shared" si="16"/>
        <v>11</v>
      </c>
      <c r="Z24" s="39">
        <f t="shared" si="16"/>
        <v>6</v>
      </c>
      <c r="AA24" s="39">
        <f t="shared" si="16"/>
        <v>2</v>
      </c>
      <c r="AB24" s="39">
        <f t="shared" si="16"/>
        <v>11</v>
      </c>
      <c r="AC24" s="39">
        <f t="shared" si="16"/>
        <v>25</v>
      </c>
      <c r="AD24" s="39">
        <f t="shared" si="16"/>
        <v>1</v>
      </c>
      <c r="AE24" s="40">
        <f t="shared" si="16"/>
        <v>64</v>
      </c>
      <c r="AF24" s="40">
        <f t="shared" si="16"/>
        <v>89</v>
      </c>
    </row>
    <row r="25" spans="2:32" ht="23.1" customHeight="1" x14ac:dyDescent="0.25">
      <c r="B25" s="23" t="s">
        <v>52</v>
      </c>
      <c r="C25" s="51">
        <v>1</v>
      </c>
      <c r="D25" s="50">
        <v>2</v>
      </c>
      <c r="E25" s="51">
        <v>3</v>
      </c>
      <c r="F25" s="51">
        <v>2</v>
      </c>
      <c r="G25" s="51">
        <v>0</v>
      </c>
      <c r="H25" s="51">
        <v>1</v>
      </c>
      <c r="I25" s="51">
        <v>0</v>
      </c>
      <c r="J25" s="51">
        <v>0</v>
      </c>
      <c r="K25" s="51">
        <v>0</v>
      </c>
      <c r="L25" s="50">
        <v>2</v>
      </c>
      <c r="M25" s="51">
        <v>2</v>
      </c>
      <c r="N25" s="51">
        <v>0</v>
      </c>
      <c r="O25" s="15">
        <f t="shared" si="0"/>
        <v>11</v>
      </c>
      <c r="P25" s="15">
        <f t="shared" si="1"/>
        <v>13</v>
      </c>
      <c r="R25" s="37" t="s">
        <v>85</v>
      </c>
      <c r="S25" s="35">
        <f t="shared" ref="S25:AF25" si="17">SUM(S10:S12)</f>
        <v>12</v>
      </c>
      <c r="T25" s="16">
        <f t="shared" si="17"/>
        <v>13</v>
      </c>
      <c r="U25" s="16">
        <f t="shared" si="17"/>
        <v>20</v>
      </c>
      <c r="V25" s="16">
        <f t="shared" si="17"/>
        <v>9</v>
      </c>
      <c r="W25" s="16">
        <f t="shared" si="17"/>
        <v>1</v>
      </c>
      <c r="X25" s="16">
        <f t="shared" si="17"/>
        <v>3</v>
      </c>
      <c r="Y25" s="16">
        <f t="shared" si="17"/>
        <v>7</v>
      </c>
      <c r="Z25" s="16">
        <f t="shared" si="17"/>
        <v>2</v>
      </c>
      <c r="AA25" s="16">
        <f t="shared" si="17"/>
        <v>1</v>
      </c>
      <c r="AB25" s="16">
        <f t="shared" si="17"/>
        <v>4</v>
      </c>
      <c r="AC25" s="16">
        <f t="shared" si="17"/>
        <v>34</v>
      </c>
      <c r="AD25" s="16">
        <f t="shared" si="17"/>
        <v>0</v>
      </c>
      <c r="AE25" s="32">
        <f t="shared" si="17"/>
        <v>72</v>
      </c>
      <c r="AF25" s="32">
        <f t="shared" si="17"/>
        <v>106</v>
      </c>
    </row>
    <row r="26" spans="2:32" ht="23.1" customHeight="1" x14ac:dyDescent="0.25">
      <c r="B26" s="23" t="s">
        <v>53</v>
      </c>
      <c r="C26" s="51">
        <v>2</v>
      </c>
      <c r="D26" s="50">
        <v>2</v>
      </c>
      <c r="E26" s="51">
        <v>3</v>
      </c>
      <c r="F26" s="51">
        <v>2</v>
      </c>
      <c r="G26" s="51">
        <v>0</v>
      </c>
      <c r="H26" s="51">
        <v>1</v>
      </c>
      <c r="I26" s="51">
        <v>0</v>
      </c>
      <c r="J26" s="51">
        <v>0</v>
      </c>
      <c r="K26" s="51">
        <v>0</v>
      </c>
      <c r="L26" s="50">
        <v>0</v>
      </c>
      <c r="M26" s="51">
        <v>3</v>
      </c>
      <c r="N26" s="51">
        <v>0</v>
      </c>
      <c r="O26" s="15">
        <f t="shared" si="0"/>
        <v>10</v>
      </c>
      <c r="P26" s="15">
        <f t="shared" si="1"/>
        <v>13</v>
      </c>
      <c r="R26" s="28" t="s">
        <v>86</v>
      </c>
      <c r="S26" s="16">
        <f t="shared" ref="S26:AF26" si="18">SUM(S13:S18)</f>
        <v>40</v>
      </c>
      <c r="T26" s="16">
        <f t="shared" si="18"/>
        <v>59</v>
      </c>
      <c r="U26" s="16">
        <f t="shared" si="18"/>
        <v>71</v>
      </c>
      <c r="V26" s="16">
        <f t="shared" si="18"/>
        <v>34</v>
      </c>
      <c r="W26" s="16">
        <f t="shared" si="18"/>
        <v>3</v>
      </c>
      <c r="X26" s="16">
        <f t="shared" si="18"/>
        <v>28</v>
      </c>
      <c r="Y26" s="16">
        <f t="shared" si="18"/>
        <v>49</v>
      </c>
      <c r="Z26" s="16">
        <f t="shared" si="18"/>
        <v>2</v>
      </c>
      <c r="AA26" s="16">
        <f t="shared" si="18"/>
        <v>2</v>
      </c>
      <c r="AB26" s="16">
        <f t="shared" si="18"/>
        <v>29</v>
      </c>
      <c r="AC26" s="16">
        <f t="shared" si="18"/>
        <v>58</v>
      </c>
      <c r="AD26" s="16">
        <f t="shared" si="18"/>
        <v>0</v>
      </c>
      <c r="AE26" s="32">
        <f t="shared" si="18"/>
        <v>317</v>
      </c>
      <c r="AF26" s="32">
        <f t="shared" si="18"/>
        <v>375</v>
      </c>
    </row>
    <row r="27" spans="2:32" ht="23.1" customHeight="1" x14ac:dyDescent="0.25">
      <c r="B27" s="23" t="s">
        <v>54</v>
      </c>
      <c r="C27" s="51">
        <v>1</v>
      </c>
      <c r="D27" s="50">
        <v>1</v>
      </c>
      <c r="E27" s="51">
        <v>2</v>
      </c>
      <c r="F27" s="51">
        <v>2</v>
      </c>
      <c r="G27" s="51">
        <v>0</v>
      </c>
      <c r="H27" s="51">
        <v>2</v>
      </c>
      <c r="I27" s="51">
        <v>1</v>
      </c>
      <c r="J27" s="51">
        <v>0</v>
      </c>
      <c r="K27" s="51">
        <v>0</v>
      </c>
      <c r="L27" s="50">
        <v>1</v>
      </c>
      <c r="M27" s="51">
        <v>2</v>
      </c>
      <c r="N27" s="51">
        <v>0</v>
      </c>
      <c r="O27" s="15">
        <f t="shared" si="0"/>
        <v>10</v>
      </c>
      <c r="P27" s="15">
        <f t="shared" si="1"/>
        <v>12</v>
      </c>
      <c r="R27" s="29" t="s">
        <v>87</v>
      </c>
      <c r="S27" s="16">
        <f t="shared" ref="S27:AF27" si="19">SUM(S19:S21)</f>
        <v>25</v>
      </c>
      <c r="T27" s="16">
        <f t="shared" si="19"/>
        <v>32</v>
      </c>
      <c r="U27" s="16">
        <f t="shared" si="19"/>
        <v>37</v>
      </c>
      <c r="V27" s="16">
        <f t="shared" si="19"/>
        <v>16</v>
      </c>
      <c r="W27" s="16">
        <f t="shared" si="19"/>
        <v>0</v>
      </c>
      <c r="X27" s="16">
        <f t="shared" si="19"/>
        <v>12</v>
      </c>
      <c r="Y27" s="16">
        <f t="shared" si="19"/>
        <v>30</v>
      </c>
      <c r="Z27" s="16">
        <f t="shared" si="19"/>
        <v>10</v>
      </c>
      <c r="AA27" s="16">
        <f t="shared" si="19"/>
        <v>4</v>
      </c>
      <c r="AB27" s="16">
        <f t="shared" si="19"/>
        <v>24</v>
      </c>
      <c r="AC27" s="16">
        <f t="shared" si="19"/>
        <v>71</v>
      </c>
      <c r="AD27" s="16">
        <f t="shared" si="19"/>
        <v>1</v>
      </c>
      <c r="AE27" s="32">
        <f t="shared" si="19"/>
        <v>191</v>
      </c>
      <c r="AF27" s="32">
        <f t="shared" si="19"/>
        <v>262</v>
      </c>
    </row>
    <row r="28" spans="2:32" ht="23.1" customHeight="1" x14ac:dyDescent="0.25">
      <c r="B28" s="23" t="s">
        <v>55</v>
      </c>
      <c r="C28" s="51">
        <v>3</v>
      </c>
      <c r="D28" s="50">
        <v>1</v>
      </c>
      <c r="E28" s="51">
        <v>2</v>
      </c>
      <c r="F28" s="51">
        <v>1</v>
      </c>
      <c r="G28" s="51">
        <v>1</v>
      </c>
      <c r="H28" s="51">
        <v>0</v>
      </c>
      <c r="I28" s="51">
        <v>4</v>
      </c>
      <c r="J28" s="51">
        <v>0</v>
      </c>
      <c r="K28" s="51">
        <v>0</v>
      </c>
      <c r="L28" s="50">
        <v>2</v>
      </c>
      <c r="M28" s="51">
        <v>2</v>
      </c>
      <c r="N28" s="51">
        <v>0</v>
      </c>
      <c r="O28" s="15">
        <f t="shared" si="0"/>
        <v>14</v>
      </c>
      <c r="P28" s="15">
        <f t="shared" si="1"/>
        <v>16</v>
      </c>
      <c r="R28" s="5" t="s">
        <v>17</v>
      </c>
      <c r="S28" s="16">
        <f t="shared" ref="S28:AF28" si="20">SUM(S10:S21)</f>
        <v>77</v>
      </c>
      <c r="T28" s="16">
        <f t="shared" si="20"/>
        <v>104</v>
      </c>
      <c r="U28" s="16">
        <f t="shared" si="20"/>
        <v>128</v>
      </c>
      <c r="V28" s="16">
        <f t="shared" si="20"/>
        <v>59</v>
      </c>
      <c r="W28" s="16">
        <f t="shared" si="20"/>
        <v>4</v>
      </c>
      <c r="X28" s="16">
        <f t="shared" si="20"/>
        <v>43</v>
      </c>
      <c r="Y28" s="16">
        <f t="shared" si="20"/>
        <v>86</v>
      </c>
      <c r="Z28" s="16">
        <f t="shared" si="20"/>
        <v>14</v>
      </c>
      <c r="AA28" s="16">
        <f t="shared" si="20"/>
        <v>7</v>
      </c>
      <c r="AB28" s="16">
        <f t="shared" si="20"/>
        <v>57</v>
      </c>
      <c r="AC28" s="16">
        <f t="shared" si="20"/>
        <v>163</v>
      </c>
      <c r="AD28" s="16">
        <f t="shared" si="20"/>
        <v>1</v>
      </c>
      <c r="AE28" s="32">
        <f t="shared" si="20"/>
        <v>580</v>
      </c>
      <c r="AF28" s="32">
        <f t="shared" si="20"/>
        <v>743</v>
      </c>
    </row>
    <row r="29" spans="2:32" ht="23.1" customHeight="1" x14ac:dyDescent="0.25">
      <c r="B29" s="23" t="s">
        <v>56</v>
      </c>
      <c r="C29" s="51">
        <v>2</v>
      </c>
      <c r="D29" s="50">
        <v>2</v>
      </c>
      <c r="E29" s="51">
        <v>3</v>
      </c>
      <c r="F29" s="51">
        <v>2</v>
      </c>
      <c r="G29" s="51">
        <v>0</v>
      </c>
      <c r="H29" s="51">
        <v>3</v>
      </c>
      <c r="I29" s="51">
        <v>2</v>
      </c>
      <c r="J29" s="51">
        <v>0</v>
      </c>
      <c r="K29" s="51">
        <v>0</v>
      </c>
      <c r="L29" s="50">
        <v>2</v>
      </c>
      <c r="M29" s="51">
        <v>3</v>
      </c>
      <c r="N29" s="51">
        <v>0</v>
      </c>
      <c r="O29" s="15">
        <f t="shared" si="0"/>
        <v>16</v>
      </c>
      <c r="P29" s="15">
        <f t="shared" si="1"/>
        <v>19</v>
      </c>
      <c r="R29"/>
      <c r="S29" s="20"/>
      <c r="T29" s="19"/>
    </row>
    <row r="30" spans="2:32" ht="23.1" customHeight="1" x14ac:dyDescent="0.25">
      <c r="B30" s="23" t="s">
        <v>57</v>
      </c>
      <c r="C30" s="51">
        <v>1</v>
      </c>
      <c r="D30" s="50">
        <v>2</v>
      </c>
      <c r="E30" s="51">
        <v>3</v>
      </c>
      <c r="F30" s="51">
        <v>2</v>
      </c>
      <c r="G30" s="51">
        <v>0</v>
      </c>
      <c r="H30" s="51">
        <v>1</v>
      </c>
      <c r="I30" s="51">
        <v>1</v>
      </c>
      <c r="J30" s="51">
        <v>0</v>
      </c>
      <c r="K30" s="51">
        <v>0</v>
      </c>
      <c r="L30" s="50">
        <v>0</v>
      </c>
      <c r="M30" s="51">
        <v>2</v>
      </c>
      <c r="N30" s="51">
        <v>0</v>
      </c>
      <c r="O30" s="15">
        <f t="shared" si="0"/>
        <v>10</v>
      </c>
      <c r="P30" s="15">
        <f t="shared" si="1"/>
        <v>12</v>
      </c>
    </row>
    <row r="31" spans="2:32" ht="23.1" customHeight="1" x14ac:dyDescent="0.25">
      <c r="B31" s="24" t="s">
        <v>58</v>
      </c>
      <c r="C31" s="51">
        <v>0</v>
      </c>
      <c r="D31" s="50">
        <v>3</v>
      </c>
      <c r="E31" s="51">
        <v>4</v>
      </c>
      <c r="F31" s="51">
        <v>2</v>
      </c>
      <c r="G31" s="51">
        <v>0</v>
      </c>
      <c r="H31" s="51">
        <v>0</v>
      </c>
      <c r="I31" s="51">
        <v>4</v>
      </c>
      <c r="J31" s="51">
        <v>0</v>
      </c>
      <c r="K31" s="51">
        <v>0</v>
      </c>
      <c r="L31" s="50">
        <v>4</v>
      </c>
      <c r="M31" s="51">
        <v>2</v>
      </c>
      <c r="N31" s="51">
        <v>0</v>
      </c>
      <c r="O31" s="15">
        <f t="shared" si="0"/>
        <v>17</v>
      </c>
      <c r="P31" s="15">
        <f t="shared" si="1"/>
        <v>19</v>
      </c>
    </row>
    <row r="32" spans="2:32" ht="23.1" customHeight="1" x14ac:dyDescent="0.25">
      <c r="B32" s="24" t="s">
        <v>59</v>
      </c>
      <c r="C32" s="51">
        <v>1</v>
      </c>
      <c r="D32" s="50">
        <v>1</v>
      </c>
      <c r="E32" s="51">
        <v>2</v>
      </c>
      <c r="F32" s="51">
        <v>1</v>
      </c>
      <c r="G32" s="51">
        <v>0</v>
      </c>
      <c r="H32" s="51">
        <v>1</v>
      </c>
      <c r="I32" s="51">
        <v>0</v>
      </c>
      <c r="J32" s="51">
        <v>0</v>
      </c>
      <c r="K32" s="51">
        <v>0</v>
      </c>
      <c r="L32" s="50">
        <v>1</v>
      </c>
      <c r="M32" s="51">
        <v>6</v>
      </c>
      <c r="N32" s="51">
        <v>0</v>
      </c>
      <c r="O32" s="15">
        <f t="shared" si="0"/>
        <v>7</v>
      </c>
      <c r="P32" s="15">
        <f t="shared" si="1"/>
        <v>13</v>
      </c>
    </row>
    <row r="33" spans="2:20" ht="23.1" customHeight="1" x14ac:dyDescent="0.25">
      <c r="B33" s="23" t="s">
        <v>60</v>
      </c>
      <c r="C33" s="51">
        <v>0</v>
      </c>
      <c r="D33" s="50">
        <v>4</v>
      </c>
      <c r="E33" s="51">
        <v>4</v>
      </c>
      <c r="F33" s="51">
        <v>2</v>
      </c>
      <c r="G33" s="51">
        <v>0</v>
      </c>
      <c r="H33" s="51">
        <v>2</v>
      </c>
      <c r="I33" s="51">
        <v>4</v>
      </c>
      <c r="J33" s="51">
        <v>0</v>
      </c>
      <c r="K33" s="51">
        <v>0</v>
      </c>
      <c r="L33" s="50">
        <v>1</v>
      </c>
      <c r="M33" s="51">
        <v>1</v>
      </c>
      <c r="N33" s="51">
        <v>0</v>
      </c>
      <c r="O33" s="15">
        <f t="shared" si="0"/>
        <v>17</v>
      </c>
      <c r="P33" s="15">
        <f t="shared" si="1"/>
        <v>18</v>
      </c>
    </row>
    <row r="34" spans="2:20" ht="23.1" customHeight="1" x14ac:dyDescent="0.25">
      <c r="B34" s="24" t="s">
        <v>61</v>
      </c>
      <c r="C34" s="51">
        <v>0</v>
      </c>
      <c r="D34" s="50">
        <v>3</v>
      </c>
      <c r="E34" s="51">
        <v>3</v>
      </c>
      <c r="F34" s="51">
        <v>0</v>
      </c>
      <c r="G34" s="51">
        <v>0</v>
      </c>
      <c r="H34" s="51">
        <v>0</v>
      </c>
      <c r="I34" s="51">
        <v>2</v>
      </c>
      <c r="J34" s="51">
        <v>0</v>
      </c>
      <c r="K34" s="51">
        <v>0</v>
      </c>
      <c r="L34" s="50">
        <v>0</v>
      </c>
      <c r="M34" s="51">
        <v>3</v>
      </c>
      <c r="N34" s="51">
        <v>0</v>
      </c>
      <c r="O34" s="15">
        <f t="shared" si="0"/>
        <v>8</v>
      </c>
      <c r="P34" s="15">
        <f t="shared" si="1"/>
        <v>11</v>
      </c>
    </row>
    <row r="35" spans="2:20" ht="23.1" customHeight="1" x14ac:dyDescent="0.25">
      <c r="B35" s="24" t="s">
        <v>62</v>
      </c>
      <c r="C35" s="51">
        <v>1</v>
      </c>
      <c r="D35" s="50">
        <v>3</v>
      </c>
      <c r="E35" s="51">
        <v>3</v>
      </c>
      <c r="F35" s="51">
        <v>0</v>
      </c>
      <c r="G35" s="51">
        <v>1</v>
      </c>
      <c r="H35" s="51">
        <v>3</v>
      </c>
      <c r="I35" s="51">
        <v>4</v>
      </c>
      <c r="J35" s="51">
        <v>0</v>
      </c>
      <c r="K35" s="51">
        <v>1</v>
      </c>
      <c r="L35" s="50">
        <v>0</v>
      </c>
      <c r="M35" s="51">
        <v>1</v>
      </c>
      <c r="N35" s="51">
        <v>0</v>
      </c>
      <c r="O35" s="15">
        <f t="shared" si="0"/>
        <v>16</v>
      </c>
      <c r="P35" s="15">
        <f t="shared" si="1"/>
        <v>17</v>
      </c>
    </row>
    <row r="36" spans="2:20" ht="23.1" customHeight="1" x14ac:dyDescent="0.25">
      <c r="B36" s="24" t="s">
        <v>63</v>
      </c>
      <c r="C36" s="51">
        <v>0</v>
      </c>
      <c r="D36" s="50">
        <v>3</v>
      </c>
      <c r="E36" s="51">
        <v>4</v>
      </c>
      <c r="F36" s="51">
        <v>1</v>
      </c>
      <c r="G36" s="51">
        <v>0</v>
      </c>
      <c r="H36" s="51">
        <v>2</v>
      </c>
      <c r="I36" s="51">
        <v>1</v>
      </c>
      <c r="J36" s="51">
        <v>0</v>
      </c>
      <c r="K36" s="51">
        <v>0</v>
      </c>
      <c r="L36" s="50">
        <v>2</v>
      </c>
      <c r="M36" s="51">
        <v>3</v>
      </c>
      <c r="N36" s="51">
        <v>0</v>
      </c>
      <c r="O36" s="15">
        <f t="shared" si="0"/>
        <v>13</v>
      </c>
      <c r="P36" s="15">
        <f t="shared" si="1"/>
        <v>16</v>
      </c>
    </row>
    <row r="37" spans="2:20" ht="23.1" customHeight="1" x14ac:dyDescent="0.25">
      <c r="B37" s="23" t="s">
        <v>64</v>
      </c>
      <c r="C37" s="51">
        <v>6</v>
      </c>
      <c r="D37" s="50">
        <v>1</v>
      </c>
      <c r="E37" s="51">
        <v>1</v>
      </c>
      <c r="F37" s="51">
        <v>2</v>
      </c>
      <c r="G37" s="51">
        <v>0</v>
      </c>
      <c r="H37" s="51">
        <v>0</v>
      </c>
      <c r="I37" s="51">
        <v>3</v>
      </c>
      <c r="J37" s="51">
        <v>0</v>
      </c>
      <c r="K37" s="51">
        <v>0</v>
      </c>
      <c r="L37" s="50">
        <v>1</v>
      </c>
      <c r="M37" s="51">
        <v>2</v>
      </c>
      <c r="N37" s="51">
        <v>0</v>
      </c>
      <c r="O37" s="15">
        <f t="shared" si="0"/>
        <v>14</v>
      </c>
      <c r="P37" s="15">
        <f t="shared" si="1"/>
        <v>16</v>
      </c>
    </row>
    <row r="38" spans="2:20" ht="23.1" customHeight="1" x14ac:dyDescent="0.25">
      <c r="B38" s="24" t="s">
        <v>65</v>
      </c>
      <c r="C38" s="51">
        <v>2</v>
      </c>
      <c r="D38" s="50">
        <v>4</v>
      </c>
      <c r="E38" s="51">
        <v>4</v>
      </c>
      <c r="F38" s="51">
        <v>2</v>
      </c>
      <c r="G38" s="51">
        <v>0</v>
      </c>
      <c r="H38" s="51">
        <v>1</v>
      </c>
      <c r="I38" s="51">
        <v>2</v>
      </c>
      <c r="J38" s="51">
        <v>0</v>
      </c>
      <c r="K38" s="51">
        <v>0</v>
      </c>
      <c r="L38" s="50">
        <v>1</v>
      </c>
      <c r="M38" s="51">
        <v>1</v>
      </c>
      <c r="N38" s="51">
        <v>0</v>
      </c>
      <c r="O38" s="15">
        <f t="shared" si="0"/>
        <v>16</v>
      </c>
      <c r="P38" s="15">
        <f t="shared" si="1"/>
        <v>17</v>
      </c>
    </row>
    <row r="39" spans="2:20" ht="23.1" customHeight="1" x14ac:dyDescent="0.25">
      <c r="B39" s="24" t="s">
        <v>66</v>
      </c>
      <c r="C39" s="51">
        <v>2</v>
      </c>
      <c r="D39" s="50">
        <v>2</v>
      </c>
      <c r="E39" s="51">
        <v>2</v>
      </c>
      <c r="F39" s="51">
        <v>3</v>
      </c>
      <c r="G39" s="51">
        <v>0</v>
      </c>
      <c r="H39" s="51">
        <v>1</v>
      </c>
      <c r="I39" s="51">
        <v>3</v>
      </c>
      <c r="J39" s="51">
        <v>0</v>
      </c>
      <c r="K39" s="51">
        <v>1</v>
      </c>
      <c r="L39" s="50">
        <v>5</v>
      </c>
      <c r="M39" s="51">
        <v>1</v>
      </c>
      <c r="N39" s="51">
        <v>0</v>
      </c>
      <c r="O39" s="15">
        <f t="shared" si="0"/>
        <v>19</v>
      </c>
      <c r="P39" s="15">
        <f t="shared" si="1"/>
        <v>20</v>
      </c>
    </row>
    <row r="40" spans="2:20" ht="23.1" customHeight="1" x14ac:dyDescent="0.25">
      <c r="B40" s="24" t="s">
        <v>67</v>
      </c>
      <c r="C40" s="51">
        <v>2</v>
      </c>
      <c r="D40" s="50">
        <v>1</v>
      </c>
      <c r="E40" s="51">
        <v>2</v>
      </c>
      <c r="F40" s="51">
        <v>0</v>
      </c>
      <c r="G40" s="51">
        <v>0</v>
      </c>
      <c r="H40" s="51">
        <v>2</v>
      </c>
      <c r="I40" s="51">
        <v>3</v>
      </c>
      <c r="J40" s="51">
        <v>0</v>
      </c>
      <c r="K40" s="51">
        <v>0</v>
      </c>
      <c r="L40" s="50">
        <v>1</v>
      </c>
      <c r="M40" s="51">
        <v>3</v>
      </c>
      <c r="N40" s="51">
        <v>0</v>
      </c>
      <c r="O40" s="15">
        <f t="shared" si="0"/>
        <v>11</v>
      </c>
      <c r="P40" s="15">
        <f t="shared" si="1"/>
        <v>14</v>
      </c>
    </row>
    <row r="41" spans="2:20" ht="23.1" customHeight="1" x14ac:dyDescent="0.25">
      <c r="B41" s="23" t="s">
        <v>68</v>
      </c>
      <c r="C41" s="51">
        <v>1</v>
      </c>
      <c r="D41" s="50">
        <v>1</v>
      </c>
      <c r="E41" s="51">
        <v>1</v>
      </c>
      <c r="F41" s="51">
        <v>1</v>
      </c>
      <c r="G41" s="51">
        <v>0</v>
      </c>
      <c r="H41" s="51">
        <v>0</v>
      </c>
      <c r="I41" s="51">
        <v>2</v>
      </c>
      <c r="J41" s="51">
        <v>2</v>
      </c>
      <c r="K41" s="51">
        <v>0</v>
      </c>
      <c r="L41" s="50">
        <v>1</v>
      </c>
      <c r="M41" s="51">
        <v>3</v>
      </c>
      <c r="N41" s="51">
        <v>0</v>
      </c>
      <c r="O41" s="15">
        <f t="shared" si="0"/>
        <v>9</v>
      </c>
      <c r="P41" s="15">
        <f t="shared" si="1"/>
        <v>12</v>
      </c>
    </row>
    <row r="42" spans="2:20" ht="23.1" customHeight="1" x14ac:dyDescent="0.25">
      <c r="B42" s="24" t="s">
        <v>69</v>
      </c>
      <c r="C42" s="51">
        <v>3</v>
      </c>
      <c r="D42" s="50">
        <v>2</v>
      </c>
      <c r="E42" s="51">
        <v>2</v>
      </c>
      <c r="F42" s="51">
        <v>0</v>
      </c>
      <c r="G42" s="51">
        <v>1</v>
      </c>
      <c r="H42" s="51">
        <v>3</v>
      </c>
      <c r="I42" s="51">
        <v>0</v>
      </c>
      <c r="J42" s="51">
        <v>0</v>
      </c>
      <c r="K42" s="51">
        <v>0</v>
      </c>
      <c r="L42" s="50">
        <v>2</v>
      </c>
      <c r="M42" s="51">
        <v>1</v>
      </c>
      <c r="N42" s="51">
        <v>0</v>
      </c>
      <c r="O42" s="15">
        <f t="shared" si="0"/>
        <v>13</v>
      </c>
      <c r="P42" s="15">
        <f t="shared" si="1"/>
        <v>14</v>
      </c>
    </row>
    <row r="43" spans="2:20" ht="23.1" customHeight="1" x14ac:dyDescent="0.25">
      <c r="B43" s="23" t="s">
        <v>70</v>
      </c>
      <c r="C43" s="51">
        <v>1</v>
      </c>
      <c r="D43" s="50">
        <v>2</v>
      </c>
      <c r="E43" s="51">
        <v>3</v>
      </c>
      <c r="F43" s="51">
        <v>1</v>
      </c>
      <c r="G43" s="51">
        <v>0</v>
      </c>
      <c r="H43" s="51">
        <v>1</v>
      </c>
      <c r="I43" s="51">
        <v>3</v>
      </c>
      <c r="J43" s="51">
        <v>0</v>
      </c>
      <c r="K43" s="51">
        <v>0</v>
      </c>
      <c r="L43" s="50">
        <v>2</v>
      </c>
      <c r="M43" s="51">
        <v>0</v>
      </c>
      <c r="N43" s="51">
        <v>0</v>
      </c>
      <c r="O43" s="15">
        <f t="shared" si="0"/>
        <v>13</v>
      </c>
      <c r="P43" s="15">
        <f t="shared" si="1"/>
        <v>13</v>
      </c>
    </row>
    <row r="44" spans="2:20" ht="23.1" customHeight="1" x14ac:dyDescent="0.25">
      <c r="B44" s="25" t="s">
        <v>71</v>
      </c>
      <c r="C44" s="51">
        <v>3</v>
      </c>
      <c r="D44" s="50">
        <v>4</v>
      </c>
      <c r="E44" s="51">
        <v>4</v>
      </c>
      <c r="F44" s="51">
        <v>2</v>
      </c>
      <c r="G44" s="51">
        <v>0</v>
      </c>
      <c r="H44" s="51">
        <v>0</v>
      </c>
      <c r="I44" s="51">
        <v>3</v>
      </c>
      <c r="J44" s="51">
        <v>0</v>
      </c>
      <c r="K44" s="51">
        <v>0</v>
      </c>
      <c r="L44" s="50">
        <v>0</v>
      </c>
      <c r="M44" s="51">
        <v>4</v>
      </c>
      <c r="N44" s="51">
        <v>0</v>
      </c>
      <c r="O44" s="15">
        <f t="shared" si="0"/>
        <v>16</v>
      </c>
      <c r="P44" s="15">
        <f t="shared" si="1"/>
        <v>20</v>
      </c>
    </row>
    <row r="45" spans="2:20" ht="23.1" customHeight="1" x14ac:dyDescent="0.25">
      <c r="B45" s="23" t="s">
        <v>72</v>
      </c>
      <c r="C45" s="51">
        <v>2</v>
      </c>
      <c r="D45" s="50">
        <v>3</v>
      </c>
      <c r="E45" s="51">
        <v>3</v>
      </c>
      <c r="F45" s="51">
        <v>2</v>
      </c>
      <c r="G45" s="51">
        <v>0</v>
      </c>
      <c r="H45" s="51">
        <v>3</v>
      </c>
      <c r="I45" s="51">
        <v>3</v>
      </c>
      <c r="J45" s="51">
        <v>0</v>
      </c>
      <c r="K45" s="51">
        <v>0</v>
      </c>
      <c r="L45" s="50">
        <v>0</v>
      </c>
      <c r="M45" s="51">
        <v>4</v>
      </c>
      <c r="N45" s="51">
        <v>0</v>
      </c>
      <c r="O45" s="15">
        <f t="shared" si="0"/>
        <v>16</v>
      </c>
      <c r="P45" s="15">
        <f t="shared" si="1"/>
        <v>20</v>
      </c>
    </row>
    <row r="46" spans="2:20" ht="23.1" customHeight="1" x14ac:dyDescent="0.25">
      <c r="B46" s="24" t="s">
        <v>73</v>
      </c>
      <c r="C46" s="51">
        <v>5</v>
      </c>
      <c r="D46" s="50">
        <v>3</v>
      </c>
      <c r="E46" s="51">
        <v>4</v>
      </c>
      <c r="F46" s="51">
        <v>0</v>
      </c>
      <c r="G46" s="51">
        <v>0</v>
      </c>
      <c r="H46" s="51">
        <v>1</v>
      </c>
      <c r="I46" s="51">
        <v>2</v>
      </c>
      <c r="J46" s="51">
        <v>1</v>
      </c>
      <c r="K46" s="51">
        <v>1</v>
      </c>
      <c r="L46" s="50">
        <v>1</v>
      </c>
      <c r="M46" s="51">
        <v>4</v>
      </c>
      <c r="N46" s="51">
        <v>0</v>
      </c>
      <c r="O46" s="15">
        <f t="shared" si="0"/>
        <v>18</v>
      </c>
      <c r="P46" s="15">
        <f t="shared" si="1"/>
        <v>22</v>
      </c>
      <c r="R46" s="8"/>
      <c r="T46"/>
    </row>
    <row r="47" spans="2:20" ht="23.1" customHeight="1" x14ac:dyDescent="0.25">
      <c r="B47" s="24" t="s">
        <v>74</v>
      </c>
      <c r="C47" s="51">
        <v>2</v>
      </c>
      <c r="D47" s="50">
        <v>4</v>
      </c>
      <c r="E47" s="51">
        <v>4</v>
      </c>
      <c r="F47" s="51">
        <v>3</v>
      </c>
      <c r="G47" s="51">
        <v>0</v>
      </c>
      <c r="H47" s="51">
        <v>1</v>
      </c>
      <c r="I47" s="51">
        <v>1</v>
      </c>
      <c r="J47" s="51">
        <v>0</v>
      </c>
      <c r="K47" s="51">
        <v>0</v>
      </c>
      <c r="L47" s="50">
        <v>1</v>
      </c>
      <c r="M47" s="51">
        <v>8</v>
      </c>
      <c r="N47" s="51">
        <v>1</v>
      </c>
      <c r="O47" s="15">
        <f t="shared" si="0"/>
        <v>17</v>
      </c>
      <c r="P47" s="15">
        <f t="shared" si="1"/>
        <v>25</v>
      </c>
      <c r="R47" s="8"/>
      <c r="T47"/>
    </row>
    <row r="48" spans="2:20" ht="23.1" customHeight="1" x14ac:dyDescent="0.25">
      <c r="B48" s="24" t="s">
        <v>75</v>
      </c>
      <c r="C48" s="51">
        <v>0</v>
      </c>
      <c r="D48" s="50">
        <v>1</v>
      </c>
      <c r="E48" s="51">
        <v>1</v>
      </c>
      <c r="F48" s="51">
        <v>0</v>
      </c>
      <c r="G48" s="51">
        <v>0</v>
      </c>
      <c r="H48" s="51">
        <v>0</v>
      </c>
      <c r="I48" s="51">
        <v>4</v>
      </c>
      <c r="J48" s="51">
        <v>0</v>
      </c>
      <c r="K48" s="51">
        <v>0</v>
      </c>
      <c r="L48" s="50">
        <v>3</v>
      </c>
      <c r="M48" s="51">
        <v>5</v>
      </c>
      <c r="N48" s="51">
        <v>0</v>
      </c>
      <c r="O48" s="15">
        <f t="shared" si="0"/>
        <v>9</v>
      </c>
      <c r="P48" s="15">
        <f t="shared" si="1"/>
        <v>14</v>
      </c>
      <c r="R48" s="8"/>
      <c r="T48"/>
    </row>
    <row r="49" spans="2:20" ht="23.1" customHeight="1" x14ac:dyDescent="0.25">
      <c r="B49" s="23" t="s">
        <v>76</v>
      </c>
      <c r="C49" s="51">
        <v>3</v>
      </c>
      <c r="D49" s="50">
        <v>3</v>
      </c>
      <c r="E49" s="51">
        <v>4</v>
      </c>
      <c r="F49" s="51">
        <v>2</v>
      </c>
      <c r="G49" s="51">
        <v>0</v>
      </c>
      <c r="H49" s="51">
        <v>1</v>
      </c>
      <c r="I49" s="51">
        <v>3</v>
      </c>
      <c r="J49" s="51">
        <v>0</v>
      </c>
      <c r="K49" s="51">
        <v>0</v>
      </c>
      <c r="L49" s="50">
        <v>3</v>
      </c>
      <c r="M49" s="51">
        <v>6</v>
      </c>
      <c r="N49" s="51">
        <v>0</v>
      </c>
      <c r="O49" s="15">
        <f t="shared" si="0"/>
        <v>19</v>
      </c>
      <c r="P49" s="15">
        <f t="shared" si="1"/>
        <v>25</v>
      </c>
      <c r="R49" s="8"/>
      <c r="T49"/>
    </row>
    <row r="50" spans="2:20" ht="23.1" customHeight="1" x14ac:dyDescent="0.25">
      <c r="B50" s="24" t="s">
        <v>77</v>
      </c>
      <c r="C50" s="51">
        <v>1</v>
      </c>
      <c r="D50" s="50">
        <v>3</v>
      </c>
      <c r="E50" s="51">
        <v>3</v>
      </c>
      <c r="F50" s="51">
        <v>2</v>
      </c>
      <c r="G50" s="51">
        <v>0</v>
      </c>
      <c r="H50" s="51">
        <v>2</v>
      </c>
      <c r="I50" s="51">
        <v>2</v>
      </c>
      <c r="J50" s="51">
        <v>0</v>
      </c>
      <c r="K50" s="51">
        <v>1</v>
      </c>
      <c r="L50" s="50">
        <v>2</v>
      </c>
      <c r="M50" s="51">
        <v>9</v>
      </c>
      <c r="N50" s="51">
        <v>0</v>
      </c>
      <c r="O50" s="15">
        <f t="shared" si="0"/>
        <v>16</v>
      </c>
      <c r="P50" s="15">
        <f t="shared" si="1"/>
        <v>25</v>
      </c>
      <c r="R50" s="8"/>
      <c r="T50"/>
    </row>
    <row r="51" spans="2:20" ht="23.1" customHeight="1" x14ac:dyDescent="0.25">
      <c r="B51" s="24" t="s">
        <v>78</v>
      </c>
      <c r="C51" s="51">
        <v>1</v>
      </c>
      <c r="D51" s="50">
        <v>4</v>
      </c>
      <c r="E51" s="51">
        <v>4</v>
      </c>
      <c r="F51" s="51">
        <v>2</v>
      </c>
      <c r="G51" s="51">
        <v>0</v>
      </c>
      <c r="H51" s="51">
        <v>0</v>
      </c>
      <c r="I51" s="51">
        <v>3</v>
      </c>
      <c r="J51" s="51">
        <v>2</v>
      </c>
      <c r="K51" s="51">
        <v>0</v>
      </c>
      <c r="L51" s="50">
        <v>1</v>
      </c>
      <c r="M51" s="51">
        <v>4</v>
      </c>
      <c r="N51" s="51">
        <v>0</v>
      </c>
      <c r="O51" s="15">
        <f t="shared" si="0"/>
        <v>17</v>
      </c>
      <c r="P51" s="15">
        <f t="shared" si="1"/>
        <v>21</v>
      </c>
      <c r="R51" s="8"/>
      <c r="T51"/>
    </row>
    <row r="52" spans="2:20" ht="23.1" customHeight="1" x14ac:dyDescent="0.25">
      <c r="B52" s="24" t="s">
        <v>79</v>
      </c>
      <c r="C52" s="51">
        <v>2</v>
      </c>
      <c r="D52" s="50">
        <v>2</v>
      </c>
      <c r="E52" s="51">
        <v>3</v>
      </c>
      <c r="F52" s="51">
        <v>2</v>
      </c>
      <c r="G52" s="51">
        <v>0</v>
      </c>
      <c r="H52" s="51">
        <v>2</v>
      </c>
      <c r="I52" s="51">
        <v>4</v>
      </c>
      <c r="J52" s="51">
        <v>1</v>
      </c>
      <c r="K52" s="51">
        <v>0</v>
      </c>
      <c r="L52" s="50">
        <v>2</v>
      </c>
      <c r="M52" s="51">
        <v>4</v>
      </c>
      <c r="N52" s="51">
        <v>0</v>
      </c>
      <c r="O52" s="15">
        <f t="shared" si="0"/>
        <v>18</v>
      </c>
      <c r="P52" s="15">
        <f t="shared" si="1"/>
        <v>22</v>
      </c>
      <c r="R52" s="8"/>
      <c r="T52"/>
    </row>
    <row r="53" spans="2:20" ht="23.1" customHeight="1" x14ac:dyDescent="0.25">
      <c r="B53" s="23" t="s">
        <v>80</v>
      </c>
      <c r="C53" s="51">
        <v>3</v>
      </c>
      <c r="D53" s="50">
        <v>1</v>
      </c>
      <c r="E53" s="51">
        <v>2</v>
      </c>
      <c r="F53" s="51">
        <v>1</v>
      </c>
      <c r="G53" s="51">
        <v>0</v>
      </c>
      <c r="H53" s="51">
        <v>2</v>
      </c>
      <c r="I53" s="51">
        <v>0</v>
      </c>
      <c r="J53" s="51">
        <v>3</v>
      </c>
      <c r="K53" s="51">
        <v>1</v>
      </c>
      <c r="L53" s="50">
        <v>0</v>
      </c>
      <c r="M53" s="51">
        <v>6</v>
      </c>
      <c r="N53" s="51">
        <v>0</v>
      </c>
      <c r="O53" s="15">
        <f t="shared" si="0"/>
        <v>13</v>
      </c>
      <c r="P53" s="15">
        <f t="shared" si="1"/>
        <v>19</v>
      </c>
      <c r="R53" s="8"/>
      <c r="T53"/>
    </row>
    <row r="54" spans="2:20" ht="23.1" customHeight="1" x14ac:dyDescent="0.25">
      <c r="B54" s="23" t="s">
        <v>81</v>
      </c>
      <c r="C54" s="51">
        <v>2</v>
      </c>
      <c r="D54" s="50">
        <v>4</v>
      </c>
      <c r="E54" s="51">
        <v>4</v>
      </c>
      <c r="F54" s="51">
        <v>2</v>
      </c>
      <c r="G54" s="51">
        <v>0</v>
      </c>
      <c r="H54" s="51">
        <v>0</v>
      </c>
      <c r="I54" s="51">
        <v>2</v>
      </c>
      <c r="J54" s="51">
        <v>0</v>
      </c>
      <c r="K54" s="51">
        <v>0</v>
      </c>
      <c r="L54" s="50">
        <v>2</v>
      </c>
      <c r="M54" s="51">
        <v>5</v>
      </c>
      <c r="N54" s="51">
        <v>0</v>
      </c>
      <c r="O54" s="15">
        <f t="shared" si="0"/>
        <v>16</v>
      </c>
      <c r="P54" s="15">
        <f t="shared" si="1"/>
        <v>21</v>
      </c>
      <c r="R54" s="8"/>
      <c r="T54"/>
    </row>
    <row r="55" spans="2:20" ht="23.1" customHeight="1" x14ac:dyDescent="0.25">
      <c r="B55" s="23" t="s">
        <v>82</v>
      </c>
      <c r="C55" s="51">
        <v>1</v>
      </c>
      <c r="D55" s="50">
        <v>3</v>
      </c>
      <c r="E55" s="51">
        <v>3</v>
      </c>
      <c r="F55" s="51">
        <v>1</v>
      </c>
      <c r="G55" s="51">
        <v>0</v>
      </c>
      <c r="H55" s="51">
        <v>1</v>
      </c>
      <c r="I55" s="51">
        <v>3</v>
      </c>
      <c r="J55" s="51">
        <v>0</v>
      </c>
      <c r="K55" s="51">
        <v>1</v>
      </c>
      <c r="L55" s="50">
        <v>1</v>
      </c>
      <c r="M55" s="51">
        <v>6</v>
      </c>
      <c r="N55" s="51">
        <v>0</v>
      </c>
      <c r="O55" s="15">
        <f t="shared" si="0"/>
        <v>14</v>
      </c>
      <c r="P55" s="15">
        <f t="shared" si="1"/>
        <v>20</v>
      </c>
      <c r="R55" s="8"/>
      <c r="T55"/>
    </row>
    <row r="56" spans="2:20" ht="23.1" customHeight="1" x14ac:dyDescent="0.25">
      <c r="B56" s="23" t="s">
        <v>83</v>
      </c>
      <c r="C56" s="51">
        <v>4</v>
      </c>
      <c r="D56" s="50">
        <v>2</v>
      </c>
      <c r="E56" s="51">
        <v>2</v>
      </c>
      <c r="F56" s="51">
        <v>1</v>
      </c>
      <c r="G56" s="51">
        <v>0</v>
      </c>
      <c r="H56" s="51">
        <v>1</v>
      </c>
      <c r="I56" s="51">
        <v>1</v>
      </c>
      <c r="J56" s="51">
        <v>1</v>
      </c>
      <c r="K56" s="51">
        <v>0</v>
      </c>
      <c r="L56" s="50">
        <v>5</v>
      </c>
      <c r="M56" s="51">
        <v>9</v>
      </c>
      <c r="N56" s="51">
        <v>0</v>
      </c>
      <c r="O56" s="15">
        <f t="shared" si="0"/>
        <v>17</v>
      </c>
      <c r="P56" s="15">
        <f t="shared" si="1"/>
        <v>26</v>
      </c>
      <c r="R56" s="8"/>
      <c r="T56"/>
    </row>
    <row r="57" spans="2:20" ht="23.1" customHeight="1" x14ac:dyDescent="0.25">
      <c r="B57" s="23" t="s">
        <v>84</v>
      </c>
      <c r="C57" s="51">
        <v>1</v>
      </c>
      <c r="D57" s="50">
        <v>2</v>
      </c>
      <c r="E57" s="51">
        <v>3</v>
      </c>
      <c r="F57" s="51">
        <v>0</v>
      </c>
      <c r="G57" s="51">
        <v>0</v>
      </c>
      <c r="H57" s="51">
        <v>1</v>
      </c>
      <c r="I57" s="51">
        <v>5</v>
      </c>
      <c r="J57" s="51">
        <v>2</v>
      </c>
      <c r="K57" s="51">
        <v>0</v>
      </c>
      <c r="L57" s="50">
        <v>3</v>
      </c>
      <c r="M57" s="51">
        <v>5</v>
      </c>
      <c r="N57" s="51">
        <v>0</v>
      </c>
      <c r="O57" s="15">
        <f t="shared" si="0"/>
        <v>17</v>
      </c>
      <c r="P57" s="15">
        <f t="shared" si="1"/>
        <v>22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77</v>
      </c>
      <c r="D58" s="16">
        <f t="shared" si="21"/>
        <v>104</v>
      </c>
      <c r="E58" s="16">
        <f t="shared" si="21"/>
        <v>128</v>
      </c>
      <c r="F58" s="16">
        <f t="shared" si="21"/>
        <v>59</v>
      </c>
      <c r="G58" s="16">
        <f t="shared" si="21"/>
        <v>4</v>
      </c>
      <c r="H58" s="16">
        <f t="shared" si="21"/>
        <v>43</v>
      </c>
      <c r="I58" s="16">
        <f t="shared" si="21"/>
        <v>86</v>
      </c>
      <c r="J58" s="16">
        <f t="shared" si="21"/>
        <v>14</v>
      </c>
      <c r="K58" s="16">
        <f t="shared" si="21"/>
        <v>7</v>
      </c>
      <c r="L58" s="16">
        <f t="shared" si="21"/>
        <v>57</v>
      </c>
      <c r="M58" s="16">
        <f t="shared" si="21"/>
        <v>163</v>
      </c>
      <c r="N58" s="16">
        <f t="shared" si="21"/>
        <v>1</v>
      </c>
      <c r="O58" s="16">
        <f t="shared" si="21"/>
        <v>580</v>
      </c>
      <c r="P58" s="16">
        <f t="shared" si="21"/>
        <v>743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0.10363391655450875</v>
      </c>
      <c r="D59" s="43">
        <f t="shared" si="22"/>
        <v>0.13997308209959622</v>
      </c>
      <c r="E59" s="43">
        <f t="shared" si="22"/>
        <v>0.17227456258411844</v>
      </c>
      <c r="F59" s="43">
        <f t="shared" si="22"/>
        <v>7.9407806191117092E-2</v>
      </c>
      <c r="G59" s="43">
        <f t="shared" si="22"/>
        <v>5.3835800807537013E-3</v>
      </c>
      <c r="H59" s="43">
        <f t="shared" si="22"/>
        <v>5.7873485868102287E-2</v>
      </c>
      <c r="I59" s="43">
        <f t="shared" si="22"/>
        <v>0.11574697173620457</v>
      </c>
      <c r="J59" s="43">
        <f t="shared" si="22"/>
        <v>1.8842530282637954E-2</v>
      </c>
      <c r="K59" s="43">
        <f t="shared" si="22"/>
        <v>9.4212651413189772E-3</v>
      </c>
      <c r="L59" s="43">
        <f t="shared" si="22"/>
        <v>7.6716016150740238E-2</v>
      </c>
      <c r="M59" s="43">
        <f t="shared" si="22"/>
        <v>0.21938088829071331</v>
      </c>
      <c r="N59" s="43">
        <f t="shared" si="22"/>
        <v>1.3458950201884253E-3</v>
      </c>
      <c r="R59" s="8"/>
      <c r="T59"/>
    </row>
    <row r="60" spans="2:20" ht="23.1" customHeight="1" x14ac:dyDescent="0.25">
      <c r="B60" s="42" t="s">
        <v>94</v>
      </c>
      <c r="C60" s="44">
        <f>C58/$O$58</f>
        <v>0.13275862068965516</v>
      </c>
      <c r="D60" s="44">
        <f t="shared" ref="D60:N60" si="23">D58/$O$58</f>
        <v>0.1793103448275862</v>
      </c>
      <c r="E60" s="44">
        <f t="shared" si="23"/>
        <v>0.22068965517241379</v>
      </c>
      <c r="F60" s="44">
        <f t="shared" si="23"/>
        <v>0.10172413793103448</v>
      </c>
      <c r="G60" s="44">
        <f t="shared" si="23"/>
        <v>6.8965517241379309E-3</v>
      </c>
      <c r="H60" s="44">
        <f t="shared" si="23"/>
        <v>7.4137931034482754E-2</v>
      </c>
      <c r="I60" s="44">
        <f t="shared" si="23"/>
        <v>0.14827586206896551</v>
      </c>
      <c r="J60" s="44">
        <f t="shared" si="23"/>
        <v>2.4137931034482758E-2</v>
      </c>
      <c r="K60" s="44">
        <f t="shared" si="23"/>
        <v>1.2068965517241379E-2</v>
      </c>
      <c r="L60" s="44">
        <f t="shared" si="23"/>
        <v>9.8275862068965519E-2</v>
      </c>
      <c r="M60" s="44"/>
      <c r="N60" s="44">
        <f t="shared" si="23"/>
        <v>1.7241379310344827E-3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26"/>
  <sheetViews>
    <sheetView view="pageBreakPreview" zoomScale="60" workbookViewId="0">
      <selection activeCell="C11" sqref="C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'29.07 Kigumba-Karuma'!C3:G3</f>
        <v>MCC - C5 - STN113 - KIGUMBA-KARUMA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'01.08 Karuma-Kigumba'!D5</f>
        <v>01.08.19</v>
      </c>
      <c r="E5" s="3"/>
      <c r="F5" s="41" t="s">
        <v>1</v>
      </c>
      <c r="G5" s="71" t="str">
        <f>'01.08 Karuma-Kigumba'!G5:H5</f>
        <v>nanda</v>
      </c>
      <c r="H5" s="72"/>
      <c r="I5" s="14"/>
      <c r="J5" s="2" t="s">
        <v>5</v>
      </c>
      <c r="K5" s="71" t="str">
        <f>'01.08 Karuma-Kigumba'!K5:L5</f>
        <v>xxx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'29.07 Kigumba-Karuma'!D6:E6</f>
        <v>Kigumba</v>
      </c>
      <c r="E6" s="72"/>
      <c r="F6" s="2" t="s">
        <v>2</v>
      </c>
      <c r="G6" s="71" t="str">
        <f>'29.07 Kigumba-Karuma'!G6:H6</f>
        <v>Karuma</v>
      </c>
      <c r="H6" s="72"/>
      <c r="J6" s="2" t="s">
        <v>21</v>
      </c>
      <c r="K6" s="71" t="str">
        <f>'01.08 Karuma-Kigumba'!K6:L6</f>
        <v>xxx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1">
        <v>1</v>
      </c>
      <c r="D10" s="50">
        <v>0</v>
      </c>
      <c r="E10" s="51">
        <v>1</v>
      </c>
      <c r="F10" s="51">
        <v>0</v>
      </c>
      <c r="G10" s="51">
        <v>0</v>
      </c>
      <c r="H10" s="51">
        <v>0</v>
      </c>
      <c r="I10" s="51">
        <v>2</v>
      </c>
      <c r="J10" s="51">
        <v>0</v>
      </c>
      <c r="K10" s="51">
        <v>0</v>
      </c>
      <c r="L10" s="50">
        <v>1</v>
      </c>
      <c r="M10" s="51">
        <v>1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3</v>
      </c>
      <c r="T10" s="17">
        <f t="shared" si="2"/>
        <v>1</v>
      </c>
      <c r="U10" s="17">
        <f t="shared" si="2"/>
        <v>7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0</v>
      </c>
      <c r="AA10" s="17">
        <f t="shared" si="2"/>
        <v>0</v>
      </c>
      <c r="AB10" s="17">
        <f t="shared" si="2"/>
        <v>10</v>
      </c>
      <c r="AC10" s="17">
        <f t="shared" si="2"/>
        <v>3</v>
      </c>
      <c r="AD10" s="17">
        <f t="shared" si="2"/>
        <v>0</v>
      </c>
      <c r="AE10" s="31">
        <f t="shared" si="2"/>
        <v>29</v>
      </c>
      <c r="AF10" s="31">
        <f t="shared" si="2"/>
        <v>32</v>
      </c>
    </row>
    <row r="11" spans="2:32" s="6" customFormat="1" ht="23.1" customHeight="1" x14ac:dyDescent="0.25">
      <c r="B11" s="23" t="s">
        <v>38</v>
      </c>
      <c r="C11" s="51">
        <v>2</v>
      </c>
      <c r="D11" s="50">
        <v>0</v>
      </c>
      <c r="E11" s="51">
        <v>2</v>
      </c>
      <c r="F11" s="51">
        <v>1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0">
        <v>3</v>
      </c>
      <c r="M11" s="51">
        <v>0</v>
      </c>
      <c r="N11" s="50">
        <v>0</v>
      </c>
      <c r="O11" s="15">
        <f t="shared" si="0"/>
        <v>8</v>
      </c>
      <c r="P11" s="15">
        <f t="shared" si="1"/>
        <v>8</v>
      </c>
      <c r="R11" s="1" t="s">
        <v>7</v>
      </c>
      <c r="S11" s="17">
        <f t="shared" ref="S11:AF11" si="3">SUM(C14:C17)</f>
        <v>3</v>
      </c>
      <c r="T11" s="17">
        <f t="shared" si="3"/>
        <v>5</v>
      </c>
      <c r="U11" s="17">
        <f t="shared" si="3"/>
        <v>15</v>
      </c>
      <c r="V11" s="17">
        <f t="shared" si="3"/>
        <v>2</v>
      </c>
      <c r="W11" s="17">
        <f t="shared" si="3"/>
        <v>0</v>
      </c>
      <c r="X11" s="17">
        <f t="shared" si="3"/>
        <v>1</v>
      </c>
      <c r="Y11" s="17">
        <f t="shared" si="3"/>
        <v>10</v>
      </c>
      <c r="Z11" s="17">
        <f t="shared" si="3"/>
        <v>0</v>
      </c>
      <c r="AA11" s="17">
        <f t="shared" si="3"/>
        <v>0</v>
      </c>
      <c r="AB11" s="17">
        <f t="shared" si="3"/>
        <v>8</v>
      </c>
      <c r="AC11" s="17">
        <f t="shared" si="3"/>
        <v>16</v>
      </c>
      <c r="AD11" s="17">
        <f t="shared" si="3"/>
        <v>0</v>
      </c>
      <c r="AE11" s="31">
        <f t="shared" si="3"/>
        <v>44</v>
      </c>
      <c r="AF11" s="31">
        <f t="shared" si="3"/>
        <v>60</v>
      </c>
    </row>
    <row r="12" spans="2:32" ht="23.1" customHeight="1" x14ac:dyDescent="0.25">
      <c r="B12" s="23" t="s">
        <v>39</v>
      </c>
      <c r="C12" s="51">
        <v>0</v>
      </c>
      <c r="D12" s="50">
        <v>0</v>
      </c>
      <c r="E12" s="51">
        <v>1</v>
      </c>
      <c r="F12" s="51">
        <v>0</v>
      </c>
      <c r="G12" s="51">
        <v>0</v>
      </c>
      <c r="H12" s="51">
        <v>0</v>
      </c>
      <c r="I12" s="51">
        <v>3</v>
      </c>
      <c r="J12" s="51">
        <v>0</v>
      </c>
      <c r="K12" s="51">
        <v>0</v>
      </c>
      <c r="L12" s="50">
        <v>3</v>
      </c>
      <c r="M12" s="51">
        <v>1</v>
      </c>
      <c r="N12" s="50">
        <v>0</v>
      </c>
      <c r="O12" s="15">
        <f t="shared" si="0"/>
        <v>7</v>
      </c>
      <c r="P12" s="15">
        <f t="shared" si="1"/>
        <v>8</v>
      </c>
      <c r="R12" s="1" t="s">
        <v>8</v>
      </c>
      <c r="S12" s="17">
        <f t="shared" ref="S12:AF12" si="4">SUM(C18:C21)</f>
        <v>3</v>
      </c>
      <c r="T12" s="17">
        <f t="shared" si="4"/>
        <v>6</v>
      </c>
      <c r="U12" s="17">
        <f t="shared" si="4"/>
        <v>17</v>
      </c>
      <c r="V12" s="17">
        <f t="shared" si="4"/>
        <v>5</v>
      </c>
      <c r="W12" s="17">
        <f t="shared" si="4"/>
        <v>1</v>
      </c>
      <c r="X12" s="17">
        <f t="shared" si="4"/>
        <v>0</v>
      </c>
      <c r="Y12" s="17">
        <f t="shared" si="4"/>
        <v>0</v>
      </c>
      <c r="Z12" s="17">
        <f t="shared" si="4"/>
        <v>1</v>
      </c>
      <c r="AA12" s="17">
        <f t="shared" si="4"/>
        <v>1</v>
      </c>
      <c r="AB12" s="17">
        <f t="shared" si="4"/>
        <v>5</v>
      </c>
      <c r="AC12" s="17">
        <f t="shared" si="4"/>
        <v>20</v>
      </c>
      <c r="AD12" s="17">
        <f t="shared" si="4"/>
        <v>0</v>
      </c>
      <c r="AE12" s="31">
        <f t="shared" si="4"/>
        <v>39</v>
      </c>
      <c r="AF12" s="31">
        <f t="shared" si="4"/>
        <v>59</v>
      </c>
    </row>
    <row r="13" spans="2:32" ht="23.1" customHeight="1" x14ac:dyDescent="0.25">
      <c r="B13" s="23" t="s">
        <v>40</v>
      </c>
      <c r="C13" s="51">
        <v>0</v>
      </c>
      <c r="D13" s="50">
        <v>1</v>
      </c>
      <c r="E13" s="51">
        <v>3</v>
      </c>
      <c r="F13" s="51">
        <v>0</v>
      </c>
      <c r="G13" s="51">
        <v>0</v>
      </c>
      <c r="H13" s="51">
        <v>0</v>
      </c>
      <c r="I13" s="51">
        <v>2</v>
      </c>
      <c r="J13" s="51">
        <v>0</v>
      </c>
      <c r="K13" s="51">
        <v>0</v>
      </c>
      <c r="L13" s="50">
        <v>3</v>
      </c>
      <c r="M13" s="51">
        <v>1</v>
      </c>
      <c r="N13" s="50">
        <v>0</v>
      </c>
      <c r="O13" s="15">
        <f t="shared" si="0"/>
        <v>9</v>
      </c>
      <c r="P13" s="15">
        <f t="shared" si="1"/>
        <v>10</v>
      </c>
      <c r="R13" s="1" t="s">
        <v>9</v>
      </c>
      <c r="S13" s="17">
        <f t="shared" ref="S13:AF13" si="5">SUM(C22:C25)</f>
        <v>4</v>
      </c>
      <c r="T13" s="17">
        <f t="shared" si="5"/>
        <v>2</v>
      </c>
      <c r="U13" s="17">
        <f t="shared" si="5"/>
        <v>13</v>
      </c>
      <c r="V13" s="17">
        <f t="shared" si="5"/>
        <v>10</v>
      </c>
      <c r="W13" s="17">
        <f t="shared" si="5"/>
        <v>0</v>
      </c>
      <c r="X13" s="17">
        <f t="shared" si="5"/>
        <v>3</v>
      </c>
      <c r="Y13" s="17">
        <f t="shared" si="5"/>
        <v>6</v>
      </c>
      <c r="Z13" s="17">
        <f t="shared" si="5"/>
        <v>1</v>
      </c>
      <c r="AA13" s="17">
        <f t="shared" si="5"/>
        <v>0</v>
      </c>
      <c r="AB13" s="17">
        <f t="shared" si="5"/>
        <v>3</v>
      </c>
      <c r="AC13" s="17">
        <f t="shared" si="5"/>
        <v>18</v>
      </c>
      <c r="AD13" s="17">
        <f t="shared" si="5"/>
        <v>0</v>
      </c>
      <c r="AE13" s="31">
        <f t="shared" si="5"/>
        <v>42</v>
      </c>
      <c r="AF13" s="31">
        <f t="shared" si="5"/>
        <v>60</v>
      </c>
    </row>
    <row r="14" spans="2:32" ht="23.1" customHeight="1" x14ac:dyDescent="0.25">
      <c r="B14" s="23" t="s">
        <v>41</v>
      </c>
      <c r="C14" s="51">
        <v>1</v>
      </c>
      <c r="D14" s="50">
        <v>0</v>
      </c>
      <c r="E14" s="51">
        <v>1</v>
      </c>
      <c r="F14" s="51">
        <v>0</v>
      </c>
      <c r="G14" s="51">
        <v>0</v>
      </c>
      <c r="H14" s="51">
        <v>0</v>
      </c>
      <c r="I14" s="51">
        <v>4</v>
      </c>
      <c r="J14" s="51">
        <v>0</v>
      </c>
      <c r="K14" s="51">
        <v>0</v>
      </c>
      <c r="L14" s="50">
        <v>3</v>
      </c>
      <c r="M14" s="51">
        <v>6</v>
      </c>
      <c r="N14" s="50">
        <v>0</v>
      </c>
      <c r="O14" s="15">
        <f t="shared" si="0"/>
        <v>9</v>
      </c>
      <c r="P14" s="15">
        <f t="shared" si="1"/>
        <v>15</v>
      </c>
      <c r="R14" s="1" t="s">
        <v>10</v>
      </c>
      <c r="S14" s="17">
        <f t="shared" ref="S14:AF14" si="6">SUM(C26:C29)</f>
        <v>6</v>
      </c>
      <c r="T14" s="17">
        <f t="shared" si="6"/>
        <v>1</v>
      </c>
      <c r="U14" s="17">
        <f t="shared" si="6"/>
        <v>10</v>
      </c>
      <c r="V14" s="17">
        <f t="shared" si="6"/>
        <v>8</v>
      </c>
      <c r="W14" s="17">
        <f t="shared" si="6"/>
        <v>2</v>
      </c>
      <c r="X14" s="17">
        <f t="shared" si="6"/>
        <v>3</v>
      </c>
      <c r="Y14" s="17">
        <f t="shared" si="6"/>
        <v>4</v>
      </c>
      <c r="Z14" s="17">
        <f t="shared" si="6"/>
        <v>0</v>
      </c>
      <c r="AA14" s="17">
        <f t="shared" si="6"/>
        <v>0</v>
      </c>
      <c r="AB14" s="17">
        <f t="shared" si="6"/>
        <v>1</v>
      </c>
      <c r="AC14" s="17">
        <f t="shared" si="6"/>
        <v>12</v>
      </c>
      <c r="AD14" s="17">
        <f t="shared" si="6"/>
        <v>0</v>
      </c>
      <c r="AE14" s="31">
        <f t="shared" si="6"/>
        <v>35</v>
      </c>
      <c r="AF14" s="31">
        <f t="shared" si="6"/>
        <v>47</v>
      </c>
    </row>
    <row r="15" spans="2:32" ht="23.1" customHeight="1" x14ac:dyDescent="0.25">
      <c r="B15" s="23" t="s">
        <v>42</v>
      </c>
      <c r="C15" s="51">
        <v>0</v>
      </c>
      <c r="D15" s="50">
        <v>2</v>
      </c>
      <c r="E15" s="51">
        <v>6</v>
      </c>
      <c r="F15" s="51">
        <v>1</v>
      </c>
      <c r="G15" s="51">
        <v>0</v>
      </c>
      <c r="H15" s="51">
        <v>0</v>
      </c>
      <c r="I15" s="51">
        <v>3</v>
      </c>
      <c r="J15" s="51">
        <v>0</v>
      </c>
      <c r="K15" s="51">
        <v>0</v>
      </c>
      <c r="L15" s="50">
        <v>1</v>
      </c>
      <c r="M15" s="51">
        <v>5</v>
      </c>
      <c r="N15" s="50">
        <v>0</v>
      </c>
      <c r="O15" s="15">
        <f t="shared" si="0"/>
        <v>13</v>
      </c>
      <c r="P15" s="15">
        <f t="shared" si="1"/>
        <v>18</v>
      </c>
      <c r="R15" s="1" t="s">
        <v>11</v>
      </c>
      <c r="S15" s="17">
        <f t="shared" ref="S15:AF15" si="7">SUM(C30:C33)</f>
        <v>9</v>
      </c>
      <c r="T15" s="17">
        <f t="shared" si="7"/>
        <v>5</v>
      </c>
      <c r="U15" s="17">
        <f t="shared" si="7"/>
        <v>16</v>
      </c>
      <c r="V15" s="17">
        <f t="shared" si="7"/>
        <v>4</v>
      </c>
      <c r="W15" s="17">
        <f t="shared" si="7"/>
        <v>0</v>
      </c>
      <c r="X15" s="17">
        <f t="shared" si="7"/>
        <v>4</v>
      </c>
      <c r="Y15" s="17">
        <f t="shared" si="7"/>
        <v>2</v>
      </c>
      <c r="Z15" s="17">
        <f t="shared" si="7"/>
        <v>1</v>
      </c>
      <c r="AA15" s="17">
        <f t="shared" si="7"/>
        <v>1</v>
      </c>
      <c r="AB15" s="17">
        <f t="shared" si="7"/>
        <v>2</v>
      </c>
      <c r="AC15" s="17">
        <f t="shared" si="7"/>
        <v>14</v>
      </c>
      <c r="AD15" s="17">
        <f t="shared" si="7"/>
        <v>0</v>
      </c>
      <c r="AE15" s="31">
        <f t="shared" si="7"/>
        <v>44</v>
      </c>
      <c r="AF15" s="31">
        <f t="shared" si="7"/>
        <v>58</v>
      </c>
    </row>
    <row r="16" spans="2:32" ht="23.1" customHeight="1" x14ac:dyDescent="0.25">
      <c r="B16" s="23" t="s">
        <v>43</v>
      </c>
      <c r="C16" s="51">
        <v>1</v>
      </c>
      <c r="D16" s="50">
        <v>2</v>
      </c>
      <c r="E16" s="51">
        <v>5</v>
      </c>
      <c r="F16" s="51">
        <v>1</v>
      </c>
      <c r="G16" s="51">
        <v>0</v>
      </c>
      <c r="H16" s="51">
        <v>0</v>
      </c>
      <c r="I16" s="51">
        <v>1</v>
      </c>
      <c r="J16" s="51">
        <v>0</v>
      </c>
      <c r="K16" s="51">
        <v>0</v>
      </c>
      <c r="L16" s="50">
        <v>3</v>
      </c>
      <c r="M16" s="51">
        <v>1</v>
      </c>
      <c r="N16" s="50">
        <v>0</v>
      </c>
      <c r="O16" s="15">
        <f t="shared" si="0"/>
        <v>13</v>
      </c>
      <c r="P16" s="15">
        <f t="shared" si="1"/>
        <v>14</v>
      </c>
      <c r="R16" s="1" t="s">
        <v>12</v>
      </c>
      <c r="S16" s="17">
        <f t="shared" ref="S16:AF16" si="8">SUM(C34:C37)</f>
        <v>7</v>
      </c>
      <c r="T16" s="17">
        <f t="shared" si="8"/>
        <v>6</v>
      </c>
      <c r="U16" s="17">
        <f t="shared" si="8"/>
        <v>20</v>
      </c>
      <c r="V16" s="17">
        <f t="shared" si="8"/>
        <v>6</v>
      </c>
      <c r="W16" s="17">
        <f t="shared" si="8"/>
        <v>0</v>
      </c>
      <c r="X16" s="17">
        <f t="shared" si="8"/>
        <v>5</v>
      </c>
      <c r="Y16" s="17">
        <f t="shared" si="8"/>
        <v>4</v>
      </c>
      <c r="Z16" s="17">
        <f t="shared" si="8"/>
        <v>1</v>
      </c>
      <c r="AA16" s="17">
        <f t="shared" si="8"/>
        <v>2</v>
      </c>
      <c r="AB16" s="17">
        <f t="shared" si="8"/>
        <v>0</v>
      </c>
      <c r="AC16" s="17">
        <f t="shared" si="8"/>
        <v>14</v>
      </c>
      <c r="AD16" s="17">
        <f t="shared" si="8"/>
        <v>0</v>
      </c>
      <c r="AE16" s="31">
        <f t="shared" si="8"/>
        <v>51</v>
      </c>
      <c r="AF16" s="31">
        <f t="shared" si="8"/>
        <v>65</v>
      </c>
    </row>
    <row r="17" spans="2:32" ht="23.1" customHeight="1" x14ac:dyDescent="0.25">
      <c r="B17" s="23" t="s">
        <v>44</v>
      </c>
      <c r="C17" s="51">
        <v>1</v>
      </c>
      <c r="D17" s="50">
        <v>1</v>
      </c>
      <c r="E17" s="51">
        <v>3</v>
      </c>
      <c r="F17" s="51">
        <v>0</v>
      </c>
      <c r="G17" s="51">
        <v>0</v>
      </c>
      <c r="H17" s="51">
        <v>1</v>
      </c>
      <c r="I17" s="51">
        <v>2</v>
      </c>
      <c r="J17" s="51">
        <v>0</v>
      </c>
      <c r="K17" s="51">
        <v>0</v>
      </c>
      <c r="L17" s="50">
        <v>1</v>
      </c>
      <c r="M17" s="51">
        <v>4</v>
      </c>
      <c r="N17" s="50">
        <v>0</v>
      </c>
      <c r="O17" s="15">
        <f t="shared" si="0"/>
        <v>9</v>
      </c>
      <c r="P17" s="15">
        <f t="shared" si="1"/>
        <v>13</v>
      </c>
      <c r="R17" s="1" t="s">
        <v>13</v>
      </c>
      <c r="S17" s="17">
        <f t="shared" ref="S17:AF17" si="9">SUM(C38:C41)</f>
        <v>5</v>
      </c>
      <c r="T17" s="17">
        <f t="shared" si="9"/>
        <v>4</v>
      </c>
      <c r="U17" s="17">
        <f t="shared" si="9"/>
        <v>17</v>
      </c>
      <c r="V17" s="17">
        <f t="shared" si="9"/>
        <v>3</v>
      </c>
      <c r="W17" s="17">
        <f t="shared" si="9"/>
        <v>1</v>
      </c>
      <c r="X17" s="17">
        <f t="shared" si="9"/>
        <v>1</v>
      </c>
      <c r="Y17" s="17">
        <f t="shared" si="9"/>
        <v>10</v>
      </c>
      <c r="Z17" s="17">
        <f t="shared" si="9"/>
        <v>3</v>
      </c>
      <c r="AA17" s="17">
        <f t="shared" si="9"/>
        <v>1</v>
      </c>
      <c r="AB17" s="17">
        <f t="shared" si="9"/>
        <v>0</v>
      </c>
      <c r="AC17" s="17">
        <f t="shared" si="9"/>
        <v>10</v>
      </c>
      <c r="AD17" s="17">
        <f t="shared" si="9"/>
        <v>0</v>
      </c>
      <c r="AE17" s="31">
        <f t="shared" si="9"/>
        <v>45</v>
      </c>
      <c r="AF17" s="31">
        <f t="shared" si="9"/>
        <v>55</v>
      </c>
    </row>
    <row r="18" spans="2:32" ht="23.1" customHeight="1" x14ac:dyDescent="0.25">
      <c r="B18" s="23" t="s">
        <v>45</v>
      </c>
      <c r="C18" s="51">
        <v>1</v>
      </c>
      <c r="D18" s="50">
        <v>2</v>
      </c>
      <c r="E18" s="51">
        <v>5</v>
      </c>
      <c r="F18" s="51">
        <v>1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0">
        <v>3</v>
      </c>
      <c r="M18" s="51">
        <v>7</v>
      </c>
      <c r="N18" s="50">
        <v>0</v>
      </c>
      <c r="O18" s="15">
        <f t="shared" si="0"/>
        <v>12</v>
      </c>
      <c r="P18" s="15">
        <f t="shared" si="1"/>
        <v>19</v>
      </c>
      <c r="R18" s="1" t="s">
        <v>14</v>
      </c>
      <c r="S18" s="17">
        <f t="shared" ref="S18:AF18" si="10">SUM(C42:C45)</f>
        <v>13</v>
      </c>
      <c r="T18" s="17">
        <f t="shared" si="10"/>
        <v>6</v>
      </c>
      <c r="U18" s="17">
        <f t="shared" si="10"/>
        <v>18</v>
      </c>
      <c r="V18" s="17">
        <f t="shared" si="10"/>
        <v>7</v>
      </c>
      <c r="W18" s="17">
        <f t="shared" si="10"/>
        <v>2</v>
      </c>
      <c r="X18" s="17">
        <f t="shared" si="10"/>
        <v>4</v>
      </c>
      <c r="Y18" s="17">
        <f t="shared" si="10"/>
        <v>4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13</v>
      </c>
      <c r="AD18" s="17">
        <f t="shared" si="10"/>
        <v>0</v>
      </c>
      <c r="AE18" s="31">
        <f t="shared" si="10"/>
        <v>58</v>
      </c>
      <c r="AF18" s="31">
        <f t="shared" si="10"/>
        <v>71</v>
      </c>
    </row>
    <row r="19" spans="2:32" ht="23.1" customHeight="1" x14ac:dyDescent="0.25">
      <c r="B19" s="23" t="s">
        <v>46</v>
      </c>
      <c r="C19" s="51">
        <v>1</v>
      </c>
      <c r="D19" s="50">
        <v>3</v>
      </c>
      <c r="E19" s="51">
        <v>7</v>
      </c>
      <c r="F19" s="51">
        <v>2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0">
        <v>0</v>
      </c>
      <c r="M19" s="51">
        <v>4</v>
      </c>
      <c r="N19" s="50">
        <v>0</v>
      </c>
      <c r="O19" s="15">
        <f t="shared" si="0"/>
        <v>13</v>
      </c>
      <c r="P19" s="15">
        <f t="shared" si="1"/>
        <v>17</v>
      </c>
      <c r="R19" s="1" t="s">
        <v>15</v>
      </c>
      <c r="S19" s="17">
        <f t="shared" ref="S19:AF19" si="11">SUM(C46:C49)</f>
        <v>13</v>
      </c>
      <c r="T19" s="17">
        <f t="shared" si="11"/>
        <v>4</v>
      </c>
      <c r="U19" s="17">
        <f t="shared" si="11"/>
        <v>16</v>
      </c>
      <c r="V19" s="17">
        <f t="shared" si="11"/>
        <v>11</v>
      </c>
      <c r="W19" s="17">
        <f t="shared" si="11"/>
        <v>0</v>
      </c>
      <c r="X19" s="17">
        <f t="shared" si="11"/>
        <v>7</v>
      </c>
      <c r="Y19" s="17">
        <f t="shared" si="11"/>
        <v>12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24</v>
      </c>
      <c r="AD19" s="17">
        <f t="shared" si="11"/>
        <v>0</v>
      </c>
      <c r="AE19" s="31">
        <f t="shared" si="11"/>
        <v>63</v>
      </c>
      <c r="AF19" s="31">
        <f t="shared" si="11"/>
        <v>87</v>
      </c>
    </row>
    <row r="20" spans="2:32" ht="23.1" customHeight="1" x14ac:dyDescent="0.25">
      <c r="B20" s="23" t="s">
        <v>47</v>
      </c>
      <c r="C20" s="51">
        <v>1</v>
      </c>
      <c r="D20" s="50">
        <v>1</v>
      </c>
      <c r="E20" s="51">
        <v>3</v>
      </c>
      <c r="F20" s="51">
        <v>1</v>
      </c>
      <c r="G20" s="51">
        <v>1</v>
      </c>
      <c r="H20" s="51">
        <v>0</v>
      </c>
      <c r="I20" s="51">
        <v>0</v>
      </c>
      <c r="J20" s="51">
        <v>0</v>
      </c>
      <c r="K20" s="51">
        <v>1</v>
      </c>
      <c r="L20" s="50">
        <v>1</v>
      </c>
      <c r="M20" s="51">
        <v>5</v>
      </c>
      <c r="N20" s="50">
        <v>0</v>
      </c>
      <c r="O20" s="15">
        <f t="shared" si="0"/>
        <v>9</v>
      </c>
      <c r="P20" s="15">
        <f t="shared" si="1"/>
        <v>14</v>
      </c>
      <c r="R20" s="1" t="s">
        <v>16</v>
      </c>
      <c r="S20" s="17">
        <f t="shared" ref="S20:AF20" si="12">SUM(C50:C53)</f>
        <v>10</v>
      </c>
      <c r="T20" s="17">
        <f t="shared" si="12"/>
        <v>3</v>
      </c>
      <c r="U20" s="17">
        <f t="shared" si="12"/>
        <v>18</v>
      </c>
      <c r="V20" s="17">
        <f t="shared" si="12"/>
        <v>6</v>
      </c>
      <c r="W20" s="17">
        <f t="shared" si="12"/>
        <v>0</v>
      </c>
      <c r="X20" s="17">
        <f t="shared" si="12"/>
        <v>5</v>
      </c>
      <c r="Y20" s="17">
        <f t="shared" si="12"/>
        <v>8</v>
      </c>
      <c r="Z20" s="17">
        <f t="shared" si="12"/>
        <v>1</v>
      </c>
      <c r="AA20" s="17">
        <f t="shared" si="12"/>
        <v>3</v>
      </c>
      <c r="AB20" s="17">
        <f t="shared" si="12"/>
        <v>0</v>
      </c>
      <c r="AC20" s="17">
        <f t="shared" si="12"/>
        <v>21</v>
      </c>
      <c r="AD20" s="17">
        <f t="shared" si="12"/>
        <v>0</v>
      </c>
      <c r="AE20" s="31">
        <f t="shared" si="12"/>
        <v>54</v>
      </c>
      <c r="AF20" s="31">
        <f t="shared" si="12"/>
        <v>75</v>
      </c>
    </row>
    <row r="21" spans="2:32" ht="23.1" customHeight="1" x14ac:dyDescent="0.25">
      <c r="B21" s="23" t="s">
        <v>48</v>
      </c>
      <c r="C21" s="51">
        <v>0</v>
      </c>
      <c r="D21" s="50">
        <v>0</v>
      </c>
      <c r="E21" s="51">
        <v>2</v>
      </c>
      <c r="F21" s="51">
        <v>1</v>
      </c>
      <c r="G21" s="51">
        <v>0</v>
      </c>
      <c r="H21" s="51">
        <v>0</v>
      </c>
      <c r="I21" s="51">
        <v>0</v>
      </c>
      <c r="J21" s="51">
        <v>1</v>
      </c>
      <c r="K21" s="51">
        <v>0</v>
      </c>
      <c r="L21" s="50">
        <v>1</v>
      </c>
      <c r="M21" s="51">
        <v>4</v>
      </c>
      <c r="N21" s="50">
        <v>0</v>
      </c>
      <c r="O21" s="15">
        <f t="shared" si="0"/>
        <v>5</v>
      </c>
      <c r="P21" s="15">
        <f t="shared" si="1"/>
        <v>9</v>
      </c>
      <c r="R21" s="36" t="s">
        <v>20</v>
      </c>
      <c r="S21" s="34">
        <f t="shared" ref="S21:AF21" si="13">SUM(C54:C57)</f>
        <v>5</v>
      </c>
      <c r="T21" s="17">
        <f t="shared" si="13"/>
        <v>8</v>
      </c>
      <c r="U21" s="17">
        <f t="shared" si="13"/>
        <v>23</v>
      </c>
      <c r="V21" s="17">
        <f t="shared" si="13"/>
        <v>6</v>
      </c>
      <c r="W21" s="17">
        <f t="shared" si="13"/>
        <v>0</v>
      </c>
      <c r="X21" s="17">
        <f t="shared" si="13"/>
        <v>4</v>
      </c>
      <c r="Y21" s="17">
        <f t="shared" si="13"/>
        <v>7</v>
      </c>
      <c r="Z21" s="17">
        <f t="shared" si="13"/>
        <v>2</v>
      </c>
      <c r="AA21" s="17">
        <f t="shared" si="13"/>
        <v>1</v>
      </c>
      <c r="AB21" s="17">
        <f t="shared" si="13"/>
        <v>8</v>
      </c>
      <c r="AC21" s="17">
        <f t="shared" si="13"/>
        <v>13</v>
      </c>
      <c r="AD21" s="17">
        <f t="shared" si="13"/>
        <v>0</v>
      </c>
      <c r="AE21" s="31">
        <f t="shared" si="13"/>
        <v>64</v>
      </c>
      <c r="AF21" s="31">
        <f t="shared" si="13"/>
        <v>77</v>
      </c>
    </row>
    <row r="22" spans="2:32" ht="23.1" customHeight="1" x14ac:dyDescent="0.25">
      <c r="B22" s="23" t="s">
        <v>49</v>
      </c>
      <c r="C22" s="51">
        <v>1</v>
      </c>
      <c r="D22" s="50">
        <v>0</v>
      </c>
      <c r="E22" s="51">
        <v>3</v>
      </c>
      <c r="F22" s="51">
        <v>4</v>
      </c>
      <c r="G22" s="51">
        <v>0</v>
      </c>
      <c r="H22" s="51">
        <v>1</v>
      </c>
      <c r="I22" s="51">
        <v>0</v>
      </c>
      <c r="J22" s="51">
        <v>0</v>
      </c>
      <c r="K22" s="51">
        <v>0</v>
      </c>
      <c r="L22" s="50">
        <v>2</v>
      </c>
      <c r="M22" s="51">
        <v>4</v>
      </c>
      <c r="N22" s="50">
        <v>0</v>
      </c>
      <c r="O22" s="15">
        <f t="shared" si="0"/>
        <v>11</v>
      </c>
      <c r="P22" s="15">
        <f t="shared" si="1"/>
        <v>15</v>
      </c>
      <c r="R22" s="38" t="s">
        <v>90</v>
      </c>
      <c r="S22" s="39">
        <f>MAX(S10:S12)</f>
        <v>3</v>
      </c>
      <c r="T22" s="39">
        <f t="shared" ref="T22:AF22" si="14">MAX(T10:T12)</f>
        <v>6</v>
      </c>
      <c r="U22" s="39">
        <f t="shared" si="14"/>
        <v>17</v>
      </c>
      <c r="V22" s="39">
        <f t="shared" si="14"/>
        <v>5</v>
      </c>
      <c r="W22" s="39">
        <f t="shared" si="14"/>
        <v>1</v>
      </c>
      <c r="X22" s="39">
        <f t="shared" si="14"/>
        <v>1</v>
      </c>
      <c r="Y22" s="39">
        <f t="shared" si="14"/>
        <v>10</v>
      </c>
      <c r="Z22" s="39">
        <f t="shared" si="14"/>
        <v>1</v>
      </c>
      <c r="AA22" s="39">
        <f t="shared" si="14"/>
        <v>1</v>
      </c>
      <c r="AB22" s="39">
        <f t="shared" si="14"/>
        <v>10</v>
      </c>
      <c r="AC22" s="39">
        <f t="shared" si="14"/>
        <v>20</v>
      </c>
      <c r="AD22" s="39">
        <f t="shared" si="14"/>
        <v>0</v>
      </c>
      <c r="AE22" s="40">
        <f t="shared" si="14"/>
        <v>44</v>
      </c>
      <c r="AF22" s="40">
        <f t="shared" si="14"/>
        <v>60</v>
      </c>
    </row>
    <row r="23" spans="2:32" ht="23.1" customHeight="1" x14ac:dyDescent="0.25">
      <c r="B23" s="23" t="s">
        <v>50</v>
      </c>
      <c r="C23" s="51">
        <v>0</v>
      </c>
      <c r="D23" s="50">
        <v>1</v>
      </c>
      <c r="E23" s="51">
        <v>4</v>
      </c>
      <c r="F23" s="51">
        <v>1</v>
      </c>
      <c r="G23" s="51">
        <v>0</v>
      </c>
      <c r="H23" s="51">
        <v>1</v>
      </c>
      <c r="I23" s="51">
        <v>2</v>
      </c>
      <c r="J23" s="51">
        <v>0</v>
      </c>
      <c r="K23" s="51">
        <v>0</v>
      </c>
      <c r="L23" s="50">
        <v>0</v>
      </c>
      <c r="M23" s="51">
        <v>7</v>
      </c>
      <c r="N23" s="50">
        <v>0</v>
      </c>
      <c r="O23" s="15">
        <f t="shared" si="0"/>
        <v>9</v>
      </c>
      <c r="P23" s="15">
        <f t="shared" si="1"/>
        <v>16</v>
      </c>
      <c r="R23" s="38" t="s">
        <v>91</v>
      </c>
      <c r="S23" s="39">
        <f>MAX(S13:S18)</f>
        <v>13</v>
      </c>
      <c r="T23" s="39">
        <f t="shared" ref="T23:AF23" si="15">MAX(T13:T18)</f>
        <v>6</v>
      </c>
      <c r="U23" s="39">
        <f t="shared" si="15"/>
        <v>20</v>
      </c>
      <c r="V23" s="39">
        <f t="shared" si="15"/>
        <v>10</v>
      </c>
      <c r="W23" s="39">
        <f t="shared" si="15"/>
        <v>2</v>
      </c>
      <c r="X23" s="39">
        <f t="shared" si="15"/>
        <v>5</v>
      </c>
      <c r="Y23" s="39">
        <f t="shared" si="15"/>
        <v>10</v>
      </c>
      <c r="Z23" s="39">
        <f t="shared" si="15"/>
        <v>4</v>
      </c>
      <c r="AA23" s="39">
        <f t="shared" si="15"/>
        <v>2</v>
      </c>
      <c r="AB23" s="39">
        <f t="shared" si="15"/>
        <v>3</v>
      </c>
      <c r="AC23" s="39">
        <f t="shared" si="15"/>
        <v>18</v>
      </c>
      <c r="AD23" s="39">
        <f t="shared" si="15"/>
        <v>0</v>
      </c>
      <c r="AE23" s="40">
        <f t="shared" si="15"/>
        <v>58</v>
      </c>
      <c r="AF23" s="40">
        <f t="shared" si="15"/>
        <v>71</v>
      </c>
    </row>
    <row r="24" spans="2:32" ht="23.1" customHeight="1" x14ac:dyDescent="0.25">
      <c r="B24" s="23" t="s">
        <v>51</v>
      </c>
      <c r="C24" s="51">
        <v>2</v>
      </c>
      <c r="D24" s="50">
        <v>1</v>
      </c>
      <c r="E24" s="51">
        <v>4</v>
      </c>
      <c r="F24" s="51">
        <v>0</v>
      </c>
      <c r="G24" s="51">
        <v>0</v>
      </c>
      <c r="H24" s="51">
        <v>0</v>
      </c>
      <c r="I24" s="51">
        <v>2</v>
      </c>
      <c r="J24" s="51">
        <v>0</v>
      </c>
      <c r="K24" s="51">
        <v>0</v>
      </c>
      <c r="L24" s="50">
        <v>0</v>
      </c>
      <c r="M24" s="51">
        <v>4</v>
      </c>
      <c r="N24" s="50">
        <v>0</v>
      </c>
      <c r="O24" s="15">
        <f t="shared" si="0"/>
        <v>9</v>
      </c>
      <c r="P24" s="15">
        <f t="shared" si="1"/>
        <v>13</v>
      </c>
      <c r="R24" s="38" t="s">
        <v>92</v>
      </c>
      <c r="S24" s="39">
        <f>MAX(S19:S21)</f>
        <v>13</v>
      </c>
      <c r="T24" s="39">
        <f t="shared" ref="T24:AF24" si="16">MAX(T19:T21)</f>
        <v>8</v>
      </c>
      <c r="U24" s="39">
        <f t="shared" si="16"/>
        <v>23</v>
      </c>
      <c r="V24" s="39">
        <f t="shared" si="16"/>
        <v>11</v>
      </c>
      <c r="W24" s="39">
        <f t="shared" si="16"/>
        <v>0</v>
      </c>
      <c r="X24" s="39">
        <f t="shared" si="16"/>
        <v>7</v>
      </c>
      <c r="Y24" s="39">
        <f t="shared" si="16"/>
        <v>12</v>
      </c>
      <c r="Z24" s="39">
        <f t="shared" si="16"/>
        <v>2</v>
      </c>
      <c r="AA24" s="39">
        <f t="shared" si="16"/>
        <v>3</v>
      </c>
      <c r="AB24" s="39">
        <f t="shared" si="16"/>
        <v>8</v>
      </c>
      <c r="AC24" s="39">
        <f t="shared" si="16"/>
        <v>24</v>
      </c>
      <c r="AD24" s="39">
        <f t="shared" si="16"/>
        <v>0</v>
      </c>
      <c r="AE24" s="40">
        <f t="shared" si="16"/>
        <v>64</v>
      </c>
      <c r="AF24" s="40">
        <f t="shared" si="16"/>
        <v>87</v>
      </c>
    </row>
    <row r="25" spans="2:32" ht="23.1" customHeight="1" x14ac:dyDescent="0.25">
      <c r="B25" s="23" t="s">
        <v>52</v>
      </c>
      <c r="C25" s="51">
        <v>1</v>
      </c>
      <c r="D25" s="50">
        <v>0</v>
      </c>
      <c r="E25" s="51">
        <v>2</v>
      </c>
      <c r="F25" s="51">
        <v>5</v>
      </c>
      <c r="G25" s="51">
        <v>0</v>
      </c>
      <c r="H25" s="51">
        <v>1</v>
      </c>
      <c r="I25" s="51">
        <v>2</v>
      </c>
      <c r="J25" s="51">
        <v>1</v>
      </c>
      <c r="K25" s="51">
        <v>0</v>
      </c>
      <c r="L25" s="50">
        <v>1</v>
      </c>
      <c r="M25" s="51">
        <v>3</v>
      </c>
      <c r="N25" s="50">
        <v>0</v>
      </c>
      <c r="O25" s="15">
        <f t="shared" si="0"/>
        <v>13</v>
      </c>
      <c r="P25" s="15">
        <f t="shared" si="1"/>
        <v>16</v>
      </c>
      <c r="R25" s="37" t="s">
        <v>85</v>
      </c>
      <c r="S25" s="35">
        <f t="shared" ref="S25:AF25" si="17">SUM(S10:S12)</f>
        <v>9</v>
      </c>
      <c r="T25" s="16">
        <f t="shared" si="17"/>
        <v>12</v>
      </c>
      <c r="U25" s="16">
        <f t="shared" si="17"/>
        <v>39</v>
      </c>
      <c r="V25" s="16">
        <f t="shared" si="17"/>
        <v>8</v>
      </c>
      <c r="W25" s="16">
        <f t="shared" si="17"/>
        <v>1</v>
      </c>
      <c r="X25" s="16">
        <f t="shared" si="17"/>
        <v>1</v>
      </c>
      <c r="Y25" s="16">
        <f t="shared" si="17"/>
        <v>17</v>
      </c>
      <c r="Z25" s="16">
        <f t="shared" si="17"/>
        <v>1</v>
      </c>
      <c r="AA25" s="16">
        <f t="shared" si="17"/>
        <v>1</v>
      </c>
      <c r="AB25" s="16">
        <f t="shared" si="17"/>
        <v>23</v>
      </c>
      <c r="AC25" s="16">
        <f t="shared" si="17"/>
        <v>39</v>
      </c>
      <c r="AD25" s="16">
        <f t="shared" si="17"/>
        <v>0</v>
      </c>
      <c r="AE25" s="32">
        <f t="shared" si="17"/>
        <v>112</v>
      </c>
      <c r="AF25" s="32">
        <f t="shared" si="17"/>
        <v>151</v>
      </c>
    </row>
    <row r="26" spans="2:32" ht="23.1" customHeight="1" x14ac:dyDescent="0.25">
      <c r="B26" s="23" t="s">
        <v>53</v>
      </c>
      <c r="C26" s="51">
        <v>1</v>
      </c>
      <c r="D26" s="50">
        <v>0</v>
      </c>
      <c r="E26" s="51">
        <v>3</v>
      </c>
      <c r="F26" s="51">
        <v>2</v>
      </c>
      <c r="G26" s="51">
        <v>0</v>
      </c>
      <c r="H26" s="51">
        <v>1</v>
      </c>
      <c r="I26" s="51">
        <v>1</v>
      </c>
      <c r="J26" s="51">
        <v>0</v>
      </c>
      <c r="K26" s="51">
        <v>0</v>
      </c>
      <c r="L26" s="50">
        <v>0</v>
      </c>
      <c r="M26" s="51">
        <v>3</v>
      </c>
      <c r="N26" s="50">
        <v>0</v>
      </c>
      <c r="O26" s="15">
        <f t="shared" si="0"/>
        <v>8</v>
      </c>
      <c r="P26" s="15">
        <f t="shared" si="1"/>
        <v>11</v>
      </c>
      <c r="R26" s="28" t="s">
        <v>86</v>
      </c>
      <c r="S26" s="16">
        <f t="shared" ref="S26:AF26" si="18">SUM(S13:S18)</f>
        <v>44</v>
      </c>
      <c r="T26" s="16">
        <f t="shared" si="18"/>
        <v>24</v>
      </c>
      <c r="U26" s="16">
        <f t="shared" si="18"/>
        <v>94</v>
      </c>
      <c r="V26" s="16">
        <f t="shared" si="18"/>
        <v>38</v>
      </c>
      <c r="W26" s="16">
        <f t="shared" si="18"/>
        <v>5</v>
      </c>
      <c r="X26" s="16">
        <f t="shared" si="18"/>
        <v>20</v>
      </c>
      <c r="Y26" s="16">
        <f t="shared" si="18"/>
        <v>30</v>
      </c>
      <c r="Z26" s="16">
        <f t="shared" si="18"/>
        <v>10</v>
      </c>
      <c r="AA26" s="16">
        <f t="shared" si="18"/>
        <v>4</v>
      </c>
      <c r="AB26" s="16">
        <f t="shared" si="18"/>
        <v>6</v>
      </c>
      <c r="AC26" s="16">
        <f t="shared" si="18"/>
        <v>81</v>
      </c>
      <c r="AD26" s="16">
        <f t="shared" si="18"/>
        <v>0</v>
      </c>
      <c r="AE26" s="32">
        <f t="shared" si="18"/>
        <v>275</v>
      </c>
      <c r="AF26" s="32">
        <f t="shared" si="18"/>
        <v>356</v>
      </c>
    </row>
    <row r="27" spans="2:32" ht="23.1" customHeight="1" x14ac:dyDescent="0.25">
      <c r="B27" s="23" t="s">
        <v>54</v>
      </c>
      <c r="C27" s="51">
        <v>1</v>
      </c>
      <c r="D27" s="50">
        <v>0</v>
      </c>
      <c r="E27" s="51">
        <v>3</v>
      </c>
      <c r="F27" s="51">
        <v>2</v>
      </c>
      <c r="G27" s="51">
        <v>1</v>
      </c>
      <c r="H27" s="51">
        <v>0</v>
      </c>
      <c r="I27" s="51">
        <v>2</v>
      </c>
      <c r="J27" s="51">
        <v>0</v>
      </c>
      <c r="K27" s="51">
        <v>0</v>
      </c>
      <c r="L27" s="50">
        <v>1</v>
      </c>
      <c r="M27" s="51">
        <v>3</v>
      </c>
      <c r="N27" s="50">
        <v>0</v>
      </c>
      <c r="O27" s="15">
        <f t="shared" si="0"/>
        <v>10</v>
      </c>
      <c r="P27" s="15">
        <f t="shared" si="1"/>
        <v>13</v>
      </c>
      <c r="R27" s="29" t="s">
        <v>87</v>
      </c>
      <c r="S27" s="16">
        <f t="shared" ref="S27:AF27" si="19">SUM(S19:S21)</f>
        <v>28</v>
      </c>
      <c r="T27" s="16">
        <f t="shared" si="19"/>
        <v>15</v>
      </c>
      <c r="U27" s="16">
        <f t="shared" si="19"/>
        <v>57</v>
      </c>
      <c r="V27" s="16">
        <f t="shared" si="19"/>
        <v>23</v>
      </c>
      <c r="W27" s="16">
        <f t="shared" si="19"/>
        <v>0</v>
      </c>
      <c r="X27" s="16">
        <f t="shared" si="19"/>
        <v>16</v>
      </c>
      <c r="Y27" s="16">
        <f t="shared" si="19"/>
        <v>27</v>
      </c>
      <c r="Z27" s="16">
        <f t="shared" si="19"/>
        <v>3</v>
      </c>
      <c r="AA27" s="16">
        <f t="shared" si="19"/>
        <v>4</v>
      </c>
      <c r="AB27" s="16">
        <f t="shared" si="19"/>
        <v>8</v>
      </c>
      <c r="AC27" s="16">
        <f t="shared" si="19"/>
        <v>58</v>
      </c>
      <c r="AD27" s="16">
        <f t="shared" si="19"/>
        <v>0</v>
      </c>
      <c r="AE27" s="32">
        <f t="shared" si="19"/>
        <v>181</v>
      </c>
      <c r="AF27" s="32">
        <f t="shared" si="19"/>
        <v>239</v>
      </c>
    </row>
    <row r="28" spans="2:32" ht="23.1" customHeight="1" x14ac:dyDescent="0.25">
      <c r="B28" s="23" t="s">
        <v>55</v>
      </c>
      <c r="C28" s="51">
        <v>2</v>
      </c>
      <c r="D28" s="50">
        <v>0</v>
      </c>
      <c r="E28" s="51">
        <v>0</v>
      </c>
      <c r="F28" s="51">
        <v>3</v>
      </c>
      <c r="G28" s="51">
        <v>0</v>
      </c>
      <c r="H28" s="51">
        <v>1</v>
      </c>
      <c r="I28" s="51">
        <v>0</v>
      </c>
      <c r="J28" s="51">
        <v>0</v>
      </c>
      <c r="K28" s="51">
        <v>0</v>
      </c>
      <c r="L28" s="50">
        <v>0</v>
      </c>
      <c r="M28" s="51">
        <v>1</v>
      </c>
      <c r="N28" s="50">
        <v>0</v>
      </c>
      <c r="O28" s="15">
        <f t="shared" si="0"/>
        <v>6</v>
      </c>
      <c r="P28" s="15">
        <f t="shared" si="1"/>
        <v>7</v>
      </c>
      <c r="R28" s="5" t="s">
        <v>17</v>
      </c>
      <c r="S28" s="16">
        <f t="shared" ref="S28:AF28" si="20">SUM(S10:S21)</f>
        <v>81</v>
      </c>
      <c r="T28" s="16">
        <f t="shared" si="20"/>
        <v>51</v>
      </c>
      <c r="U28" s="16">
        <f t="shared" si="20"/>
        <v>190</v>
      </c>
      <c r="V28" s="16">
        <f t="shared" si="20"/>
        <v>69</v>
      </c>
      <c r="W28" s="16">
        <f t="shared" si="20"/>
        <v>6</v>
      </c>
      <c r="X28" s="16">
        <f t="shared" si="20"/>
        <v>37</v>
      </c>
      <c r="Y28" s="16">
        <f t="shared" si="20"/>
        <v>74</v>
      </c>
      <c r="Z28" s="16">
        <f t="shared" si="20"/>
        <v>14</v>
      </c>
      <c r="AA28" s="16">
        <f t="shared" si="20"/>
        <v>9</v>
      </c>
      <c r="AB28" s="16">
        <f t="shared" si="20"/>
        <v>37</v>
      </c>
      <c r="AC28" s="16">
        <f t="shared" si="20"/>
        <v>178</v>
      </c>
      <c r="AD28" s="16">
        <f t="shared" si="20"/>
        <v>0</v>
      </c>
      <c r="AE28" s="32">
        <f t="shared" si="20"/>
        <v>568</v>
      </c>
      <c r="AF28" s="32">
        <f t="shared" si="20"/>
        <v>746</v>
      </c>
    </row>
    <row r="29" spans="2:32" ht="23.1" customHeight="1" x14ac:dyDescent="0.25">
      <c r="B29" s="23" t="s">
        <v>56</v>
      </c>
      <c r="C29" s="51">
        <v>2</v>
      </c>
      <c r="D29" s="50">
        <v>1</v>
      </c>
      <c r="E29" s="51">
        <v>4</v>
      </c>
      <c r="F29" s="51">
        <v>1</v>
      </c>
      <c r="G29" s="51">
        <v>1</v>
      </c>
      <c r="H29" s="51">
        <v>1</v>
      </c>
      <c r="I29" s="51">
        <v>1</v>
      </c>
      <c r="J29" s="51">
        <v>0</v>
      </c>
      <c r="K29" s="51">
        <v>0</v>
      </c>
      <c r="L29" s="50">
        <v>0</v>
      </c>
      <c r="M29" s="51">
        <v>5</v>
      </c>
      <c r="N29" s="50">
        <v>0</v>
      </c>
      <c r="O29" s="15">
        <f t="shared" si="0"/>
        <v>11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1">
        <v>0</v>
      </c>
      <c r="D30" s="50">
        <v>2</v>
      </c>
      <c r="E30" s="51">
        <v>5</v>
      </c>
      <c r="F30" s="51">
        <v>2</v>
      </c>
      <c r="G30" s="51">
        <v>0</v>
      </c>
      <c r="H30" s="51">
        <v>2</v>
      </c>
      <c r="I30" s="51">
        <v>1</v>
      </c>
      <c r="J30" s="51">
        <v>0</v>
      </c>
      <c r="K30" s="51">
        <v>0</v>
      </c>
      <c r="L30" s="50">
        <v>2</v>
      </c>
      <c r="M30" s="51">
        <v>7</v>
      </c>
      <c r="N30" s="50">
        <v>0</v>
      </c>
      <c r="O30" s="15">
        <f t="shared" si="0"/>
        <v>14</v>
      </c>
      <c r="P30" s="15">
        <f t="shared" si="1"/>
        <v>21</v>
      </c>
    </row>
    <row r="31" spans="2:32" ht="23.1" customHeight="1" x14ac:dyDescent="0.25">
      <c r="B31" s="24" t="s">
        <v>58</v>
      </c>
      <c r="C31" s="51">
        <v>1</v>
      </c>
      <c r="D31" s="50">
        <v>1</v>
      </c>
      <c r="E31" s="51">
        <v>3</v>
      </c>
      <c r="F31" s="51">
        <v>0</v>
      </c>
      <c r="G31" s="51">
        <v>0</v>
      </c>
      <c r="H31" s="51">
        <v>2</v>
      </c>
      <c r="I31" s="51">
        <v>1</v>
      </c>
      <c r="J31" s="51">
        <v>0</v>
      </c>
      <c r="K31" s="51">
        <v>0</v>
      </c>
      <c r="L31" s="50">
        <v>0</v>
      </c>
      <c r="M31" s="51">
        <v>4</v>
      </c>
      <c r="N31" s="50">
        <v>0</v>
      </c>
      <c r="O31" s="15">
        <f t="shared" si="0"/>
        <v>8</v>
      </c>
      <c r="P31" s="15">
        <f t="shared" si="1"/>
        <v>12</v>
      </c>
    </row>
    <row r="32" spans="2:32" ht="23.1" customHeight="1" x14ac:dyDescent="0.25">
      <c r="B32" s="24" t="s">
        <v>59</v>
      </c>
      <c r="C32" s="51">
        <v>3</v>
      </c>
      <c r="D32" s="50">
        <v>1</v>
      </c>
      <c r="E32" s="51">
        <v>3</v>
      </c>
      <c r="F32" s="51">
        <v>2</v>
      </c>
      <c r="G32" s="51">
        <v>0</v>
      </c>
      <c r="H32" s="51">
        <v>0</v>
      </c>
      <c r="I32" s="51">
        <v>0</v>
      </c>
      <c r="J32" s="51">
        <v>1</v>
      </c>
      <c r="K32" s="51">
        <v>1</v>
      </c>
      <c r="L32" s="50">
        <v>0</v>
      </c>
      <c r="M32" s="51">
        <v>1</v>
      </c>
      <c r="N32" s="50">
        <v>0</v>
      </c>
      <c r="O32" s="15">
        <f t="shared" si="0"/>
        <v>11</v>
      </c>
      <c r="P32" s="15">
        <f t="shared" si="1"/>
        <v>12</v>
      </c>
    </row>
    <row r="33" spans="2:20" ht="23.1" customHeight="1" x14ac:dyDescent="0.25">
      <c r="B33" s="23" t="s">
        <v>60</v>
      </c>
      <c r="C33" s="51">
        <v>5</v>
      </c>
      <c r="D33" s="50">
        <v>1</v>
      </c>
      <c r="E33" s="51">
        <v>5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0">
        <v>0</v>
      </c>
      <c r="M33" s="51">
        <v>2</v>
      </c>
      <c r="N33" s="50">
        <v>0</v>
      </c>
      <c r="O33" s="15">
        <f t="shared" si="0"/>
        <v>11</v>
      </c>
      <c r="P33" s="15">
        <f t="shared" si="1"/>
        <v>13</v>
      </c>
    </row>
    <row r="34" spans="2:20" ht="23.1" customHeight="1" x14ac:dyDescent="0.25">
      <c r="B34" s="24" t="s">
        <v>61</v>
      </c>
      <c r="C34" s="51">
        <v>1</v>
      </c>
      <c r="D34" s="50">
        <v>1</v>
      </c>
      <c r="E34" s="51">
        <v>3</v>
      </c>
      <c r="F34" s="51">
        <v>2</v>
      </c>
      <c r="G34" s="51">
        <v>0</v>
      </c>
      <c r="H34" s="51">
        <v>1</v>
      </c>
      <c r="I34" s="51">
        <v>1</v>
      </c>
      <c r="J34" s="51">
        <v>1</v>
      </c>
      <c r="K34" s="51">
        <v>1</v>
      </c>
      <c r="L34" s="50">
        <v>0</v>
      </c>
      <c r="M34" s="51">
        <v>2</v>
      </c>
      <c r="N34" s="50">
        <v>0</v>
      </c>
      <c r="O34" s="15">
        <f t="shared" si="0"/>
        <v>11</v>
      </c>
      <c r="P34" s="15">
        <f t="shared" si="1"/>
        <v>13</v>
      </c>
    </row>
    <row r="35" spans="2:20" ht="23.1" customHeight="1" x14ac:dyDescent="0.25">
      <c r="B35" s="24" t="s">
        <v>62</v>
      </c>
      <c r="C35" s="51">
        <v>2</v>
      </c>
      <c r="D35" s="50">
        <v>2</v>
      </c>
      <c r="E35" s="51">
        <v>6</v>
      </c>
      <c r="F35" s="51">
        <v>2</v>
      </c>
      <c r="G35" s="51">
        <v>0</v>
      </c>
      <c r="H35" s="51">
        <v>1</v>
      </c>
      <c r="I35" s="51">
        <v>2</v>
      </c>
      <c r="J35" s="51">
        <v>0</v>
      </c>
      <c r="K35" s="51">
        <v>0</v>
      </c>
      <c r="L35" s="50">
        <v>0</v>
      </c>
      <c r="M35" s="51">
        <v>4</v>
      </c>
      <c r="N35" s="50">
        <v>0</v>
      </c>
      <c r="O35" s="15">
        <f t="shared" si="0"/>
        <v>15</v>
      </c>
      <c r="P35" s="15">
        <f t="shared" si="1"/>
        <v>19</v>
      </c>
    </row>
    <row r="36" spans="2:20" ht="23.1" customHeight="1" x14ac:dyDescent="0.25">
      <c r="B36" s="24" t="s">
        <v>63</v>
      </c>
      <c r="C36" s="51">
        <v>2</v>
      </c>
      <c r="D36" s="50">
        <v>2</v>
      </c>
      <c r="E36" s="51">
        <v>7</v>
      </c>
      <c r="F36" s="51">
        <v>0</v>
      </c>
      <c r="G36" s="51">
        <v>0</v>
      </c>
      <c r="H36" s="51">
        <v>2</v>
      </c>
      <c r="I36" s="51">
        <v>0</v>
      </c>
      <c r="J36" s="51">
        <v>0</v>
      </c>
      <c r="K36" s="51">
        <v>1</v>
      </c>
      <c r="L36" s="50">
        <v>0</v>
      </c>
      <c r="M36" s="51">
        <v>4</v>
      </c>
      <c r="N36" s="50">
        <v>0</v>
      </c>
      <c r="O36" s="15">
        <f t="shared" si="0"/>
        <v>14</v>
      </c>
      <c r="P36" s="15">
        <f t="shared" si="1"/>
        <v>18</v>
      </c>
    </row>
    <row r="37" spans="2:20" ht="23.1" customHeight="1" x14ac:dyDescent="0.25">
      <c r="B37" s="23" t="s">
        <v>64</v>
      </c>
      <c r="C37" s="51">
        <v>2</v>
      </c>
      <c r="D37" s="50">
        <v>1</v>
      </c>
      <c r="E37" s="51">
        <v>4</v>
      </c>
      <c r="F37" s="51">
        <v>2</v>
      </c>
      <c r="G37" s="51">
        <v>0</v>
      </c>
      <c r="H37" s="51">
        <v>1</v>
      </c>
      <c r="I37" s="51">
        <v>1</v>
      </c>
      <c r="J37" s="51">
        <v>0</v>
      </c>
      <c r="K37" s="51">
        <v>0</v>
      </c>
      <c r="L37" s="50">
        <v>0</v>
      </c>
      <c r="M37" s="51">
        <v>4</v>
      </c>
      <c r="N37" s="50">
        <v>0</v>
      </c>
      <c r="O37" s="15">
        <f t="shared" si="0"/>
        <v>11</v>
      </c>
      <c r="P37" s="15">
        <f t="shared" si="1"/>
        <v>15</v>
      </c>
    </row>
    <row r="38" spans="2:20" ht="23.1" customHeight="1" x14ac:dyDescent="0.25">
      <c r="B38" s="24" t="s">
        <v>65</v>
      </c>
      <c r="C38" s="51">
        <v>3</v>
      </c>
      <c r="D38" s="50">
        <v>1</v>
      </c>
      <c r="E38" s="51">
        <v>3</v>
      </c>
      <c r="F38" s="51">
        <v>1</v>
      </c>
      <c r="G38" s="51">
        <v>0</v>
      </c>
      <c r="H38" s="51">
        <v>0</v>
      </c>
      <c r="I38" s="51">
        <v>4</v>
      </c>
      <c r="J38" s="51">
        <v>2</v>
      </c>
      <c r="K38" s="51">
        <v>0</v>
      </c>
      <c r="L38" s="50">
        <v>0</v>
      </c>
      <c r="M38" s="51">
        <v>5</v>
      </c>
      <c r="N38" s="50">
        <v>0</v>
      </c>
      <c r="O38" s="15">
        <f t="shared" si="0"/>
        <v>14</v>
      </c>
      <c r="P38" s="15">
        <f t="shared" si="1"/>
        <v>19</v>
      </c>
    </row>
    <row r="39" spans="2:20" ht="23.1" customHeight="1" x14ac:dyDescent="0.25">
      <c r="B39" s="24" t="s">
        <v>66</v>
      </c>
      <c r="C39" s="51">
        <v>0</v>
      </c>
      <c r="D39" s="50">
        <v>1</v>
      </c>
      <c r="E39" s="51">
        <v>5</v>
      </c>
      <c r="F39" s="51">
        <v>0</v>
      </c>
      <c r="G39" s="51">
        <v>0</v>
      </c>
      <c r="H39" s="51">
        <v>0</v>
      </c>
      <c r="I39" s="51">
        <v>1</v>
      </c>
      <c r="J39" s="51">
        <v>0</v>
      </c>
      <c r="K39" s="51">
        <v>0</v>
      </c>
      <c r="L39" s="50">
        <v>0</v>
      </c>
      <c r="M39" s="51">
        <v>2</v>
      </c>
      <c r="N39" s="50">
        <v>0</v>
      </c>
      <c r="O39" s="15">
        <f t="shared" si="0"/>
        <v>7</v>
      </c>
      <c r="P39" s="15">
        <f t="shared" si="1"/>
        <v>9</v>
      </c>
    </row>
    <row r="40" spans="2:20" ht="23.1" customHeight="1" x14ac:dyDescent="0.25">
      <c r="B40" s="24" t="s">
        <v>67</v>
      </c>
      <c r="C40" s="51">
        <v>0</v>
      </c>
      <c r="D40" s="50">
        <v>0</v>
      </c>
      <c r="E40" s="51">
        <v>2</v>
      </c>
      <c r="F40" s="51">
        <v>0</v>
      </c>
      <c r="G40" s="51">
        <v>1</v>
      </c>
      <c r="H40" s="51">
        <v>1</v>
      </c>
      <c r="I40" s="51">
        <v>3</v>
      </c>
      <c r="J40" s="51">
        <v>0</v>
      </c>
      <c r="K40" s="51">
        <v>1</v>
      </c>
      <c r="L40" s="50">
        <v>0</v>
      </c>
      <c r="M40" s="51">
        <v>2</v>
      </c>
      <c r="N40" s="50">
        <v>0</v>
      </c>
      <c r="O40" s="15">
        <f t="shared" si="0"/>
        <v>8</v>
      </c>
      <c r="P40" s="15">
        <f t="shared" si="1"/>
        <v>10</v>
      </c>
    </row>
    <row r="41" spans="2:20" ht="23.1" customHeight="1" x14ac:dyDescent="0.25">
      <c r="B41" s="23" t="s">
        <v>68</v>
      </c>
      <c r="C41" s="51">
        <v>2</v>
      </c>
      <c r="D41" s="50">
        <v>2</v>
      </c>
      <c r="E41" s="51">
        <v>7</v>
      </c>
      <c r="F41" s="51">
        <v>2</v>
      </c>
      <c r="G41" s="51">
        <v>0</v>
      </c>
      <c r="H41" s="51">
        <v>0</v>
      </c>
      <c r="I41" s="51">
        <v>2</v>
      </c>
      <c r="J41" s="51">
        <v>1</v>
      </c>
      <c r="K41" s="51">
        <v>0</v>
      </c>
      <c r="L41" s="50">
        <v>0</v>
      </c>
      <c r="M41" s="51">
        <v>1</v>
      </c>
      <c r="N41" s="50">
        <v>0</v>
      </c>
      <c r="O41" s="15">
        <f t="shared" si="0"/>
        <v>16</v>
      </c>
      <c r="P41" s="15">
        <f t="shared" si="1"/>
        <v>17</v>
      </c>
    </row>
    <row r="42" spans="2:20" ht="23.1" customHeight="1" x14ac:dyDescent="0.25">
      <c r="B42" s="24" t="s">
        <v>69</v>
      </c>
      <c r="C42" s="51">
        <v>3</v>
      </c>
      <c r="D42" s="50">
        <v>1</v>
      </c>
      <c r="E42" s="51">
        <v>5</v>
      </c>
      <c r="F42" s="51">
        <v>2</v>
      </c>
      <c r="G42" s="51">
        <v>1</v>
      </c>
      <c r="H42" s="51">
        <v>0</v>
      </c>
      <c r="I42" s="51">
        <v>1</v>
      </c>
      <c r="J42" s="51">
        <v>2</v>
      </c>
      <c r="K42" s="51">
        <v>0</v>
      </c>
      <c r="L42" s="50">
        <v>0</v>
      </c>
      <c r="M42" s="51">
        <v>4</v>
      </c>
      <c r="N42" s="50">
        <v>0</v>
      </c>
      <c r="O42" s="15">
        <f t="shared" si="0"/>
        <v>15</v>
      </c>
      <c r="P42" s="15">
        <f t="shared" si="1"/>
        <v>19</v>
      </c>
    </row>
    <row r="43" spans="2:20" ht="23.1" customHeight="1" x14ac:dyDescent="0.25">
      <c r="B43" s="23" t="s">
        <v>70</v>
      </c>
      <c r="C43" s="51">
        <v>4</v>
      </c>
      <c r="D43" s="50">
        <v>1</v>
      </c>
      <c r="E43" s="51">
        <v>3</v>
      </c>
      <c r="F43" s="51">
        <v>2</v>
      </c>
      <c r="G43" s="51">
        <v>1</v>
      </c>
      <c r="H43" s="51">
        <v>1</v>
      </c>
      <c r="I43" s="51">
        <v>2</v>
      </c>
      <c r="J43" s="51">
        <v>1</v>
      </c>
      <c r="K43" s="51">
        <v>0</v>
      </c>
      <c r="L43" s="50">
        <v>0</v>
      </c>
      <c r="M43" s="51">
        <v>1</v>
      </c>
      <c r="N43" s="50">
        <v>0</v>
      </c>
      <c r="O43" s="15">
        <f t="shared" si="0"/>
        <v>15</v>
      </c>
      <c r="P43" s="15">
        <f t="shared" si="1"/>
        <v>16</v>
      </c>
    </row>
    <row r="44" spans="2:20" ht="23.1" customHeight="1" x14ac:dyDescent="0.25">
      <c r="B44" s="25" t="s">
        <v>71</v>
      </c>
      <c r="C44" s="51">
        <v>3</v>
      </c>
      <c r="D44" s="50">
        <v>2</v>
      </c>
      <c r="E44" s="51">
        <v>5</v>
      </c>
      <c r="F44" s="51">
        <v>3</v>
      </c>
      <c r="G44" s="51">
        <v>0</v>
      </c>
      <c r="H44" s="51">
        <v>3</v>
      </c>
      <c r="I44" s="51">
        <v>1</v>
      </c>
      <c r="J44" s="51">
        <v>1</v>
      </c>
      <c r="K44" s="51">
        <v>0</v>
      </c>
      <c r="L44" s="50">
        <v>0</v>
      </c>
      <c r="M44" s="51">
        <v>4</v>
      </c>
      <c r="N44" s="50">
        <v>0</v>
      </c>
      <c r="O44" s="15">
        <f t="shared" si="0"/>
        <v>18</v>
      </c>
      <c r="P44" s="15">
        <f t="shared" si="1"/>
        <v>22</v>
      </c>
    </row>
    <row r="45" spans="2:20" ht="23.1" customHeight="1" x14ac:dyDescent="0.25">
      <c r="B45" s="23" t="s">
        <v>72</v>
      </c>
      <c r="C45" s="51">
        <v>3</v>
      </c>
      <c r="D45" s="50">
        <v>2</v>
      </c>
      <c r="E45" s="51">
        <v>5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0">
        <v>0</v>
      </c>
      <c r="M45" s="51">
        <v>4</v>
      </c>
      <c r="N45" s="50">
        <v>0</v>
      </c>
      <c r="O45" s="15">
        <f t="shared" si="0"/>
        <v>10</v>
      </c>
      <c r="P45" s="15">
        <f t="shared" si="1"/>
        <v>14</v>
      </c>
    </row>
    <row r="46" spans="2:20" ht="23.1" customHeight="1" x14ac:dyDescent="0.25">
      <c r="B46" s="24" t="s">
        <v>73</v>
      </c>
      <c r="C46" s="51">
        <v>4</v>
      </c>
      <c r="D46" s="50">
        <v>1</v>
      </c>
      <c r="E46" s="51">
        <v>3</v>
      </c>
      <c r="F46" s="51">
        <v>5</v>
      </c>
      <c r="G46" s="51">
        <v>0</v>
      </c>
      <c r="H46" s="51">
        <v>2</v>
      </c>
      <c r="I46" s="51">
        <v>1</v>
      </c>
      <c r="J46" s="51">
        <v>0</v>
      </c>
      <c r="K46" s="51">
        <v>0</v>
      </c>
      <c r="L46" s="50">
        <v>0</v>
      </c>
      <c r="M46" s="51">
        <v>1</v>
      </c>
      <c r="N46" s="50">
        <v>0</v>
      </c>
      <c r="O46" s="15">
        <f t="shared" si="0"/>
        <v>16</v>
      </c>
      <c r="P46" s="15">
        <f t="shared" si="1"/>
        <v>17</v>
      </c>
      <c r="R46" s="8"/>
      <c r="T46"/>
    </row>
    <row r="47" spans="2:20" ht="23.1" customHeight="1" x14ac:dyDescent="0.25">
      <c r="B47" s="24" t="s">
        <v>74</v>
      </c>
      <c r="C47" s="51">
        <v>3</v>
      </c>
      <c r="D47" s="50">
        <v>0</v>
      </c>
      <c r="E47" s="51">
        <v>1</v>
      </c>
      <c r="F47" s="51">
        <v>5</v>
      </c>
      <c r="G47" s="51">
        <v>0</v>
      </c>
      <c r="H47" s="51">
        <v>2</v>
      </c>
      <c r="I47" s="51">
        <v>3</v>
      </c>
      <c r="J47" s="51">
        <v>0</v>
      </c>
      <c r="K47" s="51">
        <v>0</v>
      </c>
      <c r="L47" s="50">
        <v>0</v>
      </c>
      <c r="M47" s="51">
        <v>4</v>
      </c>
      <c r="N47" s="50">
        <v>0</v>
      </c>
      <c r="O47" s="15">
        <f t="shared" si="0"/>
        <v>14</v>
      </c>
      <c r="P47" s="15">
        <f t="shared" si="1"/>
        <v>18</v>
      </c>
      <c r="R47" s="8"/>
      <c r="T47"/>
    </row>
    <row r="48" spans="2:20" ht="23.1" customHeight="1" x14ac:dyDescent="0.25">
      <c r="B48" s="24" t="s">
        <v>75</v>
      </c>
      <c r="C48" s="51">
        <v>3</v>
      </c>
      <c r="D48" s="50">
        <v>2</v>
      </c>
      <c r="E48" s="51">
        <v>7</v>
      </c>
      <c r="F48" s="51">
        <v>0</v>
      </c>
      <c r="G48" s="51">
        <v>0</v>
      </c>
      <c r="H48" s="51">
        <v>1</v>
      </c>
      <c r="I48" s="51">
        <v>1</v>
      </c>
      <c r="J48" s="51">
        <v>0</v>
      </c>
      <c r="K48" s="51">
        <v>0</v>
      </c>
      <c r="L48" s="50">
        <v>0</v>
      </c>
      <c r="M48" s="51">
        <v>10</v>
      </c>
      <c r="N48" s="50">
        <v>0</v>
      </c>
      <c r="O48" s="15">
        <f t="shared" si="0"/>
        <v>14</v>
      </c>
      <c r="P48" s="15">
        <f t="shared" si="1"/>
        <v>24</v>
      </c>
      <c r="R48" s="8"/>
      <c r="T48"/>
    </row>
    <row r="49" spans="2:20" ht="23.1" customHeight="1" x14ac:dyDescent="0.25">
      <c r="B49" s="23" t="s">
        <v>76</v>
      </c>
      <c r="C49" s="51">
        <v>3</v>
      </c>
      <c r="D49" s="50">
        <v>1</v>
      </c>
      <c r="E49" s="51">
        <v>5</v>
      </c>
      <c r="F49" s="51">
        <v>1</v>
      </c>
      <c r="G49" s="51">
        <v>0</v>
      </c>
      <c r="H49" s="51">
        <v>2</v>
      </c>
      <c r="I49" s="51">
        <v>7</v>
      </c>
      <c r="J49" s="51">
        <v>0</v>
      </c>
      <c r="K49" s="51">
        <v>0</v>
      </c>
      <c r="L49" s="50">
        <v>0</v>
      </c>
      <c r="M49" s="51">
        <v>9</v>
      </c>
      <c r="N49" s="50">
        <v>0</v>
      </c>
      <c r="O49" s="15">
        <f t="shared" si="0"/>
        <v>19</v>
      </c>
      <c r="P49" s="15">
        <f t="shared" si="1"/>
        <v>28</v>
      </c>
      <c r="R49" s="8"/>
      <c r="T49"/>
    </row>
    <row r="50" spans="2:20" ht="23.1" customHeight="1" x14ac:dyDescent="0.25">
      <c r="B50" s="24" t="s">
        <v>77</v>
      </c>
      <c r="C50" s="51">
        <v>4</v>
      </c>
      <c r="D50" s="50">
        <v>1</v>
      </c>
      <c r="E50" s="51">
        <v>5</v>
      </c>
      <c r="F50" s="51">
        <v>1</v>
      </c>
      <c r="G50" s="51">
        <v>0</v>
      </c>
      <c r="H50" s="51">
        <v>2</v>
      </c>
      <c r="I50" s="51">
        <v>0</v>
      </c>
      <c r="J50" s="51">
        <v>0</v>
      </c>
      <c r="K50" s="51">
        <v>1</v>
      </c>
      <c r="L50" s="50">
        <v>0</v>
      </c>
      <c r="M50" s="51">
        <v>6</v>
      </c>
      <c r="N50" s="50">
        <v>0</v>
      </c>
      <c r="O50" s="15">
        <f t="shared" si="0"/>
        <v>14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1">
        <v>0</v>
      </c>
      <c r="D51" s="50">
        <v>1</v>
      </c>
      <c r="E51" s="51">
        <v>5</v>
      </c>
      <c r="F51" s="51">
        <v>2</v>
      </c>
      <c r="G51" s="51">
        <v>0</v>
      </c>
      <c r="H51" s="51">
        <v>2</v>
      </c>
      <c r="I51" s="51">
        <v>2</v>
      </c>
      <c r="J51" s="51">
        <v>0</v>
      </c>
      <c r="K51" s="51">
        <v>1</v>
      </c>
      <c r="L51" s="50">
        <v>0</v>
      </c>
      <c r="M51" s="51">
        <v>4</v>
      </c>
      <c r="N51" s="50">
        <v>0</v>
      </c>
      <c r="O51" s="15">
        <f t="shared" si="0"/>
        <v>13</v>
      </c>
      <c r="P51" s="15">
        <f t="shared" si="1"/>
        <v>17</v>
      </c>
      <c r="R51" s="8"/>
      <c r="T51"/>
    </row>
    <row r="52" spans="2:20" ht="23.1" customHeight="1" x14ac:dyDescent="0.25">
      <c r="B52" s="24" t="s">
        <v>79</v>
      </c>
      <c r="C52" s="51">
        <v>5</v>
      </c>
      <c r="D52" s="50">
        <v>1</v>
      </c>
      <c r="E52" s="51">
        <v>5</v>
      </c>
      <c r="F52" s="51">
        <v>1</v>
      </c>
      <c r="G52" s="51">
        <v>0</v>
      </c>
      <c r="H52" s="51">
        <v>0</v>
      </c>
      <c r="I52" s="51">
        <v>3</v>
      </c>
      <c r="J52" s="51">
        <v>1</v>
      </c>
      <c r="K52" s="51">
        <v>1</v>
      </c>
      <c r="L52" s="50">
        <v>0</v>
      </c>
      <c r="M52" s="51">
        <v>4</v>
      </c>
      <c r="N52" s="50">
        <v>0</v>
      </c>
      <c r="O52" s="15">
        <f t="shared" si="0"/>
        <v>17</v>
      </c>
      <c r="P52" s="15">
        <f t="shared" si="1"/>
        <v>21</v>
      </c>
      <c r="R52" s="8"/>
      <c r="T52"/>
    </row>
    <row r="53" spans="2:20" ht="23.1" customHeight="1" x14ac:dyDescent="0.25">
      <c r="B53" s="23" t="s">
        <v>80</v>
      </c>
      <c r="C53" s="51">
        <v>1</v>
      </c>
      <c r="D53" s="50">
        <v>0</v>
      </c>
      <c r="E53" s="51">
        <v>3</v>
      </c>
      <c r="F53" s="51">
        <v>2</v>
      </c>
      <c r="G53" s="51">
        <v>0</v>
      </c>
      <c r="H53" s="51">
        <v>1</v>
      </c>
      <c r="I53" s="51">
        <v>3</v>
      </c>
      <c r="J53" s="51">
        <v>0</v>
      </c>
      <c r="K53" s="51">
        <v>0</v>
      </c>
      <c r="L53" s="50">
        <v>0</v>
      </c>
      <c r="M53" s="51">
        <v>7</v>
      </c>
      <c r="N53" s="50">
        <v>0</v>
      </c>
      <c r="O53" s="15">
        <f t="shared" si="0"/>
        <v>10</v>
      </c>
      <c r="P53" s="15">
        <f t="shared" si="1"/>
        <v>17</v>
      </c>
      <c r="R53" s="8"/>
      <c r="T53"/>
    </row>
    <row r="54" spans="2:20" ht="23.1" customHeight="1" x14ac:dyDescent="0.25">
      <c r="B54" s="23" t="s">
        <v>81</v>
      </c>
      <c r="C54" s="51">
        <v>0</v>
      </c>
      <c r="D54" s="50">
        <v>2</v>
      </c>
      <c r="E54" s="51">
        <v>6</v>
      </c>
      <c r="F54" s="51">
        <v>2</v>
      </c>
      <c r="G54" s="51">
        <v>0</v>
      </c>
      <c r="H54" s="51">
        <v>1</v>
      </c>
      <c r="I54" s="51">
        <v>3</v>
      </c>
      <c r="J54" s="51">
        <v>1</v>
      </c>
      <c r="K54" s="51">
        <v>0</v>
      </c>
      <c r="L54" s="50">
        <v>4</v>
      </c>
      <c r="M54" s="51">
        <v>2</v>
      </c>
      <c r="N54" s="50">
        <v>0</v>
      </c>
      <c r="O54" s="15">
        <f t="shared" si="0"/>
        <v>19</v>
      </c>
      <c r="P54" s="15">
        <f t="shared" si="1"/>
        <v>21</v>
      </c>
      <c r="R54" s="8"/>
      <c r="T54"/>
    </row>
    <row r="55" spans="2:20" ht="23.1" customHeight="1" x14ac:dyDescent="0.25">
      <c r="B55" s="23" t="s">
        <v>82</v>
      </c>
      <c r="C55" s="51">
        <v>4</v>
      </c>
      <c r="D55" s="50">
        <v>3</v>
      </c>
      <c r="E55" s="51">
        <v>7</v>
      </c>
      <c r="F55" s="51">
        <v>0</v>
      </c>
      <c r="G55" s="51">
        <v>0</v>
      </c>
      <c r="H55" s="51">
        <v>1</v>
      </c>
      <c r="I55" s="51">
        <v>2</v>
      </c>
      <c r="J55" s="51">
        <v>0</v>
      </c>
      <c r="K55" s="51">
        <v>1</v>
      </c>
      <c r="L55" s="50">
        <v>1</v>
      </c>
      <c r="M55" s="51">
        <v>1</v>
      </c>
      <c r="N55" s="50">
        <v>0</v>
      </c>
      <c r="O55" s="15">
        <f t="shared" si="0"/>
        <v>19</v>
      </c>
      <c r="P55" s="15">
        <f t="shared" si="1"/>
        <v>20</v>
      </c>
      <c r="R55" s="8"/>
      <c r="T55"/>
    </row>
    <row r="56" spans="2:20" ht="23.1" customHeight="1" x14ac:dyDescent="0.25">
      <c r="B56" s="23" t="s">
        <v>83</v>
      </c>
      <c r="C56" s="51">
        <v>1</v>
      </c>
      <c r="D56" s="50">
        <v>2</v>
      </c>
      <c r="E56" s="51">
        <v>7</v>
      </c>
      <c r="F56" s="51">
        <v>3</v>
      </c>
      <c r="G56" s="51">
        <v>0</v>
      </c>
      <c r="H56" s="51">
        <v>1</v>
      </c>
      <c r="I56" s="51">
        <v>0</v>
      </c>
      <c r="J56" s="51">
        <v>1</v>
      </c>
      <c r="K56" s="51">
        <v>0</v>
      </c>
      <c r="L56" s="50">
        <v>1</v>
      </c>
      <c r="M56" s="51">
        <v>4</v>
      </c>
      <c r="N56" s="50">
        <v>0</v>
      </c>
      <c r="O56" s="15">
        <f t="shared" si="0"/>
        <v>16</v>
      </c>
      <c r="P56" s="15">
        <f t="shared" si="1"/>
        <v>20</v>
      </c>
      <c r="R56" s="8"/>
      <c r="T56"/>
    </row>
    <row r="57" spans="2:20" ht="23.1" customHeight="1" x14ac:dyDescent="0.25">
      <c r="B57" s="23" t="s">
        <v>84</v>
      </c>
      <c r="C57" s="51">
        <v>0</v>
      </c>
      <c r="D57" s="50">
        <v>1</v>
      </c>
      <c r="E57" s="51">
        <v>3</v>
      </c>
      <c r="F57" s="51">
        <v>1</v>
      </c>
      <c r="G57" s="51">
        <v>0</v>
      </c>
      <c r="H57" s="51">
        <v>1</v>
      </c>
      <c r="I57" s="51">
        <v>2</v>
      </c>
      <c r="J57" s="51">
        <v>0</v>
      </c>
      <c r="K57" s="51">
        <v>0</v>
      </c>
      <c r="L57" s="50">
        <v>2</v>
      </c>
      <c r="M57" s="51">
        <v>6</v>
      </c>
      <c r="N57" s="50">
        <v>0</v>
      </c>
      <c r="O57" s="15">
        <f t="shared" si="0"/>
        <v>10</v>
      </c>
      <c r="P57" s="15">
        <f t="shared" si="1"/>
        <v>16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81</v>
      </c>
      <c r="D58" s="16">
        <f t="shared" si="21"/>
        <v>51</v>
      </c>
      <c r="E58" s="16">
        <f t="shared" si="21"/>
        <v>190</v>
      </c>
      <c r="F58" s="16">
        <f t="shared" si="21"/>
        <v>69</v>
      </c>
      <c r="G58" s="16">
        <f t="shared" si="21"/>
        <v>6</v>
      </c>
      <c r="H58" s="16">
        <f t="shared" si="21"/>
        <v>37</v>
      </c>
      <c r="I58" s="16">
        <f t="shared" si="21"/>
        <v>74</v>
      </c>
      <c r="J58" s="16">
        <f t="shared" si="21"/>
        <v>14</v>
      </c>
      <c r="K58" s="16">
        <f t="shared" si="21"/>
        <v>9</v>
      </c>
      <c r="L58" s="16">
        <f t="shared" si="21"/>
        <v>37</v>
      </c>
      <c r="M58" s="16">
        <f t="shared" si="21"/>
        <v>178</v>
      </c>
      <c r="N58" s="16">
        <f t="shared" si="21"/>
        <v>0</v>
      </c>
      <c r="O58" s="16">
        <f t="shared" si="21"/>
        <v>568</v>
      </c>
      <c r="P58" s="16">
        <f t="shared" si="21"/>
        <v>746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0.10857908847184987</v>
      </c>
      <c r="D59" s="43">
        <f t="shared" si="22"/>
        <v>6.8364611260053623E-2</v>
      </c>
      <c r="E59" s="43">
        <f t="shared" si="22"/>
        <v>0.2546916890080429</v>
      </c>
      <c r="F59" s="43">
        <f t="shared" si="22"/>
        <v>9.2493297587131373E-2</v>
      </c>
      <c r="G59" s="43">
        <f t="shared" si="22"/>
        <v>8.0428954423592495E-3</v>
      </c>
      <c r="H59" s="43">
        <f t="shared" si="22"/>
        <v>4.9597855227882036E-2</v>
      </c>
      <c r="I59" s="43">
        <f t="shared" si="22"/>
        <v>9.9195710455764072E-2</v>
      </c>
      <c r="J59" s="43">
        <f t="shared" si="22"/>
        <v>1.876675603217158E-2</v>
      </c>
      <c r="K59" s="43">
        <f t="shared" si="22"/>
        <v>1.2064343163538873E-2</v>
      </c>
      <c r="L59" s="43">
        <f t="shared" si="22"/>
        <v>4.9597855227882036E-2</v>
      </c>
      <c r="M59" s="43">
        <f t="shared" si="22"/>
        <v>0.23860589812332439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0.14260563380281691</v>
      </c>
      <c r="D60" s="44">
        <f t="shared" ref="D60:N60" si="23">D58/$O$58</f>
        <v>8.9788732394366202E-2</v>
      </c>
      <c r="E60" s="44">
        <f t="shared" si="23"/>
        <v>0.33450704225352113</v>
      </c>
      <c r="F60" s="44">
        <f t="shared" si="23"/>
        <v>0.12147887323943662</v>
      </c>
      <c r="G60" s="44">
        <f t="shared" si="23"/>
        <v>1.0563380281690141E-2</v>
      </c>
      <c r="H60" s="44">
        <f t="shared" si="23"/>
        <v>6.5140845070422532E-2</v>
      </c>
      <c r="I60" s="44">
        <f t="shared" si="23"/>
        <v>0.13028169014084506</v>
      </c>
      <c r="J60" s="44">
        <f t="shared" si="23"/>
        <v>2.464788732394366E-2</v>
      </c>
      <c r="K60" s="44">
        <f t="shared" si="23"/>
        <v>1.5845070422535211E-2</v>
      </c>
      <c r="L60" s="44">
        <f t="shared" si="23"/>
        <v>6.5140845070422532E-2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</sheetPr>
  <dimension ref="B1:AF174"/>
  <sheetViews>
    <sheetView view="pageBreakPreview" topLeftCell="A40" zoomScale="59" zoomScaleSheetLayoutView="59" workbookViewId="0">
      <selection activeCell="L10" sqref="L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'29.07 Karuma-Kigumba'!C3:G3</f>
        <v>MCC - C5 - STN113 - KIGUMBA-KARUMA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174</v>
      </c>
      <c r="E5" s="3"/>
      <c r="F5" s="41" t="s">
        <v>1</v>
      </c>
      <c r="G5" s="71" t="str">
        <f>'01.08 Kigumba-Karuma'!G5:H5</f>
        <v>nanda</v>
      </c>
      <c r="H5" s="72"/>
      <c r="I5" s="14"/>
      <c r="J5" s="2" t="s">
        <v>5</v>
      </c>
      <c r="K5" s="71" t="str">
        <f>'01.08 Kigumba-Karuma'!K5:L5</f>
        <v>xxx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'29.07 Karuma-Kigumba'!D6:E6</f>
        <v>karuma</v>
      </c>
      <c r="E6" s="72"/>
      <c r="F6" s="2" t="s">
        <v>2</v>
      </c>
      <c r="G6" s="71" t="str">
        <f>'29.07 Karuma-Kigumba'!G6:H6</f>
        <v>kigumba</v>
      </c>
      <c r="H6" s="72"/>
      <c r="J6" s="2" t="s">
        <v>21</v>
      </c>
      <c r="K6" s="71" t="str">
        <f>'01.08 Kigumba-Karuma'!K6:L6</f>
        <v>xxx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1">
        <v>0</v>
      </c>
      <c r="D10" s="50">
        <v>0</v>
      </c>
      <c r="E10" s="51">
        <v>3</v>
      </c>
      <c r="F10" s="51">
        <v>1</v>
      </c>
      <c r="G10" s="51">
        <v>0</v>
      </c>
      <c r="H10" s="51">
        <v>0</v>
      </c>
      <c r="I10" s="51">
        <v>1</v>
      </c>
      <c r="J10" s="51">
        <v>1</v>
      </c>
      <c r="K10" s="51">
        <v>1</v>
      </c>
      <c r="L10" s="50">
        <v>1</v>
      </c>
      <c r="M10" s="51">
        <v>1</v>
      </c>
      <c r="N10" s="51">
        <v>0</v>
      </c>
      <c r="O10" s="15">
        <f t="shared" ref="O10:O57" si="0">SUM(C10:L10,N10)</f>
        <v>8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9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2</v>
      </c>
      <c r="AA10" s="17">
        <f t="shared" si="2"/>
        <v>1</v>
      </c>
      <c r="AB10" s="17">
        <f t="shared" si="2"/>
        <v>1</v>
      </c>
      <c r="AC10" s="17">
        <f t="shared" si="2"/>
        <v>7</v>
      </c>
      <c r="AD10" s="17">
        <f t="shared" si="2"/>
        <v>0</v>
      </c>
      <c r="AE10" s="31">
        <f t="shared" si="2"/>
        <v>18</v>
      </c>
      <c r="AF10" s="31">
        <f t="shared" si="2"/>
        <v>25</v>
      </c>
    </row>
    <row r="11" spans="2:32" s="6" customFormat="1" ht="23.1" customHeight="1" x14ac:dyDescent="0.25">
      <c r="B11" s="45" t="s">
        <v>38</v>
      </c>
      <c r="C11" s="51">
        <v>0</v>
      </c>
      <c r="D11" s="50">
        <v>0</v>
      </c>
      <c r="E11" s="51">
        <v>1</v>
      </c>
      <c r="F11" s="51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0">
        <v>0</v>
      </c>
      <c r="M11" s="51">
        <v>0</v>
      </c>
      <c r="N11" s="51">
        <v>0</v>
      </c>
      <c r="O11" s="15">
        <f t="shared" si="0"/>
        <v>1</v>
      </c>
      <c r="P11" s="15">
        <f t="shared" si="1"/>
        <v>1</v>
      </c>
      <c r="R11" s="1" t="s">
        <v>7</v>
      </c>
      <c r="S11" s="17">
        <f t="shared" ref="S11:AF11" si="3">SUM(C14:C17)</f>
        <v>3</v>
      </c>
      <c r="T11" s="17">
        <f t="shared" si="3"/>
        <v>4</v>
      </c>
      <c r="U11" s="17">
        <f t="shared" si="3"/>
        <v>16</v>
      </c>
      <c r="V11" s="17">
        <f t="shared" si="3"/>
        <v>7</v>
      </c>
      <c r="W11" s="17">
        <f t="shared" si="3"/>
        <v>0</v>
      </c>
      <c r="X11" s="17">
        <f t="shared" si="3"/>
        <v>1</v>
      </c>
      <c r="Y11" s="17">
        <f t="shared" si="3"/>
        <v>2</v>
      </c>
      <c r="Z11" s="17">
        <f t="shared" si="3"/>
        <v>0</v>
      </c>
      <c r="AA11" s="17">
        <f t="shared" si="3"/>
        <v>1</v>
      </c>
      <c r="AB11" s="17">
        <f t="shared" si="3"/>
        <v>2</v>
      </c>
      <c r="AC11" s="17">
        <f t="shared" si="3"/>
        <v>20</v>
      </c>
      <c r="AD11" s="17">
        <f t="shared" si="3"/>
        <v>0</v>
      </c>
      <c r="AE11" s="31">
        <f t="shared" si="3"/>
        <v>36</v>
      </c>
      <c r="AF11" s="31">
        <f t="shared" si="3"/>
        <v>56</v>
      </c>
    </row>
    <row r="12" spans="2:32" ht="23.1" customHeight="1" x14ac:dyDescent="0.25">
      <c r="B12" s="45" t="s">
        <v>39</v>
      </c>
      <c r="C12" s="51">
        <v>0</v>
      </c>
      <c r="D12" s="50">
        <v>0</v>
      </c>
      <c r="E12" s="51">
        <v>2</v>
      </c>
      <c r="F12" s="51">
        <v>1</v>
      </c>
      <c r="G12" s="51">
        <v>0</v>
      </c>
      <c r="H12" s="51">
        <v>0</v>
      </c>
      <c r="I12" s="51">
        <v>0</v>
      </c>
      <c r="J12" s="51">
        <v>1</v>
      </c>
      <c r="K12" s="51">
        <v>0</v>
      </c>
      <c r="L12" s="50">
        <v>0</v>
      </c>
      <c r="M12" s="51">
        <v>2</v>
      </c>
      <c r="N12" s="51">
        <v>0</v>
      </c>
      <c r="O12" s="15">
        <f t="shared" si="0"/>
        <v>4</v>
      </c>
      <c r="P12" s="15">
        <f t="shared" si="1"/>
        <v>6</v>
      </c>
      <c r="R12" s="1" t="s">
        <v>8</v>
      </c>
      <c r="S12" s="17">
        <f t="shared" ref="S12:AF12" si="4">SUM(C18:C21)</f>
        <v>4</v>
      </c>
      <c r="T12" s="17">
        <f t="shared" si="4"/>
        <v>3</v>
      </c>
      <c r="U12" s="17">
        <f t="shared" si="4"/>
        <v>14</v>
      </c>
      <c r="V12" s="17">
        <f t="shared" si="4"/>
        <v>5</v>
      </c>
      <c r="W12" s="17">
        <f t="shared" si="4"/>
        <v>2</v>
      </c>
      <c r="X12" s="17">
        <f t="shared" si="4"/>
        <v>4</v>
      </c>
      <c r="Y12" s="17">
        <f t="shared" si="4"/>
        <v>7</v>
      </c>
      <c r="Z12" s="17">
        <f t="shared" si="4"/>
        <v>0</v>
      </c>
      <c r="AA12" s="17">
        <f t="shared" si="4"/>
        <v>0</v>
      </c>
      <c r="AB12" s="17">
        <f t="shared" si="4"/>
        <v>5</v>
      </c>
      <c r="AC12" s="17">
        <f t="shared" si="4"/>
        <v>8</v>
      </c>
      <c r="AD12" s="17">
        <f t="shared" si="4"/>
        <v>0</v>
      </c>
      <c r="AE12" s="31">
        <f t="shared" si="4"/>
        <v>44</v>
      </c>
      <c r="AF12" s="31">
        <f t="shared" si="4"/>
        <v>52</v>
      </c>
    </row>
    <row r="13" spans="2:32" ht="23.1" customHeight="1" x14ac:dyDescent="0.25">
      <c r="B13" s="45" t="s">
        <v>40</v>
      </c>
      <c r="C13" s="51">
        <v>1</v>
      </c>
      <c r="D13" s="50">
        <v>0</v>
      </c>
      <c r="E13" s="51">
        <v>3</v>
      </c>
      <c r="F13" s="51">
        <v>0</v>
      </c>
      <c r="G13" s="51">
        <v>0</v>
      </c>
      <c r="H13" s="51">
        <v>0</v>
      </c>
      <c r="I13" s="51">
        <v>1</v>
      </c>
      <c r="J13" s="51">
        <v>0</v>
      </c>
      <c r="K13" s="51">
        <v>0</v>
      </c>
      <c r="L13" s="50">
        <v>0</v>
      </c>
      <c r="M13" s="51">
        <v>4</v>
      </c>
      <c r="N13" s="51">
        <v>0</v>
      </c>
      <c r="O13" s="15">
        <f t="shared" si="0"/>
        <v>5</v>
      </c>
      <c r="P13" s="15">
        <f t="shared" si="1"/>
        <v>9</v>
      </c>
      <c r="R13" s="1" t="s">
        <v>9</v>
      </c>
      <c r="S13" s="17">
        <f t="shared" ref="S13:AF13" si="5">SUM(C22:C25)</f>
        <v>8</v>
      </c>
      <c r="T13" s="17">
        <f t="shared" si="5"/>
        <v>7</v>
      </c>
      <c r="U13" s="17">
        <f t="shared" si="5"/>
        <v>23</v>
      </c>
      <c r="V13" s="17">
        <f t="shared" si="5"/>
        <v>5</v>
      </c>
      <c r="W13" s="17">
        <f t="shared" si="5"/>
        <v>0</v>
      </c>
      <c r="X13" s="17">
        <f t="shared" si="5"/>
        <v>1</v>
      </c>
      <c r="Y13" s="17">
        <f t="shared" si="5"/>
        <v>3</v>
      </c>
      <c r="Z13" s="17">
        <f t="shared" si="5"/>
        <v>0</v>
      </c>
      <c r="AA13" s="17">
        <f t="shared" si="5"/>
        <v>1</v>
      </c>
      <c r="AB13" s="17">
        <f t="shared" si="5"/>
        <v>4</v>
      </c>
      <c r="AC13" s="17">
        <f t="shared" si="5"/>
        <v>18</v>
      </c>
      <c r="AD13" s="17">
        <f t="shared" si="5"/>
        <v>0</v>
      </c>
      <c r="AE13" s="31">
        <f t="shared" si="5"/>
        <v>52</v>
      </c>
      <c r="AF13" s="31">
        <f t="shared" si="5"/>
        <v>70</v>
      </c>
    </row>
    <row r="14" spans="2:32" ht="23.1" customHeight="1" x14ac:dyDescent="0.25">
      <c r="B14" s="45" t="s">
        <v>41</v>
      </c>
      <c r="C14" s="51">
        <v>2</v>
      </c>
      <c r="D14" s="50">
        <v>2</v>
      </c>
      <c r="E14" s="51">
        <v>5</v>
      </c>
      <c r="F14" s="51">
        <v>2</v>
      </c>
      <c r="G14" s="51">
        <v>0</v>
      </c>
      <c r="H14" s="51">
        <v>0</v>
      </c>
      <c r="I14" s="51">
        <v>0</v>
      </c>
      <c r="J14" s="51">
        <v>0</v>
      </c>
      <c r="K14" s="51">
        <v>1</v>
      </c>
      <c r="L14" s="50">
        <v>0</v>
      </c>
      <c r="M14" s="51">
        <v>8</v>
      </c>
      <c r="N14" s="51">
        <v>0</v>
      </c>
      <c r="O14" s="15">
        <f t="shared" si="0"/>
        <v>12</v>
      </c>
      <c r="P14" s="15">
        <f t="shared" si="1"/>
        <v>20</v>
      </c>
      <c r="R14" s="1" t="s">
        <v>10</v>
      </c>
      <c r="S14" s="17">
        <f t="shared" ref="S14:AF14" si="6">SUM(C26:C29)</f>
        <v>8</v>
      </c>
      <c r="T14" s="17">
        <f t="shared" si="6"/>
        <v>7</v>
      </c>
      <c r="U14" s="17">
        <f t="shared" si="6"/>
        <v>24</v>
      </c>
      <c r="V14" s="17">
        <f t="shared" si="6"/>
        <v>3</v>
      </c>
      <c r="W14" s="17">
        <f t="shared" si="6"/>
        <v>0</v>
      </c>
      <c r="X14" s="17">
        <f t="shared" si="6"/>
        <v>7</v>
      </c>
      <c r="Y14" s="17">
        <f t="shared" si="6"/>
        <v>7</v>
      </c>
      <c r="Z14" s="17">
        <f t="shared" si="6"/>
        <v>2</v>
      </c>
      <c r="AA14" s="17">
        <f t="shared" si="6"/>
        <v>0</v>
      </c>
      <c r="AB14" s="17">
        <f t="shared" si="6"/>
        <v>4</v>
      </c>
      <c r="AC14" s="17">
        <f t="shared" si="6"/>
        <v>15</v>
      </c>
      <c r="AD14" s="17">
        <f t="shared" si="6"/>
        <v>0</v>
      </c>
      <c r="AE14" s="31">
        <f t="shared" si="6"/>
        <v>62</v>
      </c>
      <c r="AF14" s="31">
        <f t="shared" si="6"/>
        <v>77</v>
      </c>
    </row>
    <row r="15" spans="2:32" ht="23.1" customHeight="1" x14ac:dyDescent="0.25">
      <c r="B15" s="45" t="s">
        <v>42</v>
      </c>
      <c r="C15" s="51">
        <v>1</v>
      </c>
      <c r="D15" s="50">
        <v>0</v>
      </c>
      <c r="E15" s="51">
        <v>3</v>
      </c>
      <c r="F15" s="51">
        <v>3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0">
        <v>1</v>
      </c>
      <c r="M15" s="51">
        <v>4</v>
      </c>
      <c r="N15" s="51">
        <v>0</v>
      </c>
      <c r="O15" s="15">
        <f t="shared" si="0"/>
        <v>8</v>
      </c>
      <c r="P15" s="15">
        <f t="shared" si="1"/>
        <v>12</v>
      </c>
      <c r="R15" s="1" t="s">
        <v>11</v>
      </c>
      <c r="S15" s="17">
        <f t="shared" ref="S15:AF15" si="7">SUM(C30:C33)</f>
        <v>8</v>
      </c>
      <c r="T15" s="17">
        <f t="shared" si="7"/>
        <v>10</v>
      </c>
      <c r="U15" s="17">
        <f t="shared" si="7"/>
        <v>29</v>
      </c>
      <c r="V15" s="17">
        <f t="shared" si="7"/>
        <v>6</v>
      </c>
      <c r="W15" s="17">
        <f t="shared" si="7"/>
        <v>0</v>
      </c>
      <c r="X15" s="17">
        <f t="shared" si="7"/>
        <v>3</v>
      </c>
      <c r="Y15" s="17">
        <f t="shared" si="7"/>
        <v>6</v>
      </c>
      <c r="Z15" s="17">
        <f t="shared" si="7"/>
        <v>1</v>
      </c>
      <c r="AA15" s="17">
        <f t="shared" si="7"/>
        <v>1</v>
      </c>
      <c r="AB15" s="17">
        <f t="shared" si="7"/>
        <v>6</v>
      </c>
      <c r="AC15" s="17">
        <f t="shared" si="7"/>
        <v>12</v>
      </c>
      <c r="AD15" s="17">
        <f t="shared" si="7"/>
        <v>0</v>
      </c>
      <c r="AE15" s="31">
        <f t="shared" si="7"/>
        <v>70</v>
      </c>
      <c r="AF15" s="31">
        <f t="shared" si="7"/>
        <v>82</v>
      </c>
    </row>
    <row r="16" spans="2:32" ht="23.1" customHeight="1" x14ac:dyDescent="0.25">
      <c r="B16" s="45" t="s">
        <v>43</v>
      </c>
      <c r="C16" s="51">
        <v>0</v>
      </c>
      <c r="D16" s="50">
        <v>1</v>
      </c>
      <c r="E16" s="51">
        <v>3</v>
      </c>
      <c r="F16" s="51">
        <v>2</v>
      </c>
      <c r="G16" s="51">
        <v>0</v>
      </c>
      <c r="H16" s="51">
        <v>0</v>
      </c>
      <c r="I16" s="51">
        <v>1</v>
      </c>
      <c r="J16" s="51">
        <v>0</v>
      </c>
      <c r="K16" s="51">
        <v>0</v>
      </c>
      <c r="L16" s="50">
        <v>0</v>
      </c>
      <c r="M16" s="51">
        <v>2</v>
      </c>
      <c r="N16" s="51">
        <v>0</v>
      </c>
      <c r="O16" s="15">
        <f t="shared" si="0"/>
        <v>7</v>
      </c>
      <c r="P16" s="15">
        <f t="shared" si="1"/>
        <v>9</v>
      </c>
      <c r="R16" s="1" t="s">
        <v>12</v>
      </c>
      <c r="S16" s="17">
        <f t="shared" ref="S16:AF16" si="8">SUM(C34:C37)</f>
        <v>9</v>
      </c>
      <c r="T16" s="17">
        <f t="shared" si="8"/>
        <v>7</v>
      </c>
      <c r="U16" s="17">
        <f t="shared" si="8"/>
        <v>24</v>
      </c>
      <c r="V16" s="17">
        <f t="shared" si="8"/>
        <v>6</v>
      </c>
      <c r="W16" s="17">
        <f t="shared" si="8"/>
        <v>0</v>
      </c>
      <c r="X16" s="17">
        <f t="shared" si="8"/>
        <v>6</v>
      </c>
      <c r="Y16" s="17">
        <f t="shared" si="8"/>
        <v>12</v>
      </c>
      <c r="Z16" s="17">
        <f t="shared" si="8"/>
        <v>2</v>
      </c>
      <c r="AA16" s="17">
        <f t="shared" si="8"/>
        <v>2</v>
      </c>
      <c r="AB16" s="17">
        <f t="shared" si="8"/>
        <v>6</v>
      </c>
      <c r="AC16" s="17">
        <f t="shared" si="8"/>
        <v>18</v>
      </c>
      <c r="AD16" s="17">
        <f t="shared" si="8"/>
        <v>0</v>
      </c>
      <c r="AE16" s="31">
        <f t="shared" si="8"/>
        <v>74</v>
      </c>
      <c r="AF16" s="31">
        <f t="shared" si="8"/>
        <v>92</v>
      </c>
    </row>
    <row r="17" spans="2:32" ht="23.1" customHeight="1" x14ac:dyDescent="0.25">
      <c r="B17" s="45" t="s">
        <v>44</v>
      </c>
      <c r="C17" s="51">
        <v>0</v>
      </c>
      <c r="D17" s="50">
        <v>1</v>
      </c>
      <c r="E17" s="51">
        <v>5</v>
      </c>
      <c r="F17" s="51">
        <v>0</v>
      </c>
      <c r="G17" s="51">
        <v>0</v>
      </c>
      <c r="H17" s="51">
        <v>1</v>
      </c>
      <c r="I17" s="51">
        <v>1</v>
      </c>
      <c r="J17" s="51">
        <v>0</v>
      </c>
      <c r="K17" s="51">
        <v>0</v>
      </c>
      <c r="L17" s="50">
        <v>1</v>
      </c>
      <c r="M17" s="51">
        <v>6</v>
      </c>
      <c r="N17" s="51">
        <v>0</v>
      </c>
      <c r="O17" s="15">
        <f t="shared" si="0"/>
        <v>9</v>
      </c>
      <c r="P17" s="15">
        <f t="shared" si="1"/>
        <v>15</v>
      </c>
      <c r="R17" s="1" t="s">
        <v>13</v>
      </c>
      <c r="S17" s="17">
        <f t="shared" ref="S17:AF17" si="9">SUM(C38:C41)</f>
        <v>9</v>
      </c>
      <c r="T17" s="17">
        <f t="shared" si="9"/>
        <v>3</v>
      </c>
      <c r="U17" s="17">
        <f t="shared" si="9"/>
        <v>14</v>
      </c>
      <c r="V17" s="17">
        <f t="shared" si="9"/>
        <v>4</v>
      </c>
      <c r="W17" s="17">
        <f t="shared" si="9"/>
        <v>0</v>
      </c>
      <c r="X17" s="17">
        <f t="shared" si="9"/>
        <v>2</v>
      </c>
      <c r="Y17" s="17">
        <f t="shared" si="9"/>
        <v>11</v>
      </c>
      <c r="Z17" s="17">
        <f t="shared" si="9"/>
        <v>0</v>
      </c>
      <c r="AA17" s="17">
        <f t="shared" si="9"/>
        <v>0</v>
      </c>
      <c r="AB17" s="17">
        <f t="shared" si="9"/>
        <v>4</v>
      </c>
      <c r="AC17" s="17">
        <f t="shared" si="9"/>
        <v>4</v>
      </c>
      <c r="AD17" s="17">
        <f t="shared" si="9"/>
        <v>0</v>
      </c>
      <c r="AE17" s="31">
        <f t="shared" si="9"/>
        <v>47</v>
      </c>
      <c r="AF17" s="31">
        <f t="shared" si="9"/>
        <v>51</v>
      </c>
    </row>
    <row r="18" spans="2:32" ht="23.1" customHeight="1" x14ac:dyDescent="0.25">
      <c r="B18" s="45" t="s">
        <v>45</v>
      </c>
      <c r="C18" s="51">
        <v>1</v>
      </c>
      <c r="D18" s="50">
        <v>1</v>
      </c>
      <c r="E18" s="51">
        <v>5</v>
      </c>
      <c r="F18" s="51">
        <v>0</v>
      </c>
      <c r="G18" s="51">
        <v>2</v>
      </c>
      <c r="H18" s="51">
        <v>1</v>
      </c>
      <c r="I18" s="51">
        <v>0</v>
      </c>
      <c r="J18" s="51">
        <v>0</v>
      </c>
      <c r="K18" s="51">
        <v>0</v>
      </c>
      <c r="L18" s="50">
        <v>2</v>
      </c>
      <c r="M18" s="51">
        <v>2</v>
      </c>
      <c r="N18" s="51">
        <v>0</v>
      </c>
      <c r="O18" s="15">
        <f t="shared" si="0"/>
        <v>12</v>
      </c>
      <c r="P18" s="15">
        <f t="shared" si="1"/>
        <v>14</v>
      </c>
      <c r="R18" s="1" t="s">
        <v>14</v>
      </c>
      <c r="S18" s="17">
        <f t="shared" ref="S18:AF18" si="10">SUM(C42:C45)</f>
        <v>16</v>
      </c>
      <c r="T18" s="17">
        <f t="shared" si="10"/>
        <v>8</v>
      </c>
      <c r="U18" s="17">
        <f t="shared" si="10"/>
        <v>22</v>
      </c>
      <c r="V18" s="17">
        <f t="shared" si="10"/>
        <v>1</v>
      </c>
      <c r="W18" s="17">
        <f t="shared" si="10"/>
        <v>0</v>
      </c>
      <c r="X18" s="17">
        <f t="shared" si="10"/>
        <v>6</v>
      </c>
      <c r="Y18" s="17">
        <f t="shared" si="10"/>
        <v>7</v>
      </c>
      <c r="Z18" s="17">
        <f t="shared" si="10"/>
        <v>1</v>
      </c>
      <c r="AA18" s="17">
        <f t="shared" si="10"/>
        <v>2</v>
      </c>
      <c r="AB18" s="17">
        <f t="shared" si="10"/>
        <v>5</v>
      </c>
      <c r="AC18" s="17">
        <f t="shared" si="10"/>
        <v>20</v>
      </c>
      <c r="AD18" s="17">
        <f t="shared" si="10"/>
        <v>0</v>
      </c>
      <c r="AE18" s="31">
        <f t="shared" si="10"/>
        <v>68</v>
      </c>
      <c r="AF18" s="31">
        <f t="shared" si="10"/>
        <v>88</v>
      </c>
    </row>
    <row r="19" spans="2:32" ht="23.1" customHeight="1" x14ac:dyDescent="0.25">
      <c r="B19" s="45" t="s">
        <v>46</v>
      </c>
      <c r="C19" s="51">
        <v>2</v>
      </c>
      <c r="D19" s="50">
        <v>1</v>
      </c>
      <c r="E19" s="51">
        <v>3</v>
      </c>
      <c r="F19" s="51">
        <v>0</v>
      </c>
      <c r="G19" s="51">
        <v>0</v>
      </c>
      <c r="H19" s="51">
        <v>0</v>
      </c>
      <c r="I19" s="51">
        <v>2</v>
      </c>
      <c r="J19" s="51">
        <v>0</v>
      </c>
      <c r="K19" s="51">
        <v>0</v>
      </c>
      <c r="L19" s="50">
        <v>0</v>
      </c>
      <c r="M19" s="51">
        <v>1</v>
      </c>
      <c r="N19" s="51">
        <v>0</v>
      </c>
      <c r="O19" s="15">
        <f t="shared" si="0"/>
        <v>8</v>
      </c>
      <c r="P19" s="15">
        <f t="shared" si="1"/>
        <v>9</v>
      </c>
      <c r="R19" s="1" t="s">
        <v>15</v>
      </c>
      <c r="S19" s="17">
        <f t="shared" ref="S19:AF19" si="11">SUM(C46:C49)</f>
        <v>19</v>
      </c>
      <c r="T19" s="17">
        <f t="shared" si="11"/>
        <v>7</v>
      </c>
      <c r="U19" s="17">
        <f t="shared" si="11"/>
        <v>26</v>
      </c>
      <c r="V19" s="17">
        <f t="shared" si="11"/>
        <v>16</v>
      </c>
      <c r="W19" s="17">
        <f t="shared" si="11"/>
        <v>0</v>
      </c>
      <c r="X19" s="17">
        <f t="shared" si="11"/>
        <v>3</v>
      </c>
      <c r="Y19" s="17">
        <f t="shared" si="11"/>
        <v>13</v>
      </c>
      <c r="Z19" s="17">
        <f t="shared" si="11"/>
        <v>0</v>
      </c>
      <c r="AA19" s="17">
        <f t="shared" si="11"/>
        <v>1</v>
      </c>
      <c r="AB19" s="17">
        <f t="shared" si="11"/>
        <v>8</v>
      </c>
      <c r="AC19" s="17">
        <f t="shared" si="11"/>
        <v>21</v>
      </c>
      <c r="AD19" s="17">
        <f t="shared" si="11"/>
        <v>0</v>
      </c>
      <c r="AE19" s="31">
        <f t="shared" si="11"/>
        <v>93</v>
      </c>
      <c r="AF19" s="31">
        <f t="shared" si="11"/>
        <v>114</v>
      </c>
    </row>
    <row r="20" spans="2:32" ht="23.1" customHeight="1" x14ac:dyDescent="0.25">
      <c r="B20" s="45" t="s">
        <v>47</v>
      </c>
      <c r="C20" s="51">
        <v>0</v>
      </c>
      <c r="D20" s="50">
        <v>0</v>
      </c>
      <c r="E20" s="51">
        <v>3</v>
      </c>
      <c r="F20" s="51">
        <v>2</v>
      </c>
      <c r="G20" s="51">
        <v>0</v>
      </c>
      <c r="H20" s="51">
        <v>1</v>
      </c>
      <c r="I20" s="51">
        <v>3</v>
      </c>
      <c r="J20" s="51">
        <v>0</v>
      </c>
      <c r="K20" s="51">
        <v>0</v>
      </c>
      <c r="L20" s="50">
        <v>3</v>
      </c>
      <c r="M20" s="51">
        <v>2</v>
      </c>
      <c r="N20" s="51">
        <v>0</v>
      </c>
      <c r="O20" s="15">
        <f t="shared" si="0"/>
        <v>12</v>
      </c>
      <c r="P20" s="15">
        <f t="shared" si="1"/>
        <v>14</v>
      </c>
      <c r="R20" s="1" t="s">
        <v>16</v>
      </c>
      <c r="S20" s="17">
        <f t="shared" ref="S20:AF20" si="12">SUM(C50:C53)</f>
        <v>7</v>
      </c>
      <c r="T20" s="17">
        <f t="shared" si="12"/>
        <v>3</v>
      </c>
      <c r="U20" s="17">
        <f t="shared" si="12"/>
        <v>12</v>
      </c>
      <c r="V20" s="17">
        <f t="shared" si="12"/>
        <v>11</v>
      </c>
      <c r="W20" s="17">
        <f t="shared" si="12"/>
        <v>0</v>
      </c>
      <c r="X20" s="17">
        <f t="shared" si="12"/>
        <v>5</v>
      </c>
      <c r="Y20" s="17">
        <f t="shared" si="12"/>
        <v>8</v>
      </c>
      <c r="Z20" s="17">
        <f t="shared" si="12"/>
        <v>2</v>
      </c>
      <c r="AA20" s="17">
        <f t="shared" si="12"/>
        <v>1</v>
      </c>
      <c r="AB20" s="17">
        <f t="shared" si="12"/>
        <v>2</v>
      </c>
      <c r="AC20" s="17">
        <f t="shared" si="12"/>
        <v>16</v>
      </c>
      <c r="AD20" s="17">
        <f t="shared" si="12"/>
        <v>0</v>
      </c>
      <c r="AE20" s="31">
        <f t="shared" si="12"/>
        <v>51</v>
      </c>
      <c r="AF20" s="31">
        <f t="shared" si="12"/>
        <v>67</v>
      </c>
    </row>
    <row r="21" spans="2:32" ht="23.1" customHeight="1" x14ac:dyDescent="0.25">
      <c r="B21" s="45" t="s">
        <v>48</v>
      </c>
      <c r="C21" s="51">
        <v>1</v>
      </c>
      <c r="D21" s="50">
        <v>1</v>
      </c>
      <c r="E21" s="51">
        <v>3</v>
      </c>
      <c r="F21" s="51">
        <v>3</v>
      </c>
      <c r="G21" s="51">
        <v>0</v>
      </c>
      <c r="H21" s="51">
        <v>2</v>
      </c>
      <c r="I21" s="51">
        <v>2</v>
      </c>
      <c r="J21" s="51">
        <v>0</v>
      </c>
      <c r="K21" s="51">
        <v>0</v>
      </c>
      <c r="L21" s="50">
        <v>0</v>
      </c>
      <c r="M21" s="51">
        <v>3</v>
      </c>
      <c r="N21" s="51">
        <v>0</v>
      </c>
      <c r="O21" s="15">
        <f t="shared" si="0"/>
        <v>12</v>
      </c>
      <c r="P21" s="15">
        <f t="shared" si="1"/>
        <v>15</v>
      </c>
      <c r="R21" s="36" t="s">
        <v>20</v>
      </c>
      <c r="S21" s="34">
        <f t="shared" ref="S21:AF21" si="13">SUM(C54:C57)</f>
        <v>4</v>
      </c>
      <c r="T21" s="17">
        <f t="shared" si="13"/>
        <v>2</v>
      </c>
      <c r="U21" s="17">
        <f t="shared" si="13"/>
        <v>12</v>
      </c>
      <c r="V21" s="17">
        <f t="shared" si="13"/>
        <v>7</v>
      </c>
      <c r="W21" s="17">
        <f t="shared" si="13"/>
        <v>0</v>
      </c>
      <c r="X21" s="17">
        <f t="shared" si="13"/>
        <v>3</v>
      </c>
      <c r="Y21" s="17">
        <f t="shared" si="13"/>
        <v>7</v>
      </c>
      <c r="Z21" s="17">
        <f t="shared" si="13"/>
        <v>1</v>
      </c>
      <c r="AA21" s="17">
        <f t="shared" si="13"/>
        <v>0</v>
      </c>
      <c r="AB21" s="17">
        <f t="shared" si="13"/>
        <v>5</v>
      </c>
      <c r="AC21" s="17">
        <f t="shared" si="13"/>
        <v>13</v>
      </c>
      <c r="AD21" s="17">
        <f t="shared" si="13"/>
        <v>0</v>
      </c>
      <c r="AE21" s="31">
        <f t="shared" si="13"/>
        <v>41</v>
      </c>
      <c r="AF21" s="31">
        <f t="shared" si="13"/>
        <v>54</v>
      </c>
    </row>
    <row r="22" spans="2:32" ht="23.1" customHeight="1" x14ac:dyDescent="0.25">
      <c r="B22" s="45" t="s">
        <v>49</v>
      </c>
      <c r="C22" s="51">
        <v>1</v>
      </c>
      <c r="D22" s="50">
        <v>1</v>
      </c>
      <c r="E22" s="51">
        <v>3</v>
      </c>
      <c r="F22" s="51">
        <v>2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0">
        <v>1</v>
      </c>
      <c r="M22" s="51">
        <v>7</v>
      </c>
      <c r="N22" s="51">
        <v>0</v>
      </c>
      <c r="O22" s="15">
        <f t="shared" si="0"/>
        <v>8</v>
      </c>
      <c r="P22" s="15">
        <f t="shared" si="1"/>
        <v>15</v>
      </c>
      <c r="R22" s="36" t="s">
        <v>146</v>
      </c>
      <c r="S22" s="34">
        <f>SUM(C58:C61)</f>
        <v>6</v>
      </c>
      <c r="T22" s="34">
        <f t="shared" ref="T22:AF22" si="14">SUM(D58:D61)</f>
        <v>2</v>
      </c>
      <c r="U22" s="34">
        <f t="shared" si="14"/>
        <v>14</v>
      </c>
      <c r="V22" s="34">
        <f t="shared" si="14"/>
        <v>6</v>
      </c>
      <c r="W22" s="34">
        <f t="shared" si="14"/>
        <v>0</v>
      </c>
      <c r="X22" s="34">
        <f t="shared" si="14"/>
        <v>1</v>
      </c>
      <c r="Y22" s="34">
        <f t="shared" si="14"/>
        <v>6</v>
      </c>
      <c r="Z22" s="34">
        <f t="shared" si="14"/>
        <v>3</v>
      </c>
      <c r="AA22" s="34">
        <f t="shared" si="14"/>
        <v>0</v>
      </c>
      <c r="AB22" s="34">
        <f t="shared" si="14"/>
        <v>6</v>
      </c>
      <c r="AC22" s="34">
        <f t="shared" si="14"/>
        <v>13</v>
      </c>
      <c r="AD22" s="34">
        <f t="shared" si="14"/>
        <v>0</v>
      </c>
      <c r="AE22" s="31">
        <f t="shared" si="14"/>
        <v>44</v>
      </c>
      <c r="AF22" s="31">
        <f t="shared" si="14"/>
        <v>57</v>
      </c>
    </row>
    <row r="23" spans="2:32" ht="23.1" customHeight="1" x14ac:dyDescent="0.25">
      <c r="B23" s="45" t="s">
        <v>50</v>
      </c>
      <c r="C23" s="51">
        <v>1</v>
      </c>
      <c r="D23" s="50">
        <v>1</v>
      </c>
      <c r="E23" s="51">
        <v>4</v>
      </c>
      <c r="F23" s="51">
        <v>1</v>
      </c>
      <c r="G23" s="51">
        <v>0</v>
      </c>
      <c r="H23" s="51">
        <v>0</v>
      </c>
      <c r="I23" s="51">
        <v>0</v>
      </c>
      <c r="J23" s="51">
        <v>0</v>
      </c>
      <c r="K23" s="51">
        <v>1</v>
      </c>
      <c r="L23" s="50">
        <v>2</v>
      </c>
      <c r="M23" s="51">
        <v>4</v>
      </c>
      <c r="N23" s="51">
        <v>0</v>
      </c>
      <c r="O23" s="15">
        <f t="shared" si="0"/>
        <v>10</v>
      </c>
      <c r="P23" s="15">
        <f t="shared" si="1"/>
        <v>14</v>
      </c>
      <c r="R23" s="36" t="s">
        <v>147</v>
      </c>
      <c r="S23" s="34">
        <f>SUM(C62:C65)</f>
        <v>4</v>
      </c>
      <c r="T23" s="34">
        <f t="shared" ref="T23:AF23" si="15">SUM(D62:D65)</f>
        <v>2</v>
      </c>
      <c r="U23" s="34">
        <f t="shared" si="15"/>
        <v>11</v>
      </c>
      <c r="V23" s="34">
        <f t="shared" si="15"/>
        <v>6</v>
      </c>
      <c r="W23" s="34">
        <f t="shared" si="15"/>
        <v>0</v>
      </c>
      <c r="X23" s="34">
        <f t="shared" si="15"/>
        <v>4</v>
      </c>
      <c r="Y23" s="34">
        <f t="shared" si="15"/>
        <v>5</v>
      </c>
      <c r="Z23" s="34">
        <f t="shared" si="15"/>
        <v>2</v>
      </c>
      <c r="AA23" s="34">
        <f t="shared" si="15"/>
        <v>0</v>
      </c>
      <c r="AB23" s="34">
        <f t="shared" si="15"/>
        <v>3</v>
      </c>
      <c r="AC23" s="34">
        <f t="shared" si="15"/>
        <v>11</v>
      </c>
      <c r="AD23" s="34">
        <f t="shared" si="15"/>
        <v>0</v>
      </c>
      <c r="AE23" s="31">
        <f t="shared" si="15"/>
        <v>37</v>
      </c>
      <c r="AF23" s="31">
        <f t="shared" si="15"/>
        <v>48</v>
      </c>
    </row>
    <row r="24" spans="2:32" ht="23.1" customHeight="1" x14ac:dyDescent="0.25">
      <c r="B24" s="45" t="s">
        <v>51</v>
      </c>
      <c r="C24" s="51">
        <v>2</v>
      </c>
      <c r="D24" s="50">
        <v>3</v>
      </c>
      <c r="E24" s="51">
        <v>9</v>
      </c>
      <c r="F24" s="51">
        <v>0</v>
      </c>
      <c r="G24" s="51">
        <v>0</v>
      </c>
      <c r="H24" s="51">
        <v>1</v>
      </c>
      <c r="I24" s="51">
        <v>1</v>
      </c>
      <c r="J24" s="51">
        <v>0</v>
      </c>
      <c r="K24" s="51">
        <v>0</v>
      </c>
      <c r="L24" s="50">
        <v>1</v>
      </c>
      <c r="M24" s="51">
        <v>5</v>
      </c>
      <c r="N24" s="51">
        <v>0</v>
      </c>
      <c r="O24" s="15">
        <f t="shared" si="0"/>
        <v>17</v>
      </c>
      <c r="P24" s="15">
        <f t="shared" si="1"/>
        <v>22</v>
      </c>
      <c r="R24" s="36" t="s">
        <v>148</v>
      </c>
      <c r="S24" s="34">
        <f>SUM(C66:C69)</f>
        <v>6</v>
      </c>
      <c r="T24" s="34">
        <f t="shared" ref="T24:AF24" si="16">SUM(D66:D69)</f>
        <v>2</v>
      </c>
      <c r="U24" s="34">
        <f t="shared" si="16"/>
        <v>14</v>
      </c>
      <c r="V24" s="34">
        <f t="shared" si="16"/>
        <v>7</v>
      </c>
      <c r="W24" s="34">
        <f t="shared" si="16"/>
        <v>0</v>
      </c>
      <c r="X24" s="34">
        <f t="shared" si="16"/>
        <v>10</v>
      </c>
      <c r="Y24" s="34">
        <f t="shared" si="16"/>
        <v>6</v>
      </c>
      <c r="Z24" s="34">
        <f t="shared" si="16"/>
        <v>2</v>
      </c>
      <c r="AA24" s="34">
        <f t="shared" si="16"/>
        <v>0</v>
      </c>
      <c r="AB24" s="34">
        <f t="shared" si="16"/>
        <v>8</v>
      </c>
      <c r="AC24" s="34">
        <f t="shared" si="16"/>
        <v>14</v>
      </c>
      <c r="AD24" s="34">
        <f t="shared" si="16"/>
        <v>0</v>
      </c>
      <c r="AE24" s="31">
        <f t="shared" si="16"/>
        <v>55</v>
      </c>
      <c r="AF24" s="31">
        <f t="shared" si="16"/>
        <v>69</v>
      </c>
    </row>
    <row r="25" spans="2:32" ht="23.1" customHeight="1" x14ac:dyDescent="0.25">
      <c r="B25" s="45" t="s">
        <v>52</v>
      </c>
      <c r="C25" s="51">
        <v>4</v>
      </c>
      <c r="D25" s="50">
        <v>2</v>
      </c>
      <c r="E25" s="51">
        <v>7</v>
      </c>
      <c r="F25" s="51">
        <v>2</v>
      </c>
      <c r="G25" s="51">
        <v>0</v>
      </c>
      <c r="H25" s="51">
        <v>0</v>
      </c>
      <c r="I25" s="51">
        <v>2</v>
      </c>
      <c r="J25" s="51">
        <v>0</v>
      </c>
      <c r="K25" s="51">
        <v>0</v>
      </c>
      <c r="L25" s="50">
        <v>0</v>
      </c>
      <c r="M25" s="51">
        <v>2</v>
      </c>
      <c r="N25" s="51">
        <v>0</v>
      </c>
      <c r="O25" s="15">
        <f t="shared" si="0"/>
        <v>17</v>
      </c>
      <c r="P25" s="15">
        <f t="shared" si="1"/>
        <v>19</v>
      </c>
      <c r="R25" s="36" t="s">
        <v>149</v>
      </c>
      <c r="S25" s="34">
        <f>SUM(C70:C73)</f>
        <v>4</v>
      </c>
      <c r="T25" s="34">
        <f t="shared" ref="T25:AF25" si="17">SUM(D70:D73)</f>
        <v>1</v>
      </c>
      <c r="U25" s="34">
        <f t="shared" si="17"/>
        <v>11</v>
      </c>
      <c r="V25" s="34">
        <f t="shared" si="17"/>
        <v>5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3</v>
      </c>
      <c r="AA25" s="34">
        <f t="shared" si="17"/>
        <v>0</v>
      </c>
      <c r="AB25" s="34">
        <f t="shared" si="17"/>
        <v>4</v>
      </c>
      <c r="AC25" s="34">
        <f t="shared" si="17"/>
        <v>10</v>
      </c>
      <c r="AD25" s="34">
        <f t="shared" si="17"/>
        <v>0</v>
      </c>
      <c r="AE25" s="31">
        <f t="shared" si="17"/>
        <v>32</v>
      </c>
      <c r="AF25" s="31">
        <f t="shared" si="17"/>
        <v>42</v>
      </c>
    </row>
    <row r="26" spans="2:32" ht="23.1" customHeight="1" x14ac:dyDescent="0.25">
      <c r="B26" s="45" t="s">
        <v>53</v>
      </c>
      <c r="C26" s="51">
        <v>1</v>
      </c>
      <c r="D26" s="50">
        <v>3</v>
      </c>
      <c r="E26" s="51">
        <v>9</v>
      </c>
      <c r="F26" s="51">
        <v>1</v>
      </c>
      <c r="G26" s="51">
        <v>0</v>
      </c>
      <c r="H26" s="51">
        <v>1</v>
      </c>
      <c r="I26" s="51">
        <v>3</v>
      </c>
      <c r="J26" s="51">
        <v>0</v>
      </c>
      <c r="K26" s="51">
        <v>0</v>
      </c>
      <c r="L26" s="50">
        <v>0</v>
      </c>
      <c r="M26" s="51">
        <v>6</v>
      </c>
      <c r="N26" s="51">
        <v>0</v>
      </c>
      <c r="O26" s="15">
        <f t="shared" si="0"/>
        <v>18</v>
      </c>
      <c r="P26" s="15">
        <f t="shared" si="1"/>
        <v>24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4</v>
      </c>
      <c r="V26" s="34">
        <f t="shared" si="18"/>
        <v>1</v>
      </c>
      <c r="W26" s="34">
        <f t="shared" si="18"/>
        <v>0</v>
      </c>
      <c r="X26" s="34">
        <f t="shared" si="18"/>
        <v>10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1</v>
      </c>
      <c r="AC26" s="34">
        <f t="shared" si="18"/>
        <v>3</v>
      </c>
      <c r="AD26" s="34">
        <f t="shared" si="18"/>
        <v>0</v>
      </c>
      <c r="AE26" s="31">
        <f t="shared" si="18"/>
        <v>18</v>
      </c>
      <c r="AF26" s="31">
        <f t="shared" si="18"/>
        <v>21</v>
      </c>
    </row>
    <row r="27" spans="2:32" ht="23.1" customHeight="1" x14ac:dyDescent="0.25">
      <c r="B27" s="45" t="s">
        <v>54</v>
      </c>
      <c r="C27" s="51">
        <v>1</v>
      </c>
      <c r="D27" s="50">
        <v>1</v>
      </c>
      <c r="E27" s="51">
        <v>4</v>
      </c>
      <c r="F27" s="51">
        <v>0</v>
      </c>
      <c r="G27" s="51">
        <v>0</v>
      </c>
      <c r="H27" s="51">
        <v>1</v>
      </c>
      <c r="I27" s="51">
        <v>1</v>
      </c>
      <c r="J27" s="51">
        <v>0</v>
      </c>
      <c r="K27" s="51">
        <v>0</v>
      </c>
      <c r="L27" s="50">
        <v>2</v>
      </c>
      <c r="M27" s="51">
        <v>6</v>
      </c>
      <c r="N27" s="51">
        <v>0</v>
      </c>
      <c r="O27" s="15">
        <f t="shared" si="0"/>
        <v>10</v>
      </c>
      <c r="P27" s="15">
        <f t="shared" si="1"/>
        <v>16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5</v>
      </c>
      <c r="V27" s="34">
        <f t="shared" si="19"/>
        <v>2</v>
      </c>
      <c r="W27" s="34">
        <f t="shared" si="19"/>
        <v>0</v>
      </c>
      <c r="X27" s="34">
        <f t="shared" si="19"/>
        <v>5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4</v>
      </c>
      <c r="AD27" s="34">
        <f t="shared" si="19"/>
        <v>0</v>
      </c>
      <c r="AE27" s="31">
        <f t="shared" si="19"/>
        <v>15</v>
      </c>
      <c r="AF27" s="31">
        <f t="shared" si="19"/>
        <v>19</v>
      </c>
    </row>
    <row r="28" spans="2:32" ht="23.1" customHeight="1" x14ac:dyDescent="0.25">
      <c r="B28" s="45" t="s">
        <v>55</v>
      </c>
      <c r="C28" s="51">
        <v>4</v>
      </c>
      <c r="D28" s="50">
        <v>1</v>
      </c>
      <c r="E28" s="51">
        <v>5</v>
      </c>
      <c r="F28" s="51">
        <v>2</v>
      </c>
      <c r="G28" s="51">
        <v>0</v>
      </c>
      <c r="H28" s="51">
        <v>4</v>
      </c>
      <c r="I28" s="51">
        <v>1</v>
      </c>
      <c r="J28" s="51">
        <v>2</v>
      </c>
      <c r="K28" s="51">
        <v>0</v>
      </c>
      <c r="L28" s="50">
        <v>0</v>
      </c>
      <c r="M28" s="51">
        <v>2</v>
      </c>
      <c r="N28" s="51">
        <v>0</v>
      </c>
      <c r="O28" s="15">
        <f t="shared" si="0"/>
        <v>19</v>
      </c>
      <c r="P28" s="15">
        <f t="shared" si="1"/>
        <v>21</v>
      </c>
      <c r="R28" s="36" t="s">
        <v>152</v>
      </c>
      <c r="S28" s="34">
        <f>SUM(C82:C85)</f>
        <v>3</v>
      </c>
      <c r="T28" s="34">
        <f t="shared" ref="T28:AF28" si="20">SUM(D82:D85)</f>
        <v>0</v>
      </c>
      <c r="U28" s="34">
        <f t="shared" si="20"/>
        <v>6</v>
      </c>
      <c r="V28" s="34">
        <f t="shared" si="20"/>
        <v>3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6</v>
      </c>
      <c r="AD28" s="34">
        <f t="shared" si="20"/>
        <v>0</v>
      </c>
      <c r="AE28" s="31">
        <f t="shared" si="20"/>
        <v>15</v>
      </c>
      <c r="AF28" s="31">
        <f t="shared" si="20"/>
        <v>21</v>
      </c>
    </row>
    <row r="29" spans="2:32" ht="23.1" customHeight="1" x14ac:dyDescent="0.25">
      <c r="B29" s="45" t="s">
        <v>56</v>
      </c>
      <c r="C29" s="51">
        <v>2</v>
      </c>
      <c r="D29" s="50">
        <v>2</v>
      </c>
      <c r="E29" s="51">
        <v>6</v>
      </c>
      <c r="F29" s="51">
        <v>0</v>
      </c>
      <c r="G29" s="51">
        <v>0</v>
      </c>
      <c r="H29" s="51">
        <v>1</v>
      </c>
      <c r="I29" s="51">
        <v>2</v>
      </c>
      <c r="J29" s="51">
        <v>0</v>
      </c>
      <c r="K29" s="51">
        <v>0</v>
      </c>
      <c r="L29" s="50">
        <v>2</v>
      </c>
      <c r="M29" s="51">
        <v>1</v>
      </c>
      <c r="N29" s="51">
        <v>0</v>
      </c>
      <c r="O29" s="15">
        <f t="shared" si="0"/>
        <v>15</v>
      </c>
      <c r="P29" s="15">
        <f t="shared" si="1"/>
        <v>16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1</v>
      </c>
      <c r="AF29" s="31">
        <f t="shared" si="21"/>
        <v>2</v>
      </c>
    </row>
    <row r="30" spans="2:32" ht="23.1" customHeight="1" x14ac:dyDescent="0.25">
      <c r="B30" s="45" t="s">
        <v>57</v>
      </c>
      <c r="C30" s="51">
        <v>1</v>
      </c>
      <c r="D30" s="50">
        <v>1</v>
      </c>
      <c r="E30" s="51">
        <v>4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0">
        <v>0</v>
      </c>
      <c r="M30" s="51">
        <v>4</v>
      </c>
      <c r="N30" s="51">
        <v>0</v>
      </c>
      <c r="O30" s="15">
        <f t="shared" si="0"/>
        <v>6</v>
      </c>
      <c r="P30" s="15">
        <f t="shared" si="1"/>
        <v>10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1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2</v>
      </c>
      <c r="AC30" s="34">
        <f t="shared" si="22"/>
        <v>0</v>
      </c>
      <c r="AD30" s="34">
        <f t="shared" si="22"/>
        <v>0</v>
      </c>
      <c r="AE30" s="31">
        <f t="shared" si="22"/>
        <v>3</v>
      </c>
      <c r="AF30" s="31">
        <f t="shared" si="22"/>
        <v>3</v>
      </c>
    </row>
    <row r="31" spans="2:32" ht="23.1" customHeight="1" x14ac:dyDescent="0.25">
      <c r="B31" s="46" t="s">
        <v>58</v>
      </c>
      <c r="C31" s="51">
        <v>4</v>
      </c>
      <c r="D31" s="50">
        <v>2</v>
      </c>
      <c r="E31" s="51">
        <v>7</v>
      </c>
      <c r="F31" s="51">
        <v>2</v>
      </c>
      <c r="G31" s="51">
        <v>0</v>
      </c>
      <c r="H31" s="51">
        <v>2</v>
      </c>
      <c r="I31" s="51">
        <v>1</v>
      </c>
      <c r="J31" s="51">
        <v>1</v>
      </c>
      <c r="K31" s="51">
        <v>1</v>
      </c>
      <c r="L31" s="50">
        <v>2</v>
      </c>
      <c r="M31" s="51">
        <v>6</v>
      </c>
      <c r="N31" s="51">
        <v>0</v>
      </c>
      <c r="O31" s="15">
        <f t="shared" si="0"/>
        <v>22</v>
      </c>
      <c r="P31" s="15">
        <f t="shared" si="1"/>
        <v>28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1</v>
      </c>
      <c r="AF31" s="31">
        <f t="shared" si="23"/>
        <v>1</v>
      </c>
    </row>
    <row r="32" spans="2:32" ht="23.1" customHeight="1" x14ac:dyDescent="0.25">
      <c r="B32" s="46" t="s">
        <v>59</v>
      </c>
      <c r="C32" s="51">
        <v>3</v>
      </c>
      <c r="D32" s="50">
        <v>2</v>
      </c>
      <c r="E32" s="51">
        <v>6</v>
      </c>
      <c r="F32" s="51">
        <v>3</v>
      </c>
      <c r="G32" s="51">
        <v>0</v>
      </c>
      <c r="H32" s="51">
        <v>0</v>
      </c>
      <c r="I32" s="51">
        <v>2</v>
      </c>
      <c r="J32" s="51">
        <v>0</v>
      </c>
      <c r="K32" s="51">
        <v>0</v>
      </c>
      <c r="L32" s="50">
        <v>2</v>
      </c>
      <c r="M32" s="51">
        <v>1</v>
      </c>
      <c r="N32" s="51">
        <v>0</v>
      </c>
      <c r="O32" s="15">
        <f t="shared" si="0"/>
        <v>18</v>
      </c>
      <c r="P32" s="15">
        <f t="shared" si="1"/>
        <v>19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1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2</v>
      </c>
      <c r="AF32" s="31">
        <f t="shared" si="24"/>
        <v>3</v>
      </c>
    </row>
    <row r="33" spans="2:32" ht="23.1" customHeight="1" x14ac:dyDescent="0.25">
      <c r="B33" s="45" t="s">
        <v>60</v>
      </c>
      <c r="C33" s="51">
        <v>0</v>
      </c>
      <c r="D33" s="50">
        <v>5</v>
      </c>
      <c r="E33" s="51">
        <v>12</v>
      </c>
      <c r="F33" s="51">
        <v>1</v>
      </c>
      <c r="G33" s="51">
        <v>0</v>
      </c>
      <c r="H33" s="51">
        <v>1</v>
      </c>
      <c r="I33" s="51">
        <v>3</v>
      </c>
      <c r="J33" s="51">
        <v>0</v>
      </c>
      <c r="K33" s="51">
        <v>0</v>
      </c>
      <c r="L33" s="50">
        <v>2</v>
      </c>
      <c r="M33" s="51">
        <v>1</v>
      </c>
      <c r="N33" s="51">
        <v>0</v>
      </c>
      <c r="O33" s="15">
        <f t="shared" si="0"/>
        <v>24</v>
      </c>
      <c r="P33" s="15">
        <f t="shared" si="1"/>
        <v>25</v>
      </c>
      <c r="R33" s="33" t="s">
        <v>157</v>
      </c>
      <c r="S33" s="34">
        <f>SUM(C102:C105)</f>
        <v>2</v>
      </c>
      <c r="T33" s="34">
        <f t="shared" ref="T33:AF33" si="25">SUM(D102:D105)</f>
        <v>0</v>
      </c>
      <c r="U33" s="34">
        <f t="shared" si="25"/>
        <v>4</v>
      </c>
      <c r="V33" s="34">
        <f t="shared" si="25"/>
        <v>2</v>
      </c>
      <c r="W33" s="34">
        <f t="shared" si="25"/>
        <v>0</v>
      </c>
      <c r="X33" s="34">
        <f t="shared" si="25"/>
        <v>2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7</v>
      </c>
      <c r="AC33" s="34">
        <f t="shared" si="25"/>
        <v>1</v>
      </c>
      <c r="AD33" s="34">
        <f t="shared" si="25"/>
        <v>0</v>
      </c>
      <c r="AE33" s="31">
        <f t="shared" si="25"/>
        <v>18</v>
      </c>
      <c r="AF33" s="31">
        <f t="shared" si="25"/>
        <v>19</v>
      </c>
    </row>
    <row r="34" spans="2:32" ht="23.1" customHeight="1" x14ac:dyDescent="0.25">
      <c r="B34" s="46" t="s">
        <v>61</v>
      </c>
      <c r="C34" s="51">
        <v>1</v>
      </c>
      <c r="D34" s="50">
        <v>2</v>
      </c>
      <c r="E34" s="51">
        <v>5</v>
      </c>
      <c r="F34" s="51">
        <v>1</v>
      </c>
      <c r="G34" s="51">
        <v>0</v>
      </c>
      <c r="H34" s="51">
        <v>1</v>
      </c>
      <c r="I34" s="51">
        <v>3</v>
      </c>
      <c r="J34" s="51">
        <v>0</v>
      </c>
      <c r="K34" s="51">
        <v>0</v>
      </c>
      <c r="L34" s="50">
        <v>0</v>
      </c>
      <c r="M34" s="51">
        <v>8</v>
      </c>
      <c r="N34" s="51">
        <v>0</v>
      </c>
      <c r="O34" s="15">
        <f t="shared" si="0"/>
        <v>13</v>
      </c>
      <c r="P34" s="15">
        <f t="shared" si="1"/>
        <v>21</v>
      </c>
      <c r="R34" s="38" t="s">
        <v>90</v>
      </c>
      <c r="S34" s="39">
        <f t="shared" ref="S34:AF34" si="26">MAX(S10:S12)</f>
        <v>4</v>
      </c>
      <c r="T34" s="39">
        <f t="shared" si="26"/>
        <v>4</v>
      </c>
      <c r="U34" s="39">
        <f t="shared" si="26"/>
        <v>16</v>
      </c>
      <c r="V34" s="39">
        <f t="shared" si="26"/>
        <v>7</v>
      </c>
      <c r="W34" s="39">
        <f t="shared" si="26"/>
        <v>2</v>
      </c>
      <c r="X34" s="39">
        <f t="shared" si="26"/>
        <v>4</v>
      </c>
      <c r="Y34" s="39">
        <f t="shared" si="26"/>
        <v>7</v>
      </c>
      <c r="Z34" s="39">
        <f t="shared" si="26"/>
        <v>2</v>
      </c>
      <c r="AA34" s="39">
        <f t="shared" si="26"/>
        <v>1</v>
      </c>
      <c r="AB34" s="39">
        <f t="shared" si="26"/>
        <v>5</v>
      </c>
      <c r="AC34" s="39">
        <f t="shared" si="26"/>
        <v>20</v>
      </c>
      <c r="AD34" s="39">
        <f t="shared" si="26"/>
        <v>0</v>
      </c>
      <c r="AE34" s="40">
        <f t="shared" si="26"/>
        <v>44</v>
      </c>
      <c r="AF34" s="40">
        <f t="shared" si="26"/>
        <v>56</v>
      </c>
    </row>
    <row r="35" spans="2:32" ht="23.1" customHeight="1" x14ac:dyDescent="0.25">
      <c r="B35" s="46" t="s">
        <v>62</v>
      </c>
      <c r="C35" s="51">
        <v>3</v>
      </c>
      <c r="D35" s="50">
        <v>2</v>
      </c>
      <c r="E35" s="51">
        <v>7</v>
      </c>
      <c r="F35" s="51">
        <v>1</v>
      </c>
      <c r="G35" s="51">
        <v>0</v>
      </c>
      <c r="H35" s="51">
        <v>2</v>
      </c>
      <c r="I35" s="51">
        <v>4</v>
      </c>
      <c r="J35" s="51">
        <v>1</v>
      </c>
      <c r="K35" s="51">
        <v>0</v>
      </c>
      <c r="L35" s="50">
        <v>0</v>
      </c>
      <c r="M35" s="51">
        <v>2</v>
      </c>
      <c r="N35" s="51">
        <v>0</v>
      </c>
      <c r="O35" s="15">
        <f t="shared" si="0"/>
        <v>20</v>
      </c>
      <c r="P35" s="15">
        <f t="shared" si="1"/>
        <v>22</v>
      </c>
      <c r="R35" s="38" t="s">
        <v>91</v>
      </c>
      <c r="S35" s="39">
        <f t="shared" ref="S35:AF35" si="27">MAX(S13:S18)</f>
        <v>16</v>
      </c>
      <c r="T35" s="39">
        <f t="shared" si="27"/>
        <v>10</v>
      </c>
      <c r="U35" s="39">
        <f t="shared" si="27"/>
        <v>29</v>
      </c>
      <c r="V35" s="39">
        <f t="shared" si="27"/>
        <v>6</v>
      </c>
      <c r="W35" s="39">
        <f t="shared" si="27"/>
        <v>0</v>
      </c>
      <c r="X35" s="39">
        <f t="shared" si="27"/>
        <v>7</v>
      </c>
      <c r="Y35" s="39">
        <f t="shared" si="27"/>
        <v>12</v>
      </c>
      <c r="Z35" s="39">
        <f t="shared" si="27"/>
        <v>2</v>
      </c>
      <c r="AA35" s="39">
        <f t="shared" si="27"/>
        <v>2</v>
      </c>
      <c r="AB35" s="39">
        <f t="shared" si="27"/>
        <v>6</v>
      </c>
      <c r="AC35" s="39">
        <f t="shared" si="27"/>
        <v>20</v>
      </c>
      <c r="AD35" s="39">
        <f t="shared" si="27"/>
        <v>0</v>
      </c>
      <c r="AE35" s="40">
        <f t="shared" si="27"/>
        <v>74</v>
      </c>
      <c r="AF35" s="40">
        <f t="shared" si="27"/>
        <v>92</v>
      </c>
    </row>
    <row r="36" spans="2:32" ht="23.1" customHeight="1" x14ac:dyDescent="0.25">
      <c r="B36" s="46" t="s">
        <v>63</v>
      </c>
      <c r="C36" s="51">
        <v>1</v>
      </c>
      <c r="D36" s="50">
        <v>2</v>
      </c>
      <c r="E36" s="51">
        <v>7</v>
      </c>
      <c r="F36" s="51">
        <v>2</v>
      </c>
      <c r="G36" s="51">
        <v>0</v>
      </c>
      <c r="H36" s="51">
        <v>2</v>
      </c>
      <c r="I36" s="51">
        <v>2</v>
      </c>
      <c r="J36" s="51">
        <v>0</v>
      </c>
      <c r="K36" s="51">
        <v>1</v>
      </c>
      <c r="L36" s="50">
        <v>3</v>
      </c>
      <c r="M36" s="51">
        <v>5</v>
      </c>
      <c r="N36" s="51">
        <v>0</v>
      </c>
      <c r="O36" s="15">
        <f t="shared" si="0"/>
        <v>20</v>
      </c>
      <c r="P36" s="15">
        <f t="shared" si="1"/>
        <v>25</v>
      </c>
      <c r="R36" s="38" t="s">
        <v>92</v>
      </c>
      <c r="S36" s="39">
        <f t="shared" ref="S36:AF36" si="28">MAX(S19:S21)</f>
        <v>19</v>
      </c>
      <c r="T36" s="39">
        <f t="shared" si="28"/>
        <v>7</v>
      </c>
      <c r="U36" s="39">
        <f t="shared" si="28"/>
        <v>26</v>
      </c>
      <c r="V36" s="39">
        <f t="shared" si="28"/>
        <v>16</v>
      </c>
      <c r="W36" s="39">
        <f t="shared" si="28"/>
        <v>0</v>
      </c>
      <c r="X36" s="39">
        <f t="shared" si="28"/>
        <v>5</v>
      </c>
      <c r="Y36" s="39">
        <f t="shared" si="28"/>
        <v>13</v>
      </c>
      <c r="Z36" s="39">
        <f t="shared" si="28"/>
        <v>2</v>
      </c>
      <c r="AA36" s="39">
        <f t="shared" si="28"/>
        <v>1</v>
      </c>
      <c r="AB36" s="39">
        <f t="shared" si="28"/>
        <v>8</v>
      </c>
      <c r="AC36" s="39">
        <f t="shared" si="28"/>
        <v>21</v>
      </c>
      <c r="AD36" s="39">
        <f t="shared" si="28"/>
        <v>0</v>
      </c>
      <c r="AE36" s="40">
        <f t="shared" si="28"/>
        <v>93</v>
      </c>
      <c r="AF36" s="40">
        <f t="shared" si="28"/>
        <v>114</v>
      </c>
    </row>
    <row r="37" spans="2:32" ht="23.1" customHeight="1" x14ac:dyDescent="0.25">
      <c r="B37" s="45" t="s">
        <v>64</v>
      </c>
      <c r="C37" s="51">
        <v>4</v>
      </c>
      <c r="D37" s="50">
        <v>1</v>
      </c>
      <c r="E37" s="51">
        <v>5</v>
      </c>
      <c r="F37" s="51">
        <v>2</v>
      </c>
      <c r="G37" s="51">
        <v>0</v>
      </c>
      <c r="H37" s="51">
        <v>1</v>
      </c>
      <c r="I37" s="51">
        <v>3</v>
      </c>
      <c r="J37" s="51">
        <v>1</v>
      </c>
      <c r="K37" s="51">
        <v>1</v>
      </c>
      <c r="L37" s="50">
        <v>3</v>
      </c>
      <c r="M37" s="51">
        <v>3</v>
      </c>
      <c r="N37" s="51">
        <v>0</v>
      </c>
      <c r="O37" s="15">
        <f t="shared" si="0"/>
        <v>21</v>
      </c>
      <c r="P37" s="15">
        <f t="shared" si="1"/>
        <v>24</v>
      </c>
      <c r="R37" s="37" t="s">
        <v>85</v>
      </c>
      <c r="S37" s="35">
        <f t="shared" ref="S37:AF37" si="29">SUM(S10:S12)</f>
        <v>8</v>
      </c>
      <c r="T37" s="16">
        <f t="shared" si="29"/>
        <v>7</v>
      </c>
      <c r="U37" s="16">
        <f t="shared" si="29"/>
        <v>39</v>
      </c>
      <c r="V37" s="16">
        <f t="shared" si="29"/>
        <v>14</v>
      </c>
      <c r="W37" s="16">
        <f t="shared" si="29"/>
        <v>2</v>
      </c>
      <c r="X37" s="16">
        <f t="shared" si="29"/>
        <v>5</v>
      </c>
      <c r="Y37" s="16">
        <f t="shared" si="29"/>
        <v>11</v>
      </c>
      <c r="Z37" s="16">
        <f t="shared" si="29"/>
        <v>2</v>
      </c>
      <c r="AA37" s="16">
        <f t="shared" si="29"/>
        <v>2</v>
      </c>
      <c r="AB37" s="16">
        <f t="shared" si="29"/>
        <v>8</v>
      </c>
      <c r="AC37" s="16">
        <f t="shared" si="29"/>
        <v>35</v>
      </c>
      <c r="AD37" s="16">
        <f t="shared" si="29"/>
        <v>0</v>
      </c>
      <c r="AE37" s="32">
        <f t="shared" si="29"/>
        <v>98</v>
      </c>
      <c r="AF37" s="32">
        <f t="shared" si="29"/>
        <v>133</v>
      </c>
    </row>
    <row r="38" spans="2:32" ht="23.1" customHeight="1" x14ac:dyDescent="0.25">
      <c r="B38" s="46" t="s">
        <v>65</v>
      </c>
      <c r="C38" s="51">
        <v>3</v>
      </c>
      <c r="D38" s="50">
        <v>0</v>
      </c>
      <c r="E38" s="51">
        <v>2</v>
      </c>
      <c r="F38" s="51">
        <v>2</v>
      </c>
      <c r="G38" s="51">
        <v>0</v>
      </c>
      <c r="H38" s="51">
        <v>1</v>
      </c>
      <c r="I38" s="51">
        <v>2</v>
      </c>
      <c r="J38" s="51">
        <v>0</v>
      </c>
      <c r="K38" s="51">
        <v>0</v>
      </c>
      <c r="L38" s="50">
        <v>0</v>
      </c>
      <c r="M38" s="51">
        <v>1</v>
      </c>
      <c r="N38" s="51">
        <v>0</v>
      </c>
      <c r="O38" s="15">
        <f t="shared" si="0"/>
        <v>10</v>
      </c>
      <c r="P38" s="15">
        <f t="shared" si="1"/>
        <v>11</v>
      </c>
      <c r="R38" s="28" t="s">
        <v>86</v>
      </c>
      <c r="S38" s="16">
        <f t="shared" ref="S38:AF38" si="30">SUM(S13:S18)</f>
        <v>58</v>
      </c>
      <c r="T38" s="16">
        <f t="shared" si="30"/>
        <v>42</v>
      </c>
      <c r="U38" s="16">
        <f t="shared" si="30"/>
        <v>136</v>
      </c>
      <c r="V38" s="16">
        <f t="shared" si="30"/>
        <v>25</v>
      </c>
      <c r="W38" s="16">
        <f t="shared" si="30"/>
        <v>0</v>
      </c>
      <c r="X38" s="16">
        <f t="shared" si="30"/>
        <v>25</v>
      </c>
      <c r="Y38" s="16">
        <f t="shared" si="30"/>
        <v>46</v>
      </c>
      <c r="Z38" s="16">
        <f t="shared" si="30"/>
        <v>6</v>
      </c>
      <c r="AA38" s="16">
        <f t="shared" si="30"/>
        <v>6</v>
      </c>
      <c r="AB38" s="16">
        <f t="shared" si="30"/>
        <v>29</v>
      </c>
      <c r="AC38" s="16">
        <f t="shared" si="30"/>
        <v>87</v>
      </c>
      <c r="AD38" s="16">
        <f t="shared" si="30"/>
        <v>0</v>
      </c>
      <c r="AE38" s="32">
        <f t="shared" si="30"/>
        <v>373</v>
      </c>
      <c r="AF38" s="32">
        <f t="shared" si="30"/>
        <v>460</v>
      </c>
    </row>
    <row r="39" spans="2:32" ht="23.1" customHeight="1" x14ac:dyDescent="0.25">
      <c r="B39" s="46" t="s">
        <v>66</v>
      </c>
      <c r="C39" s="51">
        <v>2</v>
      </c>
      <c r="D39" s="50">
        <v>1</v>
      </c>
      <c r="E39" s="51">
        <v>5</v>
      </c>
      <c r="F39" s="51">
        <v>1</v>
      </c>
      <c r="G39" s="51">
        <v>0</v>
      </c>
      <c r="H39" s="51">
        <v>0</v>
      </c>
      <c r="I39" s="51">
        <v>5</v>
      </c>
      <c r="J39" s="51">
        <v>0</v>
      </c>
      <c r="K39" s="51">
        <v>0</v>
      </c>
      <c r="L39" s="50">
        <v>2</v>
      </c>
      <c r="M39" s="51">
        <v>2</v>
      </c>
      <c r="N39" s="51">
        <v>0</v>
      </c>
      <c r="O39" s="15">
        <f t="shared" si="0"/>
        <v>16</v>
      </c>
      <c r="P39" s="15">
        <f t="shared" si="1"/>
        <v>18</v>
      </c>
      <c r="R39" s="29" t="s">
        <v>87</v>
      </c>
      <c r="S39" s="16">
        <f t="shared" ref="S39:AF39" si="31">SUM(S19:S21)</f>
        <v>30</v>
      </c>
      <c r="T39" s="16">
        <f t="shared" si="31"/>
        <v>12</v>
      </c>
      <c r="U39" s="16">
        <f t="shared" si="31"/>
        <v>50</v>
      </c>
      <c r="V39" s="16">
        <f t="shared" si="31"/>
        <v>34</v>
      </c>
      <c r="W39" s="16">
        <f t="shared" si="31"/>
        <v>0</v>
      </c>
      <c r="X39" s="16">
        <f t="shared" si="31"/>
        <v>11</v>
      </c>
      <c r="Y39" s="16">
        <f t="shared" si="31"/>
        <v>28</v>
      </c>
      <c r="Z39" s="16">
        <f t="shared" si="31"/>
        <v>3</v>
      </c>
      <c r="AA39" s="16">
        <f t="shared" si="31"/>
        <v>2</v>
      </c>
      <c r="AB39" s="16">
        <f t="shared" si="31"/>
        <v>15</v>
      </c>
      <c r="AC39" s="16">
        <f t="shared" si="31"/>
        <v>50</v>
      </c>
      <c r="AD39" s="16">
        <f t="shared" si="31"/>
        <v>0</v>
      </c>
      <c r="AE39" s="32">
        <f t="shared" si="31"/>
        <v>185</v>
      </c>
      <c r="AF39" s="32">
        <f t="shared" si="31"/>
        <v>235</v>
      </c>
    </row>
    <row r="40" spans="2:32" ht="23.1" customHeight="1" x14ac:dyDescent="0.25">
      <c r="B40" s="46" t="s">
        <v>67</v>
      </c>
      <c r="C40" s="51">
        <v>0</v>
      </c>
      <c r="D40" s="50">
        <v>1</v>
      </c>
      <c r="E40" s="51">
        <v>3</v>
      </c>
      <c r="F40" s="51">
        <v>0</v>
      </c>
      <c r="G40" s="51">
        <v>0</v>
      </c>
      <c r="H40" s="51">
        <v>0</v>
      </c>
      <c r="I40" s="51">
        <v>3</v>
      </c>
      <c r="J40" s="51">
        <v>0</v>
      </c>
      <c r="K40" s="51">
        <v>0</v>
      </c>
      <c r="L40" s="50">
        <v>0</v>
      </c>
      <c r="M40" s="51">
        <v>0</v>
      </c>
      <c r="N40" s="51">
        <v>0</v>
      </c>
      <c r="O40" s="15">
        <f t="shared" si="0"/>
        <v>7</v>
      </c>
      <c r="P40" s="15">
        <f t="shared" si="1"/>
        <v>7</v>
      </c>
      <c r="R40" s="5" t="s">
        <v>17</v>
      </c>
      <c r="S40" s="16">
        <f t="shared" ref="S40:AF40" si="32">SUM(S10:S21)</f>
        <v>96</v>
      </c>
      <c r="T40" s="16">
        <f t="shared" si="32"/>
        <v>61</v>
      </c>
      <c r="U40" s="16">
        <f t="shared" si="32"/>
        <v>225</v>
      </c>
      <c r="V40" s="16">
        <f t="shared" si="32"/>
        <v>73</v>
      </c>
      <c r="W40" s="16">
        <f t="shared" si="32"/>
        <v>2</v>
      </c>
      <c r="X40" s="16">
        <f t="shared" si="32"/>
        <v>41</v>
      </c>
      <c r="Y40" s="16">
        <f t="shared" si="32"/>
        <v>85</v>
      </c>
      <c r="Z40" s="16">
        <f t="shared" si="32"/>
        <v>11</v>
      </c>
      <c r="AA40" s="16">
        <f t="shared" si="32"/>
        <v>10</v>
      </c>
      <c r="AB40" s="16">
        <f t="shared" si="32"/>
        <v>52</v>
      </c>
      <c r="AC40" s="16">
        <f t="shared" si="32"/>
        <v>172</v>
      </c>
      <c r="AD40" s="16">
        <f t="shared" si="32"/>
        <v>0</v>
      </c>
      <c r="AE40" s="32">
        <f t="shared" si="32"/>
        <v>656</v>
      </c>
      <c r="AF40" s="32">
        <f t="shared" si="32"/>
        <v>828</v>
      </c>
    </row>
    <row r="41" spans="2:32" ht="23.1" customHeight="1" x14ac:dyDescent="0.25">
      <c r="B41" s="45" t="s">
        <v>68</v>
      </c>
      <c r="C41" s="51">
        <v>4</v>
      </c>
      <c r="D41" s="50">
        <v>1</v>
      </c>
      <c r="E41" s="51">
        <v>4</v>
      </c>
      <c r="F41" s="51">
        <v>1</v>
      </c>
      <c r="G41" s="51">
        <v>0</v>
      </c>
      <c r="H41" s="51">
        <v>1</v>
      </c>
      <c r="I41" s="51">
        <v>1</v>
      </c>
      <c r="J41" s="51">
        <v>0</v>
      </c>
      <c r="K41" s="51">
        <v>0</v>
      </c>
      <c r="L41" s="50">
        <v>2</v>
      </c>
      <c r="M41" s="51">
        <v>1</v>
      </c>
      <c r="N41" s="51">
        <v>0</v>
      </c>
      <c r="O41" s="15">
        <f t="shared" si="0"/>
        <v>14</v>
      </c>
      <c r="P41" s="15">
        <f t="shared" si="1"/>
        <v>15</v>
      </c>
      <c r="R41" s="5" t="s">
        <v>159</v>
      </c>
      <c r="S41" s="16">
        <f>SUM(S10:S33)</f>
        <v>123</v>
      </c>
      <c r="T41" s="16">
        <f t="shared" ref="T41:AF41" si="33">SUM(T10:T33)</f>
        <v>68</v>
      </c>
      <c r="U41" s="16">
        <f t="shared" si="33"/>
        <v>296</v>
      </c>
      <c r="V41" s="16">
        <f t="shared" si="33"/>
        <v>106</v>
      </c>
      <c r="W41" s="16">
        <f t="shared" si="33"/>
        <v>2</v>
      </c>
      <c r="X41" s="16">
        <f t="shared" si="33"/>
        <v>75</v>
      </c>
      <c r="Y41" s="16">
        <f t="shared" si="33"/>
        <v>112</v>
      </c>
      <c r="Z41" s="16">
        <f t="shared" si="33"/>
        <v>21</v>
      </c>
      <c r="AA41" s="16">
        <f t="shared" si="33"/>
        <v>10</v>
      </c>
      <c r="AB41" s="16">
        <f t="shared" si="33"/>
        <v>84</v>
      </c>
      <c r="AC41" s="16">
        <f t="shared" si="33"/>
        <v>236</v>
      </c>
      <c r="AD41" s="16">
        <f t="shared" si="33"/>
        <v>0</v>
      </c>
      <c r="AE41" s="32">
        <f t="shared" si="33"/>
        <v>897</v>
      </c>
      <c r="AF41" s="32">
        <f t="shared" si="33"/>
        <v>1133</v>
      </c>
    </row>
    <row r="42" spans="2:32" ht="23.1" customHeight="1" x14ac:dyDescent="0.25">
      <c r="B42" s="46" t="s">
        <v>69</v>
      </c>
      <c r="C42" s="51">
        <v>4</v>
      </c>
      <c r="D42" s="50">
        <v>2</v>
      </c>
      <c r="E42" s="51">
        <v>7</v>
      </c>
      <c r="F42" s="51">
        <v>0</v>
      </c>
      <c r="G42" s="51">
        <v>0</v>
      </c>
      <c r="H42" s="51">
        <v>1</v>
      </c>
      <c r="I42" s="51">
        <v>4</v>
      </c>
      <c r="J42" s="51">
        <v>0</v>
      </c>
      <c r="K42" s="51">
        <v>2</v>
      </c>
      <c r="L42" s="50">
        <v>0</v>
      </c>
      <c r="M42" s="51">
        <v>6</v>
      </c>
      <c r="N42" s="51">
        <v>0</v>
      </c>
      <c r="O42" s="15">
        <f t="shared" si="0"/>
        <v>20</v>
      </c>
      <c r="P42" s="15">
        <f t="shared" si="1"/>
        <v>26</v>
      </c>
      <c r="R42" s="5" t="s">
        <v>160</v>
      </c>
      <c r="S42" s="48">
        <f>S41/S40</f>
        <v>1.28125</v>
      </c>
      <c r="T42" s="48">
        <f t="shared" ref="T42:AF42" si="34">T41/T40</f>
        <v>1.1147540983606556</v>
      </c>
      <c r="U42" s="48">
        <f t="shared" si="34"/>
        <v>1.3155555555555556</v>
      </c>
      <c r="V42" s="48">
        <f t="shared" si="34"/>
        <v>1.452054794520548</v>
      </c>
      <c r="W42" s="48">
        <f t="shared" si="34"/>
        <v>1</v>
      </c>
      <c r="X42" s="48">
        <f t="shared" si="34"/>
        <v>1.8292682926829269</v>
      </c>
      <c r="Y42" s="48">
        <f t="shared" si="34"/>
        <v>1.3176470588235294</v>
      </c>
      <c r="Z42" s="48">
        <f t="shared" si="34"/>
        <v>1.9090909090909092</v>
      </c>
      <c r="AA42" s="48">
        <f t="shared" si="34"/>
        <v>1</v>
      </c>
      <c r="AB42" s="48">
        <f t="shared" si="34"/>
        <v>1.6153846153846154</v>
      </c>
      <c r="AC42" s="48">
        <f t="shared" si="34"/>
        <v>1.3720930232558139</v>
      </c>
      <c r="AD42" s="48" t="e">
        <f t="shared" si="34"/>
        <v>#DIV/0!</v>
      </c>
      <c r="AE42" s="48">
        <f t="shared" si="34"/>
        <v>1.3673780487804879</v>
      </c>
      <c r="AF42" s="48">
        <f t="shared" si="34"/>
        <v>1.3683574879227054</v>
      </c>
    </row>
    <row r="43" spans="2:32" ht="23.1" customHeight="1" x14ac:dyDescent="0.25">
      <c r="B43" s="45" t="s">
        <v>70</v>
      </c>
      <c r="C43" s="51">
        <v>2</v>
      </c>
      <c r="D43" s="50">
        <v>1</v>
      </c>
      <c r="E43" s="51">
        <v>3</v>
      </c>
      <c r="F43" s="51">
        <v>0</v>
      </c>
      <c r="G43" s="51">
        <v>0</v>
      </c>
      <c r="H43" s="51">
        <v>1</v>
      </c>
      <c r="I43" s="51">
        <v>0</v>
      </c>
      <c r="J43" s="51">
        <v>0</v>
      </c>
      <c r="K43" s="51">
        <v>0</v>
      </c>
      <c r="L43" s="50">
        <v>1</v>
      </c>
      <c r="M43" s="51">
        <v>6</v>
      </c>
      <c r="N43" s="51">
        <v>0</v>
      </c>
      <c r="O43" s="15">
        <f t="shared" si="0"/>
        <v>8</v>
      </c>
      <c r="P43" s="15">
        <f t="shared" si="1"/>
        <v>14</v>
      </c>
    </row>
    <row r="44" spans="2:32" ht="23.1" customHeight="1" x14ac:dyDescent="0.25">
      <c r="B44" s="47" t="s">
        <v>71</v>
      </c>
      <c r="C44" s="51">
        <v>4</v>
      </c>
      <c r="D44" s="50">
        <v>2</v>
      </c>
      <c r="E44" s="51">
        <v>5</v>
      </c>
      <c r="F44" s="51">
        <v>0</v>
      </c>
      <c r="G44" s="51">
        <v>0</v>
      </c>
      <c r="H44" s="51">
        <v>3</v>
      </c>
      <c r="I44" s="51">
        <v>2</v>
      </c>
      <c r="J44" s="51">
        <v>0</v>
      </c>
      <c r="K44" s="51">
        <v>0</v>
      </c>
      <c r="L44" s="50">
        <v>3</v>
      </c>
      <c r="M44" s="51">
        <v>3</v>
      </c>
      <c r="N44" s="51">
        <v>0</v>
      </c>
      <c r="O44" s="15">
        <f t="shared" si="0"/>
        <v>19</v>
      </c>
      <c r="P44" s="15">
        <f t="shared" si="1"/>
        <v>22</v>
      </c>
    </row>
    <row r="45" spans="2:32" ht="23.1" customHeight="1" x14ac:dyDescent="0.25">
      <c r="B45" s="45" t="s">
        <v>72</v>
      </c>
      <c r="C45" s="51">
        <v>6</v>
      </c>
      <c r="D45" s="50">
        <v>3</v>
      </c>
      <c r="E45" s="51">
        <v>7</v>
      </c>
      <c r="F45" s="51">
        <v>1</v>
      </c>
      <c r="G45" s="51">
        <v>0</v>
      </c>
      <c r="H45" s="51">
        <v>1</v>
      </c>
      <c r="I45" s="51">
        <v>1</v>
      </c>
      <c r="J45" s="51">
        <v>1</v>
      </c>
      <c r="K45" s="51">
        <v>0</v>
      </c>
      <c r="L45" s="50">
        <v>1</v>
      </c>
      <c r="M45" s="51">
        <v>5</v>
      </c>
      <c r="N45" s="51">
        <v>0</v>
      </c>
      <c r="O45" s="15">
        <f t="shared" si="0"/>
        <v>21</v>
      </c>
      <c r="P45" s="15">
        <f t="shared" si="1"/>
        <v>26</v>
      </c>
    </row>
    <row r="46" spans="2:32" ht="23.1" customHeight="1" x14ac:dyDescent="0.25">
      <c r="B46" s="46" t="s">
        <v>73</v>
      </c>
      <c r="C46" s="51">
        <v>5</v>
      </c>
      <c r="D46" s="50">
        <v>2</v>
      </c>
      <c r="E46" s="51">
        <v>7</v>
      </c>
      <c r="F46" s="51">
        <v>1</v>
      </c>
      <c r="G46" s="51">
        <v>0</v>
      </c>
      <c r="H46" s="51">
        <v>1</v>
      </c>
      <c r="I46" s="51">
        <v>2</v>
      </c>
      <c r="J46" s="51">
        <v>0</v>
      </c>
      <c r="K46" s="51">
        <v>1</v>
      </c>
      <c r="L46" s="50">
        <v>1</v>
      </c>
      <c r="M46" s="51">
        <v>4</v>
      </c>
      <c r="N46" s="51">
        <v>0</v>
      </c>
      <c r="O46" s="15">
        <f t="shared" si="0"/>
        <v>20</v>
      </c>
      <c r="P46" s="15">
        <f t="shared" si="1"/>
        <v>24</v>
      </c>
      <c r="R46" s="8"/>
      <c r="T46"/>
    </row>
    <row r="47" spans="2:32" ht="23.1" customHeight="1" x14ac:dyDescent="0.25">
      <c r="B47" s="46" t="s">
        <v>74</v>
      </c>
      <c r="C47" s="51">
        <v>1</v>
      </c>
      <c r="D47" s="50">
        <v>1</v>
      </c>
      <c r="E47" s="51">
        <v>5</v>
      </c>
      <c r="F47" s="51">
        <v>4</v>
      </c>
      <c r="G47" s="51">
        <v>0</v>
      </c>
      <c r="H47" s="51">
        <v>1</v>
      </c>
      <c r="I47" s="51">
        <v>1</v>
      </c>
      <c r="J47" s="51">
        <v>0</v>
      </c>
      <c r="K47" s="51">
        <v>0</v>
      </c>
      <c r="L47" s="50">
        <v>2</v>
      </c>
      <c r="M47" s="51">
        <v>6</v>
      </c>
      <c r="N47" s="51">
        <v>0</v>
      </c>
      <c r="O47" s="15">
        <f t="shared" si="0"/>
        <v>15</v>
      </c>
      <c r="P47" s="15">
        <f t="shared" si="1"/>
        <v>21</v>
      </c>
      <c r="R47" s="8"/>
      <c r="T47"/>
    </row>
    <row r="48" spans="2:32" ht="23.1" customHeight="1" x14ac:dyDescent="0.25">
      <c r="B48" s="46" t="s">
        <v>75</v>
      </c>
      <c r="C48" s="51">
        <v>6</v>
      </c>
      <c r="D48" s="50">
        <v>3</v>
      </c>
      <c r="E48" s="51">
        <v>9</v>
      </c>
      <c r="F48" s="51">
        <v>8</v>
      </c>
      <c r="G48" s="51">
        <v>0</v>
      </c>
      <c r="H48" s="51">
        <v>0</v>
      </c>
      <c r="I48" s="51">
        <v>6</v>
      </c>
      <c r="J48" s="51">
        <v>0</v>
      </c>
      <c r="K48" s="51">
        <v>0</v>
      </c>
      <c r="L48" s="50">
        <v>3</v>
      </c>
      <c r="M48" s="51">
        <v>2</v>
      </c>
      <c r="N48" s="51">
        <v>0</v>
      </c>
      <c r="O48" s="15">
        <f t="shared" si="0"/>
        <v>35</v>
      </c>
      <c r="P48" s="15">
        <f t="shared" si="1"/>
        <v>37</v>
      </c>
      <c r="R48" s="8"/>
      <c r="T48"/>
    </row>
    <row r="49" spans="2:20" ht="23.1" customHeight="1" x14ac:dyDescent="0.25">
      <c r="B49" s="45" t="s">
        <v>76</v>
      </c>
      <c r="C49" s="51">
        <v>7</v>
      </c>
      <c r="D49" s="50">
        <v>1</v>
      </c>
      <c r="E49" s="51">
        <v>5</v>
      </c>
      <c r="F49" s="51">
        <v>3</v>
      </c>
      <c r="G49" s="51">
        <v>0</v>
      </c>
      <c r="H49" s="51">
        <v>1</v>
      </c>
      <c r="I49" s="51">
        <v>4</v>
      </c>
      <c r="J49" s="51">
        <v>0</v>
      </c>
      <c r="K49" s="51">
        <v>0</v>
      </c>
      <c r="L49" s="50">
        <v>2</v>
      </c>
      <c r="M49" s="51">
        <v>9</v>
      </c>
      <c r="N49" s="51">
        <v>0</v>
      </c>
      <c r="O49" s="15">
        <f t="shared" si="0"/>
        <v>23</v>
      </c>
      <c r="P49" s="15">
        <f t="shared" si="1"/>
        <v>32</v>
      </c>
      <c r="R49" s="8"/>
      <c r="T49"/>
    </row>
    <row r="50" spans="2:20" ht="23.1" customHeight="1" x14ac:dyDescent="0.25">
      <c r="B50" s="46" t="s">
        <v>77</v>
      </c>
      <c r="C50" s="51">
        <v>1</v>
      </c>
      <c r="D50" s="50">
        <v>1</v>
      </c>
      <c r="E50" s="51">
        <v>3</v>
      </c>
      <c r="F50" s="51">
        <v>2</v>
      </c>
      <c r="G50" s="51">
        <v>0</v>
      </c>
      <c r="H50" s="51">
        <v>4</v>
      </c>
      <c r="I50" s="51">
        <v>2</v>
      </c>
      <c r="J50" s="51">
        <v>1</v>
      </c>
      <c r="K50" s="51">
        <v>0</v>
      </c>
      <c r="L50" s="50">
        <v>0</v>
      </c>
      <c r="M50" s="51">
        <v>5</v>
      </c>
      <c r="N50" s="51">
        <v>0</v>
      </c>
      <c r="O50" s="15">
        <f t="shared" si="0"/>
        <v>14</v>
      </c>
      <c r="P50" s="15">
        <f t="shared" si="1"/>
        <v>19</v>
      </c>
      <c r="R50" s="8"/>
      <c r="T50"/>
    </row>
    <row r="51" spans="2:20" ht="23.1" customHeight="1" x14ac:dyDescent="0.25">
      <c r="B51" s="46" t="s">
        <v>78</v>
      </c>
      <c r="C51" s="51">
        <v>2</v>
      </c>
      <c r="D51" s="50">
        <v>0</v>
      </c>
      <c r="E51" s="51">
        <v>3</v>
      </c>
      <c r="F51" s="51">
        <v>1</v>
      </c>
      <c r="G51" s="51">
        <v>0</v>
      </c>
      <c r="H51" s="51">
        <v>1</v>
      </c>
      <c r="I51" s="51">
        <v>4</v>
      </c>
      <c r="J51" s="51">
        <v>0</v>
      </c>
      <c r="K51" s="51">
        <v>1</v>
      </c>
      <c r="L51" s="50">
        <v>1</v>
      </c>
      <c r="M51" s="51">
        <v>4</v>
      </c>
      <c r="N51" s="51">
        <v>0</v>
      </c>
      <c r="O51" s="15">
        <f t="shared" si="0"/>
        <v>13</v>
      </c>
      <c r="P51" s="15">
        <f t="shared" si="1"/>
        <v>17</v>
      </c>
      <c r="R51" s="8"/>
      <c r="T51"/>
    </row>
    <row r="52" spans="2:20" ht="23.1" customHeight="1" x14ac:dyDescent="0.25">
      <c r="B52" s="46" t="s">
        <v>79</v>
      </c>
      <c r="C52" s="51">
        <v>1</v>
      </c>
      <c r="D52" s="50">
        <v>1</v>
      </c>
      <c r="E52" s="51">
        <v>3</v>
      </c>
      <c r="F52" s="51">
        <v>4</v>
      </c>
      <c r="G52" s="51">
        <v>0</v>
      </c>
      <c r="H52" s="51">
        <v>0</v>
      </c>
      <c r="I52" s="51">
        <v>1</v>
      </c>
      <c r="J52" s="51">
        <v>0</v>
      </c>
      <c r="K52" s="51">
        <v>0</v>
      </c>
      <c r="L52" s="50">
        <v>1</v>
      </c>
      <c r="M52" s="51">
        <v>5</v>
      </c>
      <c r="N52" s="51">
        <v>0</v>
      </c>
      <c r="O52" s="15">
        <f t="shared" si="0"/>
        <v>11</v>
      </c>
      <c r="P52" s="15">
        <f t="shared" si="1"/>
        <v>16</v>
      </c>
      <c r="R52" s="8"/>
      <c r="T52"/>
    </row>
    <row r="53" spans="2:20" ht="23.1" customHeight="1" x14ac:dyDescent="0.25">
      <c r="B53" s="45" t="s">
        <v>80</v>
      </c>
      <c r="C53" s="51">
        <v>3</v>
      </c>
      <c r="D53" s="50">
        <v>1</v>
      </c>
      <c r="E53" s="51">
        <v>3</v>
      </c>
      <c r="F53" s="51">
        <v>4</v>
      </c>
      <c r="G53" s="51">
        <v>0</v>
      </c>
      <c r="H53" s="51">
        <v>0</v>
      </c>
      <c r="I53" s="51">
        <v>1</v>
      </c>
      <c r="J53" s="51">
        <v>1</v>
      </c>
      <c r="K53" s="51">
        <v>0</v>
      </c>
      <c r="L53" s="50">
        <v>0</v>
      </c>
      <c r="M53" s="51">
        <v>2</v>
      </c>
      <c r="N53" s="51">
        <v>0</v>
      </c>
      <c r="O53" s="15">
        <f t="shared" si="0"/>
        <v>13</v>
      </c>
      <c r="P53" s="15">
        <f t="shared" si="1"/>
        <v>15</v>
      </c>
      <c r="R53" s="8"/>
      <c r="T53"/>
    </row>
    <row r="54" spans="2:20" ht="23.1" customHeight="1" x14ac:dyDescent="0.25">
      <c r="B54" s="45" t="s">
        <v>81</v>
      </c>
      <c r="C54" s="51">
        <v>1</v>
      </c>
      <c r="D54" s="50">
        <v>1</v>
      </c>
      <c r="E54" s="51">
        <v>3</v>
      </c>
      <c r="F54" s="51">
        <v>2</v>
      </c>
      <c r="G54" s="51">
        <v>0</v>
      </c>
      <c r="H54" s="51">
        <v>1</v>
      </c>
      <c r="I54" s="51">
        <v>2</v>
      </c>
      <c r="J54" s="51">
        <v>0</v>
      </c>
      <c r="K54" s="51">
        <v>0</v>
      </c>
      <c r="L54" s="50">
        <v>0</v>
      </c>
      <c r="M54" s="51">
        <v>5</v>
      </c>
      <c r="N54" s="51">
        <v>0</v>
      </c>
      <c r="O54" s="15">
        <f t="shared" si="0"/>
        <v>10</v>
      </c>
      <c r="P54" s="15">
        <f t="shared" si="1"/>
        <v>15</v>
      </c>
      <c r="R54" s="8"/>
      <c r="T54"/>
    </row>
    <row r="55" spans="2:20" ht="23.1" customHeight="1" x14ac:dyDescent="0.25">
      <c r="B55" s="45" t="s">
        <v>82</v>
      </c>
      <c r="C55" s="51">
        <v>0</v>
      </c>
      <c r="D55" s="50">
        <v>0</v>
      </c>
      <c r="E55" s="51">
        <v>2</v>
      </c>
      <c r="F55" s="51">
        <v>0</v>
      </c>
      <c r="G55" s="51">
        <v>0</v>
      </c>
      <c r="H55" s="51">
        <v>0</v>
      </c>
      <c r="I55" s="51">
        <v>1</v>
      </c>
      <c r="J55" s="51">
        <v>0</v>
      </c>
      <c r="K55" s="51">
        <v>0</v>
      </c>
      <c r="L55" s="50">
        <v>3</v>
      </c>
      <c r="M55" s="51">
        <v>3</v>
      </c>
      <c r="N55" s="51">
        <v>0</v>
      </c>
      <c r="O55" s="15">
        <f t="shared" si="0"/>
        <v>6</v>
      </c>
      <c r="P55" s="15">
        <f t="shared" si="1"/>
        <v>9</v>
      </c>
      <c r="R55" s="8"/>
      <c r="T55"/>
    </row>
    <row r="56" spans="2:20" ht="23.1" customHeight="1" x14ac:dyDescent="0.25">
      <c r="B56" s="45" t="s">
        <v>83</v>
      </c>
      <c r="C56" s="51">
        <v>3</v>
      </c>
      <c r="D56" s="50">
        <v>0</v>
      </c>
      <c r="E56" s="51">
        <v>3</v>
      </c>
      <c r="F56" s="51">
        <v>3</v>
      </c>
      <c r="G56" s="51">
        <v>0</v>
      </c>
      <c r="H56" s="51">
        <v>2</v>
      </c>
      <c r="I56" s="51">
        <v>0</v>
      </c>
      <c r="J56" s="51">
        <v>1</v>
      </c>
      <c r="K56" s="51">
        <v>0</v>
      </c>
      <c r="L56" s="50">
        <v>2</v>
      </c>
      <c r="M56" s="51">
        <v>1</v>
      </c>
      <c r="N56" s="51">
        <v>0</v>
      </c>
      <c r="O56" s="15">
        <f t="shared" si="0"/>
        <v>14</v>
      </c>
      <c r="P56" s="15">
        <f t="shared" si="1"/>
        <v>15</v>
      </c>
      <c r="R56" s="8"/>
      <c r="T56"/>
    </row>
    <row r="57" spans="2:20" ht="23.1" customHeight="1" x14ac:dyDescent="0.25">
      <c r="B57" s="45" t="s">
        <v>84</v>
      </c>
      <c r="C57" s="51">
        <v>0</v>
      </c>
      <c r="D57" s="50">
        <v>1</v>
      </c>
      <c r="E57" s="51">
        <v>4</v>
      </c>
      <c r="F57" s="51">
        <v>2</v>
      </c>
      <c r="G57" s="51">
        <v>0</v>
      </c>
      <c r="H57" s="51">
        <v>0</v>
      </c>
      <c r="I57" s="51">
        <v>4</v>
      </c>
      <c r="J57" s="51">
        <v>0</v>
      </c>
      <c r="K57" s="51">
        <v>0</v>
      </c>
      <c r="L57" s="50">
        <v>0</v>
      </c>
      <c r="M57" s="51">
        <v>4</v>
      </c>
      <c r="N57" s="51">
        <v>0</v>
      </c>
      <c r="O57" s="15">
        <f t="shared" si="0"/>
        <v>11</v>
      </c>
      <c r="P57" s="15">
        <f t="shared" si="1"/>
        <v>15</v>
      </c>
      <c r="R57" s="8"/>
      <c r="T57"/>
    </row>
    <row r="58" spans="2:20" ht="23.1" customHeight="1" x14ac:dyDescent="0.25">
      <c r="B58" s="45" t="s">
        <v>99</v>
      </c>
      <c r="C58" s="51">
        <v>2</v>
      </c>
      <c r="D58" s="50">
        <v>1</v>
      </c>
      <c r="E58" s="51">
        <v>4</v>
      </c>
      <c r="F58" s="51">
        <v>2</v>
      </c>
      <c r="G58" s="51">
        <v>0</v>
      </c>
      <c r="H58" s="51">
        <v>0</v>
      </c>
      <c r="I58" s="51">
        <v>2</v>
      </c>
      <c r="J58" s="51">
        <v>1</v>
      </c>
      <c r="K58" s="51">
        <v>0</v>
      </c>
      <c r="L58" s="50">
        <v>4</v>
      </c>
      <c r="M58" s="51">
        <v>4</v>
      </c>
      <c r="N58" s="51">
        <v>0</v>
      </c>
      <c r="O58" s="15">
        <f t="shared" ref="O58:O105" si="35">SUM(C58:L58,N58)</f>
        <v>16</v>
      </c>
      <c r="P58" s="15">
        <f t="shared" ref="P58:P105" si="36">SUM(C58:N58)</f>
        <v>20</v>
      </c>
      <c r="R58" s="8"/>
      <c r="T58"/>
    </row>
    <row r="59" spans="2:20" ht="23.1" customHeight="1" x14ac:dyDescent="0.25">
      <c r="B59" s="45" t="s">
        <v>100</v>
      </c>
      <c r="C59" s="51">
        <v>1</v>
      </c>
      <c r="D59" s="50">
        <v>0</v>
      </c>
      <c r="E59" s="51">
        <v>3</v>
      </c>
      <c r="F59" s="51">
        <v>1</v>
      </c>
      <c r="G59" s="51">
        <v>0</v>
      </c>
      <c r="H59" s="51">
        <v>0</v>
      </c>
      <c r="I59" s="51">
        <v>1</v>
      </c>
      <c r="J59" s="51">
        <v>1</v>
      </c>
      <c r="K59" s="51">
        <v>0</v>
      </c>
      <c r="L59" s="50">
        <v>2</v>
      </c>
      <c r="M59" s="51">
        <v>3</v>
      </c>
      <c r="N59" s="51">
        <v>0</v>
      </c>
      <c r="O59" s="15">
        <f t="shared" si="35"/>
        <v>9</v>
      </c>
      <c r="P59" s="15">
        <f t="shared" si="36"/>
        <v>12</v>
      </c>
      <c r="R59" s="8"/>
      <c r="T59"/>
    </row>
    <row r="60" spans="2:20" ht="23.1" customHeight="1" x14ac:dyDescent="0.25">
      <c r="B60" s="45" t="s">
        <v>101</v>
      </c>
      <c r="C60" s="51">
        <v>1</v>
      </c>
      <c r="D60" s="50">
        <v>0</v>
      </c>
      <c r="E60" s="51">
        <v>3</v>
      </c>
      <c r="F60" s="51">
        <v>1</v>
      </c>
      <c r="G60" s="51">
        <v>0</v>
      </c>
      <c r="H60" s="51">
        <v>0</v>
      </c>
      <c r="I60" s="51">
        <v>1</v>
      </c>
      <c r="J60" s="51">
        <v>0</v>
      </c>
      <c r="K60" s="51">
        <v>0</v>
      </c>
      <c r="L60" s="50">
        <v>0</v>
      </c>
      <c r="M60" s="51">
        <v>2</v>
      </c>
      <c r="N60" s="51">
        <v>0</v>
      </c>
      <c r="O60" s="15">
        <f t="shared" si="35"/>
        <v>6</v>
      </c>
      <c r="P60" s="15">
        <f t="shared" si="36"/>
        <v>8</v>
      </c>
      <c r="R60" s="8"/>
      <c r="T60"/>
    </row>
    <row r="61" spans="2:20" ht="23.1" customHeight="1" x14ac:dyDescent="0.25">
      <c r="B61" s="45" t="s">
        <v>102</v>
      </c>
      <c r="C61" s="51">
        <v>2</v>
      </c>
      <c r="D61" s="50">
        <v>1</v>
      </c>
      <c r="E61" s="51">
        <v>4</v>
      </c>
      <c r="F61" s="51">
        <v>2</v>
      </c>
      <c r="G61" s="51">
        <v>0</v>
      </c>
      <c r="H61" s="51">
        <v>1</v>
      </c>
      <c r="I61" s="51">
        <v>2</v>
      </c>
      <c r="J61" s="51">
        <v>1</v>
      </c>
      <c r="K61" s="51">
        <v>0</v>
      </c>
      <c r="L61" s="50">
        <v>0</v>
      </c>
      <c r="M61" s="51">
        <v>4</v>
      </c>
      <c r="N61" s="51">
        <v>0</v>
      </c>
      <c r="O61" s="15">
        <f t="shared" si="35"/>
        <v>13</v>
      </c>
      <c r="P61" s="15">
        <f t="shared" si="36"/>
        <v>17</v>
      </c>
      <c r="R61" s="8"/>
      <c r="T61"/>
    </row>
    <row r="62" spans="2:20" ht="23.1" customHeight="1" x14ac:dyDescent="0.25">
      <c r="B62" s="45" t="s">
        <v>107</v>
      </c>
      <c r="C62" s="51">
        <v>1</v>
      </c>
      <c r="D62" s="50">
        <v>0</v>
      </c>
      <c r="E62" s="51">
        <v>2</v>
      </c>
      <c r="F62" s="51">
        <v>1</v>
      </c>
      <c r="G62" s="51">
        <v>0</v>
      </c>
      <c r="H62" s="51">
        <v>0</v>
      </c>
      <c r="I62" s="51">
        <v>1</v>
      </c>
      <c r="J62" s="51">
        <v>0</v>
      </c>
      <c r="K62" s="51">
        <v>0</v>
      </c>
      <c r="L62" s="50">
        <v>0</v>
      </c>
      <c r="M62" s="51">
        <v>2</v>
      </c>
      <c r="N62" s="51">
        <v>0</v>
      </c>
      <c r="O62" s="15">
        <f t="shared" si="35"/>
        <v>5</v>
      </c>
      <c r="P62" s="15">
        <f t="shared" si="36"/>
        <v>7</v>
      </c>
      <c r="R62" s="8"/>
      <c r="T62"/>
    </row>
    <row r="63" spans="2:20" ht="23.1" customHeight="1" x14ac:dyDescent="0.25">
      <c r="B63" s="45" t="s">
        <v>108</v>
      </c>
      <c r="C63" s="51">
        <v>1</v>
      </c>
      <c r="D63" s="50">
        <v>1</v>
      </c>
      <c r="E63" s="51">
        <v>3</v>
      </c>
      <c r="F63" s="51">
        <v>2</v>
      </c>
      <c r="G63" s="51">
        <v>0</v>
      </c>
      <c r="H63" s="51">
        <v>2</v>
      </c>
      <c r="I63" s="51">
        <v>2</v>
      </c>
      <c r="J63" s="51">
        <v>1</v>
      </c>
      <c r="K63" s="51">
        <v>0</v>
      </c>
      <c r="L63" s="50">
        <v>1</v>
      </c>
      <c r="M63" s="51">
        <v>4</v>
      </c>
      <c r="N63" s="51">
        <v>0</v>
      </c>
      <c r="O63" s="15">
        <f t="shared" si="35"/>
        <v>13</v>
      </c>
      <c r="P63" s="15">
        <f t="shared" si="36"/>
        <v>17</v>
      </c>
      <c r="R63" s="8"/>
      <c r="T63"/>
    </row>
    <row r="64" spans="2:20" ht="23.1" customHeight="1" x14ac:dyDescent="0.25">
      <c r="B64" s="45" t="s">
        <v>109</v>
      </c>
      <c r="C64" s="51">
        <v>1</v>
      </c>
      <c r="D64" s="50">
        <v>1</v>
      </c>
      <c r="E64" s="51">
        <v>3</v>
      </c>
      <c r="F64" s="51">
        <v>2</v>
      </c>
      <c r="G64" s="51">
        <v>0</v>
      </c>
      <c r="H64" s="51">
        <v>2</v>
      </c>
      <c r="I64" s="51">
        <v>1</v>
      </c>
      <c r="J64" s="51">
        <v>1</v>
      </c>
      <c r="K64" s="51">
        <v>0</v>
      </c>
      <c r="L64" s="50">
        <v>2</v>
      </c>
      <c r="M64" s="51">
        <v>3</v>
      </c>
      <c r="N64" s="51">
        <v>0</v>
      </c>
      <c r="O64" s="15">
        <f t="shared" si="35"/>
        <v>13</v>
      </c>
      <c r="P64" s="15">
        <f t="shared" si="36"/>
        <v>16</v>
      </c>
      <c r="R64" s="8"/>
      <c r="T64"/>
    </row>
    <row r="65" spans="2:20" ht="23.1" customHeight="1" x14ac:dyDescent="0.25">
      <c r="B65" s="45" t="s">
        <v>158</v>
      </c>
      <c r="C65" s="51">
        <v>1</v>
      </c>
      <c r="D65" s="50">
        <v>0</v>
      </c>
      <c r="E65" s="51">
        <v>3</v>
      </c>
      <c r="F65" s="51">
        <v>1</v>
      </c>
      <c r="G65" s="51">
        <v>0</v>
      </c>
      <c r="H65" s="51">
        <v>0</v>
      </c>
      <c r="I65" s="51">
        <v>1</v>
      </c>
      <c r="J65" s="51">
        <v>0</v>
      </c>
      <c r="K65" s="51">
        <v>0</v>
      </c>
      <c r="L65" s="50">
        <v>0</v>
      </c>
      <c r="M65" s="51">
        <v>2</v>
      </c>
      <c r="N65" s="51">
        <v>0</v>
      </c>
      <c r="O65" s="15">
        <f t="shared" si="35"/>
        <v>6</v>
      </c>
      <c r="P65" s="15">
        <f t="shared" si="36"/>
        <v>8</v>
      </c>
      <c r="R65" s="8"/>
      <c r="T65"/>
    </row>
    <row r="66" spans="2:20" ht="23.1" customHeight="1" x14ac:dyDescent="0.25">
      <c r="B66" s="45" t="s">
        <v>103</v>
      </c>
      <c r="C66" s="51">
        <v>2</v>
      </c>
      <c r="D66" s="50">
        <v>1</v>
      </c>
      <c r="E66" s="51">
        <v>4</v>
      </c>
      <c r="F66" s="51">
        <v>2</v>
      </c>
      <c r="G66" s="51">
        <v>0</v>
      </c>
      <c r="H66" s="51">
        <v>4</v>
      </c>
      <c r="I66" s="51">
        <v>2</v>
      </c>
      <c r="J66" s="51">
        <v>1</v>
      </c>
      <c r="K66" s="51">
        <v>0</v>
      </c>
      <c r="L66" s="50">
        <v>1</v>
      </c>
      <c r="M66" s="51">
        <v>5</v>
      </c>
      <c r="N66" s="51">
        <v>0</v>
      </c>
      <c r="O66" s="15">
        <f t="shared" si="35"/>
        <v>17</v>
      </c>
      <c r="P66" s="15">
        <f t="shared" si="36"/>
        <v>22</v>
      </c>
      <c r="R66" s="8"/>
      <c r="T66"/>
    </row>
    <row r="67" spans="2:20" ht="23.1" customHeight="1" x14ac:dyDescent="0.25">
      <c r="B67" s="45" t="s">
        <v>104</v>
      </c>
      <c r="C67" s="51">
        <v>1</v>
      </c>
      <c r="D67" s="50">
        <v>0</v>
      </c>
      <c r="E67" s="51">
        <v>3</v>
      </c>
      <c r="F67" s="51">
        <v>1</v>
      </c>
      <c r="G67" s="51">
        <v>0</v>
      </c>
      <c r="H67" s="51">
        <v>0</v>
      </c>
      <c r="I67" s="51">
        <v>1</v>
      </c>
      <c r="J67" s="51">
        <v>0</v>
      </c>
      <c r="K67" s="51">
        <v>0</v>
      </c>
      <c r="L67" s="50">
        <v>4</v>
      </c>
      <c r="M67" s="51">
        <v>2</v>
      </c>
      <c r="N67" s="51">
        <v>0</v>
      </c>
      <c r="O67" s="15">
        <f t="shared" si="35"/>
        <v>10</v>
      </c>
      <c r="P67" s="15">
        <f t="shared" si="36"/>
        <v>12</v>
      </c>
      <c r="R67" s="8"/>
      <c r="T67"/>
    </row>
    <row r="68" spans="2:20" ht="23.1" customHeight="1" x14ac:dyDescent="0.25">
      <c r="B68" s="45" t="s">
        <v>105</v>
      </c>
      <c r="C68" s="51">
        <v>1</v>
      </c>
      <c r="D68" s="50">
        <v>0</v>
      </c>
      <c r="E68" s="51">
        <v>2</v>
      </c>
      <c r="F68" s="51">
        <v>1</v>
      </c>
      <c r="G68" s="51">
        <v>0</v>
      </c>
      <c r="H68" s="51">
        <v>4</v>
      </c>
      <c r="I68" s="51">
        <v>1</v>
      </c>
      <c r="J68" s="51">
        <v>0</v>
      </c>
      <c r="K68" s="51">
        <v>0</v>
      </c>
      <c r="L68" s="50">
        <v>3</v>
      </c>
      <c r="M68" s="51">
        <v>2</v>
      </c>
      <c r="N68" s="51">
        <v>0</v>
      </c>
      <c r="O68" s="15">
        <f t="shared" si="35"/>
        <v>12</v>
      </c>
      <c r="P68" s="15">
        <f t="shared" si="36"/>
        <v>14</v>
      </c>
      <c r="R68" s="8"/>
      <c r="T68"/>
    </row>
    <row r="69" spans="2:20" ht="23.1" customHeight="1" x14ac:dyDescent="0.25">
      <c r="B69" s="45" t="s">
        <v>106</v>
      </c>
      <c r="C69" s="51">
        <v>2</v>
      </c>
      <c r="D69" s="50">
        <v>1</v>
      </c>
      <c r="E69" s="51">
        <v>5</v>
      </c>
      <c r="F69" s="51">
        <v>3</v>
      </c>
      <c r="G69" s="51">
        <v>0</v>
      </c>
      <c r="H69" s="51">
        <v>2</v>
      </c>
      <c r="I69" s="51">
        <v>2</v>
      </c>
      <c r="J69" s="51">
        <v>1</v>
      </c>
      <c r="K69" s="51">
        <v>0</v>
      </c>
      <c r="L69" s="50">
        <v>0</v>
      </c>
      <c r="M69" s="51">
        <v>5</v>
      </c>
      <c r="N69" s="51">
        <v>0</v>
      </c>
      <c r="O69" s="15">
        <f t="shared" si="35"/>
        <v>16</v>
      </c>
      <c r="P69" s="15">
        <f t="shared" si="36"/>
        <v>21</v>
      </c>
      <c r="R69" s="8"/>
      <c r="T69"/>
    </row>
    <row r="70" spans="2:20" ht="23.1" customHeight="1" x14ac:dyDescent="0.25">
      <c r="B70" s="45" t="s">
        <v>110</v>
      </c>
      <c r="C70" s="51">
        <v>1</v>
      </c>
      <c r="D70" s="50">
        <v>1</v>
      </c>
      <c r="E70" s="51">
        <v>3</v>
      </c>
      <c r="F70" s="51">
        <v>2</v>
      </c>
      <c r="G70" s="51">
        <v>0</v>
      </c>
      <c r="H70" s="51">
        <v>0</v>
      </c>
      <c r="I70" s="51">
        <v>1</v>
      </c>
      <c r="J70" s="51">
        <v>1</v>
      </c>
      <c r="K70" s="51">
        <v>0</v>
      </c>
      <c r="L70" s="50">
        <v>0</v>
      </c>
      <c r="M70" s="51">
        <v>3</v>
      </c>
      <c r="N70" s="51">
        <v>0</v>
      </c>
      <c r="O70" s="15">
        <f t="shared" si="35"/>
        <v>9</v>
      </c>
      <c r="P70" s="15">
        <f t="shared" si="36"/>
        <v>12</v>
      </c>
      <c r="R70" s="8"/>
      <c r="T70"/>
    </row>
    <row r="71" spans="2:20" ht="23.1" customHeight="1" x14ac:dyDescent="0.25">
      <c r="B71" s="45" t="s">
        <v>111</v>
      </c>
      <c r="C71" s="51">
        <v>1</v>
      </c>
      <c r="D71" s="50">
        <v>0</v>
      </c>
      <c r="E71" s="51">
        <v>3</v>
      </c>
      <c r="F71" s="51">
        <v>1</v>
      </c>
      <c r="G71" s="51">
        <v>0</v>
      </c>
      <c r="H71" s="51">
        <v>0</v>
      </c>
      <c r="I71" s="51">
        <v>1</v>
      </c>
      <c r="J71" s="51">
        <v>1</v>
      </c>
      <c r="K71" s="51">
        <v>0</v>
      </c>
      <c r="L71" s="50">
        <v>2</v>
      </c>
      <c r="M71" s="51">
        <v>3</v>
      </c>
      <c r="N71" s="51">
        <v>0</v>
      </c>
      <c r="O71" s="15">
        <f t="shared" si="35"/>
        <v>9</v>
      </c>
      <c r="P71" s="15">
        <f t="shared" si="36"/>
        <v>12</v>
      </c>
      <c r="R71" s="8"/>
      <c r="T71"/>
    </row>
    <row r="72" spans="2:20" ht="23.1" customHeight="1" x14ac:dyDescent="0.25">
      <c r="B72" s="45" t="s">
        <v>112</v>
      </c>
      <c r="C72" s="51">
        <v>1</v>
      </c>
      <c r="D72" s="50">
        <v>0</v>
      </c>
      <c r="E72" s="51">
        <v>3</v>
      </c>
      <c r="F72" s="51">
        <v>1</v>
      </c>
      <c r="G72" s="51">
        <v>0</v>
      </c>
      <c r="H72" s="51">
        <v>0</v>
      </c>
      <c r="I72" s="51">
        <v>1</v>
      </c>
      <c r="J72" s="51">
        <v>1</v>
      </c>
      <c r="K72" s="51">
        <v>0</v>
      </c>
      <c r="L72" s="50">
        <v>1</v>
      </c>
      <c r="M72" s="51">
        <v>3</v>
      </c>
      <c r="N72" s="51">
        <v>0</v>
      </c>
      <c r="O72" s="15">
        <f t="shared" si="35"/>
        <v>8</v>
      </c>
      <c r="P72" s="15">
        <f t="shared" si="36"/>
        <v>11</v>
      </c>
      <c r="R72" s="8"/>
      <c r="T72"/>
    </row>
    <row r="73" spans="2:20" ht="23.1" customHeight="1" x14ac:dyDescent="0.25">
      <c r="B73" s="45" t="s">
        <v>113</v>
      </c>
      <c r="C73" s="51">
        <v>1</v>
      </c>
      <c r="D73" s="50">
        <v>0</v>
      </c>
      <c r="E73" s="51">
        <v>2</v>
      </c>
      <c r="F73" s="51">
        <v>1</v>
      </c>
      <c r="G73" s="51">
        <v>0</v>
      </c>
      <c r="H73" s="51">
        <v>0</v>
      </c>
      <c r="I73" s="51">
        <v>1</v>
      </c>
      <c r="J73" s="51">
        <v>0</v>
      </c>
      <c r="K73" s="51">
        <v>0</v>
      </c>
      <c r="L73" s="50">
        <v>1</v>
      </c>
      <c r="M73" s="51">
        <v>1</v>
      </c>
      <c r="N73" s="51">
        <v>0</v>
      </c>
      <c r="O73" s="15">
        <f t="shared" si="35"/>
        <v>6</v>
      </c>
      <c r="P73" s="15">
        <f t="shared" si="36"/>
        <v>7</v>
      </c>
      <c r="R73" s="8"/>
      <c r="T73"/>
    </row>
    <row r="74" spans="2:20" ht="23.1" customHeight="1" x14ac:dyDescent="0.25">
      <c r="B74" s="45" t="s">
        <v>114</v>
      </c>
      <c r="C74" s="51">
        <v>0</v>
      </c>
      <c r="D74" s="50">
        <v>0</v>
      </c>
      <c r="E74" s="51">
        <v>0</v>
      </c>
      <c r="F74" s="51">
        <v>0</v>
      </c>
      <c r="G74" s="51">
        <v>0</v>
      </c>
      <c r="H74" s="51">
        <v>2</v>
      </c>
      <c r="I74" s="51">
        <v>0</v>
      </c>
      <c r="J74" s="51">
        <v>0</v>
      </c>
      <c r="K74" s="51">
        <v>0</v>
      </c>
      <c r="L74" s="50">
        <v>0</v>
      </c>
      <c r="M74" s="51">
        <v>0</v>
      </c>
      <c r="N74" s="51">
        <v>0</v>
      </c>
      <c r="O74" s="15">
        <f t="shared" si="35"/>
        <v>2</v>
      </c>
      <c r="P74" s="15">
        <f t="shared" si="36"/>
        <v>2</v>
      </c>
      <c r="R74" s="8"/>
      <c r="T74"/>
    </row>
    <row r="75" spans="2:20" ht="23.1" customHeight="1" x14ac:dyDescent="0.25">
      <c r="B75" s="45" t="s">
        <v>115</v>
      </c>
      <c r="C75" s="51">
        <v>0</v>
      </c>
      <c r="D75" s="50">
        <v>0</v>
      </c>
      <c r="E75" s="51">
        <v>1</v>
      </c>
      <c r="F75" s="51">
        <v>0</v>
      </c>
      <c r="G75" s="51">
        <v>0</v>
      </c>
      <c r="H75" s="51">
        <v>4</v>
      </c>
      <c r="I75" s="51">
        <v>0</v>
      </c>
      <c r="J75" s="51">
        <v>0</v>
      </c>
      <c r="K75" s="51">
        <v>0</v>
      </c>
      <c r="L75" s="50">
        <v>0</v>
      </c>
      <c r="M75" s="51">
        <v>1</v>
      </c>
      <c r="N75" s="51">
        <v>0</v>
      </c>
      <c r="O75" s="15">
        <f t="shared" si="35"/>
        <v>5</v>
      </c>
      <c r="P75" s="15">
        <f t="shared" si="36"/>
        <v>6</v>
      </c>
      <c r="R75" s="8"/>
      <c r="T75"/>
    </row>
    <row r="76" spans="2:20" ht="23.1" customHeight="1" x14ac:dyDescent="0.25">
      <c r="B76" s="45" t="s">
        <v>116</v>
      </c>
      <c r="C76" s="51">
        <v>1</v>
      </c>
      <c r="D76" s="50">
        <v>0</v>
      </c>
      <c r="E76" s="51">
        <v>2</v>
      </c>
      <c r="F76" s="51">
        <v>1</v>
      </c>
      <c r="G76" s="51">
        <v>0</v>
      </c>
      <c r="H76" s="51">
        <v>1</v>
      </c>
      <c r="I76" s="51">
        <v>1</v>
      </c>
      <c r="J76" s="51">
        <v>0</v>
      </c>
      <c r="K76" s="51">
        <v>0</v>
      </c>
      <c r="L76" s="50">
        <v>1</v>
      </c>
      <c r="M76" s="51">
        <v>1</v>
      </c>
      <c r="N76" s="51">
        <v>0</v>
      </c>
      <c r="O76" s="15">
        <f t="shared" si="35"/>
        <v>7</v>
      </c>
      <c r="P76" s="15">
        <f t="shared" si="36"/>
        <v>8</v>
      </c>
      <c r="R76" s="8"/>
      <c r="T76"/>
    </row>
    <row r="77" spans="2:20" ht="23.1" customHeight="1" x14ac:dyDescent="0.25">
      <c r="B77" s="45" t="s">
        <v>117</v>
      </c>
      <c r="C77" s="51">
        <v>0</v>
      </c>
      <c r="D77" s="50">
        <v>0</v>
      </c>
      <c r="E77" s="51">
        <v>1</v>
      </c>
      <c r="F77" s="51">
        <v>0</v>
      </c>
      <c r="G77" s="51">
        <v>0</v>
      </c>
      <c r="H77" s="51">
        <v>3</v>
      </c>
      <c r="I77" s="51">
        <v>0</v>
      </c>
      <c r="J77" s="51">
        <v>0</v>
      </c>
      <c r="K77" s="51">
        <v>0</v>
      </c>
      <c r="L77" s="50">
        <v>0</v>
      </c>
      <c r="M77" s="51">
        <v>1</v>
      </c>
      <c r="N77" s="51">
        <v>0</v>
      </c>
      <c r="O77" s="15">
        <f t="shared" si="35"/>
        <v>4</v>
      </c>
      <c r="P77" s="15">
        <f t="shared" si="36"/>
        <v>5</v>
      </c>
      <c r="R77" s="8"/>
      <c r="T77"/>
    </row>
    <row r="78" spans="2:20" ht="23.1" customHeight="1" x14ac:dyDescent="0.25">
      <c r="B78" s="46" t="s">
        <v>118</v>
      </c>
      <c r="C78" s="51">
        <v>1</v>
      </c>
      <c r="D78" s="50">
        <v>0</v>
      </c>
      <c r="E78" s="51">
        <v>3</v>
      </c>
      <c r="F78" s="51">
        <v>1</v>
      </c>
      <c r="G78" s="51">
        <v>0</v>
      </c>
      <c r="H78" s="51">
        <v>1</v>
      </c>
      <c r="I78" s="51">
        <v>1</v>
      </c>
      <c r="J78" s="51">
        <v>0</v>
      </c>
      <c r="K78" s="51">
        <v>0</v>
      </c>
      <c r="L78" s="50">
        <v>1</v>
      </c>
      <c r="M78" s="51">
        <v>2</v>
      </c>
      <c r="N78" s="51">
        <v>0</v>
      </c>
      <c r="O78" s="15">
        <f t="shared" si="35"/>
        <v>8</v>
      </c>
      <c r="P78" s="15">
        <f t="shared" si="36"/>
        <v>10</v>
      </c>
      <c r="R78" s="8"/>
      <c r="T78"/>
    </row>
    <row r="79" spans="2:20" ht="23.1" customHeight="1" x14ac:dyDescent="0.25">
      <c r="B79" s="45" t="s">
        <v>119</v>
      </c>
      <c r="C79" s="51">
        <v>0</v>
      </c>
      <c r="D79" s="50">
        <v>0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0">
        <v>0</v>
      </c>
      <c r="M79" s="51">
        <v>0</v>
      </c>
      <c r="N79" s="51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1">
        <v>0</v>
      </c>
      <c r="D80" s="50">
        <v>0</v>
      </c>
      <c r="E80" s="51">
        <v>1</v>
      </c>
      <c r="F80" s="51">
        <v>1</v>
      </c>
      <c r="G80" s="51">
        <v>0</v>
      </c>
      <c r="H80" s="51">
        <v>4</v>
      </c>
      <c r="I80" s="51">
        <v>0</v>
      </c>
      <c r="J80" s="51">
        <v>0</v>
      </c>
      <c r="K80" s="51">
        <v>0</v>
      </c>
      <c r="L80" s="50">
        <v>0</v>
      </c>
      <c r="M80" s="51">
        <v>1</v>
      </c>
      <c r="N80" s="51">
        <v>0</v>
      </c>
      <c r="O80" s="15">
        <f t="shared" si="35"/>
        <v>6</v>
      </c>
      <c r="P80" s="15">
        <f t="shared" si="36"/>
        <v>7</v>
      </c>
      <c r="R80" s="8"/>
      <c r="T80"/>
    </row>
    <row r="81" spans="2:20" ht="23.1" customHeight="1" x14ac:dyDescent="0.25">
      <c r="B81" s="45" t="s">
        <v>121</v>
      </c>
      <c r="C81" s="51">
        <v>0</v>
      </c>
      <c r="D81" s="50">
        <v>0</v>
      </c>
      <c r="E81" s="51">
        <v>1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0">
        <v>0</v>
      </c>
      <c r="M81" s="51">
        <v>1</v>
      </c>
      <c r="N81" s="51">
        <v>0</v>
      </c>
      <c r="O81" s="15">
        <f t="shared" si="35"/>
        <v>1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1">
        <v>1</v>
      </c>
      <c r="D82" s="50">
        <v>0</v>
      </c>
      <c r="E82" s="51">
        <v>2</v>
      </c>
      <c r="F82" s="51">
        <v>1</v>
      </c>
      <c r="G82" s="51">
        <v>0</v>
      </c>
      <c r="H82" s="51">
        <v>0</v>
      </c>
      <c r="I82" s="51">
        <v>1</v>
      </c>
      <c r="J82" s="51">
        <v>0</v>
      </c>
      <c r="K82" s="51">
        <v>0</v>
      </c>
      <c r="L82" s="50">
        <v>0</v>
      </c>
      <c r="M82" s="51">
        <v>2</v>
      </c>
      <c r="N82" s="51">
        <v>0</v>
      </c>
      <c r="O82" s="15">
        <f t="shared" si="35"/>
        <v>5</v>
      </c>
      <c r="P82" s="15">
        <f t="shared" si="36"/>
        <v>7</v>
      </c>
      <c r="R82" s="8"/>
      <c r="T82"/>
    </row>
    <row r="83" spans="2:20" ht="23.1" customHeight="1" x14ac:dyDescent="0.25">
      <c r="B83" s="45" t="s">
        <v>123</v>
      </c>
      <c r="C83" s="51">
        <v>1</v>
      </c>
      <c r="D83" s="50">
        <v>0</v>
      </c>
      <c r="E83" s="51">
        <v>2</v>
      </c>
      <c r="F83" s="51">
        <v>1</v>
      </c>
      <c r="G83" s="51">
        <v>0</v>
      </c>
      <c r="H83" s="51">
        <v>0</v>
      </c>
      <c r="I83" s="51">
        <v>1</v>
      </c>
      <c r="J83" s="51">
        <v>0</v>
      </c>
      <c r="K83" s="51">
        <v>0</v>
      </c>
      <c r="L83" s="50">
        <v>0</v>
      </c>
      <c r="M83" s="51">
        <v>2</v>
      </c>
      <c r="N83" s="51">
        <v>0</v>
      </c>
      <c r="O83" s="15">
        <f t="shared" si="35"/>
        <v>5</v>
      </c>
      <c r="P83" s="15">
        <f t="shared" si="36"/>
        <v>7</v>
      </c>
      <c r="R83" s="8"/>
      <c r="T83"/>
    </row>
    <row r="84" spans="2:20" ht="23.1" customHeight="1" x14ac:dyDescent="0.25">
      <c r="B84" s="47" t="s">
        <v>124</v>
      </c>
      <c r="C84" s="51">
        <v>0</v>
      </c>
      <c r="D84" s="50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0">
        <v>0</v>
      </c>
      <c r="M84" s="51">
        <v>0</v>
      </c>
      <c r="N84" s="51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1">
        <v>1</v>
      </c>
      <c r="D85" s="50">
        <v>0</v>
      </c>
      <c r="E85" s="51">
        <v>2</v>
      </c>
      <c r="F85" s="51">
        <v>1</v>
      </c>
      <c r="G85" s="51">
        <v>0</v>
      </c>
      <c r="H85" s="51">
        <v>0</v>
      </c>
      <c r="I85" s="51">
        <v>1</v>
      </c>
      <c r="J85" s="51">
        <v>0</v>
      </c>
      <c r="K85" s="51">
        <v>0</v>
      </c>
      <c r="L85" s="50">
        <v>0</v>
      </c>
      <c r="M85" s="51">
        <v>2</v>
      </c>
      <c r="N85" s="51">
        <v>0</v>
      </c>
      <c r="O85" s="15">
        <f t="shared" si="35"/>
        <v>5</v>
      </c>
      <c r="P85" s="15">
        <f t="shared" si="36"/>
        <v>7</v>
      </c>
      <c r="R85" s="8"/>
      <c r="T85"/>
    </row>
    <row r="86" spans="2:20" ht="23.1" customHeight="1" x14ac:dyDescent="0.25">
      <c r="B86" s="46" t="s">
        <v>126</v>
      </c>
      <c r="C86" s="51">
        <v>0</v>
      </c>
      <c r="D86" s="50">
        <v>0</v>
      </c>
      <c r="E86" s="51">
        <v>1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0">
        <v>0</v>
      </c>
      <c r="M86" s="51">
        <v>1</v>
      </c>
      <c r="N86" s="51">
        <v>0</v>
      </c>
      <c r="O86" s="15">
        <f t="shared" si="35"/>
        <v>1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1">
        <v>0</v>
      </c>
      <c r="D87" s="50">
        <v>0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0">
        <v>0</v>
      </c>
      <c r="M87" s="51">
        <v>0</v>
      </c>
      <c r="N87" s="51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1">
        <v>0</v>
      </c>
      <c r="D88" s="50">
        <v>0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0">
        <v>0</v>
      </c>
      <c r="M88" s="51">
        <v>0</v>
      </c>
      <c r="N88" s="51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1">
        <v>0</v>
      </c>
      <c r="D89" s="50">
        <v>0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0">
        <v>0</v>
      </c>
      <c r="M89" s="51">
        <v>0</v>
      </c>
      <c r="N89" s="51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1">
        <v>0</v>
      </c>
      <c r="D90" s="50">
        <v>0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0">
        <v>1</v>
      </c>
      <c r="M90" s="51">
        <v>0</v>
      </c>
      <c r="N90" s="51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1">
        <v>0</v>
      </c>
      <c r="D91" s="50">
        <v>0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0">
        <v>0</v>
      </c>
      <c r="M91" s="51">
        <v>0</v>
      </c>
      <c r="N91" s="51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1">
        <v>0</v>
      </c>
      <c r="D92" s="50">
        <v>0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0">
        <v>0</v>
      </c>
      <c r="M92" s="51">
        <v>0</v>
      </c>
      <c r="N92" s="51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1">
        <v>0</v>
      </c>
      <c r="D93" s="50">
        <v>0</v>
      </c>
      <c r="E93" s="51">
        <v>0</v>
      </c>
      <c r="F93" s="51">
        <v>0</v>
      </c>
      <c r="G93" s="51">
        <v>0</v>
      </c>
      <c r="H93" s="51">
        <v>1</v>
      </c>
      <c r="I93" s="51">
        <v>0</v>
      </c>
      <c r="J93" s="51">
        <v>0</v>
      </c>
      <c r="K93" s="51">
        <v>0</v>
      </c>
      <c r="L93" s="50">
        <v>1</v>
      </c>
      <c r="M93" s="51">
        <v>0</v>
      </c>
      <c r="N93" s="51"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1">
        <v>0</v>
      </c>
      <c r="D94" s="50">
        <v>0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0">
        <v>0</v>
      </c>
      <c r="M94" s="51">
        <v>0</v>
      </c>
      <c r="N94" s="51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1">
        <v>0</v>
      </c>
      <c r="D95" s="50">
        <v>0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0">
        <v>0</v>
      </c>
      <c r="M95" s="51">
        <v>0</v>
      </c>
      <c r="N95" s="51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1">
        <v>0</v>
      </c>
      <c r="D96" s="50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0">
        <v>0</v>
      </c>
      <c r="M96" s="51">
        <v>0</v>
      </c>
      <c r="N96" s="51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1">
        <v>0</v>
      </c>
      <c r="D97" s="50">
        <v>0</v>
      </c>
      <c r="E97" s="51">
        <v>0</v>
      </c>
      <c r="F97" s="51">
        <v>0</v>
      </c>
      <c r="G97" s="51">
        <v>0</v>
      </c>
      <c r="H97" s="51">
        <v>1</v>
      </c>
      <c r="I97" s="51">
        <v>0</v>
      </c>
      <c r="J97" s="51">
        <v>0</v>
      </c>
      <c r="K97" s="51">
        <v>0</v>
      </c>
      <c r="L97" s="50">
        <v>0</v>
      </c>
      <c r="M97" s="51">
        <v>0</v>
      </c>
      <c r="N97" s="51"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1">
        <v>0</v>
      </c>
      <c r="D98" s="50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0">
        <v>0</v>
      </c>
      <c r="M98" s="51">
        <v>0</v>
      </c>
      <c r="N98" s="51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1">
        <v>0</v>
      </c>
      <c r="D99" s="50">
        <v>0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0">
        <v>0</v>
      </c>
      <c r="M99" s="51">
        <v>0</v>
      </c>
      <c r="N99" s="51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1">
        <v>0</v>
      </c>
      <c r="D100" s="50">
        <v>0</v>
      </c>
      <c r="E100" s="51">
        <v>1</v>
      </c>
      <c r="F100" s="51">
        <v>1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0">
        <v>0</v>
      </c>
      <c r="M100" s="51">
        <v>1</v>
      </c>
      <c r="N100" s="51">
        <v>0</v>
      </c>
      <c r="O100" s="15">
        <f t="shared" si="35"/>
        <v>2</v>
      </c>
      <c r="P100" s="15">
        <f t="shared" si="36"/>
        <v>3</v>
      </c>
      <c r="R100" s="8"/>
      <c r="T100"/>
    </row>
    <row r="101" spans="2:20" ht="23.1" customHeight="1" x14ac:dyDescent="0.25">
      <c r="B101" s="45" t="s">
        <v>141</v>
      </c>
      <c r="C101" s="51">
        <v>0</v>
      </c>
      <c r="D101" s="50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0">
        <v>0</v>
      </c>
      <c r="M101" s="51">
        <v>0</v>
      </c>
      <c r="N101" s="51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1">
        <v>0</v>
      </c>
      <c r="D102" s="50">
        <v>0</v>
      </c>
      <c r="E102" s="51">
        <v>1</v>
      </c>
      <c r="F102" s="51">
        <v>0</v>
      </c>
      <c r="G102" s="51">
        <v>0</v>
      </c>
      <c r="H102" s="51">
        <v>1</v>
      </c>
      <c r="I102" s="51">
        <v>0</v>
      </c>
      <c r="J102" s="51">
        <v>0</v>
      </c>
      <c r="K102" s="51">
        <v>0</v>
      </c>
      <c r="L102" s="50">
        <v>1</v>
      </c>
      <c r="M102" s="51">
        <v>0</v>
      </c>
      <c r="N102" s="51">
        <v>0</v>
      </c>
      <c r="O102" s="15">
        <f t="shared" si="35"/>
        <v>3</v>
      </c>
      <c r="P102" s="15">
        <f t="shared" si="36"/>
        <v>3</v>
      </c>
      <c r="R102" s="8"/>
      <c r="T102"/>
    </row>
    <row r="103" spans="2:20" ht="23.1" customHeight="1" x14ac:dyDescent="0.25">
      <c r="B103" s="45" t="s">
        <v>143</v>
      </c>
      <c r="C103" s="51">
        <v>1</v>
      </c>
      <c r="D103" s="50">
        <v>0</v>
      </c>
      <c r="E103" s="51">
        <v>0</v>
      </c>
      <c r="F103" s="51">
        <v>1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0">
        <v>1</v>
      </c>
      <c r="M103" s="51">
        <v>0</v>
      </c>
      <c r="N103" s="51">
        <v>0</v>
      </c>
      <c r="O103" s="15">
        <f t="shared" si="35"/>
        <v>3</v>
      </c>
      <c r="P103" s="15">
        <f t="shared" si="36"/>
        <v>3</v>
      </c>
      <c r="R103" s="8"/>
      <c r="T103"/>
    </row>
    <row r="104" spans="2:20" ht="23.1" customHeight="1" x14ac:dyDescent="0.25">
      <c r="B104" s="47" t="s">
        <v>144</v>
      </c>
      <c r="C104" s="51">
        <v>0</v>
      </c>
      <c r="D104" s="50">
        <v>0</v>
      </c>
      <c r="E104" s="51">
        <v>1</v>
      </c>
      <c r="F104" s="51">
        <v>0</v>
      </c>
      <c r="G104" s="51">
        <v>0</v>
      </c>
      <c r="H104" s="51">
        <v>1</v>
      </c>
      <c r="I104" s="51">
        <v>0</v>
      </c>
      <c r="J104" s="51">
        <v>0</v>
      </c>
      <c r="K104" s="51">
        <v>0</v>
      </c>
      <c r="L104" s="50">
        <v>3</v>
      </c>
      <c r="M104" s="51">
        <v>0</v>
      </c>
      <c r="N104" s="51">
        <v>0</v>
      </c>
      <c r="O104" s="15">
        <f t="shared" si="35"/>
        <v>5</v>
      </c>
      <c r="P104" s="15">
        <f t="shared" si="36"/>
        <v>5</v>
      </c>
      <c r="R104" s="8"/>
      <c r="T104"/>
    </row>
    <row r="105" spans="2:20" ht="23.1" customHeight="1" x14ac:dyDescent="0.25">
      <c r="B105" s="45" t="s">
        <v>145</v>
      </c>
      <c r="C105" s="51">
        <v>1</v>
      </c>
      <c r="D105" s="50">
        <v>0</v>
      </c>
      <c r="E105" s="51">
        <v>2</v>
      </c>
      <c r="F105" s="51">
        <v>1</v>
      </c>
      <c r="G105" s="51">
        <v>0</v>
      </c>
      <c r="H105" s="51">
        <v>0</v>
      </c>
      <c r="I105" s="51">
        <v>1</v>
      </c>
      <c r="J105" s="51">
        <v>0</v>
      </c>
      <c r="K105" s="51">
        <v>0</v>
      </c>
      <c r="L105" s="50">
        <v>2</v>
      </c>
      <c r="M105" s="51">
        <v>1</v>
      </c>
      <c r="N105" s="51">
        <v>0</v>
      </c>
      <c r="O105" s="15">
        <f t="shared" si="35"/>
        <v>7</v>
      </c>
      <c r="P105" s="15">
        <f t="shared" si="36"/>
        <v>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123</v>
      </c>
      <c r="D106" s="16">
        <f t="shared" ref="D106:P106" si="37">SUM(D10:D105)</f>
        <v>68</v>
      </c>
      <c r="E106" s="16">
        <f t="shared" si="37"/>
        <v>296</v>
      </c>
      <c r="F106" s="16">
        <f t="shared" si="37"/>
        <v>106</v>
      </c>
      <c r="G106" s="16">
        <f t="shared" si="37"/>
        <v>2</v>
      </c>
      <c r="H106" s="16">
        <f t="shared" si="37"/>
        <v>75</v>
      </c>
      <c r="I106" s="16">
        <f t="shared" si="37"/>
        <v>112</v>
      </c>
      <c r="J106" s="16">
        <f t="shared" si="37"/>
        <v>21</v>
      </c>
      <c r="K106" s="16">
        <f t="shared" si="37"/>
        <v>10</v>
      </c>
      <c r="L106" s="16">
        <f t="shared" si="37"/>
        <v>84</v>
      </c>
      <c r="M106" s="16">
        <f t="shared" si="37"/>
        <v>236</v>
      </c>
      <c r="N106" s="16">
        <f t="shared" si="37"/>
        <v>0</v>
      </c>
      <c r="O106" s="16">
        <f t="shared" si="37"/>
        <v>897</v>
      </c>
      <c r="P106" s="16">
        <f t="shared" si="37"/>
        <v>1133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0.10856134157105031</v>
      </c>
      <c r="D107" s="43">
        <f t="shared" si="38"/>
        <v>6.0017652250661961E-2</v>
      </c>
      <c r="E107" s="43">
        <f t="shared" si="38"/>
        <v>0.26125330979699912</v>
      </c>
      <c r="F107" s="43">
        <f t="shared" si="38"/>
        <v>9.3556928508384818E-2</v>
      </c>
      <c r="G107" s="43">
        <f t="shared" si="38"/>
        <v>1.76522506619594E-3</v>
      </c>
      <c r="H107" s="43">
        <f t="shared" si="38"/>
        <v>6.6195939982347754E-2</v>
      </c>
      <c r="I107" s="43">
        <f t="shared" si="38"/>
        <v>9.8852603706972644E-2</v>
      </c>
      <c r="J107" s="43">
        <f t="shared" si="38"/>
        <v>1.8534863195057368E-2</v>
      </c>
      <c r="K107" s="43">
        <f t="shared" si="38"/>
        <v>8.8261253309796991E-3</v>
      </c>
      <c r="L107" s="43">
        <f t="shared" si="38"/>
        <v>7.4139452780229473E-2</v>
      </c>
      <c r="M107" s="43">
        <f t="shared" si="38"/>
        <v>0.20829655781112091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0.13712374581939799</v>
      </c>
      <c r="D108" s="44">
        <f t="shared" ref="D108:N108" si="39">D106/$O$106</f>
        <v>7.58082497212932E-2</v>
      </c>
      <c r="E108" s="44">
        <f t="shared" si="39"/>
        <v>0.32998885172798215</v>
      </c>
      <c r="F108" s="44">
        <f t="shared" si="39"/>
        <v>0.11817168338907469</v>
      </c>
      <c r="G108" s="44">
        <f t="shared" si="39"/>
        <v>2.229654403567447E-3</v>
      </c>
      <c r="H108" s="44">
        <f t="shared" si="39"/>
        <v>8.3612040133779264E-2</v>
      </c>
      <c r="I108" s="44">
        <f t="shared" si="39"/>
        <v>0.12486064659977704</v>
      </c>
      <c r="J108" s="44">
        <f t="shared" si="39"/>
        <v>2.3411371237458192E-2</v>
      </c>
      <c r="K108" s="44">
        <f t="shared" si="39"/>
        <v>1.1148272017837236E-2</v>
      </c>
      <c r="L108" s="44">
        <f t="shared" si="39"/>
        <v>9.3645484949832769E-2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B1:AF174"/>
  <sheetViews>
    <sheetView view="pageBreakPreview" topLeftCell="A40" zoomScale="60" workbookViewId="0">
      <selection activeCell="S93" sqref="S9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'29.07 Karuma-Kigumba'!C3:G3</f>
        <v>MCC - C5 - STN113 - KIGUMBA-KARUMA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'02.08 Karuma-Kigumba-24h'!D5</f>
        <v>02.08.19</v>
      </c>
      <c r="E5" s="3"/>
      <c r="F5" s="41" t="s">
        <v>1</v>
      </c>
      <c r="G5" s="71" t="str">
        <f>'02.08 Karuma-Kigumba-24h'!G5:H5</f>
        <v>nanda</v>
      </c>
      <c r="H5" s="72"/>
      <c r="I5" s="14"/>
      <c r="J5" s="2" t="s">
        <v>5</v>
      </c>
      <c r="K5" s="71" t="str">
        <f>'02.08 Karuma-Kigumba-24h'!K5:L5</f>
        <v>xxx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'29.07 Kigumba-Karuma'!D6:E6</f>
        <v>Kigumba</v>
      </c>
      <c r="E6" s="72"/>
      <c r="F6" s="2" t="s">
        <v>2</v>
      </c>
      <c r="G6" s="71" t="str">
        <f>'30.07 Kigumba-Karuma'!G6:H6</f>
        <v>Karuma</v>
      </c>
      <c r="H6" s="72"/>
      <c r="J6" s="2" t="s">
        <v>21</v>
      </c>
      <c r="K6" s="71" t="str">
        <f>'02.08 Karuma-Kigumba-24h'!K6:L6</f>
        <v>xxx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1">
        <v>0</v>
      </c>
      <c r="D10" s="50">
        <v>0</v>
      </c>
      <c r="E10" s="51">
        <v>0</v>
      </c>
      <c r="F10" s="51">
        <v>1</v>
      </c>
      <c r="G10" s="51">
        <v>0</v>
      </c>
      <c r="H10" s="51">
        <v>0</v>
      </c>
      <c r="I10" s="51">
        <v>2</v>
      </c>
      <c r="J10" s="51">
        <v>0</v>
      </c>
      <c r="K10" s="51">
        <v>0</v>
      </c>
      <c r="L10" s="50">
        <v>6</v>
      </c>
      <c r="M10" s="51">
        <v>0</v>
      </c>
      <c r="N10" s="50">
        <v>0</v>
      </c>
      <c r="O10" s="15">
        <f t="shared" ref="O10:O73" si="0">SUM(C10:L10,N10)</f>
        <v>9</v>
      </c>
      <c r="P10" s="15">
        <f t="shared" ref="P10:P73" si="1">SUM(C10:N10)</f>
        <v>9</v>
      </c>
      <c r="R10" s="1" t="s">
        <v>6</v>
      </c>
      <c r="S10" s="17">
        <f t="shared" ref="S10:AF10" si="2">SUM(C10:C13)</f>
        <v>0</v>
      </c>
      <c r="T10" s="17">
        <f t="shared" si="2"/>
        <v>2</v>
      </c>
      <c r="U10" s="17">
        <f t="shared" si="2"/>
        <v>6</v>
      </c>
      <c r="V10" s="17">
        <f t="shared" si="2"/>
        <v>5</v>
      </c>
      <c r="W10" s="17">
        <f t="shared" si="2"/>
        <v>0</v>
      </c>
      <c r="X10" s="17">
        <f t="shared" si="2"/>
        <v>0</v>
      </c>
      <c r="Y10" s="17">
        <f t="shared" si="2"/>
        <v>9</v>
      </c>
      <c r="Z10" s="17">
        <f t="shared" si="2"/>
        <v>1</v>
      </c>
      <c r="AA10" s="17">
        <f t="shared" si="2"/>
        <v>0</v>
      </c>
      <c r="AB10" s="17">
        <f t="shared" si="2"/>
        <v>11</v>
      </c>
      <c r="AC10" s="17">
        <f t="shared" si="2"/>
        <v>10</v>
      </c>
      <c r="AD10" s="17">
        <f t="shared" si="2"/>
        <v>0</v>
      </c>
      <c r="AE10" s="31">
        <f t="shared" si="2"/>
        <v>34</v>
      </c>
      <c r="AF10" s="31">
        <f t="shared" si="2"/>
        <v>44</v>
      </c>
    </row>
    <row r="11" spans="2:32" s="6" customFormat="1" ht="23.1" customHeight="1" x14ac:dyDescent="0.25">
      <c r="B11" s="45" t="s">
        <v>38</v>
      </c>
      <c r="C11" s="51">
        <v>0</v>
      </c>
      <c r="D11" s="50">
        <v>1</v>
      </c>
      <c r="E11" s="51">
        <v>3</v>
      </c>
      <c r="F11" s="51">
        <v>2</v>
      </c>
      <c r="G11" s="51">
        <v>0</v>
      </c>
      <c r="H11" s="51">
        <v>0</v>
      </c>
      <c r="I11" s="51">
        <v>4</v>
      </c>
      <c r="J11" s="51">
        <v>0</v>
      </c>
      <c r="K11" s="51">
        <v>0</v>
      </c>
      <c r="L11" s="50">
        <v>1</v>
      </c>
      <c r="M11" s="51">
        <v>0</v>
      </c>
      <c r="N11" s="50">
        <v>0</v>
      </c>
      <c r="O11" s="15">
        <f t="shared" si="0"/>
        <v>11</v>
      </c>
      <c r="P11" s="15">
        <f t="shared" si="1"/>
        <v>11</v>
      </c>
      <c r="R11" s="1" t="s">
        <v>7</v>
      </c>
      <c r="S11" s="17">
        <f t="shared" ref="S11:AF11" si="3">SUM(C14:C17)</f>
        <v>7</v>
      </c>
      <c r="T11" s="17">
        <f t="shared" si="3"/>
        <v>4</v>
      </c>
      <c r="U11" s="17">
        <f t="shared" si="3"/>
        <v>9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0</v>
      </c>
      <c r="AA11" s="17">
        <f t="shared" si="3"/>
        <v>0</v>
      </c>
      <c r="AB11" s="17">
        <f t="shared" si="3"/>
        <v>3</v>
      </c>
      <c r="AC11" s="17">
        <f t="shared" si="3"/>
        <v>12</v>
      </c>
      <c r="AD11" s="17">
        <f t="shared" si="3"/>
        <v>0</v>
      </c>
      <c r="AE11" s="31">
        <f t="shared" si="3"/>
        <v>33</v>
      </c>
      <c r="AF11" s="31">
        <f t="shared" si="3"/>
        <v>45</v>
      </c>
    </row>
    <row r="12" spans="2:32" ht="23.1" customHeight="1" x14ac:dyDescent="0.25">
      <c r="B12" s="45" t="s">
        <v>39</v>
      </c>
      <c r="C12" s="51">
        <v>0</v>
      </c>
      <c r="D12" s="50">
        <v>0</v>
      </c>
      <c r="E12" s="51">
        <v>1</v>
      </c>
      <c r="F12" s="51">
        <v>2</v>
      </c>
      <c r="G12" s="51">
        <v>0</v>
      </c>
      <c r="H12" s="51">
        <v>0</v>
      </c>
      <c r="I12" s="51">
        <v>1</v>
      </c>
      <c r="J12" s="51">
        <v>1</v>
      </c>
      <c r="K12" s="51">
        <v>0</v>
      </c>
      <c r="L12" s="50">
        <v>1</v>
      </c>
      <c r="M12" s="51">
        <v>5</v>
      </c>
      <c r="N12" s="50">
        <v>0</v>
      </c>
      <c r="O12" s="15">
        <f t="shared" si="0"/>
        <v>6</v>
      </c>
      <c r="P12" s="15">
        <f t="shared" si="1"/>
        <v>11</v>
      </c>
      <c r="R12" s="1" t="s">
        <v>8</v>
      </c>
      <c r="S12" s="17">
        <f t="shared" ref="S12:AF12" si="4">SUM(C18:C21)</f>
        <v>5</v>
      </c>
      <c r="T12" s="17">
        <f t="shared" si="4"/>
        <v>1</v>
      </c>
      <c r="U12" s="17">
        <f t="shared" si="4"/>
        <v>7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13</v>
      </c>
      <c r="AD12" s="17">
        <f t="shared" si="4"/>
        <v>0</v>
      </c>
      <c r="AE12" s="31">
        <f t="shared" si="4"/>
        <v>25</v>
      </c>
      <c r="AF12" s="31">
        <f t="shared" si="4"/>
        <v>38</v>
      </c>
    </row>
    <row r="13" spans="2:32" ht="23.1" customHeight="1" x14ac:dyDescent="0.25">
      <c r="B13" s="45" t="s">
        <v>40</v>
      </c>
      <c r="C13" s="51">
        <v>0</v>
      </c>
      <c r="D13" s="50">
        <v>1</v>
      </c>
      <c r="E13" s="51">
        <v>2</v>
      </c>
      <c r="F13" s="51">
        <v>0</v>
      </c>
      <c r="G13" s="51">
        <v>0</v>
      </c>
      <c r="H13" s="51">
        <v>0</v>
      </c>
      <c r="I13" s="51">
        <v>2</v>
      </c>
      <c r="J13" s="51">
        <v>0</v>
      </c>
      <c r="K13" s="51">
        <v>0</v>
      </c>
      <c r="L13" s="50">
        <v>3</v>
      </c>
      <c r="M13" s="51">
        <v>5</v>
      </c>
      <c r="N13" s="50">
        <v>0</v>
      </c>
      <c r="O13" s="15">
        <f t="shared" si="0"/>
        <v>8</v>
      </c>
      <c r="P13" s="15">
        <f t="shared" si="1"/>
        <v>13</v>
      </c>
      <c r="R13" s="1" t="s">
        <v>9</v>
      </c>
      <c r="S13" s="17">
        <f t="shared" ref="S13:AF13" si="5">SUM(C22:C25)</f>
        <v>3</v>
      </c>
      <c r="T13" s="17">
        <f t="shared" si="5"/>
        <v>7</v>
      </c>
      <c r="U13" s="17">
        <f t="shared" si="5"/>
        <v>16</v>
      </c>
      <c r="V13" s="17">
        <f t="shared" si="5"/>
        <v>8</v>
      </c>
      <c r="W13" s="17">
        <f t="shared" si="5"/>
        <v>0</v>
      </c>
      <c r="X13" s="17">
        <f t="shared" si="5"/>
        <v>3</v>
      </c>
      <c r="Y13" s="17">
        <f t="shared" si="5"/>
        <v>10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19</v>
      </c>
      <c r="AD13" s="17">
        <f t="shared" si="5"/>
        <v>0</v>
      </c>
      <c r="AE13" s="31">
        <f t="shared" si="5"/>
        <v>48</v>
      </c>
      <c r="AF13" s="31">
        <f t="shared" si="5"/>
        <v>67</v>
      </c>
    </row>
    <row r="14" spans="2:32" ht="23.1" customHeight="1" x14ac:dyDescent="0.25">
      <c r="B14" s="45" t="s">
        <v>41</v>
      </c>
      <c r="C14" s="51">
        <v>2</v>
      </c>
      <c r="D14" s="50">
        <v>2</v>
      </c>
      <c r="E14" s="51">
        <v>3</v>
      </c>
      <c r="F14" s="51">
        <v>1</v>
      </c>
      <c r="G14" s="51">
        <v>0</v>
      </c>
      <c r="H14" s="51">
        <v>0</v>
      </c>
      <c r="I14" s="51">
        <v>1</v>
      </c>
      <c r="J14" s="51">
        <v>0</v>
      </c>
      <c r="K14" s="51">
        <v>0</v>
      </c>
      <c r="L14" s="50">
        <v>1</v>
      </c>
      <c r="M14" s="51">
        <v>3</v>
      </c>
      <c r="N14" s="50">
        <v>0</v>
      </c>
      <c r="O14" s="15">
        <f t="shared" si="0"/>
        <v>10</v>
      </c>
      <c r="P14" s="15">
        <f t="shared" si="1"/>
        <v>13</v>
      </c>
      <c r="R14" s="1" t="s">
        <v>10</v>
      </c>
      <c r="S14" s="17">
        <f t="shared" ref="S14:AF14" si="6">SUM(C26:C29)</f>
        <v>12</v>
      </c>
      <c r="T14" s="17">
        <f t="shared" si="6"/>
        <v>3</v>
      </c>
      <c r="U14" s="17">
        <f t="shared" si="6"/>
        <v>9</v>
      </c>
      <c r="V14" s="17">
        <f t="shared" si="6"/>
        <v>9</v>
      </c>
      <c r="W14" s="17">
        <f t="shared" si="6"/>
        <v>0</v>
      </c>
      <c r="X14" s="17">
        <f t="shared" si="6"/>
        <v>2</v>
      </c>
      <c r="Y14" s="17">
        <f t="shared" si="6"/>
        <v>6</v>
      </c>
      <c r="Z14" s="17">
        <f t="shared" si="6"/>
        <v>0</v>
      </c>
      <c r="AA14" s="17">
        <f t="shared" si="6"/>
        <v>2</v>
      </c>
      <c r="AB14" s="17">
        <f t="shared" si="6"/>
        <v>7</v>
      </c>
      <c r="AC14" s="17">
        <f t="shared" si="6"/>
        <v>15</v>
      </c>
      <c r="AD14" s="17">
        <f t="shared" si="6"/>
        <v>0</v>
      </c>
      <c r="AE14" s="31">
        <f t="shared" si="6"/>
        <v>50</v>
      </c>
      <c r="AF14" s="31">
        <f t="shared" si="6"/>
        <v>65</v>
      </c>
    </row>
    <row r="15" spans="2:32" ht="23.1" customHeight="1" x14ac:dyDescent="0.25">
      <c r="B15" s="45" t="s">
        <v>42</v>
      </c>
      <c r="C15" s="51">
        <v>2</v>
      </c>
      <c r="D15" s="50">
        <v>0</v>
      </c>
      <c r="E15" s="51">
        <v>1</v>
      </c>
      <c r="F15" s="51">
        <v>0</v>
      </c>
      <c r="G15" s="51">
        <v>0</v>
      </c>
      <c r="H15" s="51">
        <v>0</v>
      </c>
      <c r="I15" s="51">
        <v>3</v>
      </c>
      <c r="J15" s="51">
        <v>0</v>
      </c>
      <c r="K15" s="51">
        <v>0</v>
      </c>
      <c r="L15" s="50">
        <v>0</v>
      </c>
      <c r="M15" s="51">
        <v>5</v>
      </c>
      <c r="N15" s="50">
        <v>0</v>
      </c>
      <c r="O15" s="15">
        <f t="shared" si="0"/>
        <v>6</v>
      </c>
      <c r="P15" s="15">
        <f t="shared" si="1"/>
        <v>11</v>
      </c>
      <c r="R15" s="1" t="s">
        <v>11</v>
      </c>
      <c r="S15" s="17">
        <f t="shared" ref="S15:AF15" si="7">SUM(C30:C33)</f>
        <v>7</v>
      </c>
      <c r="T15" s="17">
        <f t="shared" si="7"/>
        <v>3</v>
      </c>
      <c r="U15" s="17">
        <f t="shared" si="7"/>
        <v>9</v>
      </c>
      <c r="V15" s="17">
        <f t="shared" si="7"/>
        <v>12</v>
      </c>
      <c r="W15" s="17">
        <f t="shared" si="7"/>
        <v>1</v>
      </c>
      <c r="X15" s="17">
        <f t="shared" si="7"/>
        <v>5</v>
      </c>
      <c r="Y15" s="17">
        <f t="shared" si="7"/>
        <v>5</v>
      </c>
      <c r="Z15" s="17">
        <f t="shared" si="7"/>
        <v>0</v>
      </c>
      <c r="AA15" s="17">
        <f t="shared" si="7"/>
        <v>0</v>
      </c>
      <c r="AB15" s="17">
        <f t="shared" si="7"/>
        <v>1</v>
      </c>
      <c r="AC15" s="17">
        <f t="shared" si="7"/>
        <v>15</v>
      </c>
      <c r="AD15" s="17">
        <f t="shared" si="7"/>
        <v>0</v>
      </c>
      <c r="AE15" s="31">
        <f t="shared" si="7"/>
        <v>43</v>
      </c>
      <c r="AF15" s="31">
        <f t="shared" si="7"/>
        <v>58</v>
      </c>
    </row>
    <row r="16" spans="2:32" ht="23.1" customHeight="1" x14ac:dyDescent="0.25">
      <c r="B16" s="45" t="s">
        <v>43</v>
      </c>
      <c r="C16" s="51">
        <v>3</v>
      </c>
      <c r="D16" s="50">
        <v>2</v>
      </c>
      <c r="E16" s="51">
        <v>4</v>
      </c>
      <c r="F16" s="51">
        <v>1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0">
        <v>1</v>
      </c>
      <c r="M16" s="51">
        <v>2</v>
      </c>
      <c r="N16" s="50">
        <v>0</v>
      </c>
      <c r="O16" s="15">
        <f t="shared" si="0"/>
        <v>11</v>
      </c>
      <c r="P16" s="15">
        <f t="shared" si="1"/>
        <v>13</v>
      </c>
      <c r="R16" s="1" t="s">
        <v>12</v>
      </c>
      <c r="S16" s="17">
        <f t="shared" ref="S16:AF16" si="8">SUM(C34:C37)</f>
        <v>25</v>
      </c>
      <c r="T16" s="17">
        <f t="shared" si="8"/>
        <v>5</v>
      </c>
      <c r="U16" s="17">
        <f t="shared" si="8"/>
        <v>12</v>
      </c>
      <c r="V16" s="17">
        <f t="shared" si="8"/>
        <v>6</v>
      </c>
      <c r="W16" s="17">
        <f t="shared" si="8"/>
        <v>1</v>
      </c>
      <c r="X16" s="17">
        <f t="shared" si="8"/>
        <v>5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2</v>
      </c>
      <c r="AC16" s="17">
        <f t="shared" si="8"/>
        <v>12</v>
      </c>
      <c r="AD16" s="17">
        <f t="shared" si="8"/>
        <v>0</v>
      </c>
      <c r="AE16" s="31">
        <f t="shared" si="8"/>
        <v>59</v>
      </c>
      <c r="AF16" s="31">
        <f t="shared" si="8"/>
        <v>71</v>
      </c>
    </row>
    <row r="17" spans="2:32" ht="23.1" customHeight="1" x14ac:dyDescent="0.25">
      <c r="B17" s="45" t="s">
        <v>44</v>
      </c>
      <c r="C17" s="51">
        <v>0</v>
      </c>
      <c r="D17" s="50">
        <v>0</v>
      </c>
      <c r="E17" s="51">
        <v>1</v>
      </c>
      <c r="F17" s="51">
        <v>3</v>
      </c>
      <c r="G17" s="51">
        <v>0</v>
      </c>
      <c r="H17" s="51">
        <v>0</v>
      </c>
      <c r="I17" s="51">
        <v>1</v>
      </c>
      <c r="J17" s="51">
        <v>0</v>
      </c>
      <c r="K17" s="51">
        <v>0</v>
      </c>
      <c r="L17" s="50">
        <v>1</v>
      </c>
      <c r="M17" s="51">
        <v>2</v>
      </c>
      <c r="N17" s="50">
        <v>0</v>
      </c>
      <c r="O17" s="15">
        <f t="shared" si="0"/>
        <v>6</v>
      </c>
      <c r="P17" s="15">
        <f t="shared" si="1"/>
        <v>8</v>
      </c>
      <c r="R17" s="1" t="s">
        <v>13</v>
      </c>
      <c r="S17" s="17">
        <f t="shared" ref="S17:AF17" si="9">SUM(C38:C41)</f>
        <v>12</v>
      </c>
      <c r="T17" s="17">
        <f t="shared" si="9"/>
        <v>7</v>
      </c>
      <c r="U17" s="17">
        <f t="shared" si="9"/>
        <v>14</v>
      </c>
      <c r="V17" s="17">
        <f t="shared" si="9"/>
        <v>3</v>
      </c>
      <c r="W17" s="17">
        <f t="shared" si="9"/>
        <v>0</v>
      </c>
      <c r="X17" s="17">
        <f t="shared" si="9"/>
        <v>2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5</v>
      </c>
      <c r="AC17" s="17">
        <f t="shared" si="9"/>
        <v>22</v>
      </c>
      <c r="AD17" s="17">
        <f t="shared" si="9"/>
        <v>0</v>
      </c>
      <c r="AE17" s="31">
        <f t="shared" si="9"/>
        <v>48</v>
      </c>
      <c r="AF17" s="31">
        <f t="shared" si="9"/>
        <v>70</v>
      </c>
    </row>
    <row r="18" spans="2:32" ht="23.1" customHeight="1" x14ac:dyDescent="0.25">
      <c r="B18" s="45" t="s">
        <v>45</v>
      </c>
      <c r="C18" s="51">
        <v>1</v>
      </c>
      <c r="D18" s="50">
        <v>1</v>
      </c>
      <c r="E18" s="51">
        <v>2</v>
      </c>
      <c r="F18" s="51">
        <v>2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0">
        <v>0</v>
      </c>
      <c r="M18" s="51">
        <v>2</v>
      </c>
      <c r="N18" s="50">
        <v>0</v>
      </c>
      <c r="O18" s="15">
        <f t="shared" si="0"/>
        <v>6</v>
      </c>
      <c r="P18" s="15">
        <f t="shared" si="1"/>
        <v>8</v>
      </c>
      <c r="R18" s="1" t="s">
        <v>14</v>
      </c>
      <c r="S18" s="17">
        <f t="shared" ref="S18:AF18" si="10">SUM(C42:C45)</f>
        <v>12</v>
      </c>
      <c r="T18" s="17">
        <f t="shared" si="10"/>
        <v>11</v>
      </c>
      <c r="U18" s="17">
        <f t="shared" si="10"/>
        <v>21</v>
      </c>
      <c r="V18" s="17">
        <f t="shared" si="10"/>
        <v>9</v>
      </c>
      <c r="W18" s="17">
        <f t="shared" si="10"/>
        <v>0</v>
      </c>
      <c r="X18" s="17">
        <f t="shared" si="10"/>
        <v>5</v>
      </c>
      <c r="Y18" s="17">
        <f t="shared" si="10"/>
        <v>5</v>
      </c>
      <c r="Z18" s="17">
        <f t="shared" si="10"/>
        <v>0</v>
      </c>
      <c r="AA18" s="17">
        <f t="shared" si="10"/>
        <v>0</v>
      </c>
      <c r="AB18" s="17">
        <f t="shared" si="10"/>
        <v>4</v>
      </c>
      <c r="AC18" s="17">
        <f t="shared" si="10"/>
        <v>19</v>
      </c>
      <c r="AD18" s="17">
        <f t="shared" si="10"/>
        <v>0</v>
      </c>
      <c r="AE18" s="31">
        <f t="shared" si="10"/>
        <v>67</v>
      </c>
      <c r="AF18" s="31">
        <f t="shared" si="10"/>
        <v>86</v>
      </c>
    </row>
    <row r="19" spans="2:32" ht="23.1" customHeight="1" x14ac:dyDescent="0.25">
      <c r="B19" s="45" t="s">
        <v>46</v>
      </c>
      <c r="C19" s="51">
        <v>2</v>
      </c>
      <c r="D19" s="50">
        <v>0</v>
      </c>
      <c r="E19" s="51">
        <v>1</v>
      </c>
      <c r="F19" s="51">
        <v>2</v>
      </c>
      <c r="G19" s="51">
        <v>0</v>
      </c>
      <c r="H19" s="51">
        <v>0</v>
      </c>
      <c r="I19" s="51">
        <v>1</v>
      </c>
      <c r="J19" s="51">
        <v>1</v>
      </c>
      <c r="K19" s="51">
        <v>0</v>
      </c>
      <c r="L19" s="50">
        <v>0</v>
      </c>
      <c r="M19" s="51">
        <v>5</v>
      </c>
      <c r="N19" s="50">
        <v>0</v>
      </c>
      <c r="O19" s="15">
        <f t="shared" si="0"/>
        <v>7</v>
      </c>
      <c r="P19" s="15">
        <f t="shared" si="1"/>
        <v>12</v>
      </c>
      <c r="R19" s="1" t="s">
        <v>15</v>
      </c>
      <c r="S19" s="17">
        <f t="shared" ref="S19:AF19" si="11">SUM(C46:C49)</f>
        <v>10</v>
      </c>
      <c r="T19" s="17">
        <f t="shared" si="11"/>
        <v>4</v>
      </c>
      <c r="U19" s="17">
        <f t="shared" si="11"/>
        <v>13</v>
      </c>
      <c r="V19" s="17">
        <f t="shared" si="11"/>
        <v>5</v>
      </c>
      <c r="W19" s="17">
        <f t="shared" si="11"/>
        <v>0</v>
      </c>
      <c r="X19" s="17">
        <f t="shared" si="11"/>
        <v>5</v>
      </c>
      <c r="Y19" s="17">
        <f t="shared" si="11"/>
        <v>8</v>
      </c>
      <c r="Z19" s="17">
        <f t="shared" si="11"/>
        <v>0</v>
      </c>
      <c r="AA19" s="17">
        <f t="shared" si="11"/>
        <v>0</v>
      </c>
      <c r="AB19" s="17">
        <f t="shared" si="11"/>
        <v>5</v>
      </c>
      <c r="AC19" s="17">
        <f t="shared" si="11"/>
        <v>18</v>
      </c>
      <c r="AD19" s="17">
        <f t="shared" si="11"/>
        <v>0</v>
      </c>
      <c r="AE19" s="31">
        <f t="shared" si="11"/>
        <v>50</v>
      </c>
      <c r="AF19" s="31">
        <f t="shared" si="11"/>
        <v>68</v>
      </c>
    </row>
    <row r="20" spans="2:32" ht="23.1" customHeight="1" x14ac:dyDescent="0.25">
      <c r="B20" s="45" t="s">
        <v>47</v>
      </c>
      <c r="C20" s="51">
        <v>0</v>
      </c>
      <c r="D20" s="50">
        <v>0</v>
      </c>
      <c r="E20" s="51">
        <v>2</v>
      </c>
      <c r="F20" s="51">
        <v>0</v>
      </c>
      <c r="G20" s="51">
        <v>0</v>
      </c>
      <c r="H20" s="51">
        <v>0</v>
      </c>
      <c r="I20" s="51">
        <v>2</v>
      </c>
      <c r="J20" s="51">
        <v>0</v>
      </c>
      <c r="K20" s="51">
        <v>0</v>
      </c>
      <c r="L20" s="50">
        <v>0</v>
      </c>
      <c r="M20" s="51">
        <v>3</v>
      </c>
      <c r="N20" s="50">
        <v>0</v>
      </c>
      <c r="O20" s="15">
        <f t="shared" si="0"/>
        <v>4</v>
      </c>
      <c r="P20" s="15">
        <f t="shared" si="1"/>
        <v>7</v>
      </c>
      <c r="R20" s="1" t="s">
        <v>16</v>
      </c>
      <c r="S20" s="17">
        <f t="shared" ref="S20:AF20" si="12">SUM(C50:C53)</f>
        <v>11</v>
      </c>
      <c r="T20" s="17">
        <f t="shared" si="12"/>
        <v>8</v>
      </c>
      <c r="U20" s="17">
        <f t="shared" si="12"/>
        <v>15</v>
      </c>
      <c r="V20" s="17">
        <f t="shared" si="12"/>
        <v>9</v>
      </c>
      <c r="W20" s="17">
        <f t="shared" si="12"/>
        <v>0</v>
      </c>
      <c r="X20" s="17">
        <f t="shared" si="12"/>
        <v>7</v>
      </c>
      <c r="Y20" s="17">
        <f t="shared" si="12"/>
        <v>8</v>
      </c>
      <c r="Z20" s="17">
        <f t="shared" si="12"/>
        <v>1</v>
      </c>
      <c r="AA20" s="17">
        <f t="shared" si="12"/>
        <v>0</v>
      </c>
      <c r="AB20" s="17">
        <f t="shared" si="12"/>
        <v>6</v>
      </c>
      <c r="AC20" s="17">
        <f t="shared" si="12"/>
        <v>25</v>
      </c>
      <c r="AD20" s="17">
        <f t="shared" si="12"/>
        <v>0</v>
      </c>
      <c r="AE20" s="31">
        <f t="shared" si="12"/>
        <v>65</v>
      </c>
      <c r="AF20" s="31">
        <f t="shared" si="12"/>
        <v>90</v>
      </c>
    </row>
    <row r="21" spans="2:32" ht="23.1" customHeight="1" x14ac:dyDescent="0.25">
      <c r="B21" s="45" t="s">
        <v>48</v>
      </c>
      <c r="C21" s="51">
        <v>2</v>
      </c>
      <c r="D21" s="50">
        <v>0</v>
      </c>
      <c r="E21" s="51">
        <v>2</v>
      </c>
      <c r="F21" s="51">
        <v>3</v>
      </c>
      <c r="G21" s="51">
        <v>0</v>
      </c>
      <c r="H21" s="51">
        <v>0</v>
      </c>
      <c r="I21" s="51">
        <v>1</v>
      </c>
      <c r="J21" s="51">
        <v>0</v>
      </c>
      <c r="K21" s="51">
        <v>0</v>
      </c>
      <c r="L21" s="50">
        <v>0</v>
      </c>
      <c r="M21" s="51">
        <v>3</v>
      </c>
      <c r="N21" s="50">
        <v>0</v>
      </c>
      <c r="O21" s="15">
        <f t="shared" si="0"/>
        <v>8</v>
      </c>
      <c r="P21" s="15">
        <f t="shared" si="1"/>
        <v>11</v>
      </c>
      <c r="R21" s="36" t="s">
        <v>20</v>
      </c>
      <c r="S21" s="34">
        <f t="shared" ref="S21:AF21" si="13">SUM(C54:C57)</f>
        <v>15</v>
      </c>
      <c r="T21" s="17">
        <f t="shared" si="13"/>
        <v>9</v>
      </c>
      <c r="U21" s="17">
        <f t="shared" si="13"/>
        <v>20</v>
      </c>
      <c r="V21" s="17">
        <f t="shared" si="13"/>
        <v>12</v>
      </c>
      <c r="W21" s="17">
        <f t="shared" si="13"/>
        <v>1</v>
      </c>
      <c r="X21" s="17">
        <f t="shared" si="13"/>
        <v>6</v>
      </c>
      <c r="Y21" s="17">
        <f t="shared" si="13"/>
        <v>7</v>
      </c>
      <c r="Z21" s="17">
        <f t="shared" si="13"/>
        <v>4</v>
      </c>
      <c r="AA21" s="17">
        <f t="shared" si="13"/>
        <v>3</v>
      </c>
      <c r="AB21" s="17">
        <f t="shared" si="13"/>
        <v>13</v>
      </c>
      <c r="AC21" s="17">
        <f t="shared" si="13"/>
        <v>27</v>
      </c>
      <c r="AD21" s="17">
        <f t="shared" si="13"/>
        <v>0</v>
      </c>
      <c r="AE21" s="31">
        <f t="shared" si="13"/>
        <v>90</v>
      </c>
      <c r="AF21" s="31">
        <f t="shared" si="13"/>
        <v>117</v>
      </c>
    </row>
    <row r="22" spans="2:32" ht="23.1" customHeight="1" x14ac:dyDescent="0.25">
      <c r="B22" s="45" t="s">
        <v>49</v>
      </c>
      <c r="C22" s="51">
        <v>1</v>
      </c>
      <c r="D22" s="50">
        <v>0</v>
      </c>
      <c r="E22" s="51">
        <v>2</v>
      </c>
      <c r="F22" s="51">
        <v>1</v>
      </c>
      <c r="G22" s="51">
        <v>0</v>
      </c>
      <c r="H22" s="51">
        <v>1</v>
      </c>
      <c r="I22" s="51">
        <v>1</v>
      </c>
      <c r="J22" s="51">
        <v>0</v>
      </c>
      <c r="K22" s="51">
        <v>0</v>
      </c>
      <c r="L22" s="50">
        <v>0</v>
      </c>
      <c r="M22" s="51">
        <v>6</v>
      </c>
      <c r="N22" s="50">
        <v>0</v>
      </c>
      <c r="O22" s="15">
        <f t="shared" si="0"/>
        <v>6</v>
      </c>
      <c r="P22" s="15">
        <f t="shared" si="1"/>
        <v>12</v>
      </c>
      <c r="R22" s="36" t="s">
        <v>146</v>
      </c>
      <c r="S22" s="34">
        <f>SUM(C58:C61)</f>
        <v>13</v>
      </c>
      <c r="T22" s="34">
        <f t="shared" ref="T22:AF22" si="14">SUM(D58:D61)</f>
        <v>7</v>
      </c>
      <c r="U22" s="34">
        <f t="shared" si="14"/>
        <v>16</v>
      </c>
      <c r="V22" s="34">
        <f t="shared" si="14"/>
        <v>4</v>
      </c>
      <c r="W22" s="34">
        <f t="shared" si="14"/>
        <v>0</v>
      </c>
      <c r="X22" s="34">
        <f t="shared" si="14"/>
        <v>5</v>
      </c>
      <c r="Y22" s="34">
        <f t="shared" si="14"/>
        <v>6</v>
      </c>
      <c r="Z22" s="34">
        <f t="shared" si="14"/>
        <v>0</v>
      </c>
      <c r="AA22" s="34">
        <f t="shared" si="14"/>
        <v>0</v>
      </c>
      <c r="AB22" s="34">
        <f t="shared" si="14"/>
        <v>11</v>
      </c>
      <c r="AC22" s="34">
        <f t="shared" si="14"/>
        <v>23</v>
      </c>
      <c r="AD22" s="34">
        <f t="shared" si="14"/>
        <v>0</v>
      </c>
      <c r="AE22" s="31">
        <f t="shared" si="14"/>
        <v>62</v>
      </c>
      <c r="AF22" s="31">
        <f t="shared" si="14"/>
        <v>85</v>
      </c>
    </row>
    <row r="23" spans="2:32" ht="23.1" customHeight="1" x14ac:dyDescent="0.25">
      <c r="B23" s="45" t="s">
        <v>50</v>
      </c>
      <c r="C23" s="51">
        <v>0</v>
      </c>
      <c r="D23" s="50">
        <v>2</v>
      </c>
      <c r="E23" s="51">
        <v>4</v>
      </c>
      <c r="F23" s="51">
        <v>3</v>
      </c>
      <c r="G23" s="51">
        <v>0</v>
      </c>
      <c r="H23" s="51">
        <v>0</v>
      </c>
      <c r="I23" s="51">
        <v>5</v>
      </c>
      <c r="J23" s="51">
        <v>0</v>
      </c>
      <c r="K23" s="51">
        <v>0</v>
      </c>
      <c r="L23" s="50">
        <v>0</v>
      </c>
      <c r="M23" s="51">
        <v>5</v>
      </c>
      <c r="N23" s="50">
        <v>0</v>
      </c>
      <c r="O23" s="15">
        <f t="shared" si="0"/>
        <v>14</v>
      </c>
      <c r="P23" s="15">
        <f t="shared" si="1"/>
        <v>19</v>
      </c>
      <c r="R23" s="36" t="s">
        <v>147</v>
      </c>
      <c r="S23" s="34">
        <f>SUM(C62:C65)</f>
        <v>9</v>
      </c>
      <c r="T23" s="34">
        <f t="shared" ref="T23:AF23" si="15">SUM(D62:D65)</f>
        <v>4</v>
      </c>
      <c r="U23" s="34">
        <f t="shared" si="15"/>
        <v>11</v>
      </c>
      <c r="V23" s="34">
        <f t="shared" si="15"/>
        <v>3</v>
      </c>
      <c r="W23" s="34">
        <f t="shared" si="15"/>
        <v>0</v>
      </c>
      <c r="X23" s="34">
        <f t="shared" si="15"/>
        <v>1</v>
      </c>
      <c r="Y23" s="34">
        <f t="shared" si="15"/>
        <v>5</v>
      </c>
      <c r="Z23" s="34">
        <f t="shared" si="15"/>
        <v>0</v>
      </c>
      <c r="AA23" s="34">
        <f t="shared" si="15"/>
        <v>0</v>
      </c>
      <c r="AB23" s="34">
        <f t="shared" si="15"/>
        <v>5</v>
      </c>
      <c r="AC23" s="34">
        <f t="shared" si="15"/>
        <v>15</v>
      </c>
      <c r="AD23" s="34">
        <f t="shared" si="15"/>
        <v>0</v>
      </c>
      <c r="AE23" s="31">
        <f t="shared" si="15"/>
        <v>38</v>
      </c>
      <c r="AF23" s="31">
        <f t="shared" si="15"/>
        <v>53</v>
      </c>
    </row>
    <row r="24" spans="2:32" ht="23.1" customHeight="1" x14ac:dyDescent="0.25">
      <c r="B24" s="45" t="s">
        <v>51</v>
      </c>
      <c r="C24" s="51">
        <v>2</v>
      </c>
      <c r="D24" s="50">
        <v>2</v>
      </c>
      <c r="E24" s="51">
        <v>5</v>
      </c>
      <c r="F24" s="51">
        <v>3</v>
      </c>
      <c r="G24" s="51">
        <v>0</v>
      </c>
      <c r="H24" s="51">
        <v>1</v>
      </c>
      <c r="I24" s="51">
        <v>1</v>
      </c>
      <c r="J24" s="51">
        <v>0</v>
      </c>
      <c r="K24" s="51">
        <v>0</v>
      </c>
      <c r="L24" s="50">
        <v>0</v>
      </c>
      <c r="M24" s="51">
        <v>7</v>
      </c>
      <c r="N24" s="50">
        <v>0</v>
      </c>
      <c r="O24" s="15">
        <f t="shared" si="0"/>
        <v>14</v>
      </c>
      <c r="P24" s="15">
        <f t="shared" si="1"/>
        <v>21</v>
      </c>
      <c r="R24" s="36" t="s">
        <v>148</v>
      </c>
      <c r="S24" s="34">
        <f>SUM(C66:C69)</f>
        <v>5</v>
      </c>
      <c r="T24" s="34">
        <f t="shared" ref="T24:AF24" si="16">SUM(D66:D69)</f>
        <v>1</v>
      </c>
      <c r="U24" s="34">
        <f t="shared" si="16"/>
        <v>9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0</v>
      </c>
      <c r="AB24" s="34">
        <f t="shared" si="16"/>
        <v>3</v>
      </c>
      <c r="AC24" s="34">
        <f t="shared" si="16"/>
        <v>10</v>
      </c>
      <c r="AD24" s="34">
        <f t="shared" si="16"/>
        <v>0</v>
      </c>
      <c r="AE24" s="31">
        <f t="shared" si="16"/>
        <v>21</v>
      </c>
      <c r="AF24" s="31">
        <f t="shared" si="16"/>
        <v>31</v>
      </c>
    </row>
    <row r="25" spans="2:32" ht="23.1" customHeight="1" x14ac:dyDescent="0.25">
      <c r="B25" s="45" t="s">
        <v>52</v>
      </c>
      <c r="C25" s="51">
        <v>0</v>
      </c>
      <c r="D25" s="50">
        <v>3</v>
      </c>
      <c r="E25" s="51">
        <v>5</v>
      </c>
      <c r="F25" s="51">
        <v>1</v>
      </c>
      <c r="G25" s="51">
        <v>0</v>
      </c>
      <c r="H25" s="51">
        <v>1</v>
      </c>
      <c r="I25" s="51">
        <v>3</v>
      </c>
      <c r="J25" s="51">
        <v>0</v>
      </c>
      <c r="K25" s="51">
        <v>1</v>
      </c>
      <c r="L25" s="50">
        <v>0</v>
      </c>
      <c r="M25" s="51">
        <v>1</v>
      </c>
      <c r="N25" s="50">
        <v>0</v>
      </c>
      <c r="O25" s="15">
        <f t="shared" si="0"/>
        <v>14</v>
      </c>
      <c r="P25" s="15">
        <f t="shared" si="1"/>
        <v>15</v>
      </c>
      <c r="R25" s="36" t="s">
        <v>149</v>
      </c>
      <c r="S25" s="34">
        <f>SUM(C70:C73)</f>
        <v>3</v>
      </c>
      <c r="T25" s="34">
        <f t="shared" ref="T25:AF25" si="17">SUM(D70:D73)</f>
        <v>0</v>
      </c>
      <c r="U25" s="34">
        <f t="shared" si="17"/>
        <v>4</v>
      </c>
      <c r="V25" s="34">
        <f t="shared" si="17"/>
        <v>0</v>
      </c>
      <c r="W25" s="34">
        <f t="shared" si="17"/>
        <v>0</v>
      </c>
      <c r="X25" s="34">
        <f t="shared" si="17"/>
        <v>4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1</v>
      </c>
      <c r="AC25" s="34">
        <f t="shared" si="17"/>
        <v>4</v>
      </c>
      <c r="AD25" s="34">
        <f t="shared" si="17"/>
        <v>0</v>
      </c>
      <c r="AE25" s="31">
        <f t="shared" si="17"/>
        <v>13</v>
      </c>
      <c r="AF25" s="31">
        <f t="shared" si="17"/>
        <v>17</v>
      </c>
    </row>
    <row r="26" spans="2:32" ht="23.1" customHeight="1" x14ac:dyDescent="0.25">
      <c r="B26" s="45" t="s">
        <v>53</v>
      </c>
      <c r="C26" s="51">
        <v>5</v>
      </c>
      <c r="D26" s="50">
        <v>0</v>
      </c>
      <c r="E26" s="51">
        <v>2</v>
      </c>
      <c r="F26" s="51">
        <v>2</v>
      </c>
      <c r="G26" s="51">
        <v>0</v>
      </c>
      <c r="H26" s="51">
        <v>1</v>
      </c>
      <c r="I26" s="51">
        <v>2</v>
      </c>
      <c r="J26" s="51">
        <v>0</v>
      </c>
      <c r="K26" s="51">
        <v>0</v>
      </c>
      <c r="L26" s="50">
        <v>1</v>
      </c>
      <c r="M26" s="51">
        <v>3</v>
      </c>
      <c r="N26" s="50">
        <v>0</v>
      </c>
      <c r="O26" s="15">
        <f t="shared" si="0"/>
        <v>13</v>
      </c>
      <c r="P26" s="15">
        <f t="shared" si="1"/>
        <v>16</v>
      </c>
      <c r="R26" s="36" t="s">
        <v>150</v>
      </c>
      <c r="S26" s="34">
        <f>SUM(C74:C77)</f>
        <v>2</v>
      </c>
      <c r="T26" s="34">
        <f t="shared" ref="T26:AF26" si="18">SUM(D74:D77)</f>
        <v>0</v>
      </c>
      <c r="U26" s="34">
        <f t="shared" si="18"/>
        <v>3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1</v>
      </c>
      <c r="AC26" s="34">
        <f t="shared" si="18"/>
        <v>3</v>
      </c>
      <c r="AD26" s="34">
        <f t="shared" si="18"/>
        <v>0</v>
      </c>
      <c r="AE26" s="31">
        <f t="shared" si="18"/>
        <v>6</v>
      </c>
      <c r="AF26" s="31">
        <f t="shared" si="18"/>
        <v>9</v>
      </c>
    </row>
    <row r="27" spans="2:32" ht="23.1" customHeight="1" x14ac:dyDescent="0.25">
      <c r="B27" s="45" t="s">
        <v>54</v>
      </c>
      <c r="C27" s="51">
        <v>4</v>
      </c>
      <c r="D27" s="50">
        <v>1</v>
      </c>
      <c r="E27" s="51">
        <v>2</v>
      </c>
      <c r="F27" s="51">
        <v>2</v>
      </c>
      <c r="G27" s="51">
        <v>0</v>
      </c>
      <c r="H27" s="51">
        <v>1</v>
      </c>
      <c r="I27" s="51">
        <v>1</v>
      </c>
      <c r="J27" s="51">
        <v>0</v>
      </c>
      <c r="K27" s="51">
        <v>1</v>
      </c>
      <c r="L27" s="50">
        <v>5</v>
      </c>
      <c r="M27" s="51">
        <v>4</v>
      </c>
      <c r="N27" s="50">
        <v>0</v>
      </c>
      <c r="O27" s="15">
        <f t="shared" si="0"/>
        <v>17</v>
      </c>
      <c r="P27" s="15">
        <f t="shared" si="1"/>
        <v>21</v>
      </c>
      <c r="R27" s="36" t="s">
        <v>151</v>
      </c>
      <c r="S27" s="34">
        <f>SUM(C78:C81)</f>
        <v>2</v>
      </c>
      <c r="T27" s="34">
        <f t="shared" ref="T27:AF27" si="19">SUM(D78:D81)</f>
        <v>0</v>
      </c>
      <c r="U27" s="34">
        <f t="shared" si="19"/>
        <v>5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2</v>
      </c>
      <c r="AC27" s="34">
        <f t="shared" si="19"/>
        <v>5</v>
      </c>
      <c r="AD27" s="34">
        <f t="shared" si="19"/>
        <v>0</v>
      </c>
      <c r="AE27" s="31">
        <f t="shared" si="19"/>
        <v>10</v>
      </c>
      <c r="AF27" s="31">
        <f t="shared" si="19"/>
        <v>15</v>
      </c>
    </row>
    <row r="28" spans="2:32" ht="23.1" customHeight="1" x14ac:dyDescent="0.25">
      <c r="B28" s="45" t="s">
        <v>55</v>
      </c>
      <c r="C28" s="51">
        <v>2</v>
      </c>
      <c r="D28" s="50">
        <v>0</v>
      </c>
      <c r="E28" s="51">
        <v>1</v>
      </c>
      <c r="F28" s="51">
        <v>2</v>
      </c>
      <c r="G28" s="51">
        <v>0</v>
      </c>
      <c r="H28" s="51">
        <v>0</v>
      </c>
      <c r="I28" s="51">
        <v>1</v>
      </c>
      <c r="J28" s="51">
        <v>0</v>
      </c>
      <c r="K28" s="51">
        <v>0</v>
      </c>
      <c r="L28" s="50">
        <v>1</v>
      </c>
      <c r="M28" s="51">
        <v>3</v>
      </c>
      <c r="N28" s="50">
        <v>0</v>
      </c>
      <c r="O28" s="15">
        <f t="shared" si="0"/>
        <v>7</v>
      </c>
      <c r="P28" s="15">
        <f t="shared" si="1"/>
        <v>10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2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4</v>
      </c>
      <c r="AF28" s="31">
        <f t="shared" si="20"/>
        <v>5</v>
      </c>
    </row>
    <row r="29" spans="2:32" ht="23.1" customHeight="1" x14ac:dyDescent="0.25">
      <c r="B29" s="45" t="s">
        <v>56</v>
      </c>
      <c r="C29" s="51">
        <v>1</v>
      </c>
      <c r="D29" s="50">
        <v>2</v>
      </c>
      <c r="E29" s="51">
        <v>4</v>
      </c>
      <c r="F29" s="51">
        <v>3</v>
      </c>
      <c r="G29" s="51">
        <v>0</v>
      </c>
      <c r="H29" s="51">
        <v>0</v>
      </c>
      <c r="I29" s="51">
        <v>2</v>
      </c>
      <c r="J29" s="51">
        <v>0</v>
      </c>
      <c r="K29" s="51">
        <v>1</v>
      </c>
      <c r="L29" s="50">
        <v>0</v>
      </c>
      <c r="M29" s="51">
        <v>5</v>
      </c>
      <c r="N29" s="50">
        <v>0</v>
      </c>
      <c r="O29" s="15">
        <f t="shared" si="0"/>
        <v>13</v>
      </c>
      <c r="P29" s="15">
        <f t="shared" si="1"/>
        <v>18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5</v>
      </c>
      <c r="V29" s="34">
        <f t="shared" si="21"/>
        <v>0</v>
      </c>
      <c r="W29" s="34">
        <f t="shared" si="21"/>
        <v>0</v>
      </c>
      <c r="X29" s="34">
        <f t="shared" si="21"/>
        <v>5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1</v>
      </c>
      <c r="AC29" s="34">
        <f t="shared" si="21"/>
        <v>5</v>
      </c>
      <c r="AD29" s="34">
        <f t="shared" si="21"/>
        <v>0</v>
      </c>
      <c r="AE29" s="31">
        <f t="shared" si="21"/>
        <v>13</v>
      </c>
      <c r="AF29" s="31">
        <f t="shared" si="21"/>
        <v>18</v>
      </c>
    </row>
    <row r="30" spans="2:32" ht="23.1" customHeight="1" x14ac:dyDescent="0.25">
      <c r="B30" s="45" t="s">
        <v>57</v>
      </c>
      <c r="C30" s="51">
        <v>4</v>
      </c>
      <c r="D30" s="50">
        <v>2</v>
      </c>
      <c r="E30" s="51">
        <v>3</v>
      </c>
      <c r="F30" s="51">
        <v>6</v>
      </c>
      <c r="G30" s="51">
        <v>0</v>
      </c>
      <c r="H30" s="51">
        <v>2</v>
      </c>
      <c r="I30" s="51">
        <v>3</v>
      </c>
      <c r="J30" s="51">
        <v>0</v>
      </c>
      <c r="K30" s="51">
        <v>0</v>
      </c>
      <c r="L30" s="50">
        <v>1</v>
      </c>
      <c r="M30" s="51">
        <v>5</v>
      </c>
      <c r="N30" s="50">
        <v>0</v>
      </c>
      <c r="O30" s="15">
        <f t="shared" si="0"/>
        <v>21</v>
      </c>
      <c r="P30" s="15">
        <f t="shared" si="1"/>
        <v>26</v>
      </c>
      <c r="R30" s="36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4</v>
      </c>
      <c r="V30" s="34">
        <f t="shared" si="22"/>
        <v>0</v>
      </c>
      <c r="W30" s="34">
        <f t="shared" si="22"/>
        <v>0</v>
      </c>
      <c r="X30" s="34">
        <f t="shared" si="22"/>
        <v>6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2</v>
      </c>
      <c r="AC30" s="34">
        <f t="shared" si="22"/>
        <v>6</v>
      </c>
      <c r="AD30" s="34">
        <f t="shared" si="22"/>
        <v>0</v>
      </c>
      <c r="AE30" s="31">
        <f t="shared" si="22"/>
        <v>15</v>
      </c>
      <c r="AF30" s="31">
        <f t="shared" si="22"/>
        <v>21</v>
      </c>
    </row>
    <row r="31" spans="2:32" ht="23.1" customHeight="1" x14ac:dyDescent="0.25">
      <c r="B31" s="46" t="s">
        <v>58</v>
      </c>
      <c r="C31" s="51">
        <v>1</v>
      </c>
      <c r="D31" s="50">
        <v>1</v>
      </c>
      <c r="E31" s="51">
        <v>3</v>
      </c>
      <c r="F31" s="51">
        <v>4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0">
        <v>0</v>
      </c>
      <c r="M31" s="51">
        <v>5</v>
      </c>
      <c r="N31" s="50">
        <v>0</v>
      </c>
      <c r="O31" s="15">
        <f t="shared" si="0"/>
        <v>9</v>
      </c>
      <c r="P31" s="15">
        <f t="shared" si="1"/>
        <v>14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4</v>
      </c>
      <c r="V31" s="34">
        <f t="shared" si="23"/>
        <v>0</v>
      </c>
      <c r="W31" s="34">
        <f t="shared" si="23"/>
        <v>0</v>
      </c>
      <c r="X31" s="34">
        <f t="shared" si="23"/>
        <v>6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1</v>
      </c>
      <c r="AC31" s="34">
        <f t="shared" si="23"/>
        <v>4</v>
      </c>
      <c r="AD31" s="34">
        <f t="shared" si="23"/>
        <v>0</v>
      </c>
      <c r="AE31" s="31">
        <f t="shared" si="23"/>
        <v>14</v>
      </c>
      <c r="AF31" s="31">
        <f t="shared" si="23"/>
        <v>18</v>
      </c>
    </row>
    <row r="32" spans="2:32" ht="23.1" customHeight="1" x14ac:dyDescent="0.25">
      <c r="B32" s="46" t="s">
        <v>59</v>
      </c>
      <c r="C32" s="51">
        <v>1</v>
      </c>
      <c r="D32" s="50">
        <v>0</v>
      </c>
      <c r="E32" s="51">
        <v>2</v>
      </c>
      <c r="F32" s="51">
        <v>0</v>
      </c>
      <c r="G32" s="51">
        <v>1</v>
      </c>
      <c r="H32" s="51">
        <v>1</v>
      </c>
      <c r="I32" s="51">
        <v>2</v>
      </c>
      <c r="J32" s="51">
        <v>0</v>
      </c>
      <c r="K32" s="51">
        <v>0</v>
      </c>
      <c r="L32" s="50">
        <v>0</v>
      </c>
      <c r="M32" s="51">
        <v>1</v>
      </c>
      <c r="N32" s="50">
        <v>0</v>
      </c>
      <c r="O32" s="15">
        <f t="shared" si="0"/>
        <v>7</v>
      </c>
      <c r="P32" s="15">
        <f t="shared" si="1"/>
        <v>8</v>
      </c>
      <c r="R32" s="33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5</v>
      </c>
      <c r="V32" s="34">
        <f t="shared" si="24"/>
        <v>0</v>
      </c>
      <c r="W32" s="34">
        <f t="shared" si="24"/>
        <v>0</v>
      </c>
      <c r="X32" s="34">
        <f t="shared" si="24"/>
        <v>3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1</v>
      </c>
      <c r="AC32" s="34">
        <f t="shared" si="24"/>
        <v>5</v>
      </c>
      <c r="AD32" s="34">
        <f t="shared" si="24"/>
        <v>0</v>
      </c>
      <c r="AE32" s="31">
        <f t="shared" si="24"/>
        <v>11</v>
      </c>
      <c r="AF32" s="31">
        <f t="shared" si="24"/>
        <v>16</v>
      </c>
    </row>
    <row r="33" spans="2:32" ht="23.1" customHeight="1" x14ac:dyDescent="0.25">
      <c r="B33" s="45" t="s">
        <v>60</v>
      </c>
      <c r="C33" s="51">
        <v>1</v>
      </c>
      <c r="D33" s="50">
        <v>0</v>
      </c>
      <c r="E33" s="51">
        <v>1</v>
      </c>
      <c r="F33" s="51">
        <v>2</v>
      </c>
      <c r="G33" s="51">
        <v>0</v>
      </c>
      <c r="H33" s="51">
        <v>2</v>
      </c>
      <c r="I33" s="51">
        <v>0</v>
      </c>
      <c r="J33" s="51">
        <v>0</v>
      </c>
      <c r="K33" s="51">
        <v>0</v>
      </c>
      <c r="L33" s="50">
        <v>0</v>
      </c>
      <c r="M33" s="51">
        <v>4</v>
      </c>
      <c r="N33" s="50">
        <v>0</v>
      </c>
      <c r="O33" s="15">
        <f t="shared" si="0"/>
        <v>6</v>
      </c>
      <c r="P33" s="15">
        <f t="shared" si="1"/>
        <v>10</v>
      </c>
      <c r="R33" s="33" t="s">
        <v>157</v>
      </c>
      <c r="S33" s="34">
        <f>SUM(C102:C105)</f>
        <v>4</v>
      </c>
      <c r="T33" s="34">
        <f t="shared" ref="T33:AF33" si="25">SUM(D102:D105)</f>
        <v>1</v>
      </c>
      <c r="U33" s="34">
        <f t="shared" si="25"/>
        <v>4</v>
      </c>
      <c r="V33" s="34">
        <f t="shared" si="25"/>
        <v>1</v>
      </c>
      <c r="W33" s="34">
        <f t="shared" si="25"/>
        <v>0</v>
      </c>
      <c r="X33" s="34">
        <f t="shared" si="25"/>
        <v>1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1</v>
      </c>
      <c r="AC33" s="34">
        <f t="shared" si="25"/>
        <v>5</v>
      </c>
      <c r="AD33" s="34">
        <f t="shared" si="25"/>
        <v>0</v>
      </c>
      <c r="AE33" s="31">
        <f t="shared" si="25"/>
        <v>13</v>
      </c>
      <c r="AF33" s="31">
        <f t="shared" si="25"/>
        <v>18</v>
      </c>
    </row>
    <row r="34" spans="2:32" ht="23.1" customHeight="1" x14ac:dyDescent="0.25">
      <c r="B34" s="46" t="s">
        <v>61</v>
      </c>
      <c r="C34" s="51">
        <v>6</v>
      </c>
      <c r="D34" s="50">
        <v>2</v>
      </c>
      <c r="E34" s="51">
        <v>5</v>
      </c>
      <c r="F34" s="51">
        <v>2</v>
      </c>
      <c r="G34" s="51">
        <v>0</v>
      </c>
      <c r="H34" s="51">
        <v>0</v>
      </c>
      <c r="I34" s="51">
        <v>2</v>
      </c>
      <c r="J34" s="51">
        <v>0</v>
      </c>
      <c r="K34" s="51">
        <v>0</v>
      </c>
      <c r="L34" s="50">
        <v>1</v>
      </c>
      <c r="M34" s="51">
        <v>1</v>
      </c>
      <c r="N34" s="50">
        <v>0</v>
      </c>
      <c r="O34" s="15">
        <f t="shared" si="0"/>
        <v>18</v>
      </c>
      <c r="P34" s="15">
        <f t="shared" si="1"/>
        <v>19</v>
      </c>
      <c r="R34" s="38" t="s">
        <v>90</v>
      </c>
      <c r="S34" s="39">
        <f t="shared" ref="S34:AF34" si="26">MAX(S10:S12)</f>
        <v>7</v>
      </c>
      <c r="T34" s="39">
        <f t="shared" si="26"/>
        <v>4</v>
      </c>
      <c r="U34" s="39">
        <f t="shared" si="26"/>
        <v>9</v>
      </c>
      <c r="V34" s="39">
        <f t="shared" si="26"/>
        <v>7</v>
      </c>
      <c r="W34" s="39">
        <f t="shared" si="26"/>
        <v>0</v>
      </c>
      <c r="X34" s="39">
        <f t="shared" si="26"/>
        <v>0</v>
      </c>
      <c r="Y34" s="39">
        <f t="shared" si="26"/>
        <v>9</v>
      </c>
      <c r="Z34" s="39">
        <f t="shared" si="26"/>
        <v>1</v>
      </c>
      <c r="AA34" s="39">
        <f t="shared" si="26"/>
        <v>0</v>
      </c>
      <c r="AB34" s="39">
        <f t="shared" si="26"/>
        <v>11</v>
      </c>
      <c r="AC34" s="39">
        <f t="shared" si="26"/>
        <v>13</v>
      </c>
      <c r="AD34" s="39">
        <f t="shared" si="26"/>
        <v>0</v>
      </c>
      <c r="AE34" s="40">
        <f t="shared" si="26"/>
        <v>34</v>
      </c>
      <c r="AF34" s="40">
        <f t="shared" si="26"/>
        <v>45</v>
      </c>
    </row>
    <row r="35" spans="2:32" ht="23.1" customHeight="1" x14ac:dyDescent="0.25">
      <c r="B35" s="46" t="s">
        <v>62</v>
      </c>
      <c r="C35" s="51">
        <v>5</v>
      </c>
      <c r="D35" s="50">
        <v>1</v>
      </c>
      <c r="E35" s="51">
        <v>3</v>
      </c>
      <c r="F35" s="51">
        <v>3</v>
      </c>
      <c r="G35" s="51">
        <v>0</v>
      </c>
      <c r="H35" s="51">
        <v>1</v>
      </c>
      <c r="I35" s="51">
        <v>0</v>
      </c>
      <c r="J35" s="51">
        <v>0</v>
      </c>
      <c r="K35" s="51">
        <v>0</v>
      </c>
      <c r="L35" s="50">
        <v>1</v>
      </c>
      <c r="M35" s="51">
        <v>6</v>
      </c>
      <c r="N35" s="50">
        <v>0</v>
      </c>
      <c r="O35" s="15">
        <f t="shared" si="0"/>
        <v>14</v>
      </c>
      <c r="P35" s="15">
        <f t="shared" si="1"/>
        <v>20</v>
      </c>
      <c r="R35" s="38" t="s">
        <v>91</v>
      </c>
      <c r="S35" s="39">
        <f t="shared" ref="S35:AF35" si="27">MAX(S13:S18)</f>
        <v>25</v>
      </c>
      <c r="T35" s="39">
        <f t="shared" si="27"/>
        <v>11</v>
      </c>
      <c r="U35" s="39">
        <f t="shared" si="27"/>
        <v>21</v>
      </c>
      <c r="V35" s="39">
        <f t="shared" si="27"/>
        <v>12</v>
      </c>
      <c r="W35" s="39">
        <f t="shared" si="27"/>
        <v>1</v>
      </c>
      <c r="X35" s="39">
        <f t="shared" si="27"/>
        <v>5</v>
      </c>
      <c r="Y35" s="39">
        <f t="shared" si="27"/>
        <v>10</v>
      </c>
      <c r="Z35" s="39">
        <f t="shared" si="27"/>
        <v>0</v>
      </c>
      <c r="AA35" s="39">
        <f t="shared" si="27"/>
        <v>2</v>
      </c>
      <c r="AB35" s="39">
        <f t="shared" si="27"/>
        <v>7</v>
      </c>
      <c r="AC35" s="39">
        <f t="shared" si="27"/>
        <v>22</v>
      </c>
      <c r="AD35" s="39">
        <f t="shared" si="27"/>
        <v>0</v>
      </c>
      <c r="AE35" s="40">
        <f t="shared" si="27"/>
        <v>67</v>
      </c>
      <c r="AF35" s="40">
        <f t="shared" si="27"/>
        <v>86</v>
      </c>
    </row>
    <row r="36" spans="2:32" ht="23.1" customHeight="1" x14ac:dyDescent="0.25">
      <c r="B36" s="46" t="s">
        <v>63</v>
      </c>
      <c r="C36" s="51">
        <v>5</v>
      </c>
      <c r="D36" s="50">
        <v>1</v>
      </c>
      <c r="E36" s="51">
        <v>2</v>
      </c>
      <c r="F36" s="51">
        <v>0</v>
      </c>
      <c r="G36" s="51">
        <v>0</v>
      </c>
      <c r="H36" s="51">
        <v>3</v>
      </c>
      <c r="I36" s="51">
        <v>0</v>
      </c>
      <c r="J36" s="51">
        <v>0</v>
      </c>
      <c r="K36" s="51">
        <v>0</v>
      </c>
      <c r="L36" s="50">
        <v>0</v>
      </c>
      <c r="M36" s="51">
        <v>2</v>
      </c>
      <c r="N36" s="50">
        <v>0</v>
      </c>
      <c r="O36" s="15">
        <f t="shared" si="0"/>
        <v>11</v>
      </c>
      <c r="P36" s="15">
        <f t="shared" si="1"/>
        <v>13</v>
      </c>
      <c r="R36" s="38" t="s">
        <v>92</v>
      </c>
      <c r="S36" s="39">
        <f t="shared" ref="S36:AF36" si="28">MAX(S19:S21)</f>
        <v>15</v>
      </c>
      <c r="T36" s="39">
        <f t="shared" si="28"/>
        <v>9</v>
      </c>
      <c r="U36" s="39">
        <f t="shared" si="28"/>
        <v>20</v>
      </c>
      <c r="V36" s="39">
        <f t="shared" si="28"/>
        <v>12</v>
      </c>
      <c r="W36" s="39">
        <f t="shared" si="28"/>
        <v>1</v>
      </c>
      <c r="X36" s="39">
        <f t="shared" si="28"/>
        <v>7</v>
      </c>
      <c r="Y36" s="39">
        <f t="shared" si="28"/>
        <v>8</v>
      </c>
      <c r="Z36" s="39">
        <f t="shared" si="28"/>
        <v>4</v>
      </c>
      <c r="AA36" s="39">
        <f t="shared" si="28"/>
        <v>3</v>
      </c>
      <c r="AB36" s="39">
        <f t="shared" si="28"/>
        <v>13</v>
      </c>
      <c r="AC36" s="39">
        <f t="shared" si="28"/>
        <v>27</v>
      </c>
      <c r="AD36" s="39">
        <f t="shared" si="28"/>
        <v>0</v>
      </c>
      <c r="AE36" s="40">
        <f t="shared" si="28"/>
        <v>90</v>
      </c>
      <c r="AF36" s="40">
        <f t="shared" si="28"/>
        <v>117</v>
      </c>
    </row>
    <row r="37" spans="2:32" ht="23.1" customHeight="1" x14ac:dyDescent="0.25">
      <c r="B37" s="45" t="s">
        <v>64</v>
      </c>
      <c r="C37" s="51">
        <v>9</v>
      </c>
      <c r="D37" s="50">
        <v>1</v>
      </c>
      <c r="E37" s="51">
        <v>2</v>
      </c>
      <c r="F37" s="51">
        <v>1</v>
      </c>
      <c r="G37" s="51">
        <v>1</v>
      </c>
      <c r="H37" s="51">
        <v>1</v>
      </c>
      <c r="I37" s="51">
        <v>1</v>
      </c>
      <c r="J37" s="51">
        <v>0</v>
      </c>
      <c r="K37" s="51">
        <v>0</v>
      </c>
      <c r="L37" s="50">
        <v>0</v>
      </c>
      <c r="M37" s="51">
        <v>3</v>
      </c>
      <c r="N37" s="50">
        <v>0</v>
      </c>
      <c r="O37" s="15">
        <f t="shared" si="0"/>
        <v>16</v>
      </c>
      <c r="P37" s="15">
        <f t="shared" si="1"/>
        <v>19</v>
      </c>
      <c r="R37" s="37" t="s">
        <v>85</v>
      </c>
      <c r="S37" s="35">
        <f t="shared" ref="S37:AF37" si="29">SUM(S10:S12)</f>
        <v>12</v>
      </c>
      <c r="T37" s="16">
        <f t="shared" si="29"/>
        <v>7</v>
      </c>
      <c r="U37" s="16">
        <f t="shared" si="29"/>
        <v>22</v>
      </c>
      <c r="V37" s="16">
        <f t="shared" si="29"/>
        <v>17</v>
      </c>
      <c r="W37" s="16">
        <f t="shared" si="29"/>
        <v>0</v>
      </c>
      <c r="X37" s="16">
        <f t="shared" si="29"/>
        <v>0</v>
      </c>
      <c r="Y37" s="16">
        <f t="shared" si="29"/>
        <v>18</v>
      </c>
      <c r="Z37" s="16">
        <f t="shared" si="29"/>
        <v>2</v>
      </c>
      <c r="AA37" s="16">
        <f t="shared" si="29"/>
        <v>0</v>
      </c>
      <c r="AB37" s="16">
        <f t="shared" si="29"/>
        <v>14</v>
      </c>
      <c r="AC37" s="16">
        <f t="shared" si="29"/>
        <v>35</v>
      </c>
      <c r="AD37" s="16">
        <f t="shared" si="29"/>
        <v>0</v>
      </c>
      <c r="AE37" s="32">
        <f t="shared" si="29"/>
        <v>92</v>
      </c>
      <c r="AF37" s="32">
        <f t="shared" si="29"/>
        <v>127</v>
      </c>
    </row>
    <row r="38" spans="2:32" ht="23.1" customHeight="1" x14ac:dyDescent="0.25">
      <c r="B38" s="46" t="s">
        <v>65</v>
      </c>
      <c r="C38" s="51">
        <v>2</v>
      </c>
      <c r="D38" s="50">
        <v>1</v>
      </c>
      <c r="E38" s="51">
        <v>3</v>
      </c>
      <c r="F38" s="51">
        <v>0</v>
      </c>
      <c r="G38" s="51">
        <v>0</v>
      </c>
      <c r="H38" s="51">
        <v>1</v>
      </c>
      <c r="I38" s="51">
        <v>0</v>
      </c>
      <c r="J38" s="51">
        <v>0</v>
      </c>
      <c r="K38" s="51">
        <v>0</v>
      </c>
      <c r="L38" s="50">
        <v>1</v>
      </c>
      <c r="M38" s="51">
        <v>7</v>
      </c>
      <c r="N38" s="50">
        <v>0</v>
      </c>
      <c r="O38" s="15">
        <f t="shared" si="0"/>
        <v>8</v>
      </c>
      <c r="P38" s="15">
        <f t="shared" si="1"/>
        <v>15</v>
      </c>
      <c r="R38" s="28" t="s">
        <v>86</v>
      </c>
      <c r="S38" s="16">
        <f t="shared" ref="S38:AF38" si="30">SUM(S13:S18)</f>
        <v>71</v>
      </c>
      <c r="T38" s="16">
        <f t="shared" si="30"/>
        <v>36</v>
      </c>
      <c r="U38" s="16">
        <f t="shared" si="30"/>
        <v>81</v>
      </c>
      <c r="V38" s="16">
        <f t="shared" si="30"/>
        <v>47</v>
      </c>
      <c r="W38" s="16">
        <f t="shared" si="30"/>
        <v>2</v>
      </c>
      <c r="X38" s="16">
        <f t="shared" si="30"/>
        <v>22</v>
      </c>
      <c r="Y38" s="16">
        <f t="shared" si="30"/>
        <v>34</v>
      </c>
      <c r="Z38" s="16">
        <f t="shared" si="30"/>
        <v>0</v>
      </c>
      <c r="AA38" s="16">
        <f t="shared" si="30"/>
        <v>3</v>
      </c>
      <c r="AB38" s="16">
        <f t="shared" si="30"/>
        <v>19</v>
      </c>
      <c r="AC38" s="16">
        <f t="shared" si="30"/>
        <v>102</v>
      </c>
      <c r="AD38" s="16">
        <f t="shared" si="30"/>
        <v>0</v>
      </c>
      <c r="AE38" s="32">
        <f t="shared" si="30"/>
        <v>315</v>
      </c>
      <c r="AF38" s="32">
        <f t="shared" si="30"/>
        <v>417</v>
      </c>
    </row>
    <row r="39" spans="2:32" ht="23.1" customHeight="1" x14ac:dyDescent="0.25">
      <c r="B39" s="46" t="s">
        <v>66</v>
      </c>
      <c r="C39" s="51">
        <v>4</v>
      </c>
      <c r="D39" s="50">
        <v>2</v>
      </c>
      <c r="E39" s="51">
        <v>3</v>
      </c>
      <c r="F39" s="51">
        <v>1</v>
      </c>
      <c r="G39" s="51">
        <v>0</v>
      </c>
      <c r="H39" s="51">
        <v>0</v>
      </c>
      <c r="I39" s="51">
        <v>2</v>
      </c>
      <c r="J39" s="51">
        <v>0</v>
      </c>
      <c r="K39" s="51">
        <v>0</v>
      </c>
      <c r="L39" s="50">
        <v>0</v>
      </c>
      <c r="M39" s="51">
        <v>9</v>
      </c>
      <c r="N39" s="50">
        <v>0</v>
      </c>
      <c r="O39" s="15">
        <f t="shared" si="0"/>
        <v>12</v>
      </c>
      <c r="P39" s="15">
        <f t="shared" si="1"/>
        <v>21</v>
      </c>
      <c r="R39" s="29" t="s">
        <v>87</v>
      </c>
      <c r="S39" s="16">
        <f t="shared" ref="S39:AF39" si="31">SUM(S19:S21)</f>
        <v>36</v>
      </c>
      <c r="T39" s="16">
        <f t="shared" si="31"/>
        <v>21</v>
      </c>
      <c r="U39" s="16">
        <f t="shared" si="31"/>
        <v>48</v>
      </c>
      <c r="V39" s="16">
        <f t="shared" si="31"/>
        <v>26</v>
      </c>
      <c r="W39" s="16">
        <f t="shared" si="31"/>
        <v>1</v>
      </c>
      <c r="X39" s="16">
        <f t="shared" si="31"/>
        <v>18</v>
      </c>
      <c r="Y39" s="16">
        <f t="shared" si="31"/>
        <v>23</v>
      </c>
      <c r="Z39" s="16">
        <f t="shared" si="31"/>
        <v>5</v>
      </c>
      <c r="AA39" s="16">
        <f t="shared" si="31"/>
        <v>3</v>
      </c>
      <c r="AB39" s="16">
        <f t="shared" si="31"/>
        <v>24</v>
      </c>
      <c r="AC39" s="16">
        <f t="shared" si="31"/>
        <v>70</v>
      </c>
      <c r="AD39" s="16">
        <f t="shared" si="31"/>
        <v>0</v>
      </c>
      <c r="AE39" s="32">
        <f t="shared" si="31"/>
        <v>205</v>
      </c>
      <c r="AF39" s="32">
        <f t="shared" si="31"/>
        <v>275</v>
      </c>
    </row>
    <row r="40" spans="2:32" ht="23.1" customHeight="1" x14ac:dyDescent="0.25">
      <c r="B40" s="46" t="s">
        <v>67</v>
      </c>
      <c r="C40" s="51">
        <v>4</v>
      </c>
      <c r="D40" s="50">
        <v>1</v>
      </c>
      <c r="E40" s="51">
        <v>3</v>
      </c>
      <c r="F40" s="51">
        <v>0</v>
      </c>
      <c r="G40" s="51">
        <v>0</v>
      </c>
      <c r="H40" s="51">
        <v>1</v>
      </c>
      <c r="I40" s="51">
        <v>3</v>
      </c>
      <c r="J40" s="51">
        <v>0</v>
      </c>
      <c r="K40" s="51">
        <v>0</v>
      </c>
      <c r="L40" s="50">
        <v>1</v>
      </c>
      <c r="M40" s="51">
        <v>4</v>
      </c>
      <c r="N40" s="50">
        <v>0</v>
      </c>
      <c r="O40" s="15">
        <f t="shared" si="0"/>
        <v>13</v>
      </c>
      <c r="P40" s="15">
        <f t="shared" si="1"/>
        <v>17</v>
      </c>
      <c r="R40" s="5" t="s">
        <v>17</v>
      </c>
      <c r="S40" s="16">
        <f t="shared" ref="S40:AF40" si="32">SUM(S10:S21)</f>
        <v>119</v>
      </c>
      <c r="T40" s="16">
        <f t="shared" si="32"/>
        <v>64</v>
      </c>
      <c r="U40" s="16">
        <f t="shared" si="32"/>
        <v>151</v>
      </c>
      <c r="V40" s="16">
        <f t="shared" si="32"/>
        <v>90</v>
      </c>
      <c r="W40" s="16">
        <f t="shared" si="32"/>
        <v>3</v>
      </c>
      <c r="X40" s="16">
        <f t="shared" si="32"/>
        <v>40</v>
      </c>
      <c r="Y40" s="16">
        <f t="shared" si="32"/>
        <v>75</v>
      </c>
      <c r="Z40" s="16">
        <f t="shared" si="32"/>
        <v>7</v>
      </c>
      <c r="AA40" s="16">
        <f t="shared" si="32"/>
        <v>6</v>
      </c>
      <c r="AB40" s="16">
        <f t="shared" si="32"/>
        <v>57</v>
      </c>
      <c r="AC40" s="16">
        <f t="shared" si="32"/>
        <v>207</v>
      </c>
      <c r="AD40" s="16">
        <f t="shared" si="32"/>
        <v>0</v>
      </c>
      <c r="AE40" s="32">
        <f t="shared" si="32"/>
        <v>612</v>
      </c>
      <c r="AF40" s="32">
        <f t="shared" si="32"/>
        <v>819</v>
      </c>
    </row>
    <row r="41" spans="2:32" ht="23.1" customHeight="1" x14ac:dyDescent="0.25">
      <c r="B41" s="45" t="s">
        <v>68</v>
      </c>
      <c r="C41" s="51">
        <v>2</v>
      </c>
      <c r="D41" s="50">
        <v>3</v>
      </c>
      <c r="E41" s="51">
        <v>5</v>
      </c>
      <c r="F41" s="51">
        <v>2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0">
        <v>3</v>
      </c>
      <c r="M41" s="51">
        <v>2</v>
      </c>
      <c r="N41" s="50">
        <v>0</v>
      </c>
      <c r="O41" s="15">
        <f t="shared" si="0"/>
        <v>15</v>
      </c>
      <c r="P41" s="15">
        <f t="shared" si="1"/>
        <v>17</v>
      </c>
      <c r="R41" s="5" t="s">
        <v>159</v>
      </c>
      <c r="S41" s="16">
        <f>SUM(S10:S33)</f>
        <v>166</v>
      </c>
      <c r="T41" s="16">
        <f t="shared" ref="T41:AF41" si="33">SUM(T10:T33)</f>
        <v>77</v>
      </c>
      <c r="U41" s="16">
        <f t="shared" si="33"/>
        <v>222</v>
      </c>
      <c r="V41" s="16">
        <f t="shared" si="33"/>
        <v>99</v>
      </c>
      <c r="W41" s="16">
        <f t="shared" si="33"/>
        <v>3</v>
      </c>
      <c r="X41" s="16">
        <f t="shared" si="33"/>
        <v>73</v>
      </c>
      <c r="Y41" s="16">
        <f t="shared" si="33"/>
        <v>93</v>
      </c>
      <c r="Z41" s="16">
        <f t="shared" si="33"/>
        <v>7</v>
      </c>
      <c r="AA41" s="16">
        <f t="shared" si="33"/>
        <v>6</v>
      </c>
      <c r="AB41" s="16">
        <f t="shared" si="33"/>
        <v>86</v>
      </c>
      <c r="AC41" s="16">
        <f t="shared" si="33"/>
        <v>293</v>
      </c>
      <c r="AD41" s="16">
        <f t="shared" si="33"/>
        <v>0</v>
      </c>
      <c r="AE41" s="32">
        <f t="shared" si="33"/>
        <v>832</v>
      </c>
      <c r="AF41" s="32">
        <f t="shared" si="33"/>
        <v>1125</v>
      </c>
    </row>
    <row r="42" spans="2:32" ht="23.1" customHeight="1" x14ac:dyDescent="0.25">
      <c r="B42" s="46" t="s">
        <v>69</v>
      </c>
      <c r="C42" s="51">
        <v>3</v>
      </c>
      <c r="D42" s="50">
        <v>2</v>
      </c>
      <c r="E42" s="51">
        <v>3</v>
      </c>
      <c r="F42" s="51">
        <v>5</v>
      </c>
      <c r="G42" s="51">
        <v>0</v>
      </c>
      <c r="H42" s="51">
        <v>1</v>
      </c>
      <c r="I42" s="51">
        <v>0</v>
      </c>
      <c r="J42" s="51">
        <v>0</v>
      </c>
      <c r="K42" s="51">
        <v>0</v>
      </c>
      <c r="L42" s="50">
        <v>0</v>
      </c>
      <c r="M42" s="51">
        <v>1</v>
      </c>
      <c r="N42" s="50">
        <v>0</v>
      </c>
      <c r="O42" s="15">
        <f t="shared" si="0"/>
        <v>14</v>
      </c>
      <c r="P42" s="15">
        <f t="shared" si="1"/>
        <v>15</v>
      </c>
      <c r="R42" s="5" t="s">
        <v>160</v>
      </c>
      <c r="S42" s="48">
        <f>S41/S40</f>
        <v>1.3949579831932772</v>
      </c>
      <c r="T42" s="48">
        <f t="shared" ref="T42:AF42" si="34">T41/T40</f>
        <v>1.203125</v>
      </c>
      <c r="U42" s="48">
        <f t="shared" si="34"/>
        <v>1.4701986754966887</v>
      </c>
      <c r="V42" s="48">
        <f t="shared" si="34"/>
        <v>1.1000000000000001</v>
      </c>
      <c r="W42" s="48">
        <f t="shared" si="34"/>
        <v>1</v>
      </c>
      <c r="X42" s="48">
        <f t="shared" si="34"/>
        <v>1.825</v>
      </c>
      <c r="Y42" s="48">
        <f t="shared" si="34"/>
        <v>1.24</v>
      </c>
      <c r="Z42" s="48">
        <f t="shared" si="34"/>
        <v>1</v>
      </c>
      <c r="AA42" s="48">
        <f t="shared" si="34"/>
        <v>1</v>
      </c>
      <c r="AB42" s="48">
        <f t="shared" si="34"/>
        <v>1.5087719298245614</v>
      </c>
      <c r="AC42" s="48">
        <f t="shared" si="34"/>
        <v>1.4154589371980677</v>
      </c>
      <c r="AD42" s="48" t="e">
        <f t="shared" si="34"/>
        <v>#DIV/0!</v>
      </c>
      <c r="AE42" s="48">
        <f t="shared" si="34"/>
        <v>1.3594771241830066</v>
      </c>
      <c r="AF42" s="48">
        <f t="shared" si="34"/>
        <v>1.3736263736263736</v>
      </c>
    </row>
    <row r="43" spans="2:32" ht="23.1" customHeight="1" x14ac:dyDescent="0.25">
      <c r="B43" s="45" t="s">
        <v>70</v>
      </c>
      <c r="C43" s="51">
        <v>4</v>
      </c>
      <c r="D43" s="50">
        <v>3</v>
      </c>
      <c r="E43" s="51">
        <v>6</v>
      </c>
      <c r="F43" s="51">
        <v>1</v>
      </c>
      <c r="G43" s="51">
        <v>0</v>
      </c>
      <c r="H43" s="51">
        <v>1</v>
      </c>
      <c r="I43" s="51">
        <v>0</v>
      </c>
      <c r="J43" s="51">
        <v>0</v>
      </c>
      <c r="K43" s="51">
        <v>0</v>
      </c>
      <c r="L43" s="50">
        <v>0</v>
      </c>
      <c r="M43" s="51">
        <v>6</v>
      </c>
      <c r="N43" s="50">
        <v>0</v>
      </c>
      <c r="O43" s="15">
        <f t="shared" si="0"/>
        <v>15</v>
      </c>
      <c r="P43" s="15">
        <f t="shared" si="1"/>
        <v>21</v>
      </c>
    </row>
    <row r="44" spans="2:32" ht="23.1" customHeight="1" x14ac:dyDescent="0.25">
      <c r="B44" s="47" t="s">
        <v>71</v>
      </c>
      <c r="C44" s="51">
        <v>2</v>
      </c>
      <c r="D44" s="50">
        <v>3</v>
      </c>
      <c r="E44" s="51">
        <v>6</v>
      </c>
      <c r="F44" s="51">
        <v>0</v>
      </c>
      <c r="G44" s="51">
        <v>0</v>
      </c>
      <c r="H44" s="51">
        <v>2</v>
      </c>
      <c r="I44" s="51">
        <v>3</v>
      </c>
      <c r="J44" s="51">
        <v>0</v>
      </c>
      <c r="K44" s="51">
        <v>0</v>
      </c>
      <c r="L44" s="50">
        <v>3</v>
      </c>
      <c r="M44" s="51">
        <v>8</v>
      </c>
      <c r="N44" s="50">
        <v>0</v>
      </c>
      <c r="O44" s="15">
        <f t="shared" si="0"/>
        <v>19</v>
      </c>
      <c r="P44" s="15">
        <f t="shared" si="1"/>
        <v>27</v>
      </c>
    </row>
    <row r="45" spans="2:32" ht="23.1" customHeight="1" x14ac:dyDescent="0.25">
      <c r="B45" s="45" t="s">
        <v>72</v>
      </c>
      <c r="C45" s="51">
        <v>3</v>
      </c>
      <c r="D45" s="50">
        <v>3</v>
      </c>
      <c r="E45" s="51">
        <v>6</v>
      </c>
      <c r="F45" s="51">
        <v>3</v>
      </c>
      <c r="G45" s="51">
        <v>0</v>
      </c>
      <c r="H45" s="51">
        <v>1</v>
      </c>
      <c r="I45" s="51">
        <v>2</v>
      </c>
      <c r="J45" s="51">
        <v>0</v>
      </c>
      <c r="K45" s="51">
        <v>0</v>
      </c>
      <c r="L45" s="50">
        <v>1</v>
      </c>
      <c r="M45" s="51">
        <v>4</v>
      </c>
      <c r="N45" s="50">
        <v>0</v>
      </c>
      <c r="O45" s="15">
        <f t="shared" si="0"/>
        <v>19</v>
      </c>
      <c r="P45" s="15">
        <f t="shared" si="1"/>
        <v>23</v>
      </c>
    </row>
    <row r="46" spans="2:32" ht="23.1" customHeight="1" x14ac:dyDescent="0.25">
      <c r="B46" s="46" t="s">
        <v>73</v>
      </c>
      <c r="C46" s="51">
        <v>2</v>
      </c>
      <c r="D46" s="50">
        <v>0</v>
      </c>
      <c r="E46" s="51">
        <v>2</v>
      </c>
      <c r="F46" s="51">
        <v>2</v>
      </c>
      <c r="G46" s="51">
        <v>0</v>
      </c>
      <c r="H46" s="51">
        <v>1</v>
      </c>
      <c r="I46" s="51">
        <v>2</v>
      </c>
      <c r="J46" s="51">
        <v>0</v>
      </c>
      <c r="K46" s="51">
        <v>0</v>
      </c>
      <c r="L46" s="50">
        <v>1</v>
      </c>
      <c r="M46" s="51">
        <v>2</v>
      </c>
      <c r="N46" s="50">
        <v>0</v>
      </c>
      <c r="O46" s="15">
        <f t="shared" si="0"/>
        <v>10</v>
      </c>
      <c r="P46" s="15">
        <f t="shared" si="1"/>
        <v>12</v>
      </c>
      <c r="R46" s="8"/>
      <c r="T46"/>
    </row>
    <row r="47" spans="2:32" ht="23.1" customHeight="1" x14ac:dyDescent="0.25">
      <c r="B47" s="46" t="s">
        <v>74</v>
      </c>
      <c r="C47" s="51">
        <v>4</v>
      </c>
      <c r="D47" s="50">
        <v>0</v>
      </c>
      <c r="E47" s="51">
        <v>2</v>
      </c>
      <c r="F47" s="51">
        <v>1</v>
      </c>
      <c r="G47" s="51">
        <v>0</v>
      </c>
      <c r="H47" s="51">
        <v>2</v>
      </c>
      <c r="I47" s="51">
        <v>6</v>
      </c>
      <c r="J47" s="51">
        <v>0</v>
      </c>
      <c r="K47" s="51">
        <v>0</v>
      </c>
      <c r="L47" s="50">
        <v>1</v>
      </c>
      <c r="M47" s="51">
        <v>9</v>
      </c>
      <c r="N47" s="50">
        <v>0</v>
      </c>
      <c r="O47" s="15">
        <f t="shared" si="0"/>
        <v>16</v>
      </c>
      <c r="P47" s="15">
        <f t="shared" si="1"/>
        <v>25</v>
      </c>
      <c r="R47" s="8"/>
      <c r="T47"/>
    </row>
    <row r="48" spans="2:32" ht="23.1" customHeight="1" x14ac:dyDescent="0.25">
      <c r="B48" s="46" t="s">
        <v>75</v>
      </c>
      <c r="C48" s="51">
        <v>3</v>
      </c>
      <c r="D48" s="50">
        <v>2</v>
      </c>
      <c r="E48" s="51">
        <v>5</v>
      </c>
      <c r="F48" s="51">
        <v>2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0">
        <v>3</v>
      </c>
      <c r="M48" s="51">
        <v>4</v>
      </c>
      <c r="N48" s="50">
        <v>0</v>
      </c>
      <c r="O48" s="15">
        <f t="shared" si="0"/>
        <v>15</v>
      </c>
      <c r="P48" s="15">
        <f t="shared" si="1"/>
        <v>19</v>
      </c>
      <c r="R48" s="8"/>
      <c r="T48"/>
    </row>
    <row r="49" spans="2:20" ht="23.1" customHeight="1" x14ac:dyDescent="0.25">
      <c r="B49" s="45" t="s">
        <v>76</v>
      </c>
      <c r="C49" s="51">
        <v>1</v>
      </c>
      <c r="D49" s="50">
        <v>2</v>
      </c>
      <c r="E49" s="51">
        <v>4</v>
      </c>
      <c r="F49" s="51">
        <v>0</v>
      </c>
      <c r="G49" s="51">
        <v>0</v>
      </c>
      <c r="H49" s="51">
        <v>2</v>
      </c>
      <c r="I49" s="51">
        <v>0</v>
      </c>
      <c r="J49" s="51">
        <v>0</v>
      </c>
      <c r="K49" s="51">
        <v>0</v>
      </c>
      <c r="L49" s="50">
        <v>0</v>
      </c>
      <c r="M49" s="51">
        <v>3</v>
      </c>
      <c r="N49" s="50">
        <v>0</v>
      </c>
      <c r="O49" s="15">
        <f t="shared" si="0"/>
        <v>9</v>
      </c>
      <c r="P49" s="15">
        <f t="shared" si="1"/>
        <v>12</v>
      </c>
      <c r="R49" s="8"/>
      <c r="T49"/>
    </row>
    <row r="50" spans="2:20" ht="23.1" customHeight="1" x14ac:dyDescent="0.25">
      <c r="B50" s="46" t="s">
        <v>77</v>
      </c>
      <c r="C50" s="51">
        <v>1</v>
      </c>
      <c r="D50" s="50">
        <v>1</v>
      </c>
      <c r="E50" s="51">
        <v>3</v>
      </c>
      <c r="F50" s="51">
        <v>2</v>
      </c>
      <c r="G50" s="51">
        <v>0</v>
      </c>
      <c r="H50" s="51">
        <v>1</v>
      </c>
      <c r="I50" s="51">
        <v>3</v>
      </c>
      <c r="J50" s="51">
        <v>0</v>
      </c>
      <c r="K50" s="51">
        <v>0</v>
      </c>
      <c r="L50" s="50">
        <v>1</v>
      </c>
      <c r="M50" s="51">
        <v>7</v>
      </c>
      <c r="N50" s="50">
        <v>0</v>
      </c>
      <c r="O50" s="15">
        <f t="shared" si="0"/>
        <v>12</v>
      </c>
      <c r="P50" s="15">
        <f t="shared" si="1"/>
        <v>19</v>
      </c>
      <c r="R50" s="8"/>
      <c r="T50"/>
    </row>
    <row r="51" spans="2:20" ht="23.1" customHeight="1" x14ac:dyDescent="0.25">
      <c r="B51" s="46" t="s">
        <v>78</v>
      </c>
      <c r="C51" s="51">
        <v>1</v>
      </c>
      <c r="D51" s="50">
        <v>3</v>
      </c>
      <c r="E51" s="51">
        <v>5</v>
      </c>
      <c r="F51" s="51">
        <v>4</v>
      </c>
      <c r="G51" s="51">
        <v>0</v>
      </c>
      <c r="H51" s="51">
        <v>1</v>
      </c>
      <c r="I51" s="51">
        <v>0</v>
      </c>
      <c r="J51" s="51">
        <v>0</v>
      </c>
      <c r="K51" s="51">
        <v>0</v>
      </c>
      <c r="L51" s="50">
        <v>0</v>
      </c>
      <c r="M51" s="51">
        <v>9</v>
      </c>
      <c r="N51" s="50">
        <v>0</v>
      </c>
      <c r="O51" s="15">
        <f t="shared" si="0"/>
        <v>14</v>
      </c>
      <c r="P51" s="15">
        <f t="shared" si="1"/>
        <v>23</v>
      </c>
      <c r="R51" s="8"/>
      <c r="T51"/>
    </row>
    <row r="52" spans="2:20" ht="23.1" customHeight="1" x14ac:dyDescent="0.25">
      <c r="B52" s="46" t="s">
        <v>79</v>
      </c>
      <c r="C52" s="51">
        <v>3</v>
      </c>
      <c r="D52" s="50">
        <v>2</v>
      </c>
      <c r="E52" s="51">
        <v>4</v>
      </c>
      <c r="F52" s="51">
        <v>0</v>
      </c>
      <c r="G52" s="51">
        <v>0</v>
      </c>
      <c r="H52" s="51">
        <v>1</v>
      </c>
      <c r="I52" s="51">
        <v>3</v>
      </c>
      <c r="J52" s="51">
        <v>0</v>
      </c>
      <c r="K52" s="51">
        <v>0</v>
      </c>
      <c r="L52" s="50">
        <v>3</v>
      </c>
      <c r="M52" s="51">
        <v>8</v>
      </c>
      <c r="N52" s="50">
        <v>0</v>
      </c>
      <c r="O52" s="15">
        <f t="shared" si="0"/>
        <v>16</v>
      </c>
      <c r="P52" s="15">
        <f t="shared" si="1"/>
        <v>24</v>
      </c>
      <c r="R52" s="8"/>
      <c r="T52"/>
    </row>
    <row r="53" spans="2:20" ht="23.1" customHeight="1" x14ac:dyDescent="0.25">
      <c r="B53" s="45" t="s">
        <v>80</v>
      </c>
      <c r="C53" s="51">
        <v>6</v>
      </c>
      <c r="D53" s="50">
        <v>2</v>
      </c>
      <c r="E53" s="51">
        <v>3</v>
      </c>
      <c r="F53" s="51">
        <v>3</v>
      </c>
      <c r="G53" s="51">
        <v>0</v>
      </c>
      <c r="H53" s="51">
        <v>4</v>
      </c>
      <c r="I53" s="51">
        <v>2</v>
      </c>
      <c r="J53" s="51">
        <v>1</v>
      </c>
      <c r="K53" s="51">
        <v>0</v>
      </c>
      <c r="L53" s="50">
        <v>2</v>
      </c>
      <c r="M53" s="51">
        <v>1</v>
      </c>
      <c r="N53" s="50">
        <v>0</v>
      </c>
      <c r="O53" s="15">
        <f t="shared" si="0"/>
        <v>23</v>
      </c>
      <c r="P53" s="15">
        <f t="shared" si="1"/>
        <v>24</v>
      </c>
      <c r="R53" s="8"/>
      <c r="T53"/>
    </row>
    <row r="54" spans="2:20" ht="23.1" customHeight="1" x14ac:dyDescent="0.25">
      <c r="B54" s="45" t="s">
        <v>81</v>
      </c>
      <c r="C54" s="51">
        <v>1</v>
      </c>
      <c r="D54" s="50">
        <v>4</v>
      </c>
      <c r="E54" s="51">
        <v>7</v>
      </c>
      <c r="F54" s="51">
        <v>1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0">
        <v>0</v>
      </c>
      <c r="M54" s="51">
        <v>5</v>
      </c>
      <c r="N54" s="50">
        <v>0</v>
      </c>
      <c r="O54" s="15">
        <f t="shared" si="0"/>
        <v>13</v>
      </c>
      <c r="P54" s="15">
        <f t="shared" si="1"/>
        <v>18</v>
      </c>
      <c r="R54" s="8"/>
      <c r="T54"/>
    </row>
    <row r="55" spans="2:20" ht="23.1" customHeight="1" x14ac:dyDescent="0.25">
      <c r="B55" s="45" t="s">
        <v>82</v>
      </c>
      <c r="C55" s="51">
        <v>3</v>
      </c>
      <c r="D55" s="50">
        <v>2</v>
      </c>
      <c r="E55" s="51">
        <v>5</v>
      </c>
      <c r="F55" s="51">
        <v>3</v>
      </c>
      <c r="G55" s="51">
        <v>1</v>
      </c>
      <c r="H55" s="51">
        <v>3</v>
      </c>
      <c r="I55" s="51">
        <v>2</v>
      </c>
      <c r="J55" s="51">
        <v>1</v>
      </c>
      <c r="K55" s="51">
        <v>0</v>
      </c>
      <c r="L55" s="50">
        <v>3</v>
      </c>
      <c r="M55" s="51">
        <v>7</v>
      </c>
      <c r="N55" s="50">
        <v>0</v>
      </c>
      <c r="O55" s="15">
        <f t="shared" si="0"/>
        <v>23</v>
      </c>
      <c r="P55" s="15">
        <f t="shared" si="1"/>
        <v>30</v>
      </c>
      <c r="R55" s="8"/>
      <c r="T55"/>
    </row>
    <row r="56" spans="2:20" ht="23.1" customHeight="1" x14ac:dyDescent="0.25">
      <c r="B56" s="45" t="s">
        <v>83</v>
      </c>
      <c r="C56" s="51">
        <v>7</v>
      </c>
      <c r="D56" s="50">
        <v>1</v>
      </c>
      <c r="E56" s="51">
        <v>3</v>
      </c>
      <c r="F56" s="51">
        <v>1</v>
      </c>
      <c r="G56" s="51">
        <v>0</v>
      </c>
      <c r="H56" s="51">
        <v>2</v>
      </c>
      <c r="I56" s="51">
        <v>2</v>
      </c>
      <c r="J56" s="51">
        <v>1</v>
      </c>
      <c r="K56" s="51">
        <v>3</v>
      </c>
      <c r="L56" s="50">
        <v>4</v>
      </c>
      <c r="M56" s="51">
        <v>11</v>
      </c>
      <c r="N56" s="50">
        <v>0</v>
      </c>
      <c r="O56" s="15">
        <f t="shared" si="0"/>
        <v>24</v>
      </c>
      <c r="P56" s="15">
        <f t="shared" si="1"/>
        <v>35</v>
      </c>
      <c r="R56" s="8"/>
      <c r="T56"/>
    </row>
    <row r="57" spans="2:20" ht="23.1" customHeight="1" x14ac:dyDescent="0.25">
      <c r="B57" s="45" t="s">
        <v>84</v>
      </c>
      <c r="C57" s="51">
        <v>4</v>
      </c>
      <c r="D57" s="50">
        <v>2</v>
      </c>
      <c r="E57" s="51">
        <v>5</v>
      </c>
      <c r="F57" s="51">
        <v>7</v>
      </c>
      <c r="G57" s="51">
        <v>0</v>
      </c>
      <c r="H57" s="51">
        <v>1</v>
      </c>
      <c r="I57" s="51">
        <v>3</v>
      </c>
      <c r="J57" s="51">
        <v>2</v>
      </c>
      <c r="K57" s="51">
        <v>0</v>
      </c>
      <c r="L57" s="50">
        <v>6</v>
      </c>
      <c r="M57" s="51">
        <v>4</v>
      </c>
      <c r="N57" s="50">
        <v>0</v>
      </c>
      <c r="O57" s="15">
        <f t="shared" si="0"/>
        <v>30</v>
      </c>
      <c r="P57" s="15">
        <f t="shared" si="1"/>
        <v>34</v>
      </c>
      <c r="R57" s="8"/>
      <c r="T57"/>
    </row>
    <row r="58" spans="2:20" ht="23.1" customHeight="1" x14ac:dyDescent="0.25">
      <c r="B58" s="45" t="s">
        <v>99</v>
      </c>
      <c r="C58" s="51">
        <v>4</v>
      </c>
      <c r="D58" s="50">
        <v>2</v>
      </c>
      <c r="E58" s="51">
        <v>5</v>
      </c>
      <c r="F58" s="51">
        <v>1</v>
      </c>
      <c r="G58" s="51">
        <v>0</v>
      </c>
      <c r="H58" s="51">
        <v>2</v>
      </c>
      <c r="I58" s="51">
        <v>2</v>
      </c>
      <c r="J58" s="51">
        <v>0</v>
      </c>
      <c r="K58" s="51">
        <v>0</v>
      </c>
      <c r="L58" s="50">
        <v>4</v>
      </c>
      <c r="M58" s="51">
        <v>7</v>
      </c>
      <c r="N58" s="50">
        <v>0</v>
      </c>
      <c r="O58" s="15">
        <f t="shared" si="0"/>
        <v>20</v>
      </c>
      <c r="P58" s="15">
        <f t="shared" si="1"/>
        <v>27</v>
      </c>
      <c r="R58" s="8"/>
      <c r="T58"/>
    </row>
    <row r="59" spans="2:20" ht="23.1" customHeight="1" x14ac:dyDescent="0.25">
      <c r="B59" s="45" t="s">
        <v>100</v>
      </c>
      <c r="C59" s="51">
        <v>3</v>
      </c>
      <c r="D59" s="50">
        <v>2</v>
      </c>
      <c r="E59" s="51">
        <v>3</v>
      </c>
      <c r="F59" s="51">
        <v>1</v>
      </c>
      <c r="G59" s="51">
        <v>0</v>
      </c>
      <c r="H59" s="51">
        <v>1</v>
      </c>
      <c r="I59" s="51">
        <v>1</v>
      </c>
      <c r="J59" s="51">
        <v>0</v>
      </c>
      <c r="K59" s="51">
        <v>0</v>
      </c>
      <c r="L59" s="50">
        <v>2</v>
      </c>
      <c r="M59" s="51">
        <v>5</v>
      </c>
      <c r="N59" s="50">
        <v>0</v>
      </c>
      <c r="O59" s="15">
        <f t="shared" si="0"/>
        <v>13</v>
      </c>
      <c r="P59" s="15">
        <f t="shared" si="1"/>
        <v>18</v>
      </c>
      <c r="R59" s="8"/>
      <c r="T59"/>
    </row>
    <row r="60" spans="2:20" ht="23.1" customHeight="1" x14ac:dyDescent="0.25">
      <c r="B60" s="45" t="s">
        <v>101</v>
      </c>
      <c r="C60" s="51">
        <v>2</v>
      </c>
      <c r="D60" s="50">
        <v>1</v>
      </c>
      <c r="E60" s="51">
        <v>3</v>
      </c>
      <c r="F60" s="51">
        <v>1</v>
      </c>
      <c r="G60" s="51">
        <v>0</v>
      </c>
      <c r="H60" s="51">
        <v>0</v>
      </c>
      <c r="I60" s="51">
        <v>1</v>
      </c>
      <c r="J60" s="51">
        <v>0</v>
      </c>
      <c r="K60" s="51">
        <v>0</v>
      </c>
      <c r="L60" s="50">
        <v>1</v>
      </c>
      <c r="M60" s="51">
        <v>4</v>
      </c>
      <c r="N60" s="50">
        <v>0</v>
      </c>
      <c r="O60" s="15">
        <f t="shared" si="0"/>
        <v>9</v>
      </c>
      <c r="P60" s="15">
        <f t="shared" si="1"/>
        <v>13</v>
      </c>
      <c r="R60" s="8"/>
      <c r="T60"/>
    </row>
    <row r="61" spans="2:20" ht="23.1" customHeight="1" x14ac:dyDescent="0.25">
      <c r="B61" s="45" t="s">
        <v>102</v>
      </c>
      <c r="C61" s="51">
        <v>4</v>
      </c>
      <c r="D61" s="50">
        <v>2</v>
      </c>
      <c r="E61" s="51">
        <v>5</v>
      </c>
      <c r="F61" s="51">
        <v>1</v>
      </c>
      <c r="G61" s="51">
        <v>0</v>
      </c>
      <c r="H61" s="51">
        <v>2</v>
      </c>
      <c r="I61" s="51">
        <v>2</v>
      </c>
      <c r="J61" s="51">
        <v>0</v>
      </c>
      <c r="K61" s="51">
        <v>0</v>
      </c>
      <c r="L61" s="50">
        <v>4</v>
      </c>
      <c r="M61" s="51">
        <v>7</v>
      </c>
      <c r="N61" s="50">
        <v>0</v>
      </c>
      <c r="O61" s="15">
        <f t="shared" si="0"/>
        <v>20</v>
      </c>
      <c r="P61" s="15">
        <f t="shared" si="1"/>
        <v>27</v>
      </c>
      <c r="R61" s="8"/>
      <c r="T61"/>
    </row>
    <row r="62" spans="2:20" ht="23.1" customHeight="1" x14ac:dyDescent="0.25">
      <c r="B62" s="45" t="s">
        <v>107</v>
      </c>
      <c r="C62" s="51">
        <v>4</v>
      </c>
      <c r="D62" s="50">
        <v>2</v>
      </c>
      <c r="E62" s="51">
        <v>5</v>
      </c>
      <c r="F62" s="51">
        <v>1</v>
      </c>
      <c r="G62" s="51">
        <v>0</v>
      </c>
      <c r="H62" s="51">
        <v>0</v>
      </c>
      <c r="I62" s="51">
        <v>2</v>
      </c>
      <c r="J62" s="51">
        <v>0</v>
      </c>
      <c r="K62" s="51">
        <v>0</v>
      </c>
      <c r="L62" s="50">
        <v>3</v>
      </c>
      <c r="M62" s="51">
        <v>7</v>
      </c>
      <c r="N62" s="50">
        <v>0</v>
      </c>
      <c r="O62" s="15">
        <f t="shared" si="0"/>
        <v>17</v>
      </c>
      <c r="P62" s="15">
        <f t="shared" si="1"/>
        <v>24</v>
      </c>
      <c r="R62" s="8"/>
      <c r="T62"/>
    </row>
    <row r="63" spans="2:20" ht="23.1" customHeight="1" x14ac:dyDescent="0.25">
      <c r="B63" s="45" t="s">
        <v>108</v>
      </c>
      <c r="C63" s="51">
        <v>2</v>
      </c>
      <c r="D63" s="50">
        <v>1</v>
      </c>
      <c r="E63" s="51">
        <v>2</v>
      </c>
      <c r="F63" s="51">
        <v>1</v>
      </c>
      <c r="G63" s="51">
        <v>0</v>
      </c>
      <c r="H63" s="51">
        <v>1</v>
      </c>
      <c r="I63" s="51">
        <v>1</v>
      </c>
      <c r="J63" s="51">
        <v>0</v>
      </c>
      <c r="K63" s="51">
        <v>0</v>
      </c>
      <c r="L63" s="50">
        <v>1</v>
      </c>
      <c r="M63" s="51">
        <v>3</v>
      </c>
      <c r="N63" s="50">
        <v>0</v>
      </c>
      <c r="O63" s="15">
        <f t="shared" si="0"/>
        <v>9</v>
      </c>
      <c r="P63" s="15">
        <f t="shared" si="1"/>
        <v>12</v>
      </c>
      <c r="R63" s="8"/>
      <c r="T63"/>
    </row>
    <row r="64" spans="2:20" ht="23.1" customHeight="1" x14ac:dyDescent="0.25">
      <c r="B64" s="45" t="s">
        <v>109</v>
      </c>
      <c r="C64" s="51">
        <v>1</v>
      </c>
      <c r="D64" s="50">
        <v>0</v>
      </c>
      <c r="E64" s="51">
        <v>2</v>
      </c>
      <c r="F64" s="51">
        <v>0</v>
      </c>
      <c r="G64" s="51">
        <v>0</v>
      </c>
      <c r="H64" s="51">
        <v>0</v>
      </c>
      <c r="I64" s="51">
        <v>1</v>
      </c>
      <c r="J64" s="51">
        <v>0</v>
      </c>
      <c r="K64" s="51">
        <v>0</v>
      </c>
      <c r="L64" s="50">
        <v>0</v>
      </c>
      <c r="M64" s="51">
        <v>2</v>
      </c>
      <c r="N64" s="50">
        <v>0</v>
      </c>
      <c r="O64" s="15">
        <f t="shared" si="0"/>
        <v>4</v>
      </c>
      <c r="P64" s="15">
        <f t="shared" si="1"/>
        <v>6</v>
      </c>
      <c r="R64" s="8"/>
      <c r="T64"/>
    </row>
    <row r="65" spans="2:20" ht="23.1" customHeight="1" x14ac:dyDescent="0.25">
      <c r="B65" s="45" t="s">
        <v>158</v>
      </c>
      <c r="C65" s="51">
        <v>2</v>
      </c>
      <c r="D65" s="50">
        <v>1</v>
      </c>
      <c r="E65" s="51">
        <v>2</v>
      </c>
      <c r="F65" s="51">
        <v>1</v>
      </c>
      <c r="G65" s="51">
        <v>0</v>
      </c>
      <c r="H65" s="51">
        <v>0</v>
      </c>
      <c r="I65" s="51">
        <v>1</v>
      </c>
      <c r="J65" s="51">
        <v>0</v>
      </c>
      <c r="K65" s="51">
        <v>0</v>
      </c>
      <c r="L65" s="50">
        <v>1</v>
      </c>
      <c r="M65" s="51">
        <v>3</v>
      </c>
      <c r="N65" s="50">
        <v>0</v>
      </c>
      <c r="O65" s="15">
        <f t="shared" si="0"/>
        <v>8</v>
      </c>
      <c r="P65" s="15">
        <f t="shared" si="1"/>
        <v>11</v>
      </c>
      <c r="R65" s="8"/>
      <c r="T65"/>
    </row>
    <row r="66" spans="2:20" ht="23.1" customHeight="1" x14ac:dyDescent="0.25">
      <c r="B66" s="45" t="s">
        <v>103</v>
      </c>
      <c r="C66" s="51">
        <v>1</v>
      </c>
      <c r="D66" s="50">
        <v>0</v>
      </c>
      <c r="E66" s="51">
        <v>2</v>
      </c>
      <c r="F66" s="51">
        <v>0</v>
      </c>
      <c r="G66" s="51">
        <v>0</v>
      </c>
      <c r="H66" s="51">
        <v>0</v>
      </c>
      <c r="I66" s="51">
        <v>1</v>
      </c>
      <c r="J66" s="51">
        <v>0</v>
      </c>
      <c r="K66" s="51">
        <v>0</v>
      </c>
      <c r="L66" s="50">
        <v>1</v>
      </c>
      <c r="M66" s="51">
        <v>2</v>
      </c>
      <c r="N66" s="50">
        <v>0</v>
      </c>
      <c r="O66" s="15">
        <f t="shared" si="0"/>
        <v>5</v>
      </c>
      <c r="P66" s="15">
        <f t="shared" si="1"/>
        <v>7</v>
      </c>
      <c r="R66" s="8"/>
      <c r="T66"/>
    </row>
    <row r="67" spans="2:20" ht="23.1" customHeight="1" x14ac:dyDescent="0.25">
      <c r="B67" s="45" t="s">
        <v>104</v>
      </c>
      <c r="C67" s="51">
        <v>1</v>
      </c>
      <c r="D67" s="50">
        <v>0</v>
      </c>
      <c r="E67" s="51">
        <v>2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0">
        <v>1</v>
      </c>
      <c r="M67" s="51">
        <v>2</v>
      </c>
      <c r="N67" s="50">
        <v>0</v>
      </c>
      <c r="O67" s="15">
        <f t="shared" si="0"/>
        <v>4</v>
      </c>
      <c r="P67" s="15">
        <f t="shared" si="1"/>
        <v>6</v>
      </c>
      <c r="R67" s="8"/>
      <c r="T67"/>
    </row>
    <row r="68" spans="2:20" ht="23.1" customHeight="1" x14ac:dyDescent="0.25">
      <c r="B68" s="45" t="s">
        <v>105</v>
      </c>
      <c r="C68" s="51">
        <v>1</v>
      </c>
      <c r="D68" s="50">
        <v>0</v>
      </c>
      <c r="E68" s="51">
        <v>2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0">
        <v>0</v>
      </c>
      <c r="M68" s="51">
        <v>2</v>
      </c>
      <c r="N68" s="50">
        <v>0</v>
      </c>
      <c r="O68" s="15">
        <f t="shared" si="0"/>
        <v>3</v>
      </c>
      <c r="P68" s="15">
        <f t="shared" si="1"/>
        <v>5</v>
      </c>
      <c r="R68" s="8"/>
      <c r="T68"/>
    </row>
    <row r="69" spans="2:20" ht="23.1" customHeight="1" x14ac:dyDescent="0.25">
      <c r="B69" s="45" t="s">
        <v>106</v>
      </c>
      <c r="C69" s="51">
        <v>2</v>
      </c>
      <c r="D69" s="50">
        <v>1</v>
      </c>
      <c r="E69" s="51">
        <v>3</v>
      </c>
      <c r="F69" s="51">
        <v>1</v>
      </c>
      <c r="G69" s="51">
        <v>0</v>
      </c>
      <c r="H69" s="51">
        <v>0</v>
      </c>
      <c r="I69" s="51">
        <v>1</v>
      </c>
      <c r="J69" s="51">
        <v>0</v>
      </c>
      <c r="K69" s="51">
        <v>0</v>
      </c>
      <c r="L69" s="50">
        <v>1</v>
      </c>
      <c r="M69" s="51">
        <v>4</v>
      </c>
      <c r="N69" s="50">
        <v>0</v>
      </c>
      <c r="O69" s="15">
        <f t="shared" si="0"/>
        <v>9</v>
      </c>
      <c r="P69" s="15">
        <f t="shared" si="1"/>
        <v>13</v>
      </c>
      <c r="R69" s="8"/>
      <c r="T69"/>
    </row>
    <row r="70" spans="2:20" ht="23.1" customHeight="1" x14ac:dyDescent="0.25">
      <c r="B70" s="45" t="s">
        <v>110</v>
      </c>
      <c r="C70" s="51">
        <v>1</v>
      </c>
      <c r="D70" s="50">
        <v>0</v>
      </c>
      <c r="E70" s="51">
        <v>2</v>
      </c>
      <c r="F70" s="51">
        <v>0</v>
      </c>
      <c r="G70" s="51">
        <v>0</v>
      </c>
      <c r="H70" s="51">
        <v>1</v>
      </c>
      <c r="I70" s="51">
        <v>1</v>
      </c>
      <c r="J70" s="51">
        <v>0</v>
      </c>
      <c r="K70" s="51">
        <v>0</v>
      </c>
      <c r="L70" s="50">
        <v>1</v>
      </c>
      <c r="M70" s="51">
        <v>2</v>
      </c>
      <c r="N70" s="50">
        <v>0</v>
      </c>
      <c r="O70" s="15">
        <f t="shared" si="0"/>
        <v>6</v>
      </c>
      <c r="P70" s="15">
        <f t="shared" si="1"/>
        <v>8</v>
      </c>
      <c r="R70" s="8"/>
      <c r="T70"/>
    </row>
    <row r="71" spans="2:20" ht="23.1" customHeight="1" x14ac:dyDescent="0.25">
      <c r="B71" s="45" t="s">
        <v>111</v>
      </c>
      <c r="C71" s="51">
        <v>0</v>
      </c>
      <c r="D71" s="50">
        <v>0</v>
      </c>
      <c r="E71" s="51">
        <v>0</v>
      </c>
      <c r="F71" s="51">
        <v>0</v>
      </c>
      <c r="G71" s="51">
        <v>0</v>
      </c>
      <c r="H71" s="51">
        <v>1</v>
      </c>
      <c r="I71" s="51">
        <v>0</v>
      </c>
      <c r="J71" s="51">
        <v>0</v>
      </c>
      <c r="K71" s="51">
        <v>0</v>
      </c>
      <c r="L71" s="50">
        <v>0</v>
      </c>
      <c r="M71" s="51">
        <v>0</v>
      </c>
      <c r="N71" s="50">
        <v>0</v>
      </c>
      <c r="O71" s="15">
        <f t="shared" si="0"/>
        <v>1</v>
      </c>
      <c r="P71" s="15">
        <f t="shared" si="1"/>
        <v>1</v>
      </c>
      <c r="R71" s="8"/>
      <c r="T71"/>
    </row>
    <row r="72" spans="2:20" ht="23.1" customHeight="1" x14ac:dyDescent="0.25">
      <c r="B72" s="45" t="s">
        <v>112</v>
      </c>
      <c r="C72" s="51">
        <v>1</v>
      </c>
      <c r="D72" s="50">
        <v>0</v>
      </c>
      <c r="E72" s="51">
        <v>1</v>
      </c>
      <c r="F72" s="51">
        <v>0</v>
      </c>
      <c r="G72" s="51">
        <v>0</v>
      </c>
      <c r="H72" s="51">
        <v>2</v>
      </c>
      <c r="I72" s="51">
        <v>0</v>
      </c>
      <c r="J72" s="51">
        <v>0</v>
      </c>
      <c r="K72" s="51">
        <v>0</v>
      </c>
      <c r="L72" s="50">
        <v>0</v>
      </c>
      <c r="M72" s="51">
        <v>1</v>
      </c>
      <c r="N72" s="50">
        <v>0</v>
      </c>
      <c r="O72" s="15">
        <f t="shared" si="0"/>
        <v>4</v>
      </c>
      <c r="P72" s="15">
        <f t="shared" si="1"/>
        <v>5</v>
      </c>
      <c r="R72" s="8"/>
      <c r="T72"/>
    </row>
    <row r="73" spans="2:20" ht="23.1" customHeight="1" x14ac:dyDescent="0.25">
      <c r="B73" s="45" t="s">
        <v>113</v>
      </c>
      <c r="C73" s="51">
        <v>1</v>
      </c>
      <c r="D73" s="50">
        <v>0</v>
      </c>
      <c r="E73" s="51">
        <v>1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0">
        <v>0</v>
      </c>
      <c r="M73" s="51">
        <v>1</v>
      </c>
      <c r="N73" s="50">
        <v>0</v>
      </c>
      <c r="O73" s="15">
        <f t="shared" si="0"/>
        <v>2</v>
      </c>
      <c r="P73" s="15">
        <f t="shared" si="1"/>
        <v>3</v>
      </c>
      <c r="R73" s="8"/>
      <c r="T73"/>
    </row>
    <row r="74" spans="2:20" ht="23.1" customHeight="1" x14ac:dyDescent="0.25">
      <c r="B74" s="45" t="s">
        <v>114</v>
      </c>
      <c r="C74" s="51">
        <v>1</v>
      </c>
      <c r="D74" s="50">
        <v>0</v>
      </c>
      <c r="E74" s="51">
        <v>1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0">
        <v>0</v>
      </c>
      <c r="M74" s="51">
        <v>1</v>
      </c>
      <c r="N74" s="50">
        <v>0</v>
      </c>
      <c r="O74" s="15">
        <f t="shared" ref="O74:O105" si="35">SUM(C74:L74,N74)</f>
        <v>2</v>
      </c>
      <c r="P74" s="15">
        <f t="shared" ref="P74:P105" si="36">SUM(C74:N74)</f>
        <v>3</v>
      </c>
      <c r="R74" s="8"/>
      <c r="T74"/>
    </row>
    <row r="75" spans="2:20" ht="23.1" customHeight="1" x14ac:dyDescent="0.25">
      <c r="B75" s="45" t="s">
        <v>115</v>
      </c>
      <c r="C75" s="51">
        <v>0</v>
      </c>
      <c r="D75" s="50">
        <v>0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0">
        <v>0</v>
      </c>
      <c r="M75" s="51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1">
        <v>1</v>
      </c>
      <c r="D76" s="50">
        <v>0</v>
      </c>
      <c r="E76" s="51">
        <v>2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0">
        <v>1</v>
      </c>
      <c r="M76" s="51">
        <v>2</v>
      </c>
      <c r="N76" s="50">
        <v>0</v>
      </c>
      <c r="O76" s="15">
        <f t="shared" si="35"/>
        <v>4</v>
      </c>
      <c r="P76" s="15">
        <f t="shared" si="36"/>
        <v>6</v>
      </c>
      <c r="R76" s="8"/>
      <c r="T76"/>
    </row>
    <row r="77" spans="2:20" ht="23.1" customHeight="1" x14ac:dyDescent="0.25">
      <c r="B77" s="45" t="s">
        <v>117</v>
      </c>
      <c r="C77" s="51">
        <v>0</v>
      </c>
      <c r="D77" s="50">
        <v>0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0">
        <v>0</v>
      </c>
      <c r="M77" s="51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1">
        <v>0</v>
      </c>
      <c r="D78" s="50">
        <v>0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0">
        <v>0</v>
      </c>
      <c r="M78" s="51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1">
        <v>1</v>
      </c>
      <c r="D79" s="50">
        <v>0</v>
      </c>
      <c r="E79" s="51">
        <v>2</v>
      </c>
      <c r="F79" s="51">
        <v>0</v>
      </c>
      <c r="G79" s="51">
        <v>0</v>
      </c>
      <c r="H79" s="51">
        <v>0</v>
      </c>
      <c r="I79" s="51">
        <v>1</v>
      </c>
      <c r="J79" s="51">
        <v>0</v>
      </c>
      <c r="K79" s="51">
        <v>0</v>
      </c>
      <c r="L79" s="50">
        <v>1</v>
      </c>
      <c r="M79" s="51">
        <v>2</v>
      </c>
      <c r="N79" s="50">
        <v>0</v>
      </c>
      <c r="O79" s="15">
        <f t="shared" si="35"/>
        <v>5</v>
      </c>
      <c r="P79" s="15">
        <f t="shared" si="36"/>
        <v>7</v>
      </c>
      <c r="R79" s="8"/>
      <c r="T79"/>
    </row>
    <row r="80" spans="2:20" ht="23.1" customHeight="1" x14ac:dyDescent="0.25">
      <c r="B80" s="47" t="s">
        <v>120</v>
      </c>
      <c r="C80" s="51">
        <v>1</v>
      </c>
      <c r="D80" s="50">
        <v>0</v>
      </c>
      <c r="E80" s="51">
        <v>2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0">
        <v>1</v>
      </c>
      <c r="M80" s="51">
        <v>2</v>
      </c>
      <c r="N80" s="50">
        <v>0</v>
      </c>
      <c r="O80" s="15">
        <f t="shared" si="35"/>
        <v>4</v>
      </c>
      <c r="P80" s="15">
        <f t="shared" si="36"/>
        <v>6</v>
      </c>
      <c r="R80" s="8"/>
      <c r="T80"/>
    </row>
    <row r="81" spans="2:20" ht="23.1" customHeight="1" x14ac:dyDescent="0.25">
      <c r="B81" s="45" t="s">
        <v>121</v>
      </c>
      <c r="C81" s="51">
        <v>0</v>
      </c>
      <c r="D81" s="50">
        <v>0</v>
      </c>
      <c r="E81" s="51">
        <v>1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0">
        <v>0</v>
      </c>
      <c r="M81" s="51">
        <v>1</v>
      </c>
      <c r="N81" s="50">
        <v>0</v>
      </c>
      <c r="O81" s="15">
        <f t="shared" si="35"/>
        <v>1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1">
        <v>0</v>
      </c>
      <c r="D82" s="50">
        <v>0</v>
      </c>
      <c r="E82" s="51">
        <v>0</v>
      </c>
      <c r="F82" s="51">
        <v>0</v>
      </c>
      <c r="G82" s="51">
        <v>0</v>
      </c>
      <c r="H82" s="51">
        <v>1</v>
      </c>
      <c r="I82" s="51">
        <v>0</v>
      </c>
      <c r="J82" s="51">
        <v>0</v>
      </c>
      <c r="K82" s="51">
        <v>0</v>
      </c>
      <c r="L82" s="50">
        <v>0</v>
      </c>
      <c r="M82" s="51">
        <v>0</v>
      </c>
      <c r="N82" s="50">
        <v>0</v>
      </c>
      <c r="O82" s="15">
        <f t="shared" si="35"/>
        <v>1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1">
        <v>0</v>
      </c>
      <c r="D83" s="50">
        <v>0</v>
      </c>
      <c r="E83" s="51">
        <v>0</v>
      </c>
      <c r="F83" s="51">
        <v>0</v>
      </c>
      <c r="G83" s="51">
        <v>0</v>
      </c>
      <c r="H83" s="51">
        <v>1</v>
      </c>
      <c r="I83" s="51">
        <v>0</v>
      </c>
      <c r="J83" s="51">
        <v>0</v>
      </c>
      <c r="K83" s="51">
        <v>0</v>
      </c>
      <c r="L83" s="50">
        <v>0</v>
      </c>
      <c r="M83" s="51">
        <v>0</v>
      </c>
      <c r="N83" s="50">
        <v>0</v>
      </c>
      <c r="O83" s="15">
        <f t="shared" si="35"/>
        <v>1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1">
        <v>1</v>
      </c>
      <c r="D84" s="50">
        <v>0</v>
      </c>
      <c r="E84" s="51">
        <v>1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0">
        <v>0</v>
      </c>
      <c r="M84" s="51">
        <v>1</v>
      </c>
      <c r="N84" s="50">
        <v>0</v>
      </c>
      <c r="O84" s="15">
        <f t="shared" si="35"/>
        <v>2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1">
        <v>0</v>
      </c>
      <c r="D85" s="50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0">
        <v>0</v>
      </c>
      <c r="M85" s="51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1">
        <v>1</v>
      </c>
      <c r="D86" s="50">
        <v>0</v>
      </c>
      <c r="E86" s="51">
        <v>2</v>
      </c>
      <c r="F86" s="51">
        <v>0</v>
      </c>
      <c r="G86" s="51">
        <v>0</v>
      </c>
      <c r="H86" s="51">
        <v>3</v>
      </c>
      <c r="I86" s="51">
        <v>0</v>
      </c>
      <c r="J86" s="51">
        <v>0</v>
      </c>
      <c r="K86" s="51">
        <v>0</v>
      </c>
      <c r="L86" s="50">
        <v>1</v>
      </c>
      <c r="M86" s="51">
        <v>2</v>
      </c>
      <c r="N86" s="50">
        <v>0</v>
      </c>
      <c r="O86" s="15">
        <f t="shared" si="35"/>
        <v>7</v>
      </c>
      <c r="P86" s="15">
        <f t="shared" si="36"/>
        <v>9</v>
      </c>
      <c r="R86" s="8"/>
      <c r="T86"/>
    </row>
    <row r="87" spans="2:20" ht="23.1" customHeight="1" x14ac:dyDescent="0.25">
      <c r="B87" s="45" t="s">
        <v>127</v>
      </c>
      <c r="C87" s="51">
        <v>0</v>
      </c>
      <c r="D87" s="50">
        <v>0</v>
      </c>
      <c r="E87" s="51">
        <v>1</v>
      </c>
      <c r="F87" s="51">
        <v>0</v>
      </c>
      <c r="G87" s="51">
        <v>0</v>
      </c>
      <c r="H87" s="51">
        <v>1</v>
      </c>
      <c r="I87" s="51">
        <v>0</v>
      </c>
      <c r="J87" s="51">
        <v>0</v>
      </c>
      <c r="K87" s="51">
        <v>0</v>
      </c>
      <c r="L87" s="50">
        <v>0</v>
      </c>
      <c r="M87" s="51">
        <v>1</v>
      </c>
      <c r="N87" s="50">
        <v>0</v>
      </c>
      <c r="O87" s="15">
        <f t="shared" si="35"/>
        <v>2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1">
        <v>1</v>
      </c>
      <c r="D88" s="50">
        <v>0</v>
      </c>
      <c r="E88" s="51">
        <v>1</v>
      </c>
      <c r="F88" s="51">
        <v>0</v>
      </c>
      <c r="G88" s="51">
        <v>0</v>
      </c>
      <c r="H88" s="51">
        <v>1</v>
      </c>
      <c r="I88" s="51">
        <v>0</v>
      </c>
      <c r="J88" s="51">
        <v>0</v>
      </c>
      <c r="K88" s="51">
        <v>0</v>
      </c>
      <c r="L88" s="50">
        <v>0</v>
      </c>
      <c r="M88" s="51">
        <v>1</v>
      </c>
      <c r="N88" s="50">
        <v>0</v>
      </c>
      <c r="O88" s="15">
        <f t="shared" si="35"/>
        <v>3</v>
      </c>
      <c r="P88" s="15">
        <f t="shared" si="36"/>
        <v>4</v>
      </c>
      <c r="R88" s="8"/>
      <c r="T88"/>
    </row>
    <row r="89" spans="2:20" ht="23.1" customHeight="1" x14ac:dyDescent="0.25">
      <c r="B89" s="45" t="s">
        <v>129</v>
      </c>
      <c r="C89" s="51">
        <v>0</v>
      </c>
      <c r="D89" s="50">
        <v>0</v>
      </c>
      <c r="E89" s="51">
        <v>1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0">
        <v>0</v>
      </c>
      <c r="M89" s="51">
        <v>1</v>
      </c>
      <c r="N89" s="50">
        <v>0</v>
      </c>
      <c r="O89" s="15">
        <f t="shared" si="35"/>
        <v>1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1">
        <v>0</v>
      </c>
      <c r="D90" s="50">
        <v>0</v>
      </c>
      <c r="E90" s="51">
        <v>0</v>
      </c>
      <c r="F90" s="51">
        <v>0</v>
      </c>
      <c r="G90" s="51">
        <v>0</v>
      </c>
      <c r="H90" s="51">
        <v>1</v>
      </c>
      <c r="I90" s="51">
        <v>0</v>
      </c>
      <c r="J90" s="51">
        <v>0</v>
      </c>
      <c r="K90" s="51">
        <v>0</v>
      </c>
      <c r="L90" s="50">
        <v>0</v>
      </c>
      <c r="M90" s="51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1">
        <v>1</v>
      </c>
      <c r="D91" s="50">
        <v>0</v>
      </c>
      <c r="E91" s="51">
        <v>2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0">
        <v>1</v>
      </c>
      <c r="M91" s="51">
        <v>2</v>
      </c>
      <c r="N91" s="50">
        <v>0</v>
      </c>
      <c r="O91" s="15">
        <f t="shared" si="35"/>
        <v>4</v>
      </c>
      <c r="P91" s="15">
        <f t="shared" si="36"/>
        <v>6</v>
      </c>
      <c r="R91" s="8"/>
      <c r="T91"/>
    </row>
    <row r="92" spans="2:20" ht="23.1" customHeight="1" x14ac:dyDescent="0.25">
      <c r="B92" s="47" t="s">
        <v>132</v>
      </c>
      <c r="C92" s="51">
        <v>0</v>
      </c>
      <c r="D92" s="50">
        <v>0</v>
      </c>
      <c r="E92" s="51">
        <v>1</v>
      </c>
      <c r="F92" s="51">
        <v>0</v>
      </c>
      <c r="G92" s="51">
        <v>0</v>
      </c>
      <c r="H92" s="51">
        <v>4</v>
      </c>
      <c r="I92" s="51">
        <v>1</v>
      </c>
      <c r="J92" s="51">
        <v>0</v>
      </c>
      <c r="K92" s="51">
        <v>0</v>
      </c>
      <c r="L92" s="50">
        <v>1</v>
      </c>
      <c r="M92" s="51">
        <v>3</v>
      </c>
      <c r="N92" s="50">
        <v>0</v>
      </c>
      <c r="O92" s="15">
        <f t="shared" si="35"/>
        <v>7</v>
      </c>
      <c r="P92" s="15">
        <f t="shared" si="36"/>
        <v>10</v>
      </c>
      <c r="R92" s="8"/>
      <c r="T92"/>
    </row>
    <row r="93" spans="2:20" ht="23.1" customHeight="1" x14ac:dyDescent="0.25">
      <c r="B93" s="45" t="s">
        <v>133</v>
      </c>
      <c r="C93" s="51">
        <v>1</v>
      </c>
      <c r="D93" s="50">
        <v>0</v>
      </c>
      <c r="E93" s="51">
        <v>1</v>
      </c>
      <c r="F93" s="51">
        <v>0</v>
      </c>
      <c r="G93" s="51">
        <v>0</v>
      </c>
      <c r="H93" s="51">
        <v>1</v>
      </c>
      <c r="I93" s="51">
        <v>0</v>
      </c>
      <c r="J93" s="51">
        <v>0</v>
      </c>
      <c r="K93" s="51">
        <v>0</v>
      </c>
      <c r="L93" s="50">
        <v>0</v>
      </c>
      <c r="M93" s="51">
        <v>1</v>
      </c>
      <c r="N93" s="50">
        <v>0</v>
      </c>
      <c r="O93" s="15">
        <f t="shared" si="35"/>
        <v>3</v>
      </c>
      <c r="P93" s="15">
        <f t="shared" si="36"/>
        <v>4</v>
      </c>
      <c r="R93" s="8"/>
      <c r="T93"/>
    </row>
    <row r="94" spans="2:20" ht="23.1" customHeight="1" x14ac:dyDescent="0.25">
      <c r="B94" s="46" t="s">
        <v>134</v>
      </c>
      <c r="C94" s="51">
        <v>1</v>
      </c>
      <c r="D94" s="50">
        <v>0</v>
      </c>
      <c r="E94" s="51">
        <v>1</v>
      </c>
      <c r="F94" s="51">
        <v>0</v>
      </c>
      <c r="G94" s="51">
        <v>0</v>
      </c>
      <c r="H94" s="51">
        <v>2</v>
      </c>
      <c r="I94" s="51">
        <v>0</v>
      </c>
      <c r="J94" s="51">
        <v>0</v>
      </c>
      <c r="K94" s="51">
        <v>0</v>
      </c>
      <c r="L94" s="50">
        <v>0</v>
      </c>
      <c r="M94" s="51">
        <v>1</v>
      </c>
      <c r="N94" s="50">
        <v>0</v>
      </c>
      <c r="O94" s="15">
        <f t="shared" si="35"/>
        <v>4</v>
      </c>
      <c r="P94" s="15">
        <f t="shared" si="36"/>
        <v>5</v>
      </c>
      <c r="R94" s="8"/>
      <c r="T94"/>
    </row>
    <row r="95" spans="2:20" ht="23.1" customHeight="1" x14ac:dyDescent="0.25">
      <c r="B95" s="45" t="s">
        <v>135</v>
      </c>
      <c r="C95" s="51">
        <v>0</v>
      </c>
      <c r="D95" s="50">
        <v>0</v>
      </c>
      <c r="E95" s="51">
        <v>1</v>
      </c>
      <c r="F95" s="51">
        <v>0</v>
      </c>
      <c r="G95" s="51">
        <v>0</v>
      </c>
      <c r="H95" s="51">
        <v>2</v>
      </c>
      <c r="I95" s="51">
        <v>0</v>
      </c>
      <c r="J95" s="51">
        <v>0</v>
      </c>
      <c r="K95" s="51">
        <v>0</v>
      </c>
      <c r="L95" s="50">
        <v>0</v>
      </c>
      <c r="M95" s="51">
        <v>1</v>
      </c>
      <c r="N95" s="50">
        <v>0</v>
      </c>
      <c r="O95" s="15">
        <f t="shared" si="35"/>
        <v>3</v>
      </c>
      <c r="P95" s="15">
        <f t="shared" si="36"/>
        <v>4</v>
      </c>
      <c r="R95" s="8"/>
      <c r="T95"/>
    </row>
    <row r="96" spans="2:20" ht="23.1" customHeight="1" x14ac:dyDescent="0.25">
      <c r="B96" s="47" t="s">
        <v>136</v>
      </c>
      <c r="C96" s="51">
        <v>1</v>
      </c>
      <c r="D96" s="50">
        <v>0</v>
      </c>
      <c r="E96" s="51">
        <v>2</v>
      </c>
      <c r="F96" s="51">
        <v>0</v>
      </c>
      <c r="G96" s="51">
        <v>0</v>
      </c>
      <c r="H96" s="51">
        <v>2</v>
      </c>
      <c r="I96" s="51">
        <v>1</v>
      </c>
      <c r="J96" s="51">
        <v>0</v>
      </c>
      <c r="K96" s="51">
        <v>0</v>
      </c>
      <c r="L96" s="50">
        <v>1</v>
      </c>
      <c r="M96" s="51">
        <v>2</v>
      </c>
      <c r="N96" s="50">
        <v>0</v>
      </c>
      <c r="O96" s="15">
        <f t="shared" si="35"/>
        <v>7</v>
      </c>
      <c r="P96" s="15">
        <f t="shared" si="36"/>
        <v>9</v>
      </c>
      <c r="R96" s="8"/>
      <c r="T96"/>
    </row>
    <row r="97" spans="2:20" ht="23.1" customHeight="1" x14ac:dyDescent="0.25">
      <c r="B97" s="45" t="s">
        <v>137</v>
      </c>
      <c r="C97" s="51">
        <v>0</v>
      </c>
      <c r="D97" s="50">
        <v>0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0">
        <v>0</v>
      </c>
      <c r="M97" s="51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1">
        <v>0</v>
      </c>
      <c r="D98" s="50">
        <v>0</v>
      </c>
      <c r="E98" s="51">
        <v>1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0">
        <v>0</v>
      </c>
      <c r="M98" s="51">
        <v>1</v>
      </c>
      <c r="N98" s="50">
        <v>0</v>
      </c>
      <c r="O98" s="15">
        <f t="shared" si="35"/>
        <v>1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1">
        <v>1</v>
      </c>
      <c r="D99" s="50">
        <v>0</v>
      </c>
      <c r="E99" s="51">
        <v>1</v>
      </c>
      <c r="F99" s="51">
        <v>0</v>
      </c>
      <c r="G99" s="51">
        <v>0</v>
      </c>
      <c r="H99" s="51">
        <v>3</v>
      </c>
      <c r="I99" s="51">
        <v>0</v>
      </c>
      <c r="J99" s="51">
        <v>0</v>
      </c>
      <c r="K99" s="51">
        <v>0</v>
      </c>
      <c r="L99" s="50">
        <v>0</v>
      </c>
      <c r="M99" s="51">
        <v>1</v>
      </c>
      <c r="N99" s="50">
        <v>0</v>
      </c>
      <c r="O99" s="15">
        <f t="shared" si="35"/>
        <v>5</v>
      </c>
      <c r="P99" s="15">
        <f t="shared" si="36"/>
        <v>6</v>
      </c>
      <c r="R99" s="8"/>
      <c r="T99"/>
    </row>
    <row r="100" spans="2:20" ht="23.1" customHeight="1" x14ac:dyDescent="0.25">
      <c r="B100" s="47" t="s">
        <v>140</v>
      </c>
      <c r="C100" s="51">
        <v>0</v>
      </c>
      <c r="D100" s="50">
        <v>0</v>
      </c>
      <c r="E100" s="51">
        <v>1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0">
        <v>0</v>
      </c>
      <c r="M100" s="51">
        <v>1</v>
      </c>
      <c r="N100" s="50">
        <v>0</v>
      </c>
      <c r="O100" s="15">
        <f t="shared" si="35"/>
        <v>1</v>
      </c>
      <c r="P100" s="15">
        <f t="shared" si="36"/>
        <v>2</v>
      </c>
      <c r="R100" s="8"/>
      <c r="T100"/>
    </row>
    <row r="101" spans="2:20" ht="23.1" customHeight="1" x14ac:dyDescent="0.25">
      <c r="B101" s="45" t="s">
        <v>141</v>
      </c>
      <c r="C101" s="51">
        <v>1</v>
      </c>
      <c r="D101" s="50">
        <v>0</v>
      </c>
      <c r="E101" s="51">
        <v>2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0">
        <v>1</v>
      </c>
      <c r="M101" s="51">
        <v>2</v>
      </c>
      <c r="N101" s="50">
        <v>0</v>
      </c>
      <c r="O101" s="15">
        <f t="shared" si="35"/>
        <v>4</v>
      </c>
      <c r="P101" s="15">
        <f t="shared" si="36"/>
        <v>6</v>
      </c>
      <c r="R101" s="8"/>
      <c r="T101"/>
    </row>
    <row r="102" spans="2:20" ht="23.1" customHeight="1" x14ac:dyDescent="0.25">
      <c r="B102" s="46" t="s">
        <v>142</v>
      </c>
      <c r="C102" s="51">
        <v>0</v>
      </c>
      <c r="D102" s="50">
        <v>0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0">
        <v>0</v>
      </c>
      <c r="M102" s="51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1">
        <v>1</v>
      </c>
      <c r="D103" s="50">
        <v>0</v>
      </c>
      <c r="E103" s="51">
        <v>1</v>
      </c>
      <c r="F103" s="51">
        <v>0</v>
      </c>
      <c r="G103" s="51">
        <v>0</v>
      </c>
      <c r="H103" s="51">
        <v>1</v>
      </c>
      <c r="I103" s="51">
        <v>0</v>
      </c>
      <c r="J103" s="51">
        <v>0</v>
      </c>
      <c r="K103" s="51">
        <v>0</v>
      </c>
      <c r="L103" s="50">
        <v>0</v>
      </c>
      <c r="M103" s="51">
        <v>1</v>
      </c>
      <c r="N103" s="50">
        <v>0</v>
      </c>
      <c r="O103" s="15">
        <f t="shared" si="35"/>
        <v>3</v>
      </c>
      <c r="P103" s="15">
        <f t="shared" si="36"/>
        <v>4</v>
      </c>
      <c r="R103" s="8"/>
      <c r="T103"/>
    </row>
    <row r="104" spans="2:20" ht="23.1" customHeight="1" x14ac:dyDescent="0.25">
      <c r="B104" s="47" t="s">
        <v>144</v>
      </c>
      <c r="C104" s="51">
        <v>2</v>
      </c>
      <c r="D104" s="50">
        <v>1</v>
      </c>
      <c r="E104" s="51">
        <v>2</v>
      </c>
      <c r="F104" s="51">
        <v>1</v>
      </c>
      <c r="G104" s="51">
        <v>0</v>
      </c>
      <c r="H104" s="51">
        <v>0</v>
      </c>
      <c r="I104" s="51">
        <v>1</v>
      </c>
      <c r="J104" s="51">
        <v>0</v>
      </c>
      <c r="K104" s="51">
        <v>0</v>
      </c>
      <c r="L104" s="50">
        <v>1</v>
      </c>
      <c r="M104" s="51">
        <v>3</v>
      </c>
      <c r="N104" s="50">
        <v>0</v>
      </c>
      <c r="O104" s="15">
        <f t="shared" si="35"/>
        <v>8</v>
      </c>
      <c r="P104" s="15">
        <f t="shared" si="36"/>
        <v>11</v>
      </c>
      <c r="R104" s="8"/>
      <c r="T104"/>
    </row>
    <row r="105" spans="2:20" ht="23.1" customHeight="1" x14ac:dyDescent="0.25">
      <c r="B105" s="45" t="s">
        <v>145</v>
      </c>
      <c r="C105" s="51">
        <v>1</v>
      </c>
      <c r="D105" s="50">
        <v>0</v>
      </c>
      <c r="E105" s="51">
        <v>1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0">
        <v>0</v>
      </c>
      <c r="M105" s="51">
        <v>1</v>
      </c>
      <c r="N105" s="50">
        <v>0</v>
      </c>
      <c r="O105" s="15">
        <f t="shared" si="35"/>
        <v>2</v>
      </c>
      <c r="P105" s="15">
        <f t="shared" si="36"/>
        <v>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166</v>
      </c>
      <c r="D106" s="16">
        <f t="shared" ref="D106:P106" si="37">SUM(D10:D105)</f>
        <v>77</v>
      </c>
      <c r="E106" s="16">
        <f t="shared" si="37"/>
        <v>222</v>
      </c>
      <c r="F106" s="16">
        <f t="shared" si="37"/>
        <v>99</v>
      </c>
      <c r="G106" s="16">
        <f t="shared" si="37"/>
        <v>3</v>
      </c>
      <c r="H106" s="16">
        <f t="shared" si="37"/>
        <v>73</v>
      </c>
      <c r="I106" s="16">
        <f t="shared" si="37"/>
        <v>93</v>
      </c>
      <c r="J106" s="16">
        <f t="shared" si="37"/>
        <v>7</v>
      </c>
      <c r="K106" s="16">
        <f t="shared" si="37"/>
        <v>6</v>
      </c>
      <c r="L106" s="16">
        <f t="shared" si="37"/>
        <v>86</v>
      </c>
      <c r="M106" s="16">
        <f t="shared" si="37"/>
        <v>293</v>
      </c>
      <c r="N106" s="16">
        <f t="shared" si="37"/>
        <v>0</v>
      </c>
      <c r="O106" s="16">
        <f t="shared" si="37"/>
        <v>832</v>
      </c>
      <c r="P106" s="16">
        <f t="shared" si="37"/>
        <v>1125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0.14755555555555555</v>
      </c>
      <c r="D107" s="43">
        <f t="shared" si="38"/>
        <v>6.8444444444444447E-2</v>
      </c>
      <c r="E107" s="43">
        <f t="shared" si="38"/>
        <v>0.19733333333333333</v>
      </c>
      <c r="F107" s="43">
        <f t="shared" si="38"/>
        <v>8.7999999999999995E-2</v>
      </c>
      <c r="G107" s="43">
        <f t="shared" si="38"/>
        <v>2.6666666666666666E-3</v>
      </c>
      <c r="H107" s="43">
        <f t="shared" si="38"/>
        <v>6.4888888888888885E-2</v>
      </c>
      <c r="I107" s="43">
        <f t="shared" si="38"/>
        <v>8.2666666666666666E-2</v>
      </c>
      <c r="J107" s="43">
        <f t="shared" si="38"/>
        <v>6.2222222222222219E-3</v>
      </c>
      <c r="K107" s="43">
        <f t="shared" si="38"/>
        <v>5.3333333333333332E-3</v>
      </c>
      <c r="L107" s="43">
        <f t="shared" si="38"/>
        <v>7.644444444444444E-2</v>
      </c>
      <c r="M107" s="43">
        <f t="shared" si="38"/>
        <v>0.26044444444444442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0.19951923076923078</v>
      </c>
      <c r="D108" s="44">
        <f t="shared" ref="D108:N108" si="39">D106/$O$106</f>
        <v>9.2548076923076927E-2</v>
      </c>
      <c r="E108" s="44">
        <f t="shared" si="39"/>
        <v>0.26682692307692307</v>
      </c>
      <c r="F108" s="44">
        <f t="shared" si="39"/>
        <v>0.11899038461538461</v>
      </c>
      <c r="G108" s="44">
        <f t="shared" si="39"/>
        <v>3.605769230769231E-3</v>
      </c>
      <c r="H108" s="44">
        <f t="shared" si="39"/>
        <v>8.7740384615384609E-2</v>
      </c>
      <c r="I108" s="44">
        <f t="shared" si="39"/>
        <v>0.11177884615384616</v>
      </c>
      <c r="J108" s="44">
        <f t="shared" si="39"/>
        <v>8.4134615384615381E-3</v>
      </c>
      <c r="K108" s="44">
        <f t="shared" si="39"/>
        <v>7.2115384615384619E-3</v>
      </c>
      <c r="L108" s="44">
        <f t="shared" si="39"/>
        <v>0.10336538461538461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CADF-453D-49DE-802C-B581FA4BF045}">
  <sheetPr>
    <tabColor theme="2" tint="-0.249977111117893"/>
  </sheetPr>
  <dimension ref="B1:AF174"/>
  <sheetViews>
    <sheetView view="pageBreakPreview" topLeftCell="A52" zoomScale="59" zoomScaleSheetLayoutView="59" workbookViewId="0">
      <selection activeCell="G72" sqref="G7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'29.07 Karuma-Kigumba'!C3:G3</f>
        <v>MCC - C5 - STN113 - KIGUMBA-KARUMA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174</v>
      </c>
      <c r="E5" s="3"/>
      <c r="F5" s="41" t="s">
        <v>1</v>
      </c>
      <c r="G5" s="71" t="str">
        <f>'01.08 Kigumba-Karuma'!G5:H5</f>
        <v>nanda</v>
      </c>
      <c r="H5" s="72"/>
      <c r="I5" s="14"/>
      <c r="J5" s="2" t="s">
        <v>5</v>
      </c>
      <c r="K5" s="71" t="str">
        <f>'01.08 Kigumba-Karuma'!K5:L5</f>
        <v>xxx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'29.07 Karuma-Kigumba'!D6:E6</f>
        <v>karuma</v>
      </c>
      <c r="E6" s="72"/>
      <c r="F6" s="2" t="s">
        <v>2</v>
      </c>
      <c r="G6" s="71" t="str">
        <f>'29.07 Karuma-Kigumba'!G6:H6</f>
        <v>kigumba</v>
      </c>
      <c r="H6" s="72"/>
      <c r="J6" s="2" t="s">
        <v>21</v>
      </c>
      <c r="K6" s="71" t="str">
        <f>'01.08 Kigumba-Karuma'!K6:L6</f>
        <v>xxx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1">
        <v>0</v>
      </c>
      <c r="D10" s="50">
        <v>0</v>
      </c>
      <c r="E10" s="51">
        <v>1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0">
        <v>0</v>
      </c>
      <c r="M10" s="51">
        <v>2</v>
      </c>
      <c r="N10" s="51">
        <v>0</v>
      </c>
      <c r="O10" s="15">
        <f t="shared" ref="O10:O73" si="0">SUM(C10:L10,N10)</f>
        <v>1</v>
      </c>
      <c r="P10" s="15">
        <f t="shared" ref="P10:P73" si="1">SUM(C10:N10)</f>
        <v>3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3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5</v>
      </c>
      <c r="AC10" s="17">
        <f t="shared" si="2"/>
        <v>9</v>
      </c>
      <c r="AD10" s="17">
        <f t="shared" si="2"/>
        <v>0</v>
      </c>
      <c r="AE10" s="31">
        <f t="shared" si="2"/>
        <v>14</v>
      </c>
      <c r="AF10" s="31">
        <f t="shared" si="2"/>
        <v>23</v>
      </c>
    </row>
    <row r="11" spans="2:32" s="6" customFormat="1" ht="23.1" customHeight="1" x14ac:dyDescent="0.25">
      <c r="B11" s="45" t="s">
        <v>38</v>
      </c>
      <c r="C11" s="51">
        <v>0</v>
      </c>
      <c r="D11" s="50">
        <v>0</v>
      </c>
      <c r="E11" s="51">
        <v>1</v>
      </c>
      <c r="F11" s="51">
        <v>0</v>
      </c>
      <c r="G11" s="51">
        <v>0</v>
      </c>
      <c r="H11" s="51">
        <v>0</v>
      </c>
      <c r="I11" s="51">
        <v>3</v>
      </c>
      <c r="J11" s="51">
        <v>0</v>
      </c>
      <c r="K11" s="51">
        <v>0</v>
      </c>
      <c r="L11" s="50">
        <v>4</v>
      </c>
      <c r="M11" s="51">
        <v>2</v>
      </c>
      <c r="N11" s="51">
        <v>0</v>
      </c>
      <c r="O11" s="15">
        <f t="shared" si="0"/>
        <v>8</v>
      </c>
      <c r="P11" s="15">
        <f t="shared" si="1"/>
        <v>10</v>
      </c>
      <c r="R11" s="1" t="s">
        <v>7</v>
      </c>
      <c r="S11" s="17">
        <f t="shared" ref="S11:AF11" si="3">SUM(C14:C17)</f>
        <v>4</v>
      </c>
      <c r="T11" s="17">
        <f t="shared" si="3"/>
        <v>3</v>
      </c>
      <c r="U11" s="17">
        <f t="shared" si="3"/>
        <v>6</v>
      </c>
      <c r="V11" s="17">
        <f t="shared" si="3"/>
        <v>5</v>
      </c>
      <c r="W11" s="17">
        <f t="shared" si="3"/>
        <v>1</v>
      </c>
      <c r="X11" s="17">
        <f t="shared" si="3"/>
        <v>2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6</v>
      </c>
      <c r="AC11" s="17">
        <f t="shared" si="3"/>
        <v>10</v>
      </c>
      <c r="AD11" s="17">
        <f t="shared" si="3"/>
        <v>0</v>
      </c>
      <c r="AE11" s="31">
        <f t="shared" si="3"/>
        <v>28</v>
      </c>
      <c r="AF11" s="31">
        <f t="shared" si="3"/>
        <v>38</v>
      </c>
    </row>
    <row r="12" spans="2:32" ht="23.1" customHeight="1" x14ac:dyDescent="0.25">
      <c r="B12" s="45" t="s">
        <v>39</v>
      </c>
      <c r="C12" s="51">
        <v>0</v>
      </c>
      <c r="D12" s="50">
        <v>0</v>
      </c>
      <c r="E12" s="51">
        <v>0</v>
      </c>
      <c r="F12" s="51">
        <v>1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0">
        <v>1</v>
      </c>
      <c r="M12" s="51">
        <v>2</v>
      </c>
      <c r="N12" s="51">
        <v>0</v>
      </c>
      <c r="O12" s="15">
        <f t="shared" si="0"/>
        <v>2</v>
      </c>
      <c r="P12" s="15">
        <f t="shared" si="1"/>
        <v>4</v>
      </c>
      <c r="R12" s="1" t="s">
        <v>8</v>
      </c>
      <c r="S12" s="17">
        <f t="shared" ref="S12:AF12" si="4">SUM(C18:C21)</f>
        <v>5</v>
      </c>
      <c r="T12" s="17">
        <f t="shared" si="4"/>
        <v>3</v>
      </c>
      <c r="U12" s="17">
        <f t="shared" si="4"/>
        <v>5</v>
      </c>
      <c r="V12" s="17">
        <f t="shared" si="4"/>
        <v>7</v>
      </c>
      <c r="W12" s="17">
        <f t="shared" si="4"/>
        <v>0</v>
      </c>
      <c r="X12" s="17">
        <f t="shared" si="4"/>
        <v>3</v>
      </c>
      <c r="Y12" s="17">
        <f t="shared" si="4"/>
        <v>1</v>
      </c>
      <c r="Z12" s="17">
        <f t="shared" si="4"/>
        <v>0</v>
      </c>
      <c r="AA12" s="17">
        <f t="shared" si="4"/>
        <v>1</v>
      </c>
      <c r="AB12" s="17">
        <f t="shared" si="4"/>
        <v>1</v>
      </c>
      <c r="AC12" s="17">
        <f t="shared" si="4"/>
        <v>10</v>
      </c>
      <c r="AD12" s="17">
        <f t="shared" si="4"/>
        <v>0</v>
      </c>
      <c r="AE12" s="31">
        <f t="shared" si="4"/>
        <v>26</v>
      </c>
      <c r="AF12" s="31">
        <f t="shared" si="4"/>
        <v>36</v>
      </c>
    </row>
    <row r="13" spans="2:32" ht="23.1" customHeight="1" x14ac:dyDescent="0.25">
      <c r="B13" s="45" t="s">
        <v>40</v>
      </c>
      <c r="C13" s="51">
        <v>0</v>
      </c>
      <c r="D13" s="50">
        <v>1</v>
      </c>
      <c r="E13" s="51">
        <v>1</v>
      </c>
      <c r="F13" s="51">
        <v>1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0">
        <v>0</v>
      </c>
      <c r="M13" s="51">
        <v>3</v>
      </c>
      <c r="N13" s="51">
        <v>0</v>
      </c>
      <c r="O13" s="15">
        <f t="shared" si="0"/>
        <v>3</v>
      </c>
      <c r="P13" s="15">
        <f t="shared" si="1"/>
        <v>6</v>
      </c>
      <c r="R13" s="1" t="s">
        <v>9</v>
      </c>
      <c r="S13" s="17">
        <f t="shared" ref="S13:AF13" si="5">SUM(C22:C25)</f>
        <v>7</v>
      </c>
      <c r="T13" s="17">
        <f t="shared" si="5"/>
        <v>5</v>
      </c>
      <c r="U13" s="17">
        <f t="shared" si="5"/>
        <v>7</v>
      </c>
      <c r="V13" s="17">
        <f t="shared" si="5"/>
        <v>12</v>
      </c>
      <c r="W13" s="17">
        <f t="shared" si="5"/>
        <v>0</v>
      </c>
      <c r="X13" s="17">
        <f t="shared" si="5"/>
        <v>3</v>
      </c>
      <c r="Y13" s="17">
        <f t="shared" si="5"/>
        <v>7</v>
      </c>
      <c r="Z13" s="17">
        <f t="shared" si="5"/>
        <v>3</v>
      </c>
      <c r="AA13" s="17">
        <f t="shared" si="5"/>
        <v>0</v>
      </c>
      <c r="AB13" s="17">
        <f t="shared" si="5"/>
        <v>1</v>
      </c>
      <c r="AC13" s="17">
        <f t="shared" si="5"/>
        <v>21</v>
      </c>
      <c r="AD13" s="17">
        <f t="shared" si="5"/>
        <v>0</v>
      </c>
      <c r="AE13" s="31">
        <f t="shared" si="5"/>
        <v>45</v>
      </c>
      <c r="AF13" s="31">
        <f t="shared" si="5"/>
        <v>66</v>
      </c>
    </row>
    <row r="14" spans="2:32" ht="23.1" customHeight="1" x14ac:dyDescent="0.25">
      <c r="B14" s="45" t="s">
        <v>41</v>
      </c>
      <c r="C14" s="51">
        <v>0</v>
      </c>
      <c r="D14" s="50">
        <v>0</v>
      </c>
      <c r="E14" s="51">
        <v>1</v>
      </c>
      <c r="F14" s="51">
        <v>1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0">
        <v>3</v>
      </c>
      <c r="M14" s="51">
        <v>2</v>
      </c>
      <c r="N14" s="51">
        <v>0</v>
      </c>
      <c r="O14" s="15">
        <f t="shared" si="0"/>
        <v>5</v>
      </c>
      <c r="P14" s="15">
        <f t="shared" si="1"/>
        <v>7</v>
      </c>
      <c r="R14" s="1" t="s">
        <v>10</v>
      </c>
      <c r="S14" s="17">
        <f t="shared" ref="S14:AF14" si="6">SUM(C26:C29)</f>
        <v>2</v>
      </c>
      <c r="T14" s="17">
        <f t="shared" si="6"/>
        <v>9</v>
      </c>
      <c r="U14" s="17">
        <f t="shared" si="6"/>
        <v>11</v>
      </c>
      <c r="V14" s="17">
        <f t="shared" si="6"/>
        <v>3</v>
      </c>
      <c r="W14" s="17">
        <f t="shared" si="6"/>
        <v>0</v>
      </c>
      <c r="X14" s="17">
        <f t="shared" si="6"/>
        <v>6</v>
      </c>
      <c r="Y14" s="17">
        <f t="shared" si="6"/>
        <v>6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13</v>
      </c>
      <c r="AD14" s="17">
        <f t="shared" si="6"/>
        <v>0</v>
      </c>
      <c r="AE14" s="31">
        <f t="shared" si="6"/>
        <v>38</v>
      </c>
      <c r="AF14" s="31">
        <f t="shared" si="6"/>
        <v>51</v>
      </c>
    </row>
    <row r="15" spans="2:32" ht="23.1" customHeight="1" x14ac:dyDescent="0.25">
      <c r="B15" s="45" t="s">
        <v>42</v>
      </c>
      <c r="C15" s="51">
        <v>0</v>
      </c>
      <c r="D15" s="50">
        <v>0</v>
      </c>
      <c r="E15" s="51">
        <v>1</v>
      </c>
      <c r="F15" s="51">
        <v>2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0">
        <v>2</v>
      </c>
      <c r="M15" s="51">
        <v>4</v>
      </c>
      <c r="N15" s="51">
        <v>0</v>
      </c>
      <c r="O15" s="15">
        <f t="shared" si="0"/>
        <v>5</v>
      </c>
      <c r="P15" s="15">
        <f t="shared" si="1"/>
        <v>9</v>
      </c>
      <c r="R15" s="1" t="s">
        <v>11</v>
      </c>
      <c r="S15" s="17">
        <f t="shared" ref="S15:AF15" si="7">SUM(C30:C33)</f>
        <v>3</v>
      </c>
      <c r="T15" s="17">
        <f t="shared" si="7"/>
        <v>7</v>
      </c>
      <c r="U15" s="17">
        <f t="shared" si="7"/>
        <v>9</v>
      </c>
      <c r="V15" s="17">
        <f t="shared" si="7"/>
        <v>7</v>
      </c>
      <c r="W15" s="17">
        <f t="shared" si="7"/>
        <v>0</v>
      </c>
      <c r="X15" s="17">
        <f t="shared" si="7"/>
        <v>5</v>
      </c>
      <c r="Y15" s="17">
        <f t="shared" si="7"/>
        <v>8</v>
      </c>
      <c r="Z15" s="17">
        <f t="shared" si="7"/>
        <v>2</v>
      </c>
      <c r="AA15" s="17">
        <f t="shared" si="7"/>
        <v>2</v>
      </c>
      <c r="AB15" s="17">
        <f t="shared" si="7"/>
        <v>7</v>
      </c>
      <c r="AC15" s="17">
        <f t="shared" si="7"/>
        <v>6</v>
      </c>
      <c r="AD15" s="17">
        <f t="shared" si="7"/>
        <v>0</v>
      </c>
      <c r="AE15" s="31">
        <f t="shared" si="7"/>
        <v>50</v>
      </c>
      <c r="AF15" s="31">
        <f t="shared" si="7"/>
        <v>56</v>
      </c>
    </row>
    <row r="16" spans="2:32" ht="23.1" customHeight="1" x14ac:dyDescent="0.25">
      <c r="B16" s="45" t="s">
        <v>43</v>
      </c>
      <c r="C16" s="51">
        <v>2</v>
      </c>
      <c r="D16" s="50">
        <v>2</v>
      </c>
      <c r="E16" s="51">
        <v>3</v>
      </c>
      <c r="F16" s="51">
        <v>2</v>
      </c>
      <c r="G16" s="51">
        <v>0</v>
      </c>
      <c r="H16" s="51">
        <v>1</v>
      </c>
      <c r="I16" s="51">
        <v>0</v>
      </c>
      <c r="J16" s="51">
        <v>1</v>
      </c>
      <c r="K16" s="51">
        <v>0</v>
      </c>
      <c r="L16" s="50">
        <v>1</v>
      </c>
      <c r="M16" s="51">
        <v>4</v>
      </c>
      <c r="N16" s="51">
        <v>0</v>
      </c>
      <c r="O16" s="15">
        <f t="shared" si="0"/>
        <v>12</v>
      </c>
      <c r="P16" s="15">
        <f t="shared" si="1"/>
        <v>16</v>
      </c>
      <c r="R16" s="1" t="s">
        <v>12</v>
      </c>
      <c r="S16" s="17">
        <f t="shared" ref="S16:AF16" si="8">SUM(C34:C37)</f>
        <v>11</v>
      </c>
      <c r="T16" s="17">
        <f t="shared" si="8"/>
        <v>9</v>
      </c>
      <c r="U16" s="17">
        <f t="shared" si="8"/>
        <v>11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2</v>
      </c>
      <c r="AA16" s="17">
        <f t="shared" si="8"/>
        <v>1</v>
      </c>
      <c r="AB16" s="17">
        <f t="shared" si="8"/>
        <v>11</v>
      </c>
      <c r="AC16" s="17">
        <f t="shared" si="8"/>
        <v>8</v>
      </c>
      <c r="AD16" s="17">
        <f t="shared" si="8"/>
        <v>0</v>
      </c>
      <c r="AE16" s="31">
        <f t="shared" si="8"/>
        <v>59</v>
      </c>
      <c r="AF16" s="31">
        <f t="shared" si="8"/>
        <v>67</v>
      </c>
    </row>
    <row r="17" spans="2:32" ht="23.1" customHeight="1" x14ac:dyDescent="0.25">
      <c r="B17" s="45" t="s">
        <v>44</v>
      </c>
      <c r="C17" s="51">
        <v>2</v>
      </c>
      <c r="D17" s="50">
        <v>1</v>
      </c>
      <c r="E17" s="51">
        <v>1</v>
      </c>
      <c r="F17" s="51">
        <v>0</v>
      </c>
      <c r="G17" s="51">
        <v>1</v>
      </c>
      <c r="H17" s="51">
        <v>1</v>
      </c>
      <c r="I17" s="51">
        <v>0</v>
      </c>
      <c r="J17" s="51">
        <v>0</v>
      </c>
      <c r="K17" s="51">
        <v>0</v>
      </c>
      <c r="L17" s="50">
        <v>0</v>
      </c>
      <c r="M17" s="51">
        <v>0</v>
      </c>
      <c r="N17" s="51">
        <v>0</v>
      </c>
      <c r="O17" s="15">
        <f t="shared" si="0"/>
        <v>6</v>
      </c>
      <c r="P17" s="15">
        <f t="shared" si="1"/>
        <v>6</v>
      </c>
      <c r="R17" s="1" t="s">
        <v>13</v>
      </c>
      <c r="S17" s="17">
        <f t="shared" ref="S17:AF17" si="9">SUM(C38:C41)</f>
        <v>6</v>
      </c>
      <c r="T17" s="17">
        <f t="shared" si="9"/>
        <v>7</v>
      </c>
      <c r="U17" s="17">
        <f t="shared" si="9"/>
        <v>9</v>
      </c>
      <c r="V17" s="17">
        <f t="shared" si="9"/>
        <v>5</v>
      </c>
      <c r="W17" s="17">
        <f t="shared" si="9"/>
        <v>1</v>
      </c>
      <c r="X17" s="17">
        <f t="shared" si="9"/>
        <v>5</v>
      </c>
      <c r="Y17" s="17">
        <f t="shared" si="9"/>
        <v>5</v>
      </c>
      <c r="Z17" s="17">
        <f t="shared" si="9"/>
        <v>2</v>
      </c>
      <c r="AA17" s="17">
        <f t="shared" si="9"/>
        <v>0</v>
      </c>
      <c r="AB17" s="17">
        <f t="shared" si="9"/>
        <v>2</v>
      </c>
      <c r="AC17" s="17">
        <f t="shared" si="9"/>
        <v>12</v>
      </c>
      <c r="AD17" s="17">
        <f t="shared" si="9"/>
        <v>0</v>
      </c>
      <c r="AE17" s="31">
        <f t="shared" si="9"/>
        <v>42</v>
      </c>
      <c r="AF17" s="31">
        <f t="shared" si="9"/>
        <v>54</v>
      </c>
    </row>
    <row r="18" spans="2:32" ht="23.1" customHeight="1" x14ac:dyDescent="0.25">
      <c r="B18" s="45" t="s">
        <v>45</v>
      </c>
      <c r="C18" s="51">
        <v>1</v>
      </c>
      <c r="D18" s="50">
        <v>0</v>
      </c>
      <c r="E18" s="51">
        <v>1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0">
        <v>0</v>
      </c>
      <c r="M18" s="51">
        <v>1</v>
      </c>
      <c r="N18" s="51">
        <v>0</v>
      </c>
      <c r="O18" s="15">
        <f t="shared" si="0"/>
        <v>2</v>
      </c>
      <c r="P18" s="15">
        <f t="shared" si="1"/>
        <v>3</v>
      </c>
      <c r="R18" s="1" t="s">
        <v>14</v>
      </c>
      <c r="S18" s="17">
        <f t="shared" ref="S18:AF18" si="10">SUM(C42:C45)</f>
        <v>4</v>
      </c>
      <c r="T18" s="17">
        <f t="shared" si="10"/>
        <v>6</v>
      </c>
      <c r="U18" s="17">
        <f t="shared" si="10"/>
        <v>9</v>
      </c>
      <c r="V18" s="17">
        <f t="shared" si="10"/>
        <v>5</v>
      </c>
      <c r="W18" s="17">
        <f t="shared" si="10"/>
        <v>0</v>
      </c>
      <c r="X18" s="17">
        <f t="shared" si="10"/>
        <v>4</v>
      </c>
      <c r="Y18" s="17">
        <f t="shared" si="10"/>
        <v>14</v>
      </c>
      <c r="Z18" s="17">
        <f t="shared" si="10"/>
        <v>2</v>
      </c>
      <c r="AA18" s="17">
        <f t="shared" si="10"/>
        <v>1</v>
      </c>
      <c r="AB18" s="17">
        <f t="shared" si="10"/>
        <v>10</v>
      </c>
      <c r="AC18" s="17">
        <f t="shared" si="10"/>
        <v>13</v>
      </c>
      <c r="AD18" s="17">
        <f t="shared" si="10"/>
        <v>0</v>
      </c>
      <c r="AE18" s="31">
        <f t="shared" si="10"/>
        <v>55</v>
      </c>
      <c r="AF18" s="31">
        <f t="shared" si="10"/>
        <v>68</v>
      </c>
    </row>
    <row r="19" spans="2:32" ht="23.1" customHeight="1" x14ac:dyDescent="0.25">
      <c r="B19" s="45" t="s">
        <v>46</v>
      </c>
      <c r="C19" s="51">
        <v>2</v>
      </c>
      <c r="D19" s="50">
        <v>1</v>
      </c>
      <c r="E19" s="51">
        <v>2</v>
      </c>
      <c r="F19" s="51">
        <v>2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0">
        <v>0</v>
      </c>
      <c r="M19" s="51">
        <v>3</v>
      </c>
      <c r="N19" s="51">
        <v>0</v>
      </c>
      <c r="O19" s="15">
        <f t="shared" si="0"/>
        <v>7</v>
      </c>
      <c r="P19" s="15">
        <f t="shared" si="1"/>
        <v>10</v>
      </c>
      <c r="R19" s="1" t="s">
        <v>15</v>
      </c>
      <c r="S19" s="17">
        <f t="shared" ref="S19:AF19" si="11">SUM(C46:C49)</f>
        <v>8</v>
      </c>
      <c r="T19" s="17">
        <f t="shared" si="11"/>
        <v>8</v>
      </c>
      <c r="U19" s="17">
        <f t="shared" si="11"/>
        <v>10</v>
      </c>
      <c r="V19" s="17">
        <f t="shared" si="11"/>
        <v>11</v>
      </c>
      <c r="W19" s="17">
        <f t="shared" si="11"/>
        <v>1</v>
      </c>
      <c r="X19" s="17">
        <f t="shared" si="11"/>
        <v>4</v>
      </c>
      <c r="Y19" s="17">
        <f t="shared" si="11"/>
        <v>4</v>
      </c>
      <c r="Z19" s="17">
        <f t="shared" si="11"/>
        <v>4</v>
      </c>
      <c r="AA19" s="17">
        <f t="shared" si="11"/>
        <v>2</v>
      </c>
      <c r="AB19" s="17">
        <f t="shared" si="11"/>
        <v>11</v>
      </c>
      <c r="AC19" s="17">
        <f t="shared" si="11"/>
        <v>9</v>
      </c>
      <c r="AD19" s="17">
        <f t="shared" si="11"/>
        <v>0</v>
      </c>
      <c r="AE19" s="31">
        <f t="shared" si="11"/>
        <v>63</v>
      </c>
      <c r="AF19" s="31">
        <f t="shared" si="11"/>
        <v>72</v>
      </c>
    </row>
    <row r="20" spans="2:32" ht="23.1" customHeight="1" x14ac:dyDescent="0.25">
      <c r="B20" s="45" t="s">
        <v>47</v>
      </c>
      <c r="C20" s="51">
        <v>2</v>
      </c>
      <c r="D20" s="50">
        <v>1</v>
      </c>
      <c r="E20" s="51">
        <v>1</v>
      </c>
      <c r="F20" s="51">
        <v>0</v>
      </c>
      <c r="G20" s="51">
        <v>0</v>
      </c>
      <c r="H20" s="51">
        <v>1</v>
      </c>
      <c r="I20" s="51">
        <v>1</v>
      </c>
      <c r="J20" s="51">
        <v>0</v>
      </c>
      <c r="K20" s="51">
        <v>0</v>
      </c>
      <c r="L20" s="50">
        <v>1</v>
      </c>
      <c r="M20" s="51">
        <v>4</v>
      </c>
      <c r="N20" s="51">
        <v>0</v>
      </c>
      <c r="O20" s="15">
        <f t="shared" si="0"/>
        <v>7</v>
      </c>
      <c r="P20" s="15">
        <f t="shared" si="1"/>
        <v>11</v>
      </c>
      <c r="R20" s="1" t="s">
        <v>16</v>
      </c>
      <c r="S20" s="17">
        <f t="shared" ref="S20:AF20" si="12">SUM(C50:C53)</f>
        <v>4</v>
      </c>
      <c r="T20" s="17">
        <f t="shared" si="12"/>
        <v>9</v>
      </c>
      <c r="U20" s="17">
        <f t="shared" si="12"/>
        <v>10</v>
      </c>
      <c r="V20" s="17">
        <f t="shared" si="12"/>
        <v>4</v>
      </c>
      <c r="W20" s="17">
        <f t="shared" si="12"/>
        <v>0</v>
      </c>
      <c r="X20" s="17">
        <f t="shared" si="12"/>
        <v>2</v>
      </c>
      <c r="Y20" s="17">
        <f t="shared" si="12"/>
        <v>8</v>
      </c>
      <c r="Z20" s="17">
        <f t="shared" si="12"/>
        <v>4</v>
      </c>
      <c r="AA20" s="17">
        <f t="shared" si="12"/>
        <v>1</v>
      </c>
      <c r="AB20" s="17">
        <f t="shared" si="12"/>
        <v>16</v>
      </c>
      <c r="AC20" s="17">
        <f t="shared" si="12"/>
        <v>20</v>
      </c>
      <c r="AD20" s="17">
        <f t="shared" si="12"/>
        <v>0</v>
      </c>
      <c r="AE20" s="31">
        <f t="shared" si="12"/>
        <v>58</v>
      </c>
      <c r="AF20" s="31">
        <f t="shared" si="12"/>
        <v>78</v>
      </c>
    </row>
    <row r="21" spans="2:32" ht="23.1" customHeight="1" x14ac:dyDescent="0.25">
      <c r="B21" s="45" t="s">
        <v>48</v>
      </c>
      <c r="C21" s="51">
        <v>0</v>
      </c>
      <c r="D21" s="50">
        <v>1</v>
      </c>
      <c r="E21" s="51">
        <v>1</v>
      </c>
      <c r="F21" s="51">
        <v>5</v>
      </c>
      <c r="G21" s="51">
        <v>0</v>
      </c>
      <c r="H21" s="51">
        <v>2</v>
      </c>
      <c r="I21" s="51">
        <v>0</v>
      </c>
      <c r="J21" s="51">
        <v>0</v>
      </c>
      <c r="K21" s="51">
        <v>1</v>
      </c>
      <c r="L21" s="50">
        <v>0</v>
      </c>
      <c r="M21" s="51">
        <v>2</v>
      </c>
      <c r="N21" s="51">
        <v>0</v>
      </c>
      <c r="O21" s="15">
        <f t="shared" si="0"/>
        <v>10</v>
      </c>
      <c r="P21" s="15">
        <f t="shared" si="1"/>
        <v>12</v>
      </c>
      <c r="R21" s="36" t="s">
        <v>20</v>
      </c>
      <c r="S21" s="34">
        <f t="shared" ref="S21:AF21" si="13">SUM(C54:C57)</f>
        <v>7</v>
      </c>
      <c r="T21" s="17">
        <f t="shared" si="13"/>
        <v>8</v>
      </c>
      <c r="U21" s="17">
        <f t="shared" si="13"/>
        <v>10</v>
      </c>
      <c r="V21" s="17">
        <f t="shared" si="13"/>
        <v>9</v>
      </c>
      <c r="W21" s="17">
        <f t="shared" si="13"/>
        <v>0</v>
      </c>
      <c r="X21" s="17">
        <f t="shared" si="13"/>
        <v>7</v>
      </c>
      <c r="Y21" s="17">
        <f t="shared" si="13"/>
        <v>9</v>
      </c>
      <c r="Z21" s="17">
        <f t="shared" si="13"/>
        <v>1</v>
      </c>
      <c r="AA21" s="17">
        <f t="shared" si="13"/>
        <v>0</v>
      </c>
      <c r="AB21" s="17">
        <f t="shared" si="13"/>
        <v>9</v>
      </c>
      <c r="AC21" s="17">
        <f t="shared" si="13"/>
        <v>19</v>
      </c>
      <c r="AD21" s="17">
        <f t="shared" si="13"/>
        <v>0</v>
      </c>
      <c r="AE21" s="31">
        <f t="shared" si="13"/>
        <v>60</v>
      </c>
      <c r="AF21" s="31">
        <f t="shared" si="13"/>
        <v>79</v>
      </c>
    </row>
    <row r="22" spans="2:32" ht="23.1" customHeight="1" x14ac:dyDescent="0.25">
      <c r="B22" s="45" t="s">
        <v>49</v>
      </c>
      <c r="C22" s="51">
        <v>0</v>
      </c>
      <c r="D22" s="50">
        <v>1</v>
      </c>
      <c r="E22" s="51">
        <v>1</v>
      </c>
      <c r="F22" s="51">
        <v>1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0">
        <v>0</v>
      </c>
      <c r="M22" s="51">
        <v>3</v>
      </c>
      <c r="N22" s="51">
        <v>0</v>
      </c>
      <c r="O22" s="15">
        <f t="shared" si="0"/>
        <v>3</v>
      </c>
      <c r="P22" s="15">
        <f t="shared" si="1"/>
        <v>6</v>
      </c>
      <c r="R22" s="36" t="s">
        <v>146</v>
      </c>
      <c r="S22" s="34">
        <f>SUM(C58:C61)</f>
        <v>4</v>
      </c>
      <c r="T22" s="34">
        <f t="shared" ref="T22:AF22" si="14">SUM(D58:D61)</f>
        <v>2</v>
      </c>
      <c r="U22" s="34">
        <f t="shared" si="14"/>
        <v>8</v>
      </c>
      <c r="V22" s="34">
        <f t="shared" si="14"/>
        <v>4</v>
      </c>
      <c r="W22" s="34">
        <f t="shared" si="14"/>
        <v>0</v>
      </c>
      <c r="X22" s="34">
        <f t="shared" si="14"/>
        <v>0</v>
      </c>
      <c r="Y22" s="34">
        <f t="shared" si="14"/>
        <v>4</v>
      </c>
      <c r="Z22" s="34">
        <f t="shared" si="14"/>
        <v>2</v>
      </c>
      <c r="AA22" s="34">
        <f t="shared" si="14"/>
        <v>0</v>
      </c>
      <c r="AB22" s="34">
        <f t="shared" si="14"/>
        <v>4</v>
      </c>
      <c r="AC22" s="34">
        <f t="shared" si="14"/>
        <v>7</v>
      </c>
      <c r="AD22" s="34">
        <f t="shared" si="14"/>
        <v>0</v>
      </c>
      <c r="AE22" s="31">
        <f t="shared" si="14"/>
        <v>28</v>
      </c>
      <c r="AF22" s="31">
        <f t="shared" si="14"/>
        <v>35</v>
      </c>
    </row>
    <row r="23" spans="2:32" ht="23.1" customHeight="1" x14ac:dyDescent="0.25">
      <c r="B23" s="45" t="s">
        <v>50</v>
      </c>
      <c r="C23" s="51">
        <v>3</v>
      </c>
      <c r="D23" s="50">
        <v>2</v>
      </c>
      <c r="E23" s="51">
        <v>2</v>
      </c>
      <c r="F23" s="51">
        <v>9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0">
        <v>0</v>
      </c>
      <c r="M23" s="51">
        <v>5</v>
      </c>
      <c r="N23" s="51">
        <v>0</v>
      </c>
      <c r="O23" s="15">
        <f t="shared" si="0"/>
        <v>16</v>
      </c>
      <c r="P23" s="15">
        <f t="shared" si="1"/>
        <v>21</v>
      </c>
      <c r="R23" s="36" t="s">
        <v>147</v>
      </c>
      <c r="S23" s="34">
        <f>SUM(C62:C65)</f>
        <v>4</v>
      </c>
      <c r="T23" s="34">
        <f t="shared" ref="T23:AF23" si="15">SUM(D62:D65)</f>
        <v>4</v>
      </c>
      <c r="U23" s="34">
        <f t="shared" si="15"/>
        <v>12</v>
      </c>
      <c r="V23" s="34">
        <f t="shared" si="15"/>
        <v>4</v>
      </c>
      <c r="W23" s="34">
        <f t="shared" si="15"/>
        <v>0</v>
      </c>
      <c r="X23" s="34">
        <f t="shared" si="15"/>
        <v>1</v>
      </c>
      <c r="Y23" s="34">
        <f t="shared" si="15"/>
        <v>2</v>
      </c>
      <c r="Z23" s="34">
        <f t="shared" si="15"/>
        <v>0</v>
      </c>
      <c r="AA23" s="34">
        <f t="shared" si="15"/>
        <v>0</v>
      </c>
      <c r="AB23" s="34">
        <f t="shared" si="15"/>
        <v>2</v>
      </c>
      <c r="AC23" s="34">
        <f t="shared" si="15"/>
        <v>9</v>
      </c>
      <c r="AD23" s="34">
        <f t="shared" si="15"/>
        <v>0</v>
      </c>
      <c r="AE23" s="31">
        <f t="shared" si="15"/>
        <v>29</v>
      </c>
      <c r="AF23" s="31">
        <f t="shared" si="15"/>
        <v>38</v>
      </c>
    </row>
    <row r="24" spans="2:32" ht="23.1" customHeight="1" x14ac:dyDescent="0.25">
      <c r="B24" s="45" t="s">
        <v>51</v>
      </c>
      <c r="C24" s="51">
        <v>3</v>
      </c>
      <c r="D24" s="50">
        <v>0</v>
      </c>
      <c r="E24" s="51">
        <v>1</v>
      </c>
      <c r="F24" s="51">
        <v>1</v>
      </c>
      <c r="G24" s="51">
        <v>0</v>
      </c>
      <c r="H24" s="51">
        <v>1</v>
      </c>
      <c r="I24" s="51">
        <v>3</v>
      </c>
      <c r="J24" s="51">
        <v>3</v>
      </c>
      <c r="K24" s="51">
        <v>0</v>
      </c>
      <c r="L24" s="50">
        <v>1</v>
      </c>
      <c r="M24" s="51">
        <v>10</v>
      </c>
      <c r="N24" s="51">
        <v>0</v>
      </c>
      <c r="O24" s="15">
        <f t="shared" si="0"/>
        <v>13</v>
      </c>
      <c r="P24" s="15">
        <f t="shared" si="1"/>
        <v>23</v>
      </c>
      <c r="R24" s="36" t="s">
        <v>148</v>
      </c>
      <c r="S24" s="34">
        <f>SUM(C66:C69)</f>
        <v>5</v>
      </c>
      <c r="T24" s="34">
        <f t="shared" ref="T24:AF24" si="16">SUM(D66:D69)</f>
        <v>4</v>
      </c>
      <c r="U24" s="34">
        <f t="shared" si="16"/>
        <v>10</v>
      </c>
      <c r="V24" s="34">
        <f t="shared" si="16"/>
        <v>4</v>
      </c>
      <c r="W24" s="34">
        <f t="shared" si="16"/>
        <v>0</v>
      </c>
      <c r="X24" s="34">
        <f t="shared" si="16"/>
        <v>3</v>
      </c>
      <c r="Y24" s="34">
        <f t="shared" si="16"/>
        <v>4</v>
      </c>
      <c r="Z24" s="34">
        <f t="shared" si="16"/>
        <v>0</v>
      </c>
      <c r="AA24" s="34">
        <f t="shared" si="16"/>
        <v>0</v>
      </c>
      <c r="AB24" s="34">
        <f t="shared" si="16"/>
        <v>3</v>
      </c>
      <c r="AC24" s="34">
        <f t="shared" si="16"/>
        <v>7</v>
      </c>
      <c r="AD24" s="34">
        <f t="shared" si="16"/>
        <v>0</v>
      </c>
      <c r="AE24" s="31">
        <f t="shared" si="16"/>
        <v>33</v>
      </c>
      <c r="AF24" s="31">
        <f t="shared" si="16"/>
        <v>40</v>
      </c>
    </row>
    <row r="25" spans="2:32" ht="23.1" customHeight="1" x14ac:dyDescent="0.25">
      <c r="B25" s="45" t="s">
        <v>52</v>
      </c>
      <c r="C25" s="51">
        <v>1</v>
      </c>
      <c r="D25" s="50">
        <v>2</v>
      </c>
      <c r="E25" s="51">
        <v>3</v>
      </c>
      <c r="F25" s="51">
        <v>1</v>
      </c>
      <c r="G25" s="51">
        <v>0</v>
      </c>
      <c r="H25" s="51">
        <v>2</v>
      </c>
      <c r="I25" s="51">
        <v>4</v>
      </c>
      <c r="J25" s="51">
        <v>0</v>
      </c>
      <c r="K25" s="51">
        <v>0</v>
      </c>
      <c r="L25" s="50">
        <v>0</v>
      </c>
      <c r="M25" s="51">
        <v>3</v>
      </c>
      <c r="N25" s="51">
        <v>0</v>
      </c>
      <c r="O25" s="15">
        <f t="shared" si="0"/>
        <v>13</v>
      </c>
      <c r="P25" s="15">
        <f t="shared" si="1"/>
        <v>16</v>
      </c>
      <c r="R25" s="36" t="s">
        <v>149</v>
      </c>
      <c r="S25" s="34">
        <f>SUM(C70:C73)</f>
        <v>8</v>
      </c>
      <c r="T25" s="34">
        <f t="shared" ref="T25:AF25" si="17">SUM(D70:D73)</f>
        <v>8</v>
      </c>
      <c r="U25" s="34">
        <f t="shared" si="17"/>
        <v>13</v>
      </c>
      <c r="V25" s="34">
        <f t="shared" si="17"/>
        <v>7</v>
      </c>
      <c r="W25" s="34">
        <f t="shared" si="17"/>
        <v>0</v>
      </c>
      <c r="X25" s="34">
        <f t="shared" si="17"/>
        <v>2</v>
      </c>
      <c r="Y25" s="34">
        <f t="shared" si="17"/>
        <v>4</v>
      </c>
      <c r="Z25" s="34">
        <f t="shared" si="17"/>
        <v>0</v>
      </c>
      <c r="AA25" s="34">
        <f t="shared" si="17"/>
        <v>0</v>
      </c>
      <c r="AB25" s="34">
        <f t="shared" si="17"/>
        <v>3</v>
      </c>
      <c r="AC25" s="34">
        <f t="shared" si="17"/>
        <v>4</v>
      </c>
      <c r="AD25" s="34">
        <f t="shared" si="17"/>
        <v>0</v>
      </c>
      <c r="AE25" s="31">
        <f t="shared" si="17"/>
        <v>45</v>
      </c>
      <c r="AF25" s="31">
        <f t="shared" si="17"/>
        <v>49</v>
      </c>
    </row>
    <row r="26" spans="2:32" ht="23.1" customHeight="1" x14ac:dyDescent="0.25">
      <c r="B26" s="45" t="s">
        <v>53</v>
      </c>
      <c r="C26" s="51">
        <v>0</v>
      </c>
      <c r="D26" s="50">
        <v>2</v>
      </c>
      <c r="E26" s="51">
        <v>3</v>
      </c>
      <c r="F26" s="51">
        <v>0</v>
      </c>
      <c r="G26" s="51">
        <v>0</v>
      </c>
      <c r="H26" s="51">
        <v>2</v>
      </c>
      <c r="I26" s="51">
        <v>1</v>
      </c>
      <c r="J26" s="51">
        <v>0</v>
      </c>
      <c r="K26" s="51">
        <v>0</v>
      </c>
      <c r="L26" s="50">
        <v>0</v>
      </c>
      <c r="M26" s="51">
        <v>5</v>
      </c>
      <c r="N26" s="51">
        <v>0</v>
      </c>
      <c r="O26" s="15">
        <f t="shared" si="0"/>
        <v>8</v>
      </c>
      <c r="P26" s="15">
        <f t="shared" si="1"/>
        <v>13</v>
      </c>
      <c r="R26" s="36" t="s">
        <v>150</v>
      </c>
      <c r="S26" s="34">
        <f>SUM(C74:C77)</f>
        <v>7</v>
      </c>
      <c r="T26" s="34">
        <f t="shared" ref="T26:AF26" si="18">SUM(D74:D77)</f>
        <v>7</v>
      </c>
      <c r="U26" s="34">
        <f t="shared" si="18"/>
        <v>16</v>
      </c>
      <c r="V26" s="34">
        <f t="shared" si="18"/>
        <v>4</v>
      </c>
      <c r="W26" s="34">
        <f t="shared" si="18"/>
        <v>0</v>
      </c>
      <c r="X26" s="34">
        <f t="shared" si="18"/>
        <v>4</v>
      </c>
      <c r="Y26" s="34">
        <f t="shared" si="18"/>
        <v>5</v>
      </c>
      <c r="Z26" s="34">
        <f t="shared" si="18"/>
        <v>2</v>
      </c>
      <c r="AA26" s="34">
        <f t="shared" si="18"/>
        <v>0</v>
      </c>
      <c r="AB26" s="34">
        <f t="shared" si="18"/>
        <v>4</v>
      </c>
      <c r="AC26" s="34">
        <f t="shared" si="18"/>
        <v>4</v>
      </c>
      <c r="AD26" s="34">
        <f t="shared" si="18"/>
        <v>0</v>
      </c>
      <c r="AE26" s="31">
        <f t="shared" si="18"/>
        <v>49</v>
      </c>
      <c r="AF26" s="31">
        <f t="shared" si="18"/>
        <v>53</v>
      </c>
    </row>
    <row r="27" spans="2:32" ht="23.1" customHeight="1" x14ac:dyDescent="0.25">
      <c r="B27" s="45" t="s">
        <v>54</v>
      </c>
      <c r="C27" s="51">
        <v>0</v>
      </c>
      <c r="D27" s="50">
        <v>1</v>
      </c>
      <c r="E27" s="51">
        <v>2</v>
      </c>
      <c r="F27" s="51">
        <v>1</v>
      </c>
      <c r="G27" s="51">
        <v>0</v>
      </c>
      <c r="H27" s="51">
        <v>1</v>
      </c>
      <c r="I27" s="51">
        <v>0</v>
      </c>
      <c r="J27" s="51">
        <v>0</v>
      </c>
      <c r="K27" s="51">
        <v>0</v>
      </c>
      <c r="L27" s="50">
        <v>0</v>
      </c>
      <c r="M27" s="51">
        <v>5</v>
      </c>
      <c r="N27" s="51">
        <v>0</v>
      </c>
      <c r="O27" s="15">
        <f t="shared" si="0"/>
        <v>5</v>
      </c>
      <c r="P27" s="15">
        <f t="shared" si="1"/>
        <v>10</v>
      </c>
      <c r="R27" s="36" t="s">
        <v>151</v>
      </c>
      <c r="S27" s="34">
        <f>SUM(C78:C81)</f>
        <v>7</v>
      </c>
      <c r="T27" s="34">
        <f t="shared" ref="T27:AF27" si="19">SUM(D78:D81)</f>
        <v>8</v>
      </c>
      <c r="U27" s="34">
        <f t="shared" si="19"/>
        <v>16</v>
      </c>
      <c r="V27" s="34">
        <f t="shared" si="19"/>
        <v>6</v>
      </c>
      <c r="W27" s="34">
        <f t="shared" si="19"/>
        <v>0</v>
      </c>
      <c r="X27" s="34">
        <f t="shared" si="19"/>
        <v>6</v>
      </c>
      <c r="Y27" s="34">
        <f t="shared" si="19"/>
        <v>8</v>
      </c>
      <c r="Z27" s="34">
        <f t="shared" si="19"/>
        <v>0</v>
      </c>
      <c r="AA27" s="34">
        <f t="shared" si="19"/>
        <v>0</v>
      </c>
      <c r="AB27" s="34">
        <f t="shared" si="19"/>
        <v>6</v>
      </c>
      <c r="AC27" s="34">
        <f t="shared" si="19"/>
        <v>3</v>
      </c>
      <c r="AD27" s="34">
        <f t="shared" si="19"/>
        <v>0</v>
      </c>
      <c r="AE27" s="31">
        <f t="shared" si="19"/>
        <v>57</v>
      </c>
      <c r="AF27" s="31">
        <f t="shared" si="19"/>
        <v>60</v>
      </c>
    </row>
    <row r="28" spans="2:32" ht="23.1" customHeight="1" x14ac:dyDescent="0.25">
      <c r="B28" s="45" t="s">
        <v>55</v>
      </c>
      <c r="C28" s="51">
        <v>0</v>
      </c>
      <c r="D28" s="50">
        <v>4</v>
      </c>
      <c r="E28" s="51">
        <v>4</v>
      </c>
      <c r="F28" s="51">
        <v>1</v>
      </c>
      <c r="G28" s="51">
        <v>0</v>
      </c>
      <c r="H28" s="51">
        <v>0</v>
      </c>
      <c r="I28" s="51">
        <v>2</v>
      </c>
      <c r="J28" s="51">
        <v>1</v>
      </c>
      <c r="K28" s="51">
        <v>0</v>
      </c>
      <c r="L28" s="50">
        <v>0</v>
      </c>
      <c r="M28" s="51">
        <v>2</v>
      </c>
      <c r="N28" s="51">
        <v>0</v>
      </c>
      <c r="O28" s="15">
        <f t="shared" si="0"/>
        <v>12</v>
      </c>
      <c r="P28" s="15">
        <f t="shared" si="1"/>
        <v>14</v>
      </c>
      <c r="R28" s="36" t="s">
        <v>152</v>
      </c>
      <c r="S28" s="34">
        <f>SUM(C82:C85)</f>
        <v>7</v>
      </c>
      <c r="T28" s="34">
        <f t="shared" ref="T28:AF28" si="20">SUM(D82:D85)</f>
        <v>6</v>
      </c>
      <c r="U28" s="34">
        <f t="shared" si="20"/>
        <v>14</v>
      </c>
      <c r="V28" s="34">
        <f t="shared" si="20"/>
        <v>4</v>
      </c>
      <c r="W28" s="34">
        <f t="shared" si="20"/>
        <v>0</v>
      </c>
      <c r="X28" s="34">
        <f t="shared" si="20"/>
        <v>4</v>
      </c>
      <c r="Y28" s="34">
        <f t="shared" si="20"/>
        <v>7</v>
      </c>
      <c r="Z28" s="34">
        <f t="shared" si="20"/>
        <v>0</v>
      </c>
      <c r="AA28" s="34">
        <f t="shared" si="20"/>
        <v>1</v>
      </c>
      <c r="AB28" s="34">
        <f t="shared" si="20"/>
        <v>4</v>
      </c>
      <c r="AC28" s="34">
        <f t="shared" si="20"/>
        <v>0</v>
      </c>
      <c r="AD28" s="34">
        <f t="shared" si="20"/>
        <v>0</v>
      </c>
      <c r="AE28" s="31">
        <f t="shared" si="20"/>
        <v>47</v>
      </c>
      <c r="AF28" s="31">
        <f t="shared" si="20"/>
        <v>47</v>
      </c>
    </row>
    <row r="29" spans="2:32" ht="23.1" customHeight="1" x14ac:dyDescent="0.25">
      <c r="B29" s="45" t="s">
        <v>56</v>
      </c>
      <c r="C29" s="51">
        <v>2</v>
      </c>
      <c r="D29" s="50">
        <v>2</v>
      </c>
      <c r="E29" s="51">
        <v>2</v>
      </c>
      <c r="F29" s="51">
        <v>1</v>
      </c>
      <c r="G29" s="51">
        <v>0</v>
      </c>
      <c r="H29" s="51">
        <v>3</v>
      </c>
      <c r="I29" s="51">
        <v>3</v>
      </c>
      <c r="J29" s="51">
        <v>0</v>
      </c>
      <c r="K29" s="51">
        <v>0</v>
      </c>
      <c r="L29" s="50">
        <v>0</v>
      </c>
      <c r="M29" s="51">
        <v>1</v>
      </c>
      <c r="N29" s="51">
        <v>0</v>
      </c>
      <c r="O29" s="15">
        <f t="shared" si="0"/>
        <v>13</v>
      </c>
      <c r="P29" s="15">
        <f t="shared" si="1"/>
        <v>14</v>
      </c>
      <c r="R29" s="36" t="s">
        <v>153</v>
      </c>
      <c r="S29" s="34">
        <f>SUM(C86:C89)</f>
        <v>7</v>
      </c>
      <c r="T29" s="34">
        <f t="shared" ref="T29:AF29" si="21">SUM(D86:D89)</f>
        <v>4</v>
      </c>
      <c r="U29" s="34">
        <f t="shared" si="21"/>
        <v>12</v>
      </c>
      <c r="V29" s="34">
        <f t="shared" si="21"/>
        <v>6</v>
      </c>
      <c r="W29" s="34">
        <f t="shared" si="21"/>
        <v>0</v>
      </c>
      <c r="X29" s="34">
        <f t="shared" si="21"/>
        <v>3</v>
      </c>
      <c r="Y29" s="34">
        <f t="shared" si="21"/>
        <v>7</v>
      </c>
      <c r="Z29" s="34">
        <f t="shared" si="21"/>
        <v>0</v>
      </c>
      <c r="AA29" s="34">
        <f t="shared" si="21"/>
        <v>0</v>
      </c>
      <c r="AB29" s="34">
        <f t="shared" si="21"/>
        <v>5</v>
      </c>
      <c r="AC29" s="34">
        <f t="shared" si="21"/>
        <v>0</v>
      </c>
      <c r="AD29" s="34">
        <f t="shared" si="21"/>
        <v>0</v>
      </c>
      <c r="AE29" s="31">
        <f t="shared" si="21"/>
        <v>44</v>
      </c>
      <c r="AF29" s="31">
        <f t="shared" si="21"/>
        <v>44</v>
      </c>
    </row>
    <row r="30" spans="2:32" ht="23.1" customHeight="1" x14ac:dyDescent="0.25">
      <c r="B30" s="45" t="s">
        <v>57</v>
      </c>
      <c r="C30" s="51">
        <v>1</v>
      </c>
      <c r="D30" s="50">
        <v>2</v>
      </c>
      <c r="E30" s="51">
        <v>2</v>
      </c>
      <c r="F30" s="51">
        <v>3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0">
        <v>1</v>
      </c>
      <c r="M30" s="51">
        <v>2</v>
      </c>
      <c r="N30" s="51">
        <v>0</v>
      </c>
      <c r="O30" s="15">
        <f t="shared" si="0"/>
        <v>9</v>
      </c>
      <c r="P30" s="15">
        <f t="shared" si="1"/>
        <v>11</v>
      </c>
      <c r="R30" s="36" t="s">
        <v>154</v>
      </c>
      <c r="S30" s="34">
        <f>SUM(C90:C93)</f>
        <v>7</v>
      </c>
      <c r="T30" s="34">
        <f t="shared" ref="T30:AF30" si="22">SUM(D90:D93)</f>
        <v>6</v>
      </c>
      <c r="U30" s="34">
        <f t="shared" si="22"/>
        <v>12</v>
      </c>
      <c r="V30" s="34">
        <f t="shared" si="22"/>
        <v>4</v>
      </c>
      <c r="W30" s="34">
        <f t="shared" si="22"/>
        <v>0</v>
      </c>
      <c r="X30" s="34">
        <f t="shared" si="22"/>
        <v>4</v>
      </c>
      <c r="Y30" s="34">
        <f t="shared" si="22"/>
        <v>8</v>
      </c>
      <c r="Z30" s="34">
        <f t="shared" si="22"/>
        <v>0</v>
      </c>
      <c r="AA30" s="34">
        <f t="shared" si="22"/>
        <v>0</v>
      </c>
      <c r="AB30" s="34">
        <f t="shared" si="22"/>
        <v>4</v>
      </c>
      <c r="AC30" s="34">
        <f t="shared" si="22"/>
        <v>0</v>
      </c>
      <c r="AD30" s="34">
        <f t="shared" si="22"/>
        <v>0</v>
      </c>
      <c r="AE30" s="31">
        <f t="shared" si="22"/>
        <v>45</v>
      </c>
      <c r="AF30" s="31">
        <f t="shared" si="22"/>
        <v>45</v>
      </c>
    </row>
    <row r="31" spans="2:32" ht="23.1" customHeight="1" x14ac:dyDescent="0.25">
      <c r="B31" s="46" t="s">
        <v>58</v>
      </c>
      <c r="C31" s="51">
        <v>0</v>
      </c>
      <c r="D31" s="50">
        <v>1</v>
      </c>
      <c r="E31" s="51">
        <v>2</v>
      </c>
      <c r="F31" s="51">
        <v>3</v>
      </c>
      <c r="G31" s="51">
        <v>0</v>
      </c>
      <c r="H31" s="51">
        <v>2</v>
      </c>
      <c r="I31" s="51">
        <v>2</v>
      </c>
      <c r="J31" s="51">
        <v>2</v>
      </c>
      <c r="K31" s="51">
        <v>0</v>
      </c>
      <c r="L31" s="50">
        <v>0</v>
      </c>
      <c r="M31" s="51">
        <v>2</v>
      </c>
      <c r="N31" s="51">
        <v>0</v>
      </c>
      <c r="O31" s="15">
        <f t="shared" si="0"/>
        <v>12</v>
      </c>
      <c r="P31" s="15">
        <f t="shared" si="1"/>
        <v>14</v>
      </c>
      <c r="R31" s="36" t="s">
        <v>155</v>
      </c>
      <c r="S31" s="34">
        <f>SUM(C94:C97)</f>
        <v>6</v>
      </c>
      <c r="T31" s="34">
        <f t="shared" ref="T31:AF31" si="23">SUM(D94:D97)</f>
        <v>5</v>
      </c>
      <c r="U31" s="34">
        <f t="shared" si="23"/>
        <v>12</v>
      </c>
      <c r="V31" s="34">
        <f t="shared" si="23"/>
        <v>5</v>
      </c>
      <c r="W31" s="34">
        <f t="shared" si="23"/>
        <v>0</v>
      </c>
      <c r="X31" s="34">
        <f t="shared" si="23"/>
        <v>3</v>
      </c>
      <c r="Y31" s="34">
        <f t="shared" si="23"/>
        <v>7</v>
      </c>
      <c r="Z31" s="34">
        <f t="shared" si="23"/>
        <v>1</v>
      </c>
      <c r="AA31" s="34">
        <f t="shared" si="23"/>
        <v>0</v>
      </c>
      <c r="AB31" s="34">
        <f t="shared" si="23"/>
        <v>5</v>
      </c>
      <c r="AC31" s="34">
        <f t="shared" si="23"/>
        <v>0</v>
      </c>
      <c r="AD31" s="34">
        <f t="shared" si="23"/>
        <v>0</v>
      </c>
      <c r="AE31" s="31">
        <f t="shared" si="23"/>
        <v>44</v>
      </c>
      <c r="AF31" s="31">
        <f t="shared" si="23"/>
        <v>44</v>
      </c>
    </row>
    <row r="32" spans="2:32" ht="23.1" customHeight="1" x14ac:dyDescent="0.25">
      <c r="B32" s="46" t="s">
        <v>59</v>
      </c>
      <c r="C32" s="51">
        <v>1</v>
      </c>
      <c r="D32" s="50">
        <v>2</v>
      </c>
      <c r="E32" s="51">
        <v>3</v>
      </c>
      <c r="F32" s="51">
        <v>1</v>
      </c>
      <c r="G32" s="51">
        <v>0</v>
      </c>
      <c r="H32" s="51">
        <v>2</v>
      </c>
      <c r="I32" s="51">
        <v>5</v>
      </c>
      <c r="J32" s="51">
        <v>0</v>
      </c>
      <c r="K32" s="51">
        <v>2</v>
      </c>
      <c r="L32" s="50">
        <v>5</v>
      </c>
      <c r="M32" s="51">
        <v>2</v>
      </c>
      <c r="N32" s="51">
        <v>0</v>
      </c>
      <c r="O32" s="15">
        <f t="shared" si="0"/>
        <v>21</v>
      </c>
      <c r="P32" s="15">
        <f t="shared" si="1"/>
        <v>23</v>
      </c>
      <c r="R32" s="33" t="s">
        <v>156</v>
      </c>
      <c r="S32" s="34">
        <f>SUM(C98:C101)</f>
        <v>4</v>
      </c>
      <c r="T32" s="34">
        <f t="shared" ref="T32:AF32" si="24">SUM(D98:D101)</f>
        <v>4</v>
      </c>
      <c r="U32" s="34">
        <f t="shared" si="24"/>
        <v>10</v>
      </c>
      <c r="V32" s="34">
        <f t="shared" si="24"/>
        <v>4</v>
      </c>
      <c r="W32" s="34">
        <f t="shared" si="24"/>
        <v>0</v>
      </c>
      <c r="X32" s="34">
        <f t="shared" si="24"/>
        <v>5</v>
      </c>
      <c r="Y32" s="34">
        <f t="shared" si="24"/>
        <v>9</v>
      </c>
      <c r="Z32" s="34">
        <f t="shared" si="24"/>
        <v>1</v>
      </c>
      <c r="AA32" s="34">
        <f t="shared" si="24"/>
        <v>1</v>
      </c>
      <c r="AB32" s="34">
        <f t="shared" si="24"/>
        <v>5</v>
      </c>
      <c r="AC32" s="34">
        <f t="shared" si="24"/>
        <v>19</v>
      </c>
      <c r="AD32" s="34">
        <f t="shared" si="24"/>
        <v>0</v>
      </c>
      <c r="AE32" s="31">
        <f t="shared" si="24"/>
        <v>43</v>
      </c>
      <c r="AF32" s="31">
        <f t="shared" si="24"/>
        <v>62</v>
      </c>
    </row>
    <row r="33" spans="2:32" ht="23.1" customHeight="1" x14ac:dyDescent="0.25">
      <c r="B33" s="45" t="s">
        <v>60</v>
      </c>
      <c r="C33" s="51">
        <v>1</v>
      </c>
      <c r="D33" s="50">
        <v>2</v>
      </c>
      <c r="E33" s="51">
        <v>2</v>
      </c>
      <c r="F33" s="51">
        <v>0</v>
      </c>
      <c r="G33" s="51">
        <v>0</v>
      </c>
      <c r="H33" s="51">
        <v>1</v>
      </c>
      <c r="I33" s="51">
        <v>1</v>
      </c>
      <c r="J33" s="51">
        <v>0</v>
      </c>
      <c r="K33" s="51">
        <v>0</v>
      </c>
      <c r="L33" s="50">
        <v>1</v>
      </c>
      <c r="M33" s="51">
        <v>0</v>
      </c>
      <c r="N33" s="51">
        <v>0</v>
      </c>
      <c r="O33" s="15">
        <f t="shared" si="0"/>
        <v>8</v>
      </c>
      <c r="P33" s="15">
        <f t="shared" si="1"/>
        <v>8</v>
      </c>
      <c r="R33" s="33" t="s">
        <v>157</v>
      </c>
      <c r="S33" s="34">
        <f>SUM(C102:C105)</f>
        <v>6</v>
      </c>
      <c r="T33" s="34">
        <f t="shared" ref="T33:AF33" si="25">SUM(D102:D105)</f>
        <v>4</v>
      </c>
      <c r="U33" s="34">
        <f t="shared" si="25"/>
        <v>9</v>
      </c>
      <c r="V33" s="34">
        <f t="shared" si="25"/>
        <v>5</v>
      </c>
      <c r="W33" s="34">
        <f t="shared" si="25"/>
        <v>0</v>
      </c>
      <c r="X33" s="34">
        <f t="shared" si="25"/>
        <v>2</v>
      </c>
      <c r="Y33" s="34">
        <f t="shared" si="25"/>
        <v>10</v>
      </c>
      <c r="Z33" s="34">
        <f t="shared" si="25"/>
        <v>2</v>
      </c>
      <c r="AA33" s="34">
        <f t="shared" si="25"/>
        <v>0</v>
      </c>
      <c r="AB33" s="34">
        <f t="shared" si="25"/>
        <v>5</v>
      </c>
      <c r="AC33" s="34">
        <f t="shared" si="25"/>
        <v>17</v>
      </c>
      <c r="AD33" s="34">
        <f t="shared" si="25"/>
        <v>0</v>
      </c>
      <c r="AE33" s="31">
        <f t="shared" si="25"/>
        <v>43</v>
      </c>
      <c r="AF33" s="31">
        <f t="shared" si="25"/>
        <v>60</v>
      </c>
    </row>
    <row r="34" spans="2:32" ht="23.1" customHeight="1" x14ac:dyDescent="0.25">
      <c r="B34" s="46" t="s">
        <v>61</v>
      </c>
      <c r="C34" s="51">
        <v>3</v>
      </c>
      <c r="D34" s="50">
        <v>3</v>
      </c>
      <c r="E34" s="51">
        <v>3</v>
      </c>
      <c r="F34" s="51">
        <v>0</v>
      </c>
      <c r="G34" s="51">
        <v>0</v>
      </c>
      <c r="H34" s="51">
        <v>0</v>
      </c>
      <c r="I34" s="51">
        <v>2</v>
      </c>
      <c r="J34" s="51">
        <v>0</v>
      </c>
      <c r="K34" s="51">
        <v>0</v>
      </c>
      <c r="L34" s="50">
        <v>5</v>
      </c>
      <c r="M34" s="51">
        <v>2</v>
      </c>
      <c r="N34" s="51">
        <v>0</v>
      </c>
      <c r="O34" s="15">
        <f t="shared" si="0"/>
        <v>16</v>
      </c>
      <c r="P34" s="15">
        <f t="shared" si="1"/>
        <v>18</v>
      </c>
      <c r="R34" s="38" t="s">
        <v>90</v>
      </c>
      <c r="S34" s="39">
        <f t="shared" ref="S34:AF34" si="26">MAX(S10:S12)</f>
        <v>5</v>
      </c>
      <c r="T34" s="39">
        <f t="shared" si="26"/>
        <v>3</v>
      </c>
      <c r="U34" s="39">
        <f t="shared" si="26"/>
        <v>6</v>
      </c>
      <c r="V34" s="39">
        <f t="shared" si="26"/>
        <v>7</v>
      </c>
      <c r="W34" s="39">
        <f t="shared" si="26"/>
        <v>1</v>
      </c>
      <c r="X34" s="39">
        <f t="shared" si="26"/>
        <v>3</v>
      </c>
      <c r="Y34" s="39">
        <f t="shared" si="26"/>
        <v>3</v>
      </c>
      <c r="Z34" s="39">
        <f t="shared" si="26"/>
        <v>1</v>
      </c>
      <c r="AA34" s="39">
        <f t="shared" si="26"/>
        <v>1</v>
      </c>
      <c r="AB34" s="39">
        <f t="shared" si="26"/>
        <v>6</v>
      </c>
      <c r="AC34" s="39">
        <f t="shared" si="26"/>
        <v>10</v>
      </c>
      <c r="AD34" s="39">
        <f t="shared" si="26"/>
        <v>0</v>
      </c>
      <c r="AE34" s="40">
        <f t="shared" si="26"/>
        <v>28</v>
      </c>
      <c r="AF34" s="40">
        <f t="shared" si="26"/>
        <v>38</v>
      </c>
    </row>
    <row r="35" spans="2:32" ht="23.1" customHeight="1" x14ac:dyDescent="0.25">
      <c r="B35" s="46" t="s">
        <v>62</v>
      </c>
      <c r="C35" s="51">
        <v>3</v>
      </c>
      <c r="D35" s="50">
        <v>1</v>
      </c>
      <c r="E35" s="51">
        <v>2</v>
      </c>
      <c r="F35" s="51">
        <v>2</v>
      </c>
      <c r="G35" s="51">
        <v>0</v>
      </c>
      <c r="H35" s="51">
        <v>0</v>
      </c>
      <c r="I35" s="51">
        <v>2</v>
      </c>
      <c r="J35" s="51">
        <v>0</v>
      </c>
      <c r="K35" s="51">
        <v>0</v>
      </c>
      <c r="L35" s="50">
        <v>1</v>
      </c>
      <c r="M35" s="51">
        <v>3</v>
      </c>
      <c r="N35" s="51">
        <v>0</v>
      </c>
      <c r="O35" s="15">
        <f t="shared" si="0"/>
        <v>11</v>
      </c>
      <c r="P35" s="15">
        <f t="shared" si="1"/>
        <v>14</v>
      </c>
      <c r="R35" s="38" t="s">
        <v>91</v>
      </c>
      <c r="S35" s="39">
        <f t="shared" ref="S35:AF35" si="27">MAX(S13:S18)</f>
        <v>11</v>
      </c>
      <c r="T35" s="39">
        <f t="shared" si="27"/>
        <v>9</v>
      </c>
      <c r="U35" s="39">
        <f t="shared" si="27"/>
        <v>11</v>
      </c>
      <c r="V35" s="39">
        <f t="shared" si="27"/>
        <v>12</v>
      </c>
      <c r="W35" s="39">
        <f t="shared" si="27"/>
        <v>1</v>
      </c>
      <c r="X35" s="39">
        <f t="shared" si="27"/>
        <v>6</v>
      </c>
      <c r="Y35" s="39">
        <f t="shared" si="27"/>
        <v>14</v>
      </c>
      <c r="Z35" s="39">
        <f t="shared" si="27"/>
        <v>3</v>
      </c>
      <c r="AA35" s="39">
        <f t="shared" si="27"/>
        <v>2</v>
      </c>
      <c r="AB35" s="39">
        <f t="shared" si="27"/>
        <v>11</v>
      </c>
      <c r="AC35" s="39">
        <f t="shared" si="27"/>
        <v>21</v>
      </c>
      <c r="AD35" s="39">
        <f t="shared" si="27"/>
        <v>0</v>
      </c>
      <c r="AE35" s="40">
        <f t="shared" si="27"/>
        <v>59</v>
      </c>
      <c r="AF35" s="40">
        <f t="shared" si="27"/>
        <v>68</v>
      </c>
    </row>
    <row r="36" spans="2:32" ht="23.1" customHeight="1" x14ac:dyDescent="0.25">
      <c r="B36" s="46" t="s">
        <v>63</v>
      </c>
      <c r="C36" s="51">
        <v>4</v>
      </c>
      <c r="D36" s="50">
        <v>3</v>
      </c>
      <c r="E36" s="51">
        <v>3</v>
      </c>
      <c r="F36" s="51">
        <v>0</v>
      </c>
      <c r="G36" s="51">
        <v>0</v>
      </c>
      <c r="H36" s="51">
        <v>0</v>
      </c>
      <c r="I36" s="51">
        <v>4</v>
      </c>
      <c r="J36" s="51">
        <v>2</v>
      </c>
      <c r="K36" s="51">
        <v>0</v>
      </c>
      <c r="L36" s="50">
        <v>1</v>
      </c>
      <c r="M36" s="51">
        <v>2</v>
      </c>
      <c r="N36" s="51">
        <v>0</v>
      </c>
      <c r="O36" s="15">
        <f t="shared" si="0"/>
        <v>17</v>
      </c>
      <c r="P36" s="15">
        <f t="shared" si="1"/>
        <v>19</v>
      </c>
      <c r="R36" s="38" t="s">
        <v>92</v>
      </c>
      <c r="S36" s="39">
        <f t="shared" ref="S36:AF36" si="28">MAX(S19:S21)</f>
        <v>8</v>
      </c>
      <c r="T36" s="39">
        <f t="shared" si="28"/>
        <v>9</v>
      </c>
      <c r="U36" s="39">
        <f t="shared" si="28"/>
        <v>10</v>
      </c>
      <c r="V36" s="39">
        <f t="shared" si="28"/>
        <v>11</v>
      </c>
      <c r="W36" s="39">
        <f t="shared" si="28"/>
        <v>1</v>
      </c>
      <c r="X36" s="39">
        <f t="shared" si="28"/>
        <v>7</v>
      </c>
      <c r="Y36" s="39">
        <f t="shared" si="28"/>
        <v>9</v>
      </c>
      <c r="Z36" s="39">
        <f t="shared" si="28"/>
        <v>4</v>
      </c>
      <c r="AA36" s="39">
        <f t="shared" si="28"/>
        <v>2</v>
      </c>
      <c r="AB36" s="39">
        <f t="shared" si="28"/>
        <v>16</v>
      </c>
      <c r="AC36" s="39">
        <f t="shared" si="28"/>
        <v>20</v>
      </c>
      <c r="AD36" s="39">
        <f t="shared" si="28"/>
        <v>0</v>
      </c>
      <c r="AE36" s="40">
        <f t="shared" si="28"/>
        <v>63</v>
      </c>
      <c r="AF36" s="40">
        <f t="shared" si="28"/>
        <v>79</v>
      </c>
    </row>
    <row r="37" spans="2:32" ht="23.1" customHeight="1" x14ac:dyDescent="0.25">
      <c r="B37" s="45" t="s">
        <v>64</v>
      </c>
      <c r="C37" s="51">
        <v>1</v>
      </c>
      <c r="D37" s="50">
        <v>2</v>
      </c>
      <c r="E37" s="51">
        <v>3</v>
      </c>
      <c r="F37" s="51">
        <v>3</v>
      </c>
      <c r="G37" s="51">
        <v>0</v>
      </c>
      <c r="H37" s="51">
        <v>0</v>
      </c>
      <c r="I37" s="51">
        <v>1</v>
      </c>
      <c r="J37" s="51">
        <v>0</v>
      </c>
      <c r="K37" s="51">
        <v>1</v>
      </c>
      <c r="L37" s="50">
        <v>4</v>
      </c>
      <c r="M37" s="51">
        <v>1</v>
      </c>
      <c r="N37" s="51">
        <v>0</v>
      </c>
      <c r="O37" s="15">
        <f t="shared" si="0"/>
        <v>15</v>
      </c>
      <c r="P37" s="15">
        <f t="shared" si="1"/>
        <v>16</v>
      </c>
      <c r="R37" s="37" t="s">
        <v>85</v>
      </c>
      <c r="S37" s="35">
        <f t="shared" ref="S37:AF37" si="29">SUM(S10:S12)</f>
        <v>9</v>
      </c>
      <c r="T37" s="16">
        <f t="shared" si="29"/>
        <v>7</v>
      </c>
      <c r="U37" s="16">
        <f t="shared" si="29"/>
        <v>14</v>
      </c>
      <c r="V37" s="16">
        <f t="shared" si="29"/>
        <v>14</v>
      </c>
      <c r="W37" s="16">
        <f t="shared" si="29"/>
        <v>1</v>
      </c>
      <c r="X37" s="16">
        <f t="shared" si="29"/>
        <v>5</v>
      </c>
      <c r="Y37" s="16">
        <f t="shared" si="29"/>
        <v>4</v>
      </c>
      <c r="Z37" s="16">
        <f t="shared" si="29"/>
        <v>1</v>
      </c>
      <c r="AA37" s="16">
        <f t="shared" si="29"/>
        <v>1</v>
      </c>
      <c r="AB37" s="16">
        <f t="shared" si="29"/>
        <v>12</v>
      </c>
      <c r="AC37" s="16">
        <f t="shared" si="29"/>
        <v>29</v>
      </c>
      <c r="AD37" s="16">
        <f t="shared" si="29"/>
        <v>0</v>
      </c>
      <c r="AE37" s="32">
        <f t="shared" si="29"/>
        <v>68</v>
      </c>
      <c r="AF37" s="32">
        <f t="shared" si="29"/>
        <v>97</v>
      </c>
    </row>
    <row r="38" spans="2:32" ht="23.1" customHeight="1" x14ac:dyDescent="0.25">
      <c r="B38" s="46" t="s">
        <v>65</v>
      </c>
      <c r="C38" s="51">
        <v>0</v>
      </c>
      <c r="D38" s="50">
        <v>5</v>
      </c>
      <c r="E38" s="51">
        <v>5</v>
      </c>
      <c r="F38" s="51">
        <v>2</v>
      </c>
      <c r="G38" s="51">
        <v>1</v>
      </c>
      <c r="H38" s="51">
        <v>2</v>
      </c>
      <c r="I38" s="51">
        <v>1</v>
      </c>
      <c r="J38" s="51">
        <v>0</v>
      </c>
      <c r="K38" s="51">
        <v>0</v>
      </c>
      <c r="L38" s="50">
        <v>1</v>
      </c>
      <c r="M38" s="51">
        <v>5</v>
      </c>
      <c r="N38" s="51">
        <v>0</v>
      </c>
      <c r="O38" s="15">
        <f t="shared" si="0"/>
        <v>17</v>
      </c>
      <c r="P38" s="15">
        <f t="shared" si="1"/>
        <v>22</v>
      </c>
      <c r="R38" s="28" t="s">
        <v>86</v>
      </c>
      <c r="S38" s="16">
        <f t="shared" ref="S38:AF38" si="30">SUM(S13:S18)</f>
        <v>33</v>
      </c>
      <c r="T38" s="16">
        <f t="shared" si="30"/>
        <v>43</v>
      </c>
      <c r="U38" s="16">
        <f t="shared" si="30"/>
        <v>56</v>
      </c>
      <c r="V38" s="16">
        <f t="shared" si="30"/>
        <v>37</v>
      </c>
      <c r="W38" s="16">
        <f t="shared" si="30"/>
        <v>1</v>
      </c>
      <c r="X38" s="16">
        <f t="shared" si="30"/>
        <v>23</v>
      </c>
      <c r="Y38" s="16">
        <f t="shared" si="30"/>
        <v>49</v>
      </c>
      <c r="Z38" s="16">
        <f t="shared" si="30"/>
        <v>12</v>
      </c>
      <c r="AA38" s="16">
        <f t="shared" si="30"/>
        <v>4</v>
      </c>
      <c r="AB38" s="16">
        <f t="shared" si="30"/>
        <v>31</v>
      </c>
      <c r="AC38" s="16">
        <f t="shared" si="30"/>
        <v>73</v>
      </c>
      <c r="AD38" s="16">
        <f t="shared" si="30"/>
        <v>0</v>
      </c>
      <c r="AE38" s="32">
        <f t="shared" si="30"/>
        <v>289</v>
      </c>
      <c r="AF38" s="32">
        <f t="shared" si="30"/>
        <v>362</v>
      </c>
    </row>
    <row r="39" spans="2:32" ht="23.1" customHeight="1" x14ac:dyDescent="0.25">
      <c r="B39" s="46" t="s">
        <v>66</v>
      </c>
      <c r="C39" s="51">
        <v>3</v>
      </c>
      <c r="D39" s="50">
        <v>1</v>
      </c>
      <c r="E39" s="51">
        <v>1</v>
      </c>
      <c r="F39" s="51">
        <v>1</v>
      </c>
      <c r="G39" s="51">
        <v>0</v>
      </c>
      <c r="H39" s="51">
        <v>0</v>
      </c>
      <c r="I39" s="51">
        <v>1</v>
      </c>
      <c r="J39" s="51">
        <v>1</v>
      </c>
      <c r="K39" s="51">
        <v>0</v>
      </c>
      <c r="L39" s="50">
        <v>0</v>
      </c>
      <c r="M39" s="51">
        <v>2</v>
      </c>
      <c r="N39" s="51">
        <v>0</v>
      </c>
      <c r="O39" s="15">
        <f t="shared" si="0"/>
        <v>8</v>
      </c>
      <c r="P39" s="15">
        <f t="shared" si="1"/>
        <v>10</v>
      </c>
      <c r="R39" s="29" t="s">
        <v>87</v>
      </c>
      <c r="S39" s="16">
        <f t="shared" ref="S39:AF39" si="31">SUM(S19:S21)</f>
        <v>19</v>
      </c>
      <c r="T39" s="16">
        <f t="shared" si="31"/>
        <v>25</v>
      </c>
      <c r="U39" s="16">
        <f t="shared" si="31"/>
        <v>30</v>
      </c>
      <c r="V39" s="16">
        <f t="shared" si="31"/>
        <v>24</v>
      </c>
      <c r="W39" s="16">
        <f t="shared" si="31"/>
        <v>1</v>
      </c>
      <c r="X39" s="16">
        <f t="shared" si="31"/>
        <v>13</v>
      </c>
      <c r="Y39" s="16">
        <f t="shared" si="31"/>
        <v>21</v>
      </c>
      <c r="Z39" s="16">
        <f t="shared" si="31"/>
        <v>9</v>
      </c>
      <c r="AA39" s="16">
        <f t="shared" si="31"/>
        <v>3</v>
      </c>
      <c r="AB39" s="16">
        <f t="shared" si="31"/>
        <v>36</v>
      </c>
      <c r="AC39" s="16">
        <f t="shared" si="31"/>
        <v>48</v>
      </c>
      <c r="AD39" s="16">
        <f t="shared" si="31"/>
        <v>0</v>
      </c>
      <c r="AE39" s="32">
        <f t="shared" si="31"/>
        <v>181</v>
      </c>
      <c r="AF39" s="32">
        <f t="shared" si="31"/>
        <v>229</v>
      </c>
    </row>
    <row r="40" spans="2:32" ht="23.1" customHeight="1" x14ac:dyDescent="0.25">
      <c r="B40" s="46" t="s">
        <v>67</v>
      </c>
      <c r="C40" s="51">
        <v>2</v>
      </c>
      <c r="D40" s="50">
        <v>1</v>
      </c>
      <c r="E40" s="51">
        <v>2</v>
      </c>
      <c r="F40" s="51">
        <v>0</v>
      </c>
      <c r="G40" s="51">
        <v>0</v>
      </c>
      <c r="H40" s="51">
        <v>0</v>
      </c>
      <c r="I40" s="51">
        <v>1</v>
      </c>
      <c r="J40" s="51">
        <v>0</v>
      </c>
      <c r="K40" s="51">
        <v>0</v>
      </c>
      <c r="L40" s="50">
        <v>0</v>
      </c>
      <c r="M40" s="51">
        <v>3</v>
      </c>
      <c r="N40" s="51">
        <v>0</v>
      </c>
      <c r="O40" s="15">
        <f t="shared" si="0"/>
        <v>6</v>
      </c>
      <c r="P40" s="15">
        <f t="shared" si="1"/>
        <v>9</v>
      </c>
      <c r="R40" s="5" t="s">
        <v>17</v>
      </c>
      <c r="S40" s="16">
        <f t="shared" ref="S40:AF40" si="32">SUM(S10:S21)</f>
        <v>61</v>
      </c>
      <c r="T40" s="16">
        <f t="shared" si="32"/>
        <v>75</v>
      </c>
      <c r="U40" s="16">
        <f t="shared" si="32"/>
        <v>100</v>
      </c>
      <c r="V40" s="16">
        <f t="shared" si="32"/>
        <v>75</v>
      </c>
      <c r="W40" s="16">
        <f t="shared" si="32"/>
        <v>3</v>
      </c>
      <c r="X40" s="16">
        <f t="shared" si="32"/>
        <v>41</v>
      </c>
      <c r="Y40" s="16">
        <f t="shared" si="32"/>
        <v>74</v>
      </c>
      <c r="Z40" s="16">
        <f t="shared" si="32"/>
        <v>22</v>
      </c>
      <c r="AA40" s="16">
        <f t="shared" si="32"/>
        <v>8</v>
      </c>
      <c r="AB40" s="16">
        <f t="shared" si="32"/>
        <v>79</v>
      </c>
      <c r="AC40" s="16">
        <f t="shared" si="32"/>
        <v>150</v>
      </c>
      <c r="AD40" s="16">
        <f t="shared" si="32"/>
        <v>0</v>
      </c>
      <c r="AE40" s="32">
        <f t="shared" si="32"/>
        <v>538</v>
      </c>
      <c r="AF40" s="32">
        <f t="shared" si="32"/>
        <v>688</v>
      </c>
    </row>
    <row r="41" spans="2:32" ht="23.1" customHeight="1" x14ac:dyDescent="0.25">
      <c r="B41" s="45" t="s">
        <v>68</v>
      </c>
      <c r="C41" s="51">
        <v>1</v>
      </c>
      <c r="D41" s="50">
        <v>0</v>
      </c>
      <c r="E41" s="51">
        <v>1</v>
      </c>
      <c r="F41" s="51">
        <v>2</v>
      </c>
      <c r="G41" s="51">
        <v>0</v>
      </c>
      <c r="H41" s="51">
        <v>3</v>
      </c>
      <c r="I41" s="51">
        <v>2</v>
      </c>
      <c r="J41" s="51">
        <v>1</v>
      </c>
      <c r="K41" s="51">
        <v>0</v>
      </c>
      <c r="L41" s="50">
        <v>1</v>
      </c>
      <c r="M41" s="51">
        <v>2</v>
      </c>
      <c r="N41" s="51">
        <v>0</v>
      </c>
      <c r="O41" s="15">
        <f t="shared" si="0"/>
        <v>11</v>
      </c>
      <c r="P41" s="15">
        <f t="shared" si="1"/>
        <v>13</v>
      </c>
      <c r="R41" s="5" t="s">
        <v>159</v>
      </c>
      <c r="S41" s="16">
        <f>SUM(S10:S33)</f>
        <v>133</v>
      </c>
      <c r="T41" s="16">
        <f t="shared" ref="T41:AF41" si="33">SUM(T10:T33)</f>
        <v>137</v>
      </c>
      <c r="U41" s="16">
        <f t="shared" si="33"/>
        <v>244</v>
      </c>
      <c r="V41" s="16">
        <f t="shared" si="33"/>
        <v>132</v>
      </c>
      <c r="W41" s="16">
        <f t="shared" si="33"/>
        <v>3</v>
      </c>
      <c r="X41" s="16">
        <f t="shared" si="33"/>
        <v>78</v>
      </c>
      <c r="Y41" s="16">
        <f t="shared" si="33"/>
        <v>149</v>
      </c>
      <c r="Z41" s="16">
        <f t="shared" si="33"/>
        <v>30</v>
      </c>
      <c r="AA41" s="16">
        <f t="shared" si="33"/>
        <v>10</v>
      </c>
      <c r="AB41" s="16">
        <f t="shared" si="33"/>
        <v>129</v>
      </c>
      <c r="AC41" s="16">
        <f t="shared" si="33"/>
        <v>220</v>
      </c>
      <c r="AD41" s="16">
        <f t="shared" si="33"/>
        <v>0</v>
      </c>
      <c r="AE41" s="32">
        <f t="shared" si="33"/>
        <v>1045</v>
      </c>
      <c r="AF41" s="32">
        <f t="shared" si="33"/>
        <v>1265</v>
      </c>
    </row>
    <row r="42" spans="2:32" ht="23.1" customHeight="1" x14ac:dyDescent="0.25">
      <c r="B42" s="46" t="s">
        <v>69</v>
      </c>
      <c r="C42" s="51">
        <v>1</v>
      </c>
      <c r="D42" s="50">
        <v>1</v>
      </c>
      <c r="E42" s="51">
        <v>1</v>
      </c>
      <c r="F42" s="51">
        <v>1</v>
      </c>
      <c r="G42" s="51">
        <v>0</v>
      </c>
      <c r="H42" s="51">
        <v>0</v>
      </c>
      <c r="I42" s="51">
        <v>4</v>
      </c>
      <c r="J42" s="51">
        <v>1</v>
      </c>
      <c r="K42" s="51">
        <v>0</v>
      </c>
      <c r="L42" s="50">
        <v>3</v>
      </c>
      <c r="M42" s="51">
        <v>3</v>
      </c>
      <c r="N42" s="51">
        <v>0</v>
      </c>
      <c r="O42" s="15">
        <f t="shared" si="0"/>
        <v>12</v>
      </c>
      <c r="P42" s="15">
        <f t="shared" si="1"/>
        <v>15</v>
      </c>
      <c r="R42" s="5" t="s">
        <v>160</v>
      </c>
      <c r="S42" s="48">
        <f>S41/S40</f>
        <v>2.180327868852459</v>
      </c>
      <c r="T42" s="48">
        <f t="shared" ref="T42:AF42" si="34">T41/T40</f>
        <v>1.8266666666666667</v>
      </c>
      <c r="U42" s="48">
        <f t="shared" si="34"/>
        <v>2.44</v>
      </c>
      <c r="V42" s="48">
        <f t="shared" si="34"/>
        <v>1.76</v>
      </c>
      <c r="W42" s="48">
        <f t="shared" si="34"/>
        <v>1</v>
      </c>
      <c r="X42" s="48">
        <f t="shared" si="34"/>
        <v>1.9024390243902438</v>
      </c>
      <c r="Y42" s="48">
        <f t="shared" si="34"/>
        <v>2.0135135135135136</v>
      </c>
      <c r="Z42" s="48">
        <f t="shared" si="34"/>
        <v>1.3636363636363635</v>
      </c>
      <c r="AA42" s="48">
        <f t="shared" si="34"/>
        <v>1.25</v>
      </c>
      <c r="AB42" s="48">
        <f t="shared" si="34"/>
        <v>1.6329113924050633</v>
      </c>
      <c r="AC42" s="48">
        <f t="shared" si="34"/>
        <v>1.4666666666666666</v>
      </c>
      <c r="AD42" s="48" t="e">
        <f t="shared" si="34"/>
        <v>#DIV/0!</v>
      </c>
      <c r="AE42" s="48">
        <f t="shared" si="34"/>
        <v>1.9423791821561338</v>
      </c>
      <c r="AF42" s="48">
        <f t="shared" si="34"/>
        <v>1.8386627906976745</v>
      </c>
    </row>
    <row r="43" spans="2:32" ht="23.1" customHeight="1" x14ac:dyDescent="0.25">
      <c r="B43" s="45" t="s">
        <v>70</v>
      </c>
      <c r="C43" s="51">
        <v>1</v>
      </c>
      <c r="D43" s="50">
        <v>2</v>
      </c>
      <c r="E43" s="51">
        <v>3</v>
      </c>
      <c r="F43" s="51">
        <v>2</v>
      </c>
      <c r="G43" s="51">
        <v>0</v>
      </c>
      <c r="H43" s="51">
        <v>1</v>
      </c>
      <c r="I43" s="51">
        <v>3</v>
      </c>
      <c r="J43" s="51">
        <v>1</v>
      </c>
      <c r="K43" s="51">
        <v>1</v>
      </c>
      <c r="L43" s="50">
        <v>0</v>
      </c>
      <c r="M43" s="51">
        <v>3</v>
      </c>
      <c r="N43" s="51">
        <v>0</v>
      </c>
      <c r="O43" s="15">
        <f t="shared" si="0"/>
        <v>14</v>
      </c>
      <c r="P43" s="15">
        <f t="shared" si="1"/>
        <v>17</v>
      </c>
    </row>
    <row r="44" spans="2:32" ht="23.1" customHeight="1" x14ac:dyDescent="0.25">
      <c r="B44" s="47" t="s">
        <v>71</v>
      </c>
      <c r="C44" s="51">
        <v>2</v>
      </c>
      <c r="D44" s="50">
        <v>3</v>
      </c>
      <c r="E44" s="51">
        <v>4</v>
      </c>
      <c r="F44" s="51">
        <v>0</v>
      </c>
      <c r="G44" s="51">
        <v>0</v>
      </c>
      <c r="H44" s="51">
        <v>2</v>
      </c>
      <c r="I44" s="51">
        <v>5</v>
      </c>
      <c r="J44" s="51">
        <v>0</v>
      </c>
      <c r="K44" s="51">
        <v>0</v>
      </c>
      <c r="L44" s="50">
        <v>4</v>
      </c>
      <c r="M44" s="51">
        <v>3</v>
      </c>
      <c r="N44" s="51">
        <v>0</v>
      </c>
      <c r="O44" s="15">
        <f t="shared" si="0"/>
        <v>20</v>
      </c>
      <c r="P44" s="15">
        <f t="shared" si="1"/>
        <v>23</v>
      </c>
    </row>
    <row r="45" spans="2:32" ht="23.1" customHeight="1" x14ac:dyDescent="0.25">
      <c r="B45" s="45" t="s">
        <v>72</v>
      </c>
      <c r="C45" s="51">
        <v>0</v>
      </c>
      <c r="D45" s="50">
        <v>0</v>
      </c>
      <c r="E45" s="51">
        <v>1</v>
      </c>
      <c r="F45" s="51">
        <v>2</v>
      </c>
      <c r="G45" s="51">
        <v>0</v>
      </c>
      <c r="H45" s="51">
        <v>1</v>
      </c>
      <c r="I45" s="51">
        <v>2</v>
      </c>
      <c r="J45" s="51">
        <v>0</v>
      </c>
      <c r="K45" s="51">
        <v>0</v>
      </c>
      <c r="L45" s="50">
        <v>3</v>
      </c>
      <c r="M45" s="51">
        <v>4</v>
      </c>
      <c r="N45" s="51">
        <v>0</v>
      </c>
      <c r="O45" s="15">
        <f t="shared" si="0"/>
        <v>9</v>
      </c>
      <c r="P45" s="15">
        <f t="shared" si="1"/>
        <v>13</v>
      </c>
    </row>
    <row r="46" spans="2:32" ht="23.1" customHeight="1" x14ac:dyDescent="0.25">
      <c r="B46" s="46" t="s">
        <v>73</v>
      </c>
      <c r="C46" s="51">
        <v>3</v>
      </c>
      <c r="D46" s="50">
        <v>1</v>
      </c>
      <c r="E46" s="51">
        <v>2</v>
      </c>
      <c r="F46" s="51">
        <v>3</v>
      </c>
      <c r="G46" s="51">
        <v>0</v>
      </c>
      <c r="H46" s="51">
        <v>1</v>
      </c>
      <c r="I46" s="51">
        <v>0</v>
      </c>
      <c r="J46" s="51">
        <v>0</v>
      </c>
      <c r="K46" s="51">
        <v>1</v>
      </c>
      <c r="L46" s="50">
        <v>1</v>
      </c>
      <c r="M46" s="51">
        <v>2</v>
      </c>
      <c r="N46" s="51">
        <v>0</v>
      </c>
      <c r="O46" s="15">
        <f t="shared" si="0"/>
        <v>12</v>
      </c>
      <c r="P46" s="15">
        <f t="shared" si="1"/>
        <v>14</v>
      </c>
      <c r="R46" s="8"/>
      <c r="T46"/>
    </row>
    <row r="47" spans="2:32" ht="23.1" customHeight="1" x14ac:dyDescent="0.25">
      <c r="B47" s="46" t="s">
        <v>74</v>
      </c>
      <c r="C47" s="51">
        <v>3</v>
      </c>
      <c r="D47" s="50">
        <v>2</v>
      </c>
      <c r="E47" s="51">
        <v>2</v>
      </c>
      <c r="F47" s="51">
        <v>2</v>
      </c>
      <c r="G47" s="51">
        <v>1</v>
      </c>
      <c r="H47" s="51">
        <v>0</v>
      </c>
      <c r="I47" s="51">
        <v>0</v>
      </c>
      <c r="J47" s="51">
        <v>1</v>
      </c>
      <c r="K47" s="51">
        <v>0</v>
      </c>
      <c r="L47" s="50">
        <v>5</v>
      </c>
      <c r="M47" s="51">
        <v>3</v>
      </c>
      <c r="N47" s="51">
        <v>0</v>
      </c>
      <c r="O47" s="15">
        <f t="shared" si="0"/>
        <v>16</v>
      </c>
      <c r="P47" s="15">
        <f t="shared" si="1"/>
        <v>19</v>
      </c>
      <c r="R47" s="8"/>
      <c r="T47"/>
    </row>
    <row r="48" spans="2:32" ht="23.1" customHeight="1" x14ac:dyDescent="0.25">
      <c r="B48" s="46" t="s">
        <v>75</v>
      </c>
      <c r="C48" s="51">
        <v>0</v>
      </c>
      <c r="D48" s="50">
        <v>2</v>
      </c>
      <c r="E48" s="51">
        <v>3</v>
      </c>
      <c r="F48" s="51">
        <v>2</v>
      </c>
      <c r="G48" s="51">
        <v>0</v>
      </c>
      <c r="H48" s="51">
        <v>3</v>
      </c>
      <c r="I48" s="51">
        <v>2</v>
      </c>
      <c r="J48" s="51">
        <v>2</v>
      </c>
      <c r="K48" s="51">
        <v>0</v>
      </c>
      <c r="L48" s="50">
        <v>2</v>
      </c>
      <c r="M48" s="51">
        <v>1</v>
      </c>
      <c r="N48" s="51">
        <v>0</v>
      </c>
      <c r="O48" s="15">
        <f t="shared" si="0"/>
        <v>16</v>
      </c>
      <c r="P48" s="15">
        <f t="shared" si="1"/>
        <v>17</v>
      </c>
      <c r="R48" s="8"/>
      <c r="T48"/>
    </row>
    <row r="49" spans="2:20" ht="23.1" customHeight="1" x14ac:dyDescent="0.25">
      <c r="B49" s="45" t="s">
        <v>76</v>
      </c>
      <c r="C49" s="51">
        <v>2</v>
      </c>
      <c r="D49" s="50">
        <v>3</v>
      </c>
      <c r="E49" s="51">
        <v>3</v>
      </c>
      <c r="F49" s="51">
        <v>4</v>
      </c>
      <c r="G49" s="51">
        <v>0</v>
      </c>
      <c r="H49" s="51">
        <v>0</v>
      </c>
      <c r="I49" s="51">
        <v>2</v>
      </c>
      <c r="J49" s="51">
        <v>1</v>
      </c>
      <c r="K49" s="51">
        <v>1</v>
      </c>
      <c r="L49" s="50">
        <v>3</v>
      </c>
      <c r="M49" s="51">
        <v>3</v>
      </c>
      <c r="N49" s="51">
        <v>0</v>
      </c>
      <c r="O49" s="15">
        <f t="shared" si="0"/>
        <v>19</v>
      </c>
      <c r="P49" s="15">
        <f t="shared" si="1"/>
        <v>22</v>
      </c>
      <c r="R49" s="8"/>
      <c r="T49"/>
    </row>
    <row r="50" spans="2:20" ht="23.1" customHeight="1" x14ac:dyDescent="0.25">
      <c r="B50" s="46" t="s">
        <v>77</v>
      </c>
      <c r="C50" s="51">
        <v>1</v>
      </c>
      <c r="D50" s="50">
        <v>4</v>
      </c>
      <c r="E50" s="51">
        <v>4</v>
      </c>
      <c r="F50" s="51">
        <v>3</v>
      </c>
      <c r="G50" s="51">
        <v>0</v>
      </c>
      <c r="H50" s="51">
        <v>0</v>
      </c>
      <c r="I50" s="51">
        <v>4</v>
      </c>
      <c r="J50" s="51">
        <v>2</v>
      </c>
      <c r="K50" s="51">
        <v>1</v>
      </c>
      <c r="L50" s="50">
        <v>2</v>
      </c>
      <c r="M50" s="51">
        <v>5</v>
      </c>
      <c r="N50" s="51">
        <v>0</v>
      </c>
      <c r="O50" s="15">
        <f t="shared" si="0"/>
        <v>21</v>
      </c>
      <c r="P50" s="15">
        <f t="shared" si="1"/>
        <v>26</v>
      </c>
      <c r="R50" s="8"/>
      <c r="T50"/>
    </row>
    <row r="51" spans="2:20" ht="23.1" customHeight="1" x14ac:dyDescent="0.25">
      <c r="B51" s="46" t="s">
        <v>78</v>
      </c>
      <c r="C51" s="51">
        <v>1</v>
      </c>
      <c r="D51" s="50">
        <v>1</v>
      </c>
      <c r="E51" s="51">
        <v>2</v>
      </c>
      <c r="F51" s="51">
        <v>0</v>
      </c>
      <c r="G51" s="51">
        <v>0</v>
      </c>
      <c r="H51" s="51">
        <v>0</v>
      </c>
      <c r="I51" s="51">
        <v>0</v>
      </c>
      <c r="J51" s="51">
        <v>2</v>
      </c>
      <c r="K51" s="51">
        <v>0</v>
      </c>
      <c r="L51" s="50">
        <v>4</v>
      </c>
      <c r="M51" s="51">
        <v>4</v>
      </c>
      <c r="N51" s="51">
        <v>0</v>
      </c>
      <c r="O51" s="15">
        <f t="shared" si="0"/>
        <v>10</v>
      </c>
      <c r="P51" s="15">
        <f t="shared" si="1"/>
        <v>14</v>
      </c>
      <c r="R51" s="8"/>
      <c r="T51"/>
    </row>
    <row r="52" spans="2:20" ht="23.1" customHeight="1" x14ac:dyDescent="0.25">
      <c r="B52" s="46" t="s">
        <v>79</v>
      </c>
      <c r="C52" s="51">
        <v>1</v>
      </c>
      <c r="D52" s="50">
        <v>2</v>
      </c>
      <c r="E52" s="51">
        <v>2</v>
      </c>
      <c r="F52" s="51">
        <v>1</v>
      </c>
      <c r="G52" s="51">
        <v>0</v>
      </c>
      <c r="H52" s="51">
        <v>1</v>
      </c>
      <c r="I52" s="51">
        <v>2</v>
      </c>
      <c r="J52" s="51">
        <v>0</v>
      </c>
      <c r="K52" s="51">
        <v>0</v>
      </c>
      <c r="L52" s="50">
        <v>4</v>
      </c>
      <c r="M52" s="51">
        <v>5</v>
      </c>
      <c r="N52" s="51">
        <v>0</v>
      </c>
      <c r="O52" s="15">
        <f t="shared" si="0"/>
        <v>13</v>
      </c>
      <c r="P52" s="15">
        <f t="shared" si="1"/>
        <v>18</v>
      </c>
      <c r="R52" s="8"/>
      <c r="T52"/>
    </row>
    <row r="53" spans="2:20" ht="23.1" customHeight="1" x14ac:dyDescent="0.25">
      <c r="B53" s="45" t="s">
        <v>80</v>
      </c>
      <c r="C53" s="51">
        <v>1</v>
      </c>
      <c r="D53" s="50">
        <v>2</v>
      </c>
      <c r="E53" s="51">
        <v>2</v>
      </c>
      <c r="F53" s="51">
        <v>0</v>
      </c>
      <c r="G53" s="51">
        <v>0</v>
      </c>
      <c r="H53" s="51">
        <v>1</v>
      </c>
      <c r="I53" s="51">
        <v>2</v>
      </c>
      <c r="J53" s="51">
        <v>0</v>
      </c>
      <c r="K53" s="51">
        <v>0</v>
      </c>
      <c r="L53" s="50">
        <v>6</v>
      </c>
      <c r="M53" s="51">
        <v>6</v>
      </c>
      <c r="N53" s="51">
        <v>0</v>
      </c>
      <c r="O53" s="15">
        <f t="shared" si="0"/>
        <v>14</v>
      </c>
      <c r="P53" s="15">
        <f t="shared" si="1"/>
        <v>20</v>
      </c>
      <c r="R53" s="8"/>
      <c r="T53"/>
    </row>
    <row r="54" spans="2:20" ht="23.1" customHeight="1" x14ac:dyDescent="0.25">
      <c r="B54" s="45" t="s">
        <v>81</v>
      </c>
      <c r="C54" s="51">
        <v>1</v>
      </c>
      <c r="D54" s="50">
        <v>1</v>
      </c>
      <c r="E54" s="51">
        <v>2</v>
      </c>
      <c r="F54" s="51">
        <v>2</v>
      </c>
      <c r="G54" s="51">
        <v>0</v>
      </c>
      <c r="H54" s="51">
        <v>2</v>
      </c>
      <c r="I54" s="51">
        <v>1</v>
      </c>
      <c r="J54" s="51">
        <v>1</v>
      </c>
      <c r="K54" s="51">
        <v>0</v>
      </c>
      <c r="L54" s="50">
        <v>4</v>
      </c>
      <c r="M54" s="51">
        <v>4</v>
      </c>
      <c r="N54" s="51">
        <v>0</v>
      </c>
      <c r="O54" s="15">
        <f t="shared" si="0"/>
        <v>14</v>
      </c>
      <c r="P54" s="15">
        <f t="shared" si="1"/>
        <v>18</v>
      </c>
      <c r="R54" s="8"/>
      <c r="T54"/>
    </row>
    <row r="55" spans="2:20" ht="23.1" customHeight="1" x14ac:dyDescent="0.25">
      <c r="B55" s="45" t="s">
        <v>82</v>
      </c>
      <c r="C55" s="51">
        <v>2</v>
      </c>
      <c r="D55" s="50">
        <v>3</v>
      </c>
      <c r="E55" s="51">
        <v>3</v>
      </c>
      <c r="F55" s="51">
        <v>3</v>
      </c>
      <c r="G55" s="51">
        <v>0</v>
      </c>
      <c r="H55" s="51">
        <v>0</v>
      </c>
      <c r="I55" s="51">
        <v>4</v>
      </c>
      <c r="J55" s="51">
        <v>0</v>
      </c>
      <c r="K55" s="51">
        <v>0</v>
      </c>
      <c r="L55" s="50">
        <v>2</v>
      </c>
      <c r="M55" s="51">
        <v>8</v>
      </c>
      <c r="N55" s="51">
        <v>0</v>
      </c>
      <c r="O55" s="15">
        <f t="shared" si="0"/>
        <v>17</v>
      </c>
      <c r="P55" s="15">
        <f t="shared" si="1"/>
        <v>25</v>
      </c>
      <c r="R55" s="8"/>
      <c r="T55"/>
    </row>
    <row r="56" spans="2:20" ht="23.1" customHeight="1" x14ac:dyDescent="0.25">
      <c r="B56" s="45" t="s">
        <v>83</v>
      </c>
      <c r="C56" s="51">
        <v>2</v>
      </c>
      <c r="D56" s="50">
        <v>2</v>
      </c>
      <c r="E56" s="51">
        <v>3</v>
      </c>
      <c r="F56" s="51">
        <v>1</v>
      </c>
      <c r="G56" s="51">
        <v>0</v>
      </c>
      <c r="H56" s="51">
        <v>3</v>
      </c>
      <c r="I56" s="51">
        <v>3</v>
      </c>
      <c r="J56" s="51">
        <v>0</v>
      </c>
      <c r="K56" s="51">
        <v>0</v>
      </c>
      <c r="L56" s="50">
        <v>2</v>
      </c>
      <c r="M56" s="51">
        <v>3</v>
      </c>
      <c r="N56" s="51">
        <v>0</v>
      </c>
      <c r="O56" s="15">
        <f t="shared" si="0"/>
        <v>16</v>
      </c>
      <c r="P56" s="15">
        <f t="shared" si="1"/>
        <v>19</v>
      </c>
      <c r="R56" s="8"/>
      <c r="T56"/>
    </row>
    <row r="57" spans="2:20" ht="23.1" customHeight="1" x14ac:dyDescent="0.25">
      <c r="B57" s="45" t="s">
        <v>84</v>
      </c>
      <c r="C57" s="51">
        <v>2</v>
      </c>
      <c r="D57" s="50">
        <v>2</v>
      </c>
      <c r="E57" s="51">
        <v>2</v>
      </c>
      <c r="F57" s="51">
        <v>3</v>
      </c>
      <c r="G57" s="51">
        <v>0</v>
      </c>
      <c r="H57" s="51">
        <v>2</v>
      </c>
      <c r="I57" s="51">
        <v>1</v>
      </c>
      <c r="J57" s="51">
        <v>0</v>
      </c>
      <c r="K57" s="51">
        <v>0</v>
      </c>
      <c r="L57" s="50">
        <v>1</v>
      </c>
      <c r="M57" s="51">
        <v>4</v>
      </c>
      <c r="N57" s="51">
        <v>0</v>
      </c>
      <c r="O57" s="15">
        <f t="shared" si="0"/>
        <v>13</v>
      </c>
      <c r="P57" s="15">
        <f t="shared" si="1"/>
        <v>17</v>
      </c>
      <c r="R57" s="8"/>
      <c r="T57"/>
    </row>
    <row r="58" spans="2:20" ht="23.1" customHeight="1" x14ac:dyDescent="0.25">
      <c r="B58" s="45" t="s">
        <v>99</v>
      </c>
      <c r="C58" s="51">
        <v>1</v>
      </c>
      <c r="D58" s="51">
        <v>1</v>
      </c>
      <c r="E58" s="51">
        <v>2</v>
      </c>
      <c r="F58" s="51">
        <v>1</v>
      </c>
      <c r="G58" s="51">
        <v>0</v>
      </c>
      <c r="H58" s="51">
        <v>0</v>
      </c>
      <c r="I58" s="51">
        <v>1</v>
      </c>
      <c r="J58" s="51">
        <v>1</v>
      </c>
      <c r="K58" s="51">
        <v>0</v>
      </c>
      <c r="L58" s="51">
        <v>1</v>
      </c>
      <c r="M58" s="51">
        <v>1</v>
      </c>
      <c r="N58" s="51">
        <v>0</v>
      </c>
      <c r="O58" s="15">
        <f t="shared" si="0"/>
        <v>8</v>
      </c>
      <c r="P58" s="15">
        <f t="shared" si="1"/>
        <v>9</v>
      </c>
      <c r="R58" s="8"/>
      <c r="T58"/>
    </row>
    <row r="59" spans="2:20" ht="23.1" customHeight="1" x14ac:dyDescent="0.25">
      <c r="B59" s="45" t="s">
        <v>100</v>
      </c>
      <c r="C59" s="51">
        <v>1</v>
      </c>
      <c r="D59" s="51">
        <v>0</v>
      </c>
      <c r="E59" s="51">
        <v>1</v>
      </c>
      <c r="F59" s="51">
        <v>1</v>
      </c>
      <c r="G59" s="51">
        <v>0</v>
      </c>
      <c r="H59" s="51">
        <v>0</v>
      </c>
      <c r="I59" s="51">
        <v>1</v>
      </c>
      <c r="J59" s="51">
        <v>0</v>
      </c>
      <c r="K59" s="51">
        <v>0</v>
      </c>
      <c r="L59" s="51">
        <v>1</v>
      </c>
      <c r="M59" s="51">
        <v>1</v>
      </c>
      <c r="N59" s="51">
        <v>0</v>
      </c>
      <c r="O59" s="15">
        <f t="shared" si="0"/>
        <v>5</v>
      </c>
      <c r="P59" s="15">
        <f t="shared" si="1"/>
        <v>6</v>
      </c>
      <c r="R59" s="8"/>
      <c r="T59"/>
    </row>
    <row r="60" spans="2:20" ht="23.1" customHeight="1" x14ac:dyDescent="0.25">
      <c r="B60" s="45" t="s">
        <v>101</v>
      </c>
      <c r="C60" s="51">
        <v>1</v>
      </c>
      <c r="D60" s="51">
        <v>0</v>
      </c>
      <c r="E60" s="51">
        <v>2</v>
      </c>
      <c r="F60" s="51">
        <v>1</v>
      </c>
      <c r="G60" s="51">
        <v>0</v>
      </c>
      <c r="H60" s="51">
        <v>0</v>
      </c>
      <c r="I60" s="51">
        <v>1</v>
      </c>
      <c r="J60" s="51">
        <v>0</v>
      </c>
      <c r="K60" s="51">
        <v>0</v>
      </c>
      <c r="L60" s="51">
        <v>1</v>
      </c>
      <c r="M60" s="51">
        <v>2</v>
      </c>
      <c r="N60" s="51">
        <v>0</v>
      </c>
      <c r="O60" s="15">
        <f t="shared" si="0"/>
        <v>6</v>
      </c>
      <c r="P60" s="15">
        <f t="shared" si="1"/>
        <v>8</v>
      </c>
      <c r="R60" s="8"/>
      <c r="T60"/>
    </row>
    <row r="61" spans="2:20" ht="23.1" customHeight="1" x14ac:dyDescent="0.25">
      <c r="B61" s="45" t="s">
        <v>102</v>
      </c>
      <c r="C61" s="51">
        <v>1</v>
      </c>
      <c r="D61" s="51">
        <v>1</v>
      </c>
      <c r="E61" s="51">
        <v>3</v>
      </c>
      <c r="F61" s="51">
        <v>1</v>
      </c>
      <c r="G61" s="51">
        <v>0</v>
      </c>
      <c r="H61" s="51">
        <v>0</v>
      </c>
      <c r="I61" s="51">
        <v>1</v>
      </c>
      <c r="J61" s="51">
        <v>1</v>
      </c>
      <c r="K61" s="51">
        <v>0</v>
      </c>
      <c r="L61" s="51">
        <v>1</v>
      </c>
      <c r="M61" s="51">
        <v>3</v>
      </c>
      <c r="N61" s="51">
        <v>0</v>
      </c>
      <c r="O61" s="15">
        <f t="shared" si="0"/>
        <v>9</v>
      </c>
      <c r="P61" s="15">
        <f t="shared" si="1"/>
        <v>12</v>
      </c>
      <c r="R61" s="8"/>
      <c r="T61"/>
    </row>
    <row r="62" spans="2:20" ht="23.1" customHeight="1" x14ac:dyDescent="0.25">
      <c r="B62" s="45" t="s">
        <v>107</v>
      </c>
      <c r="C62" s="51">
        <v>1</v>
      </c>
      <c r="D62" s="51">
        <v>1</v>
      </c>
      <c r="E62" s="51">
        <v>3</v>
      </c>
      <c r="F62" s="51">
        <v>1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1</v>
      </c>
      <c r="M62" s="51">
        <v>2</v>
      </c>
      <c r="N62" s="51">
        <v>0</v>
      </c>
      <c r="O62" s="15">
        <f t="shared" si="0"/>
        <v>7</v>
      </c>
      <c r="P62" s="15">
        <f t="shared" si="1"/>
        <v>9</v>
      </c>
      <c r="R62" s="8"/>
      <c r="T62"/>
    </row>
    <row r="63" spans="2:20" ht="23.1" customHeight="1" x14ac:dyDescent="0.25">
      <c r="B63" s="45" t="s">
        <v>108</v>
      </c>
      <c r="C63" s="51">
        <v>1</v>
      </c>
      <c r="D63" s="51">
        <v>1</v>
      </c>
      <c r="E63" s="51">
        <v>3</v>
      </c>
      <c r="F63" s="51">
        <v>1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3</v>
      </c>
      <c r="N63" s="51">
        <v>0</v>
      </c>
      <c r="O63" s="15">
        <f t="shared" si="0"/>
        <v>6</v>
      </c>
      <c r="P63" s="15">
        <f t="shared" si="1"/>
        <v>9</v>
      </c>
      <c r="R63" s="8"/>
      <c r="T63"/>
    </row>
    <row r="64" spans="2:20" ht="23.1" customHeight="1" x14ac:dyDescent="0.25">
      <c r="B64" s="45" t="s">
        <v>109</v>
      </c>
      <c r="C64" s="51">
        <v>1</v>
      </c>
      <c r="D64" s="51">
        <v>1</v>
      </c>
      <c r="E64" s="51">
        <v>3</v>
      </c>
      <c r="F64" s="51">
        <v>1</v>
      </c>
      <c r="G64" s="51">
        <v>0</v>
      </c>
      <c r="H64" s="51">
        <v>0</v>
      </c>
      <c r="I64" s="51">
        <v>1</v>
      </c>
      <c r="J64" s="51">
        <v>0</v>
      </c>
      <c r="K64" s="51">
        <v>0</v>
      </c>
      <c r="L64" s="51">
        <v>0</v>
      </c>
      <c r="M64" s="51">
        <v>2</v>
      </c>
      <c r="N64" s="51">
        <v>0</v>
      </c>
      <c r="O64" s="15">
        <f t="shared" si="0"/>
        <v>7</v>
      </c>
      <c r="P64" s="15">
        <f t="shared" si="1"/>
        <v>9</v>
      </c>
      <c r="R64" s="8"/>
      <c r="T64"/>
    </row>
    <row r="65" spans="2:20" ht="23.1" customHeight="1" x14ac:dyDescent="0.25">
      <c r="B65" s="45" t="s">
        <v>158</v>
      </c>
      <c r="C65" s="51">
        <v>1</v>
      </c>
      <c r="D65" s="51">
        <v>1</v>
      </c>
      <c r="E65" s="51">
        <v>3</v>
      </c>
      <c r="F65" s="51">
        <v>1</v>
      </c>
      <c r="G65" s="51">
        <v>0</v>
      </c>
      <c r="H65" s="51">
        <v>1</v>
      </c>
      <c r="I65" s="51">
        <v>1</v>
      </c>
      <c r="J65" s="51">
        <v>0</v>
      </c>
      <c r="K65" s="51">
        <v>0</v>
      </c>
      <c r="L65" s="51">
        <v>1</v>
      </c>
      <c r="M65" s="51">
        <v>2</v>
      </c>
      <c r="N65" s="51">
        <v>0</v>
      </c>
      <c r="O65" s="15">
        <f t="shared" si="0"/>
        <v>9</v>
      </c>
      <c r="P65" s="15">
        <f t="shared" si="1"/>
        <v>11</v>
      </c>
      <c r="R65" s="8"/>
      <c r="T65"/>
    </row>
    <row r="66" spans="2:20" ht="23.1" customHeight="1" x14ac:dyDescent="0.25">
      <c r="B66" s="45" t="s">
        <v>103</v>
      </c>
      <c r="C66" s="51">
        <v>1</v>
      </c>
      <c r="D66" s="51">
        <v>1</v>
      </c>
      <c r="E66" s="51">
        <v>3</v>
      </c>
      <c r="F66" s="51">
        <v>1</v>
      </c>
      <c r="G66" s="51">
        <v>0</v>
      </c>
      <c r="H66" s="51">
        <v>1</v>
      </c>
      <c r="I66" s="51">
        <v>1</v>
      </c>
      <c r="J66" s="51">
        <v>0</v>
      </c>
      <c r="K66" s="51">
        <v>0</v>
      </c>
      <c r="L66" s="51">
        <v>1</v>
      </c>
      <c r="M66" s="51">
        <v>2</v>
      </c>
      <c r="N66" s="51">
        <v>0</v>
      </c>
      <c r="O66" s="15">
        <f t="shared" si="0"/>
        <v>9</v>
      </c>
      <c r="P66" s="15">
        <f t="shared" si="1"/>
        <v>11</v>
      </c>
      <c r="R66" s="8"/>
      <c r="T66"/>
    </row>
    <row r="67" spans="2:20" ht="23.1" customHeight="1" x14ac:dyDescent="0.25">
      <c r="B67" s="45" t="s">
        <v>104</v>
      </c>
      <c r="C67" s="51">
        <v>1</v>
      </c>
      <c r="D67" s="51">
        <v>1</v>
      </c>
      <c r="E67" s="51">
        <v>2</v>
      </c>
      <c r="F67" s="51">
        <v>1</v>
      </c>
      <c r="G67" s="51">
        <v>0</v>
      </c>
      <c r="H67" s="51">
        <v>0</v>
      </c>
      <c r="I67" s="51">
        <v>1</v>
      </c>
      <c r="J67" s="51">
        <v>0</v>
      </c>
      <c r="K67" s="51">
        <v>0</v>
      </c>
      <c r="L67" s="51">
        <v>0</v>
      </c>
      <c r="M67" s="51">
        <v>2</v>
      </c>
      <c r="N67" s="51">
        <v>0</v>
      </c>
      <c r="O67" s="15">
        <f t="shared" si="0"/>
        <v>6</v>
      </c>
      <c r="P67" s="15">
        <f t="shared" si="1"/>
        <v>8</v>
      </c>
      <c r="R67" s="8"/>
      <c r="T67"/>
    </row>
    <row r="68" spans="2:20" ht="23.1" customHeight="1" x14ac:dyDescent="0.25">
      <c r="B68" s="45" t="s">
        <v>105</v>
      </c>
      <c r="C68" s="51">
        <v>1</v>
      </c>
      <c r="D68" s="51">
        <v>1</v>
      </c>
      <c r="E68" s="51">
        <v>2</v>
      </c>
      <c r="F68" s="51">
        <v>0</v>
      </c>
      <c r="G68" s="51">
        <v>0</v>
      </c>
      <c r="H68" s="51">
        <v>0</v>
      </c>
      <c r="I68" s="51">
        <v>1</v>
      </c>
      <c r="J68" s="51">
        <v>0</v>
      </c>
      <c r="K68" s="51">
        <v>0</v>
      </c>
      <c r="L68" s="51">
        <v>2</v>
      </c>
      <c r="M68" s="51">
        <v>2</v>
      </c>
      <c r="N68" s="51">
        <v>0</v>
      </c>
      <c r="O68" s="15">
        <f t="shared" si="0"/>
        <v>7</v>
      </c>
      <c r="P68" s="15">
        <f t="shared" si="1"/>
        <v>9</v>
      </c>
      <c r="R68" s="8"/>
      <c r="T68"/>
    </row>
    <row r="69" spans="2:20" ht="23.1" customHeight="1" x14ac:dyDescent="0.25">
      <c r="B69" s="45" t="s">
        <v>106</v>
      </c>
      <c r="C69" s="51">
        <v>2</v>
      </c>
      <c r="D69" s="51">
        <v>1</v>
      </c>
      <c r="E69" s="51">
        <v>3</v>
      </c>
      <c r="F69" s="51">
        <v>2</v>
      </c>
      <c r="G69" s="51">
        <v>0</v>
      </c>
      <c r="H69" s="51">
        <v>2</v>
      </c>
      <c r="I69" s="51">
        <v>1</v>
      </c>
      <c r="J69" s="51">
        <v>0</v>
      </c>
      <c r="K69" s="51">
        <v>0</v>
      </c>
      <c r="L69" s="51">
        <v>0</v>
      </c>
      <c r="M69" s="51">
        <v>1</v>
      </c>
      <c r="N69" s="51">
        <v>0</v>
      </c>
      <c r="O69" s="15">
        <f t="shared" si="0"/>
        <v>11</v>
      </c>
      <c r="P69" s="15">
        <f t="shared" si="1"/>
        <v>12</v>
      </c>
      <c r="R69" s="8"/>
      <c r="T69"/>
    </row>
    <row r="70" spans="2:20" ht="23.1" customHeight="1" x14ac:dyDescent="0.25">
      <c r="B70" s="45" t="s">
        <v>110</v>
      </c>
      <c r="C70" s="51">
        <v>2</v>
      </c>
      <c r="D70" s="51">
        <v>2</v>
      </c>
      <c r="E70" s="51">
        <v>3</v>
      </c>
      <c r="F70" s="51">
        <v>1</v>
      </c>
      <c r="G70" s="51">
        <v>0</v>
      </c>
      <c r="H70" s="51">
        <v>1</v>
      </c>
      <c r="I70" s="51">
        <v>1</v>
      </c>
      <c r="J70" s="51">
        <v>0</v>
      </c>
      <c r="K70" s="51">
        <v>0</v>
      </c>
      <c r="L70" s="51">
        <v>1</v>
      </c>
      <c r="M70" s="51">
        <v>1</v>
      </c>
      <c r="N70" s="51">
        <v>0</v>
      </c>
      <c r="O70" s="15">
        <f t="shared" si="0"/>
        <v>11</v>
      </c>
      <c r="P70" s="15">
        <f t="shared" si="1"/>
        <v>12</v>
      </c>
      <c r="R70" s="8"/>
      <c r="T70"/>
    </row>
    <row r="71" spans="2:20" ht="23.1" customHeight="1" x14ac:dyDescent="0.25">
      <c r="B71" s="45" t="s">
        <v>111</v>
      </c>
      <c r="C71" s="51">
        <v>1</v>
      </c>
      <c r="D71" s="51">
        <v>1</v>
      </c>
      <c r="E71" s="51">
        <v>2</v>
      </c>
      <c r="F71" s="51">
        <v>1</v>
      </c>
      <c r="G71" s="51">
        <v>0</v>
      </c>
      <c r="H71" s="51">
        <v>0</v>
      </c>
      <c r="I71" s="51">
        <v>1</v>
      </c>
      <c r="J71" s="51">
        <v>0</v>
      </c>
      <c r="K71" s="51">
        <v>0</v>
      </c>
      <c r="L71" s="51">
        <v>1</v>
      </c>
      <c r="M71" s="51">
        <v>1</v>
      </c>
      <c r="N71" s="51">
        <v>0</v>
      </c>
      <c r="O71" s="15">
        <f t="shared" si="0"/>
        <v>7</v>
      </c>
      <c r="P71" s="15">
        <f t="shared" si="1"/>
        <v>8</v>
      </c>
      <c r="R71" s="8"/>
      <c r="T71"/>
    </row>
    <row r="72" spans="2:20" ht="23.1" customHeight="1" x14ac:dyDescent="0.25">
      <c r="B72" s="45" t="s">
        <v>112</v>
      </c>
      <c r="C72" s="51">
        <v>2</v>
      </c>
      <c r="D72" s="51">
        <v>3</v>
      </c>
      <c r="E72" s="51">
        <v>5</v>
      </c>
      <c r="F72" s="51">
        <v>2</v>
      </c>
      <c r="G72" s="51">
        <v>0</v>
      </c>
      <c r="H72" s="51">
        <v>0</v>
      </c>
      <c r="I72" s="51">
        <v>1</v>
      </c>
      <c r="J72" s="51">
        <v>0</v>
      </c>
      <c r="K72" s="51">
        <v>0</v>
      </c>
      <c r="L72" s="51">
        <v>0</v>
      </c>
      <c r="M72" s="51">
        <v>1</v>
      </c>
      <c r="N72" s="51">
        <v>0</v>
      </c>
      <c r="O72" s="15">
        <f t="shared" si="0"/>
        <v>13</v>
      </c>
      <c r="P72" s="15">
        <f t="shared" si="1"/>
        <v>14</v>
      </c>
      <c r="R72" s="8"/>
      <c r="T72"/>
    </row>
    <row r="73" spans="2:20" ht="23.1" customHeight="1" x14ac:dyDescent="0.25">
      <c r="B73" s="45" t="s">
        <v>113</v>
      </c>
      <c r="C73" s="51">
        <v>3</v>
      </c>
      <c r="D73" s="51">
        <v>2</v>
      </c>
      <c r="E73" s="51">
        <v>3</v>
      </c>
      <c r="F73" s="51">
        <v>3</v>
      </c>
      <c r="G73" s="51">
        <v>0</v>
      </c>
      <c r="H73" s="51">
        <v>1</v>
      </c>
      <c r="I73" s="51">
        <v>1</v>
      </c>
      <c r="J73" s="51">
        <v>0</v>
      </c>
      <c r="K73" s="51">
        <v>0</v>
      </c>
      <c r="L73" s="51">
        <v>1</v>
      </c>
      <c r="M73" s="51">
        <v>1</v>
      </c>
      <c r="N73" s="51">
        <v>0</v>
      </c>
      <c r="O73" s="15">
        <f t="shared" si="0"/>
        <v>14</v>
      </c>
      <c r="P73" s="15">
        <f t="shared" si="1"/>
        <v>15</v>
      </c>
      <c r="R73" s="8"/>
      <c r="T73"/>
    </row>
    <row r="74" spans="2:20" ht="23.1" customHeight="1" x14ac:dyDescent="0.25">
      <c r="B74" s="45" t="s">
        <v>114</v>
      </c>
      <c r="C74" s="51">
        <v>1</v>
      </c>
      <c r="D74" s="51">
        <v>2</v>
      </c>
      <c r="E74" s="51">
        <v>5</v>
      </c>
      <c r="F74" s="51">
        <v>1</v>
      </c>
      <c r="G74" s="51">
        <v>0</v>
      </c>
      <c r="H74" s="51">
        <v>1</v>
      </c>
      <c r="I74" s="51">
        <v>1</v>
      </c>
      <c r="J74" s="51">
        <v>0</v>
      </c>
      <c r="K74" s="51">
        <v>0</v>
      </c>
      <c r="L74" s="51">
        <v>1</v>
      </c>
      <c r="M74" s="51">
        <v>1</v>
      </c>
      <c r="N74" s="51">
        <v>0</v>
      </c>
      <c r="O74" s="15">
        <f t="shared" ref="O74:O105" si="35">SUM(C74:L74,N74)</f>
        <v>12</v>
      </c>
      <c r="P74" s="15">
        <f t="shared" ref="P74:P105" si="36">SUM(C74:N74)</f>
        <v>13</v>
      </c>
      <c r="R74" s="8"/>
      <c r="T74"/>
    </row>
    <row r="75" spans="2:20" ht="23.1" customHeight="1" x14ac:dyDescent="0.25">
      <c r="B75" s="45" t="s">
        <v>115</v>
      </c>
      <c r="C75" s="51">
        <v>2</v>
      </c>
      <c r="D75" s="51">
        <v>2</v>
      </c>
      <c r="E75" s="51">
        <v>4</v>
      </c>
      <c r="F75" s="51">
        <v>1</v>
      </c>
      <c r="G75" s="51">
        <v>0</v>
      </c>
      <c r="H75" s="51">
        <v>1</v>
      </c>
      <c r="I75" s="51">
        <v>1</v>
      </c>
      <c r="J75" s="51">
        <v>0</v>
      </c>
      <c r="K75" s="51">
        <v>0</v>
      </c>
      <c r="L75" s="51">
        <v>1</v>
      </c>
      <c r="M75" s="51">
        <v>1</v>
      </c>
      <c r="N75" s="51">
        <v>0</v>
      </c>
      <c r="O75" s="15">
        <f t="shared" si="35"/>
        <v>12</v>
      </c>
      <c r="P75" s="15">
        <f t="shared" si="36"/>
        <v>13</v>
      </c>
      <c r="R75" s="8"/>
      <c r="T75"/>
    </row>
    <row r="76" spans="2:20" ht="23.1" customHeight="1" x14ac:dyDescent="0.25">
      <c r="B76" s="45" t="s">
        <v>116</v>
      </c>
      <c r="C76" s="51">
        <v>2</v>
      </c>
      <c r="D76" s="51">
        <v>2</v>
      </c>
      <c r="E76" s="51">
        <v>4</v>
      </c>
      <c r="F76" s="51">
        <v>1</v>
      </c>
      <c r="G76" s="51">
        <v>0</v>
      </c>
      <c r="H76" s="51">
        <v>1</v>
      </c>
      <c r="I76" s="51">
        <v>1</v>
      </c>
      <c r="J76" s="51">
        <v>1</v>
      </c>
      <c r="K76" s="51">
        <v>0</v>
      </c>
      <c r="L76" s="51">
        <v>1</v>
      </c>
      <c r="M76" s="51">
        <v>1</v>
      </c>
      <c r="N76" s="51">
        <v>0</v>
      </c>
      <c r="O76" s="15">
        <f t="shared" si="35"/>
        <v>13</v>
      </c>
      <c r="P76" s="15">
        <f t="shared" si="36"/>
        <v>14</v>
      </c>
      <c r="R76" s="8"/>
      <c r="T76"/>
    </row>
    <row r="77" spans="2:20" ht="23.1" customHeight="1" x14ac:dyDescent="0.25">
      <c r="B77" s="45" t="s">
        <v>117</v>
      </c>
      <c r="C77" s="51">
        <v>2</v>
      </c>
      <c r="D77" s="51">
        <v>1</v>
      </c>
      <c r="E77" s="51">
        <v>3</v>
      </c>
      <c r="F77" s="51">
        <v>1</v>
      </c>
      <c r="G77" s="51">
        <v>0</v>
      </c>
      <c r="H77" s="51">
        <v>1</v>
      </c>
      <c r="I77" s="51">
        <v>2</v>
      </c>
      <c r="J77" s="51">
        <v>1</v>
      </c>
      <c r="K77" s="51">
        <v>0</v>
      </c>
      <c r="L77" s="51">
        <v>1</v>
      </c>
      <c r="M77" s="51">
        <v>1</v>
      </c>
      <c r="N77" s="51">
        <v>0</v>
      </c>
      <c r="O77" s="15">
        <f t="shared" si="35"/>
        <v>12</v>
      </c>
      <c r="P77" s="15">
        <f t="shared" si="36"/>
        <v>13</v>
      </c>
      <c r="R77" s="8"/>
      <c r="T77"/>
    </row>
    <row r="78" spans="2:20" ht="23.1" customHeight="1" x14ac:dyDescent="0.25">
      <c r="B78" s="46" t="s">
        <v>118</v>
      </c>
      <c r="C78" s="51">
        <v>1</v>
      </c>
      <c r="D78" s="51">
        <v>1</v>
      </c>
      <c r="E78" s="51">
        <v>3</v>
      </c>
      <c r="F78" s="51">
        <v>1</v>
      </c>
      <c r="G78" s="51">
        <v>0</v>
      </c>
      <c r="H78" s="51">
        <v>1</v>
      </c>
      <c r="I78" s="51">
        <v>2</v>
      </c>
      <c r="J78" s="51">
        <v>0</v>
      </c>
      <c r="K78" s="51">
        <v>0</v>
      </c>
      <c r="L78" s="51">
        <v>1</v>
      </c>
      <c r="M78" s="51">
        <v>1</v>
      </c>
      <c r="N78" s="51">
        <v>0</v>
      </c>
      <c r="O78" s="15">
        <f t="shared" si="35"/>
        <v>10</v>
      </c>
      <c r="P78" s="15">
        <f t="shared" si="36"/>
        <v>11</v>
      </c>
      <c r="R78" s="8"/>
      <c r="T78"/>
    </row>
    <row r="79" spans="2:20" ht="23.1" customHeight="1" x14ac:dyDescent="0.25">
      <c r="B79" s="45" t="s">
        <v>119</v>
      </c>
      <c r="C79" s="51">
        <v>2</v>
      </c>
      <c r="D79" s="51">
        <v>2</v>
      </c>
      <c r="E79" s="51">
        <v>5</v>
      </c>
      <c r="F79" s="51">
        <v>1</v>
      </c>
      <c r="G79" s="51">
        <v>0</v>
      </c>
      <c r="H79" s="51">
        <v>3</v>
      </c>
      <c r="I79" s="51">
        <v>2</v>
      </c>
      <c r="J79" s="51">
        <v>0</v>
      </c>
      <c r="K79" s="51">
        <v>0</v>
      </c>
      <c r="L79" s="51">
        <v>2</v>
      </c>
      <c r="M79" s="51">
        <v>1</v>
      </c>
      <c r="N79" s="51">
        <v>0</v>
      </c>
      <c r="O79" s="15">
        <f t="shared" si="35"/>
        <v>17</v>
      </c>
      <c r="P79" s="15">
        <f t="shared" si="36"/>
        <v>18</v>
      </c>
      <c r="R79" s="8"/>
      <c r="T79"/>
    </row>
    <row r="80" spans="2:20" ht="23.1" customHeight="1" x14ac:dyDescent="0.25">
      <c r="B80" s="47" t="s">
        <v>120</v>
      </c>
      <c r="C80" s="51">
        <v>3</v>
      </c>
      <c r="D80" s="51">
        <v>2</v>
      </c>
      <c r="E80" s="51">
        <v>4</v>
      </c>
      <c r="F80" s="51">
        <v>2</v>
      </c>
      <c r="G80" s="51">
        <v>0</v>
      </c>
      <c r="H80" s="51">
        <v>0</v>
      </c>
      <c r="I80" s="51">
        <v>2</v>
      </c>
      <c r="J80" s="51">
        <v>0</v>
      </c>
      <c r="K80" s="51">
        <v>0</v>
      </c>
      <c r="L80" s="51">
        <v>1</v>
      </c>
      <c r="M80" s="51">
        <v>1</v>
      </c>
      <c r="N80" s="51">
        <v>0</v>
      </c>
      <c r="O80" s="15">
        <f t="shared" si="35"/>
        <v>14</v>
      </c>
      <c r="P80" s="15">
        <f t="shared" si="36"/>
        <v>15</v>
      </c>
      <c r="R80" s="8"/>
      <c r="T80"/>
    </row>
    <row r="81" spans="2:20" ht="23.1" customHeight="1" x14ac:dyDescent="0.25">
      <c r="B81" s="45" t="s">
        <v>121</v>
      </c>
      <c r="C81" s="51">
        <v>1</v>
      </c>
      <c r="D81" s="51">
        <v>3</v>
      </c>
      <c r="E81" s="51">
        <v>4</v>
      </c>
      <c r="F81" s="51">
        <v>2</v>
      </c>
      <c r="G81" s="51">
        <v>0</v>
      </c>
      <c r="H81" s="51">
        <v>2</v>
      </c>
      <c r="I81" s="51">
        <v>2</v>
      </c>
      <c r="J81" s="51">
        <v>0</v>
      </c>
      <c r="K81" s="51">
        <v>0</v>
      </c>
      <c r="L81" s="51">
        <v>2</v>
      </c>
      <c r="M81" s="51">
        <v>0</v>
      </c>
      <c r="N81" s="51">
        <v>0</v>
      </c>
      <c r="O81" s="15">
        <f t="shared" si="35"/>
        <v>16</v>
      </c>
      <c r="P81" s="15">
        <f t="shared" si="36"/>
        <v>16</v>
      </c>
      <c r="R81" s="8"/>
      <c r="T81"/>
    </row>
    <row r="82" spans="2:20" ht="23.1" customHeight="1" x14ac:dyDescent="0.25">
      <c r="B82" s="46" t="s">
        <v>122</v>
      </c>
      <c r="C82" s="51">
        <v>1</v>
      </c>
      <c r="D82" s="51">
        <v>1</v>
      </c>
      <c r="E82" s="51">
        <v>3</v>
      </c>
      <c r="F82" s="51">
        <v>1</v>
      </c>
      <c r="G82" s="51">
        <v>0</v>
      </c>
      <c r="H82" s="51">
        <v>1</v>
      </c>
      <c r="I82" s="51">
        <v>1</v>
      </c>
      <c r="J82" s="51">
        <v>0</v>
      </c>
      <c r="K82" s="51">
        <v>0</v>
      </c>
      <c r="L82" s="51">
        <v>1</v>
      </c>
      <c r="M82" s="51">
        <v>0</v>
      </c>
      <c r="N82" s="51">
        <v>0</v>
      </c>
      <c r="O82" s="15">
        <f t="shared" si="35"/>
        <v>9</v>
      </c>
      <c r="P82" s="15">
        <f t="shared" si="36"/>
        <v>9</v>
      </c>
      <c r="R82" s="8"/>
      <c r="T82"/>
    </row>
    <row r="83" spans="2:20" ht="23.1" customHeight="1" x14ac:dyDescent="0.25">
      <c r="B83" s="45" t="s">
        <v>123</v>
      </c>
      <c r="C83" s="51">
        <v>1</v>
      </c>
      <c r="D83" s="51">
        <v>2</v>
      </c>
      <c r="E83" s="51">
        <v>4</v>
      </c>
      <c r="F83" s="51">
        <v>1</v>
      </c>
      <c r="G83" s="51">
        <v>0</v>
      </c>
      <c r="H83" s="51">
        <v>1</v>
      </c>
      <c r="I83" s="51">
        <v>2</v>
      </c>
      <c r="J83" s="51">
        <v>0</v>
      </c>
      <c r="K83" s="51">
        <v>0</v>
      </c>
      <c r="L83" s="51">
        <v>1</v>
      </c>
      <c r="M83" s="51">
        <v>0</v>
      </c>
      <c r="N83" s="51">
        <v>0</v>
      </c>
      <c r="O83" s="15">
        <f t="shared" si="35"/>
        <v>12</v>
      </c>
      <c r="P83" s="15">
        <f t="shared" si="36"/>
        <v>12</v>
      </c>
      <c r="R83" s="8"/>
      <c r="T83"/>
    </row>
    <row r="84" spans="2:20" ht="23.1" customHeight="1" x14ac:dyDescent="0.25">
      <c r="B84" s="47" t="s">
        <v>124</v>
      </c>
      <c r="C84" s="51">
        <v>2</v>
      </c>
      <c r="D84" s="51">
        <v>1</v>
      </c>
      <c r="E84" s="51">
        <v>3</v>
      </c>
      <c r="F84" s="51">
        <v>1</v>
      </c>
      <c r="G84" s="51">
        <v>0</v>
      </c>
      <c r="H84" s="51">
        <v>1</v>
      </c>
      <c r="I84" s="51">
        <v>2</v>
      </c>
      <c r="J84" s="51">
        <v>0</v>
      </c>
      <c r="K84" s="51">
        <v>0</v>
      </c>
      <c r="L84" s="51">
        <v>1</v>
      </c>
      <c r="M84" s="51">
        <v>0</v>
      </c>
      <c r="N84" s="51">
        <v>0</v>
      </c>
      <c r="O84" s="15">
        <f t="shared" si="35"/>
        <v>11</v>
      </c>
      <c r="P84" s="15">
        <f t="shared" si="36"/>
        <v>11</v>
      </c>
      <c r="R84" s="8"/>
      <c r="T84"/>
    </row>
    <row r="85" spans="2:20" ht="23.1" customHeight="1" x14ac:dyDescent="0.25">
      <c r="B85" s="45" t="s">
        <v>125</v>
      </c>
      <c r="C85" s="51">
        <v>3</v>
      </c>
      <c r="D85" s="51">
        <v>2</v>
      </c>
      <c r="E85" s="51">
        <v>4</v>
      </c>
      <c r="F85" s="51">
        <v>1</v>
      </c>
      <c r="G85" s="51">
        <v>0</v>
      </c>
      <c r="H85" s="51">
        <v>1</v>
      </c>
      <c r="I85" s="51">
        <v>2</v>
      </c>
      <c r="J85" s="51">
        <v>0</v>
      </c>
      <c r="K85" s="51">
        <v>1</v>
      </c>
      <c r="L85" s="51">
        <v>1</v>
      </c>
      <c r="M85" s="51">
        <v>0</v>
      </c>
      <c r="N85" s="51">
        <v>0</v>
      </c>
      <c r="O85" s="15">
        <f t="shared" si="35"/>
        <v>15</v>
      </c>
      <c r="P85" s="15">
        <f t="shared" si="36"/>
        <v>15</v>
      </c>
      <c r="R85" s="8"/>
      <c r="T85"/>
    </row>
    <row r="86" spans="2:20" ht="23.1" customHeight="1" x14ac:dyDescent="0.25">
      <c r="B86" s="46" t="s">
        <v>126</v>
      </c>
      <c r="C86" s="51">
        <v>1</v>
      </c>
      <c r="D86" s="51">
        <v>1</v>
      </c>
      <c r="E86" s="51">
        <v>2</v>
      </c>
      <c r="F86" s="51">
        <v>2</v>
      </c>
      <c r="G86" s="51">
        <v>0</v>
      </c>
      <c r="H86" s="51">
        <v>1</v>
      </c>
      <c r="I86" s="51">
        <v>2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15">
        <f t="shared" si="35"/>
        <v>9</v>
      </c>
      <c r="P86" s="15">
        <f t="shared" si="36"/>
        <v>9</v>
      </c>
      <c r="R86" s="8"/>
      <c r="T86"/>
    </row>
    <row r="87" spans="2:20" ht="23.1" customHeight="1" x14ac:dyDescent="0.25">
      <c r="B87" s="45" t="s">
        <v>127</v>
      </c>
      <c r="C87" s="51">
        <v>2</v>
      </c>
      <c r="D87" s="51">
        <v>1</v>
      </c>
      <c r="E87" s="51">
        <v>3</v>
      </c>
      <c r="F87" s="51">
        <v>1</v>
      </c>
      <c r="G87" s="51">
        <v>0</v>
      </c>
      <c r="H87" s="51">
        <v>0</v>
      </c>
      <c r="I87" s="51">
        <v>2</v>
      </c>
      <c r="J87" s="51">
        <v>0</v>
      </c>
      <c r="K87" s="51">
        <v>0</v>
      </c>
      <c r="L87" s="51">
        <v>2</v>
      </c>
      <c r="M87" s="51">
        <v>0</v>
      </c>
      <c r="N87" s="51">
        <v>0</v>
      </c>
      <c r="O87" s="15">
        <f t="shared" si="35"/>
        <v>11</v>
      </c>
      <c r="P87" s="15">
        <f t="shared" si="36"/>
        <v>11</v>
      </c>
      <c r="R87" s="8"/>
      <c r="T87"/>
    </row>
    <row r="88" spans="2:20" ht="23.1" customHeight="1" x14ac:dyDescent="0.25">
      <c r="B88" s="47" t="s">
        <v>128</v>
      </c>
      <c r="C88" s="51">
        <v>2</v>
      </c>
      <c r="D88" s="51">
        <v>1</v>
      </c>
      <c r="E88" s="51">
        <v>3</v>
      </c>
      <c r="F88" s="51">
        <v>1</v>
      </c>
      <c r="G88" s="51">
        <v>0</v>
      </c>
      <c r="H88" s="51">
        <v>1</v>
      </c>
      <c r="I88" s="51">
        <v>2</v>
      </c>
      <c r="J88" s="51">
        <v>0</v>
      </c>
      <c r="K88" s="51">
        <v>0</v>
      </c>
      <c r="L88" s="51">
        <v>2</v>
      </c>
      <c r="M88" s="51">
        <v>0</v>
      </c>
      <c r="N88" s="51">
        <v>0</v>
      </c>
      <c r="O88" s="15">
        <f t="shared" si="35"/>
        <v>12</v>
      </c>
      <c r="P88" s="15">
        <f t="shared" si="36"/>
        <v>12</v>
      </c>
      <c r="R88" s="8"/>
      <c r="T88"/>
    </row>
    <row r="89" spans="2:20" ht="23.1" customHeight="1" x14ac:dyDescent="0.25">
      <c r="B89" s="45" t="s">
        <v>129</v>
      </c>
      <c r="C89" s="51">
        <v>2</v>
      </c>
      <c r="D89" s="51">
        <v>1</v>
      </c>
      <c r="E89" s="51">
        <v>4</v>
      </c>
      <c r="F89" s="51">
        <v>2</v>
      </c>
      <c r="G89" s="51">
        <v>0</v>
      </c>
      <c r="H89" s="51">
        <v>1</v>
      </c>
      <c r="I89" s="51">
        <v>1</v>
      </c>
      <c r="J89" s="51">
        <v>0</v>
      </c>
      <c r="K89" s="51">
        <v>0</v>
      </c>
      <c r="L89" s="51">
        <v>1</v>
      </c>
      <c r="M89" s="51">
        <v>0</v>
      </c>
      <c r="N89" s="51">
        <v>0</v>
      </c>
      <c r="O89" s="15">
        <f t="shared" si="35"/>
        <v>12</v>
      </c>
      <c r="P89" s="15">
        <f t="shared" si="36"/>
        <v>12</v>
      </c>
      <c r="R89" s="8"/>
      <c r="T89"/>
    </row>
    <row r="90" spans="2:20" ht="23.1" customHeight="1" x14ac:dyDescent="0.25">
      <c r="B90" s="46" t="s">
        <v>130</v>
      </c>
      <c r="C90" s="51">
        <v>2</v>
      </c>
      <c r="D90" s="51">
        <v>1</v>
      </c>
      <c r="E90" s="51">
        <v>3</v>
      </c>
      <c r="F90" s="51">
        <v>1</v>
      </c>
      <c r="G90" s="51">
        <v>0</v>
      </c>
      <c r="H90" s="51">
        <v>1</v>
      </c>
      <c r="I90" s="51">
        <v>3</v>
      </c>
      <c r="J90" s="51">
        <v>0</v>
      </c>
      <c r="K90" s="51">
        <v>0</v>
      </c>
      <c r="L90" s="51">
        <v>1</v>
      </c>
      <c r="M90" s="51">
        <v>0</v>
      </c>
      <c r="N90" s="51">
        <v>0</v>
      </c>
      <c r="O90" s="15">
        <f t="shared" si="35"/>
        <v>12</v>
      </c>
      <c r="P90" s="15">
        <f t="shared" si="36"/>
        <v>12</v>
      </c>
      <c r="R90" s="8"/>
      <c r="T90"/>
    </row>
    <row r="91" spans="2:20" ht="23.1" customHeight="1" x14ac:dyDescent="0.25">
      <c r="B91" s="45" t="s">
        <v>131</v>
      </c>
      <c r="C91" s="51">
        <v>1</v>
      </c>
      <c r="D91" s="51">
        <v>2</v>
      </c>
      <c r="E91" s="51">
        <v>3</v>
      </c>
      <c r="F91" s="51">
        <v>1</v>
      </c>
      <c r="G91" s="51">
        <v>0</v>
      </c>
      <c r="H91" s="51">
        <v>1</v>
      </c>
      <c r="I91" s="51">
        <v>2</v>
      </c>
      <c r="J91" s="51">
        <v>0</v>
      </c>
      <c r="K91" s="51">
        <v>0</v>
      </c>
      <c r="L91" s="51">
        <v>1</v>
      </c>
      <c r="M91" s="51">
        <v>0</v>
      </c>
      <c r="N91" s="51">
        <v>0</v>
      </c>
      <c r="O91" s="15">
        <f t="shared" si="35"/>
        <v>11</v>
      </c>
      <c r="P91" s="15">
        <f t="shared" si="36"/>
        <v>11</v>
      </c>
      <c r="R91" s="8"/>
      <c r="T91"/>
    </row>
    <row r="92" spans="2:20" ht="23.1" customHeight="1" x14ac:dyDescent="0.25">
      <c r="B92" s="47" t="s">
        <v>132</v>
      </c>
      <c r="C92" s="51">
        <v>2</v>
      </c>
      <c r="D92" s="51">
        <v>1</v>
      </c>
      <c r="E92" s="51">
        <v>3</v>
      </c>
      <c r="F92" s="51">
        <v>1</v>
      </c>
      <c r="G92" s="51">
        <v>0</v>
      </c>
      <c r="H92" s="51">
        <v>1</v>
      </c>
      <c r="I92" s="51">
        <v>1</v>
      </c>
      <c r="J92" s="51">
        <v>0</v>
      </c>
      <c r="K92" s="51">
        <v>0</v>
      </c>
      <c r="L92" s="51">
        <v>1</v>
      </c>
      <c r="M92" s="51">
        <v>0</v>
      </c>
      <c r="N92" s="51">
        <v>0</v>
      </c>
      <c r="O92" s="15">
        <f t="shared" si="35"/>
        <v>10</v>
      </c>
      <c r="P92" s="15">
        <f t="shared" si="36"/>
        <v>10</v>
      </c>
      <c r="R92" s="8"/>
      <c r="T92"/>
    </row>
    <row r="93" spans="2:20" ht="23.1" customHeight="1" x14ac:dyDescent="0.25">
      <c r="B93" s="45" t="s">
        <v>133</v>
      </c>
      <c r="C93" s="51">
        <v>2</v>
      </c>
      <c r="D93" s="51">
        <v>2</v>
      </c>
      <c r="E93" s="51">
        <v>3</v>
      </c>
      <c r="F93" s="51">
        <v>1</v>
      </c>
      <c r="G93" s="51">
        <v>0</v>
      </c>
      <c r="H93" s="51">
        <v>1</v>
      </c>
      <c r="I93" s="51">
        <v>2</v>
      </c>
      <c r="J93" s="51">
        <v>0</v>
      </c>
      <c r="K93" s="51">
        <v>0</v>
      </c>
      <c r="L93" s="51">
        <v>1</v>
      </c>
      <c r="M93" s="51">
        <v>0</v>
      </c>
      <c r="N93" s="51">
        <v>0</v>
      </c>
      <c r="O93" s="15">
        <f t="shared" si="35"/>
        <v>12</v>
      </c>
      <c r="P93" s="15">
        <f t="shared" si="36"/>
        <v>12</v>
      </c>
      <c r="R93" s="8"/>
      <c r="T93"/>
    </row>
    <row r="94" spans="2:20" ht="23.1" customHeight="1" x14ac:dyDescent="0.25">
      <c r="B94" s="46" t="s">
        <v>134</v>
      </c>
      <c r="C94" s="51">
        <v>1</v>
      </c>
      <c r="D94" s="51">
        <v>1</v>
      </c>
      <c r="E94" s="51">
        <v>3</v>
      </c>
      <c r="F94" s="51">
        <v>1</v>
      </c>
      <c r="G94" s="51">
        <v>0</v>
      </c>
      <c r="H94" s="51">
        <v>1</v>
      </c>
      <c r="I94" s="51">
        <v>1</v>
      </c>
      <c r="J94" s="51">
        <v>1</v>
      </c>
      <c r="K94" s="51">
        <v>0</v>
      </c>
      <c r="L94" s="51">
        <v>1</v>
      </c>
      <c r="M94" s="51">
        <v>0</v>
      </c>
      <c r="N94" s="51">
        <v>0</v>
      </c>
      <c r="O94" s="15">
        <f t="shared" si="35"/>
        <v>10</v>
      </c>
      <c r="P94" s="15">
        <f t="shared" si="36"/>
        <v>10</v>
      </c>
      <c r="R94" s="8"/>
      <c r="T94"/>
    </row>
    <row r="95" spans="2:20" ht="23.1" customHeight="1" x14ac:dyDescent="0.25">
      <c r="B95" s="45" t="s">
        <v>135</v>
      </c>
      <c r="C95" s="51">
        <v>1</v>
      </c>
      <c r="D95" s="51">
        <v>1</v>
      </c>
      <c r="E95" s="51">
        <v>2</v>
      </c>
      <c r="F95" s="51">
        <v>2</v>
      </c>
      <c r="G95" s="51">
        <v>0</v>
      </c>
      <c r="H95" s="51">
        <v>1</v>
      </c>
      <c r="I95" s="51">
        <v>1</v>
      </c>
      <c r="J95" s="51">
        <v>0</v>
      </c>
      <c r="K95" s="51">
        <v>0</v>
      </c>
      <c r="L95" s="51">
        <v>1</v>
      </c>
      <c r="M95" s="51">
        <v>0</v>
      </c>
      <c r="N95" s="51">
        <v>0</v>
      </c>
      <c r="O95" s="15">
        <f t="shared" si="35"/>
        <v>9</v>
      </c>
      <c r="P95" s="15">
        <f t="shared" si="36"/>
        <v>9</v>
      </c>
      <c r="R95" s="8"/>
      <c r="T95"/>
    </row>
    <row r="96" spans="2:20" ht="23.1" customHeight="1" x14ac:dyDescent="0.25">
      <c r="B96" s="47" t="s">
        <v>136</v>
      </c>
      <c r="C96" s="51">
        <v>1</v>
      </c>
      <c r="D96" s="51">
        <v>1</v>
      </c>
      <c r="E96" s="51">
        <v>3</v>
      </c>
      <c r="F96" s="51">
        <v>1</v>
      </c>
      <c r="G96" s="51">
        <v>0</v>
      </c>
      <c r="H96" s="51">
        <v>0</v>
      </c>
      <c r="I96" s="51">
        <v>2</v>
      </c>
      <c r="J96" s="51">
        <v>0</v>
      </c>
      <c r="K96" s="51">
        <v>0</v>
      </c>
      <c r="L96" s="51">
        <v>1</v>
      </c>
      <c r="M96" s="51">
        <v>0</v>
      </c>
      <c r="N96" s="51">
        <v>0</v>
      </c>
      <c r="O96" s="15">
        <f t="shared" si="35"/>
        <v>9</v>
      </c>
      <c r="P96" s="15">
        <f t="shared" si="36"/>
        <v>9</v>
      </c>
      <c r="R96" s="8"/>
      <c r="T96"/>
    </row>
    <row r="97" spans="2:20" ht="23.1" customHeight="1" x14ac:dyDescent="0.25">
      <c r="B97" s="45" t="s">
        <v>137</v>
      </c>
      <c r="C97" s="51">
        <v>3</v>
      </c>
      <c r="D97" s="51">
        <v>2</v>
      </c>
      <c r="E97" s="51">
        <v>4</v>
      </c>
      <c r="F97" s="51">
        <v>1</v>
      </c>
      <c r="G97" s="51">
        <v>0</v>
      </c>
      <c r="H97" s="51">
        <v>1</v>
      </c>
      <c r="I97" s="51">
        <v>3</v>
      </c>
      <c r="J97" s="51">
        <v>0</v>
      </c>
      <c r="K97" s="51">
        <v>0</v>
      </c>
      <c r="L97" s="51">
        <v>2</v>
      </c>
      <c r="M97" s="51">
        <v>0</v>
      </c>
      <c r="N97" s="51">
        <v>0</v>
      </c>
      <c r="O97" s="15">
        <f t="shared" si="35"/>
        <v>16</v>
      </c>
      <c r="P97" s="15">
        <f t="shared" si="36"/>
        <v>16</v>
      </c>
      <c r="R97" s="8"/>
      <c r="T97"/>
    </row>
    <row r="98" spans="2:20" ht="23.1" customHeight="1" x14ac:dyDescent="0.25">
      <c r="B98" s="46" t="s">
        <v>138</v>
      </c>
      <c r="C98" s="51">
        <v>1</v>
      </c>
      <c r="D98" s="51">
        <v>1</v>
      </c>
      <c r="E98" s="51">
        <v>2</v>
      </c>
      <c r="F98" s="51">
        <v>1</v>
      </c>
      <c r="G98" s="51">
        <v>0</v>
      </c>
      <c r="H98" s="51">
        <v>2</v>
      </c>
      <c r="I98" s="51">
        <v>2</v>
      </c>
      <c r="J98" s="51">
        <v>0</v>
      </c>
      <c r="K98" s="51">
        <v>1</v>
      </c>
      <c r="L98" s="51">
        <v>2</v>
      </c>
      <c r="M98" s="51">
        <v>5</v>
      </c>
      <c r="N98" s="51">
        <v>0</v>
      </c>
      <c r="O98" s="15">
        <f t="shared" si="35"/>
        <v>12</v>
      </c>
      <c r="P98" s="15">
        <f t="shared" si="36"/>
        <v>17</v>
      </c>
      <c r="R98" s="8"/>
      <c r="T98"/>
    </row>
    <row r="99" spans="2:20" ht="23.1" customHeight="1" x14ac:dyDescent="0.25">
      <c r="B99" s="45" t="s">
        <v>139</v>
      </c>
      <c r="C99" s="51">
        <v>1</v>
      </c>
      <c r="D99" s="51">
        <v>1</v>
      </c>
      <c r="E99" s="51">
        <v>3</v>
      </c>
      <c r="F99" s="51">
        <v>1</v>
      </c>
      <c r="G99" s="51">
        <v>0</v>
      </c>
      <c r="H99" s="51">
        <v>1</v>
      </c>
      <c r="I99" s="51">
        <v>3</v>
      </c>
      <c r="J99" s="51">
        <v>0</v>
      </c>
      <c r="K99" s="51">
        <v>0</v>
      </c>
      <c r="L99" s="51">
        <v>1</v>
      </c>
      <c r="M99" s="51">
        <v>4</v>
      </c>
      <c r="N99" s="51">
        <v>0</v>
      </c>
      <c r="O99" s="15">
        <f t="shared" si="35"/>
        <v>11</v>
      </c>
      <c r="P99" s="15">
        <f t="shared" si="36"/>
        <v>15</v>
      </c>
      <c r="R99" s="8"/>
      <c r="T99"/>
    </row>
    <row r="100" spans="2:20" ht="23.1" customHeight="1" x14ac:dyDescent="0.25">
      <c r="B100" s="47" t="s">
        <v>140</v>
      </c>
      <c r="C100" s="51">
        <v>1</v>
      </c>
      <c r="D100" s="51">
        <v>1</v>
      </c>
      <c r="E100" s="51">
        <v>3</v>
      </c>
      <c r="F100" s="51">
        <v>1</v>
      </c>
      <c r="G100" s="51">
        <v>0</v>
      </c>
      <c r="H100" s="51">
        <v>1</v>
      </c>
      <c r="I100" s="51">
        <v>2</v>
      </c>
      <c r="J100" s="51">
        <v>0</v>
      </c>
      <c r="K100" s="51">
        <v>0</v>
      </c>
      <c r="L100" s="51">
        <v>1</v>
      </c>
      <c r="M100" s="51">
        <v>5</v>
      </c>
      <c r="N100" s="51">
        <v>0</v>
      </c>
      <c r="O100" s="15">
        <f t="shared" si="35"/>
        <v>10</v>
      </c>
      <c r="P100" s="15">
        <f t="shared" si="36"/>
        <v>15</v>
      </c>
      <c r="R100" s="8"/>
      <c r="T100"/>
    </row>
    <row r="101" spans="2:20" ht="23.1" customHeight="1" x14ac:dyDescent="0.25">
      <c r="B101" s="45" t="s">
        <v>141</v>
      </c>
      <c r="C101" s="51">
        <v>1</v>
      </c>
      <c r="D101" s="51">
        <v>1</v>
      </c>
      <c r="E101" s="51">
        <v>2</v>
      </c>
      <c r="F101" s="51">
        <v>1</v>
      </c>
      <c r="G101" s="51">
        <v>0</v>
      </c>
      <c r="H101" s="51">
        <v>1</v>
      </c>
      <c r="I101" s="51">
        <v>2</v>
      </c>
      <c r="J101" s="51">
        <v>1</v>
      </c>
      <c r="K101" s="51">
        <v>0</v>
      </c>
      <c r="L101" s="51">
        <v>1</v>
      </c>
      <c r="M101" s="51">
        <v>5</v>
      </c>
      <c r="N101" s="51">
        <v>0</v>
      </c>
      <c r="O101" s="15">
        <f t="shared" si="35"/>
        <v>10</v>
      </c>
      <c r="P101" s="15">
        <f t="shared" si="36"/>
        <v>15</v>
      </c>
      <c r="R101" s="8"/>
      <c r="T101"/>
    </row>
    <row r="102" spans="2:20" ht="23.1" customHeight="1" x14ac:dyDescent="0.25">
      <c r="B102" s="46" t="s">
        <v>142</v>
      </c>
      <c r="C102" s="51">
        <v>1</v>
      </c>
      <c r="D102" s="51">
        <v>1</v>
      </c>
      <c r="E102" s="51">
        <v>3</v>
      </c>
      <c r="F102" s="51">
        <v>1</v>
      </c>
      <c r="G102" s="51">
        <v>0</v>
      </c>
      <c r="H102" s="51">
        <v>1</v>
      </c>
      <c r="I102" s="51">
        <v>3</v>
      </c>
      <c r="J102" s="51">
        <v>1</v>
      </c>
      <c r="K102" s="51">
        <v>0</v>
      </c>
      <c r="L102" s="51">
        <v>1</v>
      </c>
      <c r="M102" s="51">
        <v>5</v>
      </c>
      <c r="N102" s="51">
        <v>0</v>
      </c>
      <c r="O102" s="15">
        <f t="shared" si="35"/>
        <v>12</v>
      </c>
      <c r="P102" s="15">
        <f t="shared" si="36"/>
        <v>17</v>
      </c>
      <c r="R102" s="8"/>
      <c r="T102"/>
    </row>
    <row r="103" spans="2:20" ht="23.1" customHeight="1" x14ac:dyDescent="0.25">
      <c r="B103" s="45" t="s">
        <v>143</v>
      </c>
      <c r="C103" s="51">
        <v>1</v>
      </c>
      <c r="D103" s="51">
        <v>1</v>
      </c>
      <c r="E103" s="51">
        <v>2</v>
      </c>
      <c r="F103" s="51">
        <v>2</v>
      </c>
      <c r="G103" s="51">
        <v>0</v>
      </c>
      <c r="H103" s="51">
        <v>0</v>
      </c>
      <c r="I103" s="51">
        <v>2</v>
      </c>
      <c r="J103" s="51">
        <v>0</v>
      </c>
      <c r="K103" s="51">
        <v>0</v>
      </c>
      <c r="L103" s="51">
        <v>1</v>
      </c>
      <c r="M103" s="51">
        <v>4</v>
      </c>
      <c r="N103" s="51">
        <v>0</v>
      </c>
      <c r="O103" s="15">
        <f t="shared" si="35"/>
        <v>9</v>
      </c>
      <c r="P103" s="15">
        <f t="shared" si="36"/>
        <v>13</v>
      </c>
      <c r="R103" s="8"/>
      <c r="T103"/>
    </row>
    <row r="104" spans="2:20" ht="23.1" customHeight="1" x14ac:dyDescent="0.25">
      <c r="B104" s="47" t="s">
        <v>144</v>
      </c>
      <c r="C104" s="51">
        <v>3</v>
      </c>
      <c r="D104" s="51">
        <v>1</v>
      </c>
      <c r="E104" s="51">
        <v>2</v>
      </c>
      <c r="F104" s="51">
        <v>1</v>
      </c>
      <c r="G104" s="51">
        <v>0</v>
      </c>
      <c r="H104" s="51">
        <v>1</v>
      </c>
      <c r="I104" s="51">
        <v>3</v>
      </c>
      <c r="J104" s="51">
        <v>0</v>
      </c>
      <c r="K104" s="51">
        <v>0</v>
      </c>
      <c r="L104" s="51">
        <v>2</v>
      </c>
      <c r="M104" s="51">
        <v>4</v>
      </c>
      <c r="N104" s="51">
        <v>0</v>
      </c>
      <c r="O104" s="15">
        <f t="shared" si="35"/>
        <v>13</v>
      </c>
      <c r="P104" s="15">
        <f t="shared" si="36"/>
        <v>17</v>
      </c>
      <c r="R104" s="8"/>
      <c r="T104"/>
    </row>
    <row r="105" spans="2:20" ht="23.1" customHeight="1" x14ac:dyDescent="0.25">
      <c r="B105" s="45" t="s">
        <v>145</v>
      </c>
      <c r="C105" s="51">
        <v>1</v>
      </c>
      <c r="D105" s="51">
        <v>1</v>
      </c>
      <c r="E105" s="51">
        <v>2</v>
      </c>
      <c r="F105" s="51">
        <v>1</v>
      </c>
      <c r="G105" s="51">
        <v>0</v>
      </c>
      <c r="H105" s="51">
        <v>0</v>
      </c>
      <c r="I105" s="51">
        <v>2</v>
      </c>
      <c r="J105" s="51">
        <v>1</v>
      </c>
      <c r="K105" s="51">
        <v>0</v>
      </c>
      <c r="L105" s="51">
        <v>1</v>
      </c>
      <c r="M105" s="51">
        <v>4</v>
      </c>
      <c r="N105" s="51">
        <v>0</v>
      </c>
      <c r="O105" s="15">
        <f t="shared" si="35"/>
        <v>9</v>
      </c>
      <c r="P105" s="15">
        <f t="shared" si="36"/>
        <v>13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133</v>
      </c>
      <c r="D106" s="16">
        <f t="shared" ref="D106:P106" si="37">SUM(D10:D105)</f>
        <v>137</v>
      </c>
      <c r="E106" s="16">
        <f t="shared" si="37"/>
        <v>244</v>
      </c>
      <c r="F106" s="16">
        <f t="shared" si="37"/>
        <v>132</v>
      </c>
      <c r="G106" s="16">
        <f t="shared" si="37"/>
        <v>3</v>
      </c>
      <c r="H106" s="16">
        <f t="shared" si="37"/>
        <v>78</v>
      </c>
      <c r="I106" s="16">
        <f t="shared" si="37"/>
        <v>149</v>
      </c>
      <c r="J106" s="16">
        <f t="shared" si="37"/>
        <v>30</v>
      </c>
      <c r="K106" s="16">
        <f t="shared" si="37"/>
        <v>10</v>
      </c>
      <c r="L106" s="16">
        <f t="shared" si="37"/>
        <v>129</v>
      </c>
      <c r="M106" s="16">
        <f t="shared" si="37"/>
        <v>220</v>
      </c>
      <c r="N106" s="16">
        <f t="shared" si="37"/>
        <v>0</v>
      </c>
      <c r="O106" s="16">
        <f t="shared" si="37"/>
        <v>1045</v>
      </c>
      <c r="P106" s="16">
        <f t="shared" si="37"/>
        <v>1265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0.10513833992094862</v>
      </c>
      <c r="D107" s="43">
        <f t="shared" si="38"/>
        <v>0.108300395256917</v>
      </c>
      <c r="E107" s="43">
        <f t="shared" si="38"/>
        <v>0.19288537549407114</v>
      </c>
      <c r="F107" s="43">
        <f t="shared" si="38"/>
        <v>0.10434782608695652</v>
      </c>
      <c r="G107" s="43">
        <f t="shared" si="38"/>
        <v>2.3715415019762848E-3</v>
      </c>
      <c r="H107" s="43">
        <f t="shared" si="38"/>
        <v>6.1660079051383397E-2</v>
      </c>
      <c r="I107" s="43">
        <f t="shared" si="38"/>
        <v>0.11778656126482213</v>
      </c>
      <c r="J107" s="43">
        <f t="shared" si="38"/>
        <v>2.3715415019762844E-2</v>
      </c>
      <c r="K107" s="43">
        <f t="shared" si="38"/>
        <v>7.9051383399209481E-3</v>
      </c>
      <c r="L107" s="43">
        <f t="shared" si="38"/>
        <v>0.10197628458498023</v>
      </c>
      <c r="M107" s="43">
        <f t="shared" si="38"/>
        <v>0.17391304347826086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0.12727272727272726</v>
      </c>
      <c r="D108" s="44">
        <f t="shared" ref="D108:N108" si="39">D106/$O$106</f>
        <v>0.13110047846889952</v>
      </c>
      <c r="E108" s="44">
        <f t="shared" si="39"/>
        <v>0.23349282296650717</v>
      </c>
      <c r="F108" s="44">
        <f t="shared" si="39"/>
        <v>0.12631578947368421</v>
      </c>
      <c r="G108" s="44">
        <f t="shared" si="39"/>
        <v>2.8708133971291866E-3</v>
      </c>
      <c r="H108" s="44">
        <f t="shared" si="39"/>
        <v>7.4641148325358855E-2</v>
      </c>
      <c r="I108" s="44">
        <f t="shared" si="39"/>
        <v>0.14258373205741626</v>
      </c>
      <c r="J108" s="44">
        <f t="shared" si="39"/>
        <v>2.8708133971291867E-2</v>
      </c>
      <c r="K108" s="44">
        <f t="shared" si="39"/>
        <v>9.5693779904306216E-3</v>
      </c>
      <c r="L108" s="44">
        <f t="shared" si="39"/>
        <v>0.12344497607655502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B1:AE1"/>
    <mergeCell ref="B2:AE2"/>
    <mergeCell ref="C3:G3"/>
    <mergeCell ref="G5:H5"/>
    <mergeCell ref="K5:L5"/>
    <mergeCell ref="D6:E6"/>
    <mergeCell ref="G6:H6"/>
    <mergeCell ref="K6:L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4A1E-93D2-4A1C-935F-D87680F32AA8}">
  <sheetPr>
    <tabColor theme="2" tint="-0.249977111117893"/>
  </sheetPr>
  <dimension ref="B1:AF174"/>
  <sheetViews>
    <sheetView view="pageBreakPreview" topLeftCell="A54" zoomScale="60" workbookViewId="0">
      <selection activeCell="B58" sqref="B58:B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'29.07 Karuma-Kigumba'!C3:G3</f>
        <v>MCC - C5 - STN113 - KIGUMBA-KARUMA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'02.08 Karuma-Kigumba-24h'!D5</f>
        <v>02.08.19</v>
      </c>
      <c r="E5" s="3"/>
      <c r="F5" s="41" t="s">
        <v>1</v>
      </c>
      <c r="G5" s="71" t="str">
        <f>'02.08 Karuma-Kigumba-24h'!G5:H5</f>
        <v>nanda</v>
      </c>
      <c r="H5" s="72"/>
      <c r="I5" s="14"/>
      <c r="J5" s="2" t="s">
        <v>5</v>
      </c>
      <c r="K5" s="71" t="str">
        <f>'02.08 Karuma-Kigumba-24h'!K5:L5</f>
        <v>xxx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'29.07 Kigumba-Karuma'!D6:E6</f>
        <v>Kigumba</v>
      </c>
      <c r="E6" s="72"/>
      <c r="F6" s="2" t="s">
        <v>2</v>
      </c>
      <c r="G6" s="71" t="str">
        <f>'30.07 Kigumba-Karuma'!G6:H6</f>
        <v>Karuma</v>
      </c>
      <c r="H6" s="72"/>
      <c r="J6" s="2" t="s">
        <v>21</v>
      </c>
      <c r="K6" s="71" t="str">
        <f>'02.08 Karuma-Kigumba-24h'!K6:L6</f>
        <v>xxx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1">
        <v>0</v>
      </c>
      <c r="D10" s="50">
        <v>1</v>
      </c>
      <c r="E10" s="51">
        <v>2</v>
      </c>
      <c r="F10" s="51">
        <v>0</v>
      </c>
      <c r="G10" s="51">
        <v>0</v>
      </c>
      <c r="H10" s="51">
        <v>0</v>
      </c>
      <c r="I10" s="51">
        <v>3</v>
      </c>
      <c r="J10" s="51">
        <v>2</v>
      </c>
      <c r="K10" s="51">
        <v>0</v>
      </c>
      <c r="L10" s="50">
        <v>4</v>
      </c>
      <c r="M10" s="51">
        <v>1</v>
      </c>
      <c r="N10" s="50">
        <v>0</v>
      </c>
      <c r="O10" s="15">
        <f t="shared" ref="O10:O73" si="0">SUM(C10:L10,N10)</f>
        <v>12</v>
      </c>
      <c r="P10" s="15">
        <f t="shared" ref="P10:P73" si="1">SUM(C10:N10)</f>
        <v>13</v>
      </c>
      <c r="R10" s="1" t="s">
        <v>6</v>
      </c>
      <c r="S10" s="17">
        <f t="shared" ref="S10:AF10" si="2">SUM(C10:C13)</f>
        <v>5</v>
      </c>
      <c r="T10" s="17">
        <f t="shared" si="2"/>
        <v>7</v>
      </c>
      <c r="U10" s="17">
        <f t="shared" si="2"/>
        <v>9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3</v>
      </c>
      <c r="AA10" s="17">
        <f t="shared" si="2"/>
        <v>1</v>
      </c>
      <c r="AB10" s="17">
        <f t="shared" si="2"/>
        <v>7</v>
      </c>
      <c r="AC10" s="17">
        <f t="shared" si="2"/>
        <v>6</v>
      </c>
      <c r="AD10" s="17">
        <f t="shared" si="2"/>
        <v>0</v>
      </c>
      <c r="AE10" s="31">
        <f t="shared" si="2"/>
        <v>41</v>
      </c>
      <c r="AF10" s="31">
        <f t="shared" si="2"/>
        <v>47</v>
      </c>
    </row>
    <row r="11" spans="2:32" s="6" customFormat="1" ht="23.1" customHeight="1" x14ac:dyDescent="0.25">
      <c r="B11" s="45" t="s">
        <v>38</v>
      </c>
      <c r="C11" s="51">
        <v>0</v>
      </c>
      <c r="D11" s="50">
        <v>1</v>
      </c>
      <c r="E11" s="51">
        <v>1</v>
      </c>
      <c r="F11" s="51">
        <v>1</v>
      </c>
      <c r="G11" s="51">
        <v>0</v>
      </c>
      <c r="H11" s="51">
        <v>0</v>
      </c>
      <c r="I11" s="51">
        <v>1</v>
      </c>
      <c r="J11" s="51">
        <v>0</v>
      </c>
      <c r="K11" s="51">
        <v>0</v>
      </c>
      <c r="L11" s="50">
        <v>1</v>
      </c>
      <c r="M11" s="51">
        <v>1</v>
      </c>
      <c r="N11" s="50">
        <v>0</v>
      </c>
      <c r="O11" s="15">
        <f t="shared" si="0"/>
        <v>5</v>
      </c>
      <c r="P11" s="15">
        <f t="shared" si="1"/>
        <v>6</v>
      </c>
      <c r="R11" s="1" t="s">
        <v>7</v>
      </c>
      <c r="S11" s="17">
        <f t="shared" ref="S11:AF11" si="3">SUM(C14:C17)</f>
        <v>7</v>
      </c>
      <c r="T11" s="17">
        <f t="shared" si="3"/>
        <v>8</v>
      </c>
      <c r="U11" s="17">
        <f t="shared" si="3"/>
        <v>9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1</v>
      </c>
      <c r="AA11" s="17">
        <f t="shared" si="3"/>
        <v>0</v>
      </c>
      <c r="AB11" s="17">
        <f t="shared" si="3"/>
        <v>7</v>
      </c>
      <c r="AC11" s="17">
        <f t="shared" si="3"/>
        <v>11</v>
      </c>
      <c r="AD11" s="17">
        <f t="shared" si="3"/>
        <v>0</v>
      </c>
      <c r="AE11" s="31">
        <f t="shared" si="3"/>
        <v>40</v>
      </c>
      <c r="AF11" s="31">
        <f t="shared" si="3"/>
        <v>51</v>
      </c>
    </row>
    <row r="12" spans="2:32" ht="23.1" customHeight="1" x14ac:dyDescent="0.25">
      <c r="B12" s="45" t="s">
        <v>39</v>
      </c>
      <c r="C12" s="51">
        <v>3</v>
      </c>
      <c r="D12" s="50">
        <v>3</v>
      </c>
      <c r="E12" s="51">
        <v>3</v>
      </c>
      <c r="F12" s="51">
        <v>1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0">
        <v>0</v>
      </c>
      <c r="M12" s="51">
        <v>1</v>
      </c>
      <c r="N12" s="50">
        <v>0</v>
      </c>
      <c r="O12" s="15">
        <f t="shared" si="0"/>
        <v>10</v>
      </c>
      <c r="P12" s="15">
        <f t="shared" si="1"/>
        <v>11</v>
      </c>
      <c r="R12" s="1" t="s">
        <v>8</v>
      </c>
      <c r="S12" s="17">
        <f t="shared" ref="S12:AF12" si="4">SUM(C18:C21)</f>
        <v>13</v>
      </c>
      <c r="T12" s="17">
        <f t="shared" si="4"/>
        <v>11</v>
      </c>
      <c r="U12" s="17">
        <f t="shared" si="4"/>
        <v>14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3</v>
      </c>
      <c r="AC12" s="17">
        <f t="shared" si="4"/>
        <v>6</v>
      </c>
      <c r="AD12" s="17">
        <f t="shared" si="4"/>
        <v>0</v>
      </c>
      <c r="AE12" s="31">
        <f t="shared" si="4"/>
        <v>51</v>
      </c>
      <c r="AF12" s="31">
        <f t="shared" si="4"/>
        <v>57</v>
      </c>
    </row>
    <row r="13" spans="2:32" ht="23.1" customHeight="1" x14ac:dyDescent="0.25">
      <c r="B13" s="45" t="s">
        <v>40</v>
      </c>
      <c r="C13" s="51">
        <v>2</v>
      </c>
      <c r="D13" s="50">
        <v>2</v>
      </c>
      <c r="E13" s="51">
        <v>3</v>
      </c>
      <c r="F13" s="51">
        <v>2</v>
      </c>
      <c r="G13" s="51">
        <v>0</v>
      </c>
      <c r="H13" s="51">
        <v>0</v>
      </c>
      <c r="I13" s="51">
        <v>1</v>
      </c>
      <c r="J13" s="51">
        <v>1</v>
      </c>
      <c r="K13" s="51">
        <v>1</v>
      </c>
      <c r="L13" s="50">
        <v>2</v>
      </c>
      <c r="M13" s="51">
        <v>3</v>
      </c>
      <c r="N13" s="50">
        <v>0</v>
      </c>
      <c r="O13" s="15">
        <f t="shared" si="0"/>
        <v>14</v>
      </c>
      <c r="P13" s="15">
        <f t="shared" si="1"/>
        <v>17</v>
      </c>
      <c r="R13" s="1" t="s">
        <v>9</v>
      </c>
      <c r="S13" s="17">
        <f t="shared" ref="S13:AF13" si="5">SUM(C22:C25)</f>
        <v>5</v>
      </c>
      <c r="T13" s="17">
        <f t="shared" si="5"/>
        <v>6</v>
      </c>
      <c r="U13" s="17">
        <f t="shared" si="5"/>
        <v>8</v>
      </c>
      <c r="V13" s="17">
        <f t="shared" si="5"/>
        <v>11</v>
      </c>
      <c r="W13" s="17">
        <f t="shared" si="5"/>
        <v>1</v>
      </c>
      <c r="X13" s="17">
        <f t="shared" si="5"/>
        <v>3</v>
      </c>
      <c r="Y13" s="17">
        <f t="shared" si="5"/>
        <v>2</v>
      </c>
      <c r="Z13" s="17">
        <f t="shared" si="5"/>
        <v>2</v>
      </c>
      <c r="AA13" s="17">
        <f t="shared" si="5"/>
        <v>0</v>
      </c>
      <c r="AB13" s="17">
        <f t="shared" si="5"/>
        <v>2</v>
      </c>
      <c r="AC13" s="17">
        <f t="shared" si="5"/>
        <v>15</v>
      </c>
      <c r="AD13" s="17">
        <f t="shared" si="5"/>
        <v>0</v>
      </c>
      <c r="AE13" s="31">
        <f t="shared" si="5"/>
        <v>40</v>
      </c>
      <c r="AF13" s="31">
        <f t="shared" si="5"/>
        <v>55</v>
      </c>
    </row>
    <row r="14" spans="2:32" ht="23.1" customHeight="1" x14ac:dyDescent="0.25">
      <c r="B14" s="45" t="s">
        <v>41</v>
      </c>
      <c r="C14" s="51">
        <v>3</v>
      </c>
      <c r="D14" s="50">
        <v>2</v>
      </c>
      <c r="E14" s="51">
        <v>2</v>
      </c>
      <c r="F14" s="51">
        <v>0</v>
      </c>
      <c r="G14" s="51">
        <v>0</v>
      </c>
      <c r="H14" s="51">
        <v>0</v>
      </c>
      <c r="I14" s="51">
        <v>1</v>
      </c>
      <c r="J14" s="51">
        <v>0</v>
      </c>
      <c r="K14" s="51">
        <v>0</v>
      </c>
      <c r="L14" s="50">
        <v>3</v>
      </c>
      <c r="M14" s="51">
        <v>4</v>
      </c>
      <c r="N14" s="50">
        <v>0</v>
      </c>
      <c r="O14" s="15">
        <f t="shared" si="0"/>
        <v>11</v>
      </c>
      <c r="P14" s="15">
        <f t="shared" si="1"/>
        <v>15</v>
      </c>
      <c r="R14" s="1" t="s">
        <v>10</v>
      </c>
      <c r="S14" s="17">
        <f t="shared" ref="S14:AF14" si="6">SUM(C26:C29)</f>
        <v>13</v>
      </c>
      <c r="T14" s="17">
        <f t="shared" si="6"/>
        <v>9</v>
      </c>
      <c r="U14" s="17">
        <f t="shared" si="6"/>
        <v>13</v>
      </c>
      <c r="V14" s="17">
        <f t="shared" si="6"/>
        <v>7</v>
      </c>
      <c r="W14" s="17">
        <f t="shared" si="6"/>
        <v>0</v>
      </c>
      <c r="X14" s="17">
        <f t="shared" si="6"/>
        <v>4</v>
      </c>
      <c r="Y14" s="17">
        <f t="shared" si="6"/>
        <v>5</v>
      </c>
      <c r="Z14" s="17">
        <f t="shared" si="6"/>
        <v>2</v>
      </c>
      <c r="AA14" s="17">
        <f t="shared" si="6"/>
        <v>0</v>
      </c>
      <c r="AB14" s="17">
        <f t="shared" si="6"/>
        <v>1</v>
      </c>
      <c r="AC14" s="17">
        <f t="shared" si="6"/>
        <v>17</v>
      </c>
      <c r="AD14" s="17">
        <f t="shared" si="6"/>
        <v>0</v>
      </c>
      <c r="AE14" s="31">
        <f t="shared" si="6"/>
        <v>54</v>
      </c>
      <c r="AF14" s="31">
        <f t="shared" si="6"/>
        <v>71</v>
      </c>
    </row>
    <row r="15" spans="2:32" ht="23.1" customHeight="1" x14ac:dyDescent="0.25">
      <c r="B15" s="45" t="s">
        <v>42</v>
      </c>
      <c r="C15" s="51">
        <v>2</v>
      </c>
      <c r="D15" s="50">
        <v>2</v>
      </c>
      <c r="E15" s="51">
        <v>2</v>
      </c>
      <c r="F15" s="51">
        <v>0</v>
      </c>
      <c r="G15" s="51">
        <v>0</v>
      </c>
      <c r="H15" s="51">
        <v>0</v>
      </c>
      <c r="I15" s="51">
        <v>2</v>
      </c>
      <c r="J15" s="51">
        <v>1</v>
      </c>
      <c r="K15" s="51">
        <v>0</v>
      </c>
      <c r="L15" s="50">
        <v>4</v>
      </c>
      <c r="M15" s="51">
        <v>4</v>
      </c>
      <c r="N15" s="50">
        <v>0</v>
      </c>
      <c r="O15" s="15">
        <f t="shared" si="0"/>
        <v>13</v>
      </c>
      <c r="P15" s="15">
        <f t="shared" si="1"/>
        <v>17</v>
      </c>
      <c r="R15" s="1" t="s">
        <v>11</v>
      </c>
      <c r="S15" s="17">
        <f t="shared" ref="S15:AF15" si="7">SUM(C30:C33)</f>
        <v>11</v>
      </c>
      <c r="T15" s="17">
        <f t="shared" si="7"/>
        <v>6</v>
      </c>
      <c r="U15" s="17">
        <f t="shared" si="7"/>
        <v>8</v>
      </c>
      <c r="V15" s="17">
        <f t="shared" si="7"/>
        <v>9</v>
      </c>
      <c r="W15" s="17">
        <f t="shared" si="7"/>
        <v>0</v>
      </c>
      <c r="X15" s="17">
        <f t="shared" si="7"/>
        <v>2</v>
      </c>
      <c r="Y15" s="17">
        <f t="shared" si="7"/>
        <v>6</v>
      </c>
      <c r="Z15" s="17">
        <f t="shared" si="7"/>
        <v>0</v>
      </c>
      <c r="AA15" s="17">
        <f t="shared" si="7"/>
        <v>1</v>
      </c>
      <c r="AB15" s="17">
        <f t="shared" si="7"/>
        <v>2</v>
      </c>
      <c r="AC15" s="17">
        <f t="shared" si="7"/>
        <v>9</v>
      </c>
      <c r="AD15" s="17">
        <f t="shared" si="7"/>
        <v>0</v>
      </c>
      <c r="AE15" s="31">
        <f t="shared" si="7"/>
        <v>45</v>
      </c>
      <c r="AF15" s="31">
        <f t="shared" si="7"/>
        <v>54</v>
      </c>
    </row>
    <row r="16" spans="2:32" ht="23.1" customHeight="1" x14ac:dyDescent="0.25">
      <c r="B16" s="45" t="s">
        <v>43</v>
      </c>
      <c r="C16" s="51">
        <v>1</v>
      </c>
      <c r="D16" s="50">
        <v>1</v>
      </c>
      <c r="E16" s="51">
        <v>2</v>
      </c>
      <c r="F16" s="51">
        <v>1</v>
      </c>
      <c r="G16" s="51">
        <v>0</v>
      </c>
      <c r="H16" s="51">
        <v>0</v>
      </c>
      <c r="I16" s="51">
        <v>1</v>
      </c>
      <c r="J16" s="51">
        <v>0</v>
      </c>
      <c r="K16" s="51">
        <v>0</v>
      </c>
      <c r="L16" s="50">
        <v>0</v>
      </c>
      <c r="M16" s="51">
        <v>1</v>
      </c>
      <c r="N16" s="50">
        <v>0</v>
      </c>
      <c r="O16" s="15">
        <f t="shared" si="0"/>
        <v>6</v>
      </c>
      <c r="P16" s="15">
        <f t="shared" si="1"/>
        <v>7</v>
      </c>
      <c r="R16" s="1" t="s">
        <v>12</v>
      </c>
      <c r="S16" s="17">
        <f t="shared" ref="S16:AF16" si="8">SUM(C34:C37)</f>
        <v>8</v>
      </c>
      <c r="T16" s="17">
        <f t="shared" si="8"/>
        <v>8</v>
      </c>
      <c r="U16" s="17">
        <f t="shared" si="8"/>
        <v>9</v>
      </c>
      <c r="V16" s="17">
        <f t="shared" si="8"/>
        <v>2</v>
      </c>
      <c r="W16" s="17">
        <f t="shared" si="8"/>
        <v>1</v>
      </c>
      <c r="X16" s="17">
        <f t="shared" si="8"/>
        <v>4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8</v>
      </c>
      <c r="AD16" s="17">
        <f t="shared" si="8"/>
        <v>0</v>
      </c>
      <c r="AE16" s="31">
        <f t="shared" si="8"/>
        <v>35</v>
      </c>
      <c r="AF16" s="31">
        <f t="shared" si="8"/>
        <v>43</v>
      </c>
    </row>
    <row r="17" spans="2:32" ht="23.1" customHeight="1" x14ac:dyDescent="0.25">
      <c r="B17" s="45" t="s">
        <v>44</v>
      </c>
      <c r="C17" s="51">
        <v>1</v>
      </c>
      <c r="D17" s="50">
        <v>3</v>
      </c>
      <c r="E17" s="51">
        <v>3</v>
      </c>
      <c r="F17" s="51">
        <v>1</v>
      </c>
      <c r="G17" s="51">
        <v>0</v>
      </c>
      <c r="H17" s="51">
        <v>0</v>
      </c>
      <c r="I17" s="51">
        <v>2</v>
      </c>
      <c r="J17" s="51">
        <v>0</v>
      </c>
      <c r="K17" s="51">
        <v>0</v>
      </c>
      <c r="L17" s="50">
        <v>0</v>
      </c>
      <c r="M17" s="51">
        <v>2</v>
      </c>
      <c r="N17" s="50">
        <v>0</v>
      </c>
      <c r="O17" s="15">
        <f t="shared" si="0"/>
        <v>10</v>
      </c>
      <c r="P17" s="15">
        <f t="shared" si="1"/>
        <v>12</v>
      </c>
      <c r="R17" s="1" t="s">
        <v>13</v>
      </c>
      <c r="S17" s="17">
        <f t="shared" ref="S17:AF17" si="9">SUM(C38:C41)</f>
        <v>5</v>
      </c>
      <c r="T17" s="17">
        <f t="shared" si="9"/>
        <v>8</v>
      </c>
      <c r="U17" s="17">
        <f t="shared" si="9"/>
        <v>9</v>
      </c>
      <c r="V17" s="17">
        <f t="shared" si="9"/>
        <v>3</v>
      </c>
      <c r="W17" s="17">
        <f t="shared" si="9"/>
        <v>0</v>
      </c>
      <c r="X17" s="17">
        <f t="shared" si="9"/>
        <v>4</v>
      </c>
      <c r="Y17" s="17">
        <f t="shared" si="9"/>
        <v>4</v>
      </c>
      <c r="Z17" s="17">
        <f t="shared" si="9"/>
        <v>0</v>
      </c>
      <c r="AA17" s="17">
        <f t="shared" si="9"/>
        <v>0</v>
      </c>
      <c r="AB17" s="17">
        <f t="shared" si="9"/>
        <v>1</v>
      </c>
      <c r="AC17" s="17">
        <f t="shared" si="9"/>
        <v>14</v>
      </c>
      <c r="AD17" s="17">
        <f t="shared" si="9"/>
        <v>0</v>
      </c>
      <c r="AE17" s="31">
        <f t="shared" si="9"/>
        <v>34</v>
      </c>
      <c r="AF17" s="31">
        <f t="shared" si="9"/>
        <v>48</v>
      </c>
    </row>
    <row r="18" spans="2:32" ht="23.1" customHeight="1" x14ac:dyDescent="0.25">
      <c r="B18" s="45" t="s">
        <v>45</v>
      </c>
      <c r="C18" s="51">
        <v>2</v>
      </c>
      <c r="D18" s="50">
        <v>2</v>
      </c>
      <c r="E18" s="51">
        <v>3</v>
      </c>
      <c r="F18" s="51">
        <v>0</v>
      </c>
      <c r="G18" s="51">
        <v>0</v>
      </c>
      <c r="H18" s="51">
        <v>0</v>
      </c>
      <c r="I18" s="51">
        <v>1</v>
      </c>
      <c r="J18" s="51">
        <v>0</v>
      </c>
      <c r="K18" s="51">
        <v>0</v>
      </c>
      <c r="L18" s="50">
        <v>1</v>
      </c>
      <c r="M18" s="51">
        <v>0</v>
      </c>
      <c r="N18" s="50">
        <v>0</v>
      </c>
      <c r="O18" s="15">
        <f t="shared" si="0"/>
        <v>9</v>
      </c>
      <c r="P18" s="15">
        <f t="shared" si="1"/>
        <v>9</v>
      </c>
      <c r="R18" s="1" t="s">
        <v>14</v>
      </c>
      <c r="S18" s="17">
        <f t="shared" ref="S18:AF18" si="10">SUM(C42:C45)</f>
        <v>14</v>
      </c>
      <c r="T18" s="17">
        <f t="shared" si="10"/>
        <v>7</v>
      </c>
      <c r="U18" s="17">
        <f t="shared" si="10"/>
        <v>10</v>
      </c>
      <c r="V18" s="17">
        <f t="shared" si="10"/>
        <v>9</v>
      </c>
      <c r="W18" s="17">
        <f t="shared" si="10"/>
        <v>0</v>
      </c>
      <c r="X18" s="17">
        <f t="shared" si="10"/>
        <v>5</v>
      </c>
      <c r="Y18" s="17">
        <f t="shared" si="10"/>
        <v>2</v>
      </c>
      <c r="Z18" s="17">
        <f t="shared" si="10"/>
        <v>1</v>
      </c>
      <c r="AA18" s="17">
        <f t="shared" si="10"/>
        <v>0</v>
      </c>
      <c r="AB18" s="17">
        <f t="shared" si="10"/>
        <v>2</v>
      </c>
      <c r="AC18" s="17">
        <f t="shared" si="10"/>
        <v>22</v>
      </c>
      <c r="AD18" s="17">
        <f t="shared" si="10"/>
        <v>0</v>
      </c>
      <c r="AE18" s="31">
        <f t="shared" si="10"/>
        <v>50</v>
      </c>
      <c r="AF18" s="31">
        <f t="shared" si="10"/>
        <v>72</v>
      </c>
    </row>
    <row r="19" spans="2:32" ht="23.1" customHeight="1" x14ac:dyDescent="0.25">
      <c r="B19" s="45" t="s">
        <v>46</v>
      </c>
      <c r="C19" s="51">
        <v>0</v>
      </c>
      <c r="D19" s="50">
        <v>2</v>
      </c>
      <c r="E19" s="51">
        <v>3</v>
      </c>
      <c r="F19" s="51">
        <v>1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0">
        <v>0</v>
      </c>
      <c r="M19" s="51">
        <v>2</v>
      </c>
      <c r="N19" s="50">
        <v>0</v>
      </c>
      <c r="O19" s="15">
        <f t="shared" si="0"/>
        <v>6</v>
      </c>
      <c r="P19" s="15">
        <f t="shared" si="1"/>
        <v>8</v>
      </c>
      <c r="R19" s="1" t="s">
        <v>15</v>
      </c>
      <c r="S19" s="17">
        <f t="shared" ref="S19:AF19" si="11">SUM(C46:C49)</f>
        <v>5</v>
      </c>
      <c r="T19" s="17">
        <f t="shared" si="11"/>
        <v>9</v>
      </c>
      <c r="U19" s="17">
        <f t="shared" si="11"/>
        <v>11</v>
      </c>
      <c r="V19" s="17">
        <f t="shared" si="11"/>
        <v>1</v>
      </c>
      <c r="W19" s="17">
        <f t="shared" si="11"/>
        <v>0</v>
      </c>
      <c r="X19" s="17">
        <f t="shared" si="11"/>
        <v>4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5</v>
      </c>
      <c r="AC19" s="17">
        <f t="shared" si="11"/>
        <v>14</v>
      </c>
      <c r="AD19" s="17">
        <f t="shared" si="11"/>
        <v>0</v>
      </c>
      <c r="AE19" s="31">
        <f t="shared" si="11"/>
        <v>37</v>
      </c>
      <c r="AF19" s="31">
        <f t="shared" si="11"/>
        <v>51</v>
      </c>
    </row>
    <row r="20" spans="2:32" ht="23.1" customHeight="1" x14ac:dyDescent="0.25">
      <c r="B20" s="45" t="s">
        <v>47</v>
      </c>
      <c r="C20" s="51">
        <v>6</v>
      </c>
      <c r="D20" s="50">
        <v>5</v>
      </c>
      <c r="E20" s="51">
        <v>6</v>
      </c>
      <c r="F20" s="51">
        <v>4</v>
      </c>
      <c r="G20" s="51">
        <v>0</v>
      </c>
      <c r="H20" s="51">
        <v>0</v>
      </c>
      <c r="I20" s="51">
        <v>2</v>
      </c>
      <c r="J20" s="51">
        <v>0</v>
      </c>
      <c r="K20" s="51">
        <v>0</v>
      </c>
      <c r="L20" s="50">
        <v>2</v>
      </c>
      <c r="M20" s="51">
        <v>1</v>
      </c>
      <c r="N20" s="50">
        <v>0</v>
      </c>
      <c r="O20" s="15">
        <f t="shared" si="0"/>
        <v>25</v>
      </c>
      <c r="P20" s="15">
        <f t="shared" si="1"/>
        <v>26</v>
      </c>
      <c r="R20" s="1" t="s">
        <v>16</v>
      </c>
      <c r="S20" s="17">
        <f t="shared" ref="S20:AF20" si="12">SUM(C50:C53)</f>
        <v>12</v>
      </c>
      <c r="T20" s="17">
        <f t="shared" si="12"/>
        <v>8</v>
      </c>
      <c r="U20" s="17">
        <f t="shared" si="12"/>
        <v>10</v>
      </c>
      <c r="V20" s="17">
        <f t="shared" si="12"/>
        <v>6</v>
      </c>
      <c r="W20" s="17">
        <f t="shared" si="12"/>
        <v>0</v>
      </c>
      <c r="X20" s="17">
        <f t="shared" si="12"/>
        <v>5</v>
      </c>
      <c r="Y20" s="17">
        <f t="shared" si="12"/>
        <v>6</v>
      </c>
      <c r="Z20" s="17">
        <f t="shared" si="12"/>
        <v>2</v>
      </c>
      <c r="AA20" s="17">
        <f t="shared" si="12"/>
        <v>0</v>
      </c>
      <c r="AB20" s="17">
        <f t="shared" si="12"/>
        <v>8</v>
      </c>
      <c r="AC20" s="17">
        <f t="shared" si="12"/>
        <v>15</v>
      </c>
      <c r="AD20" s="17">
        <f t="shared" si="12"/>
        <v>0</v>
      </c>
      <c r="AE20" s="31">
        <f t="shared" si="12"/>
        <v>57</v>
      </c>
      <c r="AF20" s="31">
        <f t="shared" si="12"/>
        <v>72</v>
      </c>
    </row>
    <row r="21" spans="2:32" ht="23.1" customHeight="1" x14ac:dyDescent="0.25">
      <c r="B21" s="45" t="s">
        <v>48</v>
      </c>
      <c r="C21" s="51">
        <v>5</v>
      </c>
      <c r="D21" s="50">
        <v>2</v>
      </c>
      <c r="E21" s="51">
        <v>2</v>
      </c>
      <c r="F21" s="51">
        <v>2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0">
        <v>0</v>
      </c>
      <c r="M21" s="51">
        <v>3</v>
      </c>
      <c r="N21" s="50">
        <v>0</v>
      </c>
      <c r="O21" s="15">
        <f t="shared" si="0"/>
        <v>11</v>
      </c>
      <c r="P21" s="15">
        <f t="shared" si="1"/>
        <v>14</v>
      </c>
      <c r="R21" s="36" t="s">
        <v>20</v>
      </c>
      <c r="S21" s="34">
        <f t="shared" ref="S21:AF21" si="13">SUM(C54:C57)</f>
        <v>12</v>
      </c>
      <c r="T21" s="17">
        <f t="shared" si="13"/>
        <v>7</v>
      </c>
      <c r="U21" s="17">
        <f t="shared" si="13"/>
        <v>8</v>
      </c>
      <c r="V21" s="17">
        <f t="shared" si="13"/>
        <v>3</v>
      </c>
      <c r="W21" s="17">
        <f t="shared" si="13"/>
        <v>0</v>
      </c>
      <c r="X21" s="17">
        <f t="shared" si="13"/>
        <v>6</v>
      </c>
      <c r="Y21" s="17">
        <f t="shared" si="13"/>
        <v>7</v>
      </c>
      <c r="Z21" s="17">
        <f t="shared" si="13"/>
        <v>1</v>
      </c>
      <c r="AA21" s="17">
        <f t="shared" si="13"/>
        <v>0</v>
      </c>
      <c r="AB21" s="17">
        <f t="shared" si="13"/>
        <v>13</v>
      </c>
      <c r="AC21" s="17">
        <f t="shared" si="13"/>
        <v>25</v>
      </c>
      <c r="AD21" s="17">
        <f t="shared" si="13"/>
        <v>0</v>
      </c>
      <c r="AE21" s="31">
        <f t="shared" si="13"/>
        <v>57</v>
      </c>
      <c r="AF21" s="31">
        <f t="shared" si="13"/>
        <v>82</v>
      </c>
    </row>
    <row r="22" spans="2:32" ht="23.1" customHeight="1" x14ac:dyDescent="0.25">
      <c r="B22" s="45" t="s">
        <v>49</v>
      </c>
      <c r="C22" s="51">
        <v>0</v>
      </c>
      <c r="D22" s="50">
        <v>0</v>
      </c>
      <c r="E22" s="51">
        <v>1</v>
      </c>
      <c r="F22" s="51">
        <v>4</v>
      </c>
      <c r="G22" s="51">
        <v>1</v>
      </c>
      <c r="H22" s="51">
        <v>2</v>
      </c>
      <c r="I22" s="51">
        <v>0</v>
      </c>
      <c r="J22" s="51">
        <v>1</v>
      </c>
      <c r="K22" s="51">
        <v>0</v>
      </c>
      <c r="L22" s="50">
        <v>1</v>
      </c>
      <c r="M22" s="51">
        <v>3</v>
      </c>
      <c r="N22" s="50">
        <v>0</v>
      </c>
      <c r="O22" s="15">
        <f t="shared" si="0"/>
        <v>10</v>
      </c>
      <c r="P22" s="15">
        <f t="shared" si="1"/>
        <v>13</v>
      </c>
      <c r="R22" s="36" t="s">
        <v>146</v>
      </c>
      <c r="S22" s="34">
        <f>SUM(C58:C61)</f>
        <v>4</v>
      </c>
      <c r="T22" s="34">
        <f t="shared" ref="T22:AF22" si="14">SUM(D58:D61)</f>
        <v>2</v>
      </c>
      <c r="U22" s="34">
        <f t="shared" si="14"/>
        <v>7</v>
      </c>
      <c r="V22" s="34">
        <f t="shared" si="14"/>
        <v>4</v>
      </c>
      <c r="W22" s="34">
        <f t="shared" si="14"/>
        <v>0</v>
      </c>
      <c r="X22" s="34">
        <f t="shared" si="14"/>
        <v>0</v>
      </c>
      <c r="Y22" s="34">
        <f t="shared" si="14"/>
        <v>8</v>
      </c>
      <c r="Z22" s="34">
        <f t="shared" si="14"/>
        <v>1</v>
      </c>
      <c r="AA22" s="34">
        <f t="shared" si="14"/>
        <v>0</v>
      </c>
      <c r="AB22" s="34">
        <f t="shared" si="14"/>
        <v>9</v>
      </c>
      <c r="AC22" s="34">
        <f t="shared" si="14"/>
        <v>9</v>
      </c>
      <c r="AD22" s="34">
        <f t="shared" si="14"/>
        <v>0</v>
      </c>
      <c r="AE22" s="31">
        <f t="shared" si="14"/>
        <v>35</v>
      </c>
      <c r="AF22" s="31">
        <f t="shared" si="14"/>
        <v>44</v>
      </c>
    </row>
    <row r="23" spans="2:32" ht="23.1" customHeight="1" x14ac:dyDescent="0.25">
      <c r="B23" s="45" t="s">
        <v>50</v>
      </c>
      <c r="C23" s="51">
        <v>2</v>
      </c>
      <c r="D23" s="50">
        <v>1</v>
      </c>
      <c r="E23" s="51">
        <v>1</v>
      </c>
      <c r="F23" s="51">
        <v>2</v>
      </c>
      <c r="G23" s="51">
        <v>0</v>
      </c>
      <c r="H23" s="51">
        <v>0</v>
      </c>
      <c r="I23" s="51">
        <v>2</v>
      </c>
      <c r="J23" s="51">
        <v>1</v>
      </c>
      <c r="K23" s="51">
        <v>0</v>
      </c>
      <c r="L23" s="50">
        <v>0</v>
      </c>
      <c r="M23" s="51">
        <v>3</v>
      </c>
      <c r="N23" s="50">
        <v>0</v>
      </c>
      <c r="O23" s="15">
        <f t="shared" si="0"/>
        <v>9</v>
      </c>
      <c r="P23" s="15">
        <f t="shared" si="1"/>
        <v>12</v>
      </c>
      <c r="R23" s="36" t="s">
        <v>147</v>
      </c>
      <c r="S23" s="34">
        <f>SUM(C62:C65)</f>
        <v>5</v>
      </c>
      <c r="T23" s="34">
        <f t="shared" ref="T23:AF23" si="15">SUM(D62:D65)</f>
        <v>5</v>
      </c>
      <c r="U23" s="34">
        <f t="shared" si="15"/>
        <v>10</v>
      </c>
      <c r="V23" s="34">
        <f t="shared" si="15"/>
        <v>6</v>
      </c>
      <c r="W23" s="34">
        <f t="shared" si="15"/>
        <v>0</v>
      </c>
      <c r="X23" s="34">
        <f t="shared" si="15"/>
        <v>0</v>
      </c>
      <c r="Y23" s="34">
        <f t="shared" si="15"/>
        <v>9</v>
      </c>
      <c r="Z23" s="34">
        <f t="shared" si="15"/>
        <v>2</v>
      </c>
      <c r="AA23" s="34">
        <f t="shared" si="15"/>
        <v>0</v>
      </c>
      <c r="AB23" s="34">
        <f t="shared" si="15"/>
        <v>4</v>
      </c>
      <c r="AC23" s="34">
        <f t="shared" si="15"/>
        <v>12</v>
      </c>
      <c r="AD23" s="34">
        <f t="shared" si="15"/>
        <v>0</v>
      </c>
      <c r="AE23" s="31">
        <f t="shared" si="15"/>
        <v>41</v>
      </c>
      <c r="AF23" s="31">
        <f t="shared" si="15"/>
        <v>53</v>
      </c>
    </row>
    <row r="24" spans="2:32" ht="23.1" customHeight="1" x14ac:dyDescent="0.25">
      <c r="B24" s="45" t="s">
        <v>51</v>
      </c>
      <c r="C24" s="51">
        <v>0</v>
      </c>
      <c r="D24" s="50">
        <v>3</v>
      </c>
      <c r="E24" s="51">
        <v>3</v>
      </c>
      <c r="F24" s="51">
        <v>4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0">
        <v>0</v>
      </c>
      <c r="M24" s="51">
        <v>8</v>
      </c>
      <c r="N24" s="50">
        <v>0</v>
      </c>
      <c r="O24" s="15">
        <f t="shared" si="0"/>
        <v>10</v>
      </c>
      <c r="P24" s="15">
        <f t="shared" si="1"/>
        <v>18</v>
      </c>
      <c r="R24" s="36" t="s">
        <v>148</v>
      </c>
      <c r="S24" s="34">
        <f>SUM(C66:C69)</f>
        <v>6</v>
      </c>
      <c r="T24" s="34">
        <f t="shared" ref="T24:AF24" si="16">SUM(D66:D69)</f>
        <v>6</v>
      </c>
      <c r="U24" s="34">
        <f t="shared" si="16"/>
        <v>11</v>
      </c>
      <c r="V24" s="34">
        <f t="shared" si="16"/>
        <v>8</v>
      </c>
      <c r="W24" s="34">
        <f t="shared" si="16"/>
        <v>0</v>
      </c>
      <c r="X24" s="34">
        <f t="shared" si="16"/>
        <v>0</v>
      </c>
      <c r="Y24" s="34">
        <f t="shared" si="16"/>
        <v>5</v>
      </c>
      <c r="Z24" s="34">
        <f t="shared" si="16"/>
        <v>0</v>
      </c>
      <c r="AA24" s="34">
        <f t="shared" si="16"/>
        <v>0</v>
      </c>
      <c r="AB24" s="34">
        <f t="shared" si="16"/>
        <v>3</v>
      </c>
      <c r="AC24" s="34">
        <f t="shared" si="16"/>
        <v>12</v>
      </c>
      <c r="AD24" s="34">
        <f t="shared" si="16"/>
        <v>0</v>
      </c>
      <c r="AE24" s="31">
        <f t="shared" si="16"/>
        <v>39</v>
      </c>
      <c r="AF24" s="31">
        <f t="shared" si="16"/>
        <v>51</v>
      </c>
    </row>
    <row r="25" spans="2:32" ht="23.1" customHeight="1" x14ac:dyDescent="0.25">
      <c r="B25" s="45" t="s">
        <v>52</v>
      </c>
      <c r="C25" s="51">
        <v>3</v>
      </c>
      <c r="D25" s="50">
        <v>2</v>
      </c>
      <c r="E25" s="51">
        <v>3</v>
      </c>
      <c r="F25" s="51">
        <v>1</v>
      </c>
      <c r="G25" s="51">
        <v>0</v>
      </c>
      <c r="H25" s="51">
        <v>1</v>
      </c>
      <c r="I25" s="51">
        <v>0</v>
      </c>
      <c r="J25" s="51">
        <v>0</v>
      </c>
      <c r="K25" s="51">
        <v>0</v>
      </c>
      <c r="L25" s="50">
        <v>1</v>
      </c>
      <c r="M25" s="51">
        <v>1</v>
      </c>
      <c r="N25" s="50">
        <v>0</v>
      </c>
      <c r="O25" s="15">
        <f t="shared" si="0"/>
        <v>11</v>
      </c>
      <c r="P25" s="15">
        <f t="shared" si="1"/>
        <v>12</v>
      </c>
      <c r="R25" s="36" t="s">
        <v>149</v>
      </c>
      <c r="S25" s="34">
        <f>SUM(C70:C73)</f>
        <v>5</v>
      </c>
      <c r="T25" s="34">
        <f t="shared" ref="T25:AF25" si="17">SUM(D70:D73)</f>
        <v>7</v>
      </c>
      <c r="U25" s="34">
        <f t="shared" si="17"/>
        <v>12</v>
      </c>
      <c r="V25" s="34">
        <f t="shared" si="17"/>
        <v>9</v>
      </c>
      <c r="W25" s="34">
        <f t="shared" si="17"/>
        <v>0</v>
      </c>
      <c r="X25" s="34">
        <f t="shared" si="17"/>
        <v>4</v>
      </c>
      <c r="Y25" s="34">
        <f t="shared" si="17"/>
        <v>6</v>
      </c>
      <c r="Z25" s="34">
        <f t="shared" si="17"/>
        <v>0</v>
      </c>
      <c r="AA25" s="34">
        <f t="shared" si="17"/>
        <v>0</v>
      </c>
      <c r="AB25" s="34">
        <f t="shared" si="17"/>
        <v>3</v>
      </c>
      <c r="AC25" s="34">
        <f t="shared" si="17"/>
        <v>16</v>
      </c>
      <c r="AD25" s="34">
        <f t="shared" si="17"/>
        <v>0</v>
      </c>
      <c r="AE25" s="31">
        <f t="shared" si="17"/>
        <v>46</v>
      </c>
      <c r="AF25" s="31">
        <f t="shared" si="17"/>
        <v>62</v>
      </c>
    </row>
    <row r="26" spans="2:32" ht="23.1" customHeight="1" x14ac:dyDescent="0.25">
      <c r="B26" s="45" t="s">
        <v>53</v>
      </c>
      <c r="C26" s="51">
        <v>4</v>
      </c>
      <c r="D26" s="50">
        <v>1</v>
      </c>
      <c r="E26" s="51">
        <v>2</v>
      </c>
      <c r="F26" s="51">
        <v>4</v>
      </c>
      <c r="G26" s="51">
        <v>0</v>
      </c>
      <c r="H26" s="51">
        <v>1</v>
      </c>
      <c r="I26" s="51">
        <v>3</v>
      </c>
      <c r="J26" s="51">
        <v>0</v>
      </c>
      <c r="K26" s="51">
        <v>0</v>
      </c>
      <c r="L26" s="50">
        <v>0</v>
      </c>
      <c r="M26" s="51">
        <v>0</v>
      </c>
      <c r="N26" s="50">
        <v>0</v>
      </c>
      <c r="O26" s="15">
        <f t="shared" si="0"/>
        <v>15</v>
      </c>
      <c r="P26" s="15">
        <f t="shared" si="1"/>
        <v>15</v>
      </c>
      <c r="R26" s="36" t="s">
        <v>150</v>
      </c>
      <c r="S26" s="34">
        <f>SUM(C74:C77)</f>
        <v>8</v>
      </c>
      <c r="T26" s="34">
        <f t="shared" ref="T26:AF26" si="18">SUM(D74:D77)</f>
        <v>6</v>
      </c>
      <c r="U26" s="34">
        <f t="shared" si="18"/>
        <v>10</v>
      </c>
      <c r="V26" s="34">
        <f t="shared" si="18"/>
        <v>8</v>
      </c>
      <c r="W26" s="34">
        <f t="shared" si="18"/>
        <v>0</v>
      </c>
      <c r="X26" s="34">
        <f t="shared" si="18"/>
        <v>3</v>
      </c>
      <c r="Y26" s="34">
        <f t="shared" si="18"/>
        <v>5</v>
      </c>
      <c r="Z26" s="34">
        <f t="shared" si="18"/>
        <v>0</v>
      </c>
      <c r="AA26" s="34">
        <f t="shared" si="18"/>
        <v>0</v>
      </c>
      <c r="AB26" s="34">
        <f t="shared" si="18"/>
        <v>3</v>
      </c>
      <c r="AC26" s="34">
        <f t="shared" si="18"/>
        <v>15</v>
      </c>
      <c r="AD26" s="34">
        <f t="shared" si="18"/>
        <v>0</v>
      </c>
      <c r="AE26" s="31">
        <f t="shared" si="18"/>
        <v>43</v>
      </c>
      <c r="AF26" s="31">
        <f t="shared" si="18"/>
        <v>58</v>
      </c>
    </row>
    <row r="27" spans="2:32" ht="23.1" customHeight="1" x14ac:dyDescent="0.25">
      <c r="B27" s="45" t="s">
        <v>54</v>
      </c>
      <c r="C27" s="51">
        <v>5</v>
      </c>
      <c r="D27" s="50">
        <v>2</v>
      </c>
      <c r="E27" s="51">
        <v>3</v>
      </c>
      <c r="F27" s="51">
        <v>1</v>
      </c>
      <c r="G27" s="51">
        <v>0</v>
      </c>
      <c r="H27" s="51">
        <v>1</v>
      </c>
      <c r="I27" s="51">
        <v>0</v>
      </c>
      <c r="J27" s="51">
        <v>1</v>
      </c>
      <c r="K27" s="51">
        <v>0</v>
      </c>
      <c r="L27" s="50">
        <v>0</v>
      </c>
      <c r="M27" s="51">
        <v>6</v>
      </c>
      <c r="N27" s="50">
        <v>0</v>
      </c>
      <c r="O27" s="15">
        <f t="shared" si="0"/>
        <v>13</v>
      </c>
      <c r="P27" s="15">
        <f t="shared" si="1"/>
        <v>19</v>
      </c>
      <c r="R27" s="36" t="s">
        <v>151</v>
      </c>
      <c r="S27" s="34">
        <f>SUM(C78:C81)</f>
        <v>3</v>
      </c>
      <c r="T27" s="34">
        <f t="shared" ref="T27:AF27" si="19">SUM(D78:D81)</f>
        <v>4</v>
      </c>
      <c r="U27" s="34">
        <f t="shared" si="19"/>
        <v>6</v>
      </c>
      <c r="V27" s="34">
        <f t="shared" si="19"/>
        <v>4</v>
      </c>
      <c r="W27" s="34">
        <f t="shared" si="19"/>
        <v>0</v>
      </c>
      <c r="X27" s="34">
        <f t="shared" si="19"/>
        <v>1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8</v>
      </c>
      <c r="AD27" s="34">
        <f t="shared" si="19"/>
        <v>0</v>
      </c>
      <c r="AE27" s="31">
        <f t="shared" si="19"/>
        <v>20</v>
      </c>
      <c r="AF27" s="31">
        <f t="shared" si="19"/>
        <v>28</v>
      </c>
    </row>
    <row r="28" spans="2:32" ht="23.1" customHeight="1" x14ac:dyDescent="0.25">
      <c r="B28" s="45" t="s">
        <v>55</v>
      </c>
      <c r="C28" s="51">
        <v>4</v>
      </c>
      <c r="D28" s="50">
        <v>4</v>
      </c>
      <c r="E28" s="51">
        <v>5</v>
      </c>
      <c r="F28" s="51">
        <v>2</v>
      </c>
      <c r="G28" s="51">
        <v>0</v>
      </c>
      <c r="H28" s="51">
        <v>2</v>
      </c>
      <c r="I28" s="51">
        <v>0</v>
      </c>
      <c r="J28" s="51">
        <v>1</v>
      </c>
      <c r="K28" s="51">
        <v>0</v>
      </c>
      <c r="L28" s="50">
        <v>1</v>
      </c>
      <c r="M28" s="51">
        <v>10</v>
      </c>
      <c r="N28" s="50">
        <v>0</v>
      </c>
      <c r="O28" s="15">
        <f t="shared" si="0"/>
        <v>19</v>
      </c>
      <c r="P28" s="15">
        <f t="shared" si="1"/>
        <v>29</v>
      </c>
      <c r="R28" s="36" t="s">
        <v>152</v>
      </c>
      <c r="S28" s="34">
        <f>SUM(C82:C85)</f>
        <v>4</v>
      </c>
      <c r="T28" s="34">
        <f t="shared" ref="T28:AF28" si="20">SUM(D82:D85)</f>
        <v>4</v>
      </c>
      <c r="U28" s="34">
        <f t="shared" si="20"/>
        <v>7</v>
      </c>
      <c r="V28" s="34">
        <f t="shared" si="20"/>
        <v>4</v>
      </c>
      <c r="W28" s="34">
        <f t="shared" si="20"/>
        <v>0</v>
      </c>
      <c r="X28" s="34">
        <f t="shared" si="20"/>
        <v>3</v>
      </c>
      <c r="Y28" s="34">
        <f t="shared" si="20"/>
        <v>3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7</v>
      </c>
      <c r="AD28" s="34">
        <f t="shared" si="20"/>
        <v>0</v>
      </c>
      <c r="AE28" s="31">
        <f t="shared" si="20"/>
        <v>25</v>
      </c>
      <c r="AF28" s="31">
        <f t="shared" si="20"/>
        <v>32</v>
      </c>
    </row>
    <row r="29" spans="2:32" ht="23.1" customHeight="1" x14ac:dyDescent="0.25">
      <c r="B29" s="45" t="s">
        <v>56</v>
      </c>
      <c r="C29" s="51">
        <v>0</v>
      </c>
      <c r="D29" s="50">
        <v>2</v>
      </c>
      <c r="E29" s="51">
        <v>3</v>
      </c>
      <c r="F29" s="51">
        <v>0</v>
      </c>
      <c r="G29" s="51">
        <v>0</v>
      </c>
      <c r="H29" s="51">
        <v>0</v>
      </c>
      <c r="I29" s="51">
        <v>2</v>
      </c>
      <c r="J29" s="51">
        <v>0</v>
      </c>
      <c r="K29" s="51">
        <v>0</v>
      </c>
      <c r="L29" s="50">
        <v>0</v>
      </c>
      <c r="M29" s="51">
        <v>1</v>
      </c>
      <c r="N29" s="50">
        <v>0</v>
      </c>
      <c r="O29" s="15">
        <f t="shared" si="0"/>
        <v>7</v>
      </c>
      <c r="P29" s="15">
        <f t="shared" si="1"/>
        <v>8</v>
      </c>
      <c r="R29" s="36" t="s">
        <v>153</v>
      </c>
      <c r="S29" s="34">
        <f>SUM(C86:C89)</f>
        <v>4</v>
      </c>
      <c r="T29" s="34">
        <f t="shared" ref="T29:AF29" si="21">SUM(D86:D89)</f>
        <v>5</v>
      </c>
      <c r="U29" s="34">
        <f t="shared" si="21"/>
        <v>7</v>
      </c>
      <c r="V29" s="34">
        <f t="shared" si="21"/>
        <v>3</v>
      </c>
      <c r="W29" s="34">
        <f t="shared" si="21"/>
        <v>0</v>
      </c>
      <c r="X29" s="34">
        <f t="shared" si="21"/>
        <v>0</v>
      </c>
      <c r="Y29" s="34">
        <f t="shared" si="21"/>
        <v>4</v>
      </c>
      <c r="Z29" s="34">
        <f t="shared" si="21"/>
        <v>0</v>
      </c>
      <c r="AA29" s="34">
        <f t="shared" si="21"/>
        <v>0</v>
      </c>
      <c r="AB29" s="34">
        <f t="shared" si="21"/>
        <v>1</v>
      </c>
      <c r="AC29" s="34">
        <f t="shared" si="21"/>
        <v>10</v>
      </c>
      <c r="AD29" s="34">
        <f t="shared" si="21"/>
        <v>0</v>
      </c>
      <c r="AE29" s="31">
        <f t="shared" si="21"/>
        <v>24</v>
      </c>
      <c r="AF29" s="31">
        <f t="shared" si="21"/>
        <v>34</v>
      </c>
    </row>
    <row r="30" spans="2:32" ht="23.1" customHeight="1" x14ac:dyDescent="0.25">
      <c r="B30" s="45" t="s">
        <v>57</v>
      </c>
      <c r="C30" s="51">
        <v>3</v>
      </c>
      <c r="D30" s="50">
        <v>1</v>
      </c>
      <c r="E30" s="51">
        <v>2</v>
      </c>
      <c r="F30" s="51">
        <v>0</v>
      </c>
      <c r="G30" s="51">
        <v>0</v>
      </c>
      <c r="H30" s="51">
        <v>0</v>
      </c>
      <c r="I30" s="51">
        <v>2</v>
      </c>
      <c r="J30" s="51">
        <v>0</v>
      </c>
      <c r="K30" s="51">
        <v>0</v>
      </c>
      <c r="L30" s="50">
        <v>1</v>
      </c>
      <c r="M30" s="51">
        <v>1</v>
      </c>
      <c r="N30" s="50">
        <v>0</v>
      </c>
      <c r="O30" s="15">
        <f t="shared" si="0"/>
        <v>9</v>
      </c>
      <c r="P30" s="15">
        <f t="shared" si="1"/>
        <v>10</v>
      </c>
      <c r="R30" s="36" t="s">
        <v>154</v>
      </c>
      <c r="S30" s="34">
        <f>SUM(C90:C93)</f>
        <v>5</v>
      </c>
      <c r="T30" s="34">
        <f t="shared" ref="T30:AF30" si="22">SUM(D90:D93)</f>
        <v>4</v>
      </c>
      <c r="U30" s="34">
        <f t="shared" si="22"/>
        <v>8</v>
      </c>
      <c r="V30" s="34">
        <f t="shared" si="22"/>
        <v>4</v>
      </c>
      <c r="W30" s="34">
        <f t="shared" si="22"/>
        <v>0</v>
      </c>
      <c r="X30" s="34">
        <f t="shared" si="22"/>
        <v>3</v>
      </c>
      <c r="Y30" s="34">
        <f t="shared" si="22"/>
        <v>3</v>
      </c>
      <c r="Z30" s="34">
        <f t="shared" si="22"/>
        <v>0</v>
      </c>
      <c r="AA30" s="34">
        <f t="shared" si="22"/>
        <v>0</v>
      </c>
      <c r="AB30" s="34">
        <f t="shared" si="22"/>
        <v>1</v>
      </c>
      <c r="AC30" s="34">
        <f t="shared" si="22"/>
        <v>9</v>
      </c>
      <c r="AD30" s="34">
        <f t="shared" si="22"/>
        <v>0</v>
      </c>
      <c r="AE30" s="31">
        <f t="shared" si="22"/>
        <v>28</v>
      </c>
      <c r="AF30" s="31">
        <f t="shared" si="22"/>
        <v>37</v>
      </c>
    </row>
    <row r="31" spans="2:32" ht="23.1" customHeight="1" x14ac:dyDescent="0.25">
      <c r="B31" s="46" t="s">
        <v>58</v>
      </c>
      <c r="C31" s="51">
        <v>4</v>
      </c>
      <c r="D31" s="50">
        <v>3</v>
      </c>
      <c r="E31" s="51">
        <v>3</v>
      </c>
      <c r="F31" s="51">
        <v>3</v>
      </c>
      <c r="G31" s="51">
        <v>0</v>
      </c>
      <c r="H31" s="51">
        <v>0</v>
      </c>
      <c r="I31" s="51">
        <v>2</v>
      </c>
      <c r="J31" s="51">
        <v>0</v>
      </c>
      <c r="K31" s="51">
        <v>0</v>
      </c>
      <c r="L31" s="50">
        <v>0</v>
      </c>
      <c r="M31" s="51">
        <v>2</v>
      </c>
      <c r="N31" s="50">
        <v>0</v>
      </c>
      <c r="O31" s="15">
        <f t="shared" si="0"/>
        <v>15</v>
      </c>
      <c r="P31" s="15">
        <f t="shared" si="1"/>
        <v>17</v>
      </c>
      <c r="R31" s="36" t="s">
        <v>155</v>
      </c>
      <c r="S31" s="34">
        <f>SUM(C94:C97)</f>
        <v>6</v>
      </c>
      <c r="T31" s="34">
        <f t="shared" ref="T31:AF31" si="23">SUM(D94:D97)</f>
        <v>6</v>
      </c>
      <c r="U31" s="34">
        <f t="shared" si="23"/>
        <v>8</v>
      </c>
      <c r="V31" s="34">
        <f t="shared" si="23"/>
        <v>5</v>
      </c>
      <c r="W31" s="34">
        <f t="shared" si="23"/>
        <v>0</v>
      </c>
      <c r="X31" s="34">
        <f t="shared" si="23"/>
        <v>4</v>
      </c>
      <c r="Y31" s="34">
        <f t="shared" si="23"/>
        <v>5</v>
      </c>
      <c r="Z31" s="34">
        <f t="shared" si="23"/>
        <v>0</v>
      </c>
      <c r="AA31" s="34">
        <f t="shared" si="23"/>
        <v>0</v>
      </c>
      <c r="AB31" s="34">
        <f t="shared" si="23"/>
        <v>2</v>
      </c>
      <c r="AC31" s="34">
        <f t="shared" si="23"/>
        <v>10</v>
      </c>
      <c r="AD31" s="34">
        <f t="shared" si="23"/>
        <v>0</v>
      </c>
      <c r="AE31" s="31">
        <f t="shared" si="23"/>
        <v>36</v>
      </c>
      <c r="AF31" s="31">
        <f t="shared" si="23"/>
        <v>46</v>
      </c>
    </row>
    <row r="32" spans="2:32" ht="23.1" customHeight="1" x14ac:dyDescent="0.25">
      <c r="B32" s="46" t="s">
        <v>59</v>
      </c>
      <c r="C32" s="51">
        <v>2</v>
      </c>
      <c r="D32" s="50">
        <v>2</v>
      </c>
      <c r="E32" s="51">
        <v>2</v>
      </c>
      <c r="F32" s="51">
        <v>5</v>
      </c>
      <c r="G32" s="51">
        <v>0</v>
      </c>
      <c r="H32" s="51">
        <v>1</v>
      </c>
      <c r="I32" s="51">
        <v>2</v>
      </c>
      <c r="J32" s="51">
        <v>0</v>
      </c>
      <c r="K32" s="51">
        <v>1</v>
      </c>
      <c r="L32" s="50">
        <v>1</v>
      </c>
      <c r="M32" s="51">
        <v>4</v>
      </c>
      <c r="N32" s="50">
        <v>0</v>
      </c>
      <c r="O32" s="15">
        <f t="shared" si="0"/>
        <v>16</v>
      </c>
      <c r="P32" s="15">
        <f t="shared" si="1"/>
        <v>20</v>
      </c>
      <c r="R32" s="33" t="s">
        <v>156</v>
      </c>
      <c r="S32" s="34">
        <f>SUM(C98:C101)</f>
        <v>7</v>
      </c>
      <c r="T32" s="34">
        <f t="shared" ref="T32:AF32" si="24">SUM(D98:D101)</f>
        <v>7</v>
      </c>
      <c r="U32" s="34">
        <f t="shared" si="24"/>
        <v>12</v>
      </c>
      <c r="V32" s="34">
        <f t="shared" si="24"/>
        <v>6</v>
      </c>
      <c r="W32" s="34">
        <f t="shared" si="24"/>
        <v>0</v>
      </c>
      <c r="X32" s="34">
        <f t="shared" si="24"/>
        <v>4</v>
      </c>
      <c r="Y32" s="34">
        <f t="shared" si="24"/>
        <v>6</v>
      </c>
      <c r="Z32" s="34">
        <f t="shared" si="24"/>
        <v>1</v>
      </c>
      <c r="AA32" s="34">
        <f t="shared" si="24"/>
        <v>0</v>
      </c>
      <c r="AB32" s="34">
        <f t="shared" si="24"/>
        <v>3</v>
      </c>
      <c r="AC32" s="34">
        <f t="shared" si="24"/>
        <v>15</v>
      </c>
      <c r="AD32" s="34">
        <f t="shared" si="24"/>
        <v>0</v>
      </c>
      <c r="AE32" s="31">
        <f t="shared" si="24"/>
        <v>46</v>
      </c>
      <c r="AF32" s="31">
        <f t="shared" si="24"/>
        <v>61</v>
      </c>
    </row>
    <row r="33" spans="2:32" ht="23.1" customHeight="1" x14ac:dyDescent="0.25">
      <c r="B33" s="45" t="s">
        <v>60</v>
      </c>
      <c r="C33" s="51">
        <v>2</v>
      </c>
      <c r="D33" s="50">
        <v>0</v>
      </c>
      <c r="E33" s="51">
        <v>1</v>
      </c>
      <c r="F33" s="51">
        <v>1</v>
      </c>
      <c r="G33" s="51">
        <v>0</v>
      </c>
      <c r="H33" s="51">
        <v>1</v>
      </c>
      <c r="I33" s="51">
        <v>0</v>
      </c>
      <c r="J33" s="51">
        <v>0</v>
      </c>
      <c r="K33" s="51">
        <v>0</v>
      </c>
      <c r="L33" s="50">
        <v>0</v>
      </c>
      <c r="M33" s="51">
        <v>2</v>
      </c>
      <c r="N33" s="50">
        <v>0</v>
      </c>
      <c r="O33" s="15">
        <f t="shared" si="0"/>
        <v>5</v>
      </c>
      <c r="P33" s="15">
        <f t="shared" si="1"/>
        <v>7</v>
      </c>
      <c r="R33" s="33" t="s">
        <v>157</v>
      </c>
      <c r="S33" s="34">
        <f>SUM(C102:C105)</f>
        <v>8</v>
      </c>
      <c r="T33" s="34">
        <f t="shared" ref="T33:AF33" si="25">SUM(D102:D105)</f>
        <v>10</v>
      </c>
      <c r="U33" s="34">
        <f t="shared" si="25"/>
        <v>15</v>
      </c>
      <c r="V33" s="34">
        <f t="shared" si="25"/>
        <v>6</v>
      </c>
      <c r="W33" s="34">
        <f t="shared" si="25"/>
        <v>0</v>
      </c>
      <c r="X33" s="34">
        <f t="shared" si="25"/>
        <v>3</v>
      </c>
      <c r="Y33" s="34">
        <f t="shared" si="25"/>
        <v>5</v>
      </c>
      <c r="Z33" s="34">
        <f t="shared" si="25"/>
        <v>1</v>
      </c>
      <c r="AA33" s="34">
        <f t="shared" si="25"/>
        <v>0</v>
      </c>
      <c r="AB33" s="34">
        <f t="shared" si="25"/>
        <v>5</v>
      </c>
      <c r="AC33" s="34">
        <f t="shared" si="25"/>
        <v>19</v>
      </c>
      <c r="AD33" s="34">
        <f t="shared" si="25"/>
        <v>0</v>
      </c>
      <c r="AE33" s="31">
        <f t="shared" si="25"/>
        <v>53</v>
      </c>
      <c r="AF33" s="31">
        <f t="shared" si="25"/>
        <v>72</v>
      </c>
    </row>
    <row r="34" spans="2:32" ht="23.1" customHeight="1" x14ac:dyDescent="0.25">
      <c r="B34" s="46" t="s">
        <v>61</v>
      </c>
      <c r="C34" s="51">
        <v>1</v>
      </c>
      <c r="D34" s="50">
        <v>1</v>
      </c>
      <c r="E34" s="51">
        <v>1</v>
      </c>
      <c r="F34" s="51">
        <v>1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0">
        <v>0</v>
      </c>
      <c r="M34" s="51">
        <v>2</v>
      </c>
      <c r="N34" s="50">
        <v>0</v>
      </c>
      <c r="O34" s="15">
        <f t="shared" si="0"/>
        <v>4</v>
      </c>
      <c r="P34" s="15">
        <f t="shared" si="1"/>
        <v>6</v>
      </c>
      <c r="R34" s="38" t="s">
        <v>90</v>
      </c>
      <c r="S34" s="39">
        <f t="shared" ref="S34:AF34" si="26">MAX(S10:S12)</f>
        <v>13</v>
      </c>
      <c r="T34" s="39">
        <f t="shared" si="26"/>
        <v>11</v>
      </c>
      <c r="U34" s="39">
        <f t="shared" si="26"/>
        <v>14</v>
      </c>
      <c r="V34" s="39">
        <f t="shared" si="26"/>
        <v>7</v>
      </c>
      <c r="W34" s="39">
        <f t="shared" si="26"/>
        <v>0</v>
      </c>
      <c r="X34" s="39">
        <f t="shared" si="26"/>
        <v>0</v>
      </c>
      <c r="Y34" s="39">
        <f t="shared" si="26"/>
        <v>6</v>
      </c>
      <c r="Z34" s="39">
        <f t="shared" si="26"/>
        <v>3</v>
      </c>
      <c r="AA34" s="39">
        <f t="shared" si="26"/>
        <v>1</v>
      </c>
      <c r="AB34" s="39">
        <f t="shared" si="26"/>
        <v>7</v>
      </c>
      <c r="AC34" s="39">
        <f t="shared" si="26"/>
        <v>11</v>
      </c>
      <c r="AD34" s="39">
        <f t="shared" si="26"/>
        <v>0</v>
      </c>
      <c r="AE34" s="40">
        <f t="shared" si="26"/>
        <v>51</v>
      </c>
      <c r="AF34" s="40">
        <f t="shared" si="26"/>
        <v>57</v>
      </c>
    </row>
    <row r="35" spans="2:32" ht="23.1" customHeight="1" x14ac:dyDescent="0.25">
      <c r="B35" s="46" t="s">
        <v>62</v>
      </c>
      <c r="C35" s="51">
        <v>0</v>
      </c>
      <c r="D35" s="50">
        <v>1</v>
      </c>
      <c r="E35" s="51">
        <v>1</v>
      </c>
      <c r="F35" s="51">
        <v>0</v>
      </c>
      <c r="G35" s="51">
        <v>0</v>
      </c>
      <c r="H35" s="51">
        <v>1</v>
      </c>
      <c r="I35" s="51">
        <v>3</v>
      </c>
      <c r="J35" s="51">
        <v>0</v>
      </c>
      <c r="K35" s="51">
        <v>0</v>
      </c>
      <c r="L35" s="50">
        <v>0</v>
      </c>
      <c r="M35" s="51">
        <v>1</v>
      </c>
      <c r="N35" s="50">
        <v>0</v>
      </c>
      <c r="O35" s="15">
        <f t="shared" si="0"/>
        <v>6</v>
      </c>
      <c r="P35" s="15">
        <f t="shared" si="1"/>
        <v>7</v>
      </c>
      <c r="R35" s="38" t="s">
        <v>91</v>
      </c>
      <c r="S35" s="39">
        <f t="shared" ref="S35:AF35" si="27">MAX(S13:S18)</f>
        <v>14</v>
      </c>
      <c r="T35" s="39">
        <f t="shared" si="27"/>
        <v>9</v>
      </c>
      <c r="U35" s="39">
        <f t="shared" si="27"/>
        <v>13</v>
      </c>
      <c r="V35" s="39">
        <f t="shared" si="27"/>
        <v>11</v>
      </c>
      <c r="W35" s="39">
        <f t="shared" si="27"/>
        <v>1</v>
      </c>
      <c r="X35" s="39">
        <f t="shared" si="27"/>
        <v>5</v>
      </c>
      <c r="Y35" s="39">
        <f t="shared" si="27"/>
        <v>6</v>
      </c>
      <c r="Z35" s="39">
        <f t="shared" si="27"/>
        <v>2</v>
      </c>
      <c r="AA35" s="39">
        <f t="shared" si="27"/>
        <v>1</v>
      </c>
      <c r="AB35" s="39">
        <f t="shared" si="27"/>
        <v>2</v>
      </c>
      <c r="AC35" s="39">
        <f t="shared" si="27"/>
        <v>22</v>
      </c>
      <c r="AD35" s="39">
        <f t="shared" si="27"/>
        <v>0</v>
      </c>
      <c r="AE35" s="40">
        <f t="shared" si="27"/>
        <v>54</v>
      </c>
      <c r="AF35" s="40">
        <f t="shared" si="27"/>
        <v>72</v>
      </c>
    </row>
    <row r="36" spans="2:32" ht="23.1" customHeight="1" x14ac:dyDescent="0.25">
      <c r="B36" s="46" t="s">
        <v>63</v>
      </c>
      <c r="C36" s="51">
        <v>2</v>
      </c>
      <c r="D36" s="50">
        <v>3</v>
      </c>
      <c r="E36" s="51">
        <v>4</v>
      </c>
      <c r="F36" s="51">
        <v>1</v>
      </c>
      <c r="G36" s="51">
        <v>0</v>
      </c>
      <c r="H36" s="51">
        <v>3</v>
      </c>
      <c r="I36" s="51">
        <v>0</v>
      </c>
      <c r="J36" s="51">
        <v>0</v>
      </c>
      <c r="K36" s="51">
        <v>0</v>
      </c>
      <c r="L36" s="50">
        <v>0</v>
      </c>
      <c r="M36" s="51">
        <v>3</v>
      </c>
      <c r="N36" s="50">
        <v>0</v>
      </c>
      <c r="O36" s="15">
        <f t="shared" si="0"/>
        <v>13</v>
      </c>
      <c r="P36" s="15">
        <f t="shared" si="1"/>
        <v>16</v>
      </c>
      <c r="R36" s="38" t="s">
        <v>92</v>
      </c>
      <c r="S36" s="39">
        <f t="shared" ref="S36:AF36" si="28">MAX(S19:S21)</f>
        <v>12</v>
      </c>
      <c r="T36" s="39">
        <f t="shared" si="28"/>
        <v>9</v>
      </c>
      <c r="U36" s="39">
        <f t="shared" si="28"/>
        <v>11</v>
      </c>
      <c r="V36" s="39">
        <f t="shared" si="28"/>
        <v>6</v>
      </c>
      <c r="W36" s="39">
        <f t="shared" si="28"/>
        <v>0</v>
      </c>
      <c r="X36" s="39">
        <f t="shared" si="28"/>
        <v>6</v>
      </c>
      <c r="Y36" s="39">
        <f t="shared" si="28"/>
        <v>7</v>
      </c>
      <c r="Z36" s="39">
        <f t="shared" si="28"/>
        <v>2</v>
      </c>
      <c r="AA36" s="39">
        <f t="shared" si="28"/>
        <v>0</v>
      </c>
      <c r="AB36" s="39">
        <f t="shared" si="28"/>
        <v>13</v>
      </c>
      <c r="AC36" s="39">
        <f t="shared" si="28"/>
        <v>25</v>
      </c>
      <c r="AD36" s="39">
        <f t="shared" si="28"/>
        <v>0</v>
      </c>
      <c r="AE36" s="40">
        <f t="shared" si="28"/>
        <v>57</v>
      </c>
      <c r="AF36" s="40">
        <f t="shared" si="28"/>
        <v>82</v>
      </c>
    </row>
    <row r="37" spans="2:32" ht="23.1" customHeight="1" x14ac:dyDescent="0.25">
      <c r="B37" s="45" t="s">
        <v>64</v>
      </c>
      <c r="C37" s="51">
        <v>5</v>
      </c>
      <c r="D37" s="50">
        <v>3</v>
      </c>
      <c r="E37" s="51">
        <v>3</v>
      </c>
      <c r="F37" s="51">
        <v>0</v>
      </c>
      <c r="G37" s="51">
        <v>1</v>
      </c>
      <c r="H37" s="51">
        <v>0</v>
      </c>
      <c r="I37" s="51">
        <v>0</v>
      </c>
      <c r="J37" s="51">
        <v>0</v>
      </c>
      <c r="K37" s="51">
        <v>0</v>
      </c>
      <c r="L37" s="50">
        <v>0</v>
      </c>
      <c r="M37" s="51">
        <v>2</v>
      </c>
      <c r="N37" s="50">
        <v>0</v>
      </c>
      <c r="O37" s="15">
        <f t="shared" si="0"/>
        <v>12</v>
      </c>
      <c r="P37" s="15">
        <f t="shared" si="1"/>
        <v>14</v>
      </c>
      <c r="R37" s="37" t="s">
        <v>85</v>
      </c>
      <c r="S37" s="35">
        <f t="shared" ref="S37:AF37" si="29">SUM(S10:S12)</f>
        <v>25</v>
      </c>
      <c r="T37" s="16">
        <f t="shared" si="29"/>
        <v>26</v>
      </c>
      <c r="U37" s="16">
        <f t="shared" si="29"/>
        <v>32</v>
      </c>
      <c r="V37" s="16">
        <f t="shared" si="29"/>
        <v>13</v>
      </c>
      <c r="W37" s="16">
        <f t="shared" si="29"/>
        <v>0</v>
      </c>
      <c r="X37" s="16">
        <f t="shared" si="29"/>
        <v>0</v>
      </c>
      <c r="Y37" s="16">
        <f t="shared" si="29"/>
        <v>14</v>
      </c>
      <c r="Z37" s="16">
        <f t="shared" si="29"/>
        <v>4</v>
      </c>
      <c r="AA37" s="16">
        <f t="shared" si="29"/>
        <v>1</v>
      </c>
      <c r="AB37" s="16">
        <f t="shared" si="29"/>
        <v>17</v>
      </c>
      <c r="AC37" s="16">
        <f t="shared" si="29"/>
        <v>23</v>
      </c>
      <c r="AD37" s="16">
        <f t="shared" si="29"/>
        <v>0</v>
      </c>
      <c r="AE37" s="32">
        <f t="shared" si="29"/>
        <v>132</v>
      </c>
      <c r="AF37" s="32">
        <f t="shared" si="29"/>
        <v>155</v>
      </c>
    </row>
    <row r="38" spans="2:32" ht="23.1" customHeight="1" x14ac:dyDescent="0.25">
      <c r="B38" s="46" t="s">
        <v>65</v>
      </c>
      <c r="C38" s="51">
        <v>0</v>
      </c>
      <c r="D38" s="50">
        <v>3</v>
      </c>
      <c r="E38" s="51">
        <v>3</v>
      </c>
      <c r="F38" s="51">
        <v>1</v>
      </c>
      <c r="G38" s="51">
        <v>0</v>
      </c>
      <c r="H38" s="51">
        <v>0</v>
      </c>
      <c r="I38" s="51">
        <v>1</v>
      </c>
      <c r="J38" s="51">
        <v>0</v>
      </c>
      <c r="K38" s="51">
        <v>0</v>
      </c>
      <c r="L38" s="50">
        <v>1</v>
      </c>
      <c r="M38" s="51">
        <v>3</v>
      </c>
      <c r="N38" s="50">
        <v>0</v>
      </c>
      <c r="O38" s="15">
        <f t="shared" si="0"/>
        <v>9</v>
      </c>
      <c r="P38" s="15">
        <f t="shared" si="1"/>
        <v>12</v>
      </c>
      <c r="R38" s="28" t="s">
        <v>86</v>
      </c>
      <c r="S38" s="16">
        <f t="shared" ref="S38:AF38" si="30">SUM(S13:S18)</f>
        <v>56</v>
      </c>
      <c r="T38" s="16">
        <f t="shared" si="30"/>
        <v>44</v>
      </c>
      <c r="U38" s="16">
        <f t="shared" si="30"/>
        <v>57</v>
      </c>
      <c r="V38" s="16">
        <f t="shared" si="30"/>
        <v>41</v>
      </c>
      <c r="W38" s="16">
        <f t="shared" si="30"/>
        <v>2</v>
      </c>
      <c r="X38" s="16">
        <f t="shared" si="30"/>
        <v>22</v>
      </c>
      <c r="Y38" s="16">
        <f t="shared" si="30"/>
        <v>22</v>
      </c>
      <c r="Z38" s="16">
        <f t="shared" si="30"/>
        <v>5</v>
      </c>
      <c r="AA38" s="16">
        <f t="shared" si="30"/>
        <v>1</v>
      </c>
      <c r="AB38" s="16">
        <f t="shared" si="30"/>
        <v>8</v>
      </c>
      <c r="AC38" s="16">
        <f t="shared" si="30"/>
        <v>85</v>
      </c>
      <c r="AD38" s="16">
        <f t="shared" si="30"/>
        <v>0</v>
      </c>
      <c r="AE38" s="32">
        <f t="shared" si="30"/>
        <v>258</v>
      </c>
      <c r="AF38" s="32">
        <f t="shared" si="30"/>
        <v>343</v>
      </c>
    </row>
    <row r="39" spans="2:32" ht="23.1" customHeight="1" x14ac:dyDescent="0.25">
      <c r="B39" s="46" t="s">
        <v>66</v>
      </c>
      <c r="C39" s="51">
        <v>3</v>
      </c>
      <c r="D39" s="50">
        <v>2</v>
      </c>
      <c r="E39" s="51">
        <v>3</v>
      </c>
      <c r="F39" s="51">
        <v>0</v>
      </c>
      <c r="G39" s="51">
        <v>0</v>
      </c>
      <c r="H39" s="51">
        <v>2</v>
      </c>
      <c r="I39" s="51">
        <v>1</v>
      </c>
      <c r="J39" s="51">
        <v>0</v>
      </c>
      <c r="K39" s="51">
        <v>0</v>
      </c>
      <c r="L39" s="50">
        <v>0</v>
      </c>
      <c r="M39" s="51">
        <v>4</v>
      </c>
      <c r="N39" s="50">
        <v>0</v>
      </c>
      <c r="O39" s="15">
        <f t="shared" si="0"/>
        <v>11</v>
      </c>
      <c r="P39" s="15">
        <f t="shared" si="1"/>
        <v>15</v>
      </c>
      <c r="R39" s="29" t="s">
        <v>87</v>
      </c>
      <c r="S39" s="16">
        <f t="shared" ref="S39:AF39" si="31">SUM(S19:S21)</f>
        <v>29</v>
      </c>
      <c r="T39" s="16">
        <f t="shared" si="31"/>
        <v>24</v>
      </c>
      <c r="U39" s="16">
        <f t="shared" si="31"/>
        <v>29</v>
      </c>
      <c r="V39" s="16">
        <f t="shared" si="31"/>
        <v>10</v>
      </c>
      <c r="W39" s="16">
        <f t="shared" si="31"/>
        <v>0</v>
      </c>
      <c r="X39" s="16">
        <f t="shared" si="31"/>
        <v>15</v>
      </c>
      <c r="Y39" s="16">
        <f t="shared" si="31"/>
        <v>15</v>
      </c>
      <c r="Z39" s="16">
        <f t="shared" si="31"/>
        <v>3</v>
      </c>
      <c r="AA39" s="16">
        <f t="shared" si="31"/>
        <v>0</v>
      </c>
      <c r="AB39" s="16">
        <f t="shared" si="31"/>
        <v>26</v>
      </c>
      <c r="AC39" s="16">
        <f t="shared" si="31"/>
        <v>54</v>
      </c>
      <c r="AD39" s="16">
        <f t="shared" si="31"/>
        <v>0</v>
      </c>
      <c r="AE39" s="32">
        <f t="shared" si="31"/>
        <v>151</v>
      </c>
      <c r="AF39" s="32">
        <f t="shared" si="31"/>
        <v>205</v>
      </c>
    </row>
    <row r="40" spans="2:32" ht="23.1" customHeight="1" x14ac:dyDescent="0.25">
      <c r="B40" s="46" t="s">
        <v>67</v>
      </c>
      <c r="C40" s="51">
        <v>1</v>
      </c>
      <c r="D40" s="50">
        <v>1</v>
      </c>
      <c r="E40" s="51">
        <v>1</v>
      </c>
      <c r="F40" s="51">
        <v>1</v>
      </c>
      <c r="G40" s="51">
        <v>0</v>
      </c>
      <c r="H40" s="51">
        <v>1</v>
      </c>
      <c r="I40" s="51">
        <v>0</v>
      </c>
      <c r="J40" s="51">
        <v>0</v>
      </c>
      <c r="K40" s="51">
        <v>0</v>
      </c>
      <c r="L40" s="50">
        <v>0</v>
      </c>
      <c r="M40" s="51">
        <v>6</v>
      </c>
      <c r="N40" s="50">
        <v>0</v>
      </c>
      <c r="O40" s="15">
        <f t="shared" si="0"/>
        <v>5</v>
      </c>
      <c r="P40" s="15">
        <f t="shared" si="1"/>
        <v>11</v>
      </c>
      <c r="R40" s="5" t="s">
        <v>17</v>
      </c>
      <c r="S40" s="16">
        <f t="shared" ref="S40:AF40" si="32">SUM(S10:S21)</f>
        <v>110</v>
      </c>
      <c r="T40" s="16">
        <f t="shared" si="32"/>
        <v>94</v>
      </c>
      <c r="U40" s="16">
        <f t="shared" si="32"/>
        <v>118</v>
      </c>
      <c r="V40" s="16">
        <f t="shared" si="32"/>
        <v>64</v>
      </c>
      <c r="W40" s="16">
        <f t="shared" si="32"/>
        <v>2</v>
      </c>
      <c r="X40" s="16">
        <f t="shared" si="32"/>
        <v>37</v>
      </c>
      <c r="Y40" s="16">
        <f t="shared" si="32"/>
        <v>51</v>
      </c>
      <c r="Z40" s="16">
        <f t="shared" si="32"/>
        <v>12</v>
      </c>
      <c r="AA40" s="16">
        <f t="shared" si="32"/>
        <v>2</v>
      </c>
      <c r="AB40" s="16">
        <f t="shared" si="32"/>
        <v>51</v>
      </c>
      <c r="AC40" s="16">
        <f t="shared" si="32"/>
        <v>162</v>
      </c>
      <c r="AD40" s="16">
        <f t="shared" si="32"/>
        <v>0</v>
      </c>
      <c r="AE40" s="32">
        <f t="shared" si="32"/>
        <v>541</v>
      </c>
      <c r="AF40" s="32">
        <f t="shared" si="32"/>
        <v>703</v>
      </c>
    </row>
    <row r="41" spans="2:32" ht="23.1" customHeight="1" x14ac:dyDescent="0.25">
      <c r="B41" s="45" t="s">
        <v>68</v>
      </c>
      <c r="C41" s="51">
        <v>1</v>
      </c>
      <c r="D41" s="50">
        <v>2</v>
      </c>
      <c r="E41" s="51">
        <v>2</v>
      </c>
      <c r="F41" s="51">
        <v>1</v>
      </c>
      <c r="G41" s="51">
        <v>0</v>
      </c>
      <c r="H41" s="51">
        <v>1</v>
      </c>
      <c r="I41" s="51">
        <v>2</v>
      </c>
      <c r="J41" s="51">
        <v>0</v>
      </c>
      <c r="K41" s="51">
        <v>0</v>
      </c>
      <c r="L41" s="50">
        <v>0</v>
      </c>
      <c r="M41" s="51">
        <v>1</v>
      </c>
      <c r="N41" s="50">
        <v>0</v>
      </c>
      <c r="O41" s="15">
        <f t="shared" si="0"/>
        <v>9</v>
      </c>
      <c r="P41" s="15">
        <f t="shared" si="1"/>
        <v>10</v>
      </c>
      <c r="R41" s="5" t="s">
        <v>159</v>
      </c>
      <c r="S41" s="16">
        <f>SUM(S10:S33)</f>
        <v>175</v>
      </c>
      <c r="T41" s="16">
        <f t="shared" ref="T41:AF41" si="33">SUM(T10:T33)</f>
        <v>160</v>
      </c>
      <c r="U41" s="16">
        <f t="shared" si="33"/>
        <v>231</v>
      </c>
      <c r="V41" s="16">
        <f t="shared" si="33"/>
        <v>131</v>
      </c>
      <c r="W41" s="16">
        <f t="shared" si="33"/>
        <v>2</v>
      </c>
      <c r="X41" s="16">
        <f t="shared" si="33"/>
        <v>62</v>
      </c>
      <c r="Y41" s="16">
        <f t="shared" si="33"/>
        <v>112</v>
      </c>
      <c r="Z41" s="16">
        <f t="shared" si="33"/>
        <v>17</v>
      </c>
      <c r="AA41" s="16">
        <f t="shared" si="33"/>
        <v>2</v>
      </c>
      <c r="AB41" s="16">
        <f t="shared" si="33"/>
        <v>85</v>
      </c>
      <c r="AC41" s="16">
        <f t="shared" si="33"/>
        <v>304</v>
      </c>
      <c r="AD41" s="16">
        <f t="shared" si="33"/>
        <v>0</v>
      </c>
      <c r="AE41" s="32">
        <f t="shared" si="33"/>
        <v>977</v>
      </c>
      <c r="AF41" s="32">
        <f t="shared" si="33"/>
        <v>1281</v>
      </c>
    </row>
    <row r="42" spans="2:32" ht="23.1" customHeight="1" x14ac:dyDescent="0.25">
      <c r="B42" s="46" t="s">
        <v>69</v>
      </c>
      <c r="C42" s="51">
        <v>7</v>
      </c>
      <c r="D42" s="50">
        <v>2</v>
      </c>
      <c r="E42" s="51">
        <v>3</v>
      </c>
      <c r="F42" s="51">
        <v>3</v>
      </c>
      <c r="G42" s="51">
        <v>0</v>
      </c>
      <c r="H42" s="51">
        <v>0</v>
      </c>
      <c r="I42" s="51">
        <v>1</v>
      </c>
      <c r="J42" s="51">
        <v>0</v>
      </c>
      <c r="K42" s="51">
        <v>0</v>
      </c>
      <c r="L42" s="50">
        <v>0</v>
      </c>
      <c r="M42" s="51">
        <v>4</v>
      </c>
      <c r="N42" s="50">
        <v>0</v>
      </c>
      <c r="O42" s="15">
        <f t="shared" si="0"/>
        <v>16</v>
      </c>
      <c r="P42" s="15">
        <f t="shared" si="1"/>
        <v>20</v>
      </c>
      <c r="R42" s="5" t="s">
        <v>160</v>
      </c>
      <c r="S42" s="48">
        <f>S41/S40</f>
        <v>1.5909090909090908</v>
      </c>
      <c r="T42" s="48">
        <f t="shared" ref="T42:AF42" si="34">T41/T40</f>
        <v>1.7021276595744681</v>
      </c>
      <c r="U42" s="48">
        <f t="shared" si="34"/>
        <v>1.9576271186440677</v>
      </c>
      <c r="V42" s="48">
        <f t="shared" si="34"/>
        <v>2.046875</v>
      </c>
      <c r="W42" s="48">
        <f t="shared" si="34"/>
        <v>1</v>
      </c>
      <c r="X42" s="48">
        <f t="shared" si="34"/>
        <v>1.6756756756756757</v>
      </c>
      <c r="Y42" s="48">
        <f t="shared" si="34"/>
        <v>2.1960784313725492</v>
      </c>
      <c r="Z42" s="48">
        <f t="shared" si="34"/>
        <v>1.4166666666666667</v>
      </c>
      <c r="AA42" s="48">
        <f t="shared" si="34"/>
        <v>1</v>
      </c>
      <c r="AB42" s="48">
        <f t="shared" si="34"/>
        <v>1.6666666666666667</v>
      </c>
      <c r="AC42" s="48">
        <f t="shared" si="34"/>
        <v>1.8765432098765431</v>
      </c>
      <c r="AD42" s="48" t="e">
        <f t="shared" si="34"/>
        <v>#DIV/0!</v>
      </c>
      <c r="AE42" s="48">
        <f t="shared" si="34"/>
        <v>1.8059149722735675</v>
      </c>
      <c r="AF42" s="48">
        <f t="shared" si="34"/>
        <v>1.8221906116642959</v>
      </c>
    </row>
    <row r="43" spans="2:32" ht="23.1" customHeight="1" x14ac:dyDescent="0.25">
      <c r="B43" s="45" t="s">
        <v>70</v>
      </c>
      <c r="C43" s="51">
        <v>5</v>
      </c>
      <c r="D43" s="50">
        <v>1</v>
      </c>
      <c r="E43" s="51">
        <v>2</v>
      </c>
      <c r="F43" s="51">
        <v>1</v>
      </c>
      <c r="G43" s="51">
        <v>0</v>
      </c>
      <c r="H43" s="51">
        <v>1</v>
      </c>
      <c r="I43" s="51">
        <v>0</v>
      </c>
      <c r="J43" s="51">
        <v>0</v>
      </c>
      <c r="K43" s="51">
        <v>0</v>
      </c>
      <c r="L43" s="50">
        <v>0</v>
      </c>
      <c r="M43" s="51">
        <v>3</v>
      </c>
      <c r="N43" s="50">
        <v>0</v>
      </c>
      <c r="O43" s="15">
        <f t="shared" si="0"/>
        <v>10</v>
      </c>
      <c r="P43" s="15">
        <f t="shared" si="1"/>
        <v>13</v>
      </c>
    </row>
    <row r="44" spans="2:32" ht="23.1" customHeight="1" x14ac:dyDescent="0.25">
      <c r="B44" s="47" t="s">
        <v>71</v>
      </c>
      <c r="C44" s="51">
        <v>1</v>
      </c>
      <c r="D44" s="50">
        <v>3</v>
      </c>
      <c r="E44" s="51">
        <v>3</v>
      </c>
      <c r="F44" s="51">
        <v>1</v>
      </c>
      <c r="G44" s="51">
        <v>0</v>
      </c>
      <c r="H44" s="51">
        <v>4</v>
      </c>
      <c r="I44" s="51">
        <v>0</v>
      </c>
      <c r="J44" s="51">
        <v>1</v>
      </c>
      <c r="K44" s="51">
        <v>0</v>
      </c>
      <c r="L44" s="50">
        <v>1</v>
      </c>
      <c r="M44" s="51">
        <v>9</v>
      </c>
      <c r="N44" s="50">
        <v>0</v>
      </c>
      <c r="O44" s="15">
        <f t="shared" si="0"/>
        <v>14</v>
      </c>
      <c r="P44" s="15">
        <f t="shared" si="1"/>
        <v>23</v>
      </c>
    </row>
    <row r="45" spans="2:32" ht="23.1" customHeight="1" x14ac:dyDescent="0.25">
      <c r="B45" s="45" t="s">
        <v>72</v>
      </c>
      <c r="C45" s="51">
        <v>1</v>
      </c>
      <c r="D45" s="50">
        <v>1</v>
      </c>
      <c r="E45" s="51">
        <v>2</v>
      </c>
      <c r="F45" s="51">
        <v>4</v>
      </c>
      <c r="G45" s="51">
        <v>0</v>
      </c>
      <c r="H45" s="51">
        <v>0</v>
      </c>
      <c r="I45" s="51">
        <v>1</v>
      </c>
      <c r="J45" s="51">
        <v>0</v>
      </c>
      <c r="K45" s="51">
        <v>0</v>
      </c>
      <c r="L45" s="50">
        <v>1</v>
      </c>
      <c r="M45" s="51">
        <v>6</v>
      </c>
      <c r="N45" s="50">
        <v>0</v>
      </c>
      <c r="O45" s="15">
        <f t="shared" si="0"/>
        <v>10</v>
      </c>
      <c r="P45" s="15">
        <f t="shared" si="1"/>
        <v>16</v>
      </c>
    </row>
    <row r="46" spans="2:32" ht="23.1" customHeight="1" x14ac:dyDescent="0.25">
      <c r="B46" s="46" t="s">
        <v>73</v>
      </c>
      <c r="C46" s="51">
        <v>0</v>
      </c>
      <c r="D46" s="50">
        <v>2</v>
      </c>
      <c r="E46" s="51">
        <v>3</v>
      </c>
      <c r="F46" s="51">
        <v>0</v>
      </c>
      <c r="G46" s="51">
        <v>0</v>
      </c>
      <c r="H46" s="51">
        <v>1</v>
      </c>
      <c r="I46" s="51">
        <v>1</v>
      </c>
      <c r="J46" s="51">
        <v>0</v>
      </c>
      <c r="K46" s="51">
        <v>0</v>
      </c>
      <c r="L46" s="50">
        <v>1</v>
      </c>
      <c r="M46" s="51">
        <v>3</v>
      </c>
      <c r="N46" s="50">
        <v>0</v>
      </c>
      <c r="O46" s="15">
        <f t="shared" si="0"/>
        <v>8</v>
      </c>
      <c r="P46" s="15">
        <f t="shared" si="1"/>
        <v>11</v>
      </c>
      <c r="R46" s="8"/>
      <c r="T46"/>
    </row>
    <row r="47" spans="2:32" ht="23.1" customHeight="1" x14ac:dyDescent="0.25">
      <c r="B47" s="46" t="s">
        <v>74</v>
      </c>
      <c r="C47" s="51">
        <v>1</v>
      </c>
      <c r="D47" s="50">
        <v>3</v>
      </c>
      <c r="E47" s="51">
        <v>3</v>
      </c>
      <c r="F47" s="51">
        <v>1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0">
        <v>0</v>
      </c>
      <c r="M47" s="51">
        <v>4</v>
      </c>
      <c r="N47" s="50">
        <v>0</v>
      </c>
      <c r="O47" s="15">
        <f t="shared" si="0"/>
        <v>8</v>
      </c>
      <c r="P47" s="15">
        <f t="shared" si="1"/>
        <v>12</v>
      </c>
      <c r="R47" s="8"/>
      <c r="T47"/>
    </row>
    <row r="48" spans="2:32" ht="23.1" customHeight="1" x14ac:dyDescent="0.25">
      <c r="B48" s="46" t="s">
        <v>75</v>
      </c>
      <c r="C48" s="51">
        <v>3</v>
      </c>
      <c r="D48" s="50">
        <v>3</v>
      </c>
      <c r="E48" s="51">
        <v>3</v>
      </c>
      <c r="F48" s="51">
        <v>0</v>
      </c>
      <c r="G48" s="51">
        <v>0</v>
      </c>
      <c r="H48" s="51">
        <v>3</v>
      </c>
      <c r="I48" s="51">
        <v>0</v>
      </c>
      <c r="J48" s="51">
        <v>0</v>
      </c>
      <c r="K48" s="51">
        <v>0</v>
      </c>
      <c r="L48" s="50">
        <v>4</v>
      </c>
      <c r="M48" s="51">
        <v>2</v>
      </c>
      <c r="N48" s="50">
        <v>0</v>
      </c>
      <c r="O48" s="15">
        <f t="shared" si="0"/>
        <v>16</v>
      </c>
      <c r="P48" s="15">
        <f t="shared" si="1"/>
        <v>18</v>
      </c>
      <c r="R48" s="8"/>
      <c r="T48"/>
    </row>
    <row r="49" spans="2:20" ht="23.1" customHeight="1" x14ac:dyDescent="0.25">
      <c r="B49" s="45" t="s">
        <v>76</v>
      </c>
      <c r="C49" s="51">
        <v>1</v>
      </c>
      <c r="D49" s="50">
        <v>1</v>
      </c>
      <c r="E49" s="51">
        <v>2</v>
      </c>
      <c r="F49" s="51">
        <v>0</v>
      </c>
      <c r="G49" s="51">
        <v>0</v>
      </c>
      <c r="H49" s="51">
        <v>0</v>
      </c>
      <c r="I49" s="51">
        <v>1</v>
      </c>
      <c r="J49" s="51">
        <v>0</v>
      </c>
      <c r="K49" s="51">
        <v>0</v>
      </c>
      <c r="L49" s="50">
        <v>0</v>
      </c>
      <c r="M49" s="51">
        <v>5</v>
      </c>
      <c r="N49" s="50">
        <v>0</v>
      </c>
      <c r="O49" s="15">
        <f t="shared" si="0"/>
        <v>5</v>
      </c>
      <c r="P49" s="15">
        <f t="shared" si="1"/>
        <v>10</v>
      </c>
      <c r="R49" s="8"/>
      <c r="T49"/>
    </row>
    <row r="50" spans="2:20" ht="23.1" customHeight="1" x14ac:dyDescent="0.25">
      <c r="B50" s="46" t="s">
        <v>77</v>
      </c>
      <c r="C50" s="51">
        <v>5</v>
      </c>
      <c r="D50" s="50">
        <v>2</v>
      </c>
      <c r="E50" s="51">
        <v>3</v>
      </c>
      <c r="F50" s="51">
        <v>2</v>
      </c>
      <c r="G50" s="51">
        <v>0</v>
      </c>
      <c r="H50" s="51">
        <v>2</v>
      </c>
      <c r="I50" s="51">
        <v>0</v>
      </c>
      <c r="J50" s="51">
        <v>0</v>
      </c>
      <c r="K50" s="51">
        <v>0</v>
      </c>
      <c r="L50" s="50">
        <v>0</v>
      </c>
      <c r="M50" s="51">
        <v>1</v>
      </c>
      <c r="N50" s="50">
        <v>0</v>
      </c>
      <c r="O50" s="15">
        <f t="shared" si="0"/>
        <v>14</v>
      </c>
      <c r="P50" s="15">
        <f t="shared" si="1"/>
        <v>15</v>
      </c>
      <c r="R50" s="8"/>
      <c r="T50"/>
    </row>
    <row r="51" spans="2:20" ht="23.1" customHeight="1" x14ac:dyDescent="0.25">
      <c r="B51" s="46" t="s">
        <v>78</v>
      </c>
      <c r="C51" s="51">
        <v>4</v>
      </c>
      <c r="D51" s="50">
        <v>2</v>
      </c>
      <c r="E51" s="51">
        <v>2</v>
      </c>
      <c r="F51" s="51">
        <v>1</v>
      </c>
      <c r="G51" s="51">
        <v>0</v>
      </c>
      <c r="H51" s="51">
        <v>0</v>
      </c>
      <c r="I51" s="51">
        <v>1</v>
      </c>
      <c r="J51" s="51">
        <v>0</v>
      </c>
      <c r="K51" s="51">
        <v>0</v>
      </c>
      <c r="L51" s="50">
        <v>3</v>
      </c>
      <c r="M51" s="51">
        <v>4</v>
      </c>
      <c r="N51" s="50">
        <v>0</v>
      </c>
      <c r="O51" s="15">
        <f t="shared" si="0"/>
        <v>13</v>
      </c>
      <c r="P51" s="15">
        <f t="shared" si="1"/>
        <v>17</v>
      </c>
      <c r="R51" s="8"/>
      <c r="T51"/>
    </row>
    <row r="52" spans="2:20" ht="23.1" customHeight="1" x14ac:dyDescent="0.25">
      <c r="B52" s="46" t="s">
        <v>79</v>
      </c>
      <c r="C52" s="51">
        <v>1</v>
      </c>
      <c r="D52" s="50">
        <v>3</v>
      </c>
      <c r="E52" s="51">
        <v>3</v>
      </c>
      <c r="F52" s="51">
        <v>1</v>
      </c>
      <c r="G52" s="51">
        <v>0</v>
      </c>
      <c r="H52" s="51">
        <v>1</v>
      </c>
      <c r="I52" s="51">
        <v>3</v>
      </c>
      <c r="J52" s="51">
        <v>2</v>
      </c>
      <c r="K52" s="51">
        <v>0</v>
      </c>
      <c r="L52" s="50">
        <v>4</v>
      </c>
      <c r="M52" s="51">
        <v>3</v>
      </c>
      <c r="N52" s="50">
        <v>0</v>
      </c>
      <c r="O52" s="15">
        <f t="shared" si="0"/>
        <v>18</v>
      </c>
      <c r="P52" s="15">
        <f t="shared" si="1"/>
        <v>21</v>
      </c>
      <c r="R52" s="8"/>
      <c r="T52"/>
    </row>
    <row r="53" spans="2:20" ht="23.1" customHeight="1" x14ac:dyDescent="0.25">
      <c r="B53" s="45" t="s">
        <v>80</v>
      </c>
      <c r="C53" s="51">
        <v>2</v>
      </c>
      <c r="D53" s="50">
        <v>1</v>
      </c>
      <c r="E53" s="51">
        <v>2</v>
      </c>
      <c r="F53" s="51">
        <v>2</v>
      </c>
      <c r="G53" s="51">
        <v>0</v>
      </c>
      <c r="H53" s="51">
        <v>2</v>
      </c>
      <c r="I53" s="51">
        <v>2</v>
      </c>
      <c r="J53" s="51">
        <v>0</v>
      </c>
      <c r="K53" s="51">
        <v>0</v>
      </c>
      <c r="L53" s="50">
        <v>1</v>
      </c>
      <c r="M53" s="51">
        <v>7</v>
      </c>
      <c r="N53" s="50">
        <v>0</v>
      </c>
      <c r="O53" s="15">
        <f t="shared" si="0"/>
        <v>12</v>
      </c>
      <c r="P53" s="15">
        <f t="shared" si="1"/>
        <v>19</v>
      </c>
      <c r="R53" s="8"/>
      <c r="T53"/>
    </row>
    <row r="54" spans="2:20" ht="23.1" customHeight="1" x14ac:dyDescent="0.25">
      <c r="B54" s="45" t="s">
        <v>81</v>
      </c>
      <c r="C54" s="51">
        <v>9</v>
      </c>
      <c r="D54" s="50">
        <v>3</v>
      </c>
      <c r="E54" s="51">
        <v>4</v>
      </c>
      <c r="F54" s="51">
        <v>2</v>
      </c>
      <c r="G54" s="51">
        <v>0</v>
      </c>
      <c r="H54" s="51">
        <v>0</v>
      </c>
      <c r="I54" s="51">
        <v>1</v>
      </c>
      <c r="J54" s="51">
        <v>0</v>
      </c>
      <c r="K54" s="51">
        <v>0</v>
      </c>
      <c r="L54" s="50">
        <v>6</v>
      </c>
      <c r="M54" s="51">
        <v>7</v>
      </c>
      <c r="N54" s="50">
        <v>0</v>
      </c>
      <c r="O54" s="15">
        <f t="shared" si="0"/>
        <v>25</v>
      </c>
      <c r="P54" s="15">
        <f t="shared" si="1"/>
        <v>32</v>
      </c>
      <c r="R54" s="8"/>
      <c r="T54"/>
    </row>
    <row r="55" spans="2:20" ht="23.1" customHeight="1" x14ac:dyDescent="0.25">
      <c r="B55" s="45" t="s">
        <v>82</v>
      </c>
      <c r="C55" s="51">
        <v>0</v>
      </c>
      <c r="D55" s="50">
        <v>2</v>
      </c>
      <c r="E55" s="51">
        <v>2</v>
      </c>
      <c r="F55" s="51">
        <v>1</v>
      </c>
      <c r="G55" s="51">
        <v>0</v>
      </c>
      <c r="H55" s="51">
        <v>4</v>
      </c>
      <c r="I55" s="51">
        <v>1</v>
      </c>
      <c r="J55" s="51">
        <v>0</v>
      </c>
      <c r="K55" s="51">
        <v>0</v>
      </c>
      <c r="L55" s="50">
        <v>1</v>
      </c>
      <c r="M55" s="51">
        <v>8</v>
      </c>
      <c r="N55" s="50">
        <v>0</v>
      </c>
      <c r="O55" s="15">
        <f t="shared" si="0"/>
        <v>11</v>
      </c>
      <c r="P55" s="15">
        <f t="shared" si="1"/>
        <v>19</v>
      </c>
      <c r="R55" s="8"/>
      <c r="T55"/>
    </row>
    <row r="56" spans="2:20" ht="23.1" customHeight="1" x14ac:dyDescent="0.25">
      <c r="B56" s="45" t="s">
        <v>83</v>
      </c>
      <c r="C56" s="51">
        <v>3</v>
      </c>
      <c r="D56" s="50">
        <v>1</v>
      </c>
      <c r="E56" s="51">
        <v>1</v>
      </c>
      <c r="F56" s="51">
        <v>0</v>
      </c>
      <c r="G56" s="51">
        <v>0</v>
      </c>
      <c r="H56" s="51">
        <v>1</v>
      </c>
      <c r="I56" s="51">
        <v>2</v>
      </c>
      <c r="J56" s="51">
        <v>1</v>
      </c>
      <c r="K56" s="51">
        <v>0</v>
      </c>
      <c r="L56" s="50">
        <v>4</v>
      </c>
      <c r="M56" s="51">
        <v>5</v>
      </c>
      <c r="N56" s="50">
        <v>0</v>
      </c>
      <c r="O56" s="15">
        <f t="shared" si="0"/>
        <v>13</v>
      </c>
      <c r="P56" s="15">
        <f t="shared" si="1"/>
        <v>18</v>
      </c>
      <c r="R56" s="8"/>
      <c r="T56"/>
    </row>
    <row r="57" spans="2:20" ht="23.1" customHeight="1" x14ac:dyDescent="0.25">
      <c r="B57" s="45" t="s">
        <v>84</v>
      </c>
      <c r="C57" s="51">
        <v>0</v>
      </c>
      <c r="D57" s="50">
        <v>1</v>
      </c>
      <c r="E57" s="51">
        <v>1</v>
      </c>
      <c r="F57" s="51">
        <v>0</v>
      </c>
      <c r="G57" s="51">
        <v>0</v>
      </c>
      <c r="H57" s="51">
        <v>1</v>
      </c>
      <c r="I57" s="51">
        <v>3</v>
      </c>
      <c r="J57" s="51">
        <v>0</v>
      </c>
      <c r="K57" s="51">
        <v>0</v>
      </c>
      <c r="L57" s="50">
        <v>2</v>
      </c>
      <c r="M57" s="51">
        <v>5</v>
      </c>
      <c r="N57" s="50">
        <v>0</v>
      </c>
      <c r="O57" s="15">
        <f t="shared" si="0"/>
        <v>8</v>
      </c>
      <c r="P57" s="15">
        <f t="shared" si="1"/>
        <v>13</v>
      </c>
      <c r="R57" s="8"/>
      <c r="T57"/>
    </row>
    <row r="58" spans="2:20" ht="23.1" customHeight="1" x14ac:dyDescent="0.25">
      <c r="B58" s="45" t="s">
        <v>99</v>
      </c>
      <c r="C58" s="51">
        <v>1</v>
      </c>
      <c r="D58" s="51">
        <v>0</v>
      </c>
      <c r="E58" s="51">
        <v>1</v>
      </c>
      <c r="F58" s="51">
        <v>1</v>
      </c>
      <c r="G58" s="51">
        <v>0</v>
      </c>
      <c r="H58" s="51">
        <v>0</v>
      </c>
      <c r="I58" s="51">
        <v>2</v>
      </c>
      <c r="J58" s="51">
        <v>0</v>
      </c>
      <c r="K58" s="51">
        <v>0</v>
      </c>
      <c r="L58" s="51">
        <v>3</v>
      </c>
      <c r="M58" s="51">
        <v>2</v>
      </c>
      <c r="N58" s="51">
        <v>0</v>
      </c>
      <c r="O58" s="15">
        <f t="shared" si="0"/>
        <v>8</v>
      </c>
      <c r="P58" s="15">
        <f t="shared" si="1"/>
        <v>10</v>
      </c>
      <c r="R58" s="8"/>
      <c r="T58"/>
    </row>
    <row r="59" spans="2:20" ht="23.1" customHeight="1" x14ac:dyDescent="0.25">
      <c r="B59" s="45" t="s">
        <v>100</v>
      </c>
      <c r="C59" s="51">
        <v>1</v>
      </c>
      <c r="D59" s="51">
        <v>1</v>
      </c>
      <c r="E59" s="51">
        <v>2</v>
      </c>
      <c r="F59" s="51">
        <v>1</v>
      </c>
      <c r="G59" s="51">
        <v>0</v>
      </c>
      <c r="H59" s="51">
        <v>0</v>
      </c>
      <c r="I59" s="51">
        <v>2</v>
      </c>
      <c r="J59" s="51">
        <v>1</v>
      </c>
      <c r="K59" s="51">
        <v>0</v>
      </c>
      <c r="L59" s="51">
        <v>1</v>
      </c>
      <c r="M59" s="51">
        <v>1</v>
      </c>
      <c r="N59" s="51">
        <v>0</v>
      </c>
      <c r="O59" s="15">
        <f t="shared" si="0"/>
        <v>9</v>
      </c>
      <c r="P59" s="15">
        <f t="shared" si="1"/>
        <v>10</v>
      </c>
      <c r="R59" s="8"/>
      <c r="T59"/>
    </row>
    <row r="60" spans="2:20" ht="23.1" customHeight="1" x14ac:dyDescent="0.25">
      <c r="B60" s="45" t="s">
        <v>101</v>
      </c>
      <c r="C60" s="51">
        <v>1</v>
      </c>
      <c r="D60" s="51">
        <v>0</v>
      </c>
      <c r="E60" s="51">
        <v>2</v>
      </c>
      <c r="F60" s="51">
        <v>1</v>
      </c>
      <c r="G60" s="51">
        <v>0</v>
      </c>
      <c r="H60" s="51">
        <v>0</v>
      </c>
      <c r="I60" s="51">
        <v>2</v>
      </c>
      <c r="J60" s="51">
        <v>0</v>
      </c>
      <c r="K60" s="51">
        <v>0</v>
      </c>
      <c r="L60" s="51">
        <v>2</v>
      </c>
      <c r="M60" s="51">
        <v>3</v>
      </c>
      <c r="N60" s="51">
        <v>0</v>
      </c>
      <c r="O60" s="15">
        <f t="shared" si="0"/>
        <v>8</v>
      </c>
      <c r="P60" s="15">
        <f t="shared" si="1"/>
        <v>11</v>
      </c>
      <c r="R60" s="8"/>
      <c r="T60"/>
    </row>
    <row r="61" spans="2:20" ht="23.1" customHeight="1" x14ac:dyDescent="0.25">
      <c r="B61" s="45" t="s">
        <v>102</v>
      </c>
      <c r="C61" s="51">
        <v>1</v>
      </c>
      <c r="D61" s="51">
        <v>1</v>
      </c>
      <c r="E61" s="51">
        <v>2</v>
      </c>
      <c r="F61" s="51">
        <v>1</v>
      </c>
      <c r="G61" s="51">
        <v>0</v>
      </c>
      <c r="H61" s="51">
        <v>0</v>
      </c>
      <c r="I61" s="51">
        <v>2</v>
      </c>
      <c r="J61" s="51">
        <v>0</v>
      </c>
      <c r="K61" s="51">
        <v>0</v>
      </c>
      <c r="L61" s="51">
        <v>3</v>
      </c>
      <c r="M61" s="51">
        <v>3</v>
      </c>
      <c r="N61" s="51">
        <v>0</v>
      </c>
      <c r="O61" s="15">
        <f t="shared" si="0"/>
        <v>10</v>
      </c>
      <c r="P61" s="15">
        <f t="shared" si="1"/>
        <v>13</v>
      </c>
      <c r="R61" s="8"/>
      <c r="T61"/>
    </row>
    <row r="62" spans="2:20" ht="23.1" customHeight="1" x14ac:dyDescent="0.25">
      <c r="B62" s="45" t="s">
        <v>107</v>
      </c>
      <c r="C62" s="51">
        <v>1</v>
      </c>
      <c r="D62" s="51">
        <v>1</v>
      </c>
      <c r="E62" s="51">
        <v>2</v>
      </c>
      <c r="F62" s="51">
        <v>1</v>
      </c>
      <c r="G62" s="51">
        <v>0</v>
      </c>
      <c r="H62" s="51">
        <v>0</v>
      </c>
      <c r="I62" s="51">
        <v>3</v>
      </c>
      <c r="J62" s="51">
        <v>1</v>
      </c>
      <c r="K62" s="51">
        <v>0</v>
      </c>
      <c r="L62" s="51">
        <v>1</v>
      </c>
      <c r="M62" s="51">
        <v>3</v>
      </c>
      <c r="N62" s="51">
        <v>0</v>
      </c>
      <c r="O62" s="15">
        <f t="shared" si="0"/>
        <v>10</v>
      </c>
      <c r="P62" s="15">
        <f t="shared" si="1"/>
        <v>13</v>
      </c>
      <c r="R62" s="8"/>
      <c r="T62"/>
    </row>
    <row r="63" spans="2:20" ht="23.1" customHeight="1" x14ac:dyDescent="0.25">
      <c r="B63" s="45" t="s">
        <v>108</v>
      </c>
      <c r="C63" s="51">
        <v>1</v>
      </c>
      <c r="D63" s="51">
        <v>1</v>
      </c>
      <c r="E63" s="51">
        <v>2</v>
      </c>
      <c r="F63" s="51">
        <v>1</v>
      </c>
      <c r="G63" s="51">
        <v>0</v>
      </c>
      <c r="H63" s="51">
        <v>0</v>
      </c>
      <c r="I63" s="51">
        <v>3</v>
      </c>
      <c r="J63" s="51">
        <v>0</v>
      </c>
      <c r="K63" s="51">
        <v>0</v>
      </c>
      <c r="L63" s="51">
        <v>1</v>
      </c>
      <c r="M63" s="51">
        <v>3</v>
      </c>
      <c r="N63" s="51">
        <v>0</v>
      </c>
      <c r="O63" s="15">
        <f t="shared" si="0"/>
        <v>9</v>
      </c>
      <c r="P63" s="15">
        <f t="shared" si="1"/>
        <v>12</v>
      </c>
      <c r="R63" s="8"/>
      <c r="T63"/>
    </row>
    <row r="64" spans="2:20" ht="23.1" customHeight="1" x14ac:dyDescent="0.25">
      <c r="B64" s="45" t="s">
        <v>109</v>
      </c>
      <c r="C64" s="51">
        <v>2</v>
      </c>
      <c r="D64" s="51">
        <v>1</v>
      </c>
      <c r="E64" s="51">
        <v>3</v>
      </c>
      <c r="F64" s="51">
        <v>2</v>
      </c>
      <c r="G64" s="51">
        <v>0</v>
      </c>
      <c r="H64" s="51">
        <v>0</v>
      </c>
      <c r="I64" s="51">
        <v>2</v>
      </c>
      <c r="J64" s="51">
        <v>1</v>
      </c>
      <c r="K64" s="51">
        <v>0</v>
      </c>
      <c r="L64" s="51">
        <v>1</v>
      </c>
      <c r="M64" s="51">
        <v>3</v>
      </c>
      <c r="N64" s="51">
        <v>0</v>
      </c>
      <c r="O64" s="15">
        <f t="shared" si="0"/>
        <v>12</v>
      </c>
      <c r="P64" s="15">
        <f t="shared" si="1"/>
        <v>15</v>
      </c>
      <c r="R64" s="8"/>
      <c r="T64"/>
    </row>
    <row r="65" spans="2:20" ht="23.1" customHeight="1" x14ac:dyDescent="0.25">
      <c r="B65" s="45" t="s">
        <v>158</v>
      </c>
      <c r="C65" s="51">
        <v>1</v>
      </c>
      <c r="D65" s="51">
        <v>2</v>
      </c>
      <c r="E65" s="51">
        <v>3</v>
      </c>
      <c r="F65" s="51">
        <v>2</v>
      </c>
      <c r="G65" s="51">
        <v>0</v>
      </c>
      <c r="H65" s="51">
        <v>0</v>
      </c>
      <c r="I65" s="51">
        <v>1</v>
      </c>
      <c r="J65" s="51">
        <v>0</v>
      </c>
      <c r="K65" s="51">
        <v>0</v>
      </c>
      <c r="L65" s="51">
        <v>1</v>
      </c>
      <c r="M65" s="51">
        <v>3</v>
      </c>
      <c r="N65" s="51">
        <v>0</v>
      </c>
      <c r="O65" s="15">
        <f t="shared" si="0"/>
        <v>10</v>
      </c>
      <c r="P65" s="15">
        <f t="shared" si="1"/>
        <v>13</v>
      </c>
      <c r="R65" s="8"/>
      <c r="T65"/>
    </row>
    <row r="66" spans="2:20" ht="23.1" customHeight="1" x14ac:dyDescent="0.25">
      <c r="B66" s="45" t="s">
        <v>103</v>
      </c>
      <c r="C66" s="51">
        <v>1</v>
      </c>
      <c r="D66" s="51">
        <v>2</v>
      </c>
      <c r="E66" s="51">
        <v>3</v>
      </c>
      <c r="F66" s="51">
        <v>2</v>
      </c>
      <c r="G66" s="51">
        <v>0</v>
      </c>
      <c r="H66" s="51">
        <v>0</v>
      </c>
      <c r="I66" s="51">
        <v>1</v>
      </c>
      <c r="J66" s="51">
        <v>0</v>
      </c>
      <c r="K66" s="51">
        <v>0</v>
      </c>
      <c r="L66" s="51">
        <v>2</v>
      </c>
      <c r="M66" s="51">
        <v>3</v>
      </c>
      <c r="N66" s="51">
        <v>0</v>
      </c>
      <c r="O66" s="15">
        <f t="shared" si="0"/>
        <v>11</v>
      </c>
      <c r="P66" s="15">
        <f t="shared" si="1"/>
        <v>14</v>
      </c>
      <c r="R66" s="8"/>
      <c r="T66"/>
    </row>
    <row r="67" spans="2:20" ht="23.1" customHeight="1" x14ac:dyDescent="0.25">
      <c r="B67" s="45" t="s">
        <v>104</v>
      </c>
      <c r="C67" s="51">
        <v>2</v>
      </c>
      <c r="D67" s="51">
        <v>2</v>
      </c>
      <c r="E67" s="51">
        <v>3</v>
      </c>
      <c r="F67" s="51">
        <v>2</v>
      </c>
      <c r="G67" s="51">
        <v>0</v>
      </c>
      <c r="H67" s="51">
        <v>0</v>
      </c>
      <c r="I67" s="51">
        <v>1</v>
      </c>
      <c r="J67" s="51">
        <v>0</v>
      </c>
      <c r="K67" s="51">
        <v>0</v>
      </c>
      <c r="L67" s="51">
        <v>1</v>
      </c>
      <c r="M67" s="51">
        <v>4</v>
      </c>
      <c r="N67" s="51">
        <v>0</v>
      </c>
      <c r="O67" s="15">
        <f t="shared" si="0"/>
        <v>11</v>
      </c>
      <c r="P67" s="15">
        <f t="shared" si="1"/>
        <v>15</v>
      </c>
      <c r="R67" s="8"/>
      <c r="T67"/>
    </row>
    <row r="68" spans="2:20" ht="23.1" customHeight="1" x14ac:dyDescent="0.25">
      <c r="B68" s="45" t="s">
        <v>105</v>
      </c>
      <c r="C68" s="51">
        <v>1</v>
      </c>
      <c r="D68" s="51">
        <v>1</v>
      </c>
      <c r="E68" s="51">
        <v>3</v>
      </c>
      <c r="F68" s="51">
        <v>1</v>
      </c>
      <c r="G68" s="51">
        <v>0</v>
      </c>
      <c r="H68" s="51">
        <v>0</v>
      </c>
      <c r="I68" s="51">
        <v>1</v>
      </c>
      <c r="J68" s="51">
        <v>0</v>
      </c>
      <c r="K68" s="51">
        <v>0</v>
      </c>
      <c r="L68" s="51">
        <v>0</v>
      </c>
      <c r="M68" s="51">
        <v>2</v>
      </c>
      <c r="N68" s="51">
        <v>0</v>
      </c>
      <c r="O68" s="15">
        <f t="shared" si="0"/>
        <v>7</v>
      </c>
      <c r="P68" s="15">
        <f t="shared" si="1"/>
        <v>9</v>
      </c>
      <c r="R68" s="8"/>
      <c r="T68"/>
    </row>
    <row r="69" spans="2:20" ht="23.1" customHeight="1" x14ac:dyDescent="0.25">
      <c r="B69" s="45" t="s">
        <v>106</v>
      </c>
      <c r="C69" s="51">
        <v>2</v>
      </c>
      <c r="D69" s="51">
        <v>1</v>
      </c>
      <c r="E69" s="51">
        <v>2</v>
      </c>
      <c r="F69" s="51">
        <v>3</v>
      </c>
      <c r="G69" s="51">
        <v>0</v>
      </c>
      <c r="H69" s="51">
        <v>0</v>
      </c>
      <c r="I69" s="51">
        <v>2</v>
      </c>
      <c r="J69" s="51">
        <v>0</v>
      </c>
      <c r="K69" s="51">
        <v>0</v>
      </c>
      <c r="L69" s="51">
        <v>0</v>
      </c>
      <c r="M69" s="51">
        <v>3</v>
      </c>
      <c r="N69" s="51">
        <v>0</v>
      </c>
      <c r="O69" s="15">
        <f t="shared" si="0"/>
        <v>10</v>
      </c>
      <c r="P69" s="15">
        <f t="shared" si="1"/>
        <v>13</v>
      </c>
      <c r="R69" s="8"/>
      <c r="T69"/>
    </row>
    <row r="70" spans="2:20" ht="23.1" customHeight="1" x14ac:dyDescent="0.25">
      <c r="B70" s="45" t="s">
        <v>110</v>
      </c>
      <c r="C70" s="51">
        <v>1</v>
      </c>
      <c r="D70" s="51">
        <v>1</v>
      </c>
      <c r="E70" s="51">
        <v>3</v>
      </c>
      <c r="F70" s="51">
        <v>2</v>
      </c>
      <c r="G70" s="51">
        <v>0</v>
      </c>
      <c r="H70" s="51">
        <v>1</v>
      </c>
      <c r="I70" s="51">
        <v>1</v>
      </c>
      <c r="J70" s="51">
        <v>0</v>
      </c>
      <c r="K70" s="51">
        <v>0</v>
      </c>
      <c r="L70" s="51">
        <v>1</v>
      </c>
      <c r="M70" s="51">
        <v>4</v>
      </c>
      <c r="N70" s="51">
        <v>0</v>
      </c>
      <c r="O70" s="15">
        <f t="shared" si="0"/>
        <v>10</v>
      </c>
      <c r="P70" s="15">
        <f t="shared" si="1"/>
        <v>14</v>
      </c>
      <c r="R70" s="8"/>
      <c r="T70"/>
    </row>
    <row r="71" spans="2:20" ht="23.1" customHeight="1" x14ac:dyDescent="0.25">
      <c r="B71" s="45" t="s">
        <v>111</v>
      </c>
      <c r="C71" s="51">
        <v>1</v>
      </c>
      <c r="D71" s="51">
        <v>2</v>
      </c>
      <c r="E71" s="51">
        <v>3</v>
      </c>
      <c r="F71" s="51">
        <v>2</v>
      </c>
      <c r="G71" s="51">
        <v>0</v>
      </c>
      <c r="H71" s="51">
        <v>1</v>
      </c>
      <c r="I71" s="51">
        <v>2</v>
      </c>
      <c r="J71" s="51">
        <v>0</v>
      </c>
      <c r="K71" s="51">
        <v>0</v>
      </c>
      <c r="L71" s="51">
        <v>0</v>
      </c>
      <c r="M71" s="51">
        <v>4</v>
      </c>
      <c r="N71" s="51">
        <v>0</v>
      </c>
      <c r="O71" s="15">
        <f t="shared" si="0"/>
        <v>11</v>
      </c>
      <c r="P71" s="15">
        <f t="shared" si="1"/>
        <v>15</v>
      </c>
      <c r="R71" s="8"/>
      <c r="T71"/>
    </row>
    <row r="72" spans="2:20" ht="23.1" customHeight="1" x14ac:dyDescent="0.25">
      <c r="B72" s="45" t="s">
        <v>112</v>
      </c>
      <c r="C72" s="51">
        <v>2</v>
      </c>
      <c r="D72" s="51">
        <v>2</v>
      </c>
      <c r="E72" s="51">
        <v>3</v>
      </c>
      <c r="F72" s="51">
        <v>2</v>
      </c>
      <c r="G72" s="51">
        <v>0</v>
      </c>
      <c r="H72" s="51">
        <v>1</v>
      </c>
      <c r="I72" s="51">
        <v>1</v>
      </c>
      <c r="J72" s="51">
        <v>0</v>
      </c>
      <c r="K72" s="51">
        <v>0</v>
      </c>
      <c r="L72" s="51">
        <v>1</v>
      </c>
      <c r="M72" s="51">
        <v>4</v>
      </c>
      <c r="N72" s="51">
        <v>0</v>
      </c>
      <c r="O72" s="15">
        <f t="shared" si="0"/>
        <v>12</v>
      </c>
      <c r="P72" s="15">
        <f t="shared" si="1"/>
        <v>16</v>
      </c>
      <c r="R72" s="8"/>
      <c r="T72"/>
    </row>
    <row r="73" spans="2:20" ht="23.1" customHeight="1" x14ac:dyDescent="0.25">
      <c r="B73" s="45" t="s">
        <v>113</v>
      </c>
      <c r="C73" s="51">
        <v>1</v>
      </c>
      <c r="D73" s="51">
        <v>2</v>
      </c>
      <c r="E73" s="51">
        <v>3</v>
      </c>
      <c r="F73" s="51">
        <v>3</v>
      </c>
      <c r="G73" s="51">
        <v>0</v>
      </c>
      <c r="H73" s="51">
        <v>1</v>
      </c>
      <c r="I73" s="51">
        <v>2</v>
      </c>
      <c r="J73" s="51">
        <v>0</v>
      </c>
      <c r="K73" s="51">
        <v>0</v>
      </c>
      <c r="L73" s="51">
        <v>1</v>
      </c>
      <c r="M73" s="51">
        <v>4</v>
      </c>
      <c r="N73" s="51">
        <v>0</v>
      </c>
      <c r="O73" s="15">
        <f t="shared" si="0"/>
        <v>13</v>
      </c>
      <c r="P73" s="15">
        <f t="shared" si="1"/>
        <v>17</v>
      </c>
      <c r="R73" s="8"/>
      <c r="T73"/>
    </row>
    <row r="74" spans="2:20" ht="23.1" customHeight="1" x14ac:dyDescent="0.25">
      <c r="B74" s="45" t="s">
        <v>114</v>
      </c>
      <c r="C74" s="51">
        <v>2</v>
      </c>
      <c r="D74" s="51">
        <v>2</v>
      </c>
      <c r="E74" s="51">
        <v>3</v>
      </c>
      <c r="F74" s="51">
        <v>2</v>
      </c>
      <c r="G74" s="51">
        <v>0</v>
      </c>
      <c r="H74" s="51">
        <v>1</v>
      </c>
      <c r="I74" s="51">
        <v>2</v>
      </c>
      <c r="J74" s="51">
        <v>0</v>
      </c>
      <c r="K74" s="51">
        <v>0</v>
      </c>
      <c r="L74" s="51">
        <v>1</v>
      </c>
      <c r="M74" s="51">
        <v>4</v>
      </c>
      <c r="N74" s="51">
        <v>0</v>
      </c>
      <c r="O74" s="15">
        <f t="shared" ref="O74:O105" si="35">SUM(C74:L74,N74)</f>
        <v>13</v>
      </c>
      <c r="P74" s="15">
        <f t="shared" ref="P74:P105" si="36">SUM(C74:N74)</f>
        <v>17</v>
      </c>
      <c r="R74" s="8"/>
      <c r="T74"/>
    </row>
    <row r="75" spans="2:20" ht="23.1" customHeight="1" x14ac:dyDescent="0.25">
      <c r="B75" s="45" t="s">
        <v>115</v>
      </c>
      <c r="C75" s="51">
        <v>2</v>
      </c>
      <c r="D75" s="51">
        <v>1</v>
      </c>
      <c r="E75" s="51">
        <v>2</v>
      </c>
      <c r="F75" s="51">
        <v>2</v>
      </c>
      <c r="G75" s="51">
        <v>0</v>
      </c>
      <c r="H75" s="51">
        <v>0</v>
      </c>
      <c r="I75" s="51">
        <v>1</v>
      </c>
      <c r="J75" s="51">
        <v>0</v>
      </c>
      <c r="K75" s="51">
        <v>0</v>
      </c>
      <c r="L75" s="51">
        <v>1</v>
      </c>
      <c r="M75" s="51">
        <v>3</v>
      </c>
      <c r="N75" s="51">
        <v>0</v>
      </c>
      <c r="O75" s="15">
        <f t="shared" si="35"/>
        <v>9</v>
      </c>
      <c r="P75" s="15">
        <f t="shared" si="36"/>
        <v>12</v>
      </c>
      <c r="R75" s="8"/>
      <c r="T75"/>
    </row>
    <row r="76" spans="2:20" ht="23.1" customHeight="1" x14ac:dyDescent="0.25">
      <c r="B76" s="45" t="s">
        <v>116</v>
      </c>
      <c r="C76" s="51">
        <v>2</v>
      </c>
      <c r="D76" s="51">
        <v>1</v>
      </c>
      <c r="E76" s="51">
        <v>2</v>
      </c>
      <c r="F76" s="51">
        <v>2</v>
      </c>
      <c r="G76" s="51">
        <v>0</v>
      </c>
      <c r="H76" s="51">
        <v>1</v>
      </c>
      <c r="I76" s="51">
        <v>1</v>
      </c>
      <c r="J76" s="51">
        <v>0</v>
      </c>
      <c r="K76" s="51">
        <v>0</v>
      </c>
      <c r="L76" s="51">
        <v>1</v>
      </c>
      <c r="M76" s="51">
        <v>3</v>
      </c>
      <c r="N76" s="51">
        <v>0</v>
      </c>
      <c r="O76" s="15">
        <f t="shared" si="35"/>
        <v>10</v>
      </c>
      <c r="P76" s="15">
        <f t="shared" si="36"/>
        <v>13</v>
      </c>
      <c r="R76" s="8"/>
      <c r="T76"/>
    </row>
    <row r="77" spans="2:20" ht="23.1" customHeight="1" x14ac:dyDescent="0.25">
      <c r="B77" s="45" t="s">
        <v>117</v>
      </c>
      <c r="C77" s="51">
        <v>2</v>
      </c>
      <c r="D77" s="51">
        <v>2</v>
      </c>
      <c r="E77" s="51">
        <v>3</v>
      </c>
      <c r="F77" s="51">
        <v>2</v>
      </c>
      <c r="G77" s="51">
        <v>0</v>
      </c>
      <c r="H77" s="51">
        <v>1</v>
      </c>
      <c r="I77" s="51">
        <v>1</v>
      </c>
      <c r="J77" s="51">
        <v>0</v>
      </c>
      <c r="K77" s="51">
        <v>0</v>
      </c>
      <c r="L77" s="51">
        <v>0</v>
      </c>
      <c r="M77" s="51">
        <v>5</v>
      </c>
      <c r="N77" s="51">
        <v>0</v>
      </c>
      <c r="O77" s="15">
        <f t="shared" si="35"/>
        <v>11</v>
      </c>
      <c r="P77" s="15">
        <f t="shared" si="36"/>
        <v>16</v>
      </c>
      <c r="R77" s="8"/>
      <c r="T77"/>
    </row>
    <row r="78" spans="2:20" ht="23.1" customHeight="1" x14ac:dyDescent="0.25">
      <c r="B78" s="46" t="s">
        <v>118</v>
      </c>
      <c r="C78" s="51">
        <v>1</v>
      </c>
      <c r="D78" s="51">
        <v>1</v>
      </c>
      <c r="E78" s="51">
        <v>2</v>
      </c>
      <c r="F78" s="51">
        <v>2</v>
      </c>
      <c r="G78" s="51">
        <v>0</v>
      </c>
      <c r="H78" s="51">
        <v>0</v>
      </c>
      <c r="I78" s="51">
        <v>1</v>
      </c>
      <c r="J78" s="51">
        <v>0</v>
      </c>
      <c r="K78" s="51">
        <v>0</v>
      </c>
      <c r="L78" s="51">
        <v>0</v>
      </c>
      <c r="M78" s="51">
        <v>2</v>
      </c>
      <c r="N78" s="51">
        <v>0</v>
      </c>
      <c r="O78" s="15">
        <f t="shared" si="35"/>
        <v>7</v>
      </c>
      <c r="P78" s="15">
        <f t="shared" si="36"/>
        <v>9</v>
      </c>
      <c r="R78" s="8"/>
      <c r="T78"/>
    </row>
    <row r="79" spans="2:20" ht="23.1" customHeight="1" x14ac:dyDescent="0.25">
      <c r="B79" s="45" t="s">
        <v>119</v>
      </c>
      <c r="C79" s="51">
        <v>1</v>
      </c>
      <c r="D79" s="51">
        <v>1</v>
      </c>
      <c r="E79" s="51">
        <v>2</v>
      </c>
      <c r="F79" s="51">
        <v>1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2</v>
      </c>
      <c r="N79" s="51">
        <v>0</v>
      </c>
      <c r="O79" s="15">
        <f t="shared" si="35"/>
        <v>5</v>
      </c>
      <c r="P79" s="15">
        <f t="shared" si="36"/>
        <v>7</v>
      </c>
      <c r="R79" s="8"/>
      <c r="T79"/>
    </row>
    <row r="80" spans="2:20" ht="23.1" customHeight="1" x14ac:dyDescent="0.25">
      <c r="B80" s="47" t="s">
        <v>120</v>
      </c>
      <c r="C80" s="51">
        <v>0</v>
      </c>
      <c r="D80" s="51">
        <v>1</v>
      </c>
      <c r="E80" s="51">
        <v>1</v>
      </c>
      <c r="F80" s="51">
        <v>0</v>
      </c>
      <c r="G80" s="51">
        <v>0</v>
      </c>
      <c r="H80" s="51">
        <v>1</v>
      </c>
      <c r="I80" s="51">
        <v>1</v>
      </c>
      <c r="J80" s="51">
        <v>0</v>
      </c>
      <c r="K80" s="51">
        <v>0</v>
      </c>
      <c r="L80" s="51">
        <v>0</v>
      </c>
      <c r="M80" s="51">
        <v>2</v>
      </c>
      <c r="N80" s="51">
        <v>0</v>
      </c>
      <c r="O80" s="15">
        <f t="shared" si="35"/>
        <v>4</v>
      </c>
      <c r="P80" s="15">
        <f t="shared" si="36"/>
        <v>6</v>
      </c>
      <c r="R80" s="8"/>
      <c r="T80"/>
    </row>
    <row r="81" spans="2:20" ht="23.1" customHeight="1" x14ac:dyDescent="0.25">
      <c r="B81" s="45" t="s">
        <v>121</v>
      </c>
      <c r="C81" s="51">
        <v>1</v>
      </c>
      <c r="D81" s="51">
        <v>1</v>
      </c>
      <c r="E81" s="51">
        <v>1</v>
      </c>
      <c r="F81" s="51">
        <v>1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2</v>
      </c>
      <c r="N81" s="51">
        <v>0</v>
      </c>
      <c r="O81" s="15">
        <f t="shared" si="35"/>
        <v>4</v>
      </c>
      <c r="P81" s="15">
        <f t="shared" si="36"/>
        <v>6</v>
      </c>
      <c r="R81" s="8"/>
      <c r="T81"/>
    </row>
    <row r="82" spans="2:20" ht="23.1" customHeight="1" x14ac:dyDescent="0.25">
      <c r="B82" s="46" t="s">
        <v>122</v>
      </c>
      <c r="C82" s="51">
        <v>1</v>
      </c>
      <c r="D82" s="51">
        <v>1</v>
      </c>
      <c r="E82" s="51">
        <v>2</v>
      </c>
      <c r="F82" s="51">
        <v>1</v>
      </c>
      <c r="G82" s="51">
        <v>0</v>
      </c>
      <c r="H82" s="51">
        <v>0</v>
      </c>
      <c r="I82" s="51">
        <v>1</v>
      </c>
      <c r="J82" s="51">
        <v>0</v>
      </c>
      <c r="K82" s="51">
        <v>0</v>
      </c>
      <c r="L82" s="51">
        <v>0</v>
      </c>
      <c r="M82" s="51">
        <v>2</v>
      </c>
      <c r="N82" s="51">
        <v>0</v>
      </c>
      <c r="O82" s="15">
        <f t="shared" si="35"/>
        <v>6</v>
      </c>
      <c r="P82" s="15">
        <f t="shared" si="36"/>
        <v>8</v>
      </c>
      <c r="R82" s="8"/>
      <c r="T82"/>
    </row>
    <row r="83" spans="2:20" ht="23.1" customHeight="1" x14ac:dyDescent="0.25">
      <c r="B83" s="45" t="s">
        <v>123</v>
      </c>
      <c r="C83" s="51">
        <v>1</v>
      </c>
      <c r="D83" s="51">
        <v>1</v>
      </c>
      <c r="E83" s="51">
        <v>2</v>
      </c>
      <c r="F83" s="51">
        <v>2</v>
      </c>
      <c r="G83" s="51">
        <v>0</v>
      </c>
      <c r="H83" s="51">
        <v>1</v>
      </c>
      <c r="I83" s="51">
        <v>1</v>
      </c>
      <c r="J83" s="51">
        <v>0</v>
      </c>
      <c r="K83" s="51">
        <v>0</v>
      </c>
      <c r="L83" s="51">
        <v>0</v>
      </c>
      <c r="M83" s="51">
        <v>2</v>
      </c>
      <c r="N83" s="51">
        <v>0</v>
      </c>
      <c r="O83" s="15">
        <f t="shared" si="35"/>
        <v>8</v>
      </c>
      <c r="P83" s="15">
        <f t="shared" si="36"/>
        <v>10</v>
      </c>
      <c r="R83" s="8"/>
      <c r="T83"/>
    </row>
    <row r="84" spans="2:20" ht="23.1" customHeight="1" x14ac:dyDescent="0.25">
      <c r="B84" s="47" t="s">
        <v>124</v>
      </c>
      <c r="C84" s="51">
        <v>1</v>
      </c>
      <c r="D84" s="51">
        <v>1</v>
      </c>
      <c r="E84" s="51">
        <v>2</v>
      </c>
      <c r="F84" s="51">
        <v>0</v>
      </c>
      <c r="G84" s="51">
        <v>0</v>
      </c>
      <c r="H84" s="51">
        <v>1</v>
      </c>
      <c r="I84" s="51">
        <v>0</v>
      </c>
      <c r="J84" s="51">
        <v>0</v>
      </c>
      <c r="K84" s="51">
        <v>0</v>
      </c>
      <c r="L84" s="51">
        <v>0</v>
      </c>
      <c r="M84" s="51">
        <v>1</v>
      </c>
      <c r="N84" s="51">
        <v>0</v>
      </c>
      <c r="O84" s="15">
        <f t="shared" si="35"/>
        <v>5</v>
      </c>
      <c r="P84" s="15">
        <f t="shared" si="36"/>
        <v>6</v>
      </c>
      <c r="R84" s="8"/>
      <c r="T84"/>
    </row>
    <row r="85" spans="2:20" ht="23.1" customHeight="1" x14ac:dyDescent="0.25">
      <c r="B85" s="45" t="s">
        <v>125</v>
      </c>
      <c r="C85" s="51">
        <v>1</v>
      </c>
      <c r="D85" s="51">
        <v>1</v>
      </c>
      <c r="E85" s="51">
        <v>1</v>
      </c>
      <c r="F85" s="51">
        <v>1</v>
      </c>
      <c r="G85" s="51">
        <v>0</v>
      </c>
      <c r="H85" s="51">
        <v>1</v>
      </c>
      <c r="I85" s="51">
        <v>1</v>
      </c>
      <c r="J85" s="51">
        <v>0</v>
      </c>
      <c r="K85" s="51">
        <v>0</v>
      </c>
      <c r="L85" s="51">
        <v>0</v>
      </c>
      <c r="M85" s="51">
        <v>2</v>
      </c>
      <c r="N85" s="51">
        <v>0</v>
      </c>
      <c r="O85" s="15">
        <f t="shared" si="35"/>
        <v>6</v>
      </c>
      <c r="P85" s="15">
        <f t="shared" si="36"/>
        <v>8</v>
      </c>
      <c r="R85" s="8"/>
      <c r="T85"/>
    </row>
    <row r="86" spans="2:20" ht="23.1" customHeight="1" x14ac:dyDescent="0.25">
      <c r="B86" s="46" t="s">
        <v>126</v>
      </c>
      <c r="C86" s="51">
        <v>1</v>
      </c>
      <c r="D86" s="51">
        <v>1</v>
      </c>
      <c r="E86" s="51">
        <v>1</v>
      </c>
      <c r="F86" s="51">
        <v>1</v>
      </c>
      <c r="G86" s="51">
        <v>0</v>
      </c>
      <c r="H86" s="51">
        <v>0</v>
      </c>
      <c r="I86" s="51">
        <v>1</v>
      </c>
      <c r="J86" s="51">
        <v>0</v>
      </c>
      <c r="K86" s="51">
        <v>0</v>
      </c>
      <c r="L86" s="51">
        <v>0</v>
      </c>
      <c r="M86" s="51">
        <v>3</v>
      </c>
      <c r="N86" s="51">
        <v>0</v>
      </c>
      <c r="O86" s="15">
        <f t="shared" si="35"/>
        <v>5</v>
      </c>
      <c r="P86" s="15">
        <f t="shared" si="36"/>
        <v>8</v>
      </c>
      <c r="R86" s="8"/>
      <c r="T86"/>
    </row>
    <row r="87" spans="2:20" ht="23.1" customHeight="1" x14ac:dyDescent="0.25">
      <c r="B87" s="45" t="s">
        <v>127</v>
      </c>
      <c r="C87" s="51">
        <v>1</v>
      </c>
      <c r="D87" s="51">
        <v>2</v>
      </c>
      <c r="E87" s="51">
        <v>2</v>
      </c>
      <c r="F87" s="51">
        <v>0</v>
      </c>
      <c r="G87" s="51">
        <v>0</v>
      </c>
      <c r="H87" s="51">
        <v>0</v>
      </c>
      <c r="I87" s="51">
        <v>1</v>
      </c>
      <c r="J87" s="51">
        <v>0</v>
      </c>
      <c r="K87" s="51">
        <v>0</v>
      </c>
      <c r="L87" s="51">
        <v>0</v>
      </c>
      <c r="M87" s="51">
        <v>3</v>
      </c>
      <c r="N87" s="51">
        <v>0</v>
      </c>
      <c r="O87" s="15">
        <f t="shared" si="35"/>
        <v>6</v>
      </c>
      <c r="P87" s="15">
        <f t="shared" si="36"/>
        <v>9</v>
      </c>
      <c r="R87" s="8"/>
      <c r="T87"/>
    </row>
    <row r="88" spans="2:20" ht="23.1" customHeight="1" x14ac:dyDescent="0.25">
      <c r="B88" s="47" t="s">
        <v>128</v>
      </c>
      <c r="C88" s="51">
        <v>1</v>
      </c>
      <c r="D88" s="51">
        <v>1</v>
      </c>
      <c r="E88" s="51">
        <v>2</v>
      </c>
      <c r="F88" s="51">
        <v>1</v>
      </c>
      <c r="G88" s="51">
        <v>0</v>
      </c>
      <c r="H88" s="51">
        <v>0</v>
      </c>
      <c r="I88" s="51">
        <v>1</v>
      </c>
      <c r="J88" s="51">
        <v>0</v>
      </c>
      <c r="K88" s="51">
        <v>0</v>
      </c>
      <c r="L88" s="51">
        <v>0</v>
      </c>
      <c r="M88" s="51">
        <v>2</v>
      </c>
      <c r="N88" s="51">
        <v>0</v>
      </c>
      <c r="O88" s="15">
        <f t="shared" si="35"/>
        <v>6</v>
      </c>
      <c r="P88" s="15">
        <f t="shared" si="36"/>
        <v>8</v>
      </c>
      <c r="R88" s="8"/>
      <c r="T88"/>
    </row>
    <row r="89" spans="2:20" ht="23.1" customHeight="1" x14ac:dyDescent="0.25">
      <c r="B89" s="45" t="s">
        <v>129</v>
      </c>
      <c r="C89" s="51">
        <v>1</v>
      </c>
      <c r="D89" s="51">
        <v>1</v>
      </c>
      <c r="E89" s="51">
        <v>2</v>
      </c>
      <c r="F89" s="51">
        <v>1</v>
      </c>
      <c r="G89" s="51">
        <v>0</v>
      </c>
      <c r="H89" s="51">
        <v>0</v>
      </c>
      <c r="I89" s="51">
        <v>1</v>
      </c>
      <c r="J89" s="51">
        <v>0</v>
      </c>
      <c r="K89" s="51">
        <v>0</v>
      </c>
      <c r="L89" s="51">
        <v>1</v>
      </c>
      <c r="M89" s="51">
        <v>2</v>
      </c>
      <c r="N89" s="51">
        <v>0</v>
      </c>
      <c r="O89" s="15">
        <f t="shared" si="35"/>
        <v>7</v>
      </c>
      <c r="P89" s="15">
        <f t="shared" si="36"/>
        <v>9</v>
      </c>
      <c r="R89" s="8"/>
      <c r="T89"/>
    </row>
    <row r="90" spans="2:20" ht="23.1" customHeight="1" x14ac:dyDescent="0.25">
      <c r="B90" s="46" t="s">
        <v>130</v>
      </c>
      <c r="C90" s="51">
        <v>1</v>
      </c>
      <c r="D90" s="51">
        <v>1</v>
      </c>
      <c r="E90" s="51">
        <v>2</v>
      </c>
      <c r="F90" s="51">
        <v>1</v>
      </c>
      <c r="G90" s="51">
        <v>0</v>
      </c>
      <c r="H90" s="51">
        <v>0</v>
      </c>
      <c r="I90" s="51">
        <v>1</v>
      </c>
      <c r="J90" s="51">
        <v>0</v>
      </c>
      <c r="K90" s="51">
        <v>0</v>
      </c>
      <c r="L90" s="51">
        <v>0</v>
      </c>
      <c r="M90" s="51">
        <v>1</v>
      </c>
      <c r="N90" s="51">
        <v>0</v>
      </c>
      <c r="O90" s="15">
        <f t="shared" si="35"/>
        <v>6</v>
      </c>
      <c r="P90" s="15">
        <f t="shared" si="36"/>
        <v>7</v>
      </c>
      <c r="R90" s="8"/>
      <c r="T90"/>
    </row>
    <row r="91" spans="2:20" ht="23.1" customHeight="1" x14ac:dyDescent="0.25">
      <c r="B91" s="45" t="s">
        <v>131</v>
      </c>
      <c r="C91" s="51">
        <v>2</v>
      </c>
      <c r="D91" s="51">
        <v>1</v>
      </c>
      <c r="E91" s="51">
        <v>2</v>
      </c>
      <c r="F91" s="51">
        <v>1</v>
      </c>
      <c r="G91" s="51">
        <v>0</v>
      </c>
      <c r="H91" s="51">
        <v>1</v>
      </c>
      <c r="I91" s="51">
        <v>0</v>
      </c>
      <c r="J91" s="51">
        <v>0</v>
      </c>
      <c r="K91" s="51">
        <v>0</v>
      </c>
      <c r="L91" s="51">
        <v>0</v>
      </c>
      <c r="M91" s="51">
        <v>2</v>
      </c>
      <c r="N91" s="51">
        <v>0</v>
      </c>
      <c r="O91" s="15">
        <f t="shared" si="35"/>
        <v>7</v>
      </c>
      <c r="P91" s="15">
        <f t="shared" si="36"/>
        <v>9</v>
      </c>
      <c r="R91" s="8"/>
      <c r="T91"/>
    </row>
    <row r="92" spans="2:20" ht="23.1" customHeight="1" x14ac:dyDescent="0.25">
      <c r="B92" s="47" t="s">
        <v>132</v>
      </c>
      <c r="C92" s="51">
        <v>1</v>
      </c>
      <c r="D92" s="51">
        <v>1</v>
      </c>
      <c r="E92" s="51">
        <v>2</v>
      </c>
      <c r="F92" s="51">
        <v>1</v>
      </c>
      <c r="G92" s="51">
        <v>0</v>
      </c>
      <c r="H92" s="51">
        <v>1</v>
      </c>
      <c r="I92" s="51">
        <v>1</v>
      </c>
      <c r="J92" s="51">
        <v>0</v>
      </c>
      <c r="K92" s="51">
        <v>0</v>
      </c>
      <c r="L92" s="51">
        <v>1</v>
      </c>
      <c r="M92" s="51">
        <v>3</v>
      </c>
      <c r="N92" s="51">
        <v>0</v>
      </c>
      <c r="O92" s="15">
        <f t="shared" si="35"/>
        <v>8</v>
      </c>
      <c r="P92" s="15">
        <f t="shared" si="36"/>
        <v>11</v>
      </c>
      <c r="R92" s="8"/>
      <c r="T92"/>
    </row>
    <row r="93" spans="2:20" ht="23.1" customHeight="1" x14ac:dyDescent="0.25">
      <c r="B93" s="45" t="s">
        <v>133</v>
      </c>
      <c r="C93" s="51">
        <v>1</v>
      </c>
      <c r="D93" s="51">
        <v>1</v>
      </c>
      <c r="E93" s="51">
        <v>2</v>
      </c>
      <c r="F93" s="51">
        <v>1</v>
      </c>
      <c r="G93" s="51">
        <v>0</v>
      </c>
      <c r="H93" s="51">
        <v>1</v>
      </c>
      <c r="I93" s="51">
        <v>1</v>
      </c>
      <c r="J93" s="51">
        <v>0</v>
      </c>
      <c r="K93" s="51">
        <v>0</v>
      </c>
      <c r="L93" s="51">
        <v>0</v>
      </c>
      <c r="M93" s="51">
        <v>3</v>
      </c>
      <c r="N93" s="51">
        <v>0</v>
      </c>
      <c r="O93" s="15">
        <f t="shared" si="35"/>
        <v>7</v>
      </c>
      <c r="P93" s="15">
        <f t="shared" si="36"/>
        <v>10</v>
      </c>
      <c r="R93" s="8"/>
      <c r="T93"/>
    </row>
    <row r="94" spans="2:20" ht="23.1" customHeight="1" x14ac:dyDescent="0.25">
      <c r="B94" s="46" t="s">
        <v>134</v>
      </c>
      <c r="C94" s="51">
        <v>1</v>
      </c>
      <c r="D94" s="51">
        <v>1</v>
      </c>
      <c r="E94" s="51">
        <v>2</v>
      </c>
      <c r="F94" s="51">
        <v>1</v>
      </c>
      <c r="G94" s="51">
        <v>0</v>
      </c>
      <c r="H94" s="51">
        <v>1</v>
      </c>
      <c r="I94" s="51">
        <v>1</v>
      </c>
      <c r="J94" s="51">
        <v>0</v>
      </c>
      <c r="K94" s="51">
        <v>0</v>
      </c>
      <c r="L94" s="51">
        <v>0</v>
      </c>
      <c r="M94" s="51">
        <v>3</v>
      </c>
      <c r="N94" s="51">
        <v>0</v>
      </c>
      <c r="O94" s="15">
        <f t="shared" si="35"/>
        <v>7</v>
      </c>
      <c r="P94" s="15">
        <f t="shared" si="36"/>
        <v>10</v>
      </c>
      <c r="R94" s="8"/>
      <c r="T94"/>
    </row>
    <row r="95" spans="2:20" ht="23.1" customHeight="1" x14ac:dyDescent="0.25">
      <c r="B95" s="45" t="s">
        <v>135</v>
      </c>
      <c r="C95" s="51">
        <v>2</v>
      </c>
      <c r="D95" s="51">
        <v>1</v>
      </c>
      <c r="E95" s="51">
        <v>1</v>
      </c>
      <c r="F95" s="51">
        <v>2</v>
      </c>
      <c r="G95" s="51">
        <v>0</v>
      </c>
      <c r="H95" s="51">
        <v>1</v>
      </c>
      <c r="I95" s="51">
        <v>1</v>
      </c>
      <c r="J95" s="51">
        <v>0</v>
      </c>
      <c r="K95" s="51">
        <v>0</v>
      </c>
      <c r="L95" s="51">
        <v>1</v>
      </c>
      <c r="M95" s="51">
        <v>2</v>
      </c>
      <c r="N95" s="51">
        <v>0</v>
      </c>
      <c r="O95" s="15">
        <f t="shared" si="35"/>
        <v>9</v>
      </c>
      <c r="P95" s="15">
        <f t="shared" si="36"/>
        <v>11</v>
      </c>
      <c r="R95" s="8"/>
      <c r="T95"/>
    </row>
    <row r="96" spans="2:20" ht="23.1" customHeight="1" x14ac:dyDescent="0.25">
      <c r="B96" s="47" t="s">
        <v>136</v>
      </c>
      <c r="C96" s="51">
        <v>2</v>
      </c>
      <c r="D96" s="51">
        <v>2</v>
      </c>
      <c r="E96" s="51">
        <v>3</v>
      </c>
      <c r="F96" s="51">
        <v>1</v>
      </c>
      <c r="G96" s="51">
        <v>0</v>
      </c>
      <c r="H96" s="51">
        <v>1</v>
      </c>
      <c r="I96" s="51">
        <v>1</v>
      </c>
      <c r="J96" s="51">
        <v>0</v>
      </c>
      <c r="K96" s="51">
        <v>0</v>
      </c>
      <c r="L96" s="51">
        <v>1</v>
      </c>
      <c r="M96" s="51">
        <v>3</v>
      </c>
      <c r="N96" s="51">
        <v>0</v>
      </c>
      <c r="O96" s="15">
        <f t="shared" si="35"/>
        <v>11</v>
      </c>
      <c r="P96" s="15">
        <f t="shared" si="36"/>
        <v>14</v>
      </c>
      <c r="R96" s="8"/>
      <c r="T96"/>
    </row>
    <row r="97" spans="2:20" ht="23.1" customHeight="1" x14ac:dyDescent="0.25">
      <c r="B97" s="45" t="s">
        <v>137</v>
      </c>
      <c r="C97" s="51">
        <v>1</v>
      </c>
      <c r="D97" s="51">
        <v>2</v>
      </c>
      <c r="E97" s="51">
        <v>2</v>
      </c>
      <c r="F97" s="51">
        <v>1</v>
      </c>
      <c r="G97" s="51">
        <v>0</v>
      </c>
      <c r="H97" s="51">
        <v>1</v>
      </c>
      <c r="I97" s="51">
        <v>2</v>
      </c>
      <c r="J97" s="51">
        <v>0</v>
      </c>
      <c r="K97" s="51">
        <v>0</v>
      </c>
      <c r="L97" s="51">
        <v>0</v>
      </c>
      <c r="M97" s="51">
        <v>2</v>
      </c>
      <c r="N97" s="51">
        <v>0</v>
      </c>
      <c r="O97" s="15">
        <f t="shared" si="35"/>
        <v>9</v>
      </c>
      <c r="P97" s="15">
        <f t="shared" si="36"/>
        <v>11</v>
      </c>
      <c r="R97" s="8"/>
      <c r="T97"/>
    </row>
    <row r="98" spans="2:20" ht="23.1" customHeight="1" x14ac:dyDescent="0.25">
      <c r="B98" s="46" t="s">
        <v>138</v>
      </c>
      <c r="C98" s="51">
        <v>1</v>
      </c>
      <c r="D98" s="51">
        <v>1</v>
      </c>
      <c r="E98" s="51">
        <v>2</v>
      </c>
      <c r="F98" s="51">
        <v>1</v>
      </c>
      <c r="G98" s="51">
        <v>0</v>
      </c>
      <c r="H98" s="51">
        <v>1</v>
      </c>
      <c r="I98" s="51">
        <v>1</v>
      </c>
      <c r="J98" s="51">
        <v>0</v>
      </c>
      <c r="K98" s="51">
        <v>0</v>
      </c>
      <c r="L98" s="51">
        <v>0</v>
      </c>
      <c r="M98" s="51">
        <v>3</v>
      </c>
      <c r="N98" s="51">
        <v>0</v>
      </c>
      <c r="O98" s="15">
        <f t="shared" si="35"/>
        <v>7</v>
      </c>
      <c r="P98" s="15">
        <f t="shared" si="36"/>
        <v>10</v>
      </c>
      <c r="R98" s="8"/>
      <c r="T98"/>
    </row>
    <row r="99" spans="2:20" ht="23.1" customHeight="1" x14ac:dyDescent="0.25">
      <c r="B99" s="45" t="s">
        <v>139</v>
      </c>
      <c r="C99" s="51">
        <v>1</v>
      </c>
      <c r="D99" s="51">
        <v>1</v>
      </c>
      <c r="E99" s="51">
        <v>2</v>
      </c>
      <c r="F99" s="51">
        <v>1</v>
      </c>
      <c r="G99" s="51">
        <v>0</v>
      </c>
      <c r="H99" s="51">
        <v>1</v>
      </c>
      <c r="I99" s="51">
        <v>1</v>
      </c>
      <c r="J99" s="51">
        <v>0</v>
      </c>
      <c r="K99" s="51">
        <v>0</v>
      </c>
      <c r="L99" s="51">
        <v>0</v>
      </c>
      <c r="M99" s="51">
        <v>3</v>
      </c>
      <c r="N99" s="51">
        <v>0</v>
      </c>
      <c r="O99" s="15">
        <f t="shared" si="35"/>
        <v>7</v>
      </c>
      <c r="P99" s="15">
        <f t="shared" si="36"/>
        <v>10</v>
      </c>
      <c r="R99" s="8"/>
      <c r="T99"/>
    </row>
    <row r="100" spans="2:20" ht="23.1" customHeight="1" x14ac:dyDescent="0.25">
      <c r="B100" s="47" t="s">
        <v>140</v>
      </c>
      <c r="C100" s="51">
        <v>3</v>
      </c>
      <c r="D100" s="51">
        <v>3</v>
      </c>
      <c r="E100" s="51">
        <v>5</v>
      </c>
      <c r="F100" s="51">
        <v>2</v>
      </c>
      <c r="G100" s="51">
        <v>0</v>
      </c>
      <c r="H100" s="51">
        <v>1</v>
      </c>
      <c r="I100" s="51">
        <v>2</v>
      </c>
      <c r="J100" s="51">
        <v>0</v>
      </c>
      <c r="K100" s="51">
        <v>0</v>
      </c>
      <c r="L100" s="51">
        <v>1</v>
      </c>
      <c r="M100" s="51">
        <v>5</v>
      </c>
      <c r="N100" s="51">
        <v>0</v>
      </c>
      <c r="O100" s="15">
        <f t="shared" si="35"/>
        <v>17</v>
      </c>
      <c r="P100" s="15">
        <f t="shared" si="36"/>
        <v>22</v>
      </c>
      <c r="R100" s="8"/>
      <c r="T100"/>
    </row>
    <row r="101" spans="2:20" ht="23.1" customHeight="1" x14ac:dyDescent="0.25">
      <c r="B101" s="45" t="s">
        <v>141</v>
      </c>
      <c r="C101" s="51">
        <v>2</v>
      </c>
      <c r="D101" s="51">
        <v>2</v>
      </c>
      <c r="E101" s="51">
        <v>3</v>
      </c>
      <c r="F101" s="51">
        <v>2</v>
      </c>
      <c r="G101" s="51">
        <v>0</v>
      </c>
      <c r="H101" s="51">
        <v>1</v>
      </c>
      <c r="I101" s="51">
        <v>2</v>
      </c>
      <c r="J101" s="51">
        <v>1</v>
      </c>
      <c r="K101" s="51">
        <v>0</v>
      </c>
      <c r="L101" s="51">
        <v>2</v>
      </c>
      <c r="M101" s="51">
        <v>4</v>
      </c>
      <c r="N101" s="51">
        <v>0</v>
      </c>
      <c r="O101" s="15">
        <f t="shared" si="35"/>
        <v>15</v>
      </c>
      <c r="P101" s="15">
        <f t="shared" si="36"/>
        <v>19</v>
      </c>
      <c r="R101" s="8"/>
      <c r="T101"/>
    </row>
    <row r="102" spans="2:20" ht="23.1" customHeight="1" x14ac:dyDescent="0.25">
      <c r="B102" s="46" t="s">
        <v>142</v>
      </c>
      <c r="C102" s="51">
        <v>1</v>
      </c>
      <c r="D102" s="51">
        <v>3</v>
      </c>
      <c r="E102" s="51">
        <v>5</v>
      </c>
      <c r="F102" s="51">
        <v>1</v>
      </c>
      <c r="G102" s="51">
        <v>0</v>
      </c>
      <c r="H102" s="51">
        <v>1</v>
      </c>
      <c r="I102" s="51">
        <v>1</v>
      </c>
      <c r="J102" s="51">
        <v>0</v>
      </c>
      <c r="K102" s="51">
        <v>0</v>
      </c>
      <c r="L102" s="51">
        <v>1</v>
      </c>
      <c r="M102" s="51">
        <v>4</v>
      </c>
      <c r="N102" s="51">
        <v>0</v>
      </c>
      <c r="O102" s="15">
        <f t="shared" si="35"/>
        <v>13</v>
      </c>
      <c r="P102" s="15">
        <f t="shared" si="36"/>
        <v>17</v>
      </c>
      <c r="R102" s="8"/>
      <c r="T102"/>
    </row>
    <row r="103" spans="2:20" ht="23.1" customHeight="1" x14ac:dyDescent="0.25">
      <c r="B103" s="45" t="s">
        <v>143</v>
      </c>
      <c r="C103" s="51">
        <v>3</v>
      </c>
      <c r="D103" s="51">
        <v>2</v>
      </c>
      <c r="E103" s="51">
        <v>3</v>
      </c>
      <c r="F103" s="51">
        <v>1</v>
      </c>
      <c r="G103" s="51">
        <v>0</v>
      </c>
      <c r="H103" s="51">
        <v>1</v>
      </c>
      <c r="I103" s="51">
        <v>2</v>
      </c>
      <c r="J103" s="51">
        <v>0</v>
      </c>
      <c r="K103" s="51">
        <v>0</v>
      </c>
      <c r="L103" s="51">
        <v>1</v>
      </c>
      <c r="M103" s="51">
        <v>4</v>
      </c>
      <c r="N103" s="51">
        <v>0</v>
      </c>
      <c r="O103" s="15">
        <f t="shared" si="35"/>
        <v>13</v>
      </c>
      <c r="P103" s="15">
        <f t="shared" si="36"/>
        <v>17</v>
      </c>
      <c r="R103" s="8"/>
      <c r="T103"/>
    </row>
    <row r="104" spans="2:20" ht="23.1" customHeight="1" x14ac:dyDescent="0.25">
      <c r="B104" s="47" t="s">
        <v>144</v>
      </c>
      <c r="C104" s="51">
        <v>2</v>
      </c>
      <c r="D104" s="51">
        <v>2</v>
      </c>
      <c r="E104" s="51">
        <v>3</v>
      </c>
      <c r="F104" s="51">
        <v>2</v>
      </c>
      <c r="G104" s="51">
        <v>0</v>
      </c>
      <c r="H104" s="51">
        <v>1</v>
      </c>
      <c r="I104" s="51">
        <v>1</v>
      </c>
      <c r="J104" s="51">
        <v>1</v>
      </c>
      <c r="K104" s="51">
        <v>0</v>
      </c>
      <c r="L104" s="51">
        <v>1</v>
      </c>
      <c r="M104" s="51">
        <v>5</v>
      </c>
      <c r="N104" s="51">
        <v>0</v>
      </c>
      <c r="O104" s="15">
        <f t="shared" si="35"/>
        <v>13</v>
      </c>
      <c r="P104" s="15">
        <f t="shared" si="36"/>
        <v>18</v>
      </c>
      <c r="R104" s="8"/>
      <c r="T104"/>
    </row>
    <row r="105" spans="2:20" ht="23.1" customHeight="1" x14ac:dyDescent="0.25">
      <c r="B105" s="45" t="s">
        <v>145</v>
      </c>
      <c r="C105" s="51">
        <v>2</v>
      </c>
      <c r="D105" s="51">
        <v>3</v>
      </c>
      <c r="E105" s="51">
        <v>4</v>
      </c>
      <c r="F105" s="51">
        <v>2</v>
      </c>
      <c r="G105" s="51">
        <v>0</v>
      </c>
      <c r="H105" s="51">
        <v>0</v>
      </c>
      <c r="I105" s="51">
        <v>1</v>
      </c>
      <c r="J105" s="51">
        <v>0</v>
      </c>
      <c r="K105" s="51">
        <v>0</v>
      </c>
      <c r="L105" s="51">
        <v>2</v>
      </c>
      <c r="M105" s="51">
        <v>6</v>
      </c>
      <c r="N105" s="51">
        <v>0</v>
      </c>
      <c r="O105" s="15">
        <f t="shared" si="35"/>
        <v>14</v>
      </c>
      <c r="P105" s="15">
        <f t="shared" si="36"/>
        <v>20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175</v>
      </c>
      <c r="D106" s="16">
        <f t="shared" ref="D106:P106" si="37">SUM(D10:D105)</f>
        <v>160</v>
      </c>
      <c r="E106" s="16">
        <f t="shared" si="37"/>
        <v>231</v>
      </c>
      <c r="F106" s="16">
        <f t="shared" si="37"/>
        <v>131</v>
      </c>
      <c r="G106" s="16">
        <f t="shared" si="37"/>
        <v>2</v>
      </c>
      <c r="H106" s="16">
        <f t="shared" si="37"/>
        <v>62</v>
      </c>
      <c r="I106" s="16">
        <f t="shared" si="37"/>
        <v>112</v>
      </c>
      <c r="J106" s="16">
        <f t="shared" si="37"/>
        <v>17</v>
      </c>
      <c r="K106" s="16">
        <f t="shared" si="37"/>
        <v>2</v>
      </c>
      <c r="L106" s="16">
        <f t="shared" si="37"/>
        <v>85</v>
      </c>
      <c r="M106" s="16">
        <f t="shared" si="37"/>
        <v>304</v>
      </c>
      <c r="N106" s="16">
        <f t="shared" si="37"/>
        <v>0</v>
      </c>
      <c r="O106" s="16">
        <f t="shared" si="37"/>
        <v>977</v>
      </c>
      <c r="P106" s="16">
        <f t="shared" si="37"/>
        <v>1281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0.13661202185792351</v>
      </c>
      <c r="D107" s="43">
        <f t="shared" si="38"/>
        <v>0.1249024199843872</v>
      </c>
      <c r="E107" s="43">
        <f t="shared" si="38"/>
        <v>0.18032786885245902</v>
      </c>
      <c r="F107" s="43">
        <f t="shared" si="38"/>
        <v>0.10226385636221702</v>
      </c>
      <c r="G107" s="43">
        <f t="shared" si="38"/>
        <v>1.56128024980484E-3</v>
      </c>
      <c r="H107" s="43">
        <f t="shared" si="38"/>
        <v>4.8399687743950037E-2</v>
      </c>
      <c r="I107" s="43">
        <f t="shared" si="38"/>
        <v>8.7431693989071038E-2</v>
      </c>
      <c r="J107" s="43">
        <f t="shared" si="38"/>
        <v>1.3270882123341141E-2</v>
      </c>
      <c r="K107" s="43">
        <f t="shared" si="38"/>
        <v>1.56128024980484E-3</v>
      </c>
      <c r="L107" s="43">
        <f t="shared" si="38"/>
        <v>6.6354410616705703E-2</v>
      </c>
      <c r="M107" s="43">
        <f t="shared" si="38"/>
        <v>0.23731459797033569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0.17911975435005117</v>
      </c>
      <c r="D108" s="44">
        <f t="shared" ref="D108:N108" si="39">D106/$O$106</f>
        <v>0.16376663254861823</v>
      </c>
      <c r="E108" s="44">
        <f t="shared" si="39"/>
        <v>0.23643807574206754</v>
      </c>
      <c r="F108" s="44">
        <f t="shared" si="39"/>
        <v>0.13408393039918118</v>
      </c>
      <c r="G108" s="44">
        <f t="shared" si="39"/>
        <v>2.0470829068577278E-3</v>
      </c>
      <c r="H108" s="44">
        <f t="shared" si="39"/>
        <v>6.3459570112589556E-2</v>
      </c>
      <c r="I108" s="44">
        <f t="shared" si="39"/>
        <v>0.11463664278403275</v>
      </c>
      <c r="J108" s="44">
        <f t="shared" si="39"/>
        <v>1.7400204708290685E-2</v>
      </c>
      <c r="K108" s="44">
        <f t="shared" si="39"/>
        <v>2.0470829068577278E-3</v>
      </c>
      <c r="L108" s="44">
        <f t="shared" si="39"/>
        <v>8.7001023541453434E-2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B1:AE1"/>
    <mergeCell ref="B2:AE2"/>
    <mergeCell ref="C3:G3"/>
    <mergeCell ref="G5:H5"/>
    <mergeCell ref="K5:L5"/>
    <mergeCell ref="D6:E6"/>
    <mergeCell ref="G6:H6"/>
    <mergeCell ref="K6:L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G174"/>
  <sheetViews>
    <sheetView view="pageBreakPreview" topLeftCell="A28" zoomScale="55" zoomScaleSheetLayoutView="55" workbookViewId="0">
      <selection activeCell="L10" sqref="L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'29.07 Karuma-Kigumba'!C3:G3</f>
        <v>MCC - C5 - STN113 - KIGUMBA-KARUMA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71" t="str">
        <f>'02.08 Kigumba-Karuma-24h'!G5:H5</f>
        <v>nanda</v>
      </c>
      <c r="H5" s="72"/>
      <c r="I5" s="14"/>
      <c r="J5" s="2" t="s">
        <v>5</v>
      </c>
      <c r="K5" s="71" t="str">
        <f>'02.08 Kigumba-Karuma-24h'!K5:L5</f>
        <v>xxx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'29.07 Karuma-Kigumba'!D6:E6</f>
        <v>karuma</v>
      </c>
      <c r="E6" s="72"/>
      <c r="F6" s="2" t="s">
        <v>2</v>
      </c>
      <c r="G6" s="71" t="str">
        <f>'29.07 Karuma-Kigumba'!G6:H6</f>
        <v>kigumba</v>
      </c>
      <c r="H6" s="72"/>
      <c r="J6" s="2" t="s">
        <v>21</v>
      </c>
      <c r="K6" s="71" t="str">
        <f>'02.08 Kigumba-Karuma-24h'!K6:L6</f>
        <v>xxx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1">
        <v>2</v>
      </c>
      <c r="D10" s="50">
        <v>0</v>
      </c>
      <c r="E10" s="51">
        <v>1</v>
      </c>
      <c r="F10" s="51">
        <v>1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0">
        <v>0</v>
      </c>
      <c r="M10" s="51">
        <v>0</v>
      </c>
      <c r="N10" s="51">
        <v>0</v>
      </c>
      <c r="O10" s="15">
        <f t="shared" ref="O10:O57" si="0">SUM(C10:L10,N10)</f>
        <v>4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5</v>
      </c>
      <c r="T10" s="17">
        <f t="shared" si="2"/>
        <v>1</v>
      </c>
      <c r="U10" s="17">
        <f t="shared" si="2"/>
        <v>5</v>
      </c>
      <c r="V10" s="17">
        <f t="shared" si="2"/>
        <v>4</v>
      </c>
      <c r="W10" s="17">
        <f t="shared" si="2"/>
        <v>1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2</v>
      </c>
      <c r="AC10" s="17">
        <f t="shared" si="2"/>
        <v>10</v>
      </c>
      <c r="AD10" s="17">
        <f t="shared" si="2"/>
        <v>0</v>
      </c>
      <c r="AE10" s="31">
        <f t="shared" si="2"/>
        <v>19</v>
      </c>
      <c r="AF10" s="31">
        <f t="shared" si="2"/>
        <v>29</v>
      </c>
    </row>
    <row r="11" spans="2:32" s="6" customFormat="1" ht="23.1" customHeight="1" x14ac:dyDescent="0.25">
      <c r="B11" s="45" t="s">
        <v>38</v>
      </c>
      <c r="C11" s="51">
        <v>1</v>
      </c>
      <c r="D11" s="50">
        <v>0</v>
      </c>
      <c r="E11" s="51">
        <v>0</v>
      </c>
      <c r="F11" s="51">
        <v>1</v>
      </c>
      <c r="G11" s="51">
        <v>1</v>
      </c>
      <c r="H11" s="51">
        <v>0</v>
      </c>
      <c r="I11" s="51">
        <v>0</v>
      </c>
      <c r="J11" s="51">
        <v>0</v>
      </c>
      <c r="K11" s="51">
        <v>0</v>
      </c>
      <c r="L11" s="50">
        <v>0</v>
      </c>
      <c r="M11" s="51">
        <v>1</v>
      </c>
      <c r="N11" s="51">
        <v>0</v>
      </c>
      <c r="O11" s="15">
        <f t="shared" si="0"/>
        <v>3</v>
      </c>
      <c r="P11" s="15">
        <f t="shared" si="1"/>
        <v>4</v>
      </c>
      <c r="R11" s="1" t="s">
        <v>7</v>
      </c>
      <c r="S11" s="17">
        <f t="shared" ref="S11:AF11" si="3">SUM(C14:C17)</f>
        <v>6</v>
      </c>
      <c r="T11" s="17">
        <f t="shared" si="3"/>
        <v>4</v>
      </c>
      <c r="U11" s="17">
        <f t="shared" si="3"/>
        <v>10</v>
      </c>
      <c r="V11" s="17">
        <f t="shared" si="3"/>
        <v>4</v>
      </c>
      <c r="W11" s="17">
        <f t="shared" si="3"/>
        <v>0</v>
      </c>
      <c r="X11" s="17">
        <f t="shared" si="3"/>
        <v>1</v>
      </c>
      <c r="Y11" s="17">
        <f t="shared" si="3"/>
        <v>2</v>
      </c>
      <c r="Z11" s="17">
        <f t="shared" si="3"/>
        <v>1</v>
      </c>
      <c r="AA11" s="17">
        <f t="shared" si="3"/>
        <v>0</v>
      </c>
      <c r="AB11" s="17">
        <f t="shared" si="3"/>
        <v>2</v>
      </c>
      <c r="AC11" s="17">
        <f t="shared" si="3"/>
        <v>15</v>
      </c>
      <c r="AD11" s="17">
        <f t="shared" si="3"/>
        <v>0</v>
      </c>
      <c r="AE11" s="31">
        <f t="shared" si="3"/>
        <v>30</v>
      </c>
      <c r="AF11" s="31">
        <f t="shared" si="3"/>
        <v>45</v>
      </c>
    </row>
    <row r="12" spans="2:32" ht="23.1" customHeight="1" x14ac:dyDescent="0.25">
      <c r="B12" s="45" t="s">
        <v>39</v>
      </c>
      <c r="C12" s="51">
        <v>0</v>
      </c>
      <c r="D12" s="50">
        <v>1</v>
      </c>
      <c r="E12" s="51">
        <v>2</v>
      </c>
      <c r="F12" s="51">
        <v>1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0">
        <v>1</v>
      </c>
      <c r="M12" s="51">
        <v>3</v>
      </c>
      <c r="N12" s="51">
        <v>0</v>
      </c>
      <c r="O12" s="15">
        <f t="shared" si="0"/>
        <v>5</v>
      </c>
      <c r="P12" s="15">
        <f t="shared" si="1"/>
        <v>8</v>
      </c>
      <c r="R12" s="1" t="s">
        <v>8</v>
      </c>
      <c r="S12" s="17">
        <f t="shared" ref="S12:AF12" si="4">SUM(C18:C21)</f>
        <v>9</v>
      </c>
      <c r="T12" s="17">
        <f t="shared" si="4"/>
        <v>4</v>
      </c>
      <c r="U12" s="17">
        <f t="shared" si="4"/>
        <v>9</v>
      </c>
      <c r="V12" s="17">
        <f t="shared" si="4"/>
        <v>5</v>
      </c>
      <c r="W12" s="17">
        <f t="shared" si="4"/>
        <v>0</v>
      </c>
      <c r="X12" s="17">
        <f t="shared" si="4"/>
        <v>3</v>
      </c>
      <c r="Y12" s="17">
        <f t="shared" si="4"/>
        <v>3</v>
      </c>
      <c r="Z12" s="17">
        <f t="shared" si="4"/>
        <v>1</v>
      </c>
      <c r="AA12" s="17">
        <f t="shared" si="4"/>
        <v>2</v>
      </c>
      <c r="AB12" s="17">
        <f t="shared" si="4"/>
        <v>6</v>
      </c>
      <c r="AC12" s="17">
        <f t="shared" si="4"/>
        <v>12</v>
      </c>
      <c r="AD12" s="17">
        <f t="shared" si="4"/>
        <v>0</v>
      </c>
      <c r="AE12" s="31">
        <f t="shared" si="4"/>
        <v>42</v>
      </c>
      <c r="AF12" s="31">
        <f t="shared" si="4"/>
        <v>54</v>
      </c>
    </row>
    <row r="13" spans="2:32" ht="23.1" customHeight="1" x14ac:dyDescent="0.25">
      <c r="B13" s="45" t="s">
        <v>40</v>
      </c>
      <c r="C13" s="51">
        <v>2</v>
      </c>
      <c r="D13" s="50">
        <v>0</v>
      </c>
      <c r="E13" s="51">
        <v>2</v>
      </c>
      <c r="F13" s="51">
        <v>1</v>
      </c>
      <c r="G13" s="51">
        <v>0</v>
      </c>
      <c r="H13" s="51">
        <v>0</v>
      </c>
      <c r="I13" s="51">
        <v>1</v>
      </c>
      <c r="J13" s="51">
        <v>0</v>
      </c>
      <c r="K13" s="51">
        <v>0</v>
      </c>
      <c r="L13" s="50">
        <v>1</v>
      </c>
      <c r="M13" s="51">
        <v>6</v>
      </c>
      <c r="N13" s="51">
        <v>0</v>
      </c>
      <c r="O13" s="15">
        <f t="shared" si="0"/>
        <v>7</v>
      </c>
      <c r="P13" s="15">
        <f t="shared" si="1"/>
        <v>13</v>
      </c>
      <c r="R13" s="1" t="s">
        <v>9</v>
      </c>
      <c r="S13" s="17">
        <f t="shared" ref="S13:AF13" si="5">SUM(C22:C25)</f>
        <v>7</v>
      </c>
      <c r="T13" s="17">
        <f t="shared" si="5"/>
        <v>4</v>
      </c>
      <c r="U13" s="17">
        <f t="shared" si="5"/>
        <v>9</v>
      </c>
      <c r="V13" s="17">
        <f t="shared" si="5"/>
        <v>8</v>
      </c>
      <c r="W13" s="17">
        <f t="shared" si="5"/>
        <v>1</v>
      </c>
      <c r="X13" s="17">
        <f t="shared" si="5"/>
        <v>3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2</v>
      </c>
      <c r="AC13" s="17">
        <f t="shared" si="5"/>
        <v>23</v>
      </c>
      <c r="AD13" s="17">
        <f t="shared" si="5"/>
        <v>0</v>
      </c>
      <c r="AE13" s="31">
        <f t="shared" si="5"/>
        <v>37</v>
      </c>
      <c r="AF13" s="31">
        <f t="shared" si="5"/>
        <v>60</v>
      </c>
    </row>
    <row r="14" spans="2:32" ht="23.1" customHeight="1" x14ac:dyDescent="0.25">
      <c r="B14" s="45" t="s">
        <v>41</v>
      </c>
      <c r="C14" s="51">
        <v>0</v>
      </c>
      <c r="D14" s="50">
        <v>0</v>
      </c>
      <c r="E14" s="51">
        <v>2</v>
      </c>
      <c r="F14" s="51">
        <v>2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0">
        <v>2</v>
      </c>
      <c r="M14" s="51">
        <v>1</v>
      </c>
      <c r="N14" s="51">
        <v>0</v>
      </c>
      <c r="O14" s="15">
        <f t="shared" si="0"/>
        <v>6</v>
      </c>
      <c r="P14" s="15">
        <f t="shared" si="1"/>
        <v>7</v>
      </c>
      <c r="R14" s="1" t="s">
        <v>10</v>
      </c>
      <c r="S14" s="17">
        <f t="shared" ref="S14:AF14" si="6">SUM(C26:C29)</f>
        <v>5</v>
      </c>
      <c r="T14" s="17">
        <f t="shared" si="6"/>
        <v>7</v>
      </c>
      <c r="U14" s="17">
        <f t="shared" si="6"/>
        <v>15</v>
      </c>
      <c r="V14" s="17">
        <f t="shared" si="6"/>
        <v>4</v>
      </c>
      <c r="W14" s="17">
        <f t="shared" si="6"/>
        <v>1</v>
      </c>
      <c r="X14" s="17">
        <f t="shared" si="6"/>
        <v>4</v>
      </c>
      <c r="Y14" s="17">
        <f t="shared" si="6"/>
        <v>5</v>
      </c>
      <c r="Z14" s="17">
        <f t="shared" si="6"/>
        <v>2</v>
      </c>
      <c r="AA14" s="17">
        <f t="shared" si="6"/>
        <v>0</v>
      </c>
      <c r="AB14" s="17">
        <f t="shared" si="6"/>
        <v>6</v>
      </c>
      <c r="AC14" s="17">
        <f t="shared" si="6"/>
        <v>12</v>
      </c>
      <c r="AD14" s="17">
        <f t="shared" si="6"/>
        <v>0</v>
      </c>
      <c r="AE14" s="31">
        <f t="shared" si="6"/>
        <v>49</v>
      </c>
      <c r="AF14" s="31">
        <f t="shared" si="6"/>
        <v>61</v>
      </c>
    </row>
    <row r="15" spans="2:32" ht="23.1" customHeight="1" x14ac:dyDescent="0.25">
      <c r="B15" s="45" t="s">
        <v>42</v>
      </c>
      <c r="C15" s="51">
        <v>1</v>
      </c>
      <c r="D15" s="50">
        <v>1</v>
      </c>
      <c r="E15" s="51">
        <v>2</v>
      </c>
      <c r="F15" s="51">
        <v>1</v>
      </c>
      <c r="G15" s="51">
        <v>0</v>
      </c>
      <c r="H15" s="51">
        <v>0</v>
      </c>
      <c r="I15" s="51">
        <v>1</v>
      </c>
      <c r="J15" s="51">
        <v>1</v>
      </c>
      <c r="K15" s="51">
        <v>0</v>
      </c>
      <c r="L15" s="50">
        <v>0</v>
      </c>
      <c r="M15" s="51">
        <v>6</v>
      </c>
      <c r="N15" s="51">
        <v>0</v>
      </c>
      <c r="O15" s="15">
        <f t="shared" si="0"/>
        <v>7</v>
      </c>
      <c r="P15" s="15">
        <f t="shared" si="1"/>
        <v>13</v>
      </c>
      <c r="R15" s="1" t="s">
        <v>11</v>
      </c>
      <c r="S15" s="17">
        <f t="shared" ref="S15:AF15" si="7">SUM(C30:C33)</f>
        <v>17</v>
      </c>
      <c r="T15" s="17">
        <f t="shared" si="7"/>
        <v>9</v>
      </c>
      <c r="U15" s="17">
        <f t="shared" si="7"/>
        <v>15</v>
      </c>
      <c r="V15" s="17">
        <f t="shared" si="7"/>
        <v>10</v>
      </c>
      <c r="W15" s="17">
        <f t="shared" si="7"/>
        <v>1</v>
      </c>
      <c r="X15" s="17">
        <f t="shared" si="7"/>
        <v>4</v>
      </c>
      <c r="Y15" s="17">
        <f t="shared" si="7"/>
        <v>10</v>
      </c>
      <c r="Z15" s="17">
        <f t="shared" si="7"/>
        <v>1</v>
      </c>
      <c r="AA15" s="17">
        <f t="shared" si="7"/>
        <v>0</v>
      </c>
      <c r="AB15" s="17">
        <f t="shared" si="7"/>
        <v>7</v>
      </c>
      <c r="AC15" s="17">
        <f t="shared" si="7"/>
        <v>27</v>
      </c>
      <c r="AD15" s="17">
        <f t="shared" si="7"/>
        <v>0</v>
      </c>
      <c r="AE15" s="31">
        <f t="shared" si="7"/>
        <v>74</v>
      </c>
      <c r="AF15" s="31">
        <f t="shared" si="7"/>
        <v>101</v>
      </c>
    </row>
    <row r="16" spans="2:32" ht="23.1" customHeight="1" x14ac:dyDescent="0.25">
      <c r="B16" s="45" t="s">
        <v>43</v>
      </c>
      <c r="C16" s="51">
        <v>3</v>
      </c>
      <c r="D16" s="50">
        <v>1</v>
      </c>
      <c r="E16" s="51">
        <v>2</v>
      </c>
      <c r="F16" s="51">
        <v>0</v>
      </c>
      <c r="G16" s="51">
        <v>0</v>
      </c>
      <c r="H16" s="51">
        <v>0</v>
      </c>
      <c r="I16" s="51">
        <v>1</v>
      </c>
      <c r="J16" s="51">
        <v>0</v>
      </c>
      <c r="K16" s="51">
        <v>0</v>
      </c>
      <c r="L16" s="50">
        <v>0</v>
      </c>
      <c r="M16" s="51">
        <v>2</v>
      </c>
      <c r="N16" s="51">
        <v>0</v>
      </c>
      <c r="O16" s="15">
        <f t="shared" si="0"/>
        <v>7</v>
      </c>
      <c r="P16" s="15">
        <f t="shared" si="1"/>
        <v>9</v>
      </c>
      <c r="R16" s="1" t="s">
        <v>12</v>
      </c>
      <c r="S16" s="17">
        <f t="shared" ref="S16:AF16" si="8">SUM(C34:C37)</f>
        <v>18</v>
      </c>
      <c r="T16" s="17">
        <f t="shared" si="8"/>
        <v>11</v>
      </c>
      <c r="U16" s="17">
        <f t="shared" si="8"/>
        <v>20</v>
      </c>
      <c r="V16" s="17">
        <f t="shared" si="8"/>
        <v>2</v>
      </c>
      <c r="W16" s="17">
        <f t="shared" si="8"/>
        <v>0</v>
      </c>
      <c r="X16" s="17">
        <f t="shared" si="8"/>
        <v>5</v>
      </c>
      <c r="Y16" s="17">
        <f t="shared" si="8"/>
        <v>8</v>
      </c>
      <c r="Z16" s="17">
        <f t="shared" si="8"/>
        <v>0</v>
      </c>
      <c r="AA16" s="17">
        <f t="shared" si="8"/>
        <v>1</v>
      </c>
      <c r="AB16" s="17">
        <f t="shared" si="8"/>
        <v>8</v>
      </c>
      <c r="AC16" s="17">
        <f t="shared" si="8"/>
        <v>18</v>
      </c>
      <c r="AD16" s="17">
        <f t="shared" si="8"/>
        <v>0</v>
      </c>
      <c r="AE16" s="31">
        <f t="shared" si="8"/>
        <v>73</v>
      </c>
      <c r="AF16" s="31">
        <f t="shared" si="8"/>
        <v>91</v>
      </c>
    </row>
    <row r="17" spans="2:32" ht="23.1" customHeight="1" x14ac:dyDescent="0.25">
      <c r="B17" s="45" t="s">
        <v>44</v>
      </c>
      <c r="C17" s="51">
        <v>2</v>
      </c>
      <c r="D17" s="50">
        <v>2</v>
      </c>
      <c r="E17" s="51">
        <v>4</v>
      </c>
      <c r="F17" s="51">
        <v>1</v>
      </c>
      <c r="G17" s="51">
        <v>0</v>
      </c>
      <c r="H17" s="51">
        <v>1</v>
      </c>
      <c r="I17" s="51">
        <v>0</v>
      </c>
      <c r="J17" s="51">
        <v>0</v>
      </c>
      <c r="K17" s="51">
        <v>0</v>
      </c>
      <c r="L17" s="50">
        <v>0</v>
      </c>
      <c r="M17" s="51">
        <v>6</v>
      </c>
      <c r="N17" s="51">
        <v>0</v>
      </c>
      <c r="O17" s="15">
        <f t="shared" si="0"/>
        <v>10</v>
      </c>
      <c r="P17" s="15">
        <f t="shared" si="1"/>
        <v>16</v>
      </c>
      <c r="R17" s="1" t="s">
        <v>13</v>
      </c>
      <c r="S17" s="17">
        <f t="shared" ref="S17:AF17" si="9">SUM(C38:C41)</f>
        <v>11</v>
      </c>
      <c r="T17" s="17">
        <f t="shared" si="9"/>
        <v>11</v>
      </c>
      <c r="U17" s="17">
        <f t="shared" si="9"/>
        <v>20</v>
      </c>
      <c r="V17" s="17">
        <f t="shared" si="9"/>
        <v>10</v>
      </c>
      <c r="W17" s="17">
        <f t="shared" si="9"/>
        <v>1</v>
      </c>
      <c r="X17" s="17">
        <f t="shared" si="9"/>
        <v>5</v>
      </c>
      <c r="Y17" s="17">
        <f t="shared" si="9"/>
        <v>9</v>
      </c>
      <c r="Z17" s="17">
        <f t="shared" si="9"/>
        <v>1</v>
      </c>
      <c r="AA17" s="17">
        <f t="shared" si="9"/>
        <v>0</v>
      </c>
      <c r="AB17" s="17">
        <f t="shared" si="9"/>
        <v>6</v>
      </c>
      <c r="AC17" s="17">
        <f t="shared" si="9"/>
        <v>22</v>
      </c>
      <c r="AD17" s="17">
        <f t="shared" si="9"/>
        <v>0</v>
      </c>
      <c r="AE17" s="31">
        <f t="shared" si="9"/>
        <v>74</v>
      </c>
      <c r="AF17" s="31">
        <f t="shared" si="9"/>
        <v>96</v>
      </c>
    </row>
    <row r="18" spans="2:32" ht="23.1" customHeight="1" x14ac:dyDescent="0.25">
      <c r="B18" s="45" t="s">
        <v>45</v>
      </c>
      <c r="C18" s="51">
        <v>1</v>
      </c>
      <c r="D18" s="50">
        <v>1</v>
      </c>
      <c r="E18" s="51">
        <v>2</v>
      </c>
      <c r="F18" s="51">
        <v>0</v>
      </c>
      <c r="G18" s="51">
        <v>0</v>
      </c>
      <c r="H18" s="51">
        <v>1</v>
      </c>
      <c r="I18" s="51">
        <v>1</v>
      </c>
      <c r="J18" s="51">
        <v>0</v>
      </c>
      <c r="K18" s="51">
        <v>0</v>
      </c>
      <c r="L18" s="50">
        <v>1</v>
      </c>
      <c r="M18" s="51">
        <v>3</v>
      </c>
      <c r="N18" s="51">
        <v>0</v>
      </c>
      <c r="O18" s="15">
        <f t="shared" si="0"/>
        <v>7</v>
      </c>
      <c r="P18" s="15">
        <f t="shared" si="1"/>
        <v>10</v>
      </c>
      <c r="R18" s="1" t="s">
        <v>14</v>
      </c>
      <c r="S18" s="17">
        <f t="shared" ref="S18:AF18" si="10">SUM(C42:C45)</f>
        <v>9</v>
      </c>
      <c r="T18" s="17">
        <f t="shared" si="10"/>
        <v>14</v>
      </c>
      <c r="U18" s="17">
        <f t="shared" si="10"/>
        <v>24</v>
      </c>
      <c r="V18" s="17">
        <f t="shared" si="10"/>
        <v>11</v>
      </c>
      <c r="W18" s="17">
        <f t="shared" si="10"/>
        <v>0</v>
      </c>
      <c r="X18" s="17">
        <f t="shared" si="10"/>
        <v>5</v>
      </c>
      <c r="Y18" s="17">
        <f t="shared" si="10"/>
        <v>6</v>
      </c>
      <c r="Z18" s="17">
        <f t="shared" si="10"/>
        <v>2</v>
      </c>
      <c r="AA18" s="17">
        <f t="shared" si="10"/>
        <v>0</v>
      </c>
      <c r="AB18" s="17">
        <f t="shared" si="10"/>
        <v>4</v>
      </c>
      <c r="AC18" s="17">
        <f t="shared" si="10"/>
        <v>25</v>
      </c>
      <c r="AD18" s="17">
        <f t="shared" si="10"/>
        <v>0</v>
      </c>
      <c r="AE18" s="31">
        <f t="shared" si="10"/>
        <v>75</v>
      </c>
      <c r="AF18" s="31">
        <f t="shared" si="10"/>
        <v>100</v>
      </c>
    </row>
    <row r="19" spans="2:32" ht="23.1" customHeight="1" x14ac:dyDescent="0.25">
      <c r="B19" s="45" t="s">
        <v>46</v>
      </c>
      <c r="C19" s="51">
        <v>2</v>
      </c>
      <c r="D19" s="50">
        <v>0</v>
      </c>
      <c r="E19" s="51">
        <v>0</v>
      </c>
      <c r="F19" s="51">
        <v>2</v>
      </c>
      <c r="G19" s="51">
        <v>0</v>
      </c>
      <c r="H19" s="51">
        <v>1</v>
      </c>
      <c r="I19" s="51">
        <v>0</v>
      </c>
      <c r="J19" s="51">
        <v>0</v>
      </c>
      <c r="K19" s="51">
        <v>1</v>
      </c>
      <c r="L19" s="50">
        <v>0</v>
      </c>
      <c r="M19" s="51">
        <v>3</v>
      </c>
      <c r="N19" s="51">
        <v>0</v>
      </c>
      <c r="O19" s="15">
        <f t="shared" si="0"/>
        <v>6</v>
      </c>
      <c r="P19" s="15">
        <f t="shared" si="1"/>
        <v>9</v>
      </c>
      <c r="R19" s="1" t="s">
        <v>15</v>
      </c>
      <c r="S19" s="17">
        <f t="shared" ref="S19:AF19" si="11">SUM(C46:C49)</f>
        <v>8</v>
      </c>
      <c r="T19" s="17">
        <f t="shared" si="11"/>
        <v>9</v>
      </c>
      <c r="U19" s="17">
        <f t="shared" si="11"/>
        <v>19</v>
      </c>
      <c r="V19" s="17">
        <f t="shared" si="11"/>
        <v>8</v>
      </c>
      <c r="W19" s="17">
        <f t="shared" si="11"/>
        <v>1</v>
      </c>
      <c r="X19" s="17">
        <f t="shared" si="11"/>
        <v>4</v>
      </c>
      <c r="Y19" s="17">
        <f t="shared" si="11"/>
        <v>8</v>
      </c>
      <c r="Z19" s="17">
        <f t="shared" si="11"/>
        <v>1</v>
      </c>
      <c r="AA19" s="17">
        <f t="shared" si="11"/>
        <v>1</v>
      </c>
      <c r="AB19" s="17">
        <f t="shared" si="11"/>
        <v>6</v>
      </c>
      <c r="AC19" s="17">
        <f t="shared" si="11"/>
        <v>33</v>
      </c>
      <c r="AD19" s="17">
        <f t="shared" si="11"/>
        <v>0</v>
      </c>
      <c r="AE19" s="31">
        <f t="shared" si="11"/>
        <v>65</v>
      </c>
      <c r="AF19" s="31">
        <f t="shared" si="11"/>
        <v>98</v>
      </c>
    </row>
    <row r="20" spans="2:32" ht="23.1" customHeight="1" x14ac:dyDescent="0.25">
      <c r="B20" s="45" t="s">
        <v>47</v>
      </c>
      <c r="C20" s="51">
        <v>2</v>
      </c>
      <c r="D20" s="50">
        <v>0</v>
      </c>
      <c r="E20" s="51">
        <v>2</v>
      </c>
      <c r="F20" s="51">
        <v>0</v>
      </c>
      <c r="G20" s="51">
        <v>0</v>
      </c>
      <c r="H20" s="51">
        <v>0</v>
      </c>
      <c r="I20" s="51">
        <v>2</v>
      </c>
      <c r="J20" s="51">
        <v>1</v>
      </c>
      <c r="K20" s="51">
        <v>0</v>
      </c>
      <c r="L20" s="50">
        <v>3</v>
      </c>
      <c r="M20" s="51">
        <v>5</v>
      </c>
      <c r="N20" s="51">
        <v>0</v>
      </c>
      <c r="O20" s="15">
        <f t="shared" si="0"/>
        <v>10</v>
      </c>
      <c r="P20" s="15">
        <f t="shared" si="1"/>
        <v>15</v>
      </c>
      <c r="R20" s="1" t="s">
        <v>16</v>
      </c>
      <c r="S20" s="17">
        <f t="shared" ref="S20:AF20" si="12">SUM(C50:C53)</f>
        <v>6</v>
      </c>
      <c r="T20" s="17">
        <f t="shared" si="12"/>
        <v>8</v>
      </c>
      <c r="U20" s="17">
        <f t="shared" si="12"/>
        <v>14</v>
      </c>
      <c r="V20" s="17">
        <f t="shared" si="12"/>
        <v>5</v>
      </c>
      <c r="W20" s="17">
        <f t="shared" si="12"/>
        <v>1</v>
      </c>
      <c r="X20" s="17">
        <f t="shared" si="12"/>
        <v>8</v>
      </c>
      <c r="Y20" s="17">
        <f t="shared" si="12"/>
        <v>14</v>
      </c>
      <c r="Z20" s="17">
        <f t="shared" si="12"/>
        <v>1</v>
      </c>
      <c r="AA20" s="17">
        <f t="shared" si="12"/>
        <v>4</v>
      </c>
      <c r="AB20" s="17">
        <f t="shared" si="12"/>
        <v>9</v>
      </c>
      <c r="AC20" s="17">
        <f t="shared" si="12"/>
        <v>19</v>
      </c>
      <c r="AD20" s="17">
        <f t="shared" si="12"/>
        <v>1</v>
      </c>
      <c r="AE20" s="31">
        <f t="shared" si="12"/>
        <v>71</v>
      </c>
      <c r="AF20" s="31">
        <f t="shared" si="12"/>
        <v>90</v>
      </c>
    </row>
    <row r="21" spans="2:32" ht="23.1" customHeight="1" x14ac:dyDescent="0.25">
      <c r="B21" s="45" t="s">
        <v>48</v>
      </c>
      <c r="C21" s="51">
        <v>4</v>
      </c>
      <c r="D21" s="50">
        <v>3</v>
      </c>
      <c r="E21" s="51">
        <v>5</v>
      </c>
      <c r="F21" s="51">
        <v>3</v>
      </c>
      <c r="G21" s="51">
        <v>0</v>
      </c>
      <c r="H21" s="51">
        <v>1</v>
      </c>
      <c r="I21" s="51">
        <v>0</v>
      </c>
      <c r="J21" s="51">
        <v>0</v>
      </c>
      <c r="K21" s="51">
        <v>1</v>
      </c>
      <c r="L21" s="50">
        <v>2</v>
      </c>
      <c r="M21" s="51">
        <v>1</v>
      </c>
      <c r="N21" s="51">
        <v>0</v>
      </c>
      <c r="O21" s="15">
        <f t="shared" si="0"/>
        <v>19</v>
      </c>
      <c r="P21" s="15">
        <f t="shared" si="1"/>
        <v>20</v>
      </c>
      <c r="R21" s="36" t="s">
        <v>20</v>
      </c>
      <c r="S21" s="34">
        <f t="shared" ref="S21:AF21" si="13">SUM(C54:C57)</f>
        <v>17</v>
      </c>
      <c r="T21" s="17">
        <f t="shared" si="13"/>
        <v>4</v>
      </c>
      <c r="U21" s="17">
        <f t="shared" si="13"/>
        <v>11</v>
      </c>
      <c r="V21" s="17">
        <f t="shared" si="13"/>
        <v>5</v>
      </c>
      <c r="W21" s="17">
        <f t="shared" si="13"/>
        <v>0</v>
      </c>
      <c r="X21" s="17">
        <f t="shared" si="13"/>
        <v>3</v>
      </c>
      <c r="Y21" s="17">
        <f t="shared" si="13"/>
        <v>11</v>
      </c>
      <c r="Z21" s="17">
        <f t="shared" si="13"/>
        <v>1</v>
      </c>
      <c r="AA21" s="17">
        <f t="shared" si="13"/>
        <v>0</v>
      </c>
      <c r="AB21" s="17">
        <f t="shared" si="13"/>
        <v>7</v>
      </c>
      <c r="AC21" s="17">
        <f t="shared" si="13"/>
        <v>20</v>
      </c>
      <c r="AD21" s="17">
        <f t="shared" si="13"/>
        <v>0</v>
      </c>
      <c r="AE21" s="31">
        <f t="shared" si="13"/>
        <v>59</v>
      </c>
      <c r="AF21" s="31">
        <f t="shared" si="13"/>
        <v>79</v>
      </c>
    </row>
    <row r="22" spans="2:32" ht="23.1" customHeight="1" x14ac:dyDescent="0.25">
      <c r="B22" s="45" t="s">
        <v>49</v>
      </c>
      <c r="C22" s="51">
        <v>3</v>
      </c>
      <c r="D22" s="50">
        <v>0</v>
      </c>
      <c r="E22" s="51">
        <v>1</v>
      </c>
      <c r="F22" s="51">
        <v>0</v>
      </c>
      <c r="G22" s="51">
        <v>0</v>
      </c>
      <c r="H22" s="51">
        <v>1</v>
      </c>
      <c r="I22" s="51">
        <v>0</v>
      </c>
      <c r="J22" s="51">
        <v>0</v>
      </c>
      <c r="K22" s="51">
        <v>0</v>
      </c>
      <c r="L22" s="50">
        <v>1</v>
      </c>
      <c r="M22" s="51">
        <v>6</v>
      </c>
      <c r="N22" s="51">
        <v>0</v>
      </c>
      <c r="O22" s="15">
        <f t="shared" si="0"/>
        <v>6</v>
      </c>
      <c r="P22" s="15">
        <f t="shared" si="1"/>
        <v>12</v>
      </c>
      <c r="R22" s="38" t="s">
        <v>90</v>
      </c>
      <c r="S22" s="39">
        <f t="shared" ref="S22:AF22" si="14">MAX(S10:S12)</f>
        <v>9</v>
      </c>
      <c r="T22" s="39">
        <f t="shared" si="14"/>
        <v>4</v>
      </c>
      <c r="U22" s="39">
        <f t="shared" si="14"/>
        <v>10</v>
      </c>
      <c r="V22" s="39">
        <f t="shared" si="14"/>
        <v>5</v>
      </c>
      <c r="W22" s="39">
        <f t="shared" si="14"/>
        <v>1</v>
      </c>
      <c r="X22" s="39">
        <f t="shared" si="14"/>
        <v>3</v>
      </c>
      <c r="Y22" s="39">
        <f t="shared" si="14"/>
        <v>3</v>
      </c>
      <c r="Z22" s="39">
        <f t="shared" si="14"/>
        <v>1</v>
      </c>
      <c r="AA22" s="39">
        <f t="shared" si="14"/>
        <v>2</v>
      </c>
      <c r="AB22" s="39">
        <f t="shared" si="14"/>
        <v>6</v>
      </c>
      <c r="AC22" s="39">
        <f t="shared" si="14"/>
        <v>15</v>
      </c>
      <c r="AD22" s="39">
        <f t="shared" si="14"/>
        <v>0</v>
      </c>
      <c r="AE22" s="40">
        <f t="shared" si="14"/>
        <v>42</v>
      </c>
      <c r="AF22" s="40">
        <f t="shared" si="14"/>
        <v>54</v>
      </c>
    </row>
    <row r="23" spans="2:32" ht="23.1" customHeight="1" x14ac:dyDescent="0.25">
      <c r="B23" s="45" t="s">
        <v>50</v>
      </c>
      <c r="C23" s="51">
        <v>0</v>
      </c>
      <c r="D23" s="50">
        <v>0</v>
      </c>
      <c r="E23" s="51">
        <v>0</v>
      </c>
      <c r="F23" s="51">
        <v>1</v>
      </c>
      <c r="G23" s="51">
        <v>1</v>
      </c>
      <c r="H23" s="51">
        <v>0</v>
      </c>
      <c r="I23" s="51">
        <v>0</v>
      </c>
      <c r="J23" s="51">
        <v>0</v>
      </c>
      <c r="K23" s="51">
        <v>0</v>
      </c>
      <c r="L23" s="50">
        <v>0</v>
      </c>
      <c r="M23" s="51">
        <v>5</v>
      </c>
      <c r="N23" s="51">
        <v>0</v>
      </c>
      <c r="O23" s="15">
        <f t="shared" si="0"/>
        <v>2</v>
      </c>
      <c r="P23" s="15">
        <f t="shared" si="1"/>
        <v>7</v>
      </c>
      <c r="R23" s="38" t="s">
        <v>91</v>
      </c>
      <c r="S23" s="39">
        <f t="shared" ref="S23:AF23" si="15">MAX(S13:S18)</f>
        <v>18</v>
      </c>
      <c r="T23" s="39">
        <f t="shared" si="15"/>
        <v>14</v>
      </c>
      <c r="U23" s="39">
        <f t="shared" si="15"/>
        <v>24</v>
      </c>
      <c r="V23" s="39">
        <f t="shared" si="15"/>
        <v>11</v>
      </c>
      <c r="W23" s="39">
        <f t="shared" si="15"/>
        <v>1</v>
      </c>
      <c r="X23" s="39">
        <f t="shared" si="15"/>
        <v>5</v>
      </c>
      <c r="Y23" s="39">
        <f t="shared" si="15"/>
        <v>10</v>
      </c>
      <c r="Z23" s="39">
        <f t="shared" si="15"/>
        <v>2</v>
      </c>
      <c r="AA23" s="39">
        <f t="shared" si="15"/>
        <v>1</v>
      </c>
      <c r="AB23" s="39">
        <f t="shared" si="15"/>
        <v>8</v>
      </c>
      <c r="AC23" s="39">
        <f t="shared" si="15"/>
        <v>27</v>
      </c>
      <c r="AD23" s="39">
        <f t="shared" si="15"/>
        <v>0</v>
      </c>
      <c r="AE23" s="40">
        <f t="shared" si="15"/>
        <v>75</v>
      </c>
      <c r="AF23" s="40">
        <f t="shared" si="15"/>
        <v>101</v>
      </c>
    </row>
    <row r="24" spans="2:32" ht="23.1" customHeight="1" x14ac:dyDescent="0.25">
      <c r="B24" s="45" t="s">
        <v>51</v>
      </c>
      <c r="C24" s="51">
        <v>1</v>
      </c>
      <c r="D24" s="50">
        <v>2</v>
      </c>
      <c r="E24" s="51">
        <v>4</v>
      </c>
      <c r="F24" s="51">
        <v>2</v>
      </c>
      <c r="G24" s="51">
        <v>0</v>
      </c>
      <c r="H24" s="51">
        <v>1</v>
      </c>
      <c r="I24" s="51">
        <v>2</v>
      </c>
      <c r="J24" s="51">
        <v>0</v>
      </c>
      <c r="K24" s="51">
        <v>0</v>
      </c>
      <c r="L24" s="50">
        <v>0</v>
      </c>
      <c r="M24" s="51">
        <v>4</v>
      </c>
      <c r="N24" s="51">
        <v>0</v>
      </c>
      <c r="O24" s="15">
        <f t="shared" si="0"/>
        <v>12</v>
      </c>
      <c r="P24" s="15">
        <f t="shared" si="1"/>
        <v>16</v>
      </c>
      <c r="R24" s="38" t="s">
        <v>92</v>
      </c>
      <c r="S24" s="39">
        <f t="shared" ref="S24:AF24" si="16">MAX(S19:S21)</f>
        <v>17</v>
      </c>
      <c r="T24" s="39">
        <f t="shared" si="16"/>
        <v>9</v>
      </c>
      <c r="U24" s="39">
        <f t="shared" si="16"/>
        <v>19</v>
      </c>
      <c r="V24" s="39">
        <f t="shared" si="16"/>
        <v>8</v>
      </c>
      <c r="W24" s="39">
        <f t="shared" si="16"/>
        <v>1</v>
      </c>
      <c r="X24" s="39">
        <f t="shared" si="16"/>
        <v>8</v>
      </c>
      <c r="Y24" s="39">
        <f t="shared" si="16"/>
        <v>14</v>
      </c>
      <c r="Z24" s="39">
        <f t="shared" si="16"/>
        <v>1</v>
      </c>
      <c r="AA24" s="39">
        <f t="shared" si="16"/>
        <v>4</v>
      </c>
      <c r="AB24" s="39">
        <f t="shared" si="16"/>
        <v>9</v>
      </c>
      <c r="AC24" s="39">
        <f t="shared" si="16"/>
        <v>33</v>
      </c>
      <c r="AD24" s="39">
        <f t="shared" si="16"/>
        <v>1</v>
      </c>
      <c r="AE24" s="40">
        <f t="shared" si="16"/>
        <v>71</v>
      </c>
      <c r="AF24" s="40">
        <f t="shared" si="16"/>
        <v>98</v>
      </c>
    </row>
    <row r="25" spans="2:32" ht="23.1" customHeight="1" x14ac:dyDescent="0.25">
      <c r="B25" s="45" t="s">
        <v>52</v>
      </c>
      <c r="C25" s="51">
        <v>3</v>
      </c>
      <c r="D25" s="50">
        <v>2</v>
      </c>
      <c r="E25" s="51">
        <v>4</v>
      </c>
      <c r="F25" s="51">
        <v>5</v>
      </c>
      <c r="G25" s="51">
        <v>0</v>
      </c>
      <c r="H25" s="51">
        <v>1</v>
      </c>
      <c r="I25" s="51">
        <v>1</v>
      </c>
      <c r="J25" s="51">
        <v>0</v>
      </c>
      <c r="K25" s="51">
        <v>0</v>
      </c>
      <c r="L25" s="50">
        <v>1</v>
      </c>
      <c r="M25" s="51">
        <v>8</v>
      </c>
      <c r="N25" s="51">
        <v>0</v>
      </c>
      <c r="O25" s="15">
        <f t="shared" si="0"/>
        <v>17</v>
      </c>
      <c r="P25" s="15">
        <f t="shared" si="1"/>
        <v>25</v>
      </c>
      <c r="R25" s="37" t="s">
        <v>85</v>
      </c>
      <c r="S25" s="35">
        <f t="shared" ref="S25:AF25" si="17">SUM(S10:S12)</f>
        <v>20</v>
      </c>
      <c r="T25" s="16">
        <f t="shared" si="17"/>
        <v>9</v>
      </c>
      <c r="U25" s="16">
        <f t="shared" si="17"/>
        <v>24</v>
      </c>
      <c r="V25" s="16">
        <f t="shared" si="17"/>
        <v>13</v>
      </c>
      <c r="W25" s="16">
        <f t="shared" si="17"/>
        <v>1</v>
      </c>
      <c r="X25" s="16">
        <f t="shared" si="17"/>
        <v>4</v>
      </c>
      <c r="Y25" s="16">
        <f t="shared" si="17"/>
        <v>6</v>
      </c>
      <c r="Z25" s="16">
        <f t="shared" si="17"/>
        <v>2</v>
      </c>
      <c r="AA25" s="16">
        <f t="shared" si="17"/>
        <v>2</v>
      </c>
      <c r="AB25" s="16">
        <f t="shared" si="17"/>
        <v>10</v>
      </c>
      <c r="AC25" s="16">
        <f t="shared" si="17"/>
        <v>37</v>
      </c>
      <c r="AD25" s="16">
        <f t="shared" si="17"/>
        <v>0</v>
      </c>
      <c r="AE25" s="32">
        <f t="shared" si="17"/>
        <v>91</v>
      </c>
      <c r="AF25" s="32">
        <f t="shared" si="17"/>
        <v>128</v>
      </c>
    </row>
    <row r="26" spans="2:32" ht="23.1" customHeight="1" x14ac:dyDescent="0.25">
      <c r="B26" s="45" t="s">
        <v>53</v>
      </c>
      <c r="C26" s="51">
        <v>1</v>
      </c>
      <c r="D26" s="50">
        <v>2</v>
      </c>
      <c r="E26" s="51">
        <v>4</v>
      </c>
      <c r="F26" s="51">
        <v>1</v>
      </c>
      <c r="G26" s="51">
        <v>0</v>
      </c>
      <c r="H26" s="51">
        <v>1</v>
      </c>
      <c r="I26" s="51">
        <v>1</v>
      </c>
      <c r="J26" s="51">
        <v>0</v>
      </c>
      <c r="K26" s="51">
        <v>0</v>
      </c>
      <c r="L26" s="50">
        <v>2</v>
      </c>
      <c r="M26" s="51">
        <v>3</v>
      </c>
      <c r="N26" s="51">
        <v>0</v>
      </c>
      <c r="O26" s="15">
        <f t="shared" si="0"/>
        <v>12</v>
      </c>
      <c r="P26" s="15">
        <f t="shared" si="1"/>
        <v>15</v>
      </c>
      <c r="R26" s="28" t="s">
        <v>86</v>
      </c>
      <c r="S26" s="16">
        <f t="shared" ref="S26:AF26" si="18">SUM(S13:S18)</f>
        <v>67</v>
      </c>
      <c r="T26" s="16">
        <f t="shared" si="18"/>
        <v>56</v>
      </c>
      <c r="U26" s="16">
        <f t="shared" si="18"/>
        <v>103</v>
      </c>
      <c r="V26" s="16">
        <f t="shared" si="18"/>
        <v>45</v>
      </c>
      <c r="W26" s="16">
        <f t="shared" si="18"/>
        <v>4</v>
      </c>
      <c r="X26" s="16">
        <f t="shared" si="18"/>
        <v>26</v>
      </c>
      <c r="Y26" s="16">
        <f t="shared" si="18"/>
        <v>41</v>
      </c>
      <c r="Z26" s="16">
        <f t="shared" si="18"/>
        <v>6</v>
      </c>
      <c r="AA26" s="16">
        <f t="shared" si="18"/>
        <v>1</v>
      </c>
      <c r="AB26" s="16">
        <f t="shared" si="18"/>
        <v>33</v>
      </c>
      <c r="AC26" s="16">
        <f t="shared" si="18"/>
        <v>127</v>
      </c>
      <c r="AD26" s="16">
        <f t="shared" si="18"/>
        <v>0</v>
      </c>
      <c r="AE26" s="32">
        <f t="shared" si="18"/>
        <v>382</v>
      </c>
      <c r="AF26" s="32">
        <f t="shared" si="18"/>
        <v>509</v>
      </c>
    </row>
    <row r="27" spans="2:32" ht="23.1" customHeight="1" x14ac:dyDescent="0.25">
      <c r="B27" s="45" t="s">
        <v>54</v>
      </c>
      <c r="C27" s="51">
        <v>1</v>
      </c>
      <c r="D27" s="50">
        <v>2</v>
      </c>
      <c r="E27" s="51">
        <v>4</v>
      </c>
      <c r="F27" s="51">
        <v>2</v>
      </c>
      <c r="G27" s="51">
        <v>1</v>
      </c>
      <c r="H27" s="51">
        <v>2</v>
      </c>
      <c r="I27" s="51">
        <v>3</v>
      </c>
      <c r="J27" s="51">
        <v>0</v>
      </c>
      <c r="K27" s="51">
        <v>0</v>
      </c>
      <c r="L27" s="50">
        <v>2</v>
      </c>
      <c r="M27" s="51">
        <v>3</v>
      </c>
      <c r="N27" s="51">
        <v>0</v>
      </c>
      <c r="O27" s="15">
        <f t="shared" si="0"/>
        <v>17</v>
      </c>
      <c r="P27" s="15">
        <f t="shared" si="1"/>
        <v>20</v>
      </c>
      <c r="R27" s="29" t="s">
        <v>87</v>
      </c>
      <c r="S27" s="16">
        <f t="shared" ref="S27:AF27" si="19">SUM(S19:S21)</f>
        <v>31</v>
      </c>
      <c r="T27" s="16">
        <f t="shared" si="19"/>
        <v>21</v>
      </c>
      <c r="U27" s="16">
        <f t="shared" si="19"/>
        <v>44</v>
      </c>
      <c r="V27" s="16">
        <f t="shared" si="19"/>
        <v>18</v>
      </c>
      <c r="W27" s="16">
        <f t="shared" si="19"/>
        <v>2</v>
      </c>
      <c r="X27" s="16">
        <f t="shared" si="19"/>
        <v>15</v>
      </c>
      <c r="Y27" s="16">
        <f t="shared" si="19"/>
        <v>33</v>
      </c>
      <c r="Z27" s="16">
        <f t="shared" si="19"/>
        <v>3</v>
      </c>
      <c r="AA27" s="16">
        <f t="shared" si="19"/>
        <v>5</v>
      </c>
      <c r="AB27" s="16">
        <f t="shared" si="19"/>
        <v>22</v>
      </c>
      <c r="AC27" s="16">
        <f t="shared" si="19"/>
        <v>72</v>
      </c>
      <c r="AD27" s="16">
        <f t="shared" si="19"/>
        <v>1</v>
      </c>
      <c r="AE27" s="32">
        <f t="shared" si="19"/>
        <v>195</v>
      </c>
      <c r="AF27" s="32">
        <f t="shared" si="19"/>
        <v>267</v>
      </c>
    </row>
    <row r="28" spans="2:32" ht="23.1" customHeight="1" x14ac:dyDescent="0.25">
      <c r="B28" s="45" t="s">
        <v>55</v>
      </c>
      <c r="C28" s="51">
        <v>1</v>
      </c>
      <c r="D28" s="50">
        <v>2</v>
      </c>
      <c r="E28" s="51">
        <v>5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0">
        <v>2</v>
      </c>
      <c r="M28" s="51">
        <v>5</v>
      </c>
      <c r="N28" s="51">
        <v>0</v>
      </c>
      <c r="O28" s="15">
        <f t="shared" si="0"/>
        <v>10</v>
      </c>
      <c r="P28" s="15">
        <f t="shared" si="1"/>
        <v>15</v>
      </c>
      <c r="R28" s="5" t="s">
        <v>17</v>
      </c>
      <c r="S28" s="16">
        <f t="shared" ref="S28:AF28" si="20">SUM(S10:S21)</f>
        <v>118</v>
      </c>
      <c r="T28" s="16">
        <f t="shared" si="20"/>
        <v>86</v>
      </c>
      <c r="U28" s="16">
        <f t="shared" si="20"/>
        <v>171</v>
      </c>
      <c r="V28" s="16">
        <f t="shared" si="20"/>
        <v>76</v>
      </c>
      <c r="W28" s="16">
        <f t="shared" si="20"/>
        <v>7</v>
      </c>
      <c r="X28" s="16">
        <f t="shared" si="20"/>
        <v>45</v>
      </c>
      <c r="Y28" s="16">
        <f t="shared" si="20"/>
        <v>80</v>
      </c>
      <c r="Z28" s="16">
        <f t="shared" si="20"/>
        <v>11</v>
      </c>
      <c r="AA28" s="16">
        <f t="shared" si="20"/>
        <v>8</v>
      </c>
      <c r="AB28" s="16">
        <f t="shared" si="20"/>
        <v>65</v>
      </c>
      <c r="AC28" s="16">
        <f t="shared" si="20"/>
        <v>236</v>
      </c>
      <c r="AD28" s="16">
        <f t="shared" si="20"/>
        <v>1</v>
      </c>
      <c r="AE28" s="32">
        <f t="shared" si="20"/>
        <v>668</v>
      </c>
      <c r="AF28" s="32">
        <f t="shared" si="20"/>
        <v>904</v>
      </c>
    </row>
    <row r="29" spans="2:32" ht="23.1" customHeight="1" x14ac:dyDescent="0.25">
      <c r="B29" s="45" t="s">
        <v>56</v>
      </c>
      <c r="C29" s="51">
        <v>2</v>
      </c>
      <c r="D29" s="50">
        <v>1</v>
      </c>
      <c r="E29" s="51">
        <v>2</v>
      </c>
      <c r="F29" s="51">
        <v>1</v>
      </c>
      <c r="G29" s="51">
        <v>0</v>
      </c>
      <c r="H29" s="51">
        <v>1</v>
      </c>
      <c r="I29" s="51">
        <v>1</v>
      </c>
      <c r="J29" s="51">
        <v>2</v>
      </c>
      <c r="K29" s="51">
        <v>0</v>
      </c>
      <c r="L29" s="50">
        <v>0</v>
      </c>
      <c r="M29" s="51">
        <v>1</v>
      </c>
      <c r="N29" s="51">
        <v>0</v>
      </c>
      <c r="O29" s="15">
        <f t="shared" si="0"/>
        <v>10</v>
      </c>
      <c r="P29" s="15">
        <f t="shared" si="1"/>
        <v>11</v>
      </c>
      <c r="R29" s="5" t="s">
        <v>159</v>
      </c>
      <c r="S29" s="16">
        <f t="shared" ref="S29:AF29" si="21">SUM(S10:S21)</f>
        <v>118</v>
      </c>
      <c r="T29" s="16">
        <f t="shared" si="21"/>
        <v>86</v>
      </c>
      <c r="U29" s="16">
        <f t="shared" si="21"/>
        <v>171</v>
      </c>
      <c r="V29" s="16">
        <f t="shared" si="21"/>
        <v>76</v>
      </c>
      <c r="W29" s="16">
        <f t="shared" si="21"/>
        <v>7</v>
      </c>
      <c r="X29" s="16">
        <f t="shared" si="21"/>
        <v>45</v>
      </c>
      <c r="Y29" s="16">
        <f t="shared" si="21"/>
        <v>80</v>
      </c>
      <c r="Z29" s="16">
        <f t="shared" si="21"/>
        <v>11</v>
      </c>
      <c r="AA29" s="16">
        <f t="shared" si="21"/>
        <v>8</v>
      </c>
      <c r="AB29" s="16">
        <f t="shared" si="21"/>
        <v>65</v>
      </c>
      <c r="AC29" s="16">
        <f t="shared" si="21"/>
        <v>236</v>
      </c>
      <c r="AD29" s="16">
        <f t="shared" si="21"/>
        <v>1</v>
      </c>
      <c r="AE29" s="32">
        <f t="shared" si="21"/>
        <v>668</v>
      </c>
      <c r="AF29" s="32">
        <f t="shared" si="21"/>
        <v>904</v>
      </c>
    </row>
    <row r="30" spans="2:32" ht="23.1" customHeight="1" x14ac:dyDescent="0.25">
      <c r="B30" s="45" t="s">
        <v>57</v>
      </c>
      <c r="C30" s="51">
        <v>2</v>
      </c>
      <c r="D30" s="50">
        <v>1</v>
      </c>
      <c r="E30" s="51">
        <v>2</v>
      </c>
      <c r="F30" s="51">
        <v>1</v>
      </c>
      <c r="G30" s="51">
        <v>0</v>
      </c>
      <c r="H30" s="51">
        <v>1</v>
      </c>
      <c r="I30" s="51">
        <v>2</v>
      </c>
      <c r="J30" s="51">
        <v>0</v>
      </c>
      <c r="K30" s="51">
        <v>0</v>
      </c>
      <c r="L30" s="50">
        <v>0</v>
      </c>
      <c r="M30" s="51">
        <v>2</v>
      </c>
      <c r="N30" s="51">
        <v>0</v>
      </c>
      <c r="O30" s="15">
        <f t="shared" si="0"/>
        <v>9</v>
      </c>
      <c r="P30" s="15">
        <f t="shared" si="1"/>
        <v>11</v>
      </c>
      <c r="R30" s="5" t="s">
        <v>160</v>
      </c>
      <c r="S30" s="48">
        <f>S29/S28</f>
        <v>1</v>
      </c>
      <c r="T30" s="48">
        <f t="shared" ref="T30:AF30" si="22">T29/T28</f>
        <v>1</v>
      </c>
      <c r="U30" s="48">
        <f t="shared" si="22"/>
        <v>1</v>
      </c>
      <c r="V30" s="48">
        <f t="shared" si="22"/>
        <v>1</v>
      </c>
      <c r="W30" s="48">
        <f t="shared" si="22"/>
        <v>1</v>
      </c>
      <c r="X30" s="48">
        <f t="shared" si="22"/>
        <v>1</v>
      </c>
      <c r="Y30" s="48">
        <f t="shared" si="22"/>
        <v>1</v>
      </c>
      <c r="Z30" s="48">
        <f t="shared" si="22"/>
        <v>1</v>
      </c>
      <c r="AA30" s="48">
        <f t="shared" si="22"/>
        <v>1</v>
      </c>
      <c r="AB30" s="48">
        <f t="shared" si="22"/>
        <v>1</v>
      </c>
      <c r="AC30" s="48">
        <f t="shared" si="22"/>
        <v>1</v>
      </c>
      <c r="AD30" s="48">
        <f t="shared" si="22"/>
        <v>1</v>
      </c>
      <c r="AE30" s="48">
        <f t="shared" si="22"/>
        <v>1</v>
      </c>
      <c r="AF30" s="48">
        <f t="shared" si="22"/>
        <v>1</v>
      </c>
    </row>
    <row r="31" spans="2:32" ht="23.1" customHeight="1" x14ac:dyDescent="0.25">
      <c r="B31" s="46" t="s">
        <v>58</v>
      </c>
      <c r="C31" s="51">
        <v>3</v>
      </c>
      <c r="D31" s="50">
        <v>2</v>
      </c>
      <c r="E31" s="51">
        <v>4</v>
      </c>
      <c r="F31" s="51">
        <v>1</v>
      </c>
      <c r="G31" s="51">
        <v>0</v>
      </c>
      <c r="H31" s="51">
        <v>2</v>
      </c>
      <c r="I31" s="51">
        <v>1</v>
      </c>
      <c r="J31" s="51">
        <v>0</v>
      </c>
      <c r="K31" s="51">
        <v>0</v>
      </c>
      <c r="L31" s="50">
        <v>0</v>
      </c>
      <c r="M31" s="51">
        <v>8</v>
      </c>
      <c r="N31" s="51">
        <v>0</v>
      </c>
      <c r="O31" s="15">
        <f t="shared" si="0"/>
        <v>13</v>
      </c>
      <c r="P31" s="15">
        <f t="shared" si="1"/>
        <v>21</v>
      </c>
    </row>
    <row r="32" spans="2:32" ht="23.1" customHeight="1" x14ac:dyDescent="0.25">
      <c r="B32" s="46" t="s">
        <v>59</v>
      </c>
      <c r="C32" s="51">
        <v>9</v>
      </c>
      <c r="D32" s="50">
        <v>4</v>
      </c>
      <c r="E32" s="51">
        <v>6</v>
      </c>
      <c r="F32" s="51">
        <v>5</v>
      </c>
      <c r="G32" s="51">
        <v>0</v>
      </c>
      <c r="H32" s="51">
        <v>1</v>
      </c>
      <c r="I32" s="51">
        <v>6</v>
      </c>
      <c r="J32" s="51">
        <v>1</v>
      </c>
      <c r="K32" s="51">
        <v>0</v>
      </c>
      <c r="L32" s="50">
        <v>1</v>
      </c>
      <c r="M32" s="51">
        <v>11</v>
      </c>
      <c r="N32" s="51">
        <v>0</v>
      </c>
      <c r="O32" s="15">
        <f t="shared" si="0"/>
        <v>33</v>
      </c>
      <c r="P32" s="15">
        <f t="shared" si="1"/>
        <v>44</v>
      </c>
    </row>
    <row r="33" spans="2:20" ht="23.1" customHeight="1" x14ac:dyDescent="0.25">
      <c r="B33" s="45" t="s">
        <v>60</v>
      </c>
      <c r="C33" s="51">
        <v>3</v>
      </c>
      <c r="D33" s="50">
        <v>2</v>
      </c>
      <c r="E33" s="51">
        <v>3</v>
      </c>
      <c r="F33" s="51">
        <v>3</v>
      </c>
      <c r="G33" s="51">
        <v>1</v>
      </c>
      <c r="H33" s="51">
        <v>0</v>
      </c>
      <c r="I33" s="51">
        <v>1</v>
      </c>
      <c r="J33" s="51">
        <v>0</v>
      </c>
      <c r="K33" s="51">
        <v>0</v>
      </c>
      <c r="L33" s="50">
        <v>6</v>
      </c>
      <c r="M33" s="51">
        <v>6</v>
      </c>
      <c r="N33" s="51">
        <v>0</v>
      </c>
      <c r="O33" s="15">
        <f t="shared" si="0"/>
        <v>19</v>
      </c>
      <c r="P33" s="15">
        <f t="shared" si="1"/>
        <v>25</v>
      </c>
    </row>
    <row r="34" spans="2:20" ht="23.1" customHeight="1" x14ac:dyDescent="0.25">
      <c r="B34" s="46" t="s">
        <v>61</v>
      </c>
      <c r="C34" s="51">
        <v>3</v>
      </c>
      <c r="D34" s="50">
        <v>1</v>
      </c>
      <c r="E34" s="51">
        <v>3</v>
      </c>
      <c r="F34" s="51">
        <v>0</v>
      </c>
      <c r="G34" s="51">
        <v>0</v>
      </c>
      <c r="H34" s="51">
        <v>1</v>
      </c>
      <c r="I34" s="51">
        <v>2</v>
      </c>
      <c r="J34" s="51">
        <v>0</v>
      </c>
      <c r="K34" s="51">
        <v>1</v>
      </c>
      <c r="L34" s="50">
        <v>3</v>
      </c>
      <c r="M34" s="51">
        <v>8</v>
      </c>
      <c r="N34" s="51">
        <v>0</v>
      </c>
      <c r="O34" s="15">
        <f t="shared" si="0"/>
        <v>14</v>
      </c>
      <c r="P34" s="15">
        <f t="shared" si="1"/>
        <v>22</v>
      </c>
      <c r="R34" s="8"/>
      <c r="T34"/>
    </row>
    <row r="35" spans="2:20" ht="23.1" customHeight="1" x14ac:dyDescent="0.25">
      <c r="B35" s="46" t="s">
        <v>62</v>
      </c>
      <c r="C35" s="51">
        <v>5</v>
      </c>
      <c r="D35" s="50">
        <v>4</v>
      </c>
      <c r="E35" s="51">
        <v>6</v>
      </c>
      <c r="F35" s="51">
        <v>0</v>
      </c>
      <c r="G35" s="51">
        <v>0</v>
      </c>
      <c r="H35" s="51">
        <v>1</v>
      </c>
      <c r="I35" s="51">
        <v>1</v>
      </c>
      <c r="J35" s="51">
        <v>0</v>
      </c>
      <c r="K35" s="51">
        <v>0</v>
      </c>
      <c r="L35" s="50">
        <v>2</v>
      </c>
      <c r="M35" s="51">
        <v>5</v>
      </c>
      <c r="N35" s="51">
        <v>0</v>
      </c>
      <c r="O35" s="15">
        <f t="shared" si="0"/>
        <v>19</v>
      </c>
      <c r="P35" s="15">
        <f t="shared" si="1"/>
        <v>24</v>
      </c>
      <c r="R35" s="8"/>
      <c r="T35"/>
    </row>
    <row r="36" spans="2:20" ht="23.1" customHeight="1" x14ac:dyDescent="0.25">
      <c r="B36" s="46" t="s">
        <v>63</v>
      </c>
      <c r="C36" s="51">
        <v>6</v>
      </c>
      <c r="D36" s="50">
        <v>1</v>
      </c>
      <c r="E36" s="51">
        <v>2</v>
      </c>
      <c r="F36" s="51">
        <v>1</v>
      </c>
      <c r="G36" s="51">
        <v>0</v>
      </c>
      <c r="H36" s="51">
        <v>0</v>
      </c>
      <c r="I36" s="51">
        <v>2</v>
      </c>
      <c r="J36" s="51">
        <v>0</v>
      </c>
      <c r="K36" s="51">
        <v>0</v>
      </c>
      <c r="L36" s="50">
        <v>1</v>
      </c>
      <c r="M36" s="51">
        <v>2</v>
      </c>
      <c r="N36" s="51">
        <v>0</v>
      </c>
      <c r="O36" s="15">
        <f t="shared" si="0"/>
        <v>13</v>
      </c>
      <c r="P36" s="15">
        <f t="shared" si="1"/>
        <v>15</v>
      </c>
      <c r="R36" s="8"/>
      <c r="T36"/>
    </row>
    <row r="37" spans="2:20" ht="23.1" customHeight="1" x14ac:dyDescent="0.25">
      <c r="B37" s="45" t="s">
        <v>64</v>
      </c>
      <c r="C37" s="51">
        <v>4</v>
      </c>
      <c r="D37" s="50">
        <v>5</v>
      </c>
      <c r="E37" s="51">
        <v>9</v>
      </c>
      <c r="F37" s="51">
        <v>1</v>
      </c>
      <c r="G37" s="51">
        <v>0</v>
      </c>
      <c r="H37" s="51">
        <v>3</v>
      </c>
      <c r="I37" s="51">
        <v>3</v>
      </c>
      <c r="J37" s="51">
        <v>0</v>
      </c>
      <c r="K37" s="51">
        <v>0</v>
      </c>
      <c r="L37" s="50">
        <v>2</v>
      </c>
      <c r="M37" s="51">
        <v>3</v>
      </c>
      <c r="N37" s="51">
        <v>0</v>
      </c>
      <c r="O37" s="15">
        <f t="shared" si="0"/>
        <v>27</v>
      </c>
      <c r="P37" s="15">
        <f t="shared" si="1"/>
        <v>30</v>
      </c>
      <c r="R37" s="8"/>
      <c r="T37"/>
    </row>
    <row r="38" spans="2:20" ht="23.1" customHeight="1" x14ac:dyDescent="0.25">
      <c r="B38" s="46" t="s">
        <v>65</v>
      </c>
      <c r="C38" s="51">
        <v>1</v>
      </c>
      <c r="D38" s="50">
        <v>1</v>
      </c>
      <c r="E38" s="51">
        <v>2</v>
      </c>
      <c r="F38" s="51">
        <v>5</v>
      </c>
      <c r="G38" s="51">
        <v>0</v>
      </c>
      <c r="H38" s="51">
        <v>1</v>
      </c>
      <c r="I38" s="51">
        <v>2</v>
      </c>
      <c r="J38" s="51">
        <v>0</v>
      </c>
      <c r="K38" s="51">
        <v>0</v>
      </c>
      <c r="L38" s="50">
        <v>0</v>
      </c>
      <c r="M38" s="51">
        <v>2</v>
      </c>
      <c r="N38" s="51">
        <v>0</v>
      </c>
      <c r="O38" s="15">
        <f t="shared" si="0"/>
        <v>12</v>
      </c>
      <c r="P38" s="15">
        <f t="shared" si="1"/>
        <v>14</v>
      </c>
      <c r="R38" s="8"/>
      <c r="T38"/>
    </row>
    <row r="39" spans="2:20" ht="23.1" customHeight="1" x14ac:dyDescent="0.25">
      <c r="B39" s="46" t="s">
        <v>66</v>
      </c>
      <c r="C39" s="51">
        <v>4</v>
      </c>
      <c r="D39" s="50">
        <v>3</v>
      </c>
      <c r="E39" s="51">
        <v>5</v>
      </c>
      <c r="F39" s="51">
        <v>1</v>
      </c>
      <c r="G39" s="51">
        <v>0</v>
      </c>
      <c r="H39" s="51">
        <v>1</v>
      </c>
      <c r="I39" s="51">
        <v>3</v>
      </c>
      <c r="J39" s="51">
        <v>1</v>
      </c>
      <c r="K39" s="51">
        <v>0</v>
      </c>
      <c r="L39" s="50">
        <v>3</v>
      </c>
      <c r="M39" s="51">
        <v>10</v>
      </c>
      <c r="N39" s="51">
        <v>0</v>
      </c>
      <c r="O39" s="15">
        <f t="shared" si="0"/>
        <v>21</v>
      </c>
      <c r="P39" s="15">
        <f t="shared" si="1"/>
        <v>31</v>
      </c>
      <c r="R39" s="8"/>
      <c r="T39"/>
    </row>
    <row r="40" spans="2:20" ht="23.1" customHeight="1" x14ac:dyDescent="0.25">
      <c r="B40" s="46" t="s">
        <v>67</v>
      </c>
      <c r="C40" s="51">
        <v>3</v>
      </c>
      <c r="D40" s="50">
        <v>3</v>
      </c>
      <c r="E40" s="51">
        <v>5</v>
      </c>
      <c r="F40" s="51">
        <v>2</v>
      </c>
      <c r="G40" s="51">
        <v>1</v>
      </c>
      <c r="H40" s="51">
        <v>0</v>
      </c>
      <c r="I40" s="51">
        <v>2</v>
      </c>
      <c r="J40" s="51">
        <v>0</v>
      </c>
      <c r="K40" s="51">
        <v>0</v>
      </c>
      <c r="L40" s="50">
        <v>1</v>
      </c>
      <c r="M40" s="51">
        <v>6</v>
      </c>
      <c r="N40" s="51">
        <v>0</v>
      </c>
      <c r="O40" s="15">
        <f t="shared" si="0"/>
        <v>17</v>
      </c>
      <c r="P40" s="15">
        <f t="shared" si="1"/>
        <v>23</v>
      </c>
      <c r="R40" s="8"/>
      <c r="T40"/>
    </row>
    <row r="41" spans="2:20" ht="23.1" customHeight="1" x14ac:dyDescent="0.25">
      <c r="B41" s="45" t="s">
        <v>68</v>
      </c>
      <c r="C41" s="51">
        <v>3</v>
      </c>
      <c r="D41" s="50">
        <v>4</v>
      </c>
      <c r="E41" s="51">
        <v>8</v>
      </c>
      <c r="F41" s="51">
        <v>2</v>
      </c>
      <c r="G41" s="51">
        <v>0</v>
      </c>
      <c r="H41" s="51">
        <v>3</v>
      </c>
      <c r="I41" s="51">
        <v>2</v>
      </c>
      <c r="J41" s="51">
        <v>0</v>
      </c>
      <c r="K41" s="51">
        <v>0</v>
      </c>
      <c r="L41" s="50">
        <v>2</v>
      </c>
      <c r="M41" s="51">
        <v>4</v>
      </c>
      <c r="N41" s="51">
        <v>0</v>
      </c>
      <c r="O41" s="15">
        <f t="shared" si="0"/>
        <v>24</v>
      </c>
      <c r="P41" s="15">
        <f t="shared" si="1"/>
        <v>28</v>
      </c>
      <c r="R41" s="8"/>
      <c r="T41"/>
    </row>
    <row r="42" spans="2:20" ht="23.1" customHeight="1" x14ac:dyDescent="0.25">
      <c r="B42" s="46" t="s">
        <v>69</v>
      </c>
      <c r="C42" s="51">
        <v>1</v>
      </c>
      <c r="D42" s="50">
        <v>4</v>
      </c>
      <c r="E42" s="51">
        <v>6</v>
      </c>
      <c r="F42" s="51">
        <v>3</v>
      </c>
      <c r="G42" s="51">
        <v>0</v>
      </c>
      <c r="H42" s="51">
        <v>2</v>
      </c>
      <c r="I42" s="51">
        <v>3</v>
      </c>
      <c r="J42" s="51">
        <v>1</v>
      </c>
      <c r="K42" s="51">
        <v>0</v>
      </c>
      <c r="L42" s="50">
        <v>0</v>
      </c>
      <c r="M42" s="51">
        <v>6</v>
      </c>
      <c r="N42" s="51">
        <v>0</v>
      </c>
      <c r="O42" s="15">
        <f t="shared" si="0"/>
        <v>20</v>
      </c>
      <c r="P42" s="15">
        <f t="shared" si="1"/>
        <v>26</v>
      </c>
      <c r="R42" s="8"/>
      <c r="T42"/>
    </row>
    <row r="43" spans="2:20" ht="23.1" customHeight="1" x14ac:dyDescent="0.25">
      <c r="B43" s="45" t="s">
        <v>70</v>
      </c>
      <c r="C43" s="51">
        <v>3</v>
      </c>
      <c r="D43" s="50">
        <v>4</v>
      </c>
      <c r="E43" s="51">
        <v>7</v>
      </c>
      <c r="F43" s="51">
        <v>5</v>
      </c>
      <c r="G43" s="51">
        <v>0</v>
      </c>
      <c r="H43" s="51">
        <v>2</v>
      </c>
      <c r="I43" s="51">
        <v>2</v>
      </c>
      <c r="J43" s="51">
        <v>1</v>
      </c>
      <c r="K43" s="51">
        <v>0</v>
      </c>
      <c r="L43" s="50">
        <v>4</v>
      </c>
      <c r="M43" s="51">
        <v>5</v>
      </c>
      <c r="N43" s="51">
        <v>0</v>
      </c>
      <c r="O43" s="15">
        <f t="shared" si="0"/>
        <v>28</v>
      </c>
      <c r="P43" s="15">
        <f t="shared" si="1"/>
        <v>33</v>
      </c>
      <c r="R43" s="8"/>
      <c r="T43"/>
    </row>
    <row r="44" spans="2:20" ht="23.1" customHeight="1" x14ac:dyDescent="0.25">
      <c r="B44" s="47" t="s">
        <v>71</v>
      </c>
      <c r="C44" s="51">
        <v>3</v>
      </c>
      <c r="D44" s="50">
        <v>2</v>
      </c>
      <c r="E44" s="51">
        <v>4</v>
      </c>
      <c r="F44" s="51">
        <v>3</v>
      </c>
      <c r="G44" s="51">
        <v>0</v>
      </c>
      <c r="H44" s="51">
        <v>0</v>
      </c>
      <c r="I44" s="51">
        <v>1</v>
      </c>
      <c r="J44" s="51">
        <v>0</v>
      </c>
      <c r="K44" s="51">
        <v>0</v>
      </c>
      <c r="L44" s="50">
        <v>0</v>
      </c>
      <c r="M44" s="51">
        <v>11</v>
      </c>
      <c r="N44" s="51">
        <v>0</v>
      </c>
      <c r="O44" s="15">
        <f t="shared" si="0"/>
        <v>13</v>
      </c>
      <c r="P44" s="15">
        <f t="shared" si="1"/>
        <v>24</v>
      </c>
      <c r="R44" s="8"/>
      <c r="T44"/>
    </row>
    <row r="45" spans="2:20" ht="23.1" customHeight="1" x14ac:dyDescent="0.25">
      <c r="B45" s="45" t="s">
        <v>72</v>
      </c>
      <c r="C45" s="51">
        <v>2</v>
      </c>
      <c r="D45" s="50">
        <v>4</v>
      </c>
      <c r="E45" s="51">
        <v>7</v>
      </c>
      <c r="F45" s="51">
        <v>0</v>
      </c>
      <c r="G45" s="51">
        <v>0</v>
      </c>
      <c r="H45" s="51">
        <v>1</v>
      </c>
      <c r="I45" s="51">
        <v>0</v>
      </c>
      <c r="J45" s="51">
        <v>0</v>
      </c>
      <c r="K45" s="51">
        <v>0</v>
      </c>
      <c r="L45" s="50">
        <v>0</v>
      </c>
      <c r="M45" s="51">
        <v>3</v>
      </c>
      <c r="N45" s="51">
        <v>0</v>
      </c>
      <c r="O45" s="15">
        <f t="shared" si="0"/>
        <v>14</v>
      </c>
      <c r="P45" s="15">
        <f t="shared" si="1"/>
        <v>17</v>
      </c>
      <c r="R45" s="8"/>
      <c r="T45"/>
    </row>
    <row r="46" spans="2:20" ht="23.1" customHeight="1" x14ac:dyDescent="0.25">
      <c r="B46" s="46" t="s">
        <v>73</v>
      </c>
      <c r="C46" s="51">
        <v>0</v>
      </c>
      <c r="D46" s="50">
        <v>1</v>
      </c>
      <c r="E46" s="51">
        <v>3</v>
      </c>
      <c r="F46" s="51">
        <v>4</v>
      </c>
      <c r="G46" s="51">
        <v>0</v>
      </c>
      <c r="H46" s="51">
        <v>3</v>
      </c>
      <c r="I46" s="51">
        <v>3</v>
      </c>
      <c r="J46" s="51">
        <v>1</v>
      </c>
      <c r="K46" s="51">
        <v>0</v>
      </c>
      <c r="L46" s="50">
        <v>1</v>
      </c>
      <c r="M46" s="51">
        <v>10</v>
      </c>
      <c r="N46" s="51">
        <v>0</v>
      </c>
      <c r="O46" s="15">
        <f t="shared" si="0"/>
        <v>16</v>
      </c>
      <c r="P46" s="15">
        <f t="shared" si="1"/>
        <v>26</v>
      </c>
      <c r="R46" s="8"/>
      <c r="T46"/>
    </row>
    <row r="47" spans="2:20" ht="23.1" customHeight="1" x14ac:dyDescent="0.25">
      <c r="B47" s="46" t="s">
        <v>74</v>
      </c>
      <c r="C47" s="51">
        <v>3</v>
      </c>
      <c r="D47" s="50">
        <v>2</v>
      </c>
      <c r="E47" s="51">
        <v>5</v>
      </c>
      <c r="F47" s="51">
        <v>2</v>
      </c>
      <c r="G47" s="51">
        <v>0</v>
      </c>
      <c r="H47" s="51">
        <v>1</v>
      </c>
      <c r="I47" s="51">
        <v>3</v>
      </c>
      <c r="J47" s="51">
        <v>0</v>
      </c>
      <c r="K47" s="51">
        <v>1</v>
      </c>
      <c r="L47" s="50">
        <v>1</v>
      </c>
      <c r="M47" s="51">
        <v>10</v>
      </c>
      <c r="N47" s="51">
        <v>0</v>
      </c>
      <c r="O47" s="15">
        <f t="shared" si="0"/>
        <v>18</v>
      </c>
      <c r="P47" s="15">
        <f t="shared" si="1"/>
        <v>28</v>
      </c>
      <c r="R47" s="8"/>
      <c r="T47"/>
    </row>
    <row r="48" spans="2:20" ht="23.1" customHeight="1" x14ac:dyDescent="0.25">
      <c r="B48" s="46" t="s">
        <v>75</v>
      </c>
      <c r="C48" s="51">
        <v>1</v>
      </c>
      <c r="D48" s="50">
        <v>3</v>
      </c>
      <c r="E48" s="51">
        <v>6</v>
      </c>
      <c r="F48" s="51">
        <v>1</v>
      </c>
      <c r="G48" s="51">
        <v>1</v>
      </c>
      <c r="H48" s="51">
        <v>0</v>
      </c>
      <c r="I48" s="51">
        <v>1</v>
      </c>
      <c r="J48" s="51">
        <v>0</v>
      </c>
      <c r="K48" s="51">
        <v>0</v>
      </c>
      <c r="L48" s="50">
        <v>2</v>
      </c>
      <c r="M48" s="51">
        <v>6</v>
      </c>
      <c r="N48" s="51">
        <v>0</v>
      </c>
      <c r="O48" s="15">
        <f t="shared" si="0"/>
        <v>15</v>
      </c>
      <c r="P48" s="15">
        <f t="shared" si="1"/>
        <v>21</v>
      </c>
      <c r="R48" s="8"/>
      <c r="T48"/>
    </row>
    <row r="49" spans="2:33" ht="23.1" customHeight="1" x14ac:dyDescent="0.25">
      <c r="B49" s="45" t="s">
        <v>76</v>
      </c>
      <c r="C49" s="51">
        <v>4</v>
      </c>
      <c r="D49" s="50">
        <v>3</v>
      </c>
      <c r="E49" s="51">
        <v>5</v>
      </c>
      <c r="F49" s="51">
        <v>1</v>
      </c>
      <c r="G49" s="51">
        <v>0</v>
      </c>
      <c r="H49" s="51">
        <v>0</v>
      </c>
      <c r="I49" s="51">
        <v>1</v>
      </c>
      <c r="J49" s="51">
        <v>0</v>
      </c>
      <c r="K49" s="51">
        <v>0</v>
      </c>
      <c r="L49" s="50">
        <v>2</v>
      </c>
      <c r="M49" s="51">
        <v>7</v>
      </c>
      <c r="N49" s="51">
        <v>0</v>
      </c>
      <c r="O49" s="15">
        <f t="shared" si="0"/>
        <v>16</v>
      </c>
      <c r="P49" s="15">
        <f t="shared" si="1"/>
        <v>23</v>
      </c>
      <c r="R49" s="8"/>
      <c r="T49"/>
    </row>
    <row r="50" spans="2:33" ht="23.1" customHeight="1" x14ac:dyDescent="0.25">
      <c r="B50" s="46" t="s">
        <v>77</v>
      </c>
      <c r="C50" s="51">
        <v>1</v>
      </c>
      <c r="D50" s="50">
        <v>2</v>
      </c>
      <c r="E50" s="51">
        <v>3</v>
      </c>
      <c r="F50" s="51">
        <v>1</v>
      </c>
      <c r="G50" s="51">
        <v>0</v>
      </c>
      <c r="H50" s="51">
        <v>5</v>
      </c>
      <c r="I50" s="51">
        <v>4</v>
      </c>
      <c r="J50" s="51">
        <v>1</v>
      </c>
      <c r="K50" s="51">
        <v>3</v>
      </c>
      <c r="L50" s="50">
        <v>5</v>
      </c>
      <c r="M50" s="51">
        <v>0</v>
      </c>
      <c r="N50" s="51">
        <v>0</v>
      </c>
      <c r="O50" s="15">
        <f t="shared" si="0"/>
        <v>25</v>
      </c>
      <c r="P50" s="15">
        <f t="shared" si="1"/>
        <v>25</v>
      </c>
      <c r="R50" s="8"/>
      <c r="T50"/>
    </row>
    <row r="51" spans="2:33" ht="23.1" customHeight="1" x14ac:dyDescent="0.25">
      <c r="B51" s="46" t="s">
        <v>78</v>
      </c>
      <c r="C51" s="51">
        <v>2</v>
      </c>
      <c r="D51" s="50">
        <v>3</v>
      </c>
      <c r="E51" s="51">
        <v>5</v>
      </c>
      <c r="F51" s="51">
        <v>3</v>
      </c>
      <c r="G51" s="51">
        <v>0</v>
      </c>
      <c r="H51" s="51">
        <v>2</v>
      </c>
      <c r="I51" s="51">
        <v>1</v>
      </c>
      <c r="J51" s="51">
        <v>0</v>
      </c>
      <c r="K51" s="51">
        <v>0</v>
      </c>
      <c r="L51" s="50">
        <v>0</v>
      </c>
      <c r="M51" s="51">
        <v>5</v>
      </c>
      <c r="N51" s="51">
        <v>0</v>
      </c>
      <c r="O51" s="15">
        <f t="shared" si="0"/>
        <v>16</v>
      </c>
      <c r="P51" s="15">
        <f t="shared" si="1"/>
        <v>21</v>
      </c>
      <c r="R51" s="8"/>
      <c r="T51"/>
    </row>
    <row r="52" spans="2:33" ht="23.1" customHeight="1" x14ac:dyDescent="0.25">
      <c r="B52" s="46" t="s">
        <v>79</v>
      </c>
      <c r="C52" s="51">
        <v>3</v>
      </c>
      <c r="D52" s="50">
        <v>2</v>
      </c>
      <c r="E52" s="51">
        <v>4</v>
      </c>
      <c r="F52" s="51">
        <v>0</v>
      </c>
      <c r="G52" s="51">
        <v>1</v>
      </c>
      <c r="H52" s="51">
        <v>0</v>
      </c>
      <c r="I52" s="51">
        <v>4</v>
      </c>
      <c r="J52" s="51">
        <v>0</v>
      </c>
      <c r="K52" s="51">
        <v>1</v>
      </c>
      <c r="L52" s="50">
        <v>2</v>
      </c>
      <c r="M52" s="51">
        <v>6</v>
      </c>
      <c r="N52" s="51">
        <v>1</v>
      </c>
      <c r="O52" s="15">
        <f t="shared" si="0"/>
        <v>18</v>
      </c>
      <c r="P52" s="15">
        <f t="shared" si="1"/>
        <v>24</v>
      </c>
      <c r="R52" s="8"/>
      <c r="T52"/>
    </row>
    <row r="53" spans="2:33" ht="23.1" customHeight="1" x14ac:dyDescent="0.25">
      <c r="B53" s="45" t="s">
        <v>80</v>
      </c>
      <c r="C53" s="51">
        <v>0</v>
      </c>
      <c r="D53" s="50">
        <v>1</v>
      </c>
      <c r="E53" s="51">
        <v>2</v>
      </c>
      <c r="F53" s="51">
        <v>1</v>
      </c>
      <c r="G53" s="51">
        <v>0</v>
      </c>
      <c r="H53" s="51">
        <v>1</v>
      </c>
      <c r="I53" s="51">
        <v>5</v>
      </c>
      <c r="J53" s="51">
        <v>0</v>
      </c>
      <c r="K53" s="51">
        <v>0</v>
      </c>
      <c r="L53" s="50">
        <v>2</v>
      </c>
      <c r="M53" s="51">
        <v>8</v>
      </c>
      <c r="N53" s="51">
        <v>0</v>
      </c>
      <c r="O53" s="15">
        <f t="shared" si="0"/>
        <v>12</v>
      </c>
      <c r="P53" s="15">
        <f t="shared" si="1"/>
        <v>20</v>
      </c>
      <c r="R53" s="8"/>
      <c r="T53"/>
    </row>
    <row r="54" spans="2:33" ht="23.1" customHeight="1" x14ac:dyDescent="0.25">
      <c r="B54" s="45" t="s">
        <v>81</v>
      </c>
      <c r="C54" s="51">
        <v>1</v>
      </c>
      <c r="D54" s="50">
        <v>2</v>
      </c>
      <c r="E54" s="51">
        <v>4</v>
      </c>
      <c r="F54" s="51">
        <v>2</v>
      </c>
      <c r="G54" s="51">
        <v>0</v>
      </c>
      <c r="H54" s="51">
        <v>2</v>
      </c>
      <c r="I54" s="51">
        <v>4</v>
      </c>
      <c r="J54" s="51">
        <v>1</v>
      </c>
      <c r="K54" s="51">
        <v>0</v>
      </c>
      <c r="L54" s="50">
        <v>0</v>
      </c>
      <c r="M54" s="51">
        <v>5</v>
      </c>
      <c r="N54" s="51">
        <v>0</v>
      </c>
      <c r="O54" s="15">
        <f t="shared" si="0"/>
        <v>16</v>
      </c>
      <c r="P54" s="15">
        <f t="shared" si="1"/>
        <v>21</v>
      </c>
      <c r="R54" s="8"/>
      <c r="T54"/>
    </row>
    <row r="55" spans="2:33" ht="23.1" customHeight="1" x14ac:dyDescent="0.25">
      <c r="B55" s="45" t="s">
        <v>82</v>
      </c>
      <c r="C55" s="51">
        <v>5</v>
      </c>
      <c r="D55" s="50">
        <v>1</v>
      </c>
      <c r="E55" s="51">
        <v>3</v>
      </c>
      <c r="F55" s="51">
        <v>1</v>
      </c>
      <c r="G55" s="51">
        <v>0</v>
      </c>
      <c r="H55" s="51">
        <v>0</v>
      </c>
      <c r="I55" s="51">
        <v>4</v>
      </c>
      <c r="J55" s="51">
        <v>0</v>
      </c>
      <c r="K55" s="51">
        <v>0</v>
      </c>
      <c r="L55" s="50">
        <v>1</v>
      </c>
      <c r="M55" s="51">
        <v>5</v>
      </c>
      <c r="N55" s="51">
        <v>0</v>
      </c>
      <c r="O55" s="15">
        <f t="shared" si="0"/>
        <v>15</v>
      </c>
      <c r="P55" s="15">
        <f t="shared" si="1"/>
        <v>20</v>
      </c>
      <c r="R55" s="8"/>
      <c r="T55"/>
    </row>
    <row r="56" spans="2:33" ht="23.1" customHeight="1" x14ac:dyDescent="0.25">
      <c r="B56" s="45" t="s">
        <v>83</v>
      </c>
      <c r="C56" s="51">
        <v>7</v>
      </c>
      <c r="D56" s="50">
        <v>1</v>
      </c>
      <c r="E56" s="51">
        <v>3</v>
      </c>
      <c r="F56" s="51">
        <v>2</v>
      </c>
      <c r="G56" s="51">
        <v>0</v>
      </c>
      <c r="H56" s="51">
        <v>1</v>
      </c>
      <c r="I56" s="51">
        <v>3</v>
      </c>
      <c r="J56" s="51">
        <v>0</v>
      </c>
      <c r="K56" s="51">
        <v>0</v>
      </c>
      <c r="L56" s="50">
        <v>4</v>
      </c>
      <c r="M56" s="51">
        <v>4</v>
      </c>
      <c r="N56" s="51">
        <v>0</v>
      </c>
      <c r="O56" s="15">
        <f t="shared" si="0"/>
        <v>21</v>
      </c>
      <c r="P56" s="15">
        <f t="shared" si="1"/>
        <v>25</v>
      </c>
      <c r="R56" s="8"/>
      <c r="T56"/>
    </row>
    <row r="57" spans="2:33" ht="23.1" customHeight="1" x14ac:dyDescent="0.25">
      <c r="B57" s="45" t="s">
        <v>84</v>
      </c>
      <c r="C57" s="51">
        <v>4</v>
      </c>
      <c r="D57" s="50">
        <v>0</v>
      </c>
      <c r="E57" s="51">
        <v>1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0">
        <v>2</v>
      </c>
      <c r="M57" s="51">
        <v>6</v>
      </c>
      <c r="N57" s="51">
        <v>0</v>
      </c>
      <c r="O57" s="15">
        <f t="shared" si="0"/>
        <v>7</v>
      </c>
      <c r="P57" s="15">
        <f t="shared" si="1"/>
        <v>13</v>
      </c>
      <c r="R57" s="8"/>
      <c r="T57"/>
    </row>
    <row r="58" spans="2:33" ht="23.1" customHeight="1" x14ac:dyDescent="0.25">
      <c r="B58" s="26" t="s">
        <v>18</v>
      </c>
      <c r="C58" s="16">
        <f t="shared" ref="C58:P58" si="23">SUM(C10:C57)</f>
        <v>118</v>
      </c>
      <c r="D58" s="16">
        <f t="shared" si="23"/>
        <v>86</v>
      </c>
      <c r="E58" s="16">
        <f t="shared" si="23"/>
        <v>171</v>
      </c>
      <c r="F58" s="16">
        <f t="shared" si="23"/>
        <v>76</v>
      </c>
      <c r="G58" s="16">
        <f t="shared" si="23"/>
        <v>7</v>
      </c>
      <c r="H58" s="16">
        <f t="shared" si="23"/>
        <v>45</v>
      </c>
      <c r="I58" s="16">
        <f t="shared" si="23"/>
        <v>80</v>
      </c>
      <c r="J58" s="16">
        <f t="shared" si="23"/>
        <v>11</v>
      </c>
      <c r="K58" s="16">
        <f t="shared" si="23"/>
        <v>8</v>
      </c>
      <c r="L58" s="16">
        <f t="shared" si="23"/>
        <v>65</v>
      </c>
      <c r="M58" s="16">
        <f t="shared" si="23"/>
        <v>236</v>
      </c>
      <c r="N58" s="16">
        <f t="shared" si="23"/>
        <v>1</v>
      </c>
      <c r="O58" s="16">
        <f t="shared" si="23"/>
        <v>668</v>
      </c>
      <c r="P58" s="16">
        <f t="shared" si="23"/>
        <v>904</v>
      </c>
      <c r="R58" s="8"/>
      <c r="T58"/>
    </row>
    <row r="59" spans="2:33" ht="23.1" customHeight="1" x14ac:dyDescent="0.25">
      <c r="B59" s="26" t="s">
        <v>93</v>
      </c>
      <c r="C59" s="43">
        <f t="shared" ref="C59:N59" si="24">C58/$P$58</f>
        <v>0.13053097345132744</v>
      </c>
      <c r="D59" s="43">
        <f t="shared" si="24"/>
        <v>9.5132743362831854E-2</v>
      </c>
      <c r="E59" s="43">
        <f t="shared" si="24"/>
        <v>0.18915929203539822</v>
      </c>
      <c r="F59" s="43">
        <f t="shared" si="24"/>
        <v>8.4070796460176997E-2</v>
      </c>
      <c r="G59" s="43">
        <f t="shared" si="24"/>
        <v>7.743362831858407E-3</v>
      </c>
      <c r="H59" s="43">
        <f t="shared" si="24"/>
        <v>4.9778761061946904E-2</v>
      </c>
      <c r="I59" s="43">
        <f t="shared" si="24"/>
        <v>8.8495575221238937E-2</v>
      </c>
      <c r="J59" s="43">
        <f t="shared" si="24"/>
        <v>1.2168141592920354E-2</v>
      </c>
      <c r="K59" s="43">
        <f t="shared" si="24"/>
        <v>8.8495575221238937E-3</v>
      </c>
      <c r="L59" s="43">
        <f t="shared" si="24"/>
        <v>7.1902654867256638E-2</v>
      </c>
      <c r="M59" s="43">
        <f t="shared" si="24"/>
        <v>0.26106194690265488</v>
      </c>
      <c r="N59" s="43">
        <f t="shared" si="24"/>
        <v>1.1061946902654867E-3</v>
      </c>
      <c r="R59" s="8"/>
      <c r="T59"/>
    </row>
    <row r="60" spans="2:33" ht="23.1" customHeight="1" x14ac:dyDescent="0.25">
      <c r="B60" s="42" t="s">
        <v>94</v>
      </c>
      <c r="C60" s="44">
        <f>C58/$O$58</f>
        <v>0.17664670658682635</v>
      </c>
      <c r="D60" s="44">
        <f t="shared" ref="D60:N60" si="25">D58/$O$58</f>
        <v>0.12874251497005987</v>
      </c>
      <c r="E60" s="44">
        <f t="shared" si="25"/>
        <v>0.2559880239520958</v>
      </c>
      <c r="F60" s="44">
        <f t="shared" si="25"/>
        <v>0.11377245508982035</v>
      </c>
      <c r="G60" s="44">
        <f t="shared" si="25"/>
        <v>1.0479041916167664E-2</v>
      </c>
      <c r="H60" s="44">
        <f t="shared" si="25"/>
        <v>6.7365269461077848E-2</v>
      </c>
      <c r="I60" s="44">
        <f t="shared" si="25"/>
        <v>0.11976047904191617</v>
      </c>
      <c r="J60" s="44">
        <f t="shared" si="25"/>
        <v>1.6467065868263474E-2</v>
      </c>
      <c r="K60" s="44">
        <f t="shared" si="25"/>
        <v>1.1976047904191617E-2</v>
      </c>
      <c r="L60" s="44">
        <f t="shared" si="25"/>
        <v>9.730538922155689E-2</v>
      </c>
      <c r="M60" s="44"/>
      <c r="N60" s="44">
        <f t="shared" si="25"/>
        <v>1.4970059880239522E-3</v>
      </c>
      <c r="R60" s="8"/>
      <c r="T60"/>
    </row>
    <row r="61" spans="2:33" ht="23.1" customHeight="1" x14ac:dyDescent="0.25">
      <c r="B61" s="52"/>
      <c r="C61" s="5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4"/>
      <c r="P61" s="54"/>
      <c r="Q61" s="54"/>
      <c r="R61" s="55"/>
      <c r="S61" s="55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</row>
    <row r="62" spans="2:33" ht="23.1" customHeight="1" x14ac:dyDescent="0.25">
      <c r="B62" s="52"/>
      <c r="C62" s="5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4"/>
      <c r="P62" s="54"/>
      <c r="Q62" s="54"/>
      <c r="R62" s="55"/>
      <c r="S62" s="55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</row>
    <row r="63" spans="2:33" ht="23.1" customHeight="1" x14ac:dyDescent="0.25">
      <c r="B63" s="52"/>
      <c r="C63" s="5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4"/>
      <c r="P63" s="54"/>
      <c r="Q63" s="54"/>
      <c r="R63" s="55"/>
      <c r="S63" s="55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</row>
    <row r="64" spans="2:33" ht="23.1" customHeight="1" x14ac:dyDescent="0.25">
      <c r="B64" s="52"/>
      <c r="C64" s="5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4"/>
      <c r="P64" s="54"/>
      <c r="Q64" s="54"/>
      <c r="R64" s="55"/>
      <c r="S64" s="55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</row>
    <row r="65" spans="2:33" ht="23.1" customHeight="1" x14ac:dyDescent="0.25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4"/>
      <c r="P65" s="54"/>
      <c r="Q65" s="54"/>
      <c r="R65" s="55"/>
      <c r="S65" s="55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</row>
    <row r="66" spans="2:33" ht="23.1" customHeight="1" x14ac:dyDescent="0.25">
      <c r="R66"/>
      <c r="S66"/>
      <c r="T66"/>
    </row>
    <row r="67" spans="2:33" ht="23.1" customHeight="1" x14ac:dyDescent="0.25">
      <c r="R67"/>
      <c r="S67"/>
      <c r="T67"/>
    </row>
    <row r="68" spans="2:33" ht="23.1" customHeight="1" x14ac:dyDescent="0.25">
      <c r="R68"/>
      <c r="S68"/>
      <c r="T68"/>
    </row>
    <row r="69" spans="2:33" ht="23.1" customHeight="1" x14ac:dyDescent="0.25">
      <c r="R69"/>
      <c r="S69"/>
      <c r="T69"/>
    </row>
    <row r="70" spans="2:33" ht="23.1" customHeight="1" x14ac:dyDescent="0.25">
      <c r="R70"/>
      <c r="S70"/>
      <c r="T70"/>
    </row>
    <row r="71" spans="2:33" ht="23.1" customHeight="1" x14ac:dyDescent="0.25">
      <c r="R71"/>
      <c r="S71"/>
      <c r="T71"/>
    </row>
    <row r="72" spans="2:33" ht="23.1" customHeight="1" x14ac:dyDescent="0.25">
      <c r="R72"/>
      <c r="S72"/>
      <c r="T72"/>
    </row>
    <row r="73" spans="2:33" ht="23.1" customHeight="1" x14ac:dyDescent="0.25">
      <c r="R73"/>
      <c r="S73"/>
      <c r="T73"/>
    </row>
    <row r="74" spans="2:33" ht="23.1" customHeight="1" x14ac:dyDescent="0.25">
      <c r="R74"/>
      <c r="S74"/>
      <c r="T74"/>
    </row>
    <row r="75" spans="2:33" ht="23.1" customHeight="1" x14ac:dyDescent="0.25">
      <c r="R75"/>
      <c r="S75"/>
      <c r="T75"/>
    </row>
    <row r="76" spans="2:33" ht="23.1" customHeight="1" x14ac:dyDescent="0.25">
      <c r="R76"/>
      <c r="S76"/>
      <c r="T76"/>
    </row>
    <row r="77" spans="2:33" ht="23.1" customHeight="1" x14ac:dyDescent="0.25">
      <c r="R77"/>
      <c r="S77"/>
      <c r="T77"/>
    </row>
    <row r="78" spans="2:33" ht="23.1" customHeight="1" x14ac:dyDescent="0.25">
      <c r="R78"/>
      <c r="S78"/>
      <c r="T78"/>
    </row>
    <row r="79" spans="2:33" ht="23.1" customHeight="1" x14ac:dyDescent="0.25">
      <c r="R79"/>
      <c r="S79"/>
      <c r="T79"/>
    </row>
    <row r="80" spans="2:33" ht="23.1" customHeight="1" x14ac:dyDescent="0.25">
      <c r="R80"/>
      <c r="S80"/>
      <c r="T80"/>
    </row>
    <row r="81" spans="18:20" ht="23.1" customHeight="1" x14ac:dyDescent="0.25">
      <c r="R81"/>
      <c r="S81"/>
      <c r="T81"/>
    </row>
    <row r="82" spans="18:20" ht="23.1" customHeight="1" x14ac:dyDescent="0.25">
      <c r="R82"/>
      <c r="S82"/>
      <c r="T82"/>
    </row>
    <row r="83" spans="18:20" ht="23.1" customHeight="1" x14ac:dyDescent="0.25">
      <c r="R83"/>
      <c r="S83"/>
      <c r="T83"/>
    </row>
    <row r="84" spans="18:20" ht="23.1" customHeight="1" x14ac:dyDescent="0.25">
      <c r="R84"/>
      <c r="S84"/>
      <c r="T84"/>
    </row>
    <row r="85" spans="18:20" ht="23.1" customHeight="1" x14ac:dyDescent="0.25">
      <c r="R85"/>
      <c r="S85"/>
      <c r="T85"/>
    </row>
    <row r="86" spans="18:20" ht="23.1" customHeight="1" x14ac:dyDescent="0.25">
      <c r="R86"/>
      <c r="S86"/>
      <c r="T86"/>
    </row>
    <row r="87" spans="18:20" ht="23.1" customHeight="1" x14ac:dyDescent="0.25">
      <c r="R87"/>
      <c r="S87"/>
      <c r="T87"/>
    </row>
    <row r="88" spans="18:20" ht="23.1" customHeight="1" x14ac:dyDescent="0.25">
      <c r="R88"/>
      <c r="S88"/>
      <c r="T88"/>
    </row>
    <row r="89" spans="18:20" ht="23.1" customHeight="1" x14ac:dyDescent="0.25">
      <c r="R89"/>
      <c r="S89"/>
      <c r="T89"/>
    </row>
    <row r="90" spans="18:20" ht="23.1" customHeight="1" x14ac:dyDescent="0.25">
      <c r="R90"/>
      <c r="S90"/>
      <c r="T90"/>
    </row>
    <row r="91" spans="18:20" ht="23.1" customHeight="1" x14ac:dyDescent="0.25">
      <c r="R91"/>
      <c r="S91"/>
      <c r="T91"/>
    </row>
    <row r="92" spans="18:20" ht="23.1" customHeight="1" x14ac:dyDescent="0.25">
      <c r="R92"/>
      <c r="S92"/>
      <c r="T92"/>
    </row>
    <row r="93" spans="18:20" ht="23.1" customHeight="1" x14ac:dyDescent="0.25">
      <c r="R93"/>
      <c r="S93"/>
      <c r="T93"/>
    </row>
    <row r="94" spans="18:20" ht="23.1" customHeight="1" x14ac:dyDescent="0.25">
      <c r="R94"/>
      <c r="S94"/>
      <c r="T94"/>
    </row>
    <row r="95" spans="18:20" ht="23.1" customHeight="1" x14ac:dyDescent="0.25">
      <c r="R95"/>
      <c r="S95"/>
      <c r="T95"/>
    </row>
    <row r="96" spans="18:20" ht="23.1" customHeight="1" x14ac:dyDescent="0.25">
      <c r="R96"/>
      <c r="S96"/>
      <c r="T96"/>
    </row>
    <row r="97" spans="18:20" ht="23.1" customHeight="1" x14ac:dyDescent="0.25">
      <c r="R97"/>
      <c r="S97"/>
      <c r="T97"/>
    </row>
    <row r="98" spans="18:20" ht="23.1" customHeight="1" x14ac:dyDescent="0.25">
      <c r="R98"/>
      <c r="S98"/>
      <c r="T98"/>
    </row>
    <row r="99" spans="18:20" ht="23.1" customHeight="1" x14ac:dyDescent="0.25">
      <c r="R99"/>
      <c r="S99"/>
      <c r="T99"/>
    </row>
    <row r="100" spans="18:20" ht="23.1" customHeight="1" x14ac:dyDescent="0.25">
      <c r="R100"/>
      <c r="S100"/>
      <c r="T100"/>
    </row>
    <row r="101" spans="18:20" ht="23.1" customHeight="1" x14ac:dyDescent="0.25">
      <c r="R101"/>
      <c r="S101"/>
      <c r="T101"/>
    </row>
    <row r="102" spans="18:20" ht="23.1" customHeight="1" x14ac:dyDescent="0.25">
      <c r="R102"/>
      <c r="S102"/>
      <c r="T102"/>
    </row>
    <row r="103" spans="18:20" ht="23.1" customHeight="1" x14ac:dyDescent="0.25">
      <c r="R103"/>
      <c r="S103"/>
      <c r="T103"/>
    </row>
    <row r="104" spans="18:20" ht="23.1" customHeight="1" x14ac:dyDescent="0.25">
      <c r="R104"/>
      <c r="S104"/>
      <c r="T104"/>
    </row>
    <row r="105" spans="18:20" ht="23.1" customHeight="1" x14ac:dyDescent="0.25">
      <c r="R105"/>
      <c r="S105"/>
      <c r="T105"/>
    </row>
    <row r="106" spans="18:20" ht="23.1" customHeight="1" x14ac:dyDescent="0.25">
      <c r="R106"/>
      <c r="S106"/>
      <c r="T106"/>
    </row>
    <row r="107" spans="18:20" ht="23.1" customHeight="1" x14ac:dyDescent="0.25">
      <c r="R107"/>
      <c r="S107"/>
      <c r="T107"/>
    </row>
    <row r="108" spans="18:20" ht="23.1" customHeight="1" x14ac:dyDescent="0.25">
      <c r="R108"/>
      <c r="S108"/>
      <c r="T108"/>
    </row>
    <row r="109" spans="18:20" ht="23.1" customHeight="1" x14ac:dyDescent="0.25">
      <c r="R109"/>
      <c r="S109"/>
      <c r="T109"/>
    </row>
    <row r="110" spans="18:20" ht="23.1" customHeight="1" x14ac:dyDescent="0.25">
      <c r="R110"/>
      <c r="S110"/>
      <c r="T110"/>
    </row>
    <row r="111" spans="18:20" ht="23.1" customHeight="1" x14ac:dyDescent="0.25">
      <c r="R111"/>
      <c r="S111"/>
      <c r="T111"/>
    </row>
    <row r="112" spans="18:20" ht="23.1" customHeight="1" x14ac:dyDescent="0.25">
      <c r="R112"/>
      <c r="S112"/>
      <c r="T112"/>
    </row>
    <row r="113" s="7" customFormat="1" ht="23.1" customHeight="1" x14ac:dyDescent="0.25"/>
    <row r="114" s="7" customFormat="1" ht="23.1" customHeight="1" x14ac:dyDescent="0.25"/>
    <row r="115" s="7" customFormat="1" ht="23.1" customHeight="1" x14ac:dyDescent="0.25"/>
    <row r="116" s="7" customFormat="1" ht="23.1" customHeight="1" x14ac:dyDescent="0.25"/>
    <row r="117" s="7" customFormat="1" ht="23.1" customHeight="1" x14ac:dyDescent="0.25"/>
    <row r="118" s="7" customFormat="1" ht="23.1" customHeight="1" x14ac:dyDescent="0.25"/>
    <row r="119" s="7" customFormat="1" ht="23.1" customHeight="1" x14ac:dyDescent="0.25"/>
    <row r="120" s="7" customFormat="1" ht="23.1" customHeight="1" x14ac:dyDescent="0.25"/>
    <row r="121" s="7" customFormat="1" ht="23.1" customHeight="1" x14ac:dyDescent="0.25"/>
    <row r="122" s="7" customFormat="1" ht="23.1" customHeight="1" x14ac:dyDescent="0.25"/>
    <row r="123" s="7" customFormat="1" ht="23.1" customHeight="1" x14ac:dyDescent="0.25"/>
    <row r="124" s="7" customFormat="1" ht="23.1" customHeight="1" x14ac:dyDescent="0.25"/>
    <row r="125" s="7" customFormat="1" ht="23.1" customHeight="1" x14ac:dyDescent="0.25"/>
    <row r="126" s="7" customFormat="1" ht="23.1" customHeight="1" x14ac:dyDescent="0.25"/>
    <row r="127" s="7" customFormat="1" ht="23.1" customHeight="1" x14ac:dyDescent="0.25"/>
    <row r="128" s="7" customFormat="1" ht="23.1" customHeight="1" x14ac:dyDescent="0.25"/>
    <row r="129" spans="18:20" ht="23.1" customHeight="1" x14ac:dyDescent="0.25">
      <c r="R129"/>
      <c r="S129"/>
      <c r="T129"/>
    </row>
    <row r="130" spans="18:20" ht="23.1" customHeight="1" x14ac:dyDescent="0.25">
      <c r="R130"/>
      <c r="S130"/>
      <c r="T130"/>
    </row>
    <row r="131" spans="18:20" ht="23.1" customHeight="1" x14ac:dyDescent="0.25">
      <c r="R131"/>
      <c r="S131"/>
      <c r="T131"/>
    </row>
    <row r="132" spans="18:20" ht="23.1" customHeight="1" x14ac:dyDescent="0.25">
      <c r="R132"/>
      <c r="S132"/>
      <c r="T132"/>
    </row>
    <row r="133" spans="18:20" ht="23.1" customHeight="1" x14ac:dyDescent="0.25">
      <c r="R133"/>
      <c r="S133"/>
      <c r="T133"/>
    </row>
    <row r="134" spans="18:20" ht="23.1" customHeight="1" x14ac:dyDescent="0.25">
      <c r="R134"/>
      <c r="S134"/>
      <c r="T134"/>
    </row>
    <row r="135" spans="18:20" ht="23.1" customHeight="1" x14ac:dyDescent="0.25">
      <c r="R135"/>
      <c r="S135"/>
      <c r="T135"/>
    </row>
    <row r="136" spans="18:20" ht="23.1" customHeight="1" x14ac:dyDescent="0.25">
      <c r="R136"/>
      <c r="S136"/>
      <c r="T136"/>
    </row>
    <row r="137" spans="18:20" ht="23.1" customHeight="1" x14ac:dyDescent="0.25">
      <c r="R137"/>
      <c r="S137"/>
      <c r="T137"/>
    </row>
    <row r="138" spans="18:20" ht="23.1" customHeight="1" x14ac:dyDescent="0.25">
      <c r="R138"/>
      <c r="S138"/>
      <c r="T138"/>
    </row>
    <row r="139" spans="18:20" ht="23.1" customHeight="1" x14ac:dyDescent="0.25">
      <c r="R139"/>
      <c r="S139"/>
      <c r="T139"/>
    </row>
    <row r="140" spans="18:20" ht="23.1" customHeight="1" x14ac:dyDescent="0.25">
      <c r="R140"/>
      <c r="S140"/>
      <c r="T140"/>
    </row>
    <row r="141" spans="18:20" ht="23.1" customHeight="1" x14ac:dyDescent="0.25">
      <c r="R141"/>
      <c r="S141"/>
      <c r="T141"/>
    </row>
    <row r="142" spans="18:20" ht="23.1" customHeight="1" x14ac:dyDescent="0.25">
      <c r="R142"/>
      <c r="S142"/>
      <c r="T142"/>
    </row>
    <row r="143" spans="18:20" ht="23.1" customHeight="1" x14ac:dyDescent="0.25">
      <c r="R143"/>
      <c r="S143"/>
      <c r="T143"/>
    </row>
    <row r="144" spans="18:20" ht="23.1" customHeight="1" x14ac:dyDescent="0.25">
      <c r="R144"/>
      <c r="S144"/>
      <c r="T144"/>
    </row>
    <row r="145" spans="18:20" ht="23.1" customHeight="1" x14ac:dyDescent="0.25">
      <c r="R145"/>
      <c r="S145"/>
      <c r="T145"/>
    </row>
    <row r="146" spans="18:20" ht="23.1" customHeight="1" x14ac:dyDescent="0.25">
      <c r="R146"/>
      <c r="S146"/>
      <c r="T146"/>
    </row>
    <row r="147" spans="18:20" ht="23.1" customHeight="1" x14ac:dyDescent="0.25">
      <c r="R147"/>
      <c r="S147"/>
      <c r="T147"/>
    </row>
    <row r="148" spans="18:20" ht="23.1" customHeight="1" x14ac:dyDescent="0.25">
      <c r="R148"/>
      <c r="S148"/>
      <c r="T148"/>
    </row>
    <row r="149" spans="18:20" ht="23.1" customHeight="1" x14ac:dyDescent="0.25">
      <c r="R149"/>
      <c r="S149"/>
      <c r="T149"/>
    </row>
    <row r="150" spans="18:20" ht="23.1" customHeight="1" x14ac:dyDescent="0.25">
      <c r="R150"/>
      <c r="S150"/>
      <c r="T150"/>
    </row>
    <row r="151" spans="18:20" ht="23.1" customHeight="1" x14ac:dyDescent="0.25">
      <c r="R151"/>
      <c r="S151"/>
      <c r="T151"/>
    </row>
    <row r="152" spans="18:20" ht="23.1" customHeight="1" x14ac:dyDescent="0.25">
      <c r="R152"/>
      <c r="S152"/>
      <c r="T152"/>
    </row>
    <row r="153" spans="18:20" ht="23.1" customHeight="1" x14ac:dyDescent="0.25">
      <c r="R153"/>
      <c r="S153"/>
      <c r="T153"/>
    </row>
    <row r="154" spans="18:20" ht="23.1" customHeight="1" x14ac:dyDescent="0.25">
      <c r="R154"/>
      <c r="S154"/>
      <c r="T154"/>
    </row>
    <row r="155" spans="18:20" ht="23.1" customHeight="1" x14ac:dyDescent="0.25">
      <c r="R155"/>
      <c r="S155"/>
      <c r="T155"/>
    </row>
    <row r="156" spans="18:20" ht="23.1" customHeight="1" x14ac:dyDescent="0.25">
      <c r="R156"/>
      <c r="S156"/>
      <c r="T156"/>
    </row>
    <row r="157" spans="18:20" ht="23.1" customHeight="1" x14ac:dyDescent="0.25">
      <c r="R157"/>
      <c r="S157"/>
      <c r="T157"/>
    </row>
    <row r="158" spans="18:20" ht="23.1" customHeight="1" x14ac:dyDescent="0.25">
      <c r="R158"/>
      <c r="S158"/>
      <c r="T158"/>
    </row>
    <row r="159" spans="18:20" ht="23.1" customHeight="1" x14ac:dyDescent="0.25">
      <c r="R159"/>
      <c r="S159"/>
      <c r="T159"/>
    </row>
    <row r="160" spans="18:20" ht="23.1" customHeight="1" x14ac:dyDescent="0.25">
      <c r="R160"/>
      <c r="S160"/>
      <c r="T160"/>
    </row>
    <row r="161" spans="18:20" ht="23.1" customHeight="1" x14ac:dyDescent="0.25">
      <c r="R161"/>
      <c r="S161"/>
      <c r="T161"/>
    </row>
    <row r="162" spans="18:20" ht="23.1" customHeight="1" x14ac:dyDescent="0.25">
      <c r="R162"/>
      <c r="S162"/>
      <c r="T162"/>
    </row>
    <row r="163" spans="18:20" ht="23.1" customHeight="1" x14ac:dyDescent="0.25">
      <c r="R163"/>
      <c r="S163"/>
      <c r="T163"/>
    </row>
    <row r="164" spans="18:20" ht="23.1" customHeight="1" x14ac:dyDescent="0.25">
      <c r="R164"/>
      <c r="S164"/>
      <c r="T164"/>
    </row>
    <row r="165" spans="18:20" ht="23.1" customHeight="1" x14ac:dyDescent="0.25"/>
    <row r="166" spans="18:20" ht="23.1" customHeight="1" x14ac:dyDescent="0.25"/>
    <row r="167" spans="18:20" ht="23.1" customHeight="1" x14ac:dyDescent="0.25"/>
    <row r="168" spans="18:20" ht="23.1" customHeight="1" x14ac:dyDescent="0.25"/>
    <row r="169" spans="18:20" ht="23.1" customHeight="1" x14ac:dyDescent="0.25"/>
    <row r="170" spans="18:20" ht="23.1" customHeight="1" x14ac:dyDescent="0.25"/>
    <row r="171" spans="18:20" ht="23.1" customHeight="1" x14ac:dyDescent="0.25"/>
    <row r="172" spans="18:20" ht="23.1" customHeight="1" x14ac:dyDescent="0.25"/>
    <row r="173" spans="18:20" ht="23.1" customHeight="1" x14ac:dyDescent="0.25"/>
    <row r="174" spans="18:20" ht="23.1" customHeight="1" x14ac:dyDescent="0.25"/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74"/>
  <sheetViews>
    <sheetView view="pageBreakPreview" zoomScale="60" workbookViewId="0">
      <selection activeCell="E57" sqref="E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'29.07 Karuma-Kigumba'!C3:G3</f>
        <v>MCC - C5 - STN113 - KIGUMBA-KARUMA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'04.08 Karuma-Kigumba'!D5</f>
        <v>04.08.19</v>
      </c>
      <c r="E5" s="3"/>
      <c r="F5" s="41" t="s">
        <v>1</v>
      </c>
      <c r="G5" s="71" t="str">
        <f>'04.08 Karuma-Kigumba'!G5:H5</f>
        <v>nanda</v>
      </c>
      <c r="H5" s="72"/>
      <c r="I5" s="14"/>
      <c r="J5" s="2" t="s">
        <v>5</v>
      </c>
      <c r="K5" s="71" t="str">
        <f>'04.08 Karuma-Kigumba'!K5:L5</f>
        <v>xxx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'29.07 Kigumba-Karuma'!D6:E6</f>
        <v>Kigumba</v>
      </c>
      <c r="E6" s="72"/>
      <c r="F6" s="2" t="s">
        <v>2</v>
      </c>
      <c r="G6" s="71" t="str">
        <f>'29.07 Kigumba-Karuma'!G6:H6</f>
        <v>Karuma</v>
      </c>
      <c r="H6" s="72"/>
      <c r="J6" s="2" t="s">
        <v>21</v>
      </c>
      <c r="K6" s="71" t="str">
        <f>'04.08 Karuma-Kigumba'!K6:L6</f>
        <v>xxx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1">
        <v>0</v>
      </c>
      <c r="D10" s="50">
        <v>0</v>
      </c>
      <c r="E10" s="51">
        <v>1</v>
      </c>
      <c r="F10" s="51">
        <v>0</v>
      </c>
      <c r="G10" s="51">
        <v>0</v>
      </c>
      <c r="H10" s="51">
        <v>0</v>
      </c>
      <c r="I10" s="51">
        <v>3</v>
      </c>
      <c r="J10" s="51">
        <v>0</v>
      </c>
      <c r="K10" s="51">
        <v>1</v>
      </c>
      <c r="L10" s="50">
        <v>3</v>
      </c>
      <c r="M10" s="51">
        <v>3</v>
      </c>
      <c r="N10" s="50">
        <v>0</v>
      </c>
      <c r="O10" s="15">
        <f t="shared" ref="O10:O57" si="0">SUM(C10:L10,N10)</f>
        <v>8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3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2</v>
      </c>
      <c r="AA10" s="17">
        <f t="shared" si="2"/>
        <v>1</v>
      </c>
      <c r="AB10" s="17">
        <f t="shared" si="2"/>
        <v>7</v>
      </c>
      <c r="AC10" s="17">
        <f t="shared" si="2"/>
        <v>8</v>
      </c>
      <c r="AD10" s="17">
        <f t="shared" si="2"/>
        <v>0</v>
      </c>
      <c r="AE10" s="31">
        <f t="shared" si="2"/>
        <v>23</v>
      </c>
      <c r="AF10" s="31">
        <f t="shared" si="2"/>
        <v>31</v>
      </c>
    </row>
    <row r="11" spans="2:32" s="6" customFormat="1" ht="23.1" customHeight="1" x14ac:dyDescent="0.25">
      <c r="B11" s="45" t="s">
        <v>38</v>
      </c>
      <c r="C11" s="51">
        <v>1</v>
      </c>
      <c r="D11" s="50">
        <v>0</v>
      </c>
      <c r="E11" s="51">
        <v>1</v>
      </c>
      <c r="F11" s="51">
        <v>0</v>
      </c>
      <c r="G11" s="51">
        <v>0</v>
      </c>
      <c r="H11" s="51">
        <v>0</v>
      </c>
      <c r="I11" s="51">
        <v>0</v>
      </c>
      <c r="J11" s="51">
        <v>2</v>
      </c>
      <c r="K11" s="51">
        <v>0</v>
      </c>
      <c r="L11" s="50">
        <v>2</v>
      </c>
      <c r="M11" s="51">
        <v>3</v>
      </c>
      <c r="N11" s="50">
        <v>0</v>
      </c>
      <c r="O11" s="15">
        <f t="shared" si="0"/>
        <v>6</v>
      </c>
      <c r="P11" s="15">
        <f t="shared" si="1"/>
        <v>9</v>
      </c>
      <c r="R11" s="1" t="s">
        <v>7</v>
      </c>
      <c r="S11" s="17">
        <f t="shared" ref="S11:AF11" si="3">SUM(C14:C17)</f>
        <v>5</v>
      </c>
      <c r="T11" s="17">
        <f t="shared" si="3"/>
        <v>5</v>
      </c>
      <c r="U11" s="17">
        <f t="shared" si="3"/>
        <v>8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10</v>
      </c>
      <c r="Z11" s="17">
        <f t="shared" si="3"/>
        <v>3</v>
      </c>
      <c r="AA11" s="17">
        <f t="shared" si="3"/>
        <v>0</v>
      </c>
      <c r="AB11" s="17">
        <f t="shared" si="3"/>
        <v>2</v>
      </c>
      <c r="AC11" s="17">
        <f t="shared" si="3"/>
        <v>13</v>
      </c>
      <c r="AD11" s="17">
        <f t="shared" si="3"/>
        <v>0</v>
      </c>
      <c r="AE11" s="31">
        <f t="shared" si="3"/>
        <v>37</v>
      </c>
      <c r="AF11" s="31">
        <f t="shared" si="3"/>
        <v>50</v>
      </c>
    </row>
    <row r="12" spans="2:32" ht="23.1" customHeight="1" x14ac:dyDescent="0.25">
      <c r="B12" s="45" t="s">
        <v>39</v>
      </c>
      <c r="C12" s="51">
        <v>0</v>
      </c>
      <c r="D12" s="50">
        <v>0</v>
      </c>
      <c r="E12" s="51">
        <v>1</v>
      </c>
      <c r="F12" s="51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0">
        <v>0</v>
      </c>
      <c r="M12" s="51">
        <v>1</v>
      </c>
      <c r="N12" s="50">
        <v>0</v>
      </c>
      <c r="O12" s="15">
        <f t="shared" si="0"/>
        <v>1</v>
      </c>
      <c r="P12" s="15">
        <f t="shared" si="1"/>
        <v>2</v>
      </c>
      <c r="R12" s="1" t="s">
        <v>8</v>
      </c>
      <c r="S12" s="17">
        <f t="shared" ref="S12:AF12" si="4">SUM(C18:C21)</f>
        <v>7</v>
      </c>
      <c r="T12" s="17">
        <f t="shared" si="4"/>
        <v>3</v>
      </c>
      <c r="U12" s="17">
        <f t="shared" si="4"/>
        <v>7</v>
      </c>
      <c r="V12" s="17">
        <f t="shared" si="4"/>
        <v>9</v>
      </c>
      <c r="W12" s="17">
        <f t="shared" si="4"/>
        <v>0</v>
      </c>
      <c r="X12" s="17">
        <f t="shared" si="4"/>
        <v>1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1</v>
      </c>
      <c r="AC12" s="17">
        <f t="shared" si="4"/>
        <v>13</v>
      </c>
      <c r="AD12" s="17">
        <f t="shared" si="4"/>
        <v>0</v>
      </c>
      <c r="AE12" s="31">
        <f t="shared" si="4"/>
        <v>30</v>
      </c>
      <c r="AF12" s="31">
        <f t="shared" si="4"/>
        <v>43</v>
      </c>
    </row>
    <row r="13" spans="2:32" ht="23.1" customHeight="1" x14ac:dyDescent="0.25">
      <c r="B13" s="45" t="s">
        <v>40</v>
      </c>
      <c r="C13" s="51">
        <v>1</v>
      </c>
      <c r="D13" s="50">
        <v>0</v>
      </c>
      <c r="E13" s="51">
        <v>0</v>
      </c>
      <c r="F13" s="51">
        <v>1</v>
      </c>
      <c r="G13" s="51">
        <v>0</v>
      </c>
      <c r="H13" s="51">
        <v>0</v>
      </c>
      <c r="I13" s="51">
        <v>4</v>
      </c>
      <c r="J13" s="51">
        <v>0</v>
      </c>
      <c r="K13" s="51">
        <v>0</v>
      </c>
      <c r="L13" s="50">
        <v>2</v>
      </c>
      <c r="M13" s="51">
        <v>1</v>
      </c>
      <c r="N13" s="50">
        <v>0</v>
      </c>
      <c r="O13" s="15">
        <f t="shared" si="0"/>
        <v>8</v>
      </c>
      <c r="P13" s="15">
        <f t="shared" si="1"/>
        <v>9</v>
      </c>
      <c r="R13" s="1" t="s">
        <v>9</v>
      </c>
      <c r="S13" s="17">
        <f t="shared" ref="S13:AF13" si="5">SUM(C22:C25)</f>
        <v>3</v>
      </c>
      <c r="T13" s="17">
        <f t="shared" si="5"/>
        <v>7</v>
      </c>
      <c r="U13" s="17">
        <f t="shared" si="5"/>
        <v>11</v>
      </c>
      <c r="V13" s="17">
        <f t="shared" si="5"/>
        <v>5</v>
      </c>
      <c r="W13" s="17">
        <f t="shared" si="5"/>
        <v>0</v>
      </c>
      <c r="X13" s="17">
        <f t="shared" si="5"/>
        <v>3</v>
      </c>
      <c r="Y13" s="17">
        <f t="shared" si="5"/>
        <v>3</v>
      </c>
      <c r="Z13" s="17">
        <f t="shared" si="5"/>
        <v>1</v>
      </c>
      <c r="AA13" s="17">
        <f t="shared" si="5"/>
        <v>0</v>
      </c>
      <c r="AB13" s="17">
        <f t="shared" si="5"/>
        <v>3</v>
      </c>
      <c r="AC13" s="17">
        <f t="shared" si="5"/>
        <v>19</v>
      </c>
      <c r="AD13" s="17">
        <f t="shared" si="5"/>
        <v>0</v>
      </c>
      <c r="AE13" s="31">
        <f t="shared" si="5"/>
        <v>36</v>
      </c>
      <c r="AF13" s="31">
        <f t="shared" si="5"/>
        <v>55</v>
      </c>
    </row>
    <row r="14" spans="2:32" ht="23.1" customHeight="1" x14ac:dyDescent="0.25">
      <c r="B14" s="45" t="s">
        <v>41</v>
      </c>
      <c r="C14" s="51">
        <v>1</v>
      </c>
      <c r="D14" s="50">
        <v>1</v>
      </c>
      <c r="E14" s="51">
        <v>2</v>
      </c>
      <c r="F14" s="51">
        <v>0</v>
      </c>
      <c r="G14" s="51">
        <v>0</v>
      </c>
      <c r="H14" s="51">
        <v>0</v>
      </c>
      <c r="I14" s="51">
        <v>4</v>
      </c>
      <c r="J14" s="51">
        <v>0</v>
      </c>
      <c r="K14" s="51">
        <v>0</v>
      </c>
      <c r="L14" s="50">
        <v>1</v>
      </c>
      <c r="M14" s="51">
        <v>0</v>
      </c>
      <c r="N14" s="50">
        <v>0</v>
      </c>
      <c r="O14" s="15">
        <f t="shared" si="0"/>
        <v>9</v>
      </c>
      <c r="P14" s="15">
        <f t="shared" si="1"/>
        <v>9</v>
      </c>
      <c r="R14" s="1" t="s">
        <v>10</v>
      </c>
      <c r="S14" s="17">
        <f t="shared" ref="S14:AF14" si="6">SUM(C26:C29)</f>
        <v>4</v>
      </c>
      <c r="T14" s="17">
        <f t="shared" si="6"/>
        <v>12</v>
      </c>
      <c r="U14" s="17">
        <f t="shared" si="6"/>
        <v>14</v>
      </c>
      <c r="V14" s="17">
        <f t="shared" si="6"/>
        <v>5</v>
      </c>
      <c r="W14" s="17">
        <f t="shared" si="6"/>
        <v>1</v>
      </c>
      <c r="X14" s="17">
        <f t="shared" si="6"/>
        <v>5</v>
      </c>
      <c r="Y14" s="17">
        <f t="shared" si="6"/>
        <v>1</v>
      </c>
      <c r="Z14" s="17">
        <f t="shared" si="6"/>
        <v>1</v>
      </c>
      <c r="AA14" s="17">
        <f t="shared" si="6"/>
        <v>2</v>
      </c>
      <c r="AB14" s="17">
        <f t="shared" si="6"/>
        <v>1</v>
      </c>
      <c r="AC14" s="17">
        <f t="shared" si="6"/>
        <v>22</v>
      </c>
      <c r="AD14" s="17">
        <f t="shared" si="6"/>
        <v>0</v>
      </c>
      <c r="AE14" s="31">
        <f t="shared" si="6"/>
        <v>46</v>
      </c>
      <c r="AF14" s="31">
        <f t="shared" si="6"/>
        <v>68</v>
      </c>
    </row>
    <row r="15" spans="2:32" ht="23.1" customHeight="1" x14ac:dyDescent="0.25">
      <c r="B15" s="45" t="s">
        <v>42</v>
      </c>
      <c r="C15" s="51">
        <v>0</v>
      </c>
      <c r="D15" s="50">
        <v>0</v>
      </c>
      <c r="E15" s="51">
        <v>0</v>
      </c>
      <c r="F15" s="51">
        <v>1</v>
      </c>
      <c r="G15" s="51">
        <v>0</v>
      </c>
      <c r="H15" s="51">
        <v>0</v>
      </c>
      <c r="I15" s="51">
        <v>3</v>
      </c>
      <c r="J15" s="51">
        <v>0</v>
      </c>
      <c r="K15" s="51">
        <v>0</v>
      </c>
      <c r="L15" s="50">
        <v>1</v>
      </c>
      <c r="M15" s="51">
        <v>6</v>
      </c>
      <c r="N15" s="50">
        <v>0</v>
      </c>
      <c r="O15" s="15">
        <f t="shared" si="0"/>
        <v>5</v>
      </c>
      <c r="P15" s="15">
        <f t="shared" si="1"/>
        <v>11</v>
      </c>
      <c r="R15" s="1" t="s">
        <v>11</v>
      </c>
      <c r="S15" s="17">
        <f t="shared" ref="S15:AF15" si="7">SUM(C30:C33)</f>
        <v>5</v>
      </c>
      <c r="T15" s="17">
        <f t="shared" si="7"/>
        <v>10</v>
      </c>
      <c r="U15" s="17">
        <f t="shared" si="7"/>
        <v>10</v>
      </c>
      <c r="V15" s="17">
        <f t="shared" si="7"/>
        <v>5</v>
      </c>
      <c r="W15" s="17">
        <f t="shared" si="7"/>
        <v>1</v>
      </c>
      <c r="X15" s="17">
        <f t="shared" si="7"/>
        <v>1</v>
      </c>
      <c r="Y15" s="17">
        <f t="shared" si="7"/>
        <v>6</v>
      </c>
      <c r="Z15" s="17">
        <f t="shared" si="7"/>
        <v>1</v>
      </c>
      <c r="AA15" s="17">
        <f t="shared" si="7"/>
        <v>1</v>
      </c>
      <c r="AB15" s="17">
        <f t="shared" si="7"/>
        <v>1</v>
      </c>
      <c r="AC15" s="17">
        <f t="shared" si="7"/>
        <v>21</v>
      </c>
      <c r="AD15" s="17">
        <f t="shared" si="7"/>
        <v>0</v>
      </c>
      <c r="AE15" s="31">
        <f t="shared" si="7"/>
        <v>41</v>
      </c>
      <c r="AF15" s="31">
        <f t="shared" si="7"/>
        <v>62</v>
      </c>
    </row>
    <row r="16" spans="2:32" ht="23.1" customHeight="1" x14ac:dyDescent="0.25">
      <c r="B16" s="45" t="s">
        <v>43</v>
      </c>
      <c r="C16" s="51">
        <v>3</v>
      </c>
      <c r="D16" s="50">
        <v>0</v>
      </c>
      <c r="E16" s="51">
        <v>1</v>
      </c>
      <c r="F16" s="51">
        <v>3</v>
      </c>
      <c r="G16" s="51">
        <v>0</v>
      </c>
      <c r="H16" s="51">
        <v>0</v>
      </c>
      <c r="I16" s="51">
        <v>1</v>
      </c>
      <c r="J16" s="51">
        <v>3</v>
      </c>
      <c r="K16" s="51">
        <v>0</v>
      </c>
      <c r="L16" s="50">
        <v>0</v>
      </c>
      <c r="M16" s="51">
        <v>4</v>
      </c>
      <c r="N16" s="50">
        <v>0</v>
      </c>
      <c r="O16" s="15">
        <f t="shared" si="0"/>
        <v>11</v>
      </c>
      <c r="P16" s="15">
        <f t="shared" si="1"/>
        <v>15</v>
      </c>
      <c r="R16" s="1" t="s">
        <v>12</v>
      </c>
      <c r="S16" s="17">
        <f t="shared" ref="S16:AF16" si="8">SUM(C34:C37)</f>
        <v>3</v>
      </c>
      <c r="T16" s="17">
        <f t="shared" si="8"/>
        <v>7</v>
      </c>
      <c r="U16" s="17">
        <f t="shared" si="8"/>
        <v>9</v>
      </c>
      <c r="V16" s="17">
        <f t="shared" si="8"/>
        <v>6</v>
      </c>
      <c r="W16" s="17">
        <f t="shared" si="8"/>
        <v>0</v>
      </c>
      <c r="X16" s="17">
        <f t="shared" si="8"/>
        <v>6</v>
      </c>
      <c r="Y16" s="17">
        <f t="shared" si="8"/>
        <v>4</v>
      </c>
      <c r="Z16" s="17">
        <f t="shared" si="8"/>
        <v>1</v>
      </c>
      <c r="AA16" s="17">
        <f t="shared" si="8"/>
        <v>0</v>
      </c>
      <c r="AB16" s="17">
        <f t="shared" si="8"/>
        <v>1</v>
      </c>
      <c r="AC16" s="17">
        <f t="shared" si="8"/>
        <v>14</v>
      </c>
      <c r="AD16" s="17">
        <f t="shared" si="8"/>
        <v>0</v>
      </c>
      <c r="AE16" s="31">
        <f t="shared" si="8"/>
        <v>37</v>
      </c>
      <c r="AF16" s="31">
        <f t="shared" si="8"/>
        <v>51</v>
      </c>
    </row>
    <row r="17" spans="2:32" ht="23.1" customHeight="1" x14ac:dyDescent="0.25">
      <c r="B17" s="45" t="s">
        <v>44</v>
      </c>
      <c r="C17" s="51">
        <v>1</v>
      </c>
      <c r="D17" s="50">
        <v>4</v>
      </c>
      <c r="E17" s="51">
        <v>5</v>
      </c>
      <c r="F17" s="51">
        <v>0</v>
      </c>
      <c r="G17" s="51">
        <v>0</v>
      </c>
      <c r="H17" s="51">
        <v>0</v>
      </c>
      <c r="I17" s="51">
        <v>2</v>
      </c>
      <c r="J17" s="51">
        <v>0</v>
      </c>
      <c r="K17" s="51">
        <v>0</v>
      </c>
      <c r="L17" s="50">
        <v>0</v>
      </c>
      <c r="M17" s="51">
        <v>3</v>
      </c>
      <c r="N17" s="50">
        <v>0</v>
      </c>
      <c r="O17" s="15">
        <f t="shared" si="0"/>
        <v>12</v>
      </c>
      <c r="P17" s="15">
        <f t="shared" si="1"/>
        <v>15</v>
      </c>
      <c r="R17" s="1" t="s">
        <v>13</v>
      </c>
      <c r="S17" s="17">
        <f t="shared" ref="S17:AF17" si="9">SUM(C38:C41)</f>
        <v>6</v>
      </c>
      <c r="T17" s="17">
        <f t="shared" si="9"/>
        <v>16</v>
      </c>
      <c r="U17" s="17">
        <f t="shared" si="9"/>
        <v>17</v>
      </c>
      <c r="V17" s="17">
        <f t="shared" si="9"/>
        <v>6</v>
      </c>
      <c r="W17" s="17">
        <f t="shared" si="9"/>
        <v>0</v>
      </c>
      <c r="X17" s="17">
        <f t="shared" si="9"/>
        <v>3</v>
      </c>
      <c r="Y17" s="17">
        <f t="shared" si="9"/>
        <v>7</v>
      </c>
      <c r="Z17" s="17">
        <f t="shared" si="9"/>
        <v>1</v>
      </c>
      <c r="AA17" s="17">
        <f t="shared" si="9"/>
        <v>0</v>
      </c>
      <c r="AB17" s="17">
        <f t="shared" si="9"/>
        <v>4</v>
      </c>
      <c r="AC17" s="17">
        <f t="shared" si="9"/>
        <v>25</v>
      </c>
      <c r="AD17" s="17">
        <f t="shared" si="9"/>
        <v>0</v>
      </c>
      <c r="AE17" s="31">
        <f t="shared" si="9"/>
        <v>60</v>
      </c>
      <c r="AF17" s="31">
        <f t="shared" si="9"/>
        <v>85</v>
      </c>
    </row>
    <row r="18" spans="2:32" ht="23.1" customHeight="1" x14ac:dyDescent="0.25">
      <c r="B18" s="45" t="s">
        <v>45</v>
      </c>
      <c r="C18" s="51">
        <v>4</v>
      </c>
      <c r="D18" s="50">
        <v>2</v>
      </c>
      <c r="E18" s="51">
        <v>3</v>
      </c>
      <c r="F18" s="51">
        <v>1</v>
      </c>
      <c r="G18" s="51">
        <v>0</v>
      </c>
      <c r="H18" s="51">
        <v>0</v>
      </c>
      <c r="I18" s="51">
        <v>1</v>
      </c>
      <c r="J18" s="51">
        <v>0</v>
      </c>
      <c r="K18" s="51">
        <v>0</v>
      </c>
      <c r="L18" s="50">
        <v>0</v>
      </c>
      <c r="M18" s="51">
        <v>3</v>
      </c>
      <c r="N18" s="50">
        <v>0</v>
      </c>
      <c r="O18" s="15">
        <f t="shared" si="0"/>
        <v>11</v>
      </c>
      <c r="P18" s="15">
        <f t="shared" si="1"/>
        <v>14</v>
      </c>
      <c r="R18" s="1" t="s">
        <v>14</v>
      </c>
      <c r="S18" s="17">
        <f t="shared" ref="S18:AF18" si="10">SUM(C42:C45)</f>
        <v>8</v>
      </c>
      <c r="T18" s="17">
        <f t="shared" si="10"/>
        <v>10</v>
      </c>
      <c r="U18" s="17">
        <f t="shared" si="10"/>
        <v>10</v>
      </c>
      <c r="V18" s="17">
        <f t="shared" si="10"/>
        <v>9</v>
      </c>
      <c r="W18" s="17">
        <f t="shared" si="10"/>
        <v>2</v>
      </c>
      <c r="X18" s="17">
        <f t="shared" si="10"/>
        <v>4</v>
      </c>
      <c r="Y18" s="17">
        <f t="shared" si="10"/>
        <v>4</v>
      </c>
      <c r="Z18" s="17">
        <f t="shared" si="10"/>
        <v>2</v>
      </c>
      <c r="AA18" s="17">
        <f t="shared" si="10"/>
        <v>1</v>
      </c>
      <c r="AB18" s="17">
        <f t="shared" si="10"/>
        <v>1</v>
      </c>
      <c r="AC18" s="17">
        <f t="shared" si="10"/>
        <v>33</v>
      </c>
      <c r="AD18" s="17">
        <f t="shared" si="10"/>
        <v>0</v>
      </c>
      <c r="AE18" s="31">
        <f t="shared" si="10"/>
        <v>51</v>
      </c>
      <c r="AF18" s="31">
        <f t="shared" si="10"/>
        <v>84</v>
      </c>
    </row>
    <row r="19" spans="2:32" ht="23.1" customHeight="1" x14ac:dyDescent="0.25">
      <c r="B19" s="45" t="s">
        <v>46</v>
      </c>
      <c r="C19" s="51">
        <v>0</v>
      </c>
      <c r="D19" s="50">
        <v>0</v>
      </c>
      <c r="E19" s="51">
        <v>1</v>
      </c>
      <c r="F19" s="51">
        <v>4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0">
        <v>1</v>
      </c>
      <c r="M19" s="51">
        <v>4</v>
      </c>
      <c r="N19" s="50">
        <v>0</v>
      </c>
      <c r="O19" s="15">
        <f t="shared" si="0"/>
        <v>6</v>
      </c>
      <c r="P19" s="15">
        <f t="shared" si="1"/>
        <v>10</v>
      </c>
      <c r="R19" s="1" t="s">
        <v>15</v>
      </c>
      <c r="S19" s="17">
        <f t="shared" ref="S19:AF19" si="11">SUM(C46:C49)</f>
        <v>12</v>
      </c>
      <c r="T19" s="17">
        <f t="shared" si="11"/>
        <v>18</v>
      </c>
      <c r="U19" s="17">
        <f t="shared" si="11"/>
        <v>19</v>
      </c>
      <c r="V19" s="17">
        <f t="shared" si="11"/>
        <v>4</v>
      </c>
      <c r="W19" s="17">
        <f t="shared" si="11"/>
        <v>1</v>
      </c>
      <c r="X19" s="17">
        <f t="shared" si="11"/>
        <v>7</v>
      </c>
      <c r="Y19" s="17">
        <f t="shared" si="11"/>
        <v>4</v>
      </c>
      <c r="Z19" s="17">
        <f t="shared" si="11"/>
        <v>2</v>
      </c>
      <c r="AA19" s="17">
        <f t="shared" si="11"/>
        <v>0</v>
      </c>
      <c r="AB19" s="17">
        <f t="shared" si="11"/>
        <v>5</v>
      </c>
      <c r="AC19" s="17">
        <f t="shared" si="11"/>
        <v>24</v>
      </c>
      <c r="AD19" s="17">
        <f t="shared" si="11"/>
        <v>0</v>
      </c>
      <c r="AE19" s="31">
        <f t="shared" si="11"/>
        <v>72</v>
      </c>
      <c r="AF19" s="31">
        <f t="shared" si="11"/>
        <v>96</v>
      </c>
    </row>
    <row r="20" spans="2:32" ht="23.1" customHeight="1" x14ac:dyDescent="0.25">
      <c r="B20" s="45" t="s">
        <v>47</v>
      </c>
      <c r="C20" s="51">
        <v>2</v>
      </c>
      <c r="D20" s="50">
        <v>1</v>
      </c>
      <c r="E20" s="51">
        <v>2</v>
      </c>
      <c r="F20" s="51">
        <v>2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0">
        <v>0</v>
      </c>
      <c r="M20" s="51">
        <v>2</v>
      </c>
      <c r="N20" s="50">
        <v>0</v>
      </c>
      <c r="O20" s="15">
        <f t="shared" si="0"/>
        <v>7</v>
      </c>
      <c r="P20" s="15">
        <f t="shared" si="1"/>
        <v>9</v>
      </c>
      <c r="R20" s="1" t="s">
        <v>16</v>
      </c>
      <c r="S20" s="17">
        <f t="shared" ref="S20:AF20" si="12">SUM(C50:C53)</f>
        <v>11</v>
      </c>
      <c r="T20" s="17">
        <f t="shared" si="12"/>
        <v>13</v>
      </c>
      <c r="U20" s="17">
        <f t="shared" si="12"/>
        <v>16</v>
      </c>
      <c r="V20" s="17">
        <f t="shared" si="12"/>
        <v>9</v>
      </c>
      <c r="W20" s="17">
        <f t="shared" si="12"/>
        <v>0</v>
      </c>
      <c r="X20" s="17">
        <f t="shared" si="12"/>
        <v>6</v>
      </c>
      <c r="Y20" s="17">
        <f t="shared" si="12"/>
        <v>8</v>
      </c>
      <c r="Z20" s="17">
        <f t="shared" si="12"/>
        <v>2</v>
      </c>
      <c r="AA20" s="17">
        <f t="shared" si="12"/>
        <v>0</v>
      </c>
      <c r="AB20" s="17">
        <f t="shared" si="12"/>
        <v>5</v>
      </c>
      <c r="AC20" s="17">
        <f t="shared" si="12"/>
        <v>26</v>
      </c>
      <c r="AD20" s="17">
        <f t="shared" si="12"/>
        <v>0</v>
      </c>
      <c r="AE20" s="31">
        <f t="shared" si="12"/>
        <v>70</v>
      </c>
      <c r="AF20" s="31">
        <f t="shared" si="12"/>
        <v>96</v>
      </c>
    </row>
    <row r="21" spans="2:32" ht="23.1" customHeight="1" x14ac:dyDescent="0.25">
      <c r="B21" s="45" t="s">
        <v>48</v>
      </c>
      <c r="C21" s="51">
        <v>1</v>
      </c>
      <c r="D21" s="50">
        <v>0</v>
      </c>
      <c r="E21" s="51">
        <v>1</v>
      </c>
      <c r="F21" s="51">
        <v>2</v>
      </c>
      <c r="G21" s="51">
        <v>0</v>
      </c>
      <c r="H21" s="51">
        <v>1</v>
      </c>
      <c r="I21" s="51">
        <v>1</v>
      </c>
      <c r="J21" s="51">
        <v>0</v>
      </c>
      <c r="K21" s="51">
        <v>0</v>
      </c>
      <c r="L21" s="50">
        <v>0</v>
      </c>
      <c r="M21" s="51">
        <v>4</v>
      </c>
      <c r="N21" s="50">
        <v>0</v>
      </c>
      <c r="O21" s="15">
        <f t="shared" si="0"/>
        <v>6</v>
      </c>
      <c r="P21" s="15">
        <f t="shared" si="1"/>
        <v>10</v>
      </c>
      <c r="R21" s="36" t="s">
        <v>20</v>
      </c>
      <c r="S21" s="34">
        <f t="shared" ref="S21:AF21" si="13">SUM(C54:C57)</f>
        <v>5</v>
      </c>
      <c r="T21" s="17">
        <f t="shared" si="13"/>
        <v>11</v>
      </c>
      <c r="U21" s="17">
        <f t="shared" si="13"/>
        <v>15</v>
      </c>
      <c r="V21" s="17">
        <f t="shared" si="13"/>
        <v>7</v>
      </c>
      <c r="W21" s="17">
        <f t="shared" si="13"/>
        <v>0</v>
      </c>
      <c r="X21" s="17">
        <f t="shared" si="13"/>
        <v>3</v>
      </c>
      <c r="Y21" s="17">
        <f t="shared" si="13"/>
        <v>5</v>
      </c>
      <c r="Z21" s="17">
        <f t="shared" si="13"/>
        <v>1</v>
      </c>
      <c r="AA21" s="17">
        <f t="shared" si="13"/>
        <v>1</v>
      </c>
      <c r="AB21" s="17">
        <f t="shared" si="13"/>
        <v>2</v>
      </c>
      <c r="AC21" s="17">
        <f t="shared" si="13"/>
        <v>31</v>
      </c>
      <c r="AD21" s="17">
        <f t="shared" si="13"/>
        <v>0</v>
      </c>
      <c r="AE21" s="31">
        <f t="shared" si="13"/>
        <v>50</v>
      </c>
      <c r="AF21" s="31">
        <f t="shared" si="13"/>
        <v>81</v>
      </c>
    </row>
    <row r="22" spans="2:32" ht="23.1" customHeight="1" x14ac:dyDescent="0.25">
      <c r="B22" s="45" t="s">
        <v>49</v>
      </c>
      <c r="C22" s="51">
        <v>0</v>
      </c>
      <c r="D22" s="50">
        <v>2</v>
      </c>
      <c r="E22" s="51">
        <v>3</v>
      </c>
      <c r="F22" s="51">
        <v>2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0">
        <v>1</v>
      </c>
      <c r="M22" s="51">
        <v>2</v>
      </c>
      <c r="N22" s="50">
        <v>0</v>
      </c>
      <c r="O22" s="15">
        <f t="shared" si="0"/>
        <v>8</v>
      </c>
      <c r="P22" s="15">
        <f t="shared" si="1"/>
        <v>10</v>
      </c>
      <c r="R22" s="38" t="s">
        <v>90</v>
      </c>
      <c r="S22" s="39">
        <f t="shared" ref="S22:AF22" si="14">MAX(S10:S12)</f>
        <v>7</v>
      </c>
      <c r="T22" s="39">
        <f t="shared" si="14"/>
        <v>5</v>
      </c>
      <c r="U22" s="39">
        <f t="shared" si="14"/>
        <v>8</v>
      </c>
      <c r="V22" s="39">
        <f t="shared" si="14"/>
        <v>9</v>
      </c>
      <c r="W22" s="39">
        <f t="shared" si="14"/>
        <v>0</v>
      </c>
      <c r="X22" s="39">
        <f t="shared" si="14"/>
        <v>1</v>
      </c>
      <c r="Y22" s="39">
        <f t="shared" si="14"/>
        <v>10</v>
      </c>
      <c r="Z22" s="39">
        <f t="shared" si="14"/>
        <v>3</v>
      </c>
      <c r="AA22" s="39">
        <f t="shared" si="14"/>
        <v>1</v>
      </c>
      <c r="AB22" s="39">
        <f t="shared" si="14"/>
        <v>7</v>
      </c>
      <c r="AC22" s="39">
        <f t="shared" si="14"/>
        <v>13</v>
      </c>
      <c r="AD22" s="39">
        <f t="shared" si="14"/>
        <v>0</v>
      </c>
      <c r="AE22" s="40">
        <f t="shared" si="14"/>
        <v>37</v>
      </c>
      <c r="AF22" s="40">
        <f t="shared" si="14"/>
        <v>50</v>
      </c>
    </row>
    <row r="23" spans="2:32" ht="23.1" customHeight="1" x14ac:dyDescent="0.25">
      <c r="B23" s="45" t="s">
        <v>50</v>
      </c>
      <c r="C23" s="51">
        <v>0</v>
      </c>
      <c r="D23" s="50">
        <v>2</v>
      </c>
      <c r="E23" s="51">
        <v>3</v>
      </c>
      <c r="F23" s="51">
        <v>2</v>
      </c>
      <c r="G23" s="51">
        <v>0</v>
      </c>
      <c r="H23" s="51">
        <v>1</v>
      </c>
      <c r="I23" s="51">
        <v>1</v>
      </c>
      <c r="J23" s="51">
        <v>1</v>
      </c>
      <c r="K23" s="51">
        <v>0</v>
      </c>
      <c r="L23" s="50">
        <v>0</v>
      </c>
      <c r="M23" s="51">
        <v>1</v>
      </c>
      <c r="N23" s="50">
        <v>0</v>
      </c>
      <c r="O23" s="15">
        <f t="shared" si="0"/>
        <v>10</v>
      </c>
      <c r="P23" s="15">
        <f t="shared" si="1"/>
        <v>11</v>
      </c>
      <c r="R23" s="38" t="s">
        <v>91</v>
      </c>
      <c r="S23" s="39">
        <f t="shared" ref="S23:AF23" si="15">MAX(S13:S18)</f>
        <v>8</v>
      </c>
      <c r="T23" s="39">
        <f t="shared" si="15"/>
        <v>16</v>
      </c>
      <c r="U23" s="39">
        <f t="shared" si="15"/>
        <v>17</v>
      </c>
      <c r="V23" s="39">
        <f t="shared" si="15"/>
        <v>9</v>
      </c>
      <c r="W23" s="39">
        <f t="shared" si="15"/>
        <v>2</v>
      </c>
      <c r="X23" s="39">
        <f t="shared" si="15"/>
        <v>6</v>
      </c>
      <c r="Y23" s="39">
        <f t="shared" si="15"/>
        <v>7</v>
      </c>
      <c r="Z23" s="39">
        <f t="shared" si="15"/>
        <v>2</v>
      </c>
      <c r="AA23" s="39">
        <f t="shared" si="15"/>
        <v>2</v>
      </c>
      <c r="AB23" s="39">
        <f t="shared" si="15"/>
        <v>4</v>
      </c>
      <c r="AC23" s="39">
        <f t="shared" si="15"/>
        <v>33</v>
      </c>
      <c r="AD23" s="39">
        <f t="shared" si="15"/>
        <v>0</v>
      </c>
      <c r="AE23" s="40">
        <f t="shared" si="15"/>
        <v>60</v>
      </c>
      <c r="AF23" s="40">
        <f t="shared" si="15"/>
        <v>85</v>
      </c>
    </row>
    <row r="24" spans="2:32" ht="23.1" customHeight="1" x14ac:dyDescent="0.25">
      <c r="B24" s="45" t="s">
        <v>51</v>
      </c>
      <c r="C24" s="51">
        <v>2</v>
      </c>
      <c r="D24" s="50">
        <v>2</v>
      </c>
      <c r="E24" s="51">
        <v>3</v>
      </c>
      <c r="F24" s="51">
        <v>1</v>
      </c>
      <c r="G24" s="51">
        <v>0</v>
      </c>
      <c r="H24" s="51">
        <v>1</v>
      </c>
      <c r="I24" s="51">
        <v>1</v>
      </c>
      <c r="J24" s="51">
        <v>0</v>
      </c>
      <c r="K24" s="51">
        <v>0</v>
      </c>
      <c r="L24" s="50">
        <v>1</v>
      </c>
      <c r="M24" s="51">
        <v>7</v>
      </c>
      <c r="N24" s="50">
        <v>0</v>
      </c>
      <c r="O24" s="15">
        <f t="shared" si="0"/>
        <v>11</v>
      </c>
      <c r="P24" s="15">
        <f t="shared" si="1"/>
        <v>18</v>
      </c>
      <c r="R24" s="38" t="s">
        <v>92</v>
      </c>
      <c r="S24" s="39">
        <f t="shared" ref="S24:AF24" si="16">MAX(S19:S21)</f>
        <v>12</v>
      </c>
      <c r="T24" s="39">
        <f t="shared" si="16"/>
        <v>18</v>
      </c>
      <c r="U24" s="39">
        <f t="shared" si="16"/>
        <v>19</v>
      </c>
      <c r="V24" s="39">
        <f t="shared" si="16"/>
        <v>9</v>
      </c>
      <c r="W24" s="39">
        <f t="shared" si="16"/>
        <v>1</v>
      </c>
      <c r="X24" s="39">
        <f t="shared" si="16"/>
        <v>7</v>
      </c>
      <c r="Y24" s="39">
        <f t="shared" si="16"/>
        <v>8</v>
      </c>
      <c r="Z24" s="39">
        <f t="shared" si="16"/>
        <v>2</v>
      </c>
      <c r="AA24" s="39">
        <f t="shared" si="16"/>
        <v>1</v>
      </c>
      <c r="AB24" s="39">
        <f t="shared" si="16"/>
        <v>5</v>
      </c>
      <c r="AC24" s="39">
        <f t="shared" si="16"/>
        <v>31</v>
      </c>
      <c r="AD24" s="39">
        <f t="shared" si="16"/>
        <v>0</v>
      </c>
      <c r="AE24" s="40">
        <f t="shared" si="16"/>
        <v>72</v>
      </c>
      <c r="AF24" s="40">
        <f t="shared" si="16"/>
        <v>96</v>
      </c>
    </row>
    <row r="25" spans="2:32" ht="23.1" customHeight="1" x14ac:dyDescent="0.25">
      <c r="B25" s="45" t="s">
        <v>52</v>
      </c>
      <c r="C25" s="51">
        <v>1</v>
      </c>
      <c r="D25" s="50">
        <v>1</v>
      </c>
      <c r="E25" s="51">
        <v>2</v>
      </c>
      <c r="F25" s="51">
        <v>0</v>
      </c>
      <c r="G25" s="51">
        <v>0</v>
      </c>
      <c r="H25" s="51">
        <v>1</v>
      </c>
      <c r="I25" s="51">
        <v>1</v>
      </c>
      <c r="J25" s="51">
        <v>0</v>
      </c>
      <c r="K25" s="51">
        <v>0</v>
      </c>
      <c r="L25" s="50">
        <v>1</v>
      </c>
      <c r="M25" s="51">
        <v>9</v>
      </c>
      <c r="N25" s="50">
        <v>0</v>
      </c>
      <c r="O25" s="15">
        <f t="shared" si="0"/>
        <v>7</v>
      </c>
      <c r="P25" s="15">
        <f t="shared" si="1"/>
        <v>16</v>
      </c>
      <c r="R25" s="37" t="s">
        <v>85</v>
      </c>
      <c r="S25" s="35">
        <f t="shared" ref="S25:AF25" si="17">SUM(S10:S12)</f>
        <v>14</v>
      </c>
      <c r="T25" s="16">
        <f t="shared" si="17"/>
        <v>8</v>
      </c>
      <c r="U25" s="16">
        <f t="shared" si="17"/>
        <v>18</v>
      </c>
      <c r="V25" s="16">
        <f t="shared" si="17"/>
        <v>14</v>
      </c>
      <c r="W25" s="16">
        <f t="shared" si="17"/>
        <v>0</v>
      </c>
      <c r="X25" s="16">
        <f t="shared" si="17"/>
        <v>1</v>
      </c>
      <c r="Y25" s="16">
        <f t="shared" si="17"/>
        <v>19</v>
      </c>
      <c r="Z25" s="16">
        <f t="shared" si="17"/>
        <v>5</v>
      </c>
      <c r="AA25" s="16">
        <f t="shared" si="17"/>
        <v>1</v>
      </c>
      <c r="AB25" s="16">
        <f t="shared" si="17"/>
        <v>10</v>
      </c>
      <c r="AC25" s="16">
        <f t="shared" si="17"/>
        <v>34</v>
      </c>
      <c r="AD25" s="16">
        <f t="shared" si="17"/>
        <v>0</v>
      </c>
      <c r="AE25" s="32">
        <f t="shared" si="17"/>
        <v>90</v>
      </c>
      <c r="AF25" s="32">
        <f t="shared" si="17"/>
        <v>124</v>
      </c>
    </row>
    <row r="26" spans="2:32" ht="23.1" customHeight="1" x14ac:dyDescent="0.25">
      <c r="B26" s="45" t="s">
        <v>53</v>
      </c>
      <c r="C26" s="51">
        <v>3</v>
      </c>
      <c r="D26" s="50">
        <v>3</v>
      </c>
      <c r="E26" s="51">
        <v>4</v>
      </c>
      <c r="F26" s="51">
        <v>0</v>
      </c>
      <c r="G26" s="51">
        <v>1</v>
      </c>
      <c r="H26" s="51">
        <v>1</v>
      </c>
      <c r="I26" s="51">
        <v>1</v>
      </c>
      <c r="J26" s="51">
        <v>0</v>
      </c>
      <c r="K26" s="51">
        <v>1</v>
      </c>
      <c r="L26" s="50">
        <v>0</v>
      </c>
      <c r="M26" s="51">
        <v>3</v>
      </c>
      <c r="N26" s="50">
        <v>0</v>
      </c>
      <c r="O26" s="15">
        <f t="shared" si="0"/>
        <v>14</v>
      </c>
      <c r="P26" s="15">
        <f t="shared" si="1"/>
        <v>17</v>
      </c>
      <c r="R26" s="28" t="s">
        <v>86</v>
      </c>
      <c r="S26" s="16">
        <f t="shared" ref="S26:AF26" si="18">SUM(S13:S18)</f>
        <v>29</v>
      </c>
      <c r="T26" s="16">
        <f t="shared" si="18"/>
        <v>62</v>
      </c>
      <c r="U26" s="16">
        <f t="shared" si="18"/>
        <v>71</v>
      </c>
      <c r="V26" s="16">
        <f t="shared" si="18"/>
        <v>36</v>
      </c>
      <c r="W26" s="16">
        <f t="shared" si="18"/>
        <v>4</v>
      </c>
      <c r="X26" s="16">
        <f t="shared" si="18"/>
        <v>22</v>
      </c>
      <c r="Y26" s="16">
        <f t="shared" si="18"/>
        <v>25</v>
      </c>
      <c r="Z26" s="16">
        <f t="shared" si="18"/>
        <v>7</v>
      </c>
      <c r="AA26" s="16">
        <f t="shared" si="18"/>
        <v>4</v>
      </c>
      <c r="AB26" s="16">
        <f t="shared" si="18"/>
        <v>11</v>
      </c>
      <c r="AC26" s="16">
        <f t="shared" si="18"/>
        <v>134</v>
      </c>
      <c r="AD26" s="16">
        <f t="shared" si="18"/>
        <v>0</v>
      </c>
      <c r="AE26" s="32">
        <f t="shared" si="18"/>
        <v>271</v>
      </c>
      <c r="AF26" s="32">
        <f t="shared" si="18"/>
        <v>405</v>
      </c>
    </row>
    <row r="27" spans="2:32" ht="23.1" customHeight="1" x14ac:dyDescent="0.25">
      <c r="B27" s="45" t="s">
        <v>54</v>
      </c>
      <c r="C27" s="51">
        <v>1</v>
      </c>
      <c r="D27" s="50">
        <v>3</v>
      </c>
      <c r="E27" s="51">
        <v>3</v>
      </c>
      <c r="F27" s="51">
        <v>2</v>
      </c>
      <c r="G27" s="51">
        <v>0</v>
      </c>
      <c r="H27" s="51">
        <v>0</v>
      </c>
      <c r="I27" s="51">
        <v>0</v>
      </c>
      <c r="J27" s="51">
        <v>0</v>
      </c>
      <c r="K27" s="51">
        <v>1</v>
      </c>
      <c r="L27" s="50">
        <v>0</v>
      </c>
      <c r="M27" s="51">
        <v>3</v>
      </c>
      <c r="N27" s="50">
        <v>0</v>
      </c>
      <c r="O27" s="15">
        <f t="shared" si="0"/>
        <v>10</v>
      </c>
      <c r="P27" s="15">
        <f t="shared" si="1"/>
        <v>13</v>
      </c>
      <c r="R27" s="29" t="s">
        <v>87</v>
      </c>
      <c r="S27" s="16">
        <f t="shared" ref="S27:AF27" si="19">SUM(S19:S21)</f>
        <v>28</v>
      </c>
      <c r="T27" s="16">
        <f t="shared" si="19"/>
        <v>42</v>
      </c>
      <c r="U27" s="16">
        <f t="shared" si="19"/>
        <v>50</v>
      </c>
      <c r="V27" s="16">
        <f t="shared" si="19"/>
        <v>20</v>
      </c>
      <c r="W27" s="16">
        <f t="shared" si="19"/>
        <v>1</v>
      </c>
      <c r="X27" s="16">
        <f t="shared" si="19"/>
        <v>16</v>
      </c>
      <c r="Y27" s="16">
        <f t="shared" si="19"/>
        <v>17</v>
      </c>
      <c r="Z27" s="16">
        <f t="shared" si="19"/>
        <v>5</v>
      </c>
      <c r="AA27" s="16">
        <f t="shared" si="19"/>
        <v>1</v>
      </c>
      <c r="AB27" s="16">
        <f t="shared" si="19"/>
        <v>12</v>
      </c>
      <c r="AC27" s="16">
        <f t="shared" si="19"/>
        <v>81</v>
      </c>
      <c r="AD27" s="16">
        <f t="shared" si="19"/>
        <v>0</v>
      </c>
      <c r="AE27" s="32">
        <f t="shared" si="19"/>
        <v>192</v>
      </c>
      <c r="AF27" s="32">
        <f t="shared" si="19"/>
        <v>273</v>
      </c>
    </row>
    <row r="28" spans="2:32" ht="23.1" customHeight="1" x14ac:dyDescent="0.25">
      <c r="B28" s="45" t="s">
        <v>55</v>
      </c>
      <c r="C28" s="51">
        <v>0</v>
      </c>
      <c r="D28" s="50">
        <v>2</v>
      </c>
      <c r="E28" s="51">
        <v>3</v>
      </c>
      <c r="F28" s="51">
        <v>0</v>
      </c>
      <c r="G28" s="51">
        <v>0</v>
      </c>
      <c r="H28" s="51">
        <v>1</v>
      </c>
      <c r="I28" s="51">
        <v>0</v>
      </c>
      <c r="J28" s="51">
        <v>1</v>
      </c>
      <c r="K28" s="51">
        <v>0</v>
      </c>
      <c r="L28" s="50">
        <v>0</v>
      </c>
      <c r="M28" s="51">
        <v>6</v>
      </c>
      <c r="N28" s="50">
        <v>0</v>
      </c>
      <c r="O28" s="15">
        <f t="shared" si="0"/>
        <v>7</v>
      </c>
      <c r="P28" s="15">
        <f t="shared" si="1"/>
        <v>13</v>
      </c>
      <c r="R28" s="5" t="s">
        <v>17</v>
      </c>
      <c r="S28" s="16">
        <f t="shared" ref="S28:AF28" si="20">SUM(S10:S21)</f>
        <v>71</v>
      </c>
      <c r="T28" s="16">
        <f t="shared" si="20"/>
        <v>112</v>
      </c>
      <c r="U28" s="16">
        <f t="shared" si="20"/>
        <v>139</v>
      </c>
      <c r="V28" s="16">
        <f t="shared" si="20"/>
        <v>70</v>
      </c>
      <c r="W28" s="16">
        <f t="shared" si="20"/>
        <v>5</v>
      </c>
      <c r="X28" s="16">
        <f t="shared" si="20"/>
        <v>39</v>
      </c>
      <c r="Y28" s="16">
        <f t="shared" si="20"/>
        <v>61</v>
      </c>
      <c r="Z28" s="16">
        <f t="shared" si="20"/>
        <v>17</v>
      </c>
      <c r="AA28" s="16">
        <f t="shared" si="20"/>
        <v>6</v>
      </c>
      <c r="AB28" s="16">
        <f t="shared" si="20"/>
        <v>33</v>
      </c>
      <c r="AC28" s="16">
        <f t="shared" si="20"/>
        <v>249</v>
      </c>
      <c r="AD28" s="16">
        <f t="shared" si="20"/>
        <v>0</v>
      </c>
      <c r="AE28" s="32">
        <f t="shared" si="20"/>
        <v>553</v>
      </c>
      <c r="AF28" s="32">
        <f t="shared" si="20"/>
        <v>802</v>
      </c>
    </row>
    <row r="29" spans="2:32" ht="23.1" customHeight="1" x14ac:dyDescent="0.25">
      <c r="B29" s="45" t="s">
        <v>56</v>
      </c>
      <c r="C29" s="51">
        <v>0</v>
      </c>
      <c r="D29" s="50">
        <v>4</v>
      </c>
      <c r="E29" s="51">
        <v>4</v>
      </c>
      <c r="F29" s="51">
        <v>3</v>
      </c>
      <c r="G29" s="51">
        <v>0</v>
      </c>
      <c r="H29" s="51">
        <v>3</v>
      </c>
      <c r="I29" s="51">
        <v>0</v>
      </c>
      <c r="J29" s="51">
        <v>0</v>
      </c>
      <c r="K29" s="51">
        <v>0</v>
      </c>
      <c r="L29" s="50">
        <v>1</v>
      </c>
      <c r="M29" s="51">
        <v>10</v>
      </c>
      <c r="N29" s="50">
        <v>0</v>
      </c>
      <c r="O29" s="15">
        <f t="shared" si="0"/>
        <v>15</v>
      </c>
      <c r="P29" s="15">
        <f t="shared" si="1"/>
        <v>25</v>
      </c>
      <c r="R29" s="5" t="s">
        <v>159</v>
      </c>
      <c r="S29" s="16">
        <f t="shared" ref="S29:AF29" si="21">SUM(S10:S21)</f>
        <v>71</v>
      </c>
      <c r="T29" s="16">
        <f t="shared" si="21"/>
        <v>112</v>
      </c>
      <c r="U29" s="16">
        <f t="shared" si="21"/>
        <v>139</v>
      </c>
      <c r="V29" s="16">
        <f t="shared" si="21"/>
        <v>70</v>
      </c>
      <c r="W29" s="16">
        <f t="shared" si="21"/>
        <v>5</v>
      </c>
      <c r="X29" s="16">
        <f t="shared" si="21"/>
        <v>39</v>
      </c>
      <c r="Y29" s="16">
        <f t="shared" si="21"/>
        <v>61</v>
      </c>
      <c r="Z29" s="16">
        <f t="shared" si="21"/>
        <v>17</v>
      </c>
      <c r="AA29" s="16">
        <f t="shared" si="21"/>
        <v>6</v>
      </c>
      <c r="AB29" s="16">
        <f t="shared" si="21"/>
        <v>33</v>
      </c>
      <c r="AC29" s="16">
        <f t="shared" si="21"/>
        <v>249</v>
      </c>
      <c r="AD29" s="16">
        <f t="shared" si="21"/>
        <v>0</v>
      </c>
      <c r="AE29" s="32">
        <f t="shared" si="21"/>
        <v>553</v>
      </c>
      <c r="AF29" s="32">
        <f t="shared" si="21"/>
        <v>802</v>
      </c>
    </row>
    <row r="30" spans="2:32" ht="23.1" customHeight="1" x14ac:dyDescent="0.25">
      <c r="B30" s="45" t="s">
        <v>57</v>
      </c>
      <c r="C30" s="51">
        <v>2</v>
      </c>
      <c r="D30" s="50">
        <v>3</v>
      </c>
      <c r="E30" s="51">
        <v>3</v>
      </c>
      <c r="F30" s="51">
        <v>0</v>
      </c>
      <c r="G30" s="51">
        <v>0</v>
      </c>
      <c r="H30" s="51">
        <v>0</v>
      </c>
      <c r="I30" s="51">
        <v>2</v>
      </c>
      <c r="J30" s="51">
        <v>1</v>
      </c>
      <c r="K30" s="51">
        <v>0</v>
      </c>
      <c r="L30" s="50">
        <v>0</v>
      </c>
      <c r="M30" s="51">
        <v>5</v>
      </c>
      <c r="N30" s="50">
        <v>0</v>
      </c>
      <c r="O30" s="15">
        <f t="shared" si="0"/>
        <v>11</v>
      </c>
      <c r="P30" s="15">
        <f t="shared" si="1"/>
        <v>16</v>
      </c>
      <c r="R30" s="5" t="s">
        <v>160</v>
      </c>
      <c r="S30" s="48">
        <f>S29/S28</f>
        <v>1</v>
      </c>
      <c r="T30" s="48">
        <f t="shared" ref="T30:AF30" si="22">T29/T28</f>
        <v>1</v>
      </c>
      <c r="U30" s="48">
        <f t="shared" si="22"/>
        <v>1</v>
      </c>
      <c r="V30" s="48">
        <f t="shared" si="22"/>
        <v>1</v>
      </c>
      <c r="W30" s="48">
        <f t="shared" si="22"/>
        <v>1</v>
      </c>
      <c r="X30" s="48">
        <f t="shared" si="22"/>
        <v>1</v>
      </c>
      <c r="Y30" s="48">
        <f t="shared" si="22"/>
        <v>1</v>
      </c>
      <c r="Z30" s="48">
        <f t="shared" si="22"/>
        <v>1</v>
      </c>
      <c r="AA30" s="48">
        <f t="shared" si="22"/>
        <v>1</v>
      </c>
      <c r="AB30" s="48">
        <f t="shared" si="22"/>
        <v>1</v>
      </c>
      <c r="AC30" s="48">
        <f t="shared" si="22"/>
        <v>1</v>
      </c>
      <c r="AD30" s="48" t="e">
        <f t="shared" si="22"/>
        <v>#DIV/0!</v>
      </c>
      <c r="AE30" s="48">
        <f t="shared" si="22"/>
        <v>1</v>
      </c>
      <c r="AF30" s="48">
        <f t="shared" si="22"/>
        <v>1</v>
      </c>
    </row>
    <row r="31" spans="2:32" ht="23.1" customHeight="1" x14ac:dyDescent="0.25">
      <c r="B31" s="46" t="s">
        <v>58</v>
      </c>
      <c r="C31" s="51">
        <v>2</v>
      </c>
      <c r="D31" s="50">
        <v>2</v>
      </c>
      <c r="E31" s="51">
        <v>2</v>
      </c>
      <c r="F31" s="51">
        <v>0</v>
      </c>
      <c r="G31" s="51">
        <v>1</v>
      </c>
      <c r="H31" s="51">
        <v>0</v>
      </c>
      <c r="I31" s="51">
        <v>1</v>
      </c>
      <c r="J31" s="51">
        <v>0</v>
      </c>
      <c r="K31" s="51">
        <v>0</v>
      </c>
      <c r="L31" s="50">
        <v>0</v>
      </c>
      <c r="M31" s="51">
        <v>7</v>
      </c>
      <c r="N31" s="50">
        <v>0</v>
      </c>
      <c r="O31" s="15">
        <f t="shared" si="0"/>
        <v>8</v>
      </c>
      <c r="P31" s="15">
        <f t="shared" si="1"/>
        <v>15</v>
      </c>
    </row>
    <row r="32" spans="2:32" ht="23.1" customHeight="1" x14ac:dyDescent="0.25">
      <c r="B32" s="46" t="s">
        <v>59</v>
      </c>
      <c r="C32" s="51">
        <v>1</v>
      </c>
      <c r="D32" s="50">
        <v>2</v>
      </c>
      <c r="E32" s="51">
        <v>2</v>
      </c>
      <c r="F32" s="51">
        <v>1</v>
      </c>
      <c r="G32" s="51">
        <v>0</v>
      </c>
      <c r="H32" s="51">
        <v>1</v>
      </c>
      <c r="I32" s="51">
        <v>2</v>
      </c>
      <c r="J32" s="51">
        <v>0</v>
      </c>
      <c r="K32" s="51">
        <v>1</v>
      </c>
      <c r="L32" s="50">
        <v>0</v>
      </c>
      <c r="M32" s="51">
        <v>4</v>
      </c>
      <c r="N32" s="50">
        <v>0</v>
      </c>
      <c r="O32" s="15">
        <f t="shared" si="0"/>
        <v>10</v>
      </c>
      <c r="P32" s="15">
        <f t="shared" si="1"/>
        <v>14</v>
      </c>
    </row>
    <row r="33" spans="2:20" ht="23.1" customHeight="1" x14ac:dyDescent="0.25">
      <c r="B33" s="45" t="s">
        <v>60</v>
      </c>
      <c r="C33" s="51">
        <v>0</v>
      </c>
      <c r="D33" s="50">
        <v>3</v>
      </c>
      <c r="E33" s="51">
        <v>3</v>
      </c>
      <c r="F33" s="51">
        <v>4</v>
      </c>
      <c r="G33" s="51">
        <v>0</v>
      </c>
      <c r="H33" s="51">
        <v>0</v>
      </c>
      <c r="I33" s="51">
        <v>1</v>
      </c>
      <c r="J33" s="51">
        <v>0</v>
      </c>
      <c r="K33" s="51">
        <v>0</v>
      </c>
      <c r="L33" s="50">
        <v>1</v>
      </c>
      <c r="M33" s="51">
        <v>5</v>
      </c>
      <c r="N33" s="50">
        <v>0</v>
      </c>
      <c r="O33" s="15">
        <f t="shared" si="0"/>
        <v>12</v>
      </c>
      <c r="P33" s="15">
        <f t="shared" si="1"/>
        <v>17</v>
      </c>
    </row>
    <row r="34" spans="2:20" ht="23.1" customHeight="1" x14ac:dyDescent="0.25">
      <c r="B34" s="46" t="s">
        <v>61</v>
      </c>
      <c r="C34" s="51">
        <v>0</v>
      </c>
      <c r="D34" s="50">
        <v>2</v>
      </c>
      <c r="E34" s="51">
        <v>2</v>
      </c>
      <c r="F34" s="51">
        <v>2</v>
      </c>
      <c r="G34" s="51">
        <v>0</v>
      </c>
      <c r="H34" s="51">
        <v>2</v>
      </c>
      <c r="I34" s="51">
        <v>2</v>
      </c>
      <c r="J34" s="51">
        <v>0</v>
      </c>
      <c r="K34" s="51">
        <v>0</v>
      </c>
      <c r="L34" s="50">
        <v>0</v>
      </c>
      <c r="M34" s="51">
        <v>6</v>
      </c>
      <c r="N34" s="50">
        <v>0</v>
      </c>
      <c r="O34" s="15">
        <f t="shared" si="0"/>
        <v>10</v>
      </c>
      <c r="P34" s="15">
        <f t="shared" si="1"/>
        <v>16</v>
      </c>
      <c r="R34" s="8"/>
      <c r="T34"/>
    </row>
    <row r="35" spans="2:20" ht="23.1" customHeight="1" x14ac:dyDescent="0.25">
      <c r="B35" s="46" t="s">
        <v>62</v>
      </c>
      <c r="C35" s="51">
        <v>1</v>
      </c>
      <c r="D35" s="50">
        <v>2</v>
      </c>
      <c r="E35" s="51">
        <v>3</v>
      </c>
      <c r="F35" s="51">
        <v>2</v>
      </c>
      <c r="G35" s="51">
        <v>0</v>
      </c>
      <c r="H35" s="51">
        <v>1</v>
      </c>
      <c r="I35" s="51">
        <v>0</v>
      </c>
      <c r="J35" s="51">
        <v>0</v>
      </c>
      <c r="K35" s="51">
        <v>0</v>
      </c>
      <c r="L35" s="50">
        <v>0</v>
      </c>
      <c r="M35" s="51">
        <v>2</v>
      </c>
      <c r="N35" s="50">
        <v>0</v>
      </c>
      <c r="O35" s="15">
        <f t="shared" si="0"/>
        <v>9</v>
      </c>
      <c r="P35" s="15">
        <f t="shared" si="1"/>
        <v>11</v>
      </c>
      <c r="R35" s="8"/>
      <c r="T35"/>
    </row>
    <row r="36" spans="2:20" ht="23.1" customHeight="1" x14ac:dyDescent="0.25">
      <c r="B36" s="46" t="s">
        <v>63</v>
      </c>
      <c r="C36" s="51">
        <v>2</v>
      </c>
      <c r="D36" s="50">
        <v>1</v>
      </c>
      <c r="E36" s="51">
        <v>1</v>
      </c>
      <c r="F36" s="51">
        <v>1</v>
      </c>
      <c r="G36" s="51">
        <v>0</v>
      </c>
      <c r="H36" s="51">
        <v>1</v>
      </c>
      <c r="I36" s="51">
        <v>0</v>
      </c>
      <c r="J36" s="51">
        <v>1</v>
      </c>
      <c r="K36" s="51">
        <v>0</v>
      </c>
      <c r="L36" s="50">
        <v>1</v>
      </c>
      <c r="M36" s="51">
        <v>2</v>
      </c>
      <c r="N36" s="50">
        <v>0</v>
      </c>
      <c r="O36" s="15">
        <f t="shared" si="0"/>
        <v>8</v>
      </c>
      <c r="P36" s="15">
        <f t="shared" si="1"/>
        <v>10</v>
      </c>
      <c r="R36" s="8"/>
      <c r="T36"/>
    </row>
    <row r="37" spans="2:20" ht="23.1" customHeight="1" x14ac:dyDescent="0.25">
      <c r="B37" s="45" t="s">
        <v>64</v>
      </c>
      <c r="C37" s="51">
        <v>0</v>
      </c>
      <c r="D37" s="50">
        <v>2</v>
      </c>
      <c r="E37" s="51">
        <v>3</v>
      </c>
      <c r="F37" s="51">
        <v>1</v>
      </c>
      <c r="G37" s="51">
        <v>0</v>
      </c>
      <c r="H37" s="51">
        <v>2</v>
      </c>
      <c r="I37" s="51">
        <v>2</v>
      </c>
      <c r="J37" s="51">
        <v>0</v>
      </c>
      <c r="K37" s="51">
        <v>0</v>
      </c>
      <c r="L37" s="50">
        <v>0</v>
      </c>
      <c r="M37" s="51">
        <v>4</v>
      </c>
      <c r="N37" s="50">
        <v>0</v>
      </c>
      <c r="O37" s="15">
        <f t="shared" si="0"/>
        <v>10</v>
      </c>
      <c r="P37" s="15">
        <f t="shared" si="1"/>
        <v>14</v>
      </c>
      <c r="R37" s="8"/>
      <c r="T37"/>
    </row>
    <row r="38" spans="2:20" ht="23.1" customHeight="1" x14ac:dyDescent="0.25">
      <c r="B38" s="46" t="s">
        <v>65</v>
      </c>
      <c r="C38" s="51">
        <v>1</v>
      </c>
      <c r="D38" s="50">
        <v>2</v>
      </c>
      <c r="E38" s="51">
        <v>2</v>
      </c>
      <c r="F38" s="51">
        <v>3</v>
      </c>
      <c r="G38" s="51">
        <v>0</v>
      </c>
      <c r="H38" s="51">
        <v>0</v>
      </c>
      <c r="I38" s="51">
        <v>1</v>
      </c>
      <c r="J38" s="51">
        <v>1</v>
      </c>
      <c r="K38" s="51">
        <v>0</v>
      </c>
      <c r="L38" s="50">
        <v>2</v>
      </c>
      <c r="M38" s="51">
        <v>5</v>
      </c>
      <c r="N38" s="50">
        <v>0</v>
      </c>
      <c r="O38" s="15">
        <f t="shared" si="0"/>
        <v>12</v>
      </c>
      <c r="P38" s="15">
        <f t="shared" si="1"/>
        <v>17</v>
      </c>
      <c r="R38" s="8"/>
      <c r="T38"/>
    </row>
    <row r="39" spans="2:20" ht="23.1" customHeight="1" x14ac:dyDescent="0.25">
      <c r="B39" s="46" t="s">
        <v>66</v>
      </c>
      <c r="C39" s="51">
        <v>2</v>
      </c>
      <c r="D39" s="50">
        <v>6</v>
      </c>
      <c r="E39" s="51">
        <v>7</v>
      </c>
      <c r="F39" s="51">
        <v>0</v>
      </c>
      <c r="G39" s="51">
        <v>0</v>
      </c>
      <c r="H39" s="51">
        <v>1</v>
      </c>
      <c r="I39" s="51">
        <v>0</v>
      </c>
      <c r="J39" s="51">
        <v>0</v>
      </c>
      <c r="K39" s="51">
        <v>0</v>
      </c>
      <c r="L39" s="50">
        <v>0</v>
      </c>
      <c r="M39" s="51">
        <v>7</v>
      </c>
      <c r="N39" s="50">
        <v>0</v>
      </c>
      <c r="O39" s="15">
        <f t="shared" si="0"/>
        <v>16</v>
      </c>
      <c r="P39" s="15">
        <f t="shared" si="1"/>
        <v>23</v>
      </c>
      <c r="R39" s="8"/>
      <c r="T39"/>
    </row>
    <row r="40" spans="2:20" ht="23.1" customHeight="1" x14ac:dyDescent="0.25">
      <c r="B40" s="46" t="s">
        <v>67</v>
      </c>
      <c r="C40" s="51">
        <v>3</v>
      </c>
      <c r="D40" s="50">
        <v>5</v>
      </c>
      <c r="E40" s="51">
        <v>5</v>
      </c>
      <c r="F40" s="51">
        <v>1</v>
      </c>
      <c r="G40" s="51">
        <v>0</v>
      </c>
      <c r="H40" s="51">
        <v>0</v>
      </c>
      <c r="I40" s="51">
        <v>1</v>
      </c>
      <c r="J40" s="51">
        <v>0</v>
      </c>
      <c r="K40" s="51">
        <v>0</v>
      </c>
      <c r="L40" s="50">
        <v>1</v>
      </c>
      <c r="M40" s="51">
        <v>7</v>
      </c>
      <c r="N40" s="50">
        <v>0</v>
      </c>
      <c r="O40" s="15">
        <f t="shared" si="0"/>
        <v>16</v>
      </c>
      <c r="P40" s="15">
        <f t="shared" si="1"/>
        <v>23</v>
      </c>
      <c r="R40" s="8"/>
      <c r="T40"/>
    </row>
    <row r="41" spans="2:20" ht="23.1" customHeight="1" x14ac:dyDescent="0.25">
      <c r="B41" s="45" t="s">
        <v>68</v>
      </c>
      <c r="C41" s="51">
        <v>0</v>
      </c>
      <c r="D41" s="50">
        <v>3</v>
      </c>
      <c r="E41" s="51">
        <v>3</v>
      </c>
      <c r="F41" s="51">
        <v>2</v>
      </c>
      <c r="G41" s="51">
        <v>0</v>
      </c>
      <c r="H41" s="51">
        <v>2</v>
      </c>
      <c r="I41" s="51">
        <v>5</v>
      </c>
      <c r="J41" s="51">
        <v>0</v>
      </c>
      <c r="K41" s="51">
        <v>0</v>
      </c>
      <c r="L41" s="50">
        <v>1</v>
      </c>
      <c r="M41" s="51">
        <v>6</v>
      </c>
      <c r="N41" s="50">
        <v>0</v>
      </c>
      <c r="O41" s="15">
        <f t="shared" si="0"/>
        <v>16</v>
      </c>
      <c r="P41" s="15">
        <f t="shared" si="1"/>
        <v>22</v>
      </c>
      <c r="R41" s="8"/>
      <c r="T41"/>
    </row>
    <row r="42" spans="2:20" ht="23.1" customHeight="1" x14ac:dyDescent="0.25">
      <c r="B42" s="46" t="s">
        <v>69</v>
      </c>
      <c r="C42" s="51">
        <v>2</v>
      </c>
      <c r="D42" s="50">
        <v>2</v>
      </c>
      <c r="E42" s="51">
        <v>2</v>
      </c>
      <c r="F42" s="51">
        <v>1</v>
      </c>
      <c r="G42" s="51">
        <v>0</v>
      </c>
      <c r="H42" s="51">
        <v>0</v>
      </c>
      <c r="I42" s="51">
        <v>2</v>
      </c>
      <c r="J42" s="51">
        <v>0</v>
      </c>
      <c r="K42" s="51">
        <v>0</v>
      </c>
      <c r="L42" s="50">
        <v>0</v>
      </c>
      <c r="M42" s="51">
        <v>4</v>
      </c>
      <c r="N42" s="50">
        <v>0</v>
      </c>
      <c r="O42" s="15">
        <f t="shared" si="0"/>
        <v>9</v>
      </c>
      <c r="P42" s="15">
        <f t="shared" si="1"/>
        <v>13</v>
      </c>
      <c r="R42" s="8"/>
      <c r="T42"/>
    </row>
    <row r="43" spans="2:20" ht="23.1" customHeight="1" x14ac:dyDescent="0.25">
      <c r="B43" s="45" t="s">
        <v>70</v>
      </c>
      <c r="C43" s="51">
        <v>6</v>
      </c>
      <c r="D43" s="50">
        <v>3</v>
      </c>
      <c r="E43" s="51">
        <v>3</v>
      </c>
      <c r="F43" s="51">
        <v>2</v>
      </c>
      <c r="G43" s="51">
        <v>1</v>
      </c>
      <c r="H43" s="51">
        <v>1</v>
      </c>
      <c r="I43" s="51">
        <v>1</v>
      </c>
      <c r="J43" s="51">
        <v>1</v>
      </c>
      <c r="K43" s="51">
        <v>0</v>
      </c>
      <c r="L43" s="50">
        <v>1</v>
      </c>
      <c r="M43" s="51">
        <v>13</v>
      </c>
      <c r="N43" s="50">
        <v>0</v>
      </c>
      <c r="O43" s="15">
        <f t="shared" si="0"/>
        <v>19</v>
      </c>
      <c r="P43" s="15">
        <f t="shared" si="1"/>
        <v>32</v>
      </c>
      <c r="R43" s="8"/>
      <c r="T43"/>
    </row>
    <row r="44" spans="2:20" ht="23.1" customHeight="1" x14ac:dyDescent="0.25">
      <c r="B44" s="47" t="s">
        <v>71</v>
      </c>
      <c r="C44" s="51">
        <v>0</v>
      </c>
      <c r="D44" s="50">
        <v>3</v>
      </c>
      <c r="E44" s="51">
        <v>3</v>
      </c>
      <c r="F44" s="51">
        <v>3</v>
      </c>
      <c r="G44" s="51">
        <v>1</v>
      </c>
      <c r="H44" s="51">
        <v>1</v>
      </c>
      <c r="I44" s="51">
        <v>0</v>
      </c>
      <c r="J44" s="51">
        <v>1</v>
      </c>
      <c r="K44" s="51">
        <v>1</v>
      </c>
      <c r="L44" s="50">
        <v>0</v>
      </c>
      <c r="M44" s="51">
        <v>8</v>
      </c>
      <c r="N44" s="50">
        <v>0</v>
      </c>
      <c r="O44" s="15">
        <f t="shared" si="0"/>
        <v>13</v>
      </c>
      <c r="P44" s="15">
        <f t="shared" si="1"/>
        <v>21</v>
      </c>
      <c r="R44" s="8"/>
      <c r="T44"/>
    </row>
    <row r="45" spans="2:20" ht="23.1" customHeight="1" x14ac:dyDescent="0.25">
      <c r="B45" s="45" t="s">
        <v>72</v>
      </c>
      <c r="C45" s="51">
        <v>0</v>
      </c>
      <c r="D45" s="50">
        <v>2</v>
      </c>
      <c r="E45" s="51">
        <v>2</v>
      </c>
      <c r="F45" s="51">
        <v>3</v>
      </c>
      <c r="G45" s="51">
        <v>0</v>
      </c>
      <c r="H45" s="51">
        <v>2</v>
      </c>
      <c r="I45" s="51">
        <v>1</v>
      </c>
      <c r="J45" s="51">
        <v>0</v>
      </c>
      <c r="K45" s="51">
        <v>0</v>
      </c>
      <c r="L45" s="50">
        <v>0</v>
      </c>
      <c r="M45" s="51">
        <v>8</v>
      </c>
      <c r="N45" s="50">
        <v>0</v>
      </c>
      <c r="O45" s="15">
        <f t="shared" si="0"/>
        <v>10</v>
      </c>
      <c r="P45" s="15">
        <f t="shared" si="1"/>
        <v>18</v>
      </c>
      <c r="R45" s="8"/>
      <c r="T45"/>
    </row>
    <row r="46" spans="2:20" ht="23.1" customHeight="1" x14ac:dyDescent="0.25">
      <c r="B46" s="46" t="s">
        <v>73</v>
      </c>
      <c r="C46" s="51">
        <v>0</v>
      </c>
      <c r="D46" s="50">
        <v>5</v>
      </c>
      <c r="E46" s="51">
        <v>6</v>
      </c>
      <c r="F46" s="51">
        <v>2</v>
      </c>
      <c r="G46" s="51">
        <v>0</v>
      </c>
      <c r="H46" s="51">
        <v>2</v>
      </c>
      <c r="I46" s="51">
        <v>0</v>
      </c>
      <c r="J46" s="51">
        <v>1</v>
      </c>
      <c r="K46" s="51">
        <v>0</v>
      </c>
      <c r="L46" s="50">
        <v>1</v>
      </c>
      <c r="M46" s="51">
        <v>12</v>
      </c>
      <c r="N46" s="50">
        <v>0</v>
      </c>
      <c r="O46" s="15">
        <f t="shared" si="0"/>
        <v>17</v>
      </c>
      <c r="P46" s="15">
        <f t="shared" si="1"/>
        <v>29</v>
      </c>
      <c r="R46" s="8"/>
      <c r="T46"/>
    </row>
    <row r="47" spans="2:20" ht="23.1" customHeight="1" x14ac:dyDescent="0.25">
      <c r="B47" s="46" t="s">
        <v>74</v>
      </c>
      <c r="C47" s="51">
        <v>6</v>
      </c>
      <c r="D47" s="50">
        <v>3</v>
      </c>
      <c r="E47" s="51">
        <v>3</v>
      </c>
      <c r="F47" s="51">
        <v>2</v>
      </c>
      <c r="G47" s="51">
        <v>1</v>
      </c>
      <c r="H47" s="51">
        <v>4</v>
      </c>
      <c r="I47" s="51">
        <v>0</v>
      </c>
      <c r="J47" s="51">
        <v>0</v>
      </c>
      <c r="K47" s="51">
        <v>0</v>
      </c>
      <c r="L47" s="50">
        <v>3</v>
      </c>
      <c r="M47" s="51">
        <v>4</v>
      </c>
      <c r="N47" s="50">
        <v>0</v>
      </c>
      <c r="O47" s="15">
        <f t="shared" si="0"/>
        <v>22</v>
      </c>
      <c r="P47" s="15">
        <f t="shared" si="1"/>
        <v>26</v>
      </c>
      <c r="R47" s="8"/>
      <c r="T47"/>
    </row>
    <row r="48" spans="2:20" ht="23.1" customHeight="1" x14ac:dyDescent="0.25">
      <c r="B48" s="46" t="s">
        <v>75</v>
      </c>
      <c r="C48" s="51">
        <v>2</v>
      </c>
      <c r="D48" s="50">
        <v>5</v>
      </c>
      <c r="E48" s="51">
        <v>5</v>
      </c>
      <c r="F48" s="51">
        <v>0</v>
      </c>
      <c r="G48" s="51">
        <v>0</v>
      </c>
      <c r="H48" s="51">
        <v>0</v>
      </c>
      <c r="I48" s="51">
        <v>0</v>
      </c>
      <c r="J48" s="51">
        <v>1</v>
      </c>
      <c r="K48" s="51">
        <v>0</v>
      </c>
      <c r="L48" s="50">
        <v>0</v>
      </c>
      <c r="M48" s="51">
        <v>6</v>
      </c>
      <c r="N48" s="50">
        <v>0</v>
      </c>
      <c r="O48" s="15">
        <f t="shared" si="0"/>
        <v>13</v>
      </c>
      <c r="P48" s="15">
        <f t="shared" si="1"/>
        <v>19</v>
      </c>
      <c r="R48" s="8"/>
      <c r="T48"/>
    </row>
    <row r="49" spans="2:20" ht="23.1" customHeight="1" x14ac:dyDescent="0.25">
      <c r="B49" s="45" t="s">
        <v>76</v>
      </c>
      <c r="C49" s="51">
        <v>4</v>
      </c>
      <c r="D49" s="50">
        <v>5</v>
      </c>
      <c r="E49" s="51">
        <v>5</v>
      </c>
      <c r="F49" s="51">
        <v>0</v>
      </c>
      <c r="G49" s="51">
        <v>0</v>
      </c>
      <c r="H49" s="51">
        <v>1</v>
      </c>
      <c r="I49" s="51">
        <v>4</v>
      </c>
      <c r="J49" s="51">
        <v>0</v>
      </c>
      <c r="K49" s="51">
        <v>0</v>
      </c>
      <c r="L49" s="50">
        <v>1</v>
      </c>
      <c r="M49" s="51">
        <v>2</v>
      </c>
      <c r="N49" s="50">
        <v>0</v>
      </c>
      <c r="O49" s="15">
        <f t="shared" si="0"/>
        <v>20</v>
      </c>
      <c r="P49" s="15">
        <f t="shared" si="1"/>
        <v>22</v>
      </c>
      <c r="R49" s="8"/>
      <c r="T49"/>
    </row>
    <row r="50" spans="2:20" ht="23.1" customHeight="1" x14ac:dyDescent="0.25">
      <c r="B50" s="46" t="s">
        <v>77</v>
      </c>
      <c r="C50" s="51">
        <v>2</v>
      </c>
      <c r="D50" s="50">
        <v>3</v>
      </c>
      <c r="E50" s="51">
        <v>3</v>
      </c>
      <c r="F50" s="51">
        <v>3</v>
      </c>
      <c r="G50" s="51">
        <v>0</v>
      </c>
      <c r="H50" s="51">
        <v>1</v>
      </c>
      <c r="I50" s="51">
        <v>3</v>
      </c>
      <c r="J50" s="51">
        <v>1</v>
      </c>
      <c r="K50" s="51">
        <v>0</v>
      </c>
      <c r="L50" s="50">
        <v>0</v>
      </c>
      <c r="M50" s="51">
        <v>7</v>
      </c>
      <c r="N50" s="50">
        <v>0</v>
      </c>
      <c r="O50" s="15">
        <f t="shared" si="0"/>
        <v>16</v>
      </c>
      <c r="P50" s="15">
        <f t="shared" si="1"/>
        <v>23</v>
      </c>
      <c r="R50" s="8"/>
      <c r="T50"/>
    </row>
    <row r="51" spans="2:20" ht="23.1" customHeight="1" x14ac:dyDescent="0.25">
      <c r="B51" s="46" t="s">
        <v>78</v>
      </c>
      <c r="C51" s="51">
        <v>2</v>
      </c>
      <c r="D51" s="50">
        <v>1</v>
      </c>
      <c r="E51" s="51">
        <v>2</v>
      </c>
      <c r="F51" s="51">
        <v>0</v>
      </c>
      <c r="G51" s="51">
        <v>0</v>
      </c>
      <c r="H51" s="51">
        <v>2</v>
      </c>
      <c r="I51" s="51">
        <v>3</v>
      </c>
      <c r="J51" s="51">
        <v>1</v>
      </c>
      <c r="K51" s="51">
        <v>0</v>
      </c>
      <c r="L51" s="50">
        <v>1</v>
      </c>
      <c r="M51" s="51">
        <v>5</v>
      </c>
      <c r="N51" s="50">
        <v>0</v>
      </c>
      <c r="O51" s="15">
        <f t="shared" si="0"/>
        <v>12</v>
      </c>
      <c r="P51" s="15">
        <f t="shared" si="1"/>
        <v>17</v>
      </c>
      <c r="R51" s="8"/>
      <c r="T51"/>
    </row>
    <row r="52" spans="2:20" ht="23.1" customHeight="1" x14ac:dyDescent="0.25">
      <c r="B52" s="46" t="s">
        <v>79</v>
      </c>
      <c r="C52" s="51">
        <v>4</v>
      </c>
      <c r="D52" s="50">
        <v>5</v>
      </c>
      <c r="E52" s="51">
        <v>6</v>
      </c>
      <c r="F52" s="51">
        <v>2</v>
      </c>
      <c r="G52" s="51">
        <v>0</v>
      </c>
      <c r="H52" s="51">
        <v>2</v>
      </c>
      <c r="I52" s="51">
        <v>1</v>
      </c>
      <c r="J52" s="51">
        <v>0</v>
      </c>
      <c r="K52" s="51">
        <v>0</v>
      </c>
      <c r="L52" s="50">
        <v>1</v>
      </c>
      <c r="M52" s="51">
        <v>9</v>
      </c>
      <c r="N52" s="50">
        <v>0</v>
      </c>
      <c r="O52" s="15">
        <f t="shared" si="0"/>
        <v>21</v>
      </c>
      <c r="P52" s="15">
        <f t="shared" si="1"/>
        <v>30</v>
      </c>
      <c r="R52" s="8"/>
      <c r="T52"/>
    </row>
    <row r="53" spans="2:20" ht="23.1" customHeight="1" x14ac:dyDescent="0.25">
      <c r="B53" s="45" t="s">
        <v>80</v>
      </c>
      <c r="C53" s="51">
        <v>3</v>
      </c>
      <c r="D53" s="50">
        <v>4</v>
      </c>
      <c r="E53" s="51">
        <v>5</v>
      </c>
      <c r="F53" s="51">
        <v>4</v>
      </c>
      <c r="G53" s="51">
        <v>0</v>
      </c>
      <c r="H53" s="51">
        <v>1</v>
      </c>
      <c r="I53" s="51">
        <v>1</v>
      </c>
      <c r="J53" s="51">
        <v>0</v>
      </c>
      <c r="K53" s="51">
        <v>0</v>
      </c>
      <c r="L53" s="50">
        <v>3</v>
      </c>
      <c r="M53" s="51">
        <v>5</v>
      </c>
      <c r="N53" s="50">
        <v>0</v>
      </c>
      <c r="O53" s="15">
        <f t="shared" si="0"/>
        <v>21</v>
      </c>
      <c r="P53" s="15">
        <f t="shared" si="1"/>
        <v>26</v>
      </c>
      <c r="R53" s="8"/>
      <c r="T53"/>
    </row>
    <row r="54" spans="2:20" ht="23.1" customHeight="1" x14ac:dyDescent="0.25">
      <c r="B54" s="45" t="s">
        <v>81</v>
      </c>
      <c r="C54" s="51">
        <v>3</v>
      </c>
      <c r="D54" s="50">
        <v>3</v>
      </c>
      <c r="E54" s="51">
        <v>6</v>
      </c>
      <c r="F54" s="51">
        <v>2</v>
      </c>
      <c r="G54" s="51">
        <v>0</v>
      </c>
      <c r="H54" s="51">
        <v>0</v>
      </c>
      <c r="I54" s="51">
        <v>4</v>
      </c>
      <c r="J54" s="51">
        <v>1</v>
      </c>
      <c r="K54" s="51">
        <v>1</v>
      </c>
      <c r="L54" s="50">
        <v>2</v>
      </c>
      <c r="M54" s="51">
        <v>6</v>
      </c>
      <c r="N54" s="50">
        <v>0</v>
      </c>
      <c r="O54" s="15">
        <f t="shared" si="0"/>
        <v>22</v>
      </c>
      <c r="P54" s="15">
        <f t="shared" si="1"/>
        <v>28</v>
      </c>
      <c r="R54" s="8"/>
      <c r="T54"/>
    </row>
    <row r="55" spans="2:20" ht="23.1" customHeight="1" x14ac:dyDescent="0.25">
      <c r="B55" s="45" t="s">
        <v>82</v>
      </c>
      <c r="C55" s="51">
        <v>1</v>
      </c>
      <c r="D55" s="50">
        <v>3</v>
      </c>
      <c r="E55" s="51">
        <v>3</v>
      </c>
      <c r="F55" s="51">
        <v>2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0">
        <v>0</v>
      </c>
      <c r="M55" s="51">
        <v>5</v>
      </c>
      <c r="N55" s="50">
        <v>0</v>
      </c>
      <c r="O55" s="15">
        <f t="shared" si="0"/>
        <v>9</v>
      </c>
      <c r="P55" s="15">
        <f t="shared" si="1"/>
        <v>14</v>
      </c>
      <c r="R55" s="8"/>
      <c r="T55"/>
    </row>
    <row r="56" spans="2:20" ht="23.1" customHeight="1" x14ac:dyDescent="0.25">
      <c r="B56" s="45" t="s">
        <v>83</v>
      </c>
      <c r="C56" s="51">
        <v>0</v>
      </c>
      <c r="D56" s="50">
        <v>1</v>
      </c>
      <c r="E56" s="51">
        <v>2</v>
      </c>
      <c r="F56" s="51">
        <v>0</v>
      </c>
      <c r="G56" s="51">
        <v>0</v>
      </c>
      <c r="H56" s="51">
        <v>3</v>
      </c>
      <c r="I56" s="51">
        <v>0</v>
      </c>
      <c r="J56" s="51">
        <v>0</v>
      </c>
      <c r="K56" s="51">
        <v>0</v>
      </c>
      <c r="L56" s="50">
        <v>0</v>
      </c>
      <c r="M56" s="51">
        <v>10</v>
      </c>
      <c r="N56" s="50">
        <v>0</v>
      </c>
      <c r="O56" s="15">
        <f t="shared" si="0"/>
        <v>6</v>
      </c>
      <c r="P56" s="15">
        <f t="shared" si="1"/>
        <v>16</v>
      </c>
      <c r="R56" s="8"/>
      <c r="T56"/>
    </row>
    <row r="57" spans="2:20" ht="23.1" customHeight="1" x14ac:dyDescent="0.25">
      <c r="B57" s="45" t="s">
        <v>84</v>
      </c>
      <c r="C57" s="51">
        <v>1</v>
      </c>
      <c r="D57" s="50">
        <v>4</v>
      </c>
      <c r="E57" s="51">
        <v>4</v>
      </c>
      <c r="F57" s="51">
        <v>3</v>
      </c>
      <c r="G57" s="51">
        <v>0</v>
      </c>
      <c r="H57" s="51">
        <v>0</v>
      </c>
      <c r="I57" s="51">
        <v>1</v>
      </c>
      <c r="J57" s="51">
        <v>0</v>
      </c>
      <c r="K57" s="51">
        <v>0</v>
      </c>
      <c r="L57" s="50">
        <v>0</v>
      </c>
      <c r="M57" s="51">
        <v>10</v>
      </c>
      <c r="N57" s="50">
        <v>0</v>
      </c>
      <c r="O57" s="15">
        <f t="shared" si="0"/>
        <v>13</v>
      </c>
      <c r="P57" s="15">
        <f t="shared" si="1"/>
        <v>23</v>
      </c>
      <c r="R57" s="8"/>
      <c r="T57"/>
    </row>
    <row r="58" spans="2:20" ht="23.1" customHeight="1" x14ac:dyDescent="0.25">
      <c r="B58" s="26" t="s">
        <v>18</v>
      </c>
      <c r="C58" s="16">
        <f t="shared" ref="C58:P58" si="23">SUM(C10:C57)</f>
        <v>71</v>
      </c>
      <c r="D58" s="16">
        <f t="shared" si="23"/>
        <v>112</v>
      </c>
      <c r="E58" s="16">
        <f t="shared" si="23"/>
        <v>139</v>
      </c>
      <c r="F58" s="16">
        <f t="shared" si="23"/>
        <v>70</v>
      </c>
      <c r="G58" s="16">
        <f t="shared" si="23"/>
        <v>5</v>
      </c>
      <c r="H58" s="16">
        <f t="shared" si="23"/>
        <v>39</v>
      </c>
      <c r="I58" s="16">
        <f t="shared" si="23"/>
        <v>61</v>
      </c>
      <c r="J58" s="16">
        <f t="shared" si="23"/>
        <v>17</v>
      </c>
      <c r="K58" s="16">
        <f t="shared" si="23"/>
        <v>6</v>
      </c>
      <c r="L58" s="16">
        <f t="shared" si="23"/>
        <v>33</v>
      </c>
      <c r="M58" s="16">
        <f t="shared" si="23"/>
        <v>249</v>
      </c>
      <c r="N58" s="16">
        <f t="shared" si="23"/>
        <v>0</v>
      </c>
      <c r="O58" s="16">
        <f t="shared" si="23"/>
        <v>553</v>
      </c>
      <c r="P58" s="16">
        <f t="shared" si="23"/>
        <v>802</v>
      </c>
      <c r="R58" s="8"/>
      <c r="T58"/>
    </row>
    <row r="59" spans="2:20" ht="23.1" customHeight="1" x14ac:dyDescent="0.25">
      <c r="B59" s="26" t="s">
        <v>93</v>
      </c>
      <c r="C59" s="43">
        <f t="shared" ref="C59:N59" si="24">C58/$P$58</f>
        <v>8.8528678304239397E-2</v>
      </c>
      <c r="D59" s="43">
        <f t="shared" si="24"/>
        <v>0.1396508728179551</v>
      </c>
      <c r="E59" s="43">
        <f t="shared" si="24"/>
        <v>0.17331670822942644</v>
      </c>
      <c r="F59" s="43">
        <f t="shared" si="24"/>
        <v>8.7281795511221949E-2</v>
      </c>
      <c r="G59" s="43">
        <f t="shared" si="24"/>
        <v>6.2344139650872821E-3</v>
      </c>
      <c r="H59" s="43">
        <f t="shared" si="24"/>
        <v>4.8628428927680795E-2</v>
      </c>
      <c r="I59" s="43">
        <f t="shared" si="24"/>
        <v>7.6059850374064833E-2</v>
      </c>
      <c r="J59" s="43">
        <f t="shared" si="24"/>
        <v>2.119700748129676E-2</v>
      </c>
      <c r="K59" s="43">
        <f t="shared" si="24"/>
        <v>7.481296758104738E-3</v>
      </c>
      <c r="L59" s="43">
        <f t="shared" si="24"/>
        <v>4.1147132169576058E-2</v>
      </c>
      <c r="M59" s="43">
        <f t="shared" si="24"/>
        <v>0.31047381546134661</v>
      </c>
      <c r="N59" s="43">
        <f t="shared" si="24"/>
        <v>0</v>
      </c>
      <c r="R59" s="8"/>
      <c r="T59"/>
    </row>
    <row r="60" spans="2:20" ht="23.1" customHeight="1" x14ac:dyDescent="0.25">
      <c r="B60" s="42" t="s">
        <v>94</v>
      </c>
      <c r="C60" s="44">
        <f t="shared" ref="C60:L60" si="25">C58/$O$58</f>
        <v>0.12839059674502712</v>
      </c>
      <c r="D60" s="44">
        <f t="shared" si="25"/>
        <v>0.20253164556962025</v>
      </c>
      <c r="E60" s="44">
        <f t="shared" si="25"/>
        <v>0.25135623869801083</v>
      </c>
      <c r="F60" s="44">
        <f t="shared" si="25"/>
        <v>0.12658227848101267</v>
      </c>
      <c r="G60" s="44">
        <f t="shared" si="25"/>
        <v>9.0415913200723331E-3</v>
      </c>
      <c r="H60" s="44">
        <f t="shared" si="25"/>
        <v>7.0524412296564198E-2</v>
      </c>
      <c r="I60" s="44">
        <f t="shared" si="25"/>
        <v>0.11030741410488246</v>
      </c>
      <c r="J60" s="44">
        <f t="shared" si="25"/>
        <v>3.074141048824593E-2</v>
      </c>
      <c r="K60" s="44">
        <f t="shared" si="25"/>
        <v>1.0849909584086799E-2</v>
      </c>
      <c r="L60" s="44">
        <f t="shared" si="25"/>
        <v>5.9674502712477394E-2</v>
      </c>
      <c r="M60" s="44"/>
      <c r="N60" s="44">
        <f>N58/$O$58</f>
        <v>0</v>
      </c>
      <c r="R60" s="8"/>
      <c r="T60"/>
    </row>
    <row r="61" spans="2:20" ht="23.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R61" s="8"/>
      <c r="T61"/>
    </row>
    <row r="62" spans="2:20" ht="23.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R62" s="8"/>
      <c r="T62"/>
    </row>
    <row r="63" spans="2:20" ht="23.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R63" s="8"/>
      <c r="T63"/>
    </row>
    <row r="64" spans="2:20" ht="23.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R64" s="8"/>
      <c r="T64"/>
    </row>
    <row r="65" spans="2:20" ht="23.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R65" s="8"/>
      <c r="T65"/>
    </row>
    <row r="66" spans="2:20" ht="23.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R66" s="8"/>
      <c r="T66"/>
    </row>
    <row r="67" spans="2:20" ht="23.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R67" s="8"/>
      <c r="T67"/>
    </row>
    <row r="68" spans="2:20" ht="23.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R68" s="8"/>
      <c r="T68"/>
    </row>
    <row r="69" spans="2:20" ht="23.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R69" s="8"/>
      <c r="T69"/>
    </row>
    <row r="70" spans="2:20" ht="23.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R70" s="8"/>
      <c r="T70"/>
    </row>
    <row r="71" spans="2:20" ht="23.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R71" s="8"/>
      <c r="T71"/>
    </row>
    <row r="72" spans="2:20" ht="23.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R72" s="8"/>
      <c r="T72"/>
    </row>
    <row r="73" spans="2:20" ht="23.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R73" s="8"/>
      <c r="T73"/>
    </row>
    <row r="74" spans="2:20" ht="23.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R74" s="8"/>
      <c r="T74"/>
    </row>
    <row r="75" spans="2:20" ht="23.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R75" s="8"/>
      <c r="T75"/>
    </row>
    <row r="76" spans="2:20" ht="23.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R76" s="8"/>
      <c r="T76"/>
    </row>
    <row r="77" spans="2:20" ht="23.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R77" s="8"/>
      <c r="T77"/>
    </row>
    <row r="78" spans="2:20" ht="23.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R78" s="8"/>
      <c r="T78"/>
    </row>
    <row r="79" spans="2:20" ht="23.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R79" s="8"/>
      <c r="T79"/>
    </row>
    <row r="80" spans="2:20" ht="23.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R80" s="8"/>
      <c r="T80"/>
    </row>
    <row r="81" spans="2:20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R81" s="8"/>
      <c r="T81"/>
    </row>
    <row r="82" spans="2:20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R82" s="8"/>
      <c r="T82"/>
    </row>
    <row r="83" spans="2:20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R83" s="8"/>
      <c r="T83"/>
    </row>
    <row r="84" spans="2:20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R84" s="8"/>
      <c r="T84"/>
    </row>
    <row r="85" spans="2:20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R85" s="8"/>
      <c r="T85"/>
    </row>
    <row r="86" spans="2:20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R86" s="8"/>
      <c r="T86"/>
    </row>
    <row r="87" spans="2:20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R87" s="8"/>
      <c r="T87"/>
    </row>
    <row r="88" spans="2:20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R88" s="8"/>
      <c r="T88"/>
    </row>
    <row r="89" spans="2:20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R89" s="8"/>
      <c r="T89"/>
    </row>
    <row r="90" spans="2:20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R90" s="8"/>
      <c r="T90"/>
    </row>
    <row r="91" spans="2:20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R91" s="8"/>
      <c r="T91"/>
    </row>
    <row r="92" spans="2:20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R92" s="8"/>
      <c r="T92"/>
    </row>
    <row r="93" spans="2:20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R93" s="8"/>
      <c r="T93"/>
    </row>
    <row r="94" spans="2:20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R94" s="8"/>
      <c r="T94"/>
    </row>
    <row r="95" spans="2:20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R95" s="8"/>
      <c r="T95"/>
    </row>
    <row r="96" spans="2:20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R96" s="8"/>
      <c r="T96"/>
    </row>
    <row r="97" spans="2:3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R97" s="8"/>
      <c r="T97"/>
    </row>
    <row r="98" spans="2:3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R98" s="8"/>
      <c r="T98"/>
    </row>
    <row r="99" spans="2:3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3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3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2:3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2:3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2:3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2:3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2:3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2:3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2:3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Q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2:3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2:3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2:3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2:3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2:32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32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32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32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32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2:32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2:32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2:32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2:32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2:32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2:32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2:32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2:32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2:32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2:32" s="7" customFormat="1" ht="23.1" customHeight="1" x14ac:dyDescent="0.2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S127" s="8"/>
      <c r="T127" s="8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2:32" s="7" customFormat="1" ht="23.1" customHeight="1" x14ac:dyDescent="0.2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S128" s="8"/>
      <c r="T128" s="8"/>
      <c r="U128"/>
      <c r="V128"/>
      <c r="W128"/>
      <c r="X128"/>
      <c r="Y128"/>
      <c r="Z128"/>
      <c r="AA128"/>
      <c r="AB128"/>
      <c r="AC128"/>
      <c r="AD128"/>
      <c r="AE128"/>
      <c r="AF128"/>
    </row>
    <row r="129" ht="23.1" customHeight="1" x14ac:dyDescent="0.25"/>
    <row r="130" ht="23.1" customHeight="1" x14ac:dyDescent="0.25"/>
    <row r="131" ht="23.1" customHeight="1" x14ac:dyDescent="0.25"/>
    <row r="132" ht="23.1" customHeight="1" x14ac:dyDescent="0.25"/>
    <row r="133" ht="23.1" customHeight="1" x14ac:dyDescent="0.25"/>
    <row r="134" ht="23.1" customHeight="1" x14ac:dyDescent="0.25"/>
    <row r="135" ht="23.1" customHeight="1" x14ac:dyDescent="0.25"/>
    <row r="136" ht="23.1" customHeight="1" x14ac:dyDescent="0.25"/>
    <row r="137" ht="23.1" customHeight="1" x14ac:dyDescent="0.25"/>
    <row r="138" ht="23.1" customHeight="1" x14ac:dyDescent="0.25"/>
    <row r="139" ht="23.1" customHeight="1" x14ac:dyDescent="0.25"/>
    <row r="140" ht="23.1" customHeight="1" x14ac:dyDescent="0.25"/>
    <row r="141" ht="23.1" customHeight="1" x14ac:dyDescent="0.25"/>
    <row r="142" ht="23.1" customHeight="1" x14ac:dyDescent="0.25"/>
    <row r="143" ht="23.1" customHeight="1" x14ac:dyDescent="0.25"/>
    <row r="144" ht="23.1" customHeight="1" x14ac:dyDescent="0.25"/>
    <row r="145" ht="23.1" customHeight="1" x14ac:dyDescent="0.25"/>
    <row r="146" ht="23.1" customHeight="1" x14ac:dyDescent="0.25"/>
    <row r="147" ht="23.1" customHeight="1" x14ac:dyDescent="0.25"/>
    <row r="148" ht="23.1" customHeight="1" x14ac:dyDescent="0.25"/>
    <row r="149" ht="23.1" customHeight="1" x14ac:dyDescent="0.25"/>
    <row r="150" ht="23.1" customHeight="1" x14ac:dyDescent="0.25"/>
    <row r="151" ht="23.1" customHeight="1" x14ac:dyDescent="0.25"/>
    <row r="152" ht="23.1" customHeight="1" x14ac:dyDescent="0.25"/>
    <row r="153" ht="23.1" customHeight="1" x14ac:dyDescent="0.25"/>
    <row r="154" ht="23.1" customHeight="1" x14ac:dyDescent="0.25"/>
    <row r="155" ht="23.1" customHeight="1" x14ac:dyDescent="0.25"/>
    <row r="156" ht="23.1" customHeight="1" x14ac:dyDescent="0.25"/>
    <row r="157" ht="23.1" customHeight="1" x14ac:dyDescent="0.25"/>
    <row r="158" ht="23.1" customHeight="1" x14ac:dyDescent="0.25"/>
    <row r="159" ht="23.1" customHeight="1" x14ac:dyDescent="0.25"/>
    <row r="160" ht="23.1" customHeight="1" x14ac:dyDescent="0.25"/>
    <row r="161" ht="23.1" customHeight="1" x14ac:dyDescent="0.25"/>
    <row r="162" ht="23.1" customHeight="1" x14ac:dyDescent="0.25"/>
    <row r="163" ht="23.1" customHeight="1" x14ac:dyDescent="0.25"/>
    <row r="164" ht="23.1" customHeight="1" x14ac:dyDescent="0.25"/>
    <row r="165" ht="23.1" customHeight="1" x14ac:dyDescent="0.25"/>
    <row r="166" ht="23.1" customHeight="1" x14ac:dyDescent="0.25"/>
    <row r="167" ht="23.1" customHeight="1" x14ac:dyDescent="0.25"/>
    <row r="168" ht="23.1" customHeight="1" x14ac:dyDescent="0.25"/>
    <row r="169" ht="23.1" customHeight="1" x14ac:dyDescent="0.25"/>
    <row r="170" ht="23.1" customHeight="1" x14ac:dyDescent="0.25"/>
    <row r="171" ht="23.1" customHeight="1" x14ac:dyDescent="0.25"/>
    <row r="172" ht="23.1" customHeight="1" x14ac:dyDescent="0.25"/>
    <row r="173" ht="23.1" customHeight="1" x14ac:dyDescent="0.25"/>
    <row r="174" ht="23.1" customHeight="1" x14ac:dyDescent="0.25"/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K52" zoomScale="60" workbookViewId="0">
      <selection activeCell="AD57" sqref="AD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e">
        <f>#REF!</f>
        <v>#REF!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3" t="s">
        <v>163</v>
      </c>
      <c r="E5" s="74"/>
      <c r="F5" s="41" t="s">
        <v>1</v>
      </c>
      <c r="G5" s="71" t="e">
        <f>#REF!</f>
        <v>#REF!</v>
      </c>
      <c r="H5" s="72"/>
      <c r="I5" s="14"/>
      <c r="J5" s="2" t="s">
        <v>5</v>
      </c>
      <c r="K5" s="71" t="e">
        <f>#REF!</f>
        <v>#REF!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e">
        <f>#REF!</f>
        <v>#REF!</v>
      </c>
      <c r="E6" s="72"/>
      <c r="F6" s="2" t="s">
        <v>2</v>
      </c>
      <c r="G6" s="71" t="e">
        <f>#REF!</f>
        <v>#REF!</v>
      </c>
      <c r="H6" s="72"/>
      <c r="J6" s="2" t="s">
        <v>21</v>
      </c>
      <c r="K6" s="71" t="e">
        <f>#REF!</f>
        <v>#REF!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Karuma-Kigumba'!C10,'30.07 Karuma-Kigumba'!C10,'31.07 Karuma-Kigumba'!C10,'01.08 Karuma-Kigumba'!C10,'02.08 Karuma-Kigumba-24h'!C10,'03.08 Karuma-Kigumba-24h'!C10,'04.08 Karuma-Kigumba'!C10)</f>
        <v>1</v>
      </c>
      <c r="D10" s="49">
        <f>AVERAGE('29.07 Karuma-Kigumba'!D10,'30.07 Karuma-Kigumba'!D10,'31.07 Karuma-Kigumba'!D10,'01.08 Karuma-Kigumba'!D10,'02.08 Karuma-Kigumba-24h'!D10,'03.08 Karuma-Kigumba-24h'!D10,'04.08 Karuma-Kigumba'!D10)</f>
        <v>0.42857142857142855</v>
      </c>
      <c r="E10" s="49">
        <f>AVERAGE('29.07 Karuma-Kigumba'!E10,'30.07 Karuma-Kigumba'!E10,'31.07 Karuma-Kigumba'!E10,'01.08 Karuma-Kigumba'!E10,'02.08 Karuma-Kigumba-24h'!E10,'03.08 Karuma-Kigumba-24h'!E10,'04.08 Karuma-Kigumba'!E10)</f>
        <v>1.5714285714285714</v>
      </c>
      <c r="F10" s="49">
        <f>AVERAGE('29.07 Karuma-Kigumba'!F10,'30.07 Karuma-Kigumba'!F10,'31.07 Karuma-Kigumba'!F10,'01.08 Karuma-Kigumba'!F10,'02.08 Karuma-Kigumba-24h'!F10,'03.08 Karuma-Kigumba-24h'!F10,'04.08 Karuma-Kigumba'!F10)</f>
        <v>0.5714285714285714</v>
      </c>
      <c r="G10" s="49">
        <f>AVERAGE('29.07 Karuma-Kigumba'!G10,'30.07 Karuma-Kigumba'!G10,'31.07 Karuma-Kigumba'!G10,'01.08 Karuma-Kigumba'!G10,'02.08 Karuma-Kigumba-24h'!G10,'03.08 Karuma-Kigumba-24h'!G10,'04.08 Karuma-Kigumba'!G10)</f>
        <v>0</v>
      </c>
      <c r="H10" s="49">
        <f>AVERAGE('29.07 Karuma-Kigumba'!H10,'30.07 Karuma-Kigumba'!H10,'31.07 Karuma-Kigumba'!H10,'01.08 Karuma-Kigumba'!H10,'02.08 Karuma-Kigumba-24h'!H10,'03.08 Karuma-Kigumba-24h'!H10,'04.08 Karuma-Kigumba'!H10)</f>
        <v>0</v>
      </c>
      <c r="I10" s="49">
        <f>AVERAGE('29.07 Karuma-Kigumba'!I10,'30.07 Karuma-Kigumba'!I10,'31.07 Karuma-Kigumba'!I10,'01.08 Karuma-Kigumba'!I10,'02.08 Karuma-Kigumba-24h'!I10,'03.08 Karuma-Kigumba-24h'!I10,'04.08 Karuma-Kigumba'!I10)</f>
        <v>0.7142857142857143</v>
      </c>
      <c r="J10" s="49">
        <f>AVERAGE('29.07 Karuma-Kigumba'!J10,'30.07 Karuma-Kigumba'!J10,'31.07 Karuma-Kigumba'!J10,'01.08 Karuma-Kigumba'!J10,'02.08 Karuma-Kigumba-24h'!J10,'03.08 Karuma-Kigumba-24h'!J10,'04.08 Karuma-Kigumba'!J10)</f>
        <v>0.42857142857142855</v>
      </c>
      <c r="K10" s="49">
        <f>AVERAGE('29.07 Karuma-Kigumba'!K10,'30.07 Karuma-Kigumba'!K10,'31.07 Karuma-Kigumba'!K10,'01.08 Karuma-Kigumba'!K10,'02.08 Karuma-Kigumba-24h'!K10,'03.08 Karuma-Kigumba-24h'!K10,'04.08 Karuma-Kigumba'!K10)</f>
        <v>0.2857142857142857</v>
      </c>
      <c r="L10" s="49">
        <f>AVERAGE('29.07 Karuma-Kigumba'!L10,'30.07 Karuma-Kigumba'!L10,'31.07 Karuma-Kigumba'!L10,'01.08 Karuma-Kigumba'!L10,'02.08 Karuma-Kigumba-24h'!L10,'03.08 Karuma-Kigumba-24h'!L10,'04.08 Karuma-Kigumba'!L10)</f>
        <v>0.5714285714285714</v>
      </c>
      <c r="M10" s="49">
        <f>AVERAGE('29.07 Karuma-Kigumba'!M10,'30.07 Karuma-Kigumba'!M10,'31.07 Karuma-Kigumba'!M10,'01.08 Karuma-Kigumba'!M10,'02.08 Karuma-Kigumba-24h'!M10,'03.08 Karuma-Kigumba-24h'!M10,'04.08 Karuma-Kigumba'!M10)</f>
        <v>1.2857142857142858</v>
      </c>
      <c r="N10" s="49">
        <f>AVERAGE('29.07 Karuma-Kigumba'!N10,'30.07 Karuma-Kigumba'!N10,'31.07 Karuma-Kigumba'!N10,'01.08 Karuma-Kigumba'!N10,'02.08 Karuma-Kigumba-24h'!N10,'03.08 Karuma-Kigumba-24h'!N10,'04.08 Karuma-Kigumba'!N10)</f>
        <v>0</v>
      </c>
      <c r="O10" s="15">
        <f t="shared" ref="O10:O73" si="0">SUM(C10:L10,N10)</f>
        <v>5.5714285714285712</v>
      </c>
      <c r="P10" s="15">
        <f t="shared" ref="P10:P73" si="1">SUM(C10:N10)</f>
        <v>6.8571428571428568</v>
      </c>
      <c r="R10" s="1" t="s">
        <v>6</v>
      </c>
      <c r="S10" s="17">
        <f t="shared" ref="S10:AF10" si="2">SUM(C10:C13)</f>
        <v>2.7142857142857144</v>
      </c>
      <c r="T10" s="17">
        <f t="shared" si="2"/>
        <v>1.857142857142857</v>
      </c>
      <c r="U10" s="17">
        <f t="shared" si="2"/>
        <v>6.4285714285714288</v>
      </c>
      <c r="V10" s="17">
        <f t="shared" si="2"/>
        <v>2.7142857142857144</v>
      </c>
      <c r="W10" s="17">
        <f t="shared" si="2"/>
        <v>0.14285714285714285</v>
      </c>
      <c r="X10" s="17">
        <f t="shared" si="2"/>
        <v>0</v>
      </c>
      <c r="Y10" s="17">
        <f t="shared" si="2"/>
        <v>2.7142857142857144</v>
      </c>
      <c r="Z10" s="17">
        <f t="shared" si="2"/>
        <v>1.2857142857142856</v>
      </c>
      <c r="AA10" s="17">
        <f t="shared" si="2"/>
        <v>0.42857142857142855</v>
      </c>
      <c r="AB10" s="17">
        <f t="shared" si="2"/>
        <v>3.1428571428571428</v>
      </c>
      <c r="AC10" s="17">
        <f t="shared" si="2"/>
        <v>9.5714285714285712</v>
      </c>
      <c r="AD10" s="17">
        <f t="shared" si="2"/>
        <v>0</v>
      </c>
      <c r="AE10" s="31">
        <f t="shared" si="2"/>
        <v>21.428571428571427</v>
      </c>
      <c r="AF10" s="31">
        <f t="shared" si="2"/>
        <v>31</v>
      </c>
    </row>
    <row r="11" spans="2:32" s="6" customFormat="1" ht="23.1" customHeight="1" x14ac:dyDescent="0.25">
      <c r="B11" s="23" t="s">
        <v>38</v>
      </c>
      <c r="C11" s="49">
        <f>AVERAGE('29.07 Karuma-Kigumba'!C11,'30.07 Karuma-Kigumba'!C11,'31.07 Karuma-Kigumba'!C11,'01.08 Karuma-Kigumba'!C11,'02.08 Karuma-Kigumba-24h'!C11,'03.08 Karuma-Kigumba-24h'!C11,'04.08 Karuma-Kigumba'!C11)</f>
        <v>0.5714285714285714</v>
      </c>
      <c r="D11" s="49">
        <f>AVERAGE('29.07 Karuma-Kigumba'!D11,'30.07 Karuma-Kigumba'!D11,'31.07 Karuma-Kigumba'!D11,'01.08 Karuma-Kigumba'!D11,'02.08 Karuma-Kigumba-24h'!D11,'03.08 Karuma-Kigumba-24h'!D11,'04.08 Karuma-Kigumba'!D11)</f>
        <v>0.2857142857142857</v>
      </c>
      <c r="E11" s="49">
        <f>AVERAGE('29.07 Karuma-Kigumba'!E11,'30.07 Karuma-Kigumba'!E11,'31.07 Karuma-Kigumba'!E11,'01.08 Karuma-Kigumba'!E11,'02.08 Karuma-Kigumba-24h'!E11,'03.08 Karuma-Kigumba-24h'!E11,'04.08 Karuma-Kigumba'!E11)</f>
        <v>1.1428571428571428</v>
      </c>
      <c r="F11" s="49">
        <f>AVERAGE('29.07 Karuma-Kigumba'!F11,'30.07 Karuma-Kigumba'!F11,'31.07 Karuma-Kigumba'!F11,'01.08 Karuma-Kigumba'!F11,'02.08 Karuma-Kigumba-24h'!F11,'03.08 Karuma-Kigumba-24h'!F11,'04.08 Karuma-Kigumba'!F11)</f>
        <v>0.7142857142857143</v>
      </c>
      <c r="G11" s="49">
        <f>AVERAGE('29.07 Karuma-Kigumba'!G11,'30.07 Karuma-Kigumba'!G11,'31.07 Karuma-Kigumba'!G11,'01.08 Karuma-Kigumba'!G11,'02.08 Karuma-Kigumba-24h'!G11,'03.08 Karuma-Kigumba-24h'!G11,'04.08 Karuma-Kigumba'!G11)</f>
        <v>0.14285714285714285</v>
      </c>
      <c r="H11" s="49">
        <f>AVERAGE('29.07 Karuma-Kigumba'!H11,'30.07 Karuma-Kigumba'!H11,'31.07 Karuma-Kigumba'!H11,'01.08 Karuma-Kigumba'!H11,'02.08 Karuma-Kigumba-24h'!H11,'03.08 Karuma-Kigumba-24h'!H11,'04.08 Karuma-Kigumba'!H11)</f>
        <v>0</v>
      </c>
      <c r="I11" s="49">
        <f>AVERAGE('29.07 Karuma-Kigumba'!I11,'30.07 Karuma-Kigumba'!I11,'31.07 Karuma-Kigumba'!I11,'01.08 Karuma-Kigumba'!I11,'02.08 Karuma-Kigumba-24h'!I11,'03.08 Karuma-Kigumba-24h'!I11,'04.08 Karuma-Kigumba'!I11)</f>
        <v>0.8571428571428571</v>
      </c>
      <c r="J11" s="49">
        <f>AVERAGE('29.07 Karuma-Kigumba'!J11,'30.07 Karuma-Kigumba'!J11,'31.07 Karuma-Kigumba'!J11,'01.08 Karuma-Kigumba'!J11,'02.08 Karuma-Kigumba-24h'!J11,'03.08 Karuma-Kigumba-24h'!J11,'04.08 Karuma-Kigumba'!J11)</f>
        <v>0.2857142857142857</v>
      </c>
      <c r="K11" s="49">
        <f>AVERAGE('29.07 Karuma-Kigumba'!K11,'30.07 Karuma-Kigumba'!K11,'31.07 Karuma-Kigumba'!K11,'01.08 Karuma-Kigumba'!K11,'02.08 Karuma-Kigumba-24h'!K11,'03.08 Karuma-Kigumba-24h'!K11,'04.08 Karuma-Kigumba'!K11)</f>
        <v>0.14285714285714285</v>
      </c>
      <c r="L11" s="49">
        <f>AVERAGE('29.07 Karuma-Kigumba'!L11,'30.07 Karuma-Kigumba'!L11,'31.07 Karuma-Kigumba'!L11,'01.08 Karuma-Kigumba'!L11,'02.08 Karuma-Kigumba-24h'!L11,'03.08 Karuma-Kigumba-24h'!L11,'04.08 Karuma-Kigumba'!L11)</f>
        <v>1</v>
      </c>
      <c r="M11" s="49">
        <f>AVERAGE('29.07 Karuma-Kigumba'!M11,'30.07 Karuma-Kigumba'!M11,'31.07 Karuma-Kigumba'!M11,'01.08 Karuma-Kigumba'!M11,'02.08 Karuma-Kigumba-24h'!M11,'03.08 Karuma-Kigumba-24h'!M11,'04.08 Karuma-Kigumba'!M11)</f>
        <v>2</v>
      </c>
      <c r="N11" s="49">
        <f>AVERAGE('29.07 Karuma-Kigumba'!N11,'30.07 Karuma-Kigumba'!N11,'31.07 Karuma-Kigumba'!N11,'01.08 Karuma-Kigumba'!N11,'02.08 Karuma-Kigumba-24h'!N11,'03.08 Karuma-Kigumba-24h'!N11,'04.08 Karuma-Kigumba'!N11)</f>
        <v>0</v>
      </c>
      <c r="O11" s="15">
        <f t="shared" si="0"/>
        <v>5.1428571428571432</v>
      </c>
      <c r="P11" s="15">
        <f t="shared" si="1"/>
        <v>7.1428571428571432</v>
      </c>
      <c r="R11" s="1" t="s">
        <v>7</v>
      </c>
      <c r="S11" s="17">
        <f t="shared" ref="S11:AF11" si="3">SUM(C14:C17)</f>
        <v>2.7142857142857144</v>
      </c>
      <c r="T11" s="17">
        <f t="shared" si="3"/>
        <v>3.7142857142857144</v>
      </c>
      <c r="U11" s="17">
        <f t="shared" si="3"/>
        <v>9.7142857142857153</v>
      </c>
      <c r="V11" s="17">
        <f t="shared" si="3"/>
        <v>4</v>
      </c>
      <c r="W11" s="17">
        <f t="shared" si="3"/>
        <v>0.14285714285714285</v>
      </c>
      <c r="X11" s="17">
        <f t="shared" si="3"/>
        <v>1.1428571428571428</v>
      </c>
      <c r="Y11" s="17">
        <f t="shared" si="3"/>
        <v>2</v>
      </c>
      <c r="Z11" s="17">
        <f t="shared" si="3"/>
        <v>0.42857142857142855</v>
      </c>
      <c r="AA11" s="17">
        <f t="shared" si="3"/>
        <v>0.42857142857142855</v>
      </c>
      <c r="AB11" s="17">
        <f t="shared" si="3"/>
        <v>2.1428571428571428</v>
      </c>
      <c r="AC11" s="17">
        <f t="shared" si="3"/>
        <v>12.571428571428571</v>
      </c>
      <c r="AD11" s="17">
        <f t="shared" si="3"/>
        <v>0.14285714285714285</v>
      </c>
      <c r="AE11" s="31">
        <f t="shared" si="3"/>
        <v>26.571428571428577</v>
      </c>
      <c r="AF11" s="31">
        <f t="shared" si="3"/>
        <v>39.142857142857146</v>
      </c>
    </row>
    <row r="12" spans="2:32" ht="23.1" customHeight="1" x14ac:dyDescent="0.25">
      <c r="B12" s="23" t="s">
        <v>39</v>
      </c>
      <c r="C12" s="49">
        <f>AVERAGE('29.07 Karuma-Kigumba'!C12,'30.07 Karuma-Kigumba'!C12,'31.07 Karuma-Kigumba'!C12,'01.08 Karuma-Kigumba'!C12,'02.08 Karuma-Kigumba-24h'!C12,'03.08 Karuma-Kigumba-24h'!C12,'04.08 Karuma-Kigumba'!C12)</f>
        <v>0.42857142857142855</v>
      </c>
      <c r="D12" s="49">
        <f>AVERAGE('29.07 Karuma-Kigumba'!D12,'30.07 Karuma-Kigumba'!D12,'31.07 Karuma-Kigumba'!D12,'01.08 Karuma-Kigumba'!D12,'02.08 Karuma-Kigumba-24h'!D12,'03.08 Karuma-Kigumba-24h'!D12,'04.08 Karuma-Kigumba'!D12)</f>
        <v>0.2857142857142857</v>
      </c>
      <c r="E12" s="49">
        <f>AVERAGE('29.07 Karuma-Kigumba'!E12,'30.07 Karuma-Kigumba'!E12,'31.07 Karuma-Kigumba'!E12,'01.08 Karuma-Kigumba'!E12,'02.08 Karuma-Kigumba-24h'!E12,'03.08 Karuma-Kigumba-24h'!E12,'04.08 Karuma-Kigumba'!E12)</f>
        <v>1.5714285714285714</v>
      </c>
      <c r="F12" s="49">
        <f>AVERAGE('29.07 Karuma-Kigumba'!F12,'30.07 Karuma-Kigumba'!F12,'31.07 Karuma-Kigumba'!F12,'01.08 Karuma-Kigumba'!F12,'02.08 Karuma-Kigumba-24h'!F12,'03.08 Karuma-Kigumba-24h'!F12,'04.08 Karuma-Kigumba'!F12)</f>
        <v>0.8571428571428571</v>
      </c>
      <c r="G12" s="49">
        <f>AVERAGE('29.07 Karuma-Kigumba'!G12,'30.07 Karuma-Kigumba'!G12,'31.07 Karuma-Kigumba'!G12,'01.08 Karuma-Kigumba'!G12,'02.08 Karuma-Kigumba-24h'!G12,'03.08 Karuma-Kigumba-24h'!G12,'04.08 Karuma-Kigumba'!G12)</f>
        <v>0</v>
      </c>
      <c r="H12" s="49">
        <f>AVERAGE('29.07 Karuma-Kigumba'!H12,'30.07 Karuma-Kigumba'!H12,'31.07 Karuma-Kigumba'!H12,'01.08 Karuma-Kigumba'!H12,'02.08 Karuma-Kigumba-24h'!H12,'03.08 Karuma-Kigumba-24h'!H12,'04.08 Karuma-Kigumba'!H12)</f>
        <v>0</v>
      </c>
      <c r="I12" s="49">
        <f>AVERAGE('29.07 Karuma-Kigumba'!I12,'30.07 Karuma-Kigumba'!I12,'31.07 Karuma-Kigumba'!I12,'01.08 Karuma-Kigumba'!I12,'02.08 Karuma-Kigumba-24h'!I12,'03.08 Karuma-Kigumba-24h'!I12,'04.08 Karuma-Kigumba'!I12)</f>
        <v>0.42857142857142855</v>
      </c>
      <c r="J12" s="49">
        <f>AVERAGE('29.07 Karuma-Kigumba'!J12,'30.07 Karuma-Kigumba'!J12,'31.07 Karuma-Kigumba'!J12,'01.08 Karuma-Kigumba'!J12,'02.08 Karuma-Kigumba-24h'!J12,'03.08 Karuma-Kigumba-24h'!J12,'04.08 Karuma-Kigumba'!J12)</f>
        <v>0.14285714285714285</v>
      </c>
      <c r="K12" s="49">
        <f>AVERAGE('29.07 Karuma-Kigumba'!K12,'30.07 Karuma-Kigumba'!K12,'31.07 Karuma-Kigumba'!K12,'01.08 Karuma-Kigumba'!K12,'02.08 Karuma-Kigumba-24h'!K12,'03.08 Karuma-Kigumba-24h'!K12,'04.08 Karuma-Kigumba'!K12)</f>
        <v>0</v>
      </c>
      <c r="L12" s="49">
        <f>AVERAGE('29.07 Karuma-Kigumba'!L12,'30.07 Karuma-Kigumba'!L12,'31.07 Karuma-Kigumba'!L12,'01.08 Karuma-Kigumba'!L12,'02.08 Karuma-Kigumba-24h'!L12,'03.08 Karuma-Kigumba-24h'!L12,'04.08 Karuma-Kigumba'!L12)</f>
        <v>0.7142857142857143</v>
      </c>
      <c r="M12" s="49">
        <f>AVERAGE('29.07 Karuma-Kigumba'!M12,'30.07 Karuma-Kigumba'!M12,'31.07 Karuma-Kigumba'!M12,'01.08 Karuma-Kigumba'!M12,'02.08 Karuma-Kigumba-24h'!M12,'03.08 Karuma-Kigumba-24h'!M12,'04.08 Karuma-Kigumba'!M12)</f>
        <v>2.7142857142857144</v>
      </c>
      <c r="N12" s="49">
        <f>AVERAGE('29.07 Karuma-Kigumba'!N12,'30.07 Karuma-Kigumba'!N12,'31.07 Karuma-Kigumba'!N12,'01.08 Karuma-Kigumba'!N12,'02.08 Karuma-Kigumba-24h'!N12,'03.08 Karuma-Kigumba-24h'!N12,'04.08 Karuma-Kigumba'!N12)</f>
        <v>0</v>
      </c>
      <c r="O12" s="15">
        <f t="shared" si="0"/>
        <v>4.4285714285714279</v>
      </c>
      <c r="P12" s="15">
        <f t="shared" si="1"/>
        <v>7.1428571428571423</v>
      </c>
      <c r="R12" s="1" t="s">
        <v>8</v>
      </c>
      <c r="S12" s="17">
        <f t="shared" ref="S12:AF12" si="4">SUM(C18:C21)</f>
        <v>5.2857142857142856</v>
      </c>
      <c r="T12" s="17">
        <f t="shared" si="4"/>
        <v>3.5714285714285716</v>
      </c>
      <c r="U12" s="17">
        <f t="shared" si="4"/>
        <v>9</v>
      </c>
      <c r="V12" s="17">
        <f t="shared" si="4"/>
        <v>3.8571428571428572</v>
      </c>
      <c r="W12" s="17">
        <f t="shared" si="4"/>
        <v>0.42857142857142855</v>
      </c>
      <c r="X12" s="17">
        <f t="shared" si="4"/>
        <v>3.2857142857142856</v>
      </c>
      <c r="Y12" s="17">
        <f t="shared" si="4"/>
        <v>3.2857142857142856</v>
      </c>
      <c r="Z12" s="17">
        <f t="shared" si="4"/>
        <v>0.42857142857142855</v>
      </c>
      <c r="AA12" s="17">
        <f t="shared" si="4"/>
        <v>0.42857142857142855</v>
      </c>
      <c r="AB12" s="17">
        <f t="shared" si="4"/>
        <v>2.4285714285714284</v>
      </c>
      <c r="AC12" s="17">
        <f t="shared" si="4"/>
        <v>12.571428571428573</v>
      </c>
      <c r="AD12" s="17">
        <f t="shared" si="4"/>
        <v>0.2857142857142857</v>
      </c>
      <c r="AE12" s="31">
        <f t="shared" si="4"/>
        <v>32.285714285714292</v>
      </c>
      <c r="AF12" s="31">
        <f t="shared" si="4"/>
        <v>44.857142857142861</v>
      </c>
    </row>
    <row r="13" spans="2:32" ht="23.1" customHeight="1" x14ac:dyDescent="0.25">
      <c r="B13" s="23" t="s">
        <v>40</v>
      </c>
      <c r="C13" s="49">
        <f>AVERAGE('29.07 Karuma-Kigumba'!C13,'30.07 Karuma-Kigumba'!C13,'31.07 Karuma-Kigumba'!C13,'01.08 Karuma-Kigumba'!C13,'02.08 Karuma-Kigumba-24h'!C13,'03.08 Karuma-Kigumba-24h'!C13,'04.08 Karuma-Kigumba'!C13)</f>
        <v>0.7142857142857143</v>
      </c>
      <c r="D13" s="49">
        <f>AVERAGE('29.07 Karuma-Kigumba'!D13,'30.07 Karuma-Kigumba'!D13,'31.07 Karuma-Kigumba'!D13,'01.08 Karuma-Kigumba'!D13,'02.08 Karuma-Kigumba-24h'!D13,'03.08 Karuma-Kigumba-24h'!D13,'04.08 Karuma-Kigumba'!D13)</f>
        <v>0.8571428571428571</v>
      </c>
      <c r="E13" s="49">
        <f>AVERAGE('29.07 Karuma-Kigumba'!E13,'30.07 Karuma-Kigumba'!E13,'31.07 Karuma-Kigumba'!E13,'01.08 Karuma-Kigumba'!E13,'02.08 Karuma-Kigumba-24h'!E13,'03.08 Karuma-Kigumba-24h'!E13,'04.08 Karuma-Kigumba'!E13)</f>
        <v>2.1428571428571428</v>
      </c>
      <c r="F13" s="49">
        <f>AVERAGE('29.07 Karuma-Kigumba'!F13,'30.07 Karuma-Kigumba'!F13,'31.07 Karuma-Kigumba'!F13,'01.08 Karuma-Kigumba'!F13,'02.08 Karuma-Kigumba-24h'!F13,'03.08 Karuma-Kigumba-24h'!F13,'04.08 Karuma-Kigumba'!F13)</f>
        <v>0.5714285714285714</v>
      </c>
      <c r="G13" s="49">
        <f>AVERAGE('29.07 Karuma-Kigumba'!G13,'30.07 Karuma-Kigumba'!G13,'31.07 Karuma-Kigumba'!G13,'01.08 Karuma-Kigumba'!G13,'02.08 Karuma-Kigumba-24h'!G13,'03.08 Karuma-Kigumba-24h'!G13,'04.08 Karuma-Kigumba'!G13)</f>
        <v>0</v>
      </c>
      <c r="H13" s="49">
        <f>AVERAGE('29.07 Karuma-Kigumba'!H13,'30.07 Karuma-Kigumba'!H13,'31.07 Karuma-Kigumba'!H13,'01.08 Karuma-Kigumba'!H13,'02.08 Karuma-Kigumba-24h'!H13,'03.08 Karuma-Kigumba-24h'!H13,'04.08 Karuma-Kigumba'!H13)</f>
        <v>0</v>
      </c>
      <c r="I13" s="49">
        <f>AVERAGE('29.07 Karuma-Kigumba'!I13,'30.07 Karuma-Kigumba'!I13,'31.07 Karuma-Kigumba'!I13,'01.08 Karuma-Kigumba'!I13,'02.08 Karuma-Kigumba-24h'!I13,'03.08 Karuma-Kigumba-24h'!I13,'04.08 Karuma-Kigumba'!I13)</f>
        <v>0.7142857142857143</v>
      </c>
      <c r="J13" s="49">
        <f>AVERAGE('29.07 Karuma-Kigumba'!J13,'30.07 Karuma-Kigumba'!J13,'31.07 Karuma-Kigumba'!J13,'01.08 Karuma-Kigumba'!J13,'02.08 Karuma-Kigumba-24h'!J13,'03.08 Karuma-Kigumba-24h'!J13,'04.08 Karuma-Kigumba'!J13)</f>
        <v>0.42857142857142855</v>
      </c>
      <c r="K13" s="49">
        <f>AVERAGE('29.07 Karuma-Kigumba'!K13,'30.07 Karuma-Kigumba'!K13,'31.07 Karuma-Kigumba'!K13,'01.08 Karuma-Kigumba'!K13,'02.08 Karuma-Kigumba-24h'!K13,'03.08 Karuma-Kigumba-24h'!K13,'04.08 Karuma-Kigumba'!K13)</f>
        <v>0</v>
      </c>
      <c r="L13" s="49">
        <f>AVERAGE('29.07 Karuma-Kigumba'!L13,'30.07 Karuma-Kigumba'!L13,'31.07 Karuma-Kigumba'!L13,'01.08 Karuma-Kigumba'!L13,'02.08 Karuma-Kigumba-24h'!L13,'03.08 Karuma-Kigumba-24h'!L13,'04.08 Karuma-Kigumba'!L13)</f>
        <v>0.8571428571428571</v>
      </c>
      <c r="M13" s="49">
        <f>AVERAGE('29.07 Karuma-Kigumba'!M13,'30.07 Karuma-Kigumba'!M13,'31.07 Karuma-Kigumba'!M13,'01.08 Karuma-Kigumba'!M13,'02.08 Karuma-Kigumba-24h'!M13,'03.08 Karuma-Kigumba-24h'!M13,'04.08 Karuma-Kigumba'!M13)</f>
        <v>3.5714285714285716</v>
      </c>
      <c r="N13" s="49">
        <f>AVERAGE('29.07 Karuma-Kigumba'!N13,'30.07 Karuma-Kigumba'!N13,'31.07 Karuma-Kigumba'!N13,'01.08 Karuma-Kigumba'!N13,'02.08 Karuma-Kigumba-24h'!N13,'03.08 Karuma-Kigumba-24h'!N13,'04.08 Karuma-Kigumba'!N13)</f>
        <v>0</v>
      </c>
      <c r="O13" s="15">
        <f t="shared" si="0"/>
        <v>6.2857142857142856</v>
      </c>
      <c r="P13" s="15">
        <f t="shared" si="1"/>
        <v>9.8571428571428577</v>
      </c>
      <c r="R13" s="1" t="s">
        <v>9</v>
      </c>
      <c r="S13" s="17">
        <f t="shared" ref="S13:AF13" si="5">SUM(C22:C25)</f>
        <v>7.1428571428571423</v>
      </c>
      <c r="T13" s="17">
        <f t="shared" si="5"/>
        <v>6</v>
      </c>
      <c r="U13" s="17">
        <f t="shared" si="5"/>
        <v>12</v>
      </c>
      <c r="V13" s="17">
        <f t="shared" si="5"/>
        <v>7.2857142857142847</v>
      </c>
      <c r="W13" s="17">
        <f t="shared" si="5"/>
        <v>0.2857142857142857</v>
      </c>
      <c r="X13" s="17">
        <f t="shared" si="5"/>
        <v>2</v>
      </c>
      <c r="Y13" s="17">
        <f t="shared" si="5"/>
        <v>3.7142857142857144</v>
      </c>
      <c r="Z13" s="17">
        <f t="shared" si="5"/>
        <v>1</v>
      </c>
      <c r="AA13" s="17">
        <f t="shared" si="5"/>
        <v>0.2857142857142857</v>
      </c>
      <c r="AB13" s="17">
        <f t="shared" si="5"/>
        <v>2.2857142857142856</v>
      </c>
      <c r="AC13" s="17">
        <f t="shared" si="5"/>
        <v>14.857142857142858</v>
      </c>
      <c r="AD13" s="17">
        <f t="shared" si="5"/>
        <v>0.14285714285714285</v>
      </c>
      <c r="AE13" s="31">
        <f t="shared" si="5"/>
        <v>42.142857142857139</v>
      </c>
      <c r="AF13" s="31">
        <f t="shared" si="5"/>
        <v>57</v>
      </c>
    </row>
    <row r="14" spans="2:32" ht="23.1" customHeight="1" x14ac:dyDescent="0.25">
      <c r="B14" s="23" t="s">
        <v>41</v>
      </c>
      <c r="C14" s="49">
        <f>AVERAGE('29.07 Karuma-Kigumba'!C14,'30.07 Karuma-Kigumba'!C14,'31.07 Karuma-Kigumba'!C14,'01.08 Karuma-Kigumba'!C14,'02.08 Karuma-Kigumba-24h'!C14,'03.08 Karuma-Kigumba-24h'!C14,'04.08 Karuma-Kigumba'!C14)</f>
        <v>0.5714285714285714</v>
      </c>
      <c r="D14" s="49">
        <f>AVERAGE('29.07 Karuma-Kigumba'!D14,'30.07 Karuma-Kigumba'!D14,'31.07 Karuma-Kigumba'!D14,'01.08 Karuma-Kigumba'!D14,'02.08 Karuma-Kigumba-24h'!D14,'03.08 Karuma-Kigumba-24h'!D14,'04.08 Karuma-Kigumba'!D14)</f>
        <v>0.5714285714285714</v>
      </c>
      <c r="E14" s="49">
        <f>AVERAGE('29.07 Karuma-Kigumba'!E14,'30.07 Karuma-Kigumba'!E14,'31.07 Karuma-Kigumba'!E14,'01.08 Karuma-Kigumba'!E14,'02.08 Karuma-Kigumba-24h'!E14,'03.08 Karuma-Kigumba-24h'!E14,'04.08 Karuma-Kigumba'!E14)</f>
        <v>2.2857142857142856</v>
      </c>
      <c r="F14" s="49">
        <f>AVERAGE('29.07 Karuma-Kigumba'!F14,'30.07 Karuma-Kigumba'!F14,'31.07 Karuma-Kigumba'!F14,'01.08 Karuma-Kigumba'!F14,'02.08 Karuma-Kigumba-24h'!F14,'03.08 Karuma-Kigumba-24h'!F14,'04.08 Karuma-Kigumba'!F14)</f>
        <v>1</v>
      </c>
      <c r="G14" s="49">
        <f>AVERAGE('29.07 Karuma-Kigumba'!G14,'30.07 Karuma-Kigumba'!G14,'31.07 Karuma-Kigumba'!G14,'01.08 Karuma-Kigumba'!G14,'02.08 Karuma-Kigumba-24h'!G14,'03.08 Karuma-Kigumba-24h'!G14,'04.08 Karuma-Kigumba'!G14)</f>
        <v>0</v>
      </c>
      <c r="H14" s="49">
        <f>AVERAGE('29.07 Karuma-Kigumba'!H14,'30.07 Karuma-Kigumba'!H14,'31.07 Karuma-Kigumba'!H14,'01.08 Karuma-Kigumba'!H14,'02.08 Karuma-Kigumba-24h'!H14,'03.08 Karuma-Kigumba-24h'!H14,'04.08 Karuma-Kigumba'!H14)</f>
        <v>0</v>
      </c>
      <c r="I14" s="49">
        <f>AVERAGE('29.07 Karuma-Kigumba'!I14,'30.07 Karuma-Kigumba'!I14,'31.07 Karuma-Kigumba'!I14,'01.08 Karuma-Kigumba'!I14,'02.08 Karuma-Kigumba-24h'!I14,'03.08 Karuma-Kigumba-24h'!I14,'04.08 Karuma-Kigumba'!I14)</f>
        <v>0.2857142857142857</v>
      </c>
      <c r="J14" s="49">
        <f>AVERAGE('29.07 Karuma-Kigumba'!J14,'30.07 Karuma-Kigumba'!J14,'31.07 Karuma-Kigumba'!J14,'01.08 Karuma-Kigumba'!J14,'02.08 Karuma-Kigumba-24h'!J14,'03.08 Karuma-Kigumba-24h'!J14,'04.08 Karuma-Kigumba'!J14)</f>
        <v>0</v>
      </c>
      <c r="K14" s="49">
        <f>AVERAGE('29.07 Karuma-Kigumba'!K14,'30.07 Karuma-Kigumba'!K14,'31.07 Karuma-Kigumba'!K14,'01.08 Karuma-Kigumba'!K14,'02.08 Karuma-Kigumba-24h'!K14,'03.08 Karuma-Kigumba-24h'!K14,'04.08 Karuma-Kigumba'!K14)</f>
        <v>0.14285714285714285</v>
      </c>
      <c r="L14" s="49">
        <f>AVERAGE('29.07 Karuma-Kigumba'!L14,'30.07 Karuma-Kigumba'!L14,'31.07 Karuma-Kigumba'!L14,'01.08 Karuma-Kigumba'!L14,'02.08 Karuma-Kigumba-24h'!L14,'03.08 Karuma-Kigumba-24h'!L14,'04.08 Karuma-Kigumba'!L14)</f>
        <v>1.1428571428571428</v>
      </c>
      <c r="M14" s="49">
        <f>AVERAGE('29.07 Karuma-Kigumba'!M14,'30.07 Karuma-Kigumba'!M14,'31.07 Karuma-Kigumba'!M14,'01.08 Karuma-Kigumba'!M14,'02.08 Karuma-Kigumba-24h'!M14,'03.08 Karuma-Kigumba-24h'!M14,'04.08 Karuma-Kigumba'!M14)</f>
        <v>2.7142857142857144</v>
      </c>
      <c r="N14" s="49">
        <f>AVERAGE('29.07 Karuma-Kigumba'!N14,'30.07 Karuma-Kigumba'!N14,'31.07 Karuma-Kigumba'!N14,'01.08 Karuma-Kigumba'!N14,'02.08 Karuma-Kigumba-24h'!N14,'03.08 Karuma-Kigumba-24h'!N14,'04.08 Karuma-Kigumba'!N14)</f>
        <v>0</v>
      </c>
      <c r="O14" s="15">
        <f t="shared" si="0"/>
        <v>6</v>
      </c>
      <c r="P14" s="15">
        <f t="shared" si="1"/>
        <v>8.7142857142857153</v>
      </c>
      <c r="R14" s="1" t="s">
        <v>10</v>
      </c>
      <c r="S14" s="17">
        <f t="shared" ref="S14:AF14" si="6">SUM(C26:C29)</f>
        <v>6.2857142857142856</v>
      </c>
      <c r="T14" s="17">
        <f t="shared" si="6"/>
        <v>6.2857142857142856</v>
      </c>
      <c r="U14" s="17">
        <f t="shared" si="6"/>
        <v>14.571428571428571</v>
      </c>
      <c r="V14" s="17">
        <f t="shared" si="6"/>
        <v>3.8571428571428572</v>
      </c>
      <c r="W14" s="17">
        <f t="shared" si="6"/>
        <v>0.2857142857142857</v>
      </c>
      <c r="X14" s="17">
        <f t="shared" si="6"/>
        <v>5</v>
      </c>
      <c r="Y14" s="17">
        <f t="shared" si="6"/>
        <v>5.5714285714285712</v>
      </c>
      <c r="Z14" s="17">
        <f t="shared" si="6"/>
        <v>1.2857142857142856</v>
      </c>
      <c r="AA14" s="17">
        <f t="shared" si="6"/>
        <v>0.14285714285714285</v>
      </c>
      <c r="AB14" s="17">
        <f t="shared" si="6"/>
        <v>3.4285714285714288</v>
      </c>
      <c r="AC14" s="17">
        <f t="shared" si="6"/>
        <v>13.142857142857142</v>
      </c>
      <c r="AD14" s="17">
        <f t="shared" si="6"/>
        <v>0.2857142857142857</v>
      </c>
      <c r="AE14" s="31">
        <f t="shared" si="6"/>
        <v>46.999999999999993</v>
      </c>
      <c r="AF14" s="31">
        <f t="shared" si="6"/>
        <v>60.142857142857139</v>
      </c>
    </row>
    <row r="15" spans="2:32" ht="23.1" customHeight="1" x14ac:dyDescent="0.25">
      <c r="B15" s="23" t="s">
        <v>42</v>
      </c>
      <c r="C15" s="49">
        <f>AVERAGE('29.07 Karuma-Kigumba'!C15,'30.07 Karuma-Kigumba'!C15,'31.07 Karuma-Kigumba'!C15,'01.08 Karuma-Kigumba'!C15,'02.08 Karuma-Kigumba-24h'!C15,'03.08 Karuma-Kigumba-24h'!C15,'04.08 Karuma-Kigumba'!C15)</f>
        <v>0.5714285714285714</v>
      </c>
      <c r="D15" s="49">
        <f>AVERAGE('29.07 Karuma-Kigumba'!D15,'30.07 Karuma-Kigumba'!D15,'31.07 Karuma-Kigumba'!D15,'01.08 Karuma-Kigumba'!D15,'02.08 Karuma-Kigumba-24h'!D15,'03.08 Karuma-Kigumba-24h'!D15,'04.08 Karuma-Kigumba'!D15)</f>
        <v>0.7142857142857143</v>
      </c>
      <c r="E15" s="49">
        <f>AVERAGE('29.07 Karuma-Kigumba'!E15,'30.07 Karuma-Kigumba'!E15,'31.07 Karuma-Kigumba'!E15,'01.08 Karuma-Kigumba'!E15,'02.08 Karuma-Kigumba-24h'!E15,'03.08 Karuma-Kigumba-24h'!E15,'04.08 Karuma-Kigumba'!E15)</f>
        <v>2.1428571428571428</v>
      </c>
      <c r="F15" s="49">
        <f>AVERAGE('29.07 Karuma-Kigumba'!F15,'30.07 Karuma-Kigumba'!F15,'31.07 Karuma-Kigumba'!F15,'01.08 Karuma-Kigumba'!F15,'02.08 Karuma-Kigumba-24h'!F15,'03.08 Karuma-Kigumba-24h'!F15,'04.08 Karuma-Kigumba'!F15)</f>
        <v>1.4285714285714286</v>
      </c>
      <c r="G15" s="49">
        <f>AVERAGE('29.07 Karuma-Kigumba'!G15,'30.07 Karuma-Kigumba'!G15,'31.07 Karuma-Kigumba'!G15,'01.08 Karuma-Kigumba'!G15,'02.08 Karuma-Kigumba-24h'!G15,'03.08 Karuma-Kigumba-24h'!G15,'04.08 Karuma-Kigumba'!G15)</f>
        <v>0</v>
      </c>
      <c r="H15" s="49">
        <f>AVERAGE('29.07 Karuma-Kigumba'!H15,'30.07 Karuma-Kigumba'!H15,'31.07 Karuma-Kigumba'!H15,'01.08 Karuma-Kigumba'!H15,'02.08 Karuma-Kigumba-24h'!H15,'03.08 Karuma-Kigumba-24h'!H15,'04.08 Karuma-Kigumba'!H15)</f>
        <v>0</v>
      </c>
      <c r="I15" s="49">
        <f>AVERAGE('29.07 Karuma-Kigumba'!I15,'30.07 Karuma-Kigumba'!I15,'31.07 Karuma-Kigumba'!I15,'01.08 Karuma-Kigumba'!I15,'02.08 Karuma-Kigumba-24h'!I15,'03.08 Karuma-Kigumba-24h'!I15,'04.08 Karuma-Kigumba'!I15)</f>
        <v>0.2857142857142857</v>
      </c>
      <c r="J15" s="49">
        <f>AVERAGE('29.07 Karuma-Kigumba'!J15,'30.07 Karuma-Kigumba'!J15,'31.07 Karuma-Kigumba'!J15,'01.08 Karuma-Kigumba'!J15,'02.08 Karuma-Kigumba-24h'!J15,'03.08 Karuma-Kigumba-24h'!J15,'04.08 Karuma-Kigumba'!J15)</f>
        <v>0.14285714285714285</v>
      </c>
      <c r="K15" s="49">
        <f>AVERAGE('29.07 Karuma-Kigumba'!K15,'30.07 Karuma-Kigumba'!K15,'31.07 Karuma-Kigumba'!K15,'01.08 Karuma-Kigumba'!K15,'02.08 Karuma-Kigumba-24h'!K15,'03.08 Karuma-Kigumba-24h'!K15,'04.08 Karuma-Kigumba'!K15)</f>
        <v>0</v>
      </c>
      <c r="L15" s="49">
        <f>AVERAGE('29.07 Karuma-Kigumba'!L15,'30.07 Karuma-Kigumba'!L15,'31.07 Karuma-Kigumba'!L15,'01.08 Karuma-Kigumba'!L15,'02.08 Karuma-Kigumba-24h'!L15,'03.08 Karuma-Kigumba-24h'!L15,'04.08 Karuma-Kigumba'!L15)</f>
        <v>0.42857142857142855</v>
      </c>
      <c r="M15" s="49">
        <f>AVERAGE('29.07 Karuma-Kigumba'!M15,'30.07 Karuma-Kigumba'!M15,'31.07 Karuma-Kigumba'!M15,'01.08 Karuma-Kigumba'!M15,'02.08 Karuma-Kigumba-24h'!M15,'03.08 Karuma-Kigumba-24h'!M15,'04.08 Karuma-Kigumba'!M15)</f>
        <v>3.8571428571428572</v>
      </c>
      <c r="N15" s="49">
        <f>AVERAGE('29.07 Karuma-Kigumba'!N15,'30.07 Karuma-Kigumba'!N15,'31.07 Karuma-Kigumba'!N15,'01.08 Karuma-Kigumba'!N15,'02.08 Karuma-Kigumba-24h'!N15,'03.08 Karuma-Kigumba-24h'!N15,'04.08 Karuma-Kigumba'!N15)</f>
        <v>0</v>
      </c>
      <c r="O15" s="15">
        <f t="shared" si="0"/>
        <v>5.7142857142857144</v>
      </c>
      <c r="P15" s="15">
        <f t="shared" si="1"/>
        <v>9.5714285714285712</v>
      </c>
      <c r="R15" s="1" t="s">
        <v>11</v>
      </c>
      <c r="S15" s="17">
        <f t="shared" ref="S15:AF15" si="7">SUM(C30:C33)</f>
        <v>6.8571428571428577</v>
      </c>
      <c r="T15" s="17">
        <f t="shared" si="7"/>
        <v>8.2857142857142865</v>
      </c>
      <c r="U15" s="17">
        <f t="shared" si="7"/>
        <v>16.428571428571431</v>
      </c>
      <c r="V15" s="17">
        <f t="shared" si="7"/>
        <v>6.8571428571428577</v>
      </c>
      <c r="W15" s="17">
        <f t="shared" si="7"/>
        <v>0.2857142857142857</v>
      </c>
      <c r="X15" s="17">
        <f t="shared" si="7"/>
        <v>6.2857142857142865</v>
      </c>
      <c r="Y15" s="17">
        <f t="shared" si="7"/>
        <v>7.7142857142857135</v>
      </c>
      <c r="Z15" s="17">
        <f t="shared" si="7"/>
        <v>0.71428571428571419</v>
      </c>
      <c r="AA15" s="17">
        <f t="shared" si="7"/>
        <v>0.42857142857142855</v>
      </c>
      <c r="AB15" s="17">
        <f t="shared" si="7"/>
        <v>5.2857142857142865</v>
      </c>
      <c r="AC15" s="17">
        <f t="shared" si="7"/>
        <v>11.428571428571429</v>
      </c>
      <c r="AD15" s="17">
        <f t="shared" si="7"/>
        <v>0</v>
      </c>
      <c r="AE15" s="31">
        <f t="shared" si="7"/>
        <v>59.142857142857146</v>
      </c>
      <c r="AF15" s="31">
        <f t="shared" si="7"/>
        <v>70.571428571428569</v>
      </c>
    </row>
    <row r="16" spans="2:32" ht="23.1" customHeight="1" x14ac:dyDescent="0.25">
      <c r="B16" s="23" t="s">
        <v>43</v>
      </c>
      <c r="C16" s="49">
        <f>AVERAGE('29.07 Karuma-Kigumba'!C16,'30.07 Karuma-Kigumba'!C16,'31.07 Karuma-Kigumba'!C16,'01.08 Karuma-Kigumba'!C16,'02.08 Karuma-Kigumba-24h'!C16,'03.08 Karuma-Kigumba-24h'!C16,'04.08 Karuma-Kigumba'!C16)</f>
        <v>0.8571428571428571</v>
      </c>
      <c r="D16" s="49">
        <f>AVERAGE('29.07 Karuma-Kigumba'!D16,'30.07 Karuma-Kigumba'!D16,'31.07 Karuma-Kigumba'!D16,'01.08 Karuma-Kigumba'!D16,'02.08 Karuma-Kigumba-24h'!D16,'03.08 Karuma-Kigumba-24h'!D16,'04.08 Karuma-Kigumba'!D16)</f>
        <v>1.4285714285714286</v>
      </c>
      <c r="E16" s="49">
        <f>AVERAGE('29.07 Karuma-Kigumba'!E16,'30.07 Karuma-Kigumba'!E16,'31.07 Karuma-Kigumba'!E16,'01.08 Karuma-Kigumba'!E16,'02.08 Karuma-Kigumba-24h'!E16,'03.08 Karuma-Kigumba-24h'!E16,'04.08 Karuma-Kigumba'!E16)</f>
        <v>2.5714285714285716</v>
      </c>
      <c r="F16" s="49">
        <f>AVERAGE('29.07 Karuma-Kigumba'!F16,'30.07 Karuma-Kigumba'!F16,'31.07 Karuma-Kigumba'!F16,'01.08 Karuma-Kigumba'!F16,'02.08 Karuma-Kigumba-24h'!F16,'03.08 Karuma-Kigumba-24h'!F16,'04.08 Karuma-Kigumba'!F16)</f>
        <v>1.1428571428571428</v>
      </c>
      <c r="G16" s="49">
        <f>AVERAGE('29.07 Karuma-Kigumba'!G16,'30.07 Karuma-Kigumba'!G16,'31.07 Karuma-Kigumba'!G16,'01.08 Karuma-Kigumba'!G16,'02.08 Karuma-Kigumba-24h'!G16,'03.08 Karuma-Kigumba-24h'!G16,'04.08 Karuma-Kigumba'!G16)</f>
        <v>0</v>
      </c>
      <c r="H16" s="49">
        <f>AVERAGE('29.07 Karuma-Kigumba'!H16,'30.07 Karuma-Kigumba'!H16,'31.07 Karuma-Kigumba'!H16,'01.08 Karuma-Kigumba'!H16,'02.08 Karuma-Kigumba-24h'!H16,'03.08 Karuma-Kigumba-24h'!H16,'04.08 Karuma-Kigumba'!H16)</f>
        <v>0.2857142857142857</v>
      </c>
      <c r="I16" s="49">
        <f>AVERAGE('29.07 Karuma-Kigumba'!I16,'30.07 Karuma-Kigumba'!I16,'31.07 Karuma-Kigumba'!I16,'01.08 Karuma-Kigumba'!I16,'02.08 Karuma-Kigumba-24h'!I16,'03.08 Karuma-Kigumba-24h'!I16,'04.08 Karuma-Kigumba'!I16)</f>
        <v>0.7142857142857143</v>
      </c>
      <c r="J16" s="49">
        <f>AVERAGE('29.07 Karuma-Kigumba'!J16,'30.07 Karuma-Kigumba'!J16,'31.07 Karuma-Kigumba'!J16,'01.08 Karuma-Kigumba'!J16,'02.08 Karuma-Kigumba-24h'!J16,'03.08 Karuma-Kigumba-24h'!J16,'04.08 Karuma-Kigumba'!J16)</f>
        <v>0.2857142857142857</v>
      </c>
      <c r="K16" s="49">
        <f>AVERAGE('29.07 Karuma-Kigumba'!K16,'30.07 Karuma-Kigumba'!K16,'31.07 Karuma-Kigumba'!K16,'01.08 Karuma-Kigumba'!K16,'02.08 Karuma-Kigumba-24h'!K16,'03.08 Karuma-Kigumba-24h'!K16,'04.08 Karuma-Kigumba'!K16)</f>
        <v>0.14285714285714285</v>
      </c>
      <c r="L16" s="49">
        <f>AVERAGE('29.07 Karuma-Kigumba'!L16,'30.07 Karuma-Kigumba'!L16,'31.07 Karuma-Kigumba'!L16,'01.08 Karuma-Kigumba'!L16,'02.08 Karuma-Kigumba-24h'!L16,'03.08 Karuma-Kigumba-24h'!L16,'04.08 Karuma-Kigumba'!L16)</f>
        <v>0.14285714285714285</v>
      </c>
      <c r="M16" s="49">
        <f>AVERAGE('29.07 Karuma-Kigumba'!M16,'30.07 Karuma-Kigumba'!M16,'31.07 Karuma-Kigumba'!M16,'01.08 Karuma-Kigumba'!M16,'02.08 Karuma-Kigumba-24h'!M16,'03.08 Karuma-Kigumba-24h'!M16,'04.08 Karuma-Kigumba'!M16)</f>
        <v>3</v>
      </c>
      <c r="N16" s="49">
        <f>AVERAGE('29.07 Karuma-Kigumba'!N16,'30.07 Karuma-Kigumba'!N16,'31.07 Karuma-Kigumba'!N16,'01.08 Karuma-Kigumba'!N16,'02.08 Karuma-Kigumba-24h'!N16,'03.08 Karuma-Kigumba-24h'!N16,'04.08 Karuma-Kigumba'!N16)</f>
        <v>0</v>
      </c>
      <c r="O16" s="15">
        <f t="shared" si="0"/>
        <v>7.5714285714285721</v>
      </c>
      <c r="P16" s="15">
        <f t="shared" si="1"/>
        <v>10.571428571428573</v>
      </c>
      <c r="R16" s="1" t="s">
        <v>12</v>
      </c>
      <c r="S16" s="17">
        <f t="shared" ref="S16:AF16" si="8">SUM(C34:C37)</f>
        <v>10.142857142857142</v>
      </c>
      <c r="T16" s="17">
        <f t="shared" si="8"/>
        <v>7.8571428571428577</v>
      </c>
      <c r="U16" s="17">
        <f t="shared" si="8"/>
        <v>16.285714285714288</v>
      </c>
      <c r="V16" s="17">
        <f t="shared" si="8"/>
        <v>4.7142857142857144</v>
      </c>
      <c r="W16" s="17">
        <f t="shared" si="8"/>
        <v>0.14285714285714285</v>
      </c>
      <c r="X16" s="17">
        <f t="shared" si="8"/>
        <v>3.5714285714285716</v>
      </c>
      <c r="Y16" s="17">
        <f t="shared" si="8"/>
        <v>8.8571428571428577</v>
      </c>
      <c r="Z16" s="17">
        <f t="shared" si="8"/>
        <v>1.7142857142857142</v>
      </c>
      <c r="AA16" s="17">
        <f t="shared" si="8"/>
        <v>1.2857142857142856</v>
      </c>
      <c r="AB16" s="17">
        <f t="shared" si="8"/>
        <v>5.2857142857142856</v>
      </c>
      <c r="AC16" s="17">
        <f t="shared" si="8"/>
        <v>14.285714285714286</v>
      </c>
      <c r="AD16" s="17">
        <f t="shared" si="8"/>
        <v>0</v>
      </c>
      <c r="AE16" s="31">
        <f t="shared" si="8"/>
        <v>59.857142857142847</v>
      </c>
      <c r="AF16" s="31">
        <f t="shared" si="8"/>
        <v>74.142857142857139</v>
      </c>
    </row>
    <row r="17" spans="2:32" ht="23.1" customHeight="1" x14ac:dyDescent="0.25">
      <c r="B17" s="23" t="s">
        <v>44</v>
      </c>
      <c r="C17" s="49">
        <f>AVERAGE('29.07 Karuma-Kigumba'!C17,'30.07 Karuma-Kigumba'!C17,'31.07 Karuma-Kigumba'!C17,'01.08 Karuma-Kigumba'!C17,'02.08 Karuma-Kigumba-24h'!C17,'03.08 Karuma-Kigumba-24h'!C17,'04.08 Karuma-Kigumba'!C17)</f>
        <v>0.7142857142857143</v>
      </c>
      <c r="D17" s="49">
        <f>AVERAGE('29.07 Karuma-Kigumba'!D17,'30.07 Karuma-Kigumba'!D17,'31.07 Karuma-Kigumba'!D17,'01.08 Karuma-Kigumba'!D17,'02.08 Karuma-Kigumba-24h'!D17,'03.08 Karuma-Kigumba-24h'!D17,'04.08 Karuma-Kigumba'!D17)</f>
        <v>1</v>
      </c>
      <c r="E17" s="49">
        <f>AVERAGE('29.07 Karuma-Kigumba'!E17,'30.07 Karuma-Kigumba'!E17,'31.07 Karuma-Kigumba'!E17,'01.08 Karuma-Kigumba'!E17,'02.08 Karuma-Kigumba-24h'!E17,'03.08 Karuma-Kigumba-24h'!E17,'04.08 Karuma-Kigumba'!E17)</f>
        <v>2.7142857142857144</v>
      </c>
      <c r="F17" s="49">
        <f>AVERAGE('29.07 Karuma-Kigumba'!F17,'30.07 Karuma-Kigumba'!F17,'31.07 Karuma-Kigumba'!F17,'01.08 Karuma-Kigumba'!F17,'02.08 Karuma-Kigumba-24h'!F17,'03.08 Karuma-Kigumba-24h'!F17,'04.08 Karuma-Kigumba'!F17)</f>
        <v>0.42857142857142855</v>
      </c>
      <c r="G17" s="49">
        <f>AVERAGE('29.07 Karuma-Kigumba'!G17,'30.07 Karuma-Kigumba'!G17,'31.07 Karuma-Kigumba'!G17,'01.08 Karuma-Kigumba'!G17,'02.08 Karuma-Kigumba-24h'!G17,'03.08 Karuma-Kigumba-24h'!G17,'04.08 Karuma-Kigumba'!G17)</f>
        <v>0.14285714285714285</v>
      </c>
      <c r="H17" s="49">
        <f>AVERAGE('29.07 Karuma-Kigumba'!H17,'30.07 Karuma-Kigumba'!H17,'31.07 Karuma-Kigumba'!H17,'01.08 Karuma-Kigumba'!H17,'02.08 Karuma-Kigumba-24h'!H17,'03.08 Karuma-Kigumba-24h'!H17,'04.08 Karuma-Kigumba'!H17)</f>
        <v>0.8571428571428571</v>
      </c>
      <c r="I17" s="49">
        <f>AVERAGE('29.07 Karuma-Kigumba'!I17,'30.07 Karuma-Kigumba'!I17,'31.07 Karuma-Kigumba'!I17,'01.08 Karuma-Kigumba'!I17,'02.08 Karuma-Kigumba-24h'!I17,'03.08 Karuma-Kigumba-24h'!I17,'04.08 Karuma-Kigumba'!I17)</f>
        <v>0.7142857142857143</v>
      </c>
      <c r="J17" s="49">
        <f>AVERAGE('29.07 Karuma-Kigumba'!J17,'30.07 Karuma-Kigumba'!J17,'31.07 Karuma-Kigumba'!J17,'01.08 Karuma-Kigumba'!J17,'02.08 Karuma-Kigumba-24h'!J17,'03.08 Karuma-Kigumba-24h'!J17,'04.08 Karuma-Kigumba'!J17)</f>
        <v>0</v>
      </c>
      <c r="K17" s="49">
        <f>AVERAGE('29.07 Karuma-Kigumba'!K17,'30.07 Karuma-Kigumba'!K17,'31.07 Karuma-Kigumba'!K17,'01.08 Karuma-Kigumba'!K17,'02.08 Karuma-Kigumba-24h'!K17,'03.08 Karuma-Kigumba-24h'!K17,'04.08 Karuma-Kigumba'!K17)</f>
        <v>0.14285714285714285</v>
      </c>
      <c r="L17" s="49">
        <f>AVERAGE('29.07 Karuma-Kigumba'!L17,'30.07 Karuma-Kigumba'!L17,'31.07 Karuma-Kigumba'!L17,'01.08 Karuma-Kigumba'!L17,'02.08 Karuma-Kigumba-24h'!L17,'03.08 Karuma-Kigumba-24h'!L17,'04.08 Karuma-Kigumba'!L17)</f>
        <v>0.42857142857142855</v>
      </c>
      <c r="M17" s="49">
        <f>AVERAGE('29.07 Karuma-Kigumba'!M17,'30.07 Karuma-Kigumba'!M17,'31.07 Karuma-Kigumba'!M17,'01.08 Karuma-Kigumba'!M17,'02.08 Karuma-Kigumba-24h'!M17,'03.08 Karuma-Kigumba-24h'!M17,'04.08 Karuma-Kigumba'!M17)</f>
        <v>3</v>
      </c>
      <c r="N17" s="49">
        <f>AVERAGE('29.07 Karuma-Kigumba'!N17,'30.07 Karuma-Kigumba'!N17,'31.07 Karuma-Kigumba'!N17,'01.08 Karuma-Kigumba'!N17,'02.08 Karuma-Kigumba-24h'!N17,'03.08 Karuma-Kigumba-24h'!N17,'04.08 Karuma-Kigumba'!N17)</f>
        <v>0.14285714285714285</v>
      </c>
      <c r="O17" s="15">
        <f t="shared" si="0"/>
        <v>7.2857142857142874</v>
      </c>
      <c r="P17" s="15">
        <f t="shared" si="1"/>
        <v>10.285714285714286</v>
      </c>
      <c r="R17" s="1" t="s">
        <v>13</v>
      </c>
      <c r="S17" s="17">
        <f t="shared" ref="S17:AF17" si="9">SUM(C38:C41)</f>
        <v>8.2857142857142865</v>
      </c>
      <c r="T17" s="17">
        <f t="shared" si="9"/>
        <v>6.4285714285714279</v>
      </c>
      <c r="U17" s="17">
        <f t="shared" si="9"/>
        <v>13.285714285714285</v>
      </c>
      <c r="V17" s="17">
        <f t="shared" si="9"/>
        <v>7.4285714285714288</v>
      </c>
      <c r="W17" s="17">
        <f t="shared" si="9"/>
        <v>0.2857142857142857</v>
      </c>
      <c r="X17" s="17">
        <f t="shared" si="9"/>
        <v>4.4285714285714288</v>
      </c>
      <c r="Y17" s="17">
        <f t="shared" si="9"/>
        <v>8.7142857142857135</v>
      </c>
      <c r="Z17" s="17">
        <f t="shared" si="9"/>
        <v>1.2857142857142856</v>
      </c>
      <c r="AA17" s="17">
        <f t="shared" si="9"/>
        <v>0.2857142857142857</v>
      </c>
      <c r="AB17" s="17">
        <f t="shared" si="9"/>
        <v>5.4285714285714288</v>
      </c>
      <c r="AC17" s="17">
        <f t="shared" si="9"/>
        <v>13</v>
      </c>
      <c r="AD17" s="17">
        <f t="shared" si="9"/>
        <v>0</v>
      </c>
      <c r="AE17" s="31">
        <f t="shared" si="9"/>
        <v>55.857142857142861</v>
      </c>
      <c r="AF17" s="31">
        <f t="shared" si="9"/>
        <v>68.857142857142861</v>
      </c>
    </row>
    <row r="18" spans="2:32" ht="23.1" customHeight="1" x14ac:dyDescent="0.25">
      <c r="B18" s="23" t="s">
        <v>45</v>
      </c>
      <c r="C18" s="49">
        <f>AVERAGE('29.07 Karuma-Kigumba'!C18,'30.07 Karuma-Kigumba'!C18,'31.07 Karuma-Kigumba'!C18,'01.08 Karuma-Kigumba'!C18,'02.08 Karuma-Kigumba-24h'!C18,'03.08 Karuma-Kigumba-24h'!C18,'04.08 Karuma-Kigumba'!C18)</f>
        <v>1.1428571428571428</v>
      </c>
      <c r="D18" s="49">
        <f>AVERAGE('29.07 Karuma-Kigumba'!D18,'30.07 Karuma-Kigumba'!D18,'31.07 Karuma-Kigumba'!D18,'01.08 Karuma-Kigumba'!D18,'02.08 Karuma-Kigumba-24h'!D18,'03.08 Karuma-Kigumba-24h'!D18,'04.08 Karuma-Kigumba'!D18)</f>
        <v>1</v>
      </c>
      <c r="E18" s="49">
        <f>AVERAGE('29.07 Karuma-Kigumba'!E18,'30.07 Karuma-Kigumba'!E18,'31.07 Karuma-Kigumba'!E18,'01.08 Karuma-Kigumba'!E18,'02.08 Karuma-Kigumba-24h'!E18,'03.08 Karuma-Kigumba-24h'!E18,'04.08 Karuma-Kigumba'!E18)</f>
        <v>2.7142857142857144</v>
      </c>
      <c r="F18" s="49">
        <f>AVERAGE('29.07 Karuma-Kigumba'!F18,'30.07 Karuma-Kigumba'!F18,'31.07 Karuma-Kigumba'!F18,'01.08 Karuma-Kigumba'!F18,'02.08 Karuma-Kigumba-24h'!F18,'03.08 Karuma-Kigumba-24h'!F18,'04.08 Karuma-Kigumba'!F18)</f>
        <v>0.5714285714285714</v>
      </c>
      <c r="G18" s="49">
        <f>AVERAGE('29.07 Karuma-Kigumba'!G18,'30.07 Karuma-Kigumba'!G18,'31.07 Karuma-Kigumba'!G18,'01.08 Karuma-Kigumba'!G18,'02.08 Karuma-Kigumba-24h'!G18,'03.08 Karuma-Kigumba-24h'!G18,'04.08 Karuma-Kigumba'!G18)</f>
        <v>0.2857142857142857</v>
      </c>
      <c r="H18" s="49">
        <f>AVERAGE('29.07 Karuma-Kigumba'!H18,'30.07 Karuma-Kigumba'!H18,'31.07 Karuma-Kigumba'!H18,'01.08 Karuma-Kigumba'!H18,'02.08 Karuma-Kigumba-24h'!H18,'03.08 Karuma-Kigumba-24h'!H18,'04.08 Karuma-Kigumba'!H18)</f>
        <v>1</v>
      </c>
      <c r="I18" s="49">
        <f>AVERAGE('29.07 Karuma-Kigumba'!I18,'30.07 Karuma-Kigumba'!I18,'31.07 Karuma-Kigumba'!I18,'01.08 Karuma-Kigumba'!I18,'02.08 Karuma-Kigumba-24h'!I18,'03.08 Karuma-Kigumba-24h'!I18,'04.08 Karuma-Kigumba'!I18)</f>
        <v>0.7142857142857143</v>
      </c>
      <c r="J18" s="49">
        <f>AVERAGE('29.07 Karuma-Kigumba'!J18,'30.07 Karuma-Kigumba'!J18,'31.07 Karuma-Kigumba'!J18,'01.08 Karuma-Kigumba'!J18,'02.08 Karuma-Kigumba-24h'!J18,'03.08 Karuma-Kigumba-24h'!J18,'04.08 Karuma-Kigumba'!J18)</f>
        <v>0.14285714285714285</v>
      </c>
      <c r="K18" s="49">
        <f>AVERAGE('29.07 Karuma-Kigumba'!K18,'30.07 Karuma-Kigumba'!K18,'31.07 Karuma-Kigumba'!K18,'01.08 Karuma-Kigumba'!K18,'02.08 Karuma-Kigumba-24h'!K18,'03.08 Karuma-Kigumba-24h'!K18,'04.08 Karuma-Kigumba'!K18)</f>
        <v>0</v>
      </c>
      <c r="L18" s="49">
        <f>AVERAGE('29.07 Karuma-Kigumba'!L18,'30.07 Karuma-Kigumba'!L18,'31.07 Karuma-Kigumba'!L18,'01.08 Karuma-Kigumba'!L18,'02.08 Karuma-Kigumba-24h'!L18,'03.08 Karuma-Kigumba-24h'!L18,'04.08 Karuma-Kigumba'!L18)</f>
        <v>0.5714285714285714</v>
      </c>
      <c r="M18" s="49">
        <f>AVERAGE('29.07 Karuma-Kigumba'!M18,'30.07 Karuma-Kigumba'!M18,'31.07 Karuma-Kigumba'!M18,'01.08 Karuma-Kigumba'!M18,'02.08 Karuma-Kigumba-24h'!M18,'03.08 Karuma-Kigumba-24h'!M18,'04.08 Karuma-Kigumba'!M18)</f>
        <v>3.1428571428571428</v>
      </c>
      <c r="N18" s="49">
        <f>AVERAGE('29.07 Karuma-Kigumba'!N18,'30.07 Karuma-Kigumba'!N18,'31.07 Karuma-Kigumba'!N18,'01.08 Karuma-Kigumba'!N18,'02.08 Karuma-Kigumba-24h'!N18,'03.08 Karuma-Kigumba-24h'!N18,'04.08 Karuma-Kigumba'!N18)</f>
        <v>0</v>
      </c>
      <c r="O18" s="15">
        <f t="shared" si="0"/>
        <v>8.1428571428571441</v>
      </c>
      <c r="P18" s="15">
        <f t="shared" si="1"/>
        <v>11.285714285714286</v>
      </c>
      <c r="R18" s="1" t="s">
        <v>14</v>
      </c>
      <c r="S18" s="17">
        <f t="shared" ref="S18:AF18" si="10">SUM(C42:C45)</f>
        <v>8.1428571428571423</v>
      </c>
      <c r="T18" s="17">
        <f t="shared" si="10"/>
        <v>7.4285714285714279</v>
      </c>
      <c r="U18" s="17">
        <f t="shared" si="10"/>
        <v>14.714285714285715</v>
      </c>
      <c r="V18" s="17">
        <f t="shared" si="10"/>
        <v>5.2857142857142856</v>
      </c>
      <c r="W18" s="17">
        <f t="shared" si="10"/>
        <v>0.2857142857142857</v>
      </c>
      <c r="X18" s="17">
        <f t="shared" si="10"/>
        <v>5.4285714285714279</v>
      </c>
      <c r="Y18" s="17">
        <f t="shared" si="10"/>
        <v>10.285714285714286</v>
      </c>
      <c r="Z18" s="17">
        <f t="shared" si="10"/>
        <v>1</v>
      </c>
      <c r="AA18" s="17">
        <f t="shared" si="10"/>
        <v>0.71428571428571419</v>
      </c>
      <c r="AB18" s="17">
        <f t="shared" si="10"/>
        <v>5.1428571428571432</v>
      </c>
      <c r="AC18" s="17">
        <f t="shared" si="10"/>
        <v>17.142857142857146</v>
      </c>
      <c r="AD18" s="17">
        <f t="shared" si="10"/>
        <v>0.14285714285714285</v>
      </c>
      <c r="AE18" s="31">
        <f t="shared" si="10"/>
        <v>58.571428571428577</v>
      </c>
      <c r="AF18" s="31">
        <f t="shared" si="10"/>
        <v>75.714285714285722</v>
      </c>
    </row>
    <row r="19" spans="2:32" ht="23.1" customHeight="1" x14ac:dyDescent="0.25">
      <c r="B19" s="23" t="s">
        <v>46</v>
      </c>
      <c r="C19" s="49">
        <f>AVERAGE('29.07 Karuma-Kigumba'!C19,'30.07 Karuma-Kigumba'!C19,'31.07 Karuma-Kigumba'!C19,'01.08 Karuma-Kigumba'!C19,'02.08 Karuma-Kigumba-24h'!C19,'03.08 Karuma-Kigumba-24h'!C19,'04.08 Karuma-Kigumba'!C19)</f>
        <v>1.2857142857142858</v>
      </c>
      <c r="D19" s="49">
        <f>AVERAGE('29.07 Karuma-Kigumba'!D19,'30.07 Karuma-Kigumba'!D19,'31.07 Karuma-Kigumba'!D19,'01.08 Karuma-Kigumba'!D19,'02.08 Karuma-Kigumba-24h'!D19,'03.08 Karuma-Kigumba-24h'!D19,'04.08 Karuma-Kigumba'!D19)</f>
        <v>0.8571428571428571</v>
      </c>
      <c r="E19" s="49">
        <f>AVERAGE('29.07 Karuma-Kigumba'!E19,'30.07 Karuma-Kigumba'!E19,'31.07 Karuma-Kigumba'!E19,'01.08 Karuma-Kigumba'!E19,'02.08 Karuma-Kigumba-24h'!E19,'03.08 Karuma-Kigumba-24h'!E19,'04.08 Karuma-Kigumba'!E19)</f>
        <v>2.1428571428571428</v>
      </c>
      <c r="F19" s="49">
        <f>AVERAGE('29.07 Karuma-Kigumba'!F19,'30.07 Karuma-Kigumba'!F19,'31.07 Karuma-Kigumba'!F19,'01.08 Karuma-Kigumba'!F19,'02.08 Karuma-Kigumba-24h'!F19,'03.08 Karuma-Kigumba-24h'!F19,'04.08 Karuma-Kigumba'!F19)</f>
        <v>1</v>
      </c>
      <c r="G19" s="49">
        <f>AVERAGE('29.07 Karuma-Kigumba'!G19,'30.07 Karuma-Kigumba'!G19,'31.07 Karuma-Kigumba'!G19,'01.08 Karuma-Kigumba'!G19,'02.08 Karuma-Kigumba-24h'!G19,'03.08 Karuma-Kigumba-24h'!G19,'04.08 Karuma-Kigumba'!G19)</f>
        <v>0</v>
      </c>
      <c r="H19" s="49">
        <f>AVERAGE('29.07 Karuma-Kigumba'!H19,'30.07 Karuma-Kigumba'!H19,'31.07 Karuma-Kigumba'!H19,'01.08 Karuma-Kigumba'!H19,'02.08 Karuma-Kigumba-24h'!H19,'03.08 Karuma-Kigumba-24h'!H19,'04.08 Karuma-Kigumba'!H19)</f>
        <v>0.2857142857142857</v>
      </c>
      <c r="I19" s="49">
        <f>AVERAGE('29.07 Karuma-Kigumba'!I19,'30.07 Karuma-Kigumba'!I19,'31.07 Karuma-Kigumba'!I19,'01.08 Karuma-Kigumba'!I19,'02.08 Karuma-Kigumba-24h'!I19,'03.08 Karuma-Kigumba-24h'!I19,'04.08 Karuma-Kigumba'!I19)</f>
        <v>0.8571428571428571</v>
      </c>
      <c r="J19" s="49">
        <f>AVERAGE('29.07 Karuma-Kigumba'!J19,'30.07 Karuma-Kigumba'!J19,'31.07 Karuma-Kigumba'!J19,'01.08 Karuma-Kigumba'!J19,'02.08 Karuma-Kigumba-24h'!J19,'03.08 Karuma-Kigumba-24h'!J19,'04.08 Karuma-Kigumba'!J19)</f>
        <v>0.14285714285714285</v>
      </c>
      <c r="K19" s="49">
        <f>AVERAGE('29.07 Karuma-Kigumba'!K19,'30.07 Karuma-Kigumba'!K19,'31.07 Karuma-Kigumba'!K19,'01.08 Karuma-Kigumba'!K19,'02.08 Karuma-Kigumba-24h'!K19,'03.08 Karuma-Kigumba-24h'!K19,'04.08 Karuma-Kigumba'!K19)</f>
        <v>0.14285714285714285</v>
      </c>
      <c r="L19" s="49">
        <f>AVERAGE('29.07 Karuma-Kigumba'!L19,'30.07 Karuma-Kigumba'!L19,'31.07 Karuma-Kigumba'!L19,'01.08 Karuma-Kigumba'!L19,'02.08 Karuma-Kigumba-24h'!L19,'03.08 Karuma-Kigumba-24h'!L19,'04.08 Karuma-Kigumba'!L19)</f>
        <v>0.14285714285714285</v>
      </c>
      <c r="M19" s="49">
        <f>AVERAGE('29.07 Karuma-Kigumba'!M19,'30.07 Karuma-Kigumba'!M19,'31.07 Karuma-Kigumba'!M19,'01.08 Karuma-Kigumba'!M19,'02.08 Karuma-Kigumba-24h'!M19,'03.08 Karuma-Kigumba-24h'!M19,'04.08 Karuma-Kigumba'!M19)</f>
        <v>3.4285714285714284</v>
      </c>
      <c r="N19" s="49">
        <f>AVERAGE('29.07 Karuma-Kigumba'!N19,'30.07 Karuma-Kigumba'!N19,'31.07 Karuma-Kigumba'!N19,'01.08 Karuma-Kigumba'!N19,'02.08 Karuma-Kigumba-24h'!N19,'03.08 Karuma-Kigumba-24h'!N19,'04.08 Karuma-Kigumba'!N19)</f>
        <v>0.14285714285714285</v>
      </c>
      <c r="O19" s="15">
        <f t="shared" si="0"/>
        <v>7.0000000000000009</v>
      </c>
      <c r="P19" s="15">
        <f t="shared" si="1"/>
        <v>10.428571428571429</v>
      </c>
      <c r="R19" s="1" t="s">
        <v>15</v>
      </c>
      <c r="S19" s="17">
        <f t="shared" ref="S19:AF19" si="11">SUM(C46:C49)</f>
        <v>9</v>
      </c>
      <c r="T19" s="17">
        <f t="shared" si="11"/>
        <v>7.4285714285714288</v>
      </c>
      <c r="U19" s="17">
        <f t="shared" si="11"/>
        <v>16.285714285714285</v>
      </c>
      <c r="V19" s="17">
        <f t="shared" si="11"/>
        <v>8</v>
      </c>
      <c r="W19" s="17">
        <f t="shared" si="11"/>
        <v>0.42857142857142855</v>
      </c>
      <c r="X19" s="17">
        <f t="shared" si="11"/>
        <v>3.7142857142857144</v>
      </c>
      <c r="Y19" s="17">
        <f t="shared" si="11"/>
        <v>9.428571428571427</v>
      </c>
      <c r="Z19" s="17">
        <f t="shared" si="11"/>
        <v>1.857142857142857</v>
      </c>
      <c r="AA19" s="17">
        <f t="shared" si="11"/>
        <v>0.85714285714285698</v>
      </c>
      <c r="AB19" s="17">
        <f t="shared" si="11"/>
        <v>7</v>
      </c>
      <c r="AC19" s="17">
        <f t="shared" si="11"/>
        <v>18.857142857142858</v>
      </c>
      <c r="AD19" s="17">
        <f t="shared" si="11"/>
        <v>0.14285714285714285</v>
      </c>
      <c r="AE19" s="31">
        <f t="shared" si="11"/>
        <v>64.142857142857139</v>
      </c>
      <c r="AF19" s="31">
        <f t="shared" si="11"/>
        <v>83</v>
      </c>
    </row>
    <row r="20" spans="2:32" ht="23.1" customHeight="1" x14ac:dyDescent="0.25">
      <c r="B20" s="23" t="s">
        <v>47</v>
      </c>
      <c r="C20" s="49">
        <f>AVERAGE('29.07 Karuma-Kigumba'!C20,'30.07 Karuma-Kigumba'!C20,'31.07 Karuma-Kigumba'!C20,'01.08 Karuma-Kigumba'!C20,'02.08 Karuma-Kigumba-24h'!C20,'03.08 Karuma-Kigumba-24h'!C20,'04.08 Karuma-Kigumba'!C20)</f>
        <v>1.2857142857142858</v>
      </c>
      <c r="D20" s="49">
        <f>AVERAGE('29.07 Karuma-Kigumba'!D20,'30.07 Karuma-Kigumba'!D20,'31.07 Karuma-Kigumba'!D20,'01.08 Karuma-Kigumba'!D20,'02.08 Karuma-Kigumba-24h'!D20,'03.08 Karuma-Kigumba-24h'!D20,'04.08 Karuma-Kigumba'!D20)</f>
        <v>0.7142857142857143</v>
      </c>
      <c r="E20" s="49">
        <f>AVERAGE('29.07 Karuma-Kigumba'!E20,'30.07 Karuma-Kigumba'!E20,'31.07 Karuma-Kigumba'!E20,'01.08 Karuma-Kigumba'!E20,'02.08 Karuma-Kigumba-24h'!E20,'03.08 Karuma-Kigumba-24h'!E20,'04.08 Karuma-Kigumba'!E20)</f>
        <v>2</v>
      </c>
      <c r="F20" s="49">
        <f>AVERAGE('29.07 Karuma-Kigumba'!F20,'30.07 Karuma-Kigumba'!F20,'31.07 Karuma-Kigumba'!F20,'01.08 Karuma-Kigumba'!F20,'02.08 Karuma-Kigumba-24h'!F20,'03.08 Karuma-Kigumba-24h'!F20,'04.08 Karuma-Kigumba'!F20)</f>
        <v>0.2857142857142857</v>
      </c>
      <c r="G20" s="49">
        <f>AVERAGE('29.07 Karuma-Kigumba'!G20,'30.07 Karuma-Kigumba'!G20,'31.07 Karuma-Kigumba'!G20,'01.08 Karuma-Kigumba'!G20,'02.08 Karuma-Kigumba-24h'!G20,'03.08 Karuma-Kigumba-24h'!G20,'04.08 Karuma-Kigumba'!G20)</f>
        <v>0</v>
      </c>
      <c r="H20" s="49">
        <f>AVERAGE('29.07 Karuma-Kigumba'!H20,'30.07 Karuma-Kigumba'!H20,'31.07 Karuma-Kigumba'!H20,'01.08 Karuma-Kigumba'!H20,'02.08 Karuma-Kigumba-24h'!H20,'03.08 Karuma-Kigumba-24h'!H20,'04.08 Karuma-Kigumba'!H20)</f>
        <v>0.42857142857142855</v>
      </c>
      <c r="I20" s="49">
        <f>AVERAGE('29.07 Karuma-Kigumba'!I20,'30.07 Karuma-Kigumba'!I20,'31.07 Karuma-Kigumba'!I20,'01.08 Karuma-Kigumba'!I20,'02.08 Karuma-Kigumba-24h'!I20,'03.08 Karuma-Kigumba-24h'!I20,'04.08 Karuma-Kigumba'!I20)</f>
        <v>1</v>
      </c>
      <c r="J20" s="49">
        <f>AVERAGE('29.07 Karuma-Kigumba'!J20,'30.07 Karuma-Kigumba'!J20,'31.07 Karuma-Kigumba'!J20,'01.08 Karuma-Kigumba'!J20,'02.08 Karuma-Kigumba-24h'!J20,'03.08 Karuma-Kigumba-24h'!J20,'04.08 Karuma-Kigumba'!J20)</f>
        <v>0.14285714285714285</v>
      </c>
      <c r="K20" s="49">
        <f>AVERAGE('29.07 Karuma-Kigumba'!K20,'30.07 Karuma-Kigumba'!K20,'31.07 Karuma-Kigumba'!K20,'01.08 Karuma-Kigumba'!K20,'02.08 Karuma-Kigumba-24h'!K20,'03.08 Karuma-Kigumba-24h'!K20,'04.08 Karuma-Kigumba'!K20)</f>
        <v>0</v>
      </c>
      <c r="L20" s="49">
        <f>AVERAGE('29.07 Karuma-Kigumba'!L20,'30.07 Karuma-Kigumba'!L20,'31.07 Karuma-Kigumba'!L20,'01.08 Karuma-Kigumba'!L20,'02.08 Karuma-Kigumba-24h'!L20,'03.08 Karuma-Kigumba-24h'!L20,'04.08 Karuma-Kigumba'!L20)</f>
        <v>1.4285714285714286</v>
      </c>
      <c r="M20" s="49">
        <f>AVERAGE('29.07 Karuma-Kigumba'!M20,'30.07 Karuma-Kigumba'!M20,'31.07 Karuma-Kigumba'!M20,'01.08 Karuma-Kigumba'!M20,'02.08 Karuma-Kigumba-24h'!M20,'03.08 Karuma-Kigumba-24h'!M20,'04.08 Karuma-Kigumba'!M20)</f>
        <v>3.2857142857142856</v>
      </c>
      <c r="N20" s="49">
        <f>AVERAGE('29.07 Karuma-Kigumba'!N20,'30.07 Karuma-Kigumba'!N20,'31.07 Karuma-Kigumba'!N20,'01.08 Karuma-Kigumba'!N20,'02.08 Karuma-Kigumba-24h'!N20,'03.08 Karuma-Kigumba-24h'!N20,'04.08 Karuma-Kigumba'!N20)</f>
        <v>0</v>
      </c>
      <c r="O20" s="15">
        <f t="shared" si="0"/>
        <v>7.2857142857142865</v>
      </c>
      <c r="P20" s="15">
        <f t="shared" si="1"/>
        <v>10.571428571428573</v>
      </c>
      <c r="R20" s="1" t="s">
        <v>16</v>
      </c>
      <c r="S20" s="17">
        <f t="shared" ref="S20:AF20" si="12">SUM(C50:C53)</f>
        <v>6.1428571428571432</v>
      </c>
      <c r="T20" s="17">
        <f t="shared" si="12"/>
        <v>6.4285714285714288</v>
      </c>
      <c r="U20" s="17">
        <f t="shared" si="12"/>
        <v>13.285714285714286</v>
      </c>
      <c r="V20" s="17">
        <f t="shared" si="12"/>
        <v>6.4285714285714279</v>
      </c>
      <c r="W20" s="17">
        <f t="shared" si="12"/>
        <v>0.14285714285714285</v>
      </c>
      <c r="X20" s="17">
        <f t="shared" si="12"/>
        <v>4.7142857142857144</v>
      </c>
      <c r="Y20" s="17">
        <f t="shared" si="12"/>
        <v>10.714285714285715</v>
      </c>
      <c r="Z20" s="17">
        <f t="shared" si="12"/>
        <v>2.1428571428571423</v>
      </c>
      <c r="AA20" s="17">
        <f t="shared" si="12"/>
        <v>1.7142857142857142</v>
      </c>
      <c r="AB20" s="17">
        <f t="shared" si="12"/>
        <v>7.1428571428571423</v>
      </c>
      <c r="AC20" s="17">
        <f t="shared" si="12"/>
        <v>18.142857142857142</v>
      </c>
      <c r="AD20" s="17">
        <f t="shared" si="12"/>
        <v>0.2857142857142857</v>
      </c>
      <c r="AE20" s="31">
        <f t="shared" si="12"/>
        <v>59.142857142857139</v>
      </c>
      <c r="AF20" s="31">
        <f t="shared" si="12"/>
        <v>77.285714285714292</v>
      </c>
    </row>
    <row r="21" spans="2:32" ht="23.1" customHeight="1" x14ac:dyDescent="0.25">
      <c r="B21" s="23" t="s">
        <v>48</v>
      </c>
      <c r="C21" s="49">
        <f>AVERAGE('29.07 Karuma-Kigumba'!C21,'30.07 Karuma-Kigumba'!C21,'31.07 Karuma-Kigumba'!C21,'01.08 Karuma-Kigumba'!C21,'02.08 Karuma-Kigumba-24h'!C21,'03.08 Karuma-Kigumba-24h'!C21,'04.08 Karuma-Kigumba'!C21)</f>
        <v>1.5714285714285714</v>
      </c>
      <c r="D21" s="49">
        <f>AVERAGE('29.07 Karuma-Kigumba'!D21,'30.07 Karuma-Kigumba'!D21,'31.07 Karuma-Kigumba'!D21,'01.08 Karuma-Kigumba'!D21,'02.08 Karuma-Kigumba-24h'!D21,'03.08 Karuma-Kigumba-24h'!D21,'04.08 Karuma-Kigumba'!D21)</f>
        <v>1</v>
      </c>
      <c r="E21" s="49">
        <f>AVERAGE('29.07 Karuma-Kigumba'!E21,'30.07 Karuma-Kigumba'!E21,'31.07 Karuma-Kigumba'!E21,'01.08 Karuma-Kigumba'!E21,'02.08 Karuma-Kigumba-24h'!E21,'03.08 Karuma-Kigumba-24h'!E21,'04.08 Karuma-Kigumba'!E21)</f>
        <v>2.1428571428571428</v>
      </c>
      <c r="F21" s="49">
        <f>AVERAGE('29.07 Karuma-Kigumba'!F21,'30.07 Karuma-Kigumba'!F21,'31.07 Karuma-Kigumba'!F21,'01.08 Karuma-Kigumba'!F21,'02.08 Karuma-Kigumba-24h'!F21,'03.08 Karuma-Kigumba-24h'!F21,'04.08 Karuma-Kigumba'!F21)</f>
        <v>2</v>
      </c>
      <c r="G21" s="49">
        <f>AVERAGE('29.07 Karuma-Kigumba'!G21,'30.07 Karuma-Kigumba'!G21,'31.07 Karuma-Kigumba'!G21,'01.08 Karuma-Kigumba'!G21,'02.08 Karuma-Kigumba-24h'!G21,'03.08 Karuma-Kigumba-24h'!G21,'04.08 Karuma-Kigumba'!G21)</f>
        <v>0.14285714285714285</v>
      </c>
      <c r="H21" s="49">
        <f>AVERAGE('29.07 Karuma-Kigumba'!H21,'30.07 Karuma-Kigumba'!H21,'31.07 Karuma-Kigumba'!H21,'01.08 Karuma-Kigumba'!H21,'02.08 Karuma-Kigumba-24h'!H21,'03.08 Karuma-Kigumba-24h'!H21,'04.08 Karuma-Kigumba'!H21)</f>
        <v>1.5714285714285714</v>
      </c>
      <c r="I21" s="49">
        <f>AVERAGE('29.07 Karuma-Kigumba'!I21,'30.07 Karuma-Kigumba'!I21,'31.07 Karuma-Kigumba'!I21,'01.08 Karuma-Kigumba'!I21,'02.08 Karuma-Kigumba-24h'!I21,'03.08 Karuma-Kigumba-24h'!I21,'04.08 Karuma-Kigumba'!I21)</f>
        <v>0.7142857142857143</v>
      </c>
      <c r="J21" s="49">
        <f>AVERAGE('29.07 Karuma-Kigumba'!J21,'30.07 Karuma-Kigumba'!J21,'31.07 Karuma-Kigumba'!J21,'01.08 Karuma-Kigumba'!J21,'02.08 Karuma-Kigumba-24h'!J21,'03.08 Karuma-Kigumba-24h'!J21,'04.08 Karuma-Kigumba'!J21)</f>
        <v>0</v>
      </c>
      <c r="K21" s="49">
        <f>AVERAGE('29.07 Karuma-Kigumba'!K21,'30.07 Karuma-Kigumba'!K21,'31.07 Karuma-Kigumba'!K21,'01.08 Karuma-Kigumba'!K21,'02.08 Karuma-Kigumba-24h'!K21,'03.08 Karuma-Kigumba-24h'!K21,'04.08 Karuma-Kigumba'!K21)</f>
        <v>0.2857142857142857</v>
      </c>
      <c r="L21" s="49">
        <f>AVERAGE('29.07 Karuma-Kigumba'!L21,'30.07 Karuma-Kigumba'!L21,'31.07 Karuma-Kigumba'!L21,'01.08 Karuma-Kigumba'!L21,'02.08 Karuma-Kigumba-24h'!L21,'03.08 Karuma-Kigumba-24h'!L21,'04.08 Karuma-Kigumba'!L21)</f>
        <v>0.2857142857142857</v>
      </c>
      <c r="M21" s="49">
        <f>AVERAGE('29.07 Karuma-Kigumba'!M21,'30.07 Karuma-Kigumba'!M21,'31.07 Karuma-Kigumba'!M21,'01.08 Karuma-Kigumba'!M21,'02.08 Karuma-Kigumba-24h'!M21,'03.08 Karuma-Kigumba-24h'!M21,'04.08 Karuma-Kigumba'!M21)</f>
        <v>2.7142857142857144</v>
      </c>
      <c r="N21" s="49">
        <f>AVERAGE('29.07 Karuma-Kigumba'!N21,'30.07 Karuma-Kigumba'!N21,'31.07 Karuma-Kigumba'!N21,'01.08 Karuma-Kigumba'!N21,'02.08 Karuma-Kigumba-24h'!N21,'03.08 Karuma-Kigumba-24h'!N21,'04.08 Karuma-Kigumba'!N21)</f>
        <v>0.14285714285714285</v>
      </c>
      <c r="O21" s="15">
        <f t="shared" si="0"/>
        <v>9.8571428571428577</v>
      </c>
      <c r="P21" s="15">
        <f t="shared" si="1"/>
        <v>12.571428571428573</v>
      </c>
      <c r="R21" s="36" t="s">
        <v>20</v>
      </c>
      <c r="S21" s="34">
        <f t="shared" ref="S21:AF21" si="13">SUM(C54:C57)</f>
        <v>7.2857142857142865</v>
      </c>
      <c r="T21" s="17">
        <f t="shared" si="13"/>
        <v>4.8571428571428577</v>
      </c>
      <c r="U21" s="17">
        <f t="shared" si="13"/>
        <v>11.285714285714288</v>
      </c>
      <c r="V21" s="17">
        <f t="shared" si="13"/>
        <v>7.4285714285714279</v>
      </c>
      <c r="W21" s="17">
        <f t="shared" si="13"/>
        <v>0</v>
      </c>
      <c r="X21" s="17">
        <f t="shared" si="13"/>
        <v>3.2857142857142856</v>
      </c>
      <c r="Y21" s="17">
        <f t="shared" si="13"/>
        <v>11.571428571428571</v>
      </c>
      <c r="Z21" s="17">
        <f t="shared" si="13"/>
        <v>2.2857142857142856</v>
      </c>
      <c r="AA21" s="17">
        <f t="shared" si="13"/>
        <v>0.5714285714285714</v>
      </c>
      <c r="AB21" s="17">
        <f t="shared" si="13"/>
        <v>7.4285714285714288</v>
      </c>
      <c r="AC21" s="17">
        <f t="shared" si="13"/>
        <v>18</v>
      </c>
      <c r="AD21" s="17">
        <f t="shared" si="13"/>
        <v>0</v>
      </c>
      <c r="AE21" s="31">
        <f t="shared" si="13"/>
        <v>56</v>
      </c>
      <c r="AF21" s="31">
        <f t="shared" si="13"/>
        <v>74</v>
      </c>
    </row>
    <row r="22" spans="2:32" ht="23.1" customHeight="1" x14ac:dyDescent="0.25">
      <c r="B22" s="23" t="s">
        <v>49</v>
      </c>
      <c r="C22" s="49">
        <f>AVERAGE('29.07 Karuma-Kigumba'!C22,'30.07 Karuma-Kigumba'!C22,'31.07 Karuma-Kigumba'!C22,'01.08 Karuma-Kigumba'!C22,'02.08 Karuma-Kigumba-24h'!C22,'03.08 Karuma-Kigumba-24h'!C22,'04.08 Karuma-Kigumba'!C22)</f>
        <v>1.2857142857142858</v>
      </c>
      <c r="D22" s="49">
        <f>AVERAGE('29.07 Karuma-Kigumba'!D22,'30.07 Karuma-Kigumba'!D22,'31.07 Karuma-Kigumba'!D22,'01.08 Karuma-Kigumba'!D22,'02.08 Karuma-Kigumba-24h'!D22,'03.08 Karuma-Kigumba-24h'!D22,'04.08 Karuma-Kigumba'!D22)</f>
        <v>1.4285714285714286</v>
      </c>
      <c r="E22" s="49">
        <f>AVERAGE('29.07 Karuma-Kigumba'!E22,'30.07 Karuma-Kigumba'!E22,'31.07 Karuma-Kigumba'!E22,'01.08 Karuma-Kigumba'!E22,'02.08 Karuma-Kigumba-24h'!E22,'03.08 Karuma-Kigumba-24h'!E22,'04.08 Karuma-Kigumba'!E22)</f>
        <v>2.7142857142857144</v>
      </c>
      <c r="F22" s="49">
        <f>AVERAGE('29.07 Karuma-Kigumba'!F22,'30.07 Karuma-Kigumba'!F22,'31.07 Karuma-Kigumba'!F22,'01.08 Karuma-Kigumba'!F22,'02.08 Karuma-Kigumba-24h'!F22,'03.08 Karuma-Kigumba-24h'!F22,'04.08 Karuma-Kigumba'!F22)</f>
        <v>1.1428571428571428</v>
      </c>
      <c r="G22" s="49">
        <f>AVERAGE('29.07 Karuma-Kigumba'!G22,'30.07 Karuma-Kigumba'!G22,'31.07 Karuma-Kigumba'!G22,'01.08 Karuma-Kigumba'!G22,'02.08 Karuma-Kigumba-24h'!G22,'03.08 Karuma-Kigumba-24h'!G22,'04.08 Karuma-Kigumba'!G22)</f>
        <v>0</v>
      </c>
      <c r="H22" s="49">
        <f>AVERAGE('29.07 Karuma-Kigumba'!H22,'30.07 Karuma-Kigumba'!H22,'31.07 Karuma-Kigumba'!H22,'01.08 Karuma-Kigumba'!H22,'02.08 Karuma-Kigumba-24h'!H22,'03.08 Karuma-Kigumba-24h'!H22,'04.08 Karuma-Kigumba'!H22)</f>
        <v>0.7142857142857143</v>
      </c>
      <c r="I22" s="49">
        <f>AVERAGE('29.07 Karuma-Kigumba'!I22,'30.07 Karuma-Kigumba'!I22,'31.07 Karuma-Kigumba'!I22,'01.08 Karuma-Kigumba'!I22,'02.08 Karuma-Kigumba-24h'!I22,'03.08 Karuma-Kigumba-24h'!I22,'04.08 Karuma-Kigumba'!I22)</f>
        <v>0.5714285714285714</v>
      </c>
      <c r="J22" s="49">
        <f>AVERAGE('29.07 Karuma-Kigumba'!J22,'30.07 Karuma-Kigumba'!J22,'31.07 Karuma-Kigumba'!J22,'01.08 Karuma-Kigumba'!J22,'02.08 Karuma-Kigumba-24h'!J22,'03.08 Karuma-Kigumba-24h'!J22,'04.08 Karuma-Kigumba'!J22)</f>
        <v>0.14285714285714285</v>
      </c>
      <c r="K22" s="49">
        <f>AVERAGE('29.07 Karuma-Kigumba'!K22,'30.07 Karuma-Kigumba'!K22,'31.07 Karuma-Kigumba'!K22,'01.08 Karuma-Kigumba'!K22,'02.08 Karuma-Kigumba-24h'!K22,'03.08 Karuma-Kigumba-24h'!K22,'04.08 Karuma-Kigumba'!K22)</f>
        <v>0</v>
      </c>
      <c r="L22" s="49">
        <f>AVERAGE('29.07 Karuma-Kigumba'!L22,'30.07 Karuma-Kigumba'!L22,'31.07 Karuma-Kigumba'!L22,'01.08 Karuma-Kigumba'!L22,'02.08 Karuma-Kigumba-24h'!L22,'03.08 Karuma-Kigumba-24h'!L22,'04.08 Karuma-Kigumba'!L22)</f>
        <v>0.42857142857142855</v>
      </c>
      <c r="M22" s="49">
        <f>AVERAGE('29.07 Karuma-Kigumba'!M22,'30.07 Karuma-Kigumba'!M22,'31.07 Karuma-Kigumba'!M22,'01.08 Karuma-Kigumba'!M22,'02.08 Karuma-Kigumba-24h'!M22,'03.08 Karuma-Kigumba-24h'!M22,'04.08 Karuma-Kigumba'!M22)</f>
        <v>4.4285714285714288</v>
      </c>
      <c r="N22" s="49">
        <f>AVERAGE('29.07 Karuma-Kigumba'!N22,'30.07 Karuma-Kigumba'!N22,'31.07 Karuma-Kigumba'!N22,'01.08 Karuma-Kigumba'!N22,'02.08 Karuma-Kigumba-24h'!N22,'03.08 Karuma-Kigumba-24h'!N22,'04.08 Karuma-Kigumba'!N22)</f>
        <v>0</v>
      </c>
      <c r="O22" s="15">
        <f t="shared" si="0"/>
        <v>8.4285714285714288</v>
      </c>
      <c r="P22" s="15">
        <f t="shared" si="1"/>
        <v>12.857142857142858</v>
      </c>
      <c r="R22" s="1" t="s">
        <v>146</v>
      </c>
      <c r="S22" s="34">
        <f>SUM(C58:C61)</f>
        <v>5</v>
      </c>
      <c r="T22" s="34">
        <f t="shared" ref="T22:AF22" si="14">SUM(D58:D61)</f>
        <v>2</v>
      </c>
      <c r="U22" s="34">
        <f t="shared" si="14"/>
        <v>11</v>
      </c>
      <c r="V22" s="34">
        <f t="shared" si="14"/>
        <v>5</v>
      </c>
      <c r="W22" s="34">
        <f t="shared" si="14"/>
        <v>0</v>
      </c>
      <c r="X22" s="34">
        <f t="shared" si="14"/>
        <v>0.5</v>
      </c>
      <c r="Y22" s="34">
        <f t="shared" si="14"/>
        <v>5</v>
      </c>
      <c r="Z22" s="34">
        <f t="shared" si="14"/>
        <v>2.5</v>
      </c>
      <c r="AA22" s="34">
        <f t="shared" si="14"/>
        <v>0</v>
      </c>
      <c r="AB22" s="34">
        <f t="shared" si="14"/>
        <v>5</v>
      </c>
      <c r="AC22" s="34">
        <f t="shared" si="14"/>
        <v>10</v>
      </c>
      <c r="AD22" s="34">
        <f t="shared" si="14"/>
        <v>0</v>
      </c>
      <c r="AE22" s="31">
        <f t="shared" si="14"/>
        <v>36</v>
      </c>
      <c r="AF22" s="31">
        <f t="shared" si="14"/>
        <v>46</v>
      </c>
    </row>
    <row r="23" spans="2:32" ht="23.1" customHeight="1" x14ac:dyDescent="0.25">
      <c r="B23" s="23" t="s">
        <v>50</v>
      </c>
      <c r="C23" s="49">
        <f>AVERAGE('29.07 Karuma-Kigumba'!C23,'30.07 Karuma-Kigumba'!C23,'31.07 Karuma-Kigumba'!C23,'01.08 Karuma-Kigumba'!C23,'02.08 Karuma-Kigumba-24h'!C23,'03.08 Karuma-Kigumba-24h'!C23,'04.08 Karuma-Kigumba'!C23)</f>
        <v>1.4285714285714286</v>
      </c>
      <c r="D23" s="49">
        <f>AVERAGE('29.07 Karuma-Kigumba'!D23,'30.07 Karuma-Kigumba'!D23,'31.07 Karuma-Kigumba'!D23,'01.08 Karuma-Kigumba'!D23,'02.08 Karuma-Kigumba-24h'!D23,'03.08 Karuma-Kigumba-24h'!D23,'04.08 Karuma-Kigumba'!D23)</f>
        <v>1</v>
      </c>
      <c r="E23" s="49">
        <f>AVERAGE('29.07 Karuma-Kigumba'!E23,'30.07 Karuma-Kigumba'!E23,'31.07 Karuma-Kigumba'!E23,'01.08 Karuma-Kigumba'!E23,'02.08 Karuma-Kigumba-24h'!E23,'03.08 Karuma-Kigumba-24h'!E23,'04.08 Karuma-Kigumba'!E23)</f>
        <v>2</v>
      </c>
      <c r="F23" s="49">
        <f>AVERAGE('29.07 Karuma-Kigumba'!F23,'30.07 Karuma-Kigumba'!F23,'31.07 Karuma-Kigumba'!F23,'01.08 Karuma-Kigumba'!F23,'02.08 Karuma-Kigumba-24h'!F23,'03.08 Karuma-Kigumba-24h'!F23,'04.08 Karuma-Kigumba'!F23)</f>
        <v>2</v>
      </c>
      <c r="G23" s="49">
        <f>AVERAGE('29.07 Karuma-Kigumba'!G23,'30.07 Karuma-Kigumba'!G23,'31.07 Karuma-Kigumba'!G23,'01.08 Karuma-Kigumba'!G23,'02.08 Karuma-Kigumba-24h'!G23,'03.08 Karuma-Kigumba-24h'!G23,'04.08 Karuma-Kigumba'!G23)</f>
        <v>0.14285714285714285</v>
      </c>
      <c r="H23" s="49">
        <f>AVERAGE('29.07 Karuma-Kigumba'!H23,'30.07 Karuma-Kigumba'!H23,'31.07 Karuma-Kigumba'!H23,'01.08 Karuma-Kigumba'!H23,'02.08 Karuma-Kigumba-24h'!H23,'03.08 Karuma-Kigumba-24h'!H23,'04.08 Karuma-Kigumba'!H23)</f>
        <v>0.14285714285714285</v>
      </c>
      <c r="I23" s="49">
        <f>AVERAGE('29.07 Karuma-Kigumba'!I23,'30.07 Karuma-Kigumba'!I23,'31.07 Karuma-Kigumba'!I23,'01.08 Karuma-Kigumba'!I23,'02.08 Karuma-Kigumba-24h'!I23,'03.08 Karuma-Kigumba-24h'!I23,'04.08 Karuma-Kigumba'!I23)</f>
        <v>1</v>
      </c>
      <c r="J23" s="49">
        <f>AVERAGE('29.07 Karuma-Kigumba'!J23,'30.07 Karuma-Kigumba'!J23,'31.07 Karuma-Kigumba'!J23,'01.08 Karuma-Kigumba'!J23,'02.08 Karuma-Kigumba-24h'!J23,'03.08 Karuma-Kigumba-24h'!J23,'04.08 Karuma-Kigumba'!J23)</f>
        <v>0.14285714285714285</v>
      </c>
      <c r="K23" s="49">
        <f>AVERAGE('29.07 Karuma-Kigumba'!K23,'30.07 Karuma-Kigumba'!K23,'31.07 Karuma-Kigumba'!K23,'01.08 Karuma-Kigumba'!K23,'02.08 Karuma-Kigumba-24h'!K23,'03.08 Karuma-Kigumba-24h'!K23,'04.08 Karuma-Kigumba'!K23)</f>
        <v>0.14285714285714285</v>
      </c>
      <c r="L23" s="49">
        <f>AVERAGE('29.07 Karuma-Kigumba'!L23,'30.07 Karuma-Kigumba'!L23,'31.07 Karuma-Kigumba'!L23,'01.08 Karuma-Kigumba'!L23,'02.08 Karuma-Kigumba-24h'!L23,'03.08 Karuma-Kigumba-24h'!L23,'04.08 Karuma-Kigumba'!L23)</f>
        <v>0.7142857142857143</v>
      </c>
      <c r="M23" s="49">
        <f>AVERAGE('29.07 Karuma-Kigumba'!M23,'30.07 Karuma-Kigumba'!M23,'31.07 Karuma-Kigumba'!M23,'01.08 Karuma-Kigumba'!M23,'02.08 Karuma-Kigumba-24h'!M23,'03.08 Karuma-Kigumba-24h'!M23,'04.08 Karuma-Kigumba'!M23)</f>
        <v>3.2857142857142856</v>
      </c>
      <c r="N23" s="49">
        <f>AVERAGE('29.07 Karuma-Kigumba'!N23,'30.07 Karuma-Kigumba'!N23,'31.07 Karuma-Kigumba'!N23,'01.08 Karuma-Kigumba'!N23,'02.08 Karuma-Kigumba-24h'!N23,'03.08 Karuma-Kigumba-24h'!N23,'04.08 Karuma-Kigumba'!N23)</f>
        <v>0</v>
      </c>
      <c r="O23" s="15">
        <f t="shared" si="0"/>
        <v>8.7142857142857153</v>
      </c>
      <c r="P23" s="15">
        <f t="shared" si="1"/>
        <v>12</v>
      </c>
      <c r="R23" s="1" t="s">
        <v>147</v>
      </c>
      <c r="S23" s="34">
        <f>SUM(C62:C65)</f>
        <v>4</v>
      </c>
      <c r="T23" s="34">
        <f t="shared" ref="T23:AF23" si="15">SUM(D62:D65)</f>
        <v>3</v>
      </c>
      <c r="U23" s="34">
        <f t="shared" si="15"/>
        <v>11.5</v>
      </c>
      <c r="V23" s="34">
        <f t="shared" si="15"/>
        <v>5</v>
      </c>
      <c r="W23" s="34">
        <f t="shared" si="15"/>
        <v>0</v>
      </c>
      <c r="X23" s="34">
        <f t="shared" si="15"/>
        <v>2.5</v>
      </c>
      <c r="Y23" s="34">
        <f t="shared" si="15"/>
        <v>3.5</v>
      </c>
      <c r="Z23" s="34">
        <f t="shared" si="15"/>
        <v>1</v>
      </c>
      <c r="AA23" s="34">
        <f t="shared" si="15"/>
        <v>0</v>
      </c>
      <c r="AB23" s="34">
        <f t="shared" si="15"/>
        <v>2.5</v>
      </c>
      <c r="AC23" s="34">
        <f t="shared" si="15"/>
        <v>10</v>
      </c>
      <c r="AD23" s="34">
        <f t="shared" si="15"/>
        <v>0</v>
      </c>
      <c r="AE23" s="31">
        <f t="shared" si="15"/>
        <v>33</v>
      </c>
      <c r="AF23" s="31">
        <f t="shared" si="15"/>
        <v>43</v>
      </c>
    </row>
    <row r="24" spans="2:32" ht="23.1" customHeight="1" x14ac:dyDescent="0.25">
      <c r="B24" s="23" t="s">
        <v>51</v>
      </c>
      <c r="C24" s="49">
        <f>AVERAGE('29.07 Karuma-Kigumba'!C24,'30.07 Karuma-Kigumba'!C24,'31.07 Karuma-Kigumba'!C24,'01.08 Karuma-Kigumba'!C24,'02.08 Karuma-Kigumba-24h'!C24,'03.08 Karuma-Kigumba-24h'!C24,'04.08 Karuma-Kigumba'!C24)</f>
        <v>2</v>
      </c>
      <c r="D24" s="49">
        <f>AVERAGE('29.07 Karuma-Kigumba'!D24,'30.07 Karuma-Kigumba'!D24,'31.07 Karuma-Kigumba'!D24,'01.08 Karuma-Kigumba'!D24,'02.08 Karuma-Kigumba-24h'!D24,'03.08 Karuma-Kigumba-24h'!D24,'04.08 Karuma-Kigumba'!D24)</f>
        <v>2</v>
      </c>
      <c r="E24" s="49">
        <f>AVERAGE('29.07 Karuma-Kigumba'!E24,'30.07 Karuma-Kigumba'!E24,'31.07 Karuma-Kigumba'!E24,'01.08 Karuma-Kigumba'!E24,'02.08 Karuma-Kigumba-24h'!E24,'03.08 Karuma-Kigumba-24h'!E24,'04.08 Karuma-Kigumba'!E24)</f>
        <v>4.1428571428571432</v>
      </c>
      <c r="F24" s="49">
        <f>AVERAGE('29.07 Karuma-Kigumba'!F24,'30.07 Karuma-Kigumba'!F24,'31.07 Karuma-Kigumba'!F24,'01.08 Karuma-Kigumba'!F24,'02.08 Karuma-Kigumba-24h'!F24,'03.08 Karuma-Kigumba-24h'!F24,'04.08 Karuma-Kigumba'!F24)</f>
        <v>1.7142857142857142</v>
      </c>
      <c r="G24" s="49">
        <f>AVERAGE('29.07 Karuma-Kigumba'!G24,'30.07 Karuma-Kigumba'!G24,'31.07 Karuma-Kigumba'!G24,'01.08 Karuma-Kigumba'!G24,'02.08 Karuma-Kigumba-24h'!G24,'03.08 Karuma-Kigumba-24h'!G24,'04.08 Karuma-Kigumba'!G24)</f>
        <v>0</v>
      </c>
      <c r="H24" s="49">
        <f>AVERAGE('29.07 Karuma-Kigumba'!H24,'30.07 Karuma-Kigumba'!H24,'31.07 Karuma-Kigumba'!H24,'01.08 Karuma-Kigumba'!H24,'02.08 Karuma-Kigumba-24h'!H24,'03.08 Karuma-Kigumba-24h'!H24,'04.08 Karuma-Kigumba'!H24)</f>
        <v>0.42857142857142855</v>
      </c>
      <c r="I24" s="49">
        <f>AVERAGE('29.07 Karuma-Kigumba'!I24,'30.07 Karuma-Kigumba'!I24,'31.07 Karuma-Kigumba'!I24,'01.08 Karuma-Kigumba'!I24,'02.08 Karuma-Kigumba-24h'!I24,'03.08 Karuma-Kigumba-24h'!I24,'04.08 Karuma-Kigumba'!I24)</f>
        <v>1.1428571428571428</v>
      </c>
      <c r="J24" s="49">
        <f>AVERAGE('29.07 Karuma-Kigumba'!J24,'30.07 Karuma-Kigumba'!J24,'31.07 Karuma-Kigumba'!J24,'01.08 Karuma-Kigumba'!J24,'02.08 Karuma-Kigumba-24h'!J24,'03.08 Karuma-Kigumba-24h'!J24,'04.08 Karuma-Kigumba'!J24)</f>
        <v>0.5714285714285714</v>
      </c>
      <c r="K24" s="49">
        <f>AVERAGE('29.07 Karuma-Kigumba'!K24,'30.07 Karuma-Kigumba'!K24,'31.07 Karuma-Kigumba'!K24,'01.08 Karuma-Kigumba'!K24,'02.08 Karuma-Kigumba-24h'!K24,'03.08 Karuma-Kigumba-24h'!K24,'04.08 Karuma-Kigumba'!K24)</f>
        <v>0.14285714285714285</v>
      </c>
      <c r="L24" s="49">
        <f>AVERAGE('29.07 Karuma-Kigumba'!L24,'30.07 Karuma-Kigumba'!L24,'31.07 Karuma-Kigumba'!L24,'01.08 Karuma-Kigumba'!L24,'02.08 Karuma-Kigumba-24h'!L24,'03.08 Karuma-Kigumba-24h'!L24,'04.08 Karuma-Kigumba'!L24)</f>
        <v>0.42857142857142855</v>
      </c>
      <c r="M24" s="49">
        <f>AVERAGE('29.07 Karuma-Kigumba'!M24,'30.07 Karuma-Kigumba'!M24,'31.07 Karuma-Kigumba'!M24,'01.08 Karuma-Kigumba'!M24,'02.08 Karuma-Kigumba-24h'!M24,'03.08 Karuma-Kigumba-24h'!M24,'04.08 Karuma-Kigumba'!M24)</f>
        <v>3.8571428571428572</v>
      </c>
      <c r="N24" s="49">
        <f>AVERAGE('29.07 Karuma-Kigumba'!N24,'30.07 Karuma-Kigumba'!N24,'31.07 Karuma-Kigumba'!N24,'01.08 Karuma-Kigumba'!N24,'02.08 Karuma-Kigumba-24h'!N24,'03.08 Karuma-Kigumba-24h'!N24,'04.08 Karuma-Kigumba'!N24)</f>
        <v>0.14285714285714285</v>
      </c>
      <c r="O24" s="15">
        <f t="shared" si="0"/>
        <v>12.714285714285712</v>
      </c>
      <c r="P24" s="15">
        <f t="shared" si="1"/>
        <v>16.571428571428569</v>
      </c>
      <c r="R24" s="1" t="s">
        <v>148</v>
      </c>
      <c r="S24" s="34">
        <f>SUM(C66:C69)</f>
        <v>5.5</v>
      </c>
      <c r="T24" s="34">
        <f t="shared" ref="T24:AF24" si="16">SUM(D66:D69)</f>
        <v>3</v>
      </c>
      <c r="U24" s="34">
        <f t="shared" si="16"/>
        <v>12</v>
      </c>
      <c r="V24" s="34">
        <f t="shared" si="16"/>
        <v>5.5</v>
      </c>
      <c r="W24" s="34">
        <f t="shared" si="16"/>
        <v>0</v>
      </c>
      <c r="X24" s="34">
        <f t="shared" si="16"/>
        <v>6.5</v>
      </c>
      <c r="Y24" s="34">
        <f t="shared" si="16"/>
        <v>5</v>
      </c>
      <c r="Z24" s="34">
        <f t="shared" si="16"/>
        <v>1</v>
      </c>
      <c r="AA24" s="34">
        <f t="shared" si="16"/>
        <v>0</v>
      </c>
      <c r="AB24" s="34">
        <f t="shared" si="16"/>
        <v>5.5</v>
      </c>
      <c r="AC24" s="34">
        <f t="shared" si="16"/>
        <v>10.5</v>
      </c>
      <c r="AD24" s="34">
        <f t="shared" si="16"/>
        <v>0</v>
      </c>
      <c r="AE24" s="31">
        <f t="shared" si="16"/>
        <v>44</v>
      </c>
      <c r="AF24" s="31">
        <f t="shared" si="16"/>
        <v>54.5</v>
      </c>
    </row>
    <row r="25" spans="2:32" ht="23.1" customHeight="1" x14ac:dyDescent="0.25">
      <c r="B25" s="23" t="s">
        <v>52</v>
      </c>
      <c r="C25" s="49">
        <f>AVERAGE('29.07 Karuma-Kigumba'!C25,'30.07 Karuma-Kigumba'!C25,'31.07 Karuma-Kigumba'!C25,'01.08 Karuma-Kigumba'!C25,'02.08 Karuma-Kigumba-24h'!C25,'03.08 Karuma-Kigumba-24h'!C25,'04.08 Karuma-Kigumba'!C25)</f>
        <v>2.4285714285714284</v>
      </c>
      <c r="D25" s="49">
        <f>AVERAGE('29.07 Karuma-Kigumba'!D25,'30.07 Karuma-Kigumba'!D25,'31.07 Karuma-Kigumba'!D25,'01.08 Karuma-Kigumba'!D25,'02.08 Karuma-Kigumba-24h'!D25,'03.08 Karuma-Kigumba-24h'!D25,'04.08 Karuma-Kigumba'!D25)</f>
        <v>1.5714285714285714</v>
      </c>
      <c r="E25" s="49">
        <f>AVERAGE('29.07 Karuma-Kigumba'!E25,'30.07 Karuma-Kigumba'!E25,'31.07 Karuma-Kigumba'!E25,'01.08 Karuma-Kigumba'!E25,'02.08 Karuma-Kigumba-24h'!E25,'03.08 Karuma-Kigumba-24h'!E25,'04.08 Karuma-Kigumba'!E25)</f>
        <v>3.1428571428571428</v>
      </c>
      <c r="F25" s="49">
        <f>AVERAGE('29.07 Karuma-Kigumba'!F25,'30.07 Karuma-Kigumba'!F25,'31.07 Karuma-Kigumba'!F25,'01.08 Karuma-Kigumba'!F25,'02.08 Karuma-Kigumba-24h'!F25,'03.08 Karuma-Kigumba-24h'!F25,'04.08 Karuma-Kigumba'!F25)</f>
        <v>2.4285714285714284</v>
      </c>
      <c r="G25" s="49">
        <f>AVERAGE('29.07 Karuma-Kigumba'!G25,'30.07 Karuma-Kigumba'!G25,'31.07 Karuma-Kigumba'!G25,'01.08 Karuma-Kigumba'!G25,'02.08 Karuma-Kigumba-24h'!G25,'03.08 Karuma-Kigumba-24h'!G25,'04.08 Karuma-Kigumba'!G25)</f>
        <v>0.14285714285714285</v>
      </c>
      <c r="H25" s="49">
        <f>AVERAGE('29.07 Karuma-Kigumba'!H25,'30.07 Karuma-Kigumba'!H25,'31.07 Karuma-Kigumba'!H25,'01.08 Karuma-Kigumba'!H25,'02.08 Karuma-Kigumba-24h'!H25,'03.08 Karuma-Kigumba-24h'!H25,'04.08 Karuma-Kigumba'!H25)</f>
        <v>0.7142857142857143</v>
      </c>
      <c r="I25" s="49">
        <f>AVERAGE('29.07 Karuma-Kigumba'!I25,'30.07 Karuma-Kigumba'!I25,'31.07 Karuma-Kigumba'!I25,'01.08 Karuma-Kigumba'!I25,'02.08 Karuma-Kigumba-24h'!I25,'03.08 Karuma-Kigumba-24h'!I25,'04.08 Karuma-Kigumba'!I25)</f>
        <v>1</v>
      </c>
      <c r="J25" s="49">
        <f>AVERAGE('29.07 Karuma-Kigumba'!J25,'30.07 Karuma-Kigumba'!J25,'31.07 Karuma-Kigumba'!J25,'01.08 Karuma-Kigumba'!J25,'02.08 Karuma-Kigumba-24h'!J25,'03.08 Karuma-Kigumba-24h'!J25,'04.08 Karuma-Kigumba'!J25)</f>
        <v>0.14285714285714285</v>
      </c>
      <c r="K25" s="49">
        <f>AVERAGE('29.07 Karuma-Kigumba'!K25,'30.07 Karuma-Kigumba'!K25,'31.07 Karuma-Kigumba'!K25,'01.08 Karuma-Kigumba'!K25,'02.08 Karuma-Kigumba-24h'!K25,'03.08 Karuma-Kigumba-24h'!K25,'04.08 Karuma-Kigumba'!K25)</f>
        <v>0</v>
      </c>
      <c r="L25" s="49">
        <f>AVERAGE('29.07 Karuma-Kigumba'!L25,'30.07 Karuma-Kigumba'!L25,'31.07 Karuma-Kigumba'!L25,'01.08 Karuma-Kigumba'!L25,'02.08 Karuma-Kigumba-24h'!L25,'03.08 Karuma-Kigumba-24h'!L25,'04.08 Karuma-Kigumba'!L25)</f>
        <v>0.7142857142857143</v>
      </c>
      <c r="M25" s="49">
        <f>AVERAGE('29.07 Karuma-Kigumba'!M25,'30.07 Karuma-Kigumba'!M25,'31.07 Karuma-Kigumba'!M25,'01.08 Karuma-Kigumba'!M25,'02.08 Karuma-Kigumba-24h'!M25,'03.08 Karuma-Kigumba-24h'!M25,'04.08 Karuma-Kigumba'!M25)</f>
        <v>3.2857142857142856</v>
      </c>
      <c r="N25" s="49">
        <f>AVERAGE('29.07 Karuma-Kigumba'!N25,'30.07 Karuma-Kigumba'!N25,'31.07 Karuma-Kigumba'!N25,'01.08 Karuma-Kigumba'!N25,'02.08 Karuma-Kigumba-24h'!N25,'03.08 Karuma-Kigumba-24h'!N25,'04.08 Karuma-Kigumba'!N25)</f>
        <v>0</v>
      </c>
      <c r="O25" s="15">
        <f t="shared" si="0"/>
        <v>12.285714285714283</v>
      </c>
      <c r="P25" s="15">
        <f t="shared" si="1"/>
        <v>15.571428571428569</v>
      </c>
      <c r="R25" s="1" t="s">
        <v>149</v>
      </c>
      <c r="S25" s="34">
        <f>SUM(C70:C73)</f>
        <v>6</v>
      </c>
      <c r="T25" s="34">
        <f t="shared" ref="T25:AF25" si="17">SUM(D70:D73)</f>
        <v>4.5</v>
      </c>
      <c r="U25" s="34">
        <f t="shared" si="17"/>
        <v>12</v>
      </c>
      <c r="V25" s="34">
        <f t="shared" si="17"/>
        <v>6</v>
      </c>
      <c r="W25" s="34">
        <f t="shared" si="17"/>
        <v>0</v>
      </c>
      <c r="X25" s="34">
        <f t="shared" si="17"/>
        <v>1</v>
      </c>
      <c r="Y25" s="34">
        <f t="shared" si="17"/>
        <v>4</v>
      </c>
      <c r="Z25" s="34">
        <f t="shared" si="17"/>
        <v>1.5</v>
      </c>
      <c r="AA25" s="34">
        <f t="shared" si="17"/>
        <v>0</v>
      </c>
      <c r="AB25" s="34">
        <f t="shared" si="17"/>
        <v>3.5</v>
      </c>
      <c r="AC25" s="34">
        <f t="shared" si="17"/>
        <v>7</v>
      </c>
      <c r="AD25" s="34">
        <f t="shared" si="17"/>
        <v>0</v>
      </c>
      <c r="AE25" s="31">
        <f t="shared" si="17"/>
        <v>38.5</v>
      </c>
      <c r="AF25" s="31">
        <f t="shared" si="17"/>
        <v>45.5</v>
      </c>
    </row>
    <row r="26" spans="2:32" ht="23.1" customHeight="1" x14ac:dyDescent="0.25">
      <c r="B26" s="23" t="s">
        <v>53</v>
      </c>
      <c r="C26" s="49">
        <f>AVERAGE('29.07 Karuma-Kigumba'!C26,'30.07 Karuma-Kigumba'!C26,'31.07 Karuma-Kigumba'!C26,'01.08 Karuma-Kigumba'!C26,'02.08 Karuma-Kigumba-24h'!C26,'03.08 Karuma-Kigumba-24h'!C26,'04.08 Karuma-Kigumba'!C26)</f>
        <v>1.1428571428571428</v>
      </c>
      <c r="D26" s="49">
        <f>AVERAGE('29.07 Karuma-Kigumba'!D26,'30.07 Karuma-Kigumba'!D26,'31.07 Karuma-Kigumba'!D26,'01.08 Karuma-Kigumba'!D26,'02.08 Karuma-Kigumba-24h'!D26,'03.08 Karuma-Kigumba-24h'!D26,'04.08 Karuma-Kigumba'!D26)</f>
        <v>1.7142857142857142</v>
      </c>
      <c r="E26" s="49">
        <f>AVERAGE('29.07 Karuma-Kigumba'!E26,'30.07 Karuma-Kigumba'!E26,'31.07 Karuma-Kigumba'!E26,'01.08 Karuma-Kigumba'!E26,'02.08 Karuma-Kigumba-24h'!E26,'03.08 Karuma-Kigumba-24h'!E26,'04.08 Karuma-Kigumba'!E26)</f>
        <v>4.1428571428571432</v>
      </c>
      <c r="F26" s="49">
        <f>AVERAGE('29.07 Karuma-Kigumba'!F26,'30.07 Karuma-Kigumba'!F26,'31.07 Karuma-Kigumba'!F26,'01.08 Karuma-Kigumba'!F26,'02.08 Karuma-Kigumba-24h'!F26,'03.08 Karuma-Kigumba-24h'!F26,'04.08 Karuma-Kigumba'!F26)</f>
        <v>1.1428571428571428</v>
      </c>
      <c r="G26" s="49">
        <f>AVERAGE('29.07 Karuma-Kigumba'!G26,'30.07 Karuma-Kigumba'!G26,'31.07 Karuma-Kigumba'!G26,'01.08 Karuma-Kigumba'!G26,'02.08 Karuma-Kigumba-24h'!G26,'03.08 Karuma-Kigumba-24h'!G26,'04.08 Karuma-Kigumba'!G26)</f>
        <v>0</v>
      </c>
      <c r="H26" s="49">
        <f>AVERAGE('29.07 Karuma-Kigumba'!H26,'30.07 Karuma-Kigumba'!H26,'31.07 Karuma-Kigumba'!H26,'01.08 Karuma-Kigumba'!H26,'02.08 Karuma-Kigumba-24h'!H26,'03.08 Karuma-Kigumba-24h'!H26,'04.08 Karuma-Kigumba'!H26)</f>
        <v>1.4285714285714286</v>
      </c>
      <c r="I26" s="49">
        <f>AVERAGE('29.07 Karuma-Kigumba'!I26,'30.07 Karuma-Kigumba'!I26,'31.07 Karuma-Kigumba'!I26,'01.08 Karuma-Kigumba'!I26,'02.08 Karuma-Kigumba-24h'!I26,'03.08 Karuma-Kigumba-24h'!I26,'04.08 Karuma-Kigumba'!I26)</f>
        <v>1</v>
      </c>
      <c r="J26" s="49">
        <f>AVERAGE('29.07 Karuma-Kigumba'!J26,'30.07 Karuma-Kigumba'!J26,'31.07 Karuma-Kigumba'!J26,'01.08 Karuma-Kigumba'!J26,'02.08 Karuma-Kigumba-24h'!J26,'03.08 Karuma-Kigumba-24h'!J26,'04.08 Karuma-Kigumba'!J26)</f>
        <v>0.14285714285714285</v>
      </c>
      <c r="K26" s="49">
        <f>AVERAGE('29.07 Karuma-Kigumba'!K26,'30.07 Karuma-Kigumba'!K26,'31.07 Karuma-Kigumba'!K26,'01.08 Karuma-Kigumba'!K26,'02.08 Karuma-Kigumba-24h'!K26,'03.08 Karuma-Kigumba-24h'!K26,'04.08 Karuma-Kigumba'!K26)</f>
        <v>0</v>
      </c>
      <c r="L26" s="49">
        <f>AVERAGE('29.07 Karuma-Kigumba'!L26,'30.07 Karuma-Kigumba'!L26,'31.07 Karuma-Kigumba'!L26,'01.08 Karuma-Kigumba'!L26,'02.08 Karuma-Kigumba-24h'!L26,'03.08 Karuma-Kigumba-24h'!L26,'04.08 Karuma-Kigumba'!L26)</f>
        <v>1</v>
      </c>
      <c r="M26" s="49">
        <f>AVERAGE('29.07 Karuma-Kigumba'!M26,'30.07 Karuma-Kigumba'!M26,'31.07 Karuma-Kigumba'!M26,'01.08 Karuma-Kigumba'!M26,'02.08 Karuma-Kigumba-24h'!M26,'03.08 Karuma-Kigumba-24h'!M26,'04.08 Karuma-Kigumba'!M26)</f>
        <v>4.8571428571428568</v>
      </c>
      <c r="N26" s="49">
        <f>AVERAGE('29.07 Karuma-Kigumba'!N26,'30.07 Karuma-Kigumba'!N26,'31.07 Karuma-Kigumba'!N26,'01.08 Karuma-Kigumba'!N26,'02.08 Karuma-Kigumba-24h'!N26,'03.08 Karuma-Kigumba-24h'!N26,'04.08 Karuma-Kigumba'!N26)</f>
        <v>0.14285714285714285</v>
      </c>
      <c r="O26" s="15">
        <f t="shared" si="0"/>
        <v>11.857142857142856</v>
      </c>
      <c r="P26" s="15">
        <f t="shared" si="1"/>
        <v>16.714285714285712</v>
      </c>
      <c r="R26" s="1" t="s">
        <v>150</v>
      </c>
      <c r="S26" s="34">
        <f>SUM(C74:C77)</f>
        <v>4</v>
      </c>
      <c r="T26" s="34">
        <f t="shared" ref="T26:AF26" si="18">SUM(D74:D77)</f>
        <v>3.5</v>
      </c>
      <c r="U26" s="34">
        <f t="shared" si="18"/>
        <v>10</v>
      </c>
      <c r="V26" s="34">
        <f t="shared" si="18"/>
        <v>2.5</v>
      </c>
      <c r="W26" s="34">
        <f t="shared" si="18"/>
        <v>0</v>
      </c>
      <c r="X26" s="34">
        <f t="shared" si="18"/>
        <v>7</v>
      </c>
      <c r="Y26" s="34">
        <f t="shared" si="18"/>
        <v>3</v>
      </c>
      <c r="Z26" s="34">
        <f t="shared" si="18"/>
        <v>1</v>
      </c>
      <c r="AA26" s="34">
        <f t="shared" si="18"/>
        <v>0</v>
      </c>
      <c r="AB26" s="34">
        <f t="shared" si="18"/>
        <v>2.5</v>
      </c>
      <c r="AC26" s="34">
        <f t="shared" si="18"/>
        <v>3.5</v>
      </c>
      <c r="AD26" s="34">
        <f t="shared" si="18"/>
        <v>0</v>
      </c>
      <c r="AE26" s="31">
        <f t="shared" si="18"/>
        <v>33.5</v>
      </c>
      <c r="AF26" s="31">
        <f t="shared" si="18"/>
        <v>37</v>
      </c>
    </row>
    <row r="27" spans="2:32" ht="23.1" customHeight="1" x14ac:dyDescent="0.25">
      <c r="B27" s="23" t="s">
        <v>54</v>
      </c>
      <c r="C27" s="49">
        <f>AVERAGE('29.07 Karuma-Kigumba'!C27,'30.07 Karuma-Kigumba'!C27,'31.07 Karuma-Kigumba'!C27,'01.08 Karuma-Kigumba'!C27,'02.08 Karuma-Kigumba-24h'!C27,'03.08 Karuma-Kigumba-24h'!C27,'04.08 Karuma-Kigumba'!C27)</f>
        <v>1.4285714285714286</v>
      </c>
      <c r="D27" s="49">
        <f>AVERAGE('29.07 Karuma-Kigumba'!D27,'30.07 Karuma-Kigumba'!D27,'31.07 Karuma-Kigumba'!D27,'01.08 Karuma-Kigumba'!D27,'02.08 Karuma-Kigumba-24h'!D27,'03.08 Karuma-Kigumba-24h'!D27,'04.08 Karuma-Kigumba'!D27)</f>
        <v>1.4285714285714286</v>
      </c>
      <c r="E27" s="49">
        <f>AVERAGE('29.07 Karuma-Kigumba'!E27,'30.07 Karuma-Kigumba'!E27,'31.07 Karuma-Kigumba'!E27,'01.08 Karuma-Kigumba'!E27,'02.08 Karuma-Kigumba-24h'!E27,'03.08 Karuma-Kigumba-24h'!E27,'04.08 Karuma-Kigumba'!E27)</f>
        <v>3.2857142857142856</v>
      </c>
      <c r="F27" s="49">
        <f>AVERAGE('29.07 Karuma-Kigumba'!F27,'30.07 Karuma-Kigumba'!F27,'31.07 Karuma-Kigumba'!F27,'01.08 Karuma-Kigumba'!F27,'02.08 Karuma-Kigumba-24h'!F27,'03.08 Karuma-Kigumba-24h'!F27,'04.08 Karuma-Kigumba'!F27)</f>
        <v>1</v>
      </c>
      <c r="G27" s="49">
        <f>AVERAGE('29.07 Karuma-Kigumba'!G27,'30.07 Karuma-Kigumba'!G27,'31.07 Karuma-Kigumba'!G27,'01.08 Karuma-Kigumba'!G27,'02.08 Karuma-Kigumba-24h'!G27,'03.08 Karuma-Kigumba-24h'!G27,'04.08 Karuma-Kigumba'!G27)</f>
        <v>0.14285714285714285</v>
      </c>
      <c r="H27" s="49">
        <f>AVERAGE('29.07 Karuma-Kigumba'!H27,'30.07 Karuma-Kigumba'!H27,'31.07 Karuma-Kigumba'!H27,'01.08 Karuma-Kigumba'!H27,'02.08 Karuma-Kigumba-24h'!H27,'03.08 Karuma-Kigumba-24h'!H27,'04.08 Karuma-Kigumba'!H27)</f>
        <v>1</v>
      </c>
      <c r="I27" s="49">
        <f>AVERAGE('29.07 Karuma-Kigumba'!I27,'30.07 Karuma-Kigumba'!I27,'31.07 Karuma-Kigumba'!I27,'01.08 Karuma-Kigumba'!I27,'02.08 Karuma-Kigumba-24h'!I27,'03.08 Karuma-Kigumba-24h'!I27,'04.08 Karuma-Kigumba'!I27)</f>
        <v>1.1428571428571428</v>
      </c>
      <c r="J27" s="49">
        <f>AVERAGE('29.07 Karuma-Kigumba'!J27,'30.07 Karuma-Kigumba'!J27,'31.07 Karuma-Kigumba'!J27,'01.08 Karuma-Kigumba'!J27,'02.08 Karuma-Kigumba-24h'!J27,'03.08 Karuma-Kigumba-24h'!J27,'04.08 Karuma-Kigumba'!J27)</f>
        <v>0</v>
      </c>
      <c r="K27" s="49">
        <f>AVERAGE('29.07 Karuma-Kigumba'!K27,'30.07 Karuma-Kigumba'!K27,'31.07 Karuma-Kigumba'!K27,'01.08 Karuma-Kigumba'!K27,'02.08 Karuma-Kigumba-24h'!K27,'03.08 Karuma-Kigumba-24h'!K27,'04.08 Karuma-Kigumba'!K27)</f>
        <v>0.14285714285714285</v>
      </c>
      <c r="L27" s="49">
        <f>AVERAGE('29.07 Karuma-Kigumba'!L27,'30.07 Karuma-Kigumba'!L27,'31.07 Karuma-Kigumba'!L27,'01.08 Karuma-Kigumba'!L27,'02.08 Karuma-Kigumba-24h'!L27,'03.08 Karuma-Kigumba-24h'!L27,'04.08 Karuma-Kigumba'!L27)</f>
        <v>0.8571428571428571</v>
      </c>
      <c r="M27" s="49">
        <f>AVERAGE('29.07 Karuma-Kigumba'!M27,'30.07 Karuma-Kigumba'!M27,'31.07 Karuma-Kigumba'!M27,'01.08 Karuma-Kigumba'!M27,'02.08 Karuma-Kigumba-24h'!M27,'03.08 Karuma-Kigumba-24h'!M27,'04.08 Karuma-Kigumba'!M27)</f>
        <v>3.5714285714285716</v>
      </c>
      <c r="N27" s="49">
        <f>AVERAGE('29.07 Karuma-Kigumba'!N27,'30.07 Karuma-Kigumba'!N27,'31.07 Karuma-Kigumba'!N27,'01.08 Karuma-Kigumba'!N27,'02.08 Karuma-Kigumba-24h'!N27,'03.08 Karuma-Kigumba-24h'!N27,'04.08 Karuma-Kigumba'!N27)</f>
        <v>0.14285714285714285</v>
      </c>
      <c r="O27" s="15">
        <f t="shared" si="0"/>
        <v>10.571428571428569</v>
      </c>
      <c r="P27" s="15">
        <f t="shared" si="1"/>
        <v>14.142857142857141</v>
      </c>
      <c r="R27" s="1" t="s">
        <v>151</v>
      </c>
      <c r="S27" s="34">
        <f>SUM(C78:C81)</f>
        <v>4</v>
      </c>
      <c r="T27" s="34">
        <f t="shared" ref="T27:AF27" si="19">SUM(D78:D81)</f>
        <v>4</v>
      </c>
      <c r="U27" s="34">
        <f t="shared" si="19"/>
        <v>10.5</v>
      </c>
      <c r="V27" s="34">
        <f t="shared" si="19"/>
        <v>4</v>
      </c>
      <c r="W27" s="34">
        <f t="shared" si="19"/>
        <v>0</v>
      </c>
      <c r="X27" s="34">
        <f t="shared" si="19"/>
        <v>5.5</v>
      </c>
      <c r="Y27" s="34">
        <f t="shared" si="19"/>
        <v>4.5</v>
      </c>
      <c r="Z27" s="34">
        <f t="shared" si="19"/>
        <v>0</v>
      </c>
      <c r="AA27" s="34">
        <f t="shared" si="19"/>
        <v>0</v>
      </c>
      <c r="AB27" s="34">
        <f t="shared" si="19"/>
        <v>3.5</v>
      </c>
      <c r="AC27" s="34">
        <f t="shared" si="19"/>
        <v>3.5</v>
      </c>
      <c r="AD27" s="34">
        <f t="shared" si="19"/>
        <v>0</v>
      </c>
      <c r="AE27" s="31">
        <f t="shared" si="19"/>
        <v>36</v>
      </c>
      <c r="AF27" s="31">
        <f t="shared" si="19"/>
        <v>39.5</v>
      </c>
    </row>
    <row r="28" spans="2:32" ht="23.1" customHeight="1" x14ac:dyDescent="0.25">
      <c r="B28" s="23" t="s">
        <v>55</v>
      </c>
      <c r="C28" s="49">
        <f>AVERAGE('29.07 Karuma-Kigumba'!C28,'30.07 Karuma-Kigumba'!C28,'31.07 Karuma-Kigumba'!C28,'01.08 Karuma-Kigumba'!C28,'02.08 Karuma-Kigumba-24h'!C28,'03.08 Karuma-Kigumba-24h'!C28,'04.08 Karuma-Kigumba'!C28)</f>
        <v>1.7142857142857142</v>
      </c>
      <c r="D28" s="49">
        <f>AVERAGE('29.07 Karuma-Kigumba'!D28,'30.07 Karuma-Kigumba'!D28,'31.07 Karuma-Kigumba'!D28,'01.08 Karuma-Kigumba'!D28,'02.08 Karuma-Kigumba-24h'!D28,'03.08 Karuma-Kigumba-24h'!D28,'04.08 Karuma-Kigumba'!D28)</f>
        <v>1.8571428571428572</v>
      </c>
      <c r="E28" s="49">
        <f>AVERAGE('29.07 Karuma-Kigumba'!E28,'30.07 Karuma-Kigumba'!E28,'31.07 Karuma-Kigumba'!E28,'01.08 Karuma-Kigumba'!E28,'02.08 Karuma-Kigumba-24h'!E28,'03.08 Karuma-Kigumba-24h'!E28,'04.08 Karuma-Kigumba'!E28)</f>
        <v>4</v>
      </c>
      <c r="F28" s="49">
        <f>AVERAGE('29.07 Karuma-Kigumba'!F28,'30.07 Karuma-Kigumba'!F28,'31.07 Karuma-Kigumba'!F28,'01.08 Karuma-Kigumba'!F28,'02.08 Karuma-Kigumba-24h'!F28,'03.08 Karuma-Kigumba-24h'!F28,'04.08 Karuma-Kigumba'!F28)</f>
        <v>0.8571428571428571</v>
      </c>
      <c r="G28" s="49">
        <f>AVERAGE('29.07 Karuma-Kigumba'!G28,'30.07 Karuma-Kigumba'!G28,'31.07 Karuma-Kigumba'!G28,'01.08 Karuma-Kigumba'!G28,'02.08 Karuma-Kigumba-24h'!G28,'03.08 Karuma-Kigumba-24h'!G28,'04.08 Karuma-Kigumba'!G28)</f>
        <v>0.14285714285714285</v>
      </c>
      <c r="H28" s="49">
        <f>AVERAGE('29.07 Karuma-Kigumba'!H28,'30.07 Karuma-Kigumba'!H28,'31.07 Karuma-Kigumba'!H28,'01.08 Karuma-Kigumba'!H28,'02.08 Karuma-Kigumba-24h'!H28,'03.08 Karuma-Kigumba-24h'!H28,'04.08 Karuma-Kigumba'!H28)</f>
        <v>1.1428571428571428</v>
      </c>
      <c r="I28" s="49">
        <f>AVERAGE('29.07 Karuma-Kigumba'!I28,'30.07 Karuma-Kigumba'!I28,'31.07 Karuma-Kigumba'!I28,'01.08 Karuma-Kigumba'!I28,'02.08 Karuma-Kigumba-24h'!I28,'03.08 Karuma-Kigumba-24h'!I28,'04.08 Karuma-Kigumba'!I28)</f>
        <v>1.2857142857142858</v>
      </c>
      <c r="J28" s="49">
        <f>AVERAGE('29.07 Karuma-Kigumba'!J28,'30.07 Karuma-Kigumba'!J28,'31.07 Karuma-Kigumba'!J28,'01.08 Karuma-Kigumba'!J28,'02.08 Karuma-Kigumba-24h'!J28,'03.08 Karuma-Kigumba-24h'!J28,'04.08 Karuma-Kigumba'!J28)</f>
        <v>0.5714285714285714</v>
      </c>
      <c r="K28" s="49">
        <f>AVERAGE('29.07 Karuma-Kigumba'!K28,'30.07 Karuma-Kigumba'!K28,'31.07 Karuma-Kigumba'!K28,'01.08 Karuma-Kigumba'!K28,'02.08 Karuma-Kigumba-24h'!K28,'03.08 Karuma-Kigumba-24h'!K28,'04.08 Karuma-Kigumba'!K28)</f>
        <v>0</v>
      </c>
      <c r="L28" s="49">
        <f>AVERAGE('29.07 Karuma-Kigumba'!L28,'30.07 Karuma-Kigumba'!L28,'31.07 Karuma-Kigumba'!L28,'01.08 Karuma-Kigumba'!L28,'02.08 Karuma-Kigumba-24h'!L28,'03.08 Karuma-Kigumba-24h'!L28,'04.08 Karuma-Kigumba'!L28)</f>
        <v>0.8571428571428571</v>
      </c>
      <c r="M28" s="49">
        <f>AVERAGE('29.07 Karuma-Kigumba'!M28,'30.07 Karuma-Kigumba'!M28,'31.07 Karuma-Kigumba'!M28,'01.08 Karuma-Kigumba'!M28,'02.08 Karuma-Kigumba-24h'!M28,'03.08 Karuma-Kigumba-24h'!M28,'04.08 Karuma-Kigumba'!M28)</f>
        <v>2.4285714285714284</v>
      </c>
      <c r="N28" s="49">
        <f>AVERAGE('29.07 Karuma-Kigumba'!N28,'30.07 Karuma-Kigumba'!N28,'31.07 Karuma-Kigumba'!N28,'01.08 Karuma-Kigumba'!N28,'02.08 Karuma-Kigumba-24h'!N28,'03.08 Karuma-Kigumba-24h'!N28,'04.08 Karuma-Kigumba'!N28)</f>
        <v>0</v>
      </c>
      <c r="O28" s="15">
        <f t="shared" si="0"/>
        <v>12.428571428571429</v>
      </c>
      <c r="P28" s="15">
        <f t="shared" si="1"/>
        <v>14.857142857142858</v>
      </c>
      <c r="R28" s="1" t="s">
        <v>152</v>
      </c>
      <c r="S28" s="34">
        <f>SUM(C82:C85)</f>
        <v>5</v>
      </c>
      <c r="T28" s="34">
        <f t="shared" ref="T28:AF28" si="20">SUM(D82:D85)</f>
        <v>3</v>
      </c>
      <c r="U28" s="34">
        <f t="shared" si="20"/>
        <v>10</v>
      </c>
      <c r="V28" s="34">
        <f t="shared" si="20"/>
        <v>3.5</v>
      </c>
      <c r="W28" s="34">
        <f t="shared" si="20"/>
        <v>0</v>
      </c>
      <c r="X28" s="34">
        <f t="shared" si="20"/>
        <v>2</v>
      </c>
      <c r="Y28" s="34">
        <f t="shared" si="20"/>
        <v>5</v>
      </c>
      <c r="Z28" s="34">
        <f t="shared" si="20"/>
        <v>0</v>
      </c>
      <c r="AA28" s="34">
        <f t="shared" si="20"/>
        <v>0.5</v>
      </c>
      <c r="AB28" s="34">
        <f t="shared" si="20"/>
        <v>2</v>
      </c>
      <c r="AC28" s="34">
        <f t="shared" si="20"/>
        <v>3</v>
      </c>
      <c r="AD28" s="34">
        <f t="shared" si="20"/>
        <v>0</v>
      </c>
      <c r="AE28" s="31">
        <f t="shared" si="20"/>
        <v>31</v>
      </c>
      <c r="AF28" s="31">
        <f t="shared" si="20"/>
        <v>34</v>
      </c>
    </row>
    <row r="29" spans="2:32" ht="23.1" customHeight="1" x14ac:dyDescent="0.25">
      <c r="B29" s="23" t="s">
        <v>56</v>
      </c>
      <c r="C29" s="49">
        <f>AVERAGE('29.07 Karuma-Kigumba'!C29,'30.07 Karuma-Kigumba'!C29,'31.07 Karuma-Kigumba'!C29,'01.08 Karuma-Kigumba'!C29,'02.08 Karuma-Kigumba-24h'!C29,'03.08 Karuma-Kigumba-24h'!C29,'04.08 Karuma-Kigumba'!C29)</f>
        <v>2</v>
      </c>
      <c r="D29" s="49">
        <f>AVERAGE('29.07 Karuma-Kigumba'!D29,'30.07 Karuma-Kigumba'!D29,'31.07 Karuma-Kigumba'!D29,'01.08 Karuma-Kigumba'!D29,'02.08 Karuma-Kigumba-24h'!D29,'03.08 Karuma-Kigumba-24h'!D29,'04.08 Karuma-Kigumba'!D29)</f>
        <v>1.2857142857142858</v>
      </c>
      <c r="E29" s="49">
        <f>AVERAGE('29.07 Karuma-Kigumba'!E29,'30.07 Karuma-Kigumba'!E29,'31.07 Karuma-Kigumba'!E29,'01.08 Karuma-Kigumba'!E29,'02.08 Karuma-Kigumba-24h'!E29,'03.08 Karuma-Kigumba-24h'!E29,'04.08 Karuma-Kigumba'!E29)</f>
        <v>3.1428571428571428</v>
      </c>
      <c r="F29" s="49">
        <f>AVERAGE('29.07 Karuma-Kigumba'!F29,'30.07 Karuma-Kigumba'!F29,'31.07 Karuma-Kigumba'!F29,'01.08 Karuma-Kigumba'!F29,'02.08 Karuma-Kigumba-24h'!F29,'03.08 Karuma-Kigumba-24h'!F29,'04.08 Karuma-Kigumba'!F29)</f>
        <v>0.8571428571428571</v>
      </c>
      <c r="G29" s="49">
        <f>AVERAGE('29.07 Karuma-Kigumba'!G29,'30.07 Karuma-Kigumba'!G29,'31.07 Karuma-Kigumba'!G29,'01.08 Karuma-Kigumba'!G29,'02.08 Karuma-Kigumba-24h'!G29,'03.08 Karuma-Kigumba-24h'!G29,'04.08 Karuma-Kigumba'!G29)</f>
        <v>0</v>
      </c>
      <c r="H29" s="49">
        <f>AVERAGE('29.07 Karuma-Kigumba'!H29,'30.07 Karuma-Kigumba'!H29,'31.07 Karuma-Kigumba'!H29,'01.08 Karuma-Kigumba'!H29,'02.08 Karuma-Kigumba-24h'!H29,'03.08 Karuma-Kigumba-24h'!H29,'04.08 Karuma-Kigumba'!H29)</f>
        <v>1.4285714285714286</v>
      </c>
      <c r="I29" s="49">
        <f>AVERAGE('29.07 Karuma-Kigumba'!I29,'30.07 Karuma-Kigumba'!I29,'31.07 Karuma-Kigumba'!I29,'01.08 Karuma-Kigumba'!I29,'02.08 Karuma-Kigumba-24h'!I29,'03.08 Karuma-Kigumba-24h'!I29,'04.08 Karuma-Kigumba'!I29)</f>
        <v>2.1428571428571428</v>
      </c>
      <c r="J29" s="49">
        <f>AVERAGE('29.07 Karuma-Kigumba'!J29,'30.07 Karuma-Kigumba'!J29,'31.07 Karuma-Kigumba'!J29,'01.08 Karuma-Kigumba'!J29,'02.08 Karuma-Kigumba-24h'!J29,'03.08 Karuma-Kigumba-24h'!J29,'04.08 Karuma-Kigumba'!J29)</f>
        <v>0.5714285714285714</v>
      </c>
      <c r="K29" s="49">
        <f>AVERAGE('29.07 Karuma-Kigumba'!K29,'30.07 Karuma-Kigumba'!K29,'31.07 Karuma-Kigumba'!K29,'01.08 Karuma-Kigumba'!K29,'02.08 Karuma-Kigumba-24h'!K29,'03.08 Karuma-Kigumba-24h'!K29,'04.08 Karuma-Kigumba'!K29)</f>
        <v>0</v>
      </c>
      <c r="L29" s="49">
        <f>AVERAGE('29.07 Karuma-Kigumba'!L29,'30.07 Karuma-Kigumba'!L29,'31.07 Karuma-Kigumba'!L29,'01.08 Karuma-Kigumba'!L29,'02.08 Karuma-Kigumba-24h'!L29,'03.08 Karuma-Kigumba-24h'!L29,'04.08 Karuma-Kigumba'!L29)</f>
        <v>0.7142857142857143</v>
      </c>
      <c r="M29" s="49">
        <f>AVERAGE('29.07 Karuma-Kigumba'!M29,'30.07 Karuma-Kigumba'!M29,'31.07 Karuma-Kigumba'!M29,'01.08 Karuma-Kigumba'!M29,'02.08 Karuma-Kigumba-24h'!M29,'03.08 Karuma-Kigumba-24h'!M29,'04.08 Karuma-Kigumba'!M29)</f>
        <v>2.2857142857142856</v>
      </c>
      <c r="N29" s="49">
        <f>AVERAGE('29.07 Karuma-Kigumba'!N29,'30.07 Karuma-Kigumba'!N29,'31.07 Karuma-Kigumba'!N29,'01.08 Karuma-Kigumba'!N29,'02.08 Karuma-Kigumba-24h'!N29,'03.08 Karuma-Kigumba-24h'!N29,'04.08 Karuma-Kigumba'!N29)</f>
        <v>0</v>
      </c>
      <c r="O29" s="15">
        <f t="shared" si="0"/>
        <v>12.142857142857141</v>
      </c>
      <c r="P29" s="15">
        <f t="shared" si="1"/>
        <v>14.428571428571427</v>
      </c>
      <c r="R29" s="1" t="s">
        <v>153</v>
      </c>
      <c r="S29" s="34">
        <f>SUM(C86:C89)</f>
        <v>3.5</v>
      </c>
      <c r="T29" s="34">
        <f t="shared" ref="T29:AF29" si="21">SUM(D86:D89)</f>
        <v>2</v>
      </c>
      <c r="U29" s="34">
        <f t="shared" si="21"/>
        <v>6.5</v>
      </c>
      <c r="V29" s="34">
        <f t="shared" si="21"/>
        <v>3</v>
      </c>
      <c r="W29" s="34">
        <f t="shared" si="21"/>
        <v>0</v>
      </c>
      <c r="X29" s="34">
        <f t="shared" si="21"/>
        <v>1.5</v>
      </c>
      <c r="Y29" s="34">
        <f t="shared" si="21"/>
        <v>3.5</v>
      </c>
      <c r="Z29" s="34">
        <f t="shared" si="21"/>
        <v>0</v>
      </c>
      <c r="AA29" s="34">
        <f t="shared" si="21"/>
        <v>0</v>
      </c>
      <c r="AB29" s="34">
        <f t="shared" si="21"/>
        <v>2.5</v>
      </c>
      <c r="AC29" s="34">
        <f t="shared" si="21"/>
        <v>0.5</v>
      </c>
      <c r="AD29" s="34">
        <f t="shared" si="21"/>
        <v>0</v>
      </c>
      <c r="AE29" s="31">
        <f t="shared" si="21"/>
        <v>22.5</v>
      </c>
      <c r="AF29" s="31">
        <f t="shared" si="21"/>
        <v>23</v>
      </c>
    </row>
    <row r="30" spans="2:32" ht="23.1" customHeight="1" x14ac:dyDescent="0.25">
      <c r="B30" s="23" t="s">
        <v>57</v>
      </c>
      <c r="C30" s="49">
        <f>AVERAGE('29.07 Karuma-Kigumba'!C30,'30.07 Karuma-Kigumba'!C30,'31.07 Karuma-Kigumba'!C30,'01.08 Karuma-Kigumba'!C30,'02.08 Karuma-Kigumba-24h'!C30,'03.08 Karuma-Kigumba-24h'!C30,'04.08 Karuma-Kigumba'!C30)</f>
        <v>1.1428571428571428</v>
      </c>
      <c r="D30" s="49">
        <f>AVERAGE('29.07 Karuma-Kigumba'!D30,'30.07 Karuma-Kigumba'!D30,'31.07 Karuma-Kigumba'!D30,'01.08 Karuma-Kigumba'!D30,'02.08 Karuma-Kigumba-24h'!D30,'03.08 Karuma-Kigumba-24h'!D30,'04.08 Karuma-Kigumba'!D30)</f>
        <v>1.4285714285714286</v>
      </c>
      <c r="E30" s="49">
        <f>AVERAGE('29.07 Karuma-Kigumba'!E30,'30.07 Karuma-Kigumba'!E30,'31.07 Karuma-Kigumba'!E30,'01.08 Karuma-Kigumba'!E30,'02.08 Karuma-Kigumba-24h'!E30,'03.08 Karuma-Kigumba-24h'!E30,'04.08 Karuma-Kigumba'!E30)</f>
        <v>3</v>
      </c>
      <c r="F30" s="49">
        <f>AVERAGE('29.07 Karuma-Kigumba'!F30,'30.07 Karuma-Kigumba'!F30,'31.07 Karuma-Kigumba'!F30,'01.08 Karuma-Kigumba'!F30,'02.08 Karuma-Kigumba-24h'!F30,'03.08 Karuma-Kigumba-24h'!F30,'04.08 Karuma-Kigumba'!F30)</f>
        <v>1.5714285714285714</v>
      </c>
      <c r="G30" s="49">
        <f>AVERAGE('29.07 Karuma-Kigumba'!G30,'30.07 Karuma-Kigumba'!G30,'31.07 Karuma-Kigumba'!G30,'01.08 Karuma-Kigumba'!G30,'02.08 Karuma-Kigumba-24h'!G30,'03.08 Karuma-Kigumba-24h'!G30,'04.08 Karuma-Kigumba'!G30)</f>
        <v>0</v>
      </c>
      <c r="H30" s="49">
        <f>AVERAGE('29.07 Karuma-Kigumba'!H30,'30.07 Karuma-Kigumba'!H30,'31.07 Karuma-Kigumba'!H30,'01.08 Karuma-Kigumba'!H30,'02.08 Karuma-Kigumba-24h'!H30,'03.08 Karuma-Kigumba-24h'!H30,'04.08 Karuma-Kigumba'!H30)</f>
        <v>1</v>
      </c>
      <c r="I30" s="49">
        <f>AVERAGE('29.07 Karuma-Kigumba'!I30,'30.07 Karuma-Kigumba'!I30,'31.07 Karuma-Kigumba'!I30,'01.08 Karuma-Kigumba'!I30,'02.08 Karuma-Kigumba-24h'!I30,'03.08 Karuma-Kigumba-24h'!I30,'04.08 Karuma-Kigumba'!I30)</f>
        <v>1.2857142857142858</v>
      </c>
      <c r="J30" s="49">
        <f>AVERAGE('29.07 Karuma-Kigumba'!J30,'30.07 Karuma-Kigumba'!J30,'31.07 Karuma-Kigumba'!J30,'01.08 Karuma-Kigumba'!J30,'02.08 Karuma-Kigumba-24h'!J30,'03.08 Karuma-Kigumba-24h'!J30,'04.08 Karuma-Kigumba'!J30)</f>
        <v>0.14285714285714285</v>
      </c>
      <c r="K30" s="49">
        <f>AVERAGE('29.07 Karuma-Kigumba'!K30,'30.07 Karuma-Kigumba'!K30,'31.07 Karuma-Kigumba'!K30,'01.08 Karuma-Kigumba'!K30,'02.08 Karuma-Kigumba-24h'!K30,'03.08 Karuma-Kigumba-24h'!K30,'04.08 Karuma-Kigumba'!K30)</f>
        <v>0</v>
      </c>
      <c r="L30" s="49">
        <f>AVERAGE('29.07 Karuma-Kigumba'!L30,'30.07 Karuma-Kigumba'!L30,'31.07 Karuma-Kigumba'!L30,'01.08 Karuma-Kigumba'!L30,'02.08 Karuma-Kigumba-24h'!L30,'03.08 Karuma-Kigumba-24h'!L30,'04.08 Karuma-Kigumba'!L30)</f>
        <v>0.5714285714285714</v>
      </c>
      <c r="M30" s="49">
        <f>AVERAGE('29.07 Karuma-Kigumba'!M30,'30.07 Karuma-Kigumba'!M30,'31.07 Karuma-Kigumba'!M30,'01.08 Karuma-Kigumba'!M30,'02.08 Karuma-Kigumba-24h'!M30,'03.08 Karuma-Kigumba-24h'!M30,'04.08 Karuma-Kigumba'!M30)</f>
        <v>2.2857142857142856</v>
      </c>
      <c r="N30" s="49">
        <f>AVERAGE('29.07 Karuma-Kigumba'!N30,'30.07 Karuma-Kigumba'!N30,'31.07 Karuma-Kigumba'!N30,'01.08 Karuma-Kigumba'!N30,'02.08 Karuma-Kigumba-24h'!N30,'03.08 Karuma-Kigumba-24h'!N30,'04.08 Karuma-Kigumba'!N30)</f>
        <v>0</v>
      </c>
      <c r="O30" s="15">
        <f t="shared" si="0"/>
        <v>10.142857142857142</v>
      </c>
      <c r="P30" s="15">
        <f t="shared" si="1"/>
        <v>12.428571428571427</v>
      </c>
      <c r="R30" s="1" t="s">
        <v>154</v>
      </c>
      <c r="S30" s="34">
        <f>SUM(C90:C93)</f>
        <v>3.5</v>
      </c>
      <c r="T30" s="34">
        <f t="shared" ref="T30:AF30" si="22">SUM(D90:D93)</f>
        <v>3</v>
      </c>
      <c r="U30" s="34">
        <f t="shared" si="22"/>
        <v>6</v>
      </c>
      <c r="V30" s="34">
        <f t="shared" si="22"/>
        <v>2</v>
      </c>
      <c r="W30" s="34">
        <f t="shared" si="22"/>
        <v>0</v>
      </c>
      <c r="X30" s="34">
        <f t="shared" si="22"/>
        <v>2.5</v>
      </c>
      <c r="Y30" s="34">
        <f t="shared" si="22"/>
        <v>4</v>
      </c>
      <c r="Z30" s="34">
        <f t="shared" si="22"/>
        <v>0</v>
      </c>
      <c r="AA30" s="34">
        <f t="shared" si="22"/>
        <v>0</v>
      </c>
      <c r="AB30" s="34">
        <f t="shared" si="22"/>
        <v>3</v>
      </c>
      <c r="AC30" s="34">
        <f t="shared" si="22"/>
        <v>0</v>
      </c>
      <c r="AD30" s="34">
        <f t="shared" si="22"/>
        <v>0</v>
      </c>
      <c r="AE30" s="31">
        <f t="shared" si="22"/>
        <v>24</v>
      </c>
      <c r="AF30" s="31">
        <f t="shared" si="22"/>
        <v>24</v>
      </c>
    </row>
    <row r="31" spans="2:32" ht="23.1" customHeight="1" x14ac:dyDescent="0.25">
      <c r="B31" s="24" t="s">
        <v>58</v>
      </c>
      <c r="C31" s="49">
        <f>AVERAGE('29.07 Karuma-Kigumba'!C31,'30.07 Karuma-Kigumba'!C31,'31.07 Karuma-Kigumba'!C31,'01.08 Karuma-Kigumba'!C31,'02.08 Karuma-Kigumba-24h'!C31,'03.08 Karuma-Kigumba-24h'!C31,'04.08 Karuma-Kigumba'!C31)</f>
        <v>2</v>
      </c>
      <c r="D31" s="49">
        <f>AVERAGE('29.07 Karuma-Kigumba'!D31,'30.07 Karuma-Kigumba'!D31,'31.07 Karuma-Kigumba'!D31,'01.08 Karuma-Kigumba'!D31,'02.08 Karuma-Kigumba-24h'!D31,'03.08 Karuma-Kigumba-24h'!D31,'04.08 Karuma-Kigumba'!D31)</f>
        <v>2</v>
      </c>
      <c r="E31" s="49">
        <f>AVERAGE('29.07 Karuma-Kigumba'!E31,'30.07 Karuma-Kigumba'!E31,'31.07 Karuma-Kigumba'!E31,'01.08 Karuma-Kigumba'!E31,'02.08 Karuma-Kigumba-24h'!E31,'03.08 Karuma-Kigumba-24h'!E31,'04.08 Karuma-Kigumba'!E31)</f>
        <v>4.4285714285714288</v>
      </c>
      <c r="F31" s="49">
        <f>AVERAGE('29.07 Karuma-Kigumba'!F31,'30.07 Karuma-Kigumba'!F31,'31.07 Karuma-Kigumba'!F31,'01.08 Karuma-Kigumba'!F31,'02.08 Karuma-Kigumba-24h'!F31,'03.08 Karuma-Kigumba-24h'!F31,'04.08 Karuma-Kigumba'!F31)</f>
        <v>1.2857142857142858</v>
      </c>
      <c r="G31" s="49">
        <f>AVERAGE('29.07 Karuma-Kigumba'!G31,'30.07 Karuma-Kigumba'!G31,'31.07 Karuma-Kigumba'!G31,'01.08 Karuma-Kigumba'!G31,'02.08 Karuma-Kigumba-24h'!G31,'03.08 Karuma-Kigumba-24h'!G31,'04.08 Karuma-Kigumba'!G31)</f>
        <v>0.14285714285714285</v>
      </c>
      <c r="H31" s="49">
        <f>AVERAGE('29.07 Karuma-Kigumba'!H31,'30.07 Karuma-Kigumba'!H31,'31.07 Karuma-Kigumba'!H31,'01.08 Karuma-Kigumba'!H31,'02.08 Karuma-Kigumba-24h'!H31,'03.08 Karuma-Kigumba-24h'!H31,'04.08 Karuma-Kigumba'!H31)</f>
        <v>2.8571428571428572</v>
      </c>
      <c r="I31" s="49">
        <f>AVERAGE('29.07 Karuma-Kigumba'!I31,'30.07 Karuma-Kigumba'!I31,'31.07 Karuma-Kigumba'!I31,'01.08 Karuma-Kigumba'!I31,'02.08 Karuma-Kigumba-24h'!I31,'03.08 Karuma-Kigumba-24h'!I31,'04.08 Karuma-Kigumba'!I31)</f>
        <v>2</v>
      </c>
      <c r="J31" s="49">
        <f>AVERAGE('29.07 Karuma-Kigumba'!J31,'30.07 Karuma-Kigumba'!J31,'31.07 Karuma-Kigumba'!J31,'01.08 Karuma-Kigumba'!J31,'02.08 Karuma-Kigumba-24h'!J31,'03.08 Karuma-Kigumba-24h'!J31,'04.08 Karuma-Kigumba'!J31)</f>
        <v>0.42857142857142855</v>
      </c>
      <c r="K31" s="49">
        <f>AVERAGE('29.07 Karuma-Kigumba'!K31,'30.07 Karuma-Kigumba'!K31,'31.07 Karuma-Kigumba'!K31,'01.08 Karuma-Kigumba'!K31,'02.08 Karuma-Kigumba-24h'!K31,'03.08 Karuma-Kigumba-24h'!K31,'04.08 Karuma-Kigumba'!K31)</f>
        <v>0.14285714285714285</v>
      </c>
      <c r="L31" s="49">
        <f>AVERAGE('29.07 Karuma-Kigumba'!L31,'30.07 Karuma-Kigumba'!L31,'31.07 Karuma-Kigumba'!L31,'01.08 Karuma-Kigumba'!L31,'02.08 Karuma-Kigumba-24h'!L31,'03.08 Karuma-Kigumba-24h'!L31,'04.08 Karuma-Kigumba'!L31)</f>
        <v>1.4285714285714286</v>
      </c>
      <c r="M31" s="49">
        <f>AVERAGE('29.07 Karuma-Kigumba'!M31,'30.07 Karuma-Kigumba'!M31,'31.07 Karuma-Kigumba'!M31,'01.08 Karuma-Kigumba'!M31,'02.08 Karuma-Kigumba-24h'!M31,'03.08 Karuma-Kigumba-24h'!M31,'04.08 Karuma-Kigumba'!M31)</f>
        <v>3.5714285714285716</v>
      </c>
      <c r="N31" s="49">
        <f>AVERAGE('29.07 Karuma-Kigumba'!N31,'30.07 Karuma-Kigumba'!N31,'31.07 Karuma-Kigumba'!N31,'01.08 Karuma-Kigumba'!N31,'02.08 Karuma-Kigumba-24h'!N31,'03.08 Karuma-Kigumba-24h'!N31,'04.08 Karuma-Kigumba'!N31)</f>
        <v>0</v>
      </c>
      <c r="O31" s="15">
        <f t="shared" si="0"/>
        <v>16.714285714285715</v>
      </c>
      <c r="P31" s="15">
        <f t="shared" si="1"/>
        <v>20.285714285714288</v>
      </c>
      <c r="R31" s="1" t="s">
        <v>155</v>
      </c>
      <c r="S31" s="34">
        <f>SUM(C94:C97)</f>
        <v>3</v>
      </c>
      <c r="T31" s="34">
        <f t="shared" ref="T31:AF31" si="23">SUM(D94:D97)</f>
        <v>2.5</v>
      </c>
      <c r="U31" s="34">
        <f t="shared" si="23"/>
        <v>6</v>
      </c>
      <c r="V31" s="34">
        <f t="shared" si="23"/>
        <v>2.5</v>
      </c>
      <c r="W31" s="34">
        <f t="shared" si="23"/>
        <v>0</v>
      </c>
      <c r="X31" s="34">
        <f t="shared" si="23"/>
        <v>2</v>
      </c>
      <c r="Y31" s="34">
        <f t="shared" si="23"/>
        <v>3.5</v>
      </c>
      <c r="Z31" s="34">
        <f t="shared" si="23"/>
        <v>0.5</v>
      </c>
      <c r="AA31" s="34">
        <f t="shared" si="23"/>
        <v>0</v>
      </c>
      <c r="AB31" s="34">
        <f t="shared" si="23"/>
        <v>2.5</v>
      </c>
      <c r="AC31" s="34">
        <f t="shared" si="23"/>
        <v>0</v>
      </c>
      <c r="AD31" s="34">
        <f t="shared" si="23"/>
        <v>0</v>
      </c>
      <c r="AE31" s="31">
        <f t="shared" si="23"/>
        <v>22.5</v>
      </c>
      <c r="AF31" s="31">
        <f t="shared" si="23"/>
        <v>22.5</v>
      </c>
    </row>
    <row r="32" spans="2:32" ht="23.1" customHeight="1" x14ac:dyDescent="0.25">
      <c r="B32" s="24" t="s">
        <v>59</v>
      </c>
      <c r="C32" s="49">
        <f>AVERAGE('29.07 Karuma-Kigumba'!C32,'30.07 Karuma-Kigumba'!C32,'31.07 Karuma-Kigumba'!C32,'01.08 Karuma-Kigumba'!C32,'02.08 Karuma-Kigumba-24h'!C32,'03.08 Karuma-Kigumba-24h'!C32,'04.08 Karuma-Kigumba'!C32)</f>
        <v>2.7142857142857144</v>
      </c>
      <c r="D32" s="49">
        <f>AVERAGE('29.07 Karuma-Kigumba'!D32,'30.07 Karuma-Kigumba'!D32,'31.07 Karuma-Kigumba'!D32,'01.08 Karuma-Kigumba'!D32,'02.08 Karuma-Kigumba-24h'!D32,'03.08 Karuma-Kigumba-24h'!D32,'04.08 Karuma-Kigumba'!D32)</f>
        <v>1.8571428571428572</v>
      </c>
      <c r="E32" s="49">
        <f>AVERAGE('29.07 Karuma-Kigumba'!E32,'30.07 Karuma-Kigumba'!E32,'31.07 Karuma-Kigumba'!E32,'01.08 Karuma-Kigumba'!E32,'02.08 Karuma-Kigumba-24h'!E32,'03.08 Karuma-Kigumba-24h'!E32,'04.08 Karuma-Kigumba'!E32)</f>
        <v>4</v>
      </c>
      <c r="F32" s="49">
        <f>AVERAGE('29.07 Karuma-Kigumba'!F32,'30.07 Karuma-Kigumba'!F32,'31.07 Karuma-Kigumba'!F32,'01.08 Karuma-Kigumba'!F32,'02.08 Karuma-Kigumba-24h'!F32,'03.08 Karuma-Kigumba-24h'!F32,'04.08 Karuma-Kigumba'!F32)</f>
        <v>2.1428571428571428</v>
      </c>
      <c r="G32" s="49">
        <f>AVERAGE('29.07 Karuma-Kigumba'!G32,'30.07 Karuma-Kigumba'!G32,'31.07 Karuma-Kigumba'!G32,'01.08 Karuma-Kigumba'!G32,'02.08 Karuma-Kigumba-24h'!G32,'03.08 Karuma-Kigumba-24h'!G32,'04.08 Karuma-Kigumba'!G32)</f>
        <v>0</v>
      </c>
      <c r="H32" s="49">
        <f>AVERAGE('29.07 Karuma-Kigumba'!H32,'30.07 Karuma-Kigumba'!H32,'31.07 Karuma-Kigumba'!H32,'01.08 Karuma-Kigumba'!H32,'02.08 Karuma-Kigumba-24h'!H32,'03.08 Karuma-Kigumba-24h'!H32,'04.08 Karuma-Kigumba'!H32)</f>
        <v>0.5714285714285714</v>
      </c>
      <c r="I32" s="49">
        <f>AVERAGE('29.07 Karuma-Kigumba'!I32,'30.07 Karuma-Kigumba'!I32,'31.07 Karuma-Kigumba'!I32,'01.08 Karuma-Kigumba'!I32,'02.08 Karuma-Kigumba-24h'!I32,'03.08 Karuma-Kigumba-24h'!I32,'04.08 Karuma-Kigumba'!I32)</f>
        <v>2.4285714285714284</v>
      </c>
      <c r="J32" s="49">
        <f>AVERAGE('29.07 Karuma-Kigumba'!J32,'30.07 Karuma-Kigumba'!J32,'31.07 Karuma-Kigumba'!J32,'01.08 Karuma-Kigumba'!J32,'02.08 Karuma-Kigumba-24h'!J32,'03.08 Karuma-Kigumba-24h'!J32,'04.08 Karuma-Kigumba'!J32)</f>
        <v>0.14285714285714285</v>
      </c>
      <c r="K32" s="49">
        <f>AVERAGE('29.07 Karuma-Kigumba'!K32,'30.07 Karuma-Kigumba'!K32,'31.07 Karuma-Kigumba'!K32,'01.08 Karuma-Kigumba'!K32,'02.08 Karuma-Kigumba-24h'!K32,'03.08 Karuma-Kigumba-24h'!K32,'04.08 Karuma-Kigumba'!K32)</f>
        <v>0.2857142857142857</v>
      </c>
      <c r="L32" s="49">
        <f>AVERAGE('29.07 Karuma-Kigumba'!L32,'30.07 Karuma-Kigumba'!L32,'31.07 Karuma-Kigumba'!L32,'01.08 Karuma-Kigumba'!L32,'02.08 Karuma-Kigumba-24h'!L32,'03.08 Karuma-Kigumba-24h'!L32,'04.08 Karuma-Kigumba'!L32)</f>
        <v>1.4285714285714286</v>
      </c>
      <c r="M32" s="49">
        <f>AVERAGE('29.07 Karuma-Kigumba'!M32,'30.07 Karuma-Kigumba'!M32,'31.07 Karuma-Kigumba'!M32,'01.08 Karuma-Kigumba'!M32,'02.08 Karuma-Kigumba-24h'!M32,'03.08 Karuma-Kigumba-24h'!M32,'04.08 Karuma-Kigumba'!M32)</f>
        <v>3.4285714285714284</v>
      </c>
      <c r="N32" s="49">
        <f>AVERAGE('29.07 Karuma-Kigumba'!N32,'30.07 Karuma-Kigumba'!N32,'31.07 Karuma-Kigumba'!N32,'01.08 Karuma-Kigumba'!N32,'02.08 Karuma-Kigumba-24h'!N32,'03.08 Karuma-Kigumba-24h'!N32,'04.08 Karuma-Kigumba'!N32)</f>
        <v>0</v>
      </c>
      <c r="O32" s="15">
        <f t="shared" si="0"/>
        <v>15.571428571428571</v>
      </c>
      <c r="P32" s="15">
        <f t="shared" si="1"/>
        <v>19</v>
      </c>
      <c r="R32" s="1" t="s">
        <v>156</v>
      </c>
      <c r="S32" s="34">
        <f>SUM(C98:C101)</f>
        <v>2</v>
      </c>
      <c r="T32" s="34">
        <f t="shared" ref="T32:AF32" si="24">SUM(D98:D101)</f>
        <v>2</v>
      </c>
      <c r="U32" s="34">
        <f t="shared" si="24"/>
        <v>5.5</v>
      </c>
      <c r="V32" s="34">
        <f t="shared" si="24"/>
        <v>2.5</v>
      </c>
      <c r="W32" s="34">
        <f t="shared" si="24"/>
        <v>0</v>
      </c>
      <c r="X32" s="34">
        <f t="shared" si="24"/>
        <v>2.5</v>
      </c>
      <c r="Y32" s="34">
        <f t="shared" si="24"/>
        <v>4.5</v>
      </c>
      <c r="Z32" s="34">
        <f t="shared" si="24"/>
        <v>0.5</v>
      </c>
      <c r="AA32" s="34">
        <f t="shared" si="24"/>
        <v>0.5</v>
      </c>
      <c r="AB32" s="34">
        <f t="shared" si="24"/>
        <v>2.5</v>
      </c>
      <c r="AC32" s="34">
        <f t="shared" si="24"/>
        <v>10</v>
      </c>
      <c r="AD32" s="34">
        <f t="shared" si="24"/>
        <v>0</v>
      </c>
      <c r="AE32" s="31">
        <f t="shared" si="24"/>
        <v>22.5</v>
      </c>
      <c r="AF32" s="31">
        <f t="shared" si="24"/>
        <v>32.5</v>
      </c>
    </row>
    <row r="33" spans="2:32" ht="23.1" customHeight="1" x14ac:dyDescent="0.25">
      <c r="B33" s="23" t="s">
        <v>60</v>
      </c>
      <c r="C33" s="49">
        <f>AVERAGE('29.07 Karuma-Kigumba'!C33,'30.07 Karuma-Kigumba'!C33,'31.07 Karuma-Kigumba'!C33,'01.08 Karuma-Kigumba'!C33,'02.08 Karuma-Kigumba-24h'!C33,'03.08 Karuma-Kigumba-24h'!C33,'04.08 Karuma-Kigumba'!C33)</f>
        <v>1</v>
      </c>
      <c r="D33" s="49">
        <f>AVERAGE('29.07 Karuma-Kigumba'!D33,'30.07 Karuma-Kigumba'!D33,'31.07 Karuma-Kigumba'!D33,'01.08 Karuma-Kigumba'!D33,'02.08 Karuma-Kigumba-24h'!D33,'03.08 Karuma-Kigumba-24h'!D33,'04.08 Karuma-Kigumba'!D33)</f>
        <v>3</v>
      </c>
      <c r="E33" s="49">
        <f>AVERAGE('29.07 Karuma-Kigumba'!E33,'30.07 Karuma-Kigumba'!E33,'31.07 Karuma-Kigumba'!E33,'01.08 Karuma-Kigumba'!E33,'02.08 Karuma-Kigumba-24h'!E33,'03.08 Karuma-Kigumba-24h'!E33,'04.08 Karuma-Kigumba'!E33)</f>
        <v>5</v>
      </c>
      <c r="F33" s="49">
        <f>AVERAGE('29.07 Karuma-Kigumba'!F33,'30.07 Karuma-Kigumba'!F33,'31.07 Karuma-Kigumba'!F33,'01.08 Karuma-Kigumba'!F33,'02.08 Karuma-Kigumba-24h'!F33,'03.08 Karuma-Kigumba-24h'!F33,'04.08 Karuma-Kigumba'!F33)</f>
        <v>1.8571428571428572</v>
      </c>
      <c r="G33" s="49">
        <f>AVERAGE('29.07 Karuma-Kigumba'!G33,'30.07 Karuma-Kigumba'!G33,'31.07 Karuma-Kigumba'!G33,'01.08 Karuma-Kigumba'!G33,'02.08 Karuma-Kigumba-24h'!G33,'03.08 Karuma-Kigumba-24h'!G33,'04.08 Karuma-Kigumba'!G33)</f>
        <v>0.14285714285714285</v>
      </c>
      <c r="H33" s="49">
        <f>AVERAGE('29.07 Karuma-Kigumba'!H33,'30.07 Karuma-Kigumba'!H33,'31.07 Karuma-Kigumba'!H33,'01.08 Karuma-Kigumba'!H33,'02.08 Karuma-Kigumba-24h'!H33,'03.08 Karuma-Kigumba-24h'!H33,'04.08 Karuma-Kigumba'!H33)</f>
        <v>1.8571428571428572</v>
      </c>
      <c r="I33" s="49">
        <f>AVERAGE('29.07 Karuma-Kigumba'!I33,'30.07 Karuma-Kigumba'!I33,'31.07 Karuma-Kigumba'!I33,'01.08 Karuma-Kigumba'!I33,'02.08 Karuma-Kigumba-24h'!I33,'03.08 Karuma-Kigumba-24h'!I33,'04.08 Karuma-Kigumba'!I33)</f>
        <v>2</v>
      </c>
      <c r="J33" s="49">
        <f>AVERAGE('29.07 Karuma-Kigumba'!J33,'30.07 Karuma-Kigumba'!J33,'31.07 Karuma-Kigumba'!J33,'01.08 Karuma-Kigumba'!J33,'02.08 Karuma-Kigumba-24h'!J33,'03.08 Karuma-Kigumba-24h'!J33,'04.08 Karuma-Kigumba'!J33)</f>
        <v>0</v>
      </c>
      <c r="K33" s="49">
        <f>AVERAGE('29.07 Karuma-Kigumba'!K33,'30.07 Karuma-Kigumba'!K33,'31.07 Karuma-Kigumba'!K33,'01.08 Karuma-Kigumba'!K33,'02.08 Karuma-Kigumba-24h'!K33,'03.08 Karuma-Kigumba-24h'!K33,'04.08 Karuma-Kigumba'!K33)</f>
        <v>0</v>
      </c>
      <c r="L33" s="49">
        <f>AVERAGE('29.07 Karuma-Kigumba'!L33,'30.07 Karuma-Kigumba'!L33,'31.07 Karuma-Kigumba'!L33,'01.08 Karuma-Kigumba'!L33,'02.08 Karuma-Kigumba-24h'!L33,'03.08 Karuma-Kigumba-24h'!L33,'04.08 Karuma-Kigumba'!L33)</f>
        <v>1.8571428571428572</v>
      </c>
      <c r="M33" s="49">
        <f>AVERAGE('29.07 Karuma-Kigumba'!M33,'30.07 Karuma-Kigumba'!M33,'31.07 Karuma-Kigumba'!M33,'01.08 Karuma-Kigumba'!M33,'02.08 Karuma-Kigumba-24h'!M33,'03.08 Karuma-Kigumba-24h'!M33,'04.08 Karuma-Kigumba'!M33)</f>
        <v>2.1428571428571428</v>
      </c>
      <c r="N33" s="49">
        <f>AVERAGE('29.07 Karuma-Kigumba'!N33,'30.07 Karuma-Kigumba'!N33,'31.07 Karuma-Kigumba'!N33,'01.08 Karuma-Kigumba'!N33,'02.08 Karuma-Kigumba-24h'!N33,'03.08 Karuma-Kigumba-24h'!N33,'04.08 Karuma-Kigumba'!N33)</f>
        <v>0</v>
      </c>
      <c r="O33" s="15">
        <f t="shared" si="0"/>
        <v>16.714285714285715</v>
      </c>
      <c r="P33" s="15">
        <f t="shared" si="1"/>
        <v>18.857142857142858</v>
      </c>
      <c r="R33" s="1" t="s">
        <v>157</v>
      </c>
      <c r="S33" s="34">
        <f>SUM(C102:C105)</f>
        <v>4</v>
      </c>
      <c r="T33" s="34">
        <f t="shared" ref="T33:AF33" si="25">SUM(D102:D105)</f>
        <v>2</v>
      </c>
      <c r="U33" s="34">
        <f t="shared" si="25"/>
        <v>6.5</v>
      </c>
      <c r="V33" s="34">
        <f t="shared" si="25"/>
        <v>3.5</v>
      </c>
      <c r="W33" s="34">
        <f t="shared" si="25"/>
        <v>0</v>
      </c>
      <c r="X33" s="34">
        <f t="shared" si="25"/>
        <v>2</v>
      </c>
      <c r="Y33" s="34">
        <f t="shared" si="25"/>
        <v>5.5</v>
      </c>
      <c r="Z33" s="34">
        <f t="shared" si="25"/>
        <v>1</v>
      </c>
      <c r="AA33" s="34">
        <f t="shared" si="25"/>
        <v>0</v>
      </c>
      <c r="AB33" s="34">
        <f t="shared" si="25"/>
        <v>6</v>
      </c>
      <c r="AC33" s="34">
        <f t="shared" si="25"/>
        <v>9</v>
      </c>
      <c r="AD33" s="34">
        <f t="shared" si="25"/>
        <v>0</v>
      </c>
      <c r="AE33" s="31">
        <f t="shared" si="25"/>
        <v>30.5</v>
      </c>
      <c r="AF33" s="31">
        <f t="shared" si="25"/>
        <v>39.5</v>
      </c>
    </row>
    <row r="34" spans="2:32" ht="23.1" customHeight="1" x14ac:dyDescent="0.25">
      <c r="B34" s="24" t="s">
        <v>61</v>
      </c>
      <c r="C34" s="49">
        <f>AVERAGE('29.07 Karuma-Kigumba'!C34,'30.07 Karuma-Kigumba'!C34,'31.07 Karuma-Kigumba'!C34,'01.08 Karuma-Kigumba'!C34,'02.08 Karuma-Kigumba-24h'!C34,'03.08 Karuma-Kigumba-24h'!C34,'04.08 Karuma-Kigumba'!C34)</f>
        <v>1.8571428571428572</v>
      </c>
      <c r="D34" s="49">
        <f>AVERAGE('29.07 Karuma-Kigumba'!D34,'30.07 Karuma-Kigumba'!D34,'31.07 Karuma-Kigumba'!D34,'01.08 Karuma-Kigumba'!D34,'02.08 Karuma-Kigumba-24h'!D34,'03.08 Karuma-Kigumba-24h'!D34,'04.08 Karuma-Kigumba'!D34)</f>
        <v>1.8571428571428572</v>
      </c>
      <c r="E34" s="49">
        <f>AVERAGE('29.07 Karuma-Kigumba'!E34,'30.07 Karuma-Kigumba'!E34,'31.07 Karuma-Kigumba'!E34,'01.08 Karuma-Kigumba'!E34,'02.08 Karuma-Kigumba-24h'!E34,'03.08 Karuma-Kigumba-24h'!E34,'04.08 Karuma-Kigumba'!E34)</f>
        <v>3.7142857142857144</v>
      </c>
      <c r="F34" s="49">
        <f>AVERAGE('29.07 Karuma-Kigumba'!F34,'30.07 Karuma-Kigumba'!F34,'31.07 Karuma-Kigumba'!F34,'01.08 Karuma-Kigumba'!F34,'02.08 Karuma-Kigumba-24h'!F34,'03.08 Karuma-Kigumba-24h'!F34,'04.08 Karuma-Kigumba'!F34)</f>
        <v>0.7142857142857143</v>
      </c>
      <c r="G34" s="49">
        <f>AVERAGE('29.07 Karuma-Kigumba'!G34,'30.07 Karuma-Kigumba'!G34,'31.07 Karuma-Kigumba'!G34,'01.08 Karuma-Kigumba'!G34,'02.08 Karuma-Kigumba-24h'!G34,'03.08 Karuma-Kigumba-24h'!G34,'04.08 Karuma-Kigumba'!G34)</f>
        <v>0</v>
      </c>
      <c r="H34" s="49">
        <f>AVERAGE('29.07 Karuma-Kigumba'!H34,'30.07 Karuma-Kigumba'!H34,'31.07 Karuma-Kigumba'!H34,'01.08 Karuma-Kigumba'!H34,'02.08 Karuma-Kigumba-24h'!H34,'03.08 Karuma-Kigumba-24h'!H34,'04.08 Karuma-Kigumba'!H34)</f>
        <v>0.7142857142857143</v>
      </c>
      <c r="I34" s="49">
        <f>AVERAGE('29.07 Karuma-Kigumba'!I34,'30.07 Karuma-Kigumba'!I34,'31.07 Karuma-Kigumba'!I34,'01.08 Karuma-Kigumba'!I34,'02.08 Karuma-Kigumba-24h'!I34,'03.08 Karuma-Kigumba-24h'!I34,'04.08 Karuma-Kigumba'!I34)</f>
        <v>1.5714285714285714</v>
      </c>
      <c r="J34" s="49">
        <f>AVERAGE('29.07 Karuma-Kigumba'!J34,'30.07 Karuma-Kigumba'!J34,'31.07 Karuma-Kigumba'!J34,'01.08 Karuma-Kigumba'!J34,'02.08 Karuma-Kigumba-24h'!J34,'03.08 Karuma-Kigumba-24h'!J34,'04.08 Karuma-Kigumba'!J34)</f>
        <v>0.42857142857142855</v>
      </c>
      <c r="K34" s="49">
        <f>AVERAGE('29.07 Karuma-Kigumba'!K34,'30.07 Karuma-Kigumba'!K34,'31.07 Karuma-Kigumba'!K34,'01.08 Karuma-Kigumba'!K34,'02.08 Karuma-Kigumba-24h'!K34,'03.08 Karuma-Kigumba-24h'!K34,'04.08 Karuma-Kigumba'!K34)</f>
        <v>0.14285714285714285</v>
      </c>
      <c r="L34" s="49">
        <f>AVERAGE('29.07 Karuma-Kigumba'!L34,'30.07 Karuma-Kigumba'!L34,'31.07 Karuma-Kigumba'!L34,'01.08 Karuma-Kigumba'!L34,'02.08 Karuma-Kigumba-24h'!L34,'03.08 Karuma-Kigumba-24h'!L34,'04.08 Karuma-Kigumba'!L34)</f>
        <v>1.7142857142857142</v>
      </c>
      <c r="M34" s="49">
        <f>AVERAGE('29.07 Karuma-Kigumba'!M34,'30.07 Karuma-Kigumba'!M34,'31.07 Karuma-Kigumba'!M34,'01.08 Karuma-Kigumba'!M34,'02.08 Karuma-Kigumba-24h'!M34,'03.08 Karuma-Kigumba-24h'!M34,'04.08 Karuma-Kigumba'!M34)</f>
        <v>4.8571428571428568</v>
      </c>
      <c r="N34" s="49">
        <f>AVERAGE('29.07 Karuma-Kigumba'!N34,'30.07 Karuma-Kigumba'!N34,'31.07 Karuma-Kigumba'!N34,'01.08 Karuma-Kigumba'!N34,'02.08 Karuma-Kigumba-24h'!N34,'03.08 Karuma-Kigumba-24h'!N34,'04.08 Karuma-Kigumba'!N34)</f>
        <v>0</v>
      </c>
      <c r="O34" s="15">
        <f t="shared" si="0"/>
        <v>12.714285714285712</v>
      </c>
      <c r="P34" s="15">
        <f t="shared" si="1"/>
        <v>17.571428571428569</v>
      </c>
      <c r="R34" s="56" t="s">
        <v>90</v>
      </c>
      <c r="S34" s="57">
        <f t="shared" ref="S34:AF34" si="26">MAX(S10:S12)</f>
        <v>5.2857142857142856</v>
      </c>
      <c r="T34" s="57">
        <f t="shared" si="26"/>
        <v>3.7142857142857144</v>
      </c>
      <c r="U34" s="57">
        <f t="shared" si="26"/>
        <v>9.7142857142857153</v>
      </c>
      <c r="V34" s="57">
        <f t="shared" si="26"/>
        <v>4</v>
      </c>
      <c r="W34" s="57">
        <f t="shared" si="26"/>
        <v>0.42857142857142855</v>
      </c>
      <c r="X34" s="57">
        <f t="shared" si="26"/>
        <v>3.2857142857142856</v>
      </c>
      <c r="Y34" s="57">
        <f t="shared" si="26"/>
        <v>3.2857142857142856</v>
      </c>
      <c r="Z34" s="57">
        <f t="shared" si="26"/>
        <v>1.2857142857142856</v>
      </c>
      <c r="AA34" s="57">
        <f t="shared" si="26"/>
        <v>0.42857142857142855</v>
      </c>
      <c r="AB34" s="57">
        <f t="shared" si="26"/>
        <v>3.1428571428571428</v>
      </c>
      <c r="AC34" s="57">
        <f t="shared" si="26"/>
        <v>12.571428571428573</v>
      </c>
      <c r="AD34" s="57">
        <f t="shared" si="26"/>
        <v>0.2857142857142857</v>
      </c>
      <c r="AE34" s="40">
        <f t="shared" si="26"/>
        <v>32.285714285714292</v>
      </c>
      <c r="AF34" s="40">
        <f t="shared" si="26"/>
        <v>44.857142857142861</v>
      </c>
    </row>
    <row r="35" spans="2:32" ht="23.1" customHeight="1" x14ac:dyDescent="0.25">
      <c r="B35" s="24" t="s">
        <v>62</v>
      </c>
      <c r="C35" s="49">
        <f>AVERAGE('29.07 Karuma-Kigumba'!C35,'30.07 Karuma-Kigumba'!C35,'31.07 Karuma-Kigumba'!C35,'01.08 Karuma-Kigumba'!C35,'02.08 Karuma-Kigumba-24h'!C35,'03.08 Karuma-Kigumba-24h'!C35,'04.08 Karuma-Kigumba'!C35)</f>
        <v>2</v>
      </c>
      <c r="D35" s="49">
        <f>AVERAGE('29.07 Karuma-Kigumba'!D35,'30.07 Karuma-Kigumba'!D35,'31.07 Karuma-Kigumba'!D35,'01.08 Karuma-Kigumba'!D35,'02.08 Karuma-Kigumba-24h'!D35,'03.08 Karuma-Kigumba-24h'!D35,'04.08 Karuma-Kigumba'!D35)</f>
        <v>2.1428571428571428</v>
      </c>
      <c r="E35" s="49">
        <f>AVERAGE('29.07 Karuma-Kigumba'!E35,'30.07 Karuma-Kigumba'!E35,'31.07 Karuma-Kigumba'!E35,'01.08 Karuma-Kigumba'!E35,'02.08 Karuma-Kigumba-24h'!E35,'03.08 Karuma-Kigumba-24h'!E35,'04.08 Karuma-Kigumba'!E35)</f>
        <v>4.1428571428571432</v>
      </c>
      <c r="F35" s="49">
        <f>AVERAGE('29.07 Karuma-Kigumba'!F35,'30.07 Karuma-Kigumba'!F35,'31.07 Karuma-Kigumba'!F35,'01.08 Karuma-Kigumba'!F35,'02.08 Karuma-Kigumba-24h'!F35,'03.08 Karuma-Kigumba-24h'!F35,'04.08 Karuma-Kigumba'!F35)</f>
        <v>1.2857142857142858</v>
      </c>
      <c r="G35" s="49">
        <f>AVERAGE('29.07 Karuma-Kigumba'!G35,'30.07 Karuma-Kigumba'!G35,'31.07 Karuma-Kigumba'!G35,'01.08 Karuma-Kigumba'!G35,'02.08 Karuma-Kigumba-24h'!G35,'03.08 Karuma-Kigumba-24h'!G35,'04.08 Karuma-Kigumba'!G35)</f>
        <v>0.14285714285714285</v>
      </c>
      <c r="H35" s="49">
        <f>AVERAGE('29.07 Karuma-Kigumba'!H35,'30.07 Karuma-Kigumba'!H35,'31.07 Karuma-Kigumba'!H35,'01.08 Karuma-Kigumba'!H35,'02.08 Karuma-Kigumba-24h'!H35,'03.08 Karuma-Kigumba-24h'!H35,'04.08 Karuma-Kigumba'!H35)</f>
        <v>1.1428571428571428</v>
      </c>
      <c r="I35" s="49">
        <f>AVERAGE('29.07 Karuma-Kigumba'!I35,'30.07 Karuma-Kigumba'!I35,'31.07 Karuma-Kigumba'!I35,'01.08 Karuma-Kigumba'!I35,'02.08 Karuma-Kigumba-24h'!I35,'03.08 Karuma-Kigumba-24h'!I35,'04.08 Karuma-Kigumba'!I35)</f>
        <v>2.1428571428571428</v>
      </c>
      <c r="J35" s="49">
        <f>AVERAGE('29.07 Karuma-Kigumba'!J35,'30.07 Karuma-Kigumba'!J35,'31.07 Karuma-Kigumba'!J35,'01.08 Karuma-Kigumba'!J35,'02.08 Karuma-Kigumba-24h'!J35,'03.08 Karuma-Kigumba-24h'!J35,'04.08 Karuma-Kigumba'!J35)</f>
        <v>0.42857142857142855</v>
      </c>
      <c r="K35" s="49">
        <f>AVERAGE('29.07 Karuma-Kigumba'!K35,'30.07 Karuma-Kigumba'!K35,'31.07 Karuma-Kigumba'!K35,'01.08 Karuma-Kigumba'!K35,'02.08 Karuma-Kigumba-24h'!K35,'03.08 Karuma-Kigumba-24h'!K35,'04.08 Karuma-Kigumba'!K35)</f>
        <v>0.14285714285714285</v>
      </c>
      <c r="L35" s="49">
        <f>AVERAGE('29.07 Karuma-Kigumba'!L35,'30.07 Karuma-Kigumba'!L35,'31.07 Karuma-Kigumba'!L35,'01.08 Karuma-Kigumba'!L35,'02.08 Karuma-Kigumba-24h'!L35,'03.08 Karuma-Kigumba-24h'!L35,'04.08 Karuma-Kigumba'!L35)</f>
        <v>0.7142857142857143</v>
      </c>
      <c r="M35" s="49">
        <f>AVERAGE('29.07 Karuma-Kigumba'!M35,'30.07 Karuma-Kigumba'!M35,'31.07 Karuma-Kigumba'!M35,'01.08 Karuma-Kigumba'!M35,'02.08 Karuma-Kigumba-24h'!M35,'03.08 Karuma-Kigumba-24h'!M35,'04.08 Karuma-Kigumba'!M35)</f>
        <v>3.1428571428571428</v>
      </c>
      <c r="N35" s="49">
        <f>AVERAGE('29.07 Karuma-Kigumba'!N35,'30.07 Karuma-Kigumba'!N35,'31.07 Karuma-Kigumba'!N35,'01.08 Karuma-Kigumba'!N35,'02.08 Karuma-Kigumba-24h'!N35,'03.08 Karuma-Kigumba-24h'!N35,'04.08 Karuma-Kigumba'!N35)</f>
        <v>0</v>
      </c>
      <c r="O35" s="15">
        <f t="shared" si="0"/>
        <v>14.285714285714283</v>
      </c>
      <c r="P35" s="15">
        <f t="shared" si="1"/>
        <v>17.428571428571427</v>
      </c>
      <c r="R35" s="56" t="s">
        <v>91</v>
      </c>
      <c r="S35" s="57">
        <f t="shared" ref="S35:AF35" si="27">MAX(S13:S18)</f>
        <v>10.142857142857142</v>
      </c>
      <c r="T35" s="57">
        <f t="shared" si="27"/>
        <v>8.2857142857142865</v>
      </c>
      <c r="U35" s="57">
        <f t="shared" si="27"/>
        <v>16.428571428571431</v>
      </c>
      <c r="V35" s="57">
        <f t="shared" si="27"/>
        <v>7.4285714285714288</v>
      </c>
      <c r="W35" s="57">
        <f t="shared" si="27"/>
        <v>0.2857142857142857</v>
      </c>
      <c r="X35" s="57">
        <f t="shared" si="27"/>
        <v>6.2857142857142865</v>
      </c>
      <c r="Y35" s="57">
        <f t="shared" si="27"/>
        <v>10.285714285714286</v>
      </c>
      <c r="Z35" s="57">
        <f t="shared" si="27"/>
        <v>1.7142857142857142</v>
      </c>
      <c r="AA35" s="57">
        <f t="shared" si="27"/>
        <v>1.2857142857142856</v>
      </c>
      <c r="AB35" s="57">
        <f t="shared" si="27"/>
        <v>5.4285714285714288</v>
      </c>
      <c r="AC35" s="57">
        <f t="shared" si="27"/>
        <v>17.142857142857146</v>
      </c>
      <c r="AD35" s="57">
        <f t="shared" si="27"/>
        <v>0.2857142857142857</v>
      </c>
      <c r="AE35" s="40">
        <f t="shared" si="27"/>
        <v>59.857142857142847</v>
      </c>
      <c r="AF35" s="40">
        <f t="shared" si="27"/>
        <v>75.714285714285722</v>
      </c>
    </row>
    <row r="36" spans="2:32" ht="23.1" customHeight="1" x14ac:dyDescent="0.25">
      <c r="B36" s="24" t="s">
        <v>63</v>
      </c>
      <c r="C36" s="49">
        <f>AVERAGE('29.07 Karuma-Kigumba'!C36,'30.07 Karuma-Kigumba'!C36,'31.07 Karuma-Kigumba'!C36,'01.08 Karuma-Kigumba'!C36,'02.08 Karuma-Kigumba-24h'!C36,'03.08 Karuma-Kigumba-24h'!C36,'04.08 Karuma-Kigumba'!C36)</f>
        <v>2.8571428571428572</v>
      </c>
      <c r="D36" s="49">
        <f>AVERAGE('29.07 Karuma-Kigumba'!D36,'30.07 Karuma-Kigumba'!D36,'31.07 Karuma-Kigumba'!D36,'01.08 Karuma-Kigumba'!D36,'02.08 Karuma-Kigumba-24h'!D36,'03.08 Karuma-Kigumba-24h'!D36,'04.08 Karuma-Kigumba'!D36)</f>
        <v>1.7142857142857142</v>
      </c>
      <c r="E36" s="49">
        <f>AVERAGE('29.07 Karuma-Kigumba'!E36,'30.07 Karuma-Kigumba'!E36,'31.07 Karuma-Kigumba'!E36,'01.08 Karuma-Kigumba'!E36,'02.08 Karuma-Kigumba-24h'!E36,'03.08 Karuma-Kigumba-24h'!E36,'04.08 Karuma-Kigumba'!E36)</f>
        <v>3.7142857142857144</v>
      </c>
      <c r="F36" s="49">
        <f>AVERAGE('29.07 Karuma-Kigumba'!F36,'30.07 Karuma-Kigumba'!F36,'31.07 Karuma-Kigumba'!F36,'01.08 Karuma-Kigumba'!F36,'02.08 Karuma-Kigumba-24h'!F36,'03.08 Karuma-Kigumba-24h'!F36,'04.08 Karuma-Kigumba'!F36)</f>
        <v>1.2857142857142858</v>
      </c>
      <c r="G36" s="49">
        <f>AVERAGE('29.07 Karuma-Kigumba'!G36,'30.07 Karuma-Kigumba'!G36,'31.07 Karuma-Kigumba'!G36,'01.08 Karuma-Kigumba'!G36,'02.08 Karuma-Kigumba-24h'!G36,'03.08 Karuma-Kigumba-24h'!G36,'04.08 Karuma-Kigumba'!G36)</f>
        <v>0</v>
      </c>
      <c r="H36" s="49">
        <f>AVERAGE('29.07 Karuma-Kigumba'!H36,'30.07 Karuma-Kigumba'!H36,'31.07 Karuma-Kigumba'!H36,'01.08 Karuma-Kigumba'!H36,'02.08 Karuma-Kigumba-24h'!H36,'03.08 Karuma-Kigumba-24h'!H36,'04.08 Karuma-Kigumba'!H36)</f>
        <v>1</v>
      </c>
      <c r="I36" s="49">
        <f>AVERAGE('29.07 Karuma-Kigumba'!I36,'30.07 Karuma-Kigumba'!I36,'31.07 Karuma-Kigumba'!I36,'01.08 Karuma-Kigumba'!I36,'02.08 Karuma-Kigumba-24h'!I36,'03.08 Karuma-Kigumba-24h'!I36,'04.08 Karuma-Kigumba'!I36)</f>
        <v>2.7142857142857144</v>
      </c>
      <c r="J36" s="49">
        <f>AVERAGE('29.07 Karuma-Kigumba'!J36,'30.07 Karuma-Kigumba'!J36,'31.07 Karuma-Kigumba'!J36,'01.08 Karuma-Kigumba'!J36,'02.08 Karuma-Kigumba-24h'!J36,'03.08 Karuma-Kigumba-24h'!J36,'04.08 Karuma-Kigumba'!J36)</f>
        <v>0.42857142857142855</v>
      </c>
      <c r="K36" s="49">
        <f>AVERAGE('29.07 Karuma-Kigumba'!K36,'30.07 Karuma-Kigumba'!K36,'31.07 Karuma-Kigumba'!K36,'01.08 Karuma-Kigumba'!K36,'02.08 Karuma-Kigumba-24h'!K36,'03.08 Karuma-Kigumba-24h'!K36,'04.08 Karuma-Kigumba'!K36)</f>
        <v>0.2857142857142857</v>
      </c>
      <c r="L36" s="49">
        <f>AVERAGE('29.07 Karuma-Kigumba'!L36,'30.07 Karuma-Kigumba'!L36,'31.07 Karuma-Kigumba'!L36,'01.08 Karuma-Kigumba'!L36,'02.08 Karuma-Kigumba-24h'!L36,'03.08 Karuma-Kigumba-24h'!L36,'04.08 Karuma-Kigumba'!L36)</f>
        <v>1.1428571428571428</v>
      </c>
      <c r="M36" s="49">
        <f>AVERAGE('29.07 Karuma-Kigumba'!M36,'30.07 Karuma-Kigumba'!M36,'31.07 Karuma-Kigumba'!M36,'01.08 Karuma-Kigumba'!M36,'02.08 Karuma-Kigumba-24h'!M36,'03.08 Karuma-Kigumba-24h'!M36,'04.08 Karuma-Kigumba'!M36)</f>
        <v>3.7142857142857144</v>
      </c>
      <c r="N36" s="49">
        <f>AVERAGE('29.07 Karuma-Kigumba'!N36,'30.07 Karuma-Kigumba'!N36,'31.07 Karuma-Kigumba'!N36,'01.08 Karuma-Kigumba'!N36,'02.08 Karuma-Kigumba-24h'!N36,'03.08 Karuma-Kigumba-24h'!N36,'04.08 Karuma-Kigumba'!N36)</f>
        <v>0</v>
      </c>
      <c r="O36" s="15">
        <f t="shared" si="0"/>
        <v>15.142857142857142</v>
      </c>
      <c r="P36" s="15">
        <f t="shared" si="1"/>
        <v>18.857142857142858</v>
      </c>
      <c r="R36" s="56" t="s">
        <v>92</v>
      </c>
      <c r="S36" s="57">
        <f t="shared" ref="S36:AF36" si="28">MAX(S19:S21)</f>
        <v>9</v>
      </c>
      <c r="T36" s="57">
        <f t="shared" si="28"/>
        <v>7.4285714285714288</v>
      </c>
      <c r="U36" s="57">
        <f t="shared" si="28"/>
        <v>16.285714285714285</v>
      </c>
      <c r="V36" s="57">
        <f t="shared" si="28"/>
        <v>8</v>
      </c>
      <c r="W36" s="57">
        <f t="shared" si="28"/>
        <v>0.42857142857142855</v>
      </c>
      <c r="X36" s="57">
        <f t="shared" si="28"/>
        <v>4.7142857142857144</v>
      </c>
      <c r="Y36" s="57">
        <f t="shared" si="28"/>
        <v>11.571428571428571</v>
      </c>
      <c r="Z36" s="57">
        <f t="shared" si="28"/>
        <v>2.2857142857142856</v>
      </c>
      <c r="AA36" s="57">
        <f t="shared" si="28"/>
        <v>1.7142857142857142</v>
      </c>
      <c r="AB36" s="57">
        <f t="shared" si="28"/>
        <v>7.4285714285714288</v>
      </c>
      <c r="AC36" s="57">
        <f t="shared" si="28"/>
        <v>18.857142857142858</v>
      </c>
      <c r="AD36" s="57">
        <f t="shared" si="28"/>
        <v>0.2857142857142857</v>
      </c>
      <c r="AE36" s="40">
        <f t="shared" si="28"/>
        <v>64.142857142857139</v>
      </c>
      <c r="AF36" s="40">
        <f t="shared" si="28"/>
        <v>83</v>
      </c>
    </row>
    <row r="37" spans="2:32" ht="23.1" customHeight="1" x14ac:dyDescent="0.25">
      <c r="B37" s="23" t="s">
        <v>64</v>
      </c>
      <c r="C37" s="49">
        <f>AVERAGE('29.07 Karuma-Kigumba'!C37,'30.07 Karuma-Kigumba'!C37,'31.07 Karuma-Kigumba'!C37,'01.08 Karuma-Kigumba'!C37,'02.08 Karuma-Kigumba-24h'!C37,'03.08 Karuma-Kigumba-24h'!C37,'04.08 Karuma-Kigumba'!C37)</f>
        <v>3.4285714285714284</v>
      </c>
      <c r="D37" s="49">
        <f>AVERAGE('29.07 Karuma-Kigumba'!D37,'30.07 Karuma-Kigumba'!D37,'31.07 Karuma-Kigumba'!D37,'01.08 Karuma-Kigumba'!D37,'02.08 Karuma-Kigumba-24h'!D37,'03.08 Karuma-Kigumba-24h'!D37,'04.08 Karuma-Kigumba'!D37)</f>
        <v>2.1428571428571428</v>
      </c>
      <c r="E37" s="49">
        <f>AVERAGE('29.07 Karuma-Kigumba'!E37,'30.07 Karuma-Kigumba'!E37,'31.07 Karuma-Kigumba'!E37,'01.08 Karuma-Kigumba'!E37,'02.08 Karuma-Kigumba-24h'!E37,'03.08 Karuma-Kigumba-24h'!E37,'04.08 Karuma-Kigumba'!E37)</f>
        <v>4.7142857142857144</v>
      </c>
      <c r="F37" s="49">
        <f>AVERAGE('29.07 Karuma-Kigumba'!F37,'30.07 Karuma-Kigumba'!F37,'31.07 Karuma-Kigumba'!F37,'01.08 Karuma-Kigumba'!F37,'02.08 Karuma-Kigumba-24h'!F37,'03.08 Karuma-Kigumba-24h'!F37,'04.08 Karuma-Kigumba'!F37)</f>
        <v>1.4285714285714286</v>
      </c>
      <c r="G37" s="49">
        <f>AVERAGE('29.07 Karuma-Kigumba'!G37,'30.07 Karuma-Kigumba'!G37,'31.07 Karuma-Kigumba'!G37,'01.08 Karuma-Kigumba'!G37,'02.08 Karuma-Kigumba-24h'!G37,'03.08 Karuma-Kigumba-24h'!G37,'04.08 Karuma-Kigumba'!G37)</f>
        <v>0</v>
      </c>
      <c r="H37" s="49">
        <f>AVERAGE('29.07 Karuma-Kigumba'!H37,'30.07 Karuma-Kigumba'!H37,'31.07 Karuma-Kigumba'!H37,'01.08 Karuma-Kigumba'!H37,'02.08 Karuma-Kigumba-24h'!H37,'03.08 Karuma-Kigumba-24h'!H37,'04.08 Karuma-Kigumba'!H37)</f>
        <v>0.7142857142857143</v>
      </c>
      <c r="I37" s="49">
        <f>AVERAGE('29.07 Karuma-Kigumba'!I37,'30.07 Karuma-Kigumba'!I37,'31.07 Karuma-Kigumba'!I37,'01.08 Karuma-Kigumba'!I37,'02.08 Karuma-Kigumba-24h'!I37,'03.08 Karuma-Kigumba-24h'!I37,'04.08 Karuma-Kigumba'!I37)</f>
        <v>2.4285714285714284</v>
      </c>
      <c r="J37" s="49">
        <f>AVERAGE('29.07 Karuma-Kigumba'!J37,'30.07 Karuma-Kigumba'!J37,'31.07 Karuma-Kigumba'!J37,'01.08 Karuma-Kigumba'!J37,'02.08 Karuma-Kigumba-24h'!J37,'03.08 Karuma-Kigumba-24h'!J37,'04.08 Karuma-Kigumba'!J37)</f>
        <v>0.42857142857142855</v>
      </c>
      <c r="K37" s="49">
        <f>AVERAGE('29.07 Karuma-Kigumba'!K37,'30.07 Karuma-Kigumba'!K37,'31.07 Karuma-Kigumba'!K37,'01.08 Karuma-Kigumba'!K37,'02.08 Karuma-Kigumba-24h'!K37,'03.08 Karuma-Kigumba-24h'!K37,'04.08 Karuma-Kigumba'!K37)</f>
        <v>0.7142857142857143</v>
      </c>
      <c r="L37" s="49">
        <f>AVERAGE('29.07 Karuma-Kigumba'!L37,'30.07 Karuma-Kigumba'!L37,'31.07 Karuma-Kigumba'!L37,'01.08 Karuma-Kigumba'!L37,'02.08 Karuma-Kigumba-24h'!L37,'03.08 Karuma-Kigumba-24h'!L37,'04.08 Karuma-Kigumba'!L37)</f>
        <v>1.7142857142857142</v>
      </c>
      <c r="M37" s="49">
        <f>AVERAGE('29.07 Karuma-Kigumba'!M37,'30.07 Karuma-Kigumba'!M37,'31.07 Karuma-Kigumba'!M37,'01.08 Karuma-Kigumba'!M37,'02.08 Karuma-Kigumba-24h'!M37,'03.08 Karuma-Kigumba-24h'!M37,'04.08 Karuma-Kigumba'!M37)</f>
        <v>2.5714285714285716</v>
      </c>
      <c r="N37" s="49">
        <f>AVERAGE('29.07 Karuma-Kigumba'!N37,'30.07 Karuma-Kigumba'!N37,'31.07 Karuma-Kigumba'!N37,'01.08 Karuma-Kigumba'!N37,'02.08 Karuma-Kigumba-24h'!N37,'03.08 Karuma-Kigumba-24h'!N37,'04.08 Karuma-Kigumba'!N37)</f>
        <v>0</v>
      </c>
      <c r="O37" s="15">
        <f t="shared" si="0"/>
        <v>17.714285714285712</v>
      </c>
      <c r="P37" s="15">
        <f t="shared" si="1"/>
        <v>20.285714285714285</v>
      </c>
      <c r="R37" s="37" t="s">
        <v>85</v>
      </c>
      <c r="S37" s="58">
        <f t="shared" ref="S37:AF37" si="29">SUM(S10:S12)</f>
        <v>10.714285714285715</v>
      </c>
      <c r="T37" s="59">
        <f t="shared" si="29"/>
        <v>9.1428571428571423</v>
      </c>
      <c r="U37" s="59">
        <f t="shared" si="29"/>
        <v>25.142857142857146</v>
      </c>
      <c r="V37" s="59">
        <f t="shared" si="29"/>
        <v>10.571428571428571</v>
      </c>
      <c r="W37" s="59">
        <f t="shared" si="29"/>
        <v>0.71428571428571419</v>
      </c>
      <c r="X37" s="59">
        <f t="shared" si="29"/>
        <v>4.4285714285714288</v>
      </c>
      <c r="Y37" s="59">
        <f t="shared" si="29"/>
        <v>8</v>
      </c>
      <c r="Z37" s="59">
        <f t="shared" si="29"/>
        <v>2.1428571428571428</v>
      </c>
      <c r="AA37" s="59">
        <f t="shared" si="29"/>
        <v>1.2857142857142856</v>
      </c>
      <c r="AB37" s="59">
        <f t="shared" si="29"/>
        <v>7.7142857142857135</v>
      </c>
      <c r="AC37" s="59">
        <f t="shared" si="29"/>
        <v>34.714285714285715</v>
      </c>
      <c r="AD37" s="59">
        <f t="shared" si="29"/>
        <v>0.42857142857142855</v>
      </c>
      <c r="AE37" s="60">
        <f t="shared" si="29"/>
        <v>80.285714285714292</v>
      </c>
      <c r="AF37" s="60">
        <f t="shared" si="29"/>
        <v>115</v>
      </c>
    </row>
    <row r="38" spans="2:32" ht="23.1" customHeight="1" x14ac:dyDescent="0.25">
      <c r="B38" s="24" t="s">
        <v>65</v>
      </c>
      <c r="C38" s="49">
        <f>AVERAGE('29.07 Karuma-Kigumba'!C38,'30.07 Karuma-Kigumba'!C38,'31.07 Karuma-Kigumba'!C38,'01.08 Karuma-Kigumba'!C38,'02.08 Karuma-Kigumba-24h'!C38,'03.08 Karuma-Kigumba-24h'!C38,'04.08 Karuma-Kigumba'!C38)</f>
        <v>1.4285714285714286</v>
      </c>
      <c r="D38" s="49">
        <f>AVERAGE('29.07 Karuma-Kigumba'!D38,'30.07 Karuma-Kigumba'!D38,'31.07 Karuma-Kigumba'!D38,'01.08 Karuma-Kigumba'!D38,'02.08 Karuma-Kigumba-24h'!D38,'03.08 Karuma-Kigumba-24h'!D38,'04.08 Karuma-Kigumba'!D38)</f>
        <v>1.8571428571428572</v>
      </c>
      <c r="E38" s="49">
        <f>AVERAGE('29.07 Karuma-Kigumba'!E38,'30.07 Karuma-Kigumba'!E38,'31.07 Karuma-Kigumba'!E38,'01.08 Karuma-Kigumba'!E38,'02.08 Karuma-Kigumba-24h'!E38,'03.08 Karuma-Kigumba-24h'!E38,'04.08 Karuma-Kigumba'!E38)</f>
        <v>3.1428571428571428</v>
      </c>
      <c r="F38" s="49">
        <f>AVERAGE('29.07 Karuma-Kigumba'!F38,'30.07 Karuma-Kigumba'!F38,'31.07 Karuma-Kigumba'!F38,'01.08 Karuma-Kigumba'!F38,'02.08 Karuma-Kigumba-24h'!F38,'03.08 Karuma-Kigumba-24h'!F38,'04.08 Karuma-Kigumba'!F38)</f>
        <v>2.8571428571428572</v>
      </c>
      <c r="G38" s="49">
        <f>AVERAGE('29.07 Karuma-Kigumba'!G38,'30.07 Karuma-Kigumba'!G38,'31.07 Karuma-Kigumba'!G38,'01.08 Karuma-Kigumba'!G38,'02.08 Karuma-Kigumba-24h'!G38,'03.08 Karuma-Kigumba-24h'!G38,'04.08 Karuma-Kigumba'!G38)</f>
        <v>0.14285714285714285</v>
      </c>
      <c r="H38" s="49">
        <f>AVERAGE('29.07 Karuma-Kigumba'!H38,'30.07 Karuma-Kigumba'!H38,'31.07 Karuma-Kigumba'!H38,'01.08 Karuma-Kigumba'!H38,'02.08 Karuma-Kigumba-24h'!H38,'03.08 Karuma-Kigumba-24h'!H38,'04.08 Karuma-Kigumba'!H38)</f>
        <v>1.4285714285714286</v>
      </c>
      <c r="I38" s="49">
        <f>AVERAGE('29.07 Karuma-Kigumba'!I38,'30.07 Karuma-Kigumba'!I38,'31.07 Karuma-Kigumba'!I38,'01.08 Karuma-Kigumba'!I38,'02.08 Karuma-Kigumba-24h'!I38,'03.08 Karuma-Kigumba-24h'!I38,'04.08 Karuma-Kigumba'!I38)</f>
        <v>2.1428571428571428</v>
      </c>
      <c r="J38" s="49">
        <f>AVERAGE('29.07 Karuma-Kigumba'!J38,'30.07 Karuma-Kigumba'!J38,'31.07 Karuma-Kigumba'!J38,'01.08 Karuma-Kigumba'!J38,'02.08 Karuma-Kigumba-24h'!J38,'03.08 Karuma-Kigumba-24h'!J38,'04.08 Karuma-Kigumba'!J38)</f>
        <v>0</v>
      </c>
      <c r="K38" s="49">
        <f>AVERAGE('29.07 Karuma-Kigumba'!K38,'30.07 Karuma-Kigumba'!K38,'31.07 Karuma-Kigumba'!K38,'01.08 Karuma-Kigumba'!K38,'02.08 Karuma-Kigumba-24h'!K38,'03.08 Karuma-Kigumba-24h'!K38,'04.08 Karuma-Kigumba'!K38)</f>
        <v>0.14285714285714285</v>
      </c>
      <c r="L38" s="49">
        <f>AVERAGE('29.07 Karuma-Kigumba'!L38,'30.07 Karuma-Kigumba'!L38,'31.07 Karuma-Kigumba'!L38,'01.08 Karuma-Kigumba'!L38,'02.08 Karuma-Kigumba-24h'!L38,'03.08 Karuma-Kigumba-24h'!L38,'04.08 Karuma-Kigumba'!L38)</f>
        <v>0.2857142857142857</v>
      </c>
      <c r="M38" s="49">
        <f>AVERAGE('29.07 Karuma-Kigumba'!M38,'30.07 Karuma-Kigumba'!M38,'31.07 Karuma-Kigumba'!M38,'01.08 Karuma-Kigumba'!M38,'02.08 Karuma-Kigumba-24h'!M38,'03.08 Karuma-Kigumba-24h'!M38,'04.08 Karuma-Kigumba'!M38)</f>
        <v>2.4285714285714284</v>
      </c>
      <c r="N38" s="49">
        <f>AVERAGE('29.07 Karuma-Kigumba'!N38,'30.07 Karuma-Kigumba'!N38,'31.07 Karuma-Kigumba'!N38,'01.08 Karuma-Kigumba'!N38,'02.08 Karuma-Kigumba-24h'!N38,'03.08 Karuma-Kigumba-24h'!N38,'04.08 Karuma-Kigumba'!N38)</f>
        <v>0</v>
      </c>
      <c r="O38" s="15">
        <f t="shared" si="0"/>
        <v>13.428571428571429</v>
      </c>
      <c r="P38" s="15">
        <f t="shared" si="1"/>
        <v>15.857142857142858</v>
      </c>
      <c r="R38" s="28" t="s">
        <v>86</v>
      </c>
      <c r="S38" s="59">
        <f t="shared" ref="S38:AF38" si="30">SUM(S13:S18)</f>
        <v>46.857142857142861</v>
      </c>
      <c r="T38" s="59">
        <f t="shared" si="30"/>
        <v>42.285714285714285</v>
      </c>
      <c r="U38" s="59">
        <f t="shared" si="30"/>
        <v>87.285714285714306</v>
      </c>
      <c r="V38" s="59">
        <f t="shared" si="30"/>
        <v>35.428571428571431</v>
      </c>
      <c r="W38" s="59">
        <f t="shared" si="30"/>
        <v>1.5714285714285712</v>
      </c>
      <c r="X38" s="59">
        <f t="shared" si="30"/>
        <v>26.714285714285712</v>
      </c>
      <c r="Y38" s="59">
        <f t="shared" si="30"/>
        <v>44.857142857142854</v>
      </c>
      <c r="Z38" s="59">
        <f t="shared" si="30"/>
        <v>7</v>
      </c>
      <c r="AA38" s="59">
        <f t="shared" si="30"/>
        <v>3.1428571428571423</v>
      </c>
      <c r="AB38" s="59">
        <f t="shared" si="30"/>
        <v>26.857142857142858</v>
      </c>
      <c r="AC38" s="59">
        <f t="shared" si="30"/>
        <v>83.857142857142861</v>
      </c>
      <c r="AD38" s="59">
        <f t="shared" si="30"/>
        <v>0.5714285714285714</v>
      </c>
      <c r="AE38" s="60">
        <f t="shared" si="30"/>
        <v>322.57142857142856</v>
      </c>
      <c r="AF38" s="60">
        <f t="shared" si="30"/>
        <v>406.4285714285715</v>
      </c>
    </row>
    <row r="39" spans="2:32" ht="23.1" customHeight="1" x14ac:dyDescent="0.25">
      <c r="B39" s="24" t="s">
        <v>66</v>
      </c>
      <c r="C39" s="49">
        <f>AVERAGE('29.07 Karuma-Kigumba'!C39,'30.07 Karuma-Kigumba'!C39,'31.07 Karuma-Kigumba'!C39,'01.08 Karuma-Kigumba'!C39,'02.08 Karuma-Kigumba-24h'!C39,'03.08 Karuma-Kigumba-24h'!C39,'04.08 Karuma-Kigumba'!C39)</f>
        <v>2.2857142857142856</v>
      </c>
      <c r="D39" s="49">
        <f>AVERAGE('29.07 Karuma-Kigumba'!D39,'30.07 Karuma-Kigumba'!D39,'31.07 Karuma-Kigumba'!D39,'01.08 Karuma-Kigumba'!D39,'02.08 Karuma-Kigumba-24h'!D39,'03.08 Karuma-Kigumba-24h'!D39,'04.08 Karuma-Kigumba'!D39)</f>
        <v>1.4285714285714286</v>
      </c>
      <c r="E39" s="49">
        <f>AVERAGE('29.07 Karuma-Kigumba'!E39,'30.07 Karuma-Kigumba'!E39,'31.07 Karuma-Kigumba'!E39,'01.08 Karuma-Kigumba'!E39,'02.08 Karuma-Kigumba-24h'!E39,'03.08 Karuma-Kigumba-24h'!E39,'04.08 Karuma-Kigumba'!E39)</f>
        <v>3</v>
      </c>
      <c r="F39" s="49">
        <f>AVERAGE('29.07 Karuma-Kigumba'!F39,'30.07 Karuma-Kigumba'!F39,'31.07 Karuma-Kigumba'!F39,'01.08 Karuma-Kigumba'!F39,'02.08 Karuma-Kigumba-24h'!F39,'03.08 Karuma-Kigumba-24h'!F39,'04.08 Karuma-Kigumba'!F39)</f>
        <v>1.4285714285714286</v>
      </c>
      <c r="G39" s="49">
        <f>AVERAGE('29.07 Karuma-Kigumba'!G39,'30.07 Karuma-Kigumba'!G39,'31.07 Karuma-Kigumba'!G39,'01.08 Karuma-Kigumba'!G39,'02.08 Karuma-Kigumba-24h'!G39,'03.08 Karuma-Kigumba-24h'!G39,'04.08 Karuma-Kigumba'!G39)</f>
        <v>0</v>
      </c>
      <c r="H39" s="49">
        <f>AVERAGE('29.07 Karuma-Kigumba'!H39,'30.07 Karuma-Kigumba'!H39,'31.07 Karuma-Kigumba'!H39,'01.08 Karuma-Kigumba'!H39,'02.08 Karuma-Kigumba-24h'!H39,'03.08 Karuma-Kigumba-24h'!H39,'04.08 Karuma-Kigumba'!H39)</f>
        <v>0.2857142857142857</v>
      </c>
      <c r="I39" s="49">
        <f>AVERAGE('29.07 Karuma-Kigumba'!I39,'30.07 Karuma-Kigumba'!I39,'31.07 Karuma-Kigumba'!I39,'01.08 Karuma-Kigumba'!I39,'02.08 Karuma-Kigumba-24h'!I39,'03.08 Karuma-Kigumba-24h'!I39,'04.08 Karuma-Kigumba'!I39)</f>
        <v>2.5714285714285716</v>
      </c>
      <c r="J39" s="49">
        <f>AVERAGE('29.07 Karuma-Kigumba'!J39,'30.07 Karuma-Kigumba'!J39,'31.07 Karuma-Kigumba'!J39,'01.08 Karuma-Kigumba'!J39,'02.08 Karuma-Kigumba-24h'!J39,'03.08 Karuma-Kigumba-24h'!J39,'04.08 Karuma-Kigumba'!J39)</f>
        <v>0.42857142857142855</v>
      </c>
      <c r="K39" s="49">
        <f>AVERAGE('29.07 Karuma-Kigumba'!K39,'30.07 Karuma-Kigumba'!K39,'31.07 Karuma-Kigumba'!K39,'01.08 Karuma-Kigumba'!K39,'02.08 Karuma-Kigumba-24h'!K39,'03.08 Karuma-Kigumba-24h'!K39,'04.08 Karuma-Kigumba'!K39)</f>
        <v>0.14285714285714285</v>
      </c>
      <c r="L39" s="49">
        <f>AVERAGE('29.07 Karuma-Kigumba'!L39,'30.07 Karuma-Kigumba'!L39,'31.07 Karuma-Kigumba'!L39,'01.08 Karuma-Kigumba'!L39,'02.08 Karuma-Kigumba-24h'!L39,'03.08 Karuma-Kigumba-24h'!L39,'04.08 Karuma-Kigumba'!L39)</f>
        <v>2.1428571428571428</v>
      </c>
      <c r="M39" s="49">
        <f>AVERAGE('29.07 Karuma-Kigumba'!M39,'30.07 Karuma-Kigumba'!M39,'31.07 Karuma-Kigumba'!M39,'01.08 Karuma-Kigumba'!M39,'02.08 Karuma-Kigumba-24h'!M39,'03.08 Karuma-Kigumba-24h'!M39,'04.08 Karuma-Kigumba'!M39)</f>
        <v>3.4285714285714284</v>
      </c>
      <c r="N39" s="49">
        <f>AVERAGE('29.07 Karuma-Kigumba'!N39,'30.07 Karuma-Kigumba'!N39,'31.07 Karuma-Kigumba'!N39,'01.08 Karuma-Kigumba'!N39,'02.08 Karuma-Kigumba-24h'!N39,'03.08 Karuma-Kigumba-24h'!N39,'04.08 Karuma-Kigumba'!N39)</f>
        <v>0</v>
      </c>
      <c r="O39" s="15">
        <f t="shared" si="0"/>
        <v>13.714285714285714</v>
      </c>
      <c r="P39" s="15">
        <f t="shared" si="1"/>
        <v>17.142857142857142</v>
      </c>
      <c r="R39" s="29" t="s">
        <v>87</v>
      </c>
      <c r="S39" s="59">
        <f t="shared" ref="S39:AF39" si="31">SUM(S19:S21)</f>
        <v>22.428571428571431</v>
      </c>
      <c r="T39" s="59">
        <f t="shared" si="31"/>
        <v>18.714285714285715</v>
      </c>
      <c r="U39" s="59">
        <f t="shared" si="31"/>
        <v>40.857142857142861</v>
      </c>
      <c r="V39" s="59">
        <f t="shared" si="31"/>
        <v>21.857142857142854</v>
      </c>
      <c r="W39" s="59">
        <f t="shared" si="31"/>
        <v>0.5714285714285714</v>
      </c>
      <c r="X39" s="59">
        <f t="shared" si="31"/>
        <v>11.714285714285715</v>
      </c>
      <c r="Y39" s="59">
        <f t="shared" si="31"/>
        <v>31.714285714285715</v>
      </c>
      <c r="Z39" s="59">
        <f t="shared" si="31"/>
        <v>6.2857142857142847</v>
      </c>
      <c r="AA39" s="59">
        <f t="shared" si="31"/>
        <v>3.1428571428571423</v>
      </c>
      <c r="AB39" s="59">
        <f t="shared" si="31"/>
        <v>21.571428571428569</v>
      </c>
      <c r="AC39" s="59">
        <f t="shared" si="31"/>
        <v>55</v>
      </c>
      <c r="AD39" s="59">
        <f t="shared" si="31"/>
        <v>0.42857142857142855</v>
      </c>
      <c r="AE39" s="60">
        <f t="shared" si="31"/>
        <v>179.28571428571428</v>
      </c>
      <c r="AF39" s="60">
        <f t="shared" si="31"/>
        <v>234.28571428571428</v>
      </c>
    </row>
    <row r="40" spans="2:32" ht="23.1" customHeight="1" x14ac:dyDescent="0.25">
      <c r="B40" s="24" t="s">
        <v>67</v>
      </c>
      <c r="C40" s="49">
        <f>AVERAGE('29.07 Karuma-Kigumba'!C40,'30.07 Karuma-Kigumba'!C40,'31.07 Karuma-Kigumba'!C40,'01.08 Karuma-Kigumba'!C40,'02.08 Karuma-Kigumba-24h'!C40,'03.08 Karuma-Kigumba-24h'!C40,'04.08 Karuma-Kigumba'!C40)</f>
        <v>2.1428571428571428</v>
      </c>
      <c r="D40" s="49">
        <f>AVERAGE('29.07 Karuma-Kigumba'!D40,'30.07 Karuma-Kigumba'!D40,'31.07 Karuma-Kigumba'!D40,'01.08 Karuma-Kigumba'!D40,'02.08 Karuma-Kigumba-24h'!D40,'03.08 Karuma-Kigumba-24h'!D40,'04.08 Karuma-Kigumba'!D40)</f>
        <v>1.5714285714285714</v>
      </c>
      <c r="E40" s="49">
        <f>AVERAGE('29.07 Karuma-Kigumba'!E40,'30.07 Karuma-Kigumba'!E40,'31.07 Karuma-Kigumba'!E40,'01.08 Karuma-Kigumba'!E40,'02.08 Karuma-Kigumba-24h'!E40,'03.08 Karuma-Kigumba-24h'!E40,'04.08 Karuma-Kigumba'!E40)</f>
        <v>3.1428571428571428</v>
      </c>
      <c r="F40" s="49">
        <f>AVERAGE('29.07 Karuma-Kigumba'!F40,'30.07 Karuma-Kigumba'!F40,'31.07 Karuma-Kigumba'!F40,'01.08 Karuma-Kigumba'!F40,'02.08 Karuma-Kigumba-24h'!F40,'03.08 Karuma-Kigumba-24h'!F40,'04.08 Karuma-Kigumba'!F40)</f>
        <v>1.1428571428571428</v>
      </c>
      <c r="G40" s="49">
        <f>AVERAGE('29.07 Karuma-Kigumba'!G40,'30.07 Karuma-Kigumba'!G40,'31.07 Karuma-Kigumba'!G40,'01.08 Karuma-Kigumba'!G40,'02.08 Karuma-Kigumba-24h'!G40,'03.08 Karuma-Kigumba-24h'!G40,'04.08 Karuma-Kigumba'!G40)</f>
        <v>0.14285714285714285</v>
      </c>
      <c r="H40" s="49">
        <f>AVERAGE('29.07 Karuma-Kigumba'!H40,'30.07 Karuma-Kigumba'!H40,'31.07 Karuma-Kigumba'!H40,'01.08 Karuma-Kigumba'!H40,'02.08 Karuma-Kigumba-24h'!H40,'03.08 Karuma-Kigumba-24h'!H40,'04.08 Karuma-Kigumba'!H40)</f>
        <v>0.8571428571428571</v>
      </c>
      <c r="I40" s="49">
        <f>AVERAGE('29.07 Karuma-Kigumba'!I40,'30.07 Karuma-Kigumba'!I40,'31.07 Karuma-Kigumba'!I40,'01.08 Karuma-Kigumba'!I40,'02.08 Karuma-Kigumba-24h'!I40,'03.08 Karuma-Kigumba-24h'!I40,'04.08 Karuma-Kigumba'!I40)</f>
        <v>2.4285714285714284</v>
      </c>
      <c r="J40" s="49">
        <f>AVERAGE('29.07 Karuma-Kigumba'!J40,'30.07 Karuma-Kigumba'!J40,'31.07 Karuma-Kigumba'!J40,'01.08 Karuma-Kigumba'!J40,'02.08 Karuma-Kigumba-24h'!J40,'03.08 Karuma-Kigumba-24h'!J40,'04.08 Karuma-Kigumba'!J40)</f>
        <v>0.2857142857142857</v>
      </c>
      <c r="K40" s="49">
        <f>AVERAGE('29.07 Karuma-Kigumba'!K40,'30.07 Karuma-Kigumba'!K40,'31.07 Karuma-Kigumba'!K40,'01.08 Karuma-Kigumba'!K40,'02.08 Karuma-Kigumba-24h'!K40,'03.08 Karuma-Kigumba-24h'!K40,'04.08 Karuma-Kigumba'!K40)</f>
        <v>0</v>
      </c>
      <c r="L40" s="49">
        <f>AVERAGE('29.07 Karuma-Kigumba'!L40,'30.07 Karuma-Kigumba'!L40,'31.07 Karuma-Kigumba'!L40,'01.08 Karuma-Kigumba'!L40,'02.08 Karuma-Kigumba-24h'!L40,'03.08 Karuma-Kigumba-24h'!L40,'04.08 Karuma-Kigumba'!L40)</f>
        <v>1.8571428571428572</v>
      </c>
      <c r="M40" s="49">
        <f>AVERAGE('29.07 Karuma-Kigumba'!M40,'30.07 Karuma-Kigumba'!M40,'31.07 Karuma-Kigumba'!M40,'01.08 Karuma-Kigumba'!M40,'02.08 Karuma-Kigumba-24h'!M40,'03.08 Karuma-Kigumba-24h'!M40,'04.08 Karuma-Kigumba'!M40)</f>
        <v>3.4285714285714284</v>
      </c>
      <c r="N40" s="49">
        <f>AVERAGE('29.07 Karuma-Kigumba'!N40,'30.07 Karuma-Kigumba'!N40,'31.07 Karuma-Kigumba'!N40,'01.08 Karuma-Kigumba'!N40,'02.08 Karuma-Kigumba-24h'!N40,'03.08 Karuma-Kigumba-24h'!N40,'04.08 Karuma-Kigumba'!N40)</f>
        <v>0</v>
      </c>
      <c r="O40" s="15">
        <f t="shared" si="0"/>
        <v>13.571428571428573</v>
      </c>
      <c r="P40" s="15">
        <f t="shared" si="1"/>
        <v>17</v>
      </c>
      <c r="R40" s="5" t="s">
        <v>17</v>
      </c>
      <c r="S40" s="59">
        <f t="shared" ref="S40:AF40" si="32">SUM(S10:S21)</f>
        <v>80</v>
      </c>
      <c r="T40" s="59">
        <f t="shared" si="32"/>
        <v>70.142857142857153</v>
      </c>
      <c r="U40" s="59">
        <f t="shared" si="32"/>
        <v>153.28571428571428</v>
      </c>
      <c r="V40" s="59">
        <f t="shared" si="32"/>
        <v>67.857142857142861</v>
      </c>
      <c r="W40" s="59">
        <f t="shared" si="32"/>
        <v>2.8571428571428563</v>
      </c>
      <c r="X40" s="59">
        <f t="shared" si="32"/>
        <v>42.857142857142854</v>
      </c>
      <c r="Y40" s="59">
        <f t="shared" si="32"/>
        <v>84.571428571428569</v>
      </c>
      <c r="Z40" s="59">
        <f t="shared" si="32"/>
        <v>15.428571428571427</v>
      </c>
      <c r="AA40" s="59">
        <f t="shared" si="32"/>
        <v>7.5714285714285703</v>
      </c>
      <c r="AB40" s="59">
        <f t="shared" si="32"/>
        <v>56.142857142857153</v>
      </c>
      <c r="AC40" s="59">
        <f t="shared" si="32"/>
        <v>173.57142857142858</v>
      </c>
      <c r="AD40" s="59">
        <f t="shared" si="32"/>
        <v>1.4285714285714284</v>
      </c>
      <c r="AE40" s="60">
        <f t="shared" si="32"/>
        <v>582.142857142857</v>
      </c>
      <c r="AF40" s="60">
        <f t="shared" si="32"/>
        <v>755.71428571428589</v>
      </c>
    </row>
    <row r="41" spans="2:32" ht="23.1" customHeight="1" x14ac:dyDescent="0.25">
      <c r="B41" s="23" t="s">
        <v>68</v>
      </c>
      <c r="C41" s="49">
        <f>AVERAGE('29.07 Karuma-Kigumba'!C41,'30.07 Karuma-Kigumba'!C41,'31.07 Karuma-Kigumba'!C41,'01.08 Karuma-Kigumba'!C41,'02.08 Karuma-Kigumba-24h'!C41,'03.08 Karuma-Kigumba-24h'!C41,'04.08 Karuma-Kigumba'!C41)</f>
        <v>2.4285714285714284</v>
      </c>
      <c r="D41" s="49">
        <f>AVERAGE('29.07 Karuma-Kigumba'!D41,'30.07 Karuma-Kigumba'!D41,'31.07 Karuma-Kigumba'!D41,'01.08 Karuma-Kigumba'!D41,'02.08 Karuma-Kigumba-24h'!D41,'03.08 Karuma-Kigumba-24h'!D41,'04.08 Karuma-Kigumba'!D41)</f>
        <v>1.5714285714285714</v>
      </c>
      <c r="E41" s="49">
        <f>AVERAGE('29.07 Karuma-Kigumba'!E41,'30.07 Karuma-Kigumba'!E41,'31.07 Karuma-Kigumba'!E41,'01.08 Karuma-Kigumba'!E41,'02.08 Karuma-Kigumba-24h'!E41,'03.08 Karuma-Kigumba-24h'!E41,'04.08 Karuma-Kigumba'!E41)</f>
        <v>4</v>
      </c>
      <c r="F41" s="49">
        <f>AVERAGE('29.07 Karuma-Kigumba'!F41,'30.07 Karuma-Kigumba'!F41,'31.07 Karuma-Kigumba'!F41,'01.08 Karuma-Kigumba'!F41,'02.08 Karuma-Kigumba-24h'!F41,'03.08 Karuma-Kigumba-24h'!F41,'04.08 Karuma-Kigumba'!F41)</f>
        <v>2</v>
      </c>
      <c r="G41" s="49">
        <f>AVERAGE('29.07 Karuma-Kigumba'!G41,'30.07 Karuma-Kigumba'!G41,'31.07 Karuma-Kigumba'!G41,'01.08 Karuma-Kigumba'!G41,'02.08 Karuma-Kigumba-24h'!G41,'03.08 Karuma-Kigumba-24h'!G41,'04.08 Karuma-Kigumba'!G41)</f>
        <v>0</v>
      </c>
      <c r="H41" s="49">
        <f>AVERAGE('29.07 Karuma-Kigumba'!H41,'30.07 Karuma-Kigumba'!H41,'31.07 Karuma-Kigumba'!H41,'01.08 Karuma-Kigumba'!H41,'02.08 Karuma-Kigumba-24h'!H41,'03.08 Karuma-Kigumba-24h'!H41,'04.08 Karuma-Kigumba'!H41)</f>
        <v>1.8571428571428572</v>
      </c>
      <c r="I41" s="49">
        <f>AVERAGE('29.07 Karuma-Kigumba'!I41,'30.07 Karuma-Kigumba'!I41,'31.07 Karuma-Kigumba'!I41,'01.08 Karuma-Kigumba'!I41,'02.08 Karuma-Kigumba-24h'!I41,'03.08 Karuma-Kigumba-24h'!I41,'04.08 Karuma-Kigumba'!I41)</f>
        <v>1.5714285714285714</v>
      </c>
      <c r="J41" s="49">
        <f>AVERAGE('29.07 Karuma-Kigumba'!J41,'30.07 Karuma-Kigumba'!J41,'31.07 Karuma-Kigumba'!J41,'01.08 Karuma-Kigumba'!J41,'02.08 Karuma-Kigumba-24h'!J41,'03.08 Karuma-Kigumba-24h'!J41,'04.08 Karuma-Kigumba'!J41)</f>
        <v>0.5714285714285714</v>
      </c>
      <c r="K41" s="49">
        <f>AVERAGE('29.07 Karuma-Kigumba'!K41,'30.07 Karuma-Kigumba'!K41,'31.07 Karuma-Kigumba'!K41,'01.08 Karuma-Kigumba'!K41,'02.08 Karuma-Kigumba-24h'!K41,'03.08 Karuma-Kigumba-24h'!K41,'04.08 Karuma-Kigumba'!K41)</f>
        <v>0</v>
      </c>
      <c r="L41" s="49">
        <f>AVERAGE('29.07 Karuma-Kigumba'!L41,'30.07 Karuma-Kigumba'!L41,'31.07 Karuma-Kigumba'!L41,'01.08 Karuma-Kigumba'!L41,'02.08 Karuma-Kigumba-24h'!L41,'03.08 Karuma-Kigumba-24h'!L41,'04.08 Karuma-Kigumba'!L41)</f>
        <v>1.1428571428571428</v>
      </c>
      <c r="M41" s="49">
        <f>AVERAGE('29.07 Karuma-Kigumba'!M41,'30.07 Karuma-Kigumba'!M41,'31.07 Karuma-Kigumba'!M41,'01.08 Karuma-Kigumba'!M41,'02.08 Karuma-Kigumba-24h'!M41,'03.08 Karuma-Kigumba-24h'!M41,'04.08 Karuma-Kigumba'!M41)</f>
        <v>3.7142857142857144</v>
      </c>
      <c r="N41" s="49">
        <f>AVERAGE('29.07 Karuma-Kigumba'!N41,'30.07 Karuma-Kigumba'!N41,'31.07 Karuma-Kigumba'!N41,'01.08 Karuma-Kigumba'!N41,'02.08 Karuma-Kigumba-24h'!N41,'03.08 Karuma-Kigumba-24h'!N41,'04.08 Karuma-Kigumba'!N41)</f>
        <v>0</v>
      </c>
      <c r="O41" s="15">
        <f t="shared" si="0"/>
        <v>15.142857142857142</v>
      </c>
      <c r="P41" s="15">
        <f t="shared" si="1"/>
        <v>18.857142857142858</v>
      </c>
      <c r="R41" s="5" t="s">
        <v>176</v>
      </c>
      <c r="S41" s="59">
        <f>SUM(S10:S33)</f>
        <v>129.5</v>
      </c>
      <c r="T41" s="59">
        <f t="shared" ref="T41:AD41" si="33">SUM(T10:T33)</f>
        <v>104.64285714285715</v>
      </c>
      <c r="U41" s="59">
        <f t="shared" si="33"/>
        <v>260.78571428571428</v>
      </c>
      <c r="V41" s="59">
        <f t="shared" si="33"/>
        <v>112.85714285714286</v>
      </c>
      <c r="W41" s="59">
        <f t="shared" si="33"/>
        <v>2.8571428571428563</v>
      </c>
      <c r="X41" s="59">
        <f t="shared" si="33"/>
        <v>78.357142857142861</v>
      </c>
      <c r="Y41" s="59">
        <f t="shared" si="33"/>
        <v>135.57142857142856</v>
      </c>
      <c r="Z41" s="59">
        <f t="shared" si="33"/>
        <v>24.428571428571427</v>
      </c>
      <c r="AA41" s="59">
        <f t="shared" si="33"/>
        <v>8.5714285714285694</v>
      </c>
      <c r="AB41" s="59">
        <f t="shared" si="33"/>
        <v>97.142857142857153</v>
      </c>
      <c r="AC41" s="59">
        <f t="shared" si="33"/>
        <v>240.57142857142858</v>
      </c>
      <c r="AD41" s="59">
        <f t="shared" si="33"/>
        <v>1.4285714285714284</v>
      </c>
      <c r="AE41" s="60">
        <f>SUM(AE10:AE33)</f>
        <v>956.142857142857</v>
      </c>
      <c r="AF41" s="60">
        <f>SUM(AF10:AF33)</f>
        <v>1196.7142857142858</v>
      </c>
    </row>
    <row r="42" spans="2:32" ht="23.1" customHeight="1" x14ac:dyDescent="0.25">
      <c r="B42" s="24" t="s">
        <v>69</v>
      </c>
      <c r="C42" s="49">
        <f>AVERAGE('29.07 Karuma-Kigumba'!C42,'30.07 Karuma-Kigumba'!C42,'31.07 Karuma-Kigumba'!C42,'01.08 Karuma-Kigumba'!C42,'02.08 Karuma-Kigumba-24h'!C42,'03.08 Karuma-Kigumba-24h'!C42,'04.08 Karuma-Kigumba'!C42)</f>
        <v>1.8571428571428572</v>
      </c>
      <c r="D42" s="49">
        <f>AVERAGE('29.07 Karuma-Kigumba'!D42,'30.07 Karuma-Kigumba'!D42,'31.07 Karuma-Kigumba'!D42,'01.08 Karuma-Kigumba'!D42,'02.08 Karuma-Kigumba-24h'!D42,'03.08 Karuma-Kigumba-24h'!D42,'04.08 Karuma-Kigumba'!D42)</f>
        <v>1.7142857142857142</v>
      </c>
      <c r="E42" s="49">
        <f>AVERAGE('29.07 Karuma-Kigumba'!E42,'30.07 Karuma-Kigumba'!E42,'31.07 Karuma-Kigumba'!E42,'01.08 Karuma-Kigumba'!E42,'02.08 Karuma-Kigumba-24h'!E42,'03.08 Karuma-Kigumba-24h'!E42,'04.08 Karuma-Kigumba'!E42)</f>
        <v>3.5714285714285716</v>
      </c>
      <c r="F42" s="49">
        <f>AVERAGE('29.07 Karuma-Kigumba'!F42,'30.07 Karuma-Kigumba'!F42,'31.07 Karuma-Kigumba'!F42,'01.08 Karuma-Kigumba'!F42,'02.08 Karuma-Kigumba-24h'!F42,'03.08 Karuma-Kigumba-24h'!F42,'04.08 Karuma-Kigumba'!F42)</f>
        <v>1.1428571428571428</v>
      </c>
      <c r="G42" s="49">
        <f>AVERAGE('29.07 Karuma-Kigumba'!G42,'30.07 Karuma-Kigumba'!G42,'31.07 Karuma-Kigumba'!G42,'01.08 Karuma-Kigumba'!G42,'02.08 Karuma-Kigumba-24h'!G42,'03.08 Karuma-Kigumba-24h'!G42,'04.08 Karuma-Kigumba'!G42)</f>
        <v>0.14285714285714285</v>
      </c>
      <c r="H42" s="49">
        <f>AVERAGE('29.07 Karuma-Kigumba'!H42,'30.07 Karuma-Kigumba'!H42,'31.07 Karuma-Kigumba'!H42,'01.08 Karuma-Kigumba'!H42,'02.08 Karuma-Kigumba-24h'!H42,'03.08 Karuma-Kigumba-24h'!H42,'04.08 Karuma-Kigumba'!H42)</f>
        <v>1.4285714285714286</v>
      </c>
      <c r="I42" s="49">
        <f>AVERAGE('29.07 Karuma-Kigumba'!I42,'30.07 Karuma-Kigumba'!I42,'31.07 Karuma-Kigumba'!I42,'01.08 Karuma-Kigumba'!I42,'02.08 Karuma-Kigumba-24h'!I42,'03.08 Karuma-Kigumba-24h'!I42,'04.08 Karuma-Kigumba'!I42)</f>
        <v>3.4285714285714284</v>
      </c>
      <c r="J42" s="49">
        <f>AVERAGE('29.07 Karuma-Kigumba'!J42,'30.07 Karuma-Kigumba'!J42,'31.07 Karuma-Kigumba'!J42,'01.08 Karuma-Kigumba'!J42,'02.08 Karuma-Kigumba-24h'!J42,'03.08 Karuma-Kigumba-24h'!J42,'04.08 Karuma-Kigumba'!J42)</f>
        <v>0.2857142857142857</v>
      </c>
      <c r="K42" s="49">
        <f>AVERAGE('29.07 Karuma-Kigumba'!K42,'30.07 Karuma-Kigumba'!K42,'31.07 Karuma-Kigumba'!K42,'01.08 Karuma-Kigumba'!K42,'02.08 Karuma-Kigumba-24h'!K42,'03.08 Karuma-Kigumba-24h'!K42,'04.08 Karuma-Kigumba'!K42)</f>
        <v>0.42857142857142855</v>
      </c>
      <c r="L42" s="49">
        <f>AVERAGE('29.07 Karuma-Kigumba'!L42,'30.07 Karuma-Kigumba'!L42,'31.07 Karuma-Kigumba'!L42,'01.08 Karuma-Kigumba'!L42,'02.08 Karuma-Kigumba-24h'!L42,'03.08 Karuma-Kigumba-24h'!L42,'04.08 Karuma-Kigumba'!L42)</f>
        <v>1.2857142857142858</v>
      </c>
      <c r="M42" s="49">
        <f>AVERAGE('29.07 Karuma-Kigumba'!M42,'30.07 Karuma-Kigumba'!M42,'31.07 Karuma-Kigumba'!M42,'01.08 Karuma-Kigumba'!M42,'02.08 Karuma-Kigumba-24h'!M42,'03.08 Karuma-Kigumba-24h'!M42,'04.08 Karuma-Kigumba'!M42)</f>
        <v>4.7142857142857144</v>
      </c>
      <c r="N42" s="49">
        <f>AVERAGE('29.07 Karuma-Kigumba'!N42,'30.07 Karuma-Kigumba'!N42,'31.07 Karuma-Kigumba'!N42,'01.08 Karuma-Kigumba'!N42,'02.08 Karuma-Kigumba-24h'!N42,'03.08 Karuma-Kigumba-24h'!N42,'04.08 Karuma-Kigumba'!N42)</f>
        <v>0</v>
      </c>
      <c r="O42" s="15">
        <f t="shared" si="0"/>
        <v>15.285714285714286</v>
      </c>
      <c r="P42" s="15">
        <f t="shared" si="1"/>
        <v>20</v>
      </c>
      <c r="R42" s="5" t="s">
        <v>160</v>
      </c>
      <c r="S42" s="48">
        <f>S41/S40</f>
        <v>1.6187499999999999</v>
      </c>
      <c r="T42" s="48">
        <f t="shared" ref="T42:AF42" si="34">T41/T40</f>
        <v>1.4918533604887982</v>
      </c>
      <c r="U42" s="48">
        <f t="shared" si="34"/>
        <v>1.7013047530288909</v>
      </c>
      <c r="V42" s="48">
        <f t="shared" si="34"/>
        <v>1.6631578947368422</v>
      </c>
      <c r="W42" s="48">
        <f t="shared" si="34"/>
        <v>1</v>
      </c>
      <c r="X42" s="48">
        <f t="shared" si="34"/>
        <v>1.8283333333333336</v>
      </c>
      <c r="Y42" s="48">
        <f t="shared" si="34"/>
        <v>1.6030405405405403</v>
      </c>
      <c r="Z42" s="48">
        <f t="shared" si="34"/>
        <v>1.5833333333333335</v>
      </c>
      <c r="AA42" s="48">
        <f t="shared" si="34"/>
        <v>1.1320754716981132</v>
      </c>
      <c r="AB42" s="48">
        <f t="shared" si="34"/>
        <v>1.7302798982188294</v>
      </c>
      <c r="AC42" s="48">
        <f t="shared" si="34"/>
        <v>1.3860082304526748</v>
      </c>
      <c r="AD42" s="48">
        <f t="shared" si="34"/>
        <v>1</v>
      </c>
      <c r="AE42" s="61">
        <f t="shared" si="34"/>
        <v>1.6424539877300615</v>
      </c>
      <c r="AF42" s="61">
        <f t="shared" si="34"/>
        <v>1.5835538752362945</v>
      </c>
    </row>
    <row r="43" spans="2:32" ht="23.1" customHeight="1" x14ac:dyDescent="0.25">
      <c r="B43" s="23" t="s">
        <v>70</v>
      </c>
      <c r="C43" s="49">
        <f>AVERAGE('29.07 Karuma-Kigumba'!C43,'30.07 Karuma-Kigumba'!C43,'31.07 Karuma-Kigumba'!C43,'01.08 Karuma-Kigumba'!C43,'02.08 Karuma-Kigumba-24h'!C43,'03.08 Karuma-Kigumba-24h'!C43,'04.08 Karuma-Kigumba'!C43)</f>
        <v>1.2857142857142858</v>
      </c>
      <c r="D43" s="49">
        <f>AVERAGE('29.07 Karuma-Kigumba'!D43,'30.07 Karuma-Kigumba'!D43,'31.07 Karuma-Kigumba'!D43,'01.08 Karuma-Kigumba'!D43,'02.08 Karuma-Kigumba-24h'!D43,'03.08 Karuma-Kigumba-24h'!D43,'04.08 Karuma-Kigumba'!D43)</f>
        <v>2.1428571428571428</v>
      </c>
      <c r="E43" s="49">
        <f>AVERAGE('29.07 Karuma-Kigumba'!E43,'30.07 Karuma-Kigumba'!E43,'31.07 Karuma-Kigumba'!E43,'01.08 Karuma-Kigumba'!E43,'02.08 Karuma-Kigumba-24h'!E43,'03.08 Karuma-Kigumba-24h'!E43,'04.08 Karuma-Kigumba'!E43)</f>
        <v>3.8571428571428572</v>
      </c>
      <c r="F43" s="49">
        <f>AVERAGE('29.07 Karuma-Kigumba'!F43,'30.07 Karuma-Kigumba'!F43,'31.07 Karuma-Kigumba'!F43,'01.08 Karuma-Kigumba'!F43,'02.08 Karuma-Kigumba-24h'!F43,'03.08 Karuma-Kigumba-24h'!F43,'04.08 Karuma-Kigumba'!F43)</f>
        <v>1.8571428571428572</v>
      </c>
      <c r="G43" s="49">
        <f>AVERAGE('29.07 Karuma-Kigumba'!G43,'30.07 Karuma-Kigumba'!G43,'31.07 Karuma-Kigumba'!G43,'01.08 Karuma-Kigumba'!G43,'02.08 Karuma-Kigumba-24h'!G43,'03.08 Karuma-Kigumba-24h'!G43,'04.08 Karuma-Kigumba'!G43)</f>
        <v>0</v>
      </c>
      <c r="H43" s="49">
        <f>AVERAGE('29.07 Karuma-Kigumba'!H43,'30.07 Karuma-Kigumba'!H43,'31.07 Karuma-Kigumba'!H43,'01.08 Karuma-Kigumba'!H43,'02.08 Karuma-Kigumba-24h'!H43,'03.08 Karuma-Kigumba-24h'!H43,'04.08 Karuma-Kigumba'!H43)</f>
        <v>1.1428571428571428</v>
      </c>
      <c r="I43" s="49">
        <f>AVERAGE('29.07 Karuma-Kigumba'!I43,'30.07 Karuma-Kigumba'!I43,'31.07 Karuma-Kigumba'!I43,'01.08 Karuma-Kigumba'!I43,'02.08 Karuma-Kigumba-24h'!I43,'03.08 Karuma-Kigumba-24h'!I43,'04.08 Karuma-Kigumba'!I43)</f>
        <v>2.1428571428571428</v>
      </c>
      <c r="J43" s="49">
        <f>AVERAGE('29.07 Karuma-Kigumba'!J43,'30.07 Karuma-Kigumba'!J43,'31.07 Karuma-Kigumba'!J43,'01.08 Karuma-Kigumba'!J43,'02.08 Karuma-Kigumba-24h'!J43,'03.08 Karuma-Kigumba-24h'!J43,'04.08 Karuma-Kigumba'!J43)</f>
        <v>0.2857142857142857</v>
      </c>
      <c r="K43" s="49">
        <f>AVERAGE('29.07 Karuma-Kigumba'!K43,'30.07 Karuma-Kigumba'!K43,'31.07 Karuma-Kigumba'!K43,'01.08 Karuma-Kigumba'!K43,'02.08 Karuma-Kigumba-24h'!K43,'03.08 Karuma-Kigumba-24h'!K43,'04.08 Karuma-Kigumba'!K43)</f>
        <v>0.14285714285714285</v>
      </c>
      <c r="L43" s="49">
        <f>AVERAGE('29.07 Karuma-Kigumba'!L43,'30.07 Karuma-Kigumba'!L43,'31.07 Karuma-Kigumba'!L43,'01.08 Karuma-Kigumba'!L43,'02.08 Karuma-Kigumba-24h'!L43,'03.08 Karuma-Kigumba-24h'!L43,'04.08 Karuma-Kigumba'!L43)</f>
        <v>1.2857142857142858</v>
      </c>
      <c r="M43" s="49">
        <f>AVERAGE('29.07 Karuma-Kigumba'!M43,'30.07 Karuma-Kigumba'!M43,'31.07 Karuma-Kigumba'!M43,'01.08 Karuma-Kigumba'!M43,'02.08 Karuma-Kigumba-24h'!M43,'03.08 Karuma-Kigumba-24h'!M43,'04.08 Karuma-Kigumba'!M43)</f>
        <v>3.1428571428571428</v>
      </c>
      <c r="N43" s="49">
        <f>AVERAGE('29.07 Karuma-Kigumba'!N43,'30.07 Karuma-Kigumba'!N43,'31.07 Karuma-Kigumba'!N43,'01.08 Karuma-Kigumba'!N43,'02.08 Karuma-Kigumba-24h'!N43,'03.08 Karuma-Kigumba-24h'!N43,'04.08 Karuma-Kigumba'!N43)</f>
        <v>0</v>
      </c>
      <c r="O43" s="15">
        <f t="shared" si="0"/>
        <v>14.142857142857144</v>
      </c>
      <c r="P43" s="15">
        <f t="shared" si="1"/>
        <v>17.285714285714288</v>
      </c>
    </row>
    <row r="44" spans="2:32" ht="23.1" customHeight="1" x14ac:dyDescent="0.25">
      <c r="B44" s="25" t="s">
        <v>71</v>
      </c>
      <c r="C44" s="49">
        <f>AVERAGE('29.07 Karuma-Kigumba'!C44,'30.07 Karuma-Kigumba'!C44,'31.07 Karuma-Kigumba'!C44,'01.08 Karuma-Kigumba'!C44,'02.08 Karuma-Kigumba-24h'!C44,'03.08 Karuma-Kigumba-24h'!C44,'04.08 Karuma-Kigumba'!C44)</f>
        <v>2.8571428571428572</v>
      </c>
      <c r="D44" s="49">
        <f>AVERAGE('29.07 Karuma-Kigumba'!D44,'30.07 Karuma-Kigumba'!D44,'31.07 Karuma-Kigumba'!D44,'01.08 Karuma-Kigumba'!D44,'02.08 Karuma-Kigumba-24h'!D44,'03.08 Karuma-Kigumba-24h'!D44,'04.08 Karuma-Kigumba'!D44)</f>
        <v>1.8571428571428572</v>
      </c>
      <c r="E44" s="49">
        <f>AVERAGE('29.07 Karuma-Kigumba'!E44,'30.07 Karuma-Kigumba'!E44,'31.07 Karuma-Kigumba'!E44,'01.08 Karuma-Kigumba'!E44,'02.08 Karuma-Kigumba-24h'!E44,'03.08 Karuma-Kigumba-24h'!E44,'04.08 Karuma-Kigumba'!E44)</f>
        <v>3.5714285714285716</v>
      </c>
      <c r="F44" s="49">
        <f>AVERAGE('29.07 Karuma-Kigumba'!F44,'30.07 Karuma-Kigumba'!F44,'31.07 Karuma-Kigumba'!F44,'01.08 Karuma-Kigumba'!F44,'02.08 Karuma-Kigumba-24h'!F44,'03.08 Karuma-Kigumba-24h'!F44,'04.08 Karuma-Kigumba'!F44)</f>
        <v>0.8571428571428571</v>
      </c>
      <c r="G44" s="49">
        <f>AVERAGE('29.07 Karuma-Kigumba'!G44,'30.07 Karuma-Kigumba'!G44,'31.07 Karuma-Kigumba'!G44,'01.08 Karuma-Kigumba'!G44,'02.08 Karuma-Kigumba-24h'!G44,'03.08 Karuma-Kigumba-24h'!G44,'04.08 Karuma-Kigumba'!G44)</f>
        <v>0</v>
      </c>
      <c r="H44" s="49">
        <f>AVERAGE('29.07 Karuma-Kigumba'!H44,'30.07 Karuma-Kigumba'!H44,'31.07 Karuma-Kigumba'!H44,'01.08 Karuma-Kigumba'!H44,'02.08 Karuma-Kigumba-24h'!H44,'03.08 Karuma-Kigumba-24h'!H44,'04.08 Karuma-Kigumba'!H44)</f>
        <v>1.2857142857142858</v>
      </c>
      <c r="I44" s="49">
        <f>AVERAGE('29.07 Karuma-Kigumba'!I44,'30.07 Karuma-Kigumba'!I44,'31.07 Karuma-Kigumba'!I44,'01.08 Karuma-Kigumba'!I44,'02.08 Karuma-Kigumba-24h'!I44,'03.08 Karuma-Kigumba-24h'!I44,'04.08 Karuma-Kigumba'!I44)</f>
        <v>1.8571428571428572</v>
      </c>
      <c r="J44" s="49">
        <f>AVERAGE('29.07 Karuma-Kigumba'!J44,'30.07 Karuma-Kigumba'!J44,'31.07 Karuma-Kigumba'!J44,'01.08 Karuma-Kigumba'!J44,'02.08 Karuma-Kigumba-24h'!J44,'03.08 Karuma-Kigumba-24h'!J44,'04.08 Karuma-Kigumba'!J44)</f>
        <v>0.2857142857142857</v>
      </c>
      <c r="K44" s="49">
        <f>AVERAGE('29.07 Karuma-Kigumba'!K44,'30.07 Karuma-Kigumba'!K44,'31.07 Karuma-Kigumba'!K44,'01.08 Karuma-Kigumba'!K44,'02.08 Karuma-Kigumba-24h'!K44,'03.08 Karuma-Kigumba-24h'!K44,'04.08 Karuma-Kigumba'!K44)</f>
        <v>0</v>
      </c>
      <c r="L44" s="49">
        <f>AVERAGE('29.07 Karuma-Kigumba'!L44,'30.07 Karuma-Kigumba'!L44,'31.07 Karuma-Kigumba'!L44,'01.08 Karuma-Kigumba'!L44,'02.08 Karuma-Kigumba-24h'!L44,'03.08 Karuma-Kigumba-24h'!L44,'04.08 Karuma-Kigumba'!L44)</f>
        <v>1.5714285714285714</v>
      </c>
      <c r="M44" s="49">
        <f>AVERAGE('29.07 Karuma-Kigumba'!M44,'30.07 Karuma-Kigumba'!M44,'31.07 Karuma-Kigumba'!M44,'01.08 Karuma-Kigumba'!M44,'02.08 Karuma-Kigumba-24h'!M44,'03.08 Karuma-Kigumba-24h'!M44,'04.08 Karuma-Kigumba'!M44)</f>
        <v>4.8571428571428568</v>
      </c>
      <c r="N44" s="49">
        <f>AVERAGE('29.07 Karuma-Kigumba'!N44,'30.07 Karuma-Kigumba'!N44,'31.07 Karuma-Kigumba'!N44,'01.08 Karuma-Kigumba'!N44,'02.08 Karuma-Kigumba-24h'!N44,'03.08 Karuma-Kigumba-24h'!N44,'04.08 Karuma-Kigumba'!N44)</f>
        <v>0.14285714285714285</v>
      </c>
      <c r="O44" s="15">
        <f t="shared" si="0"/>
        <v>14.285714285714288</v>
      </c>
      <c r="P44" s="15">
        <f t="shared" si="1"/>
        <v>19.142857142857146</v>
      </c>
    </row>
    <row r="45" spans="2:32" ht="23.1" customHeight="1" x14ac:dyDescent="0.25">
      <c r="B45" s="23" t="s">
        <v>72</v>
      </c>
      <c r="C45" s="49">
        <f>AVERAGE('29.07 Karuma-Kigumba'!C45,'30.07 Karuma-Kigumba'!C45,'31.07 Karuma-Kigumba'!C45,'01.08 Karuma-Kigumba'!C45,'02.08 Karuma-Kigumba-24h'!C45,'03.08 Karuma-Kigumba-24h'!C45,'04.08 Karuma-Kigumba'!C45)</f>
        <v>2.1428571428571428</v>
      </c>
      <c r="D45" s="49">
        <f>AVERAGE('29.07 Karuma-Kigumba'!D45,'30.07 Karuma-Kigumba'!D45,'31.07 Karuma-Kigumba'!D45,'01.08 Karuma-Kigumba'!D45,'02.08 Karuma-Kigumba-24h'!D45,'03.08 Karuma-Kigumba-24h'!D45,'04.08 Karuma-Kigumba'!D45)</f>
        <v>1.7142857142857142</v>
      </c>
      <c r="E45" s="49">
        <f>AVERAGE('29.07 Karuma-Kigumba'!E45,'30.07 Karuma-Kigumba'!E45,'31.07 Karuma-Kigumba'!E45,'01.08 Karuma-Kigumba'!E45,'02.08 Karuma-Kigumba-24h'!E45,'03.08 Karuma-Kigumba-24h'!E45,'04.08 Karuma-Kigumba'!E45)</f>
        <v>3.7142857142857144</v>
      </c>
      <c r="F45" s="49">
        <f>AVERAGE('29.07 Karuma-Kigumba'!F45,'30.07 Karuma-Kigumba'!F45,'31.07 Karuma-Kigumba'!F45,'01.08 Karuma-Kigumba'!F45,'02.08 Karuma-Kigumba-24h'!F45,'03.08 Karuma-Kigumba-24h'!F45,'04.08 Karuma-Kigumba'!F45)</f>
        <v>1.4285714285714286</v>
      </c>
      <c r="G45" s="49">
        <f>AVERAGE('29.07 Karuma-Kigumba'!G45,'30.07 Karuma-Kigumba'!G45,'31.07 Karuma-Kigumba'!G45,'01.08 Karuma-Kigumba'!G45,'02.08 Karuma-Kigumba-24h'!G45,'03.08 Karuma-Kigumba-24h'!G45,'04.08 Karuma-Kigumba'!G45)</f>
        <v>0.14285714285714285</v>
      </c>
      <c r="H45" s="49">
        <f>AVERAGE('29.07 Karuma-Kigumba'!H45,'30.07 Karuma-Kigumba'!H45,'31.07 Karuma-Kigumba'!H45,'01.08 Karuma-Kigumba'!H45,'02.08 Karuma-Kigumba-24h'!H45,'03.08 Karuma-Kigumba-24h'!H45,'04.08 Karuma-Kigumba'!H45)</f>
        <v>1.5714285714285714</v>
      </c>
      <c r="I45" s="49">
        <f>AVERAGE('29.07 Karuma-Kigumba'!I45,'30.07 Karuma-Kigumba'!I45,'31.07 Karuma-Kigumba'!I45,'01.08 Karuma-Kigumba'!I45,'02.08 Karuma-Kigumba-24h'!I45,'03.08 Karuma-Kigumba-24h'!I45,'04.08 Karuma-Kigumba'!I45)</f>
        <v>2.8571428571428572</v>
      </c>
      <c r="J45" s="49">
        <f>AVERAGE('29.07 Karuma-Kigumba'!J45,'30.07 Karuma-Kigumba'!J45,'31.07 Karuma-Kigumba'!J45,'01.08 Karuma-Kigumba'!J45,'02.08 Karuma-Kigumba-24h'!J45,'03.08 Karuma-Kigumba-24h'!J45,'04.08 Karuma-Kigumba'!J45)</f>
        <v>0.14285714285714285</v>
      </c>
      <c r="K45" s="49">
        <f>AVERAGE('29.07 Karuma-Kigumba'!K45,'30.07 Karuma-Kigumba'!K45,'31.07 Karuma-Kigumba'!K45,'01.08 Karuma-Kigumba'!K45,'02.08 Karuma-Kigumba-24h'!K45,'03.08 Karuma-Kigumba-24h'!K45,'04.08 Karuma-Kigumba'!K45)</f>
        <v>0.14285714285714285</v>
      </c>
      <c r="L45" s="49">
        <f>AVERAGE('29.07 Karuma-Kigumba'!L45,'30.07 Karuma-Kigumba'!L45,'31.07 Karuma-Kigumba'!L45,'01.08 Karuma-Kigumba'!L45,'02.08 Karuma-Kigumba-24h'!L45,'03.08 Karuma-Kigumba-24h'!L45,'04.08 Karuma-Kigumba'!L45)</f>
        <v>1</v>
      </c>
      <c r="M45" s="49">
        <f>AVERAGE('29.07 Karuma-Kigumba'!M45,'30.07 Karuma-Kigumba'!M45,'31.07 Karuma-Kigumba'!M45,'01.08 Karuma-Kigumba'!M45,'02.08 Karuma-Kigumba-24h'!M45,'03.08 Karuma-Kigumba-24h'!M45,'04.08 Karuma-Kigumba'!M45)</f>
        <v>4.4285714285714288</v>
      </c>
      <c r="N45" s="49">
        <f>AVERAGE('29.07 Karuma-Kigumba'!N45,'30.07 Karuma-Kigumba'!N45,'31.07 Karuma-Kigumba'!N45,'01.08 Karuma-Kigumba'!N45,'02.08 Karuma-Kigumba-24h'!N45,'03.08 Karuma-Kigumba-24h'!N45,'04.08 Karuma-Kigumba'!N45)</f>
        <v>0</v>
      </c>
      <c r="O45" s="15">
        <f t="shared" si="0"/>
        <v>14.857142857142856</v>
      </c>
      <c r="P45" s="15">
        <f t="shared" si="1"/>
        <v>19.285714285714285</v>
      </c>
    </row>
    <row r="46" spans="2:32" ht="23.1" customHeight="1" x14ac:dyDescent="0.25">
      <c r="B46" s="24" t="s">
        <v>73</v>
      </c>
      <c r="C46" s="49">
        <f>AVERAGE('29.07 Karuma-Kigumba'!C46,'30.07 Karuma-Kigumba'!C46,'31.07 Karuma-Kigumba'!C46,'01.08 Karuma-Kigumba'!C46,'02.08 Karuma-Kigumba-24h'!C46,'03.08 Karuma-Kigumba-24h'!C46,'04.08 Karuma-Kigumba'!C46)</f>
        <v>2.4285714285714284</v>
      </c>
      <c r="D46" s="49">
        <f>AVERAGE('29.07 Karuma-Kigumba'!D46,'30.07 Karuma-Kigumba'!D46,'31.07 Karuma-Kigumba'!D46,'01.08 Karuma-Kigumba'!D46,'02.08 Karuma-Kigumba-24h'!D46,'03.08 Karuma-Kigumba-24h'!D46,'04.08 Karuma-Kigumba'!D46)</f>
        <v>1.5714285714285714</v>
      </c>
      <c r="E46" s="49">
        <f>AVERAGE('29.07 Karuma-Kigumba'!E46,'30.07 Karuma-Kigumba'!E46,'31.07 Karuma-Kigumba'!E46,'01.08 Karuma-Kigumba'!E46,'02.08 Karuma-Kigumba-24h'!E46,'03.08 Karuma-Kigumba-24h'!E46,'04.08 Karuma-Kigumba'!E46)</f>
        <v>3.8571428571428572</v>
      </c>
      <c r="F46" s="49">
        <f>AVERAGE('29.07 Karuma-Kigumba'!F46,'30.07 Karuma-Kigumba'!F46,'31.07 Karuma-Kigumba'!F46,'01.08 Karuma-Kigumba'!F46,'02.08 Karuma-Kigumba-24h'!F46,'03.08 Karuma-Kigumba-24h'!F46,'04.08 Karuma-Kigumba'!F46)</f>
        <v>1.7142857142857142</v>
      </c>
      <c r="G46" s="49">
        <f>AVERAGE('29.07 Karuma-Kigumba'!G46,'30.07 Karuma-Kigumba'!G46,'31.07 Karuma-Kigumba'!G46,'01.08 Karuma-Kigumba'!G46,'02.08 Karuma-Kigumba-24h'!G46,'03.08 Karuma-Kigumba-24h'!G46,'04.08 Karuma-Kigumba'!G46)</f>
        <v>0</v>
      </c>
      <c r="H46" s="49">
        <f>AVERAGE('29.07 Karuma-Kigumba'!H46,'30.07 Karuma-Kigumba'!H46,'31.07 Karuma-Kigumba'!H46,'01.08 Karuma-Kigumba'!H46,'02.08 Karuma-Kigumba-24h'!H46,'03.08 Karuma-Kigumba-24h'!H46,'04.08 Karuma-Kigumba'!H46)</f>
        <v>1.1428571428571428</v>
      </c>
      <c r="I46" s="49">
        <f>AVERAGE('29.07 Karuma-Kigumba'!I46,'30.07 Karuma-Kigumba'!I46,'31.07 Karuma-Kigumba'!I46,'01.08 Karuma-Kigumba'!I46,'02.08 Karuma-Kigumba-24h'!I46,'03.08 Karuma-Kigumba-24h'!I46,'04.08 Karuma-Kigumba'!I46)</f>
        <v>1.8571428571428572</v>
      </c>
      <c r="J46" s="49">
        <f>AVERAGE('29.07 Karuma-Kigumba'!J46,'30.07 Karuma-Kigumba'!J46,'31.07 Karuma-Kigumba'!J46,'01.08 Karuma-Kigumba'!J46,'02.08 Karuma-Kigumba-24h'!J46,'03.08 Karuma-Kigumba-24h'!J46,'04.08 Karuma-Kigumba'!J46)</f>
        <v>0.7142857142857143</v>
      </c>
      <c r="K46" s="49">
        <f>AVERAGE('29.07 Karuma-Kigumba'!K46,'30.07 Karuma-Kigumba'!K46,'31.07 Karuma-Kigumba'!K46,'01.08 Karuma-Kigumba'!K46,'02.08 Karuma-Kigumba-24h'!K46,'03.08 Karuma-Kigumba-24h'!K46,'04.08 Karuma-Kigumba'!K46)</f>
        <v>0.5714285714285714</v>
      </c>
      <c r="L46" s="49">
        <f>AVERAGE('29.07 Karuma-Kigumba'!L46,'30.07 Karuma-Kigumba'!L46,'31.07 Karuma-Kigumba'!L46,'01.08 Karuma-Kigumba'!L46,'02.08 Karuma-Kigumba-24h'!L46,'03.08 Karuma-Kigumba-24h'!L46,'04.08 Karuma-Kigumba'!L46)</f>
        <v>1.1428571428571428</v>
      </c>
      <c r="M46" s="49">
        <f>AVERAGE('29.07 Karuma-Kigumba'!M46,'30.07 Karuma-Kigumba'!M46,'31.07 Karuma-Kigumba'!M46,'01.08 Karuma-Kigumba'!M46,'02.08 Karuma-Kigumba-24h'!M46,'03.08 Karuma-Kigumba-24h'!M46,'04.08 Karuma-Kigumba'!M46)</f>
        <v>4.4285714285714288</v>
      </c>
      <c r="N46" s="49">
        <f>AVERAGE('29.07 Karuma-Kigumba'!N46,'30.07 Karuma-Kigumba'!N46,'31.07 Karuma-Kigumba'!N46,'01.08 Karuma-Kigumba'!N46,'02.08 Karuma-Kigumba-24h'!N46,'03.08 Karuma-Kigumba-24h'!N46,'04.08 Karuma-Kigumba'!N46)</f>
        <v>0</v>
      </c>
      <c r="O46" s="15">
        <f t="shared" si="0"/>
        <v>14.999999999999998</v>
      </c>
      <c r="P46" s="15">
        <f t="shared" si="1"/>
        <v>19.428571428571427</v>
      </c>
      <c r="R46" s="8"/>
      <c r="T46"/>
    </row>
    <row r="47" spans="2:32" ht="23.1" customHeight="1" x14ac:dyDescent="0.25">
      <c r="B47" s="24" t="s">
        <v>74</v>
      </c>
      <c r="C47" s="49">
        <f>AVERAGE('29.07 Karuma-Kigumba'!C47,'30.07 Karuma-Kigumba'!C47,'31.07 Karuma-Kigumba'!C47,'01.08 Karuma-Kigumba'!C47,'02.08 Karuma-Kigumba-24h'!C47,'03.08 Karuma-Kigumba-24h'!C47,'04.08 Karuma-Kigumba'!C47)</f>
        <v>1.8571428571428572</v>
      </c>
      <c r="D47" s="49">
        <f>AVERAGE('29.07 Karuma-Kigumba'!D47,'30.07 Karuma-Kigumba'!D47,'31.07 Karuma-Kigumba'!D47,'01.08 Karuma-Kigumba'!D47,'02.08 Karuma-Kigumba-24h'!D47,'03.08 Karuma-Kigumba-24h'!D47,'04.08 Karuma-Kigumba'!D47)</f>
        <v>1.7142857142857142</v>
      </c>
      <c r="E47" s="49">
        <f>AVERAGE('29.07 Karuma-Kigumba'!E47,'30.07 Karuma-Kigumba'!E47,'31.07 Karuma-Kigumba'!E47,'01.08 Karuma-Kigumba'!E47,'02.08 Karuma-Kigumba-24h'!E47,'03.08 Karuma-Kigumba-24h'!E47,'04.08 Karuma-Kigumba'!E47)</f>
        <v>3.7142857142857144</v>
      </c>
      <c r="F47" s="49">
        <f>AVERAGE('29.07 Karuma-Kigumba'!F47,'30.07 Karuma-Kigumba'!F47,'31.07 Karuma-Kigumba'!F47,'01.08 Karuma-Kigumba'!F47,'02.08 Karuma-Kigumba-24h'!F47,'03.08 Karuma-Kigumba-24h'!F47,'04.08 Karuma-Kigumba'!F47)</f>
        <v>2.5714285714285716</v>
      </c>
      <c r="G47" s="49">
        <f>AVERAGE('29.07 Karuma-Kigumba'!G47,'30.07 Karuma-Kigumba'!G47,'31.07 Karuma-Kigumba'!G47,'01.08 Karuma-Kigumba'!G47,'02.08 Karuma-Kigumba-24h'!G47,'03.08 Karuma-Kigumba-24h'!G47,'04.08 Karuma-Kigumba'!G47)</f>
        <v>0.2857142857142857</v>
      </c>
      <c r="H47" s="49">
        <f>AVERAGE('29.07 Karuma-Kigumba'!H47,'30.07 Karuma-Kigumba'!H47,'31.07 Karuma-Kigumba'!H47,'01.08 Karuma-Kigumba'!H47,'02.08 Karuma-Kigumba-24h'!H47,'03.08 Karuma-Kigumba-24h'!H47,'04.08 Karuma-Kigumba'!H47)</f>
        <v>0.7142857142857143</v>
      </c>
      <c r="I47" s="49">
        <f>AVERAGE('29.07 Karuma-Kigumba'!I47,'30.07 Karuma-Kigumba'!I47,'31.07 Karuma-Kigumba'!I47,'01.08 Karuma-Kigumba'!I47,'02.08 Karuma-Kigumba-24h'!I47,'03.08 Karuma-Kigumba-24h'!I47,'04.08 Karuma-Kigumba'!I47)</f>
        <v>1.8571428571428572</v>
      </c>
      <c r="J47" s="49">
        <f>AVERAGE('29.07 Karuma-Kigumba'!J47,'30.07 Karuma-Kigumba'!J47,'31.07 Karuma-Kigumba'!J47,'01.08 Karuma-Kigumba'!J47,'02.08 Karuma-Kigumba-24h'!J47,'03.08 Karuma-Kigumba-24h'!J47,'04.08 Karuma-Kigumba'!J47)</f>
        <v>0.5714285714285714</v>
      </c>
      <c r="K47" s="49">
        <f>AVERAGE('29.07 Karuma-Kigumba'!K47,'30.07 Karuma-Kigumba'!K47,'31.07 Karuma-Kigumba'!K47,'01.08 Karuma-Kigumba'!K47,'02.08 Karuma-Kigumba-24h'!K47,'03.08 Karuma-Kigumba-24h'!K47,'04.08 Karuma-Kigumba'!K47)</f>
        <v>0.14285714285714285</v>
      </c>
      <c r="L47" s="49">
        <f>AVERAGE('29.07 Karuma-Kigumba'!L47,'30.07 Karuma-Kigumba'!L47,'31.07 Karuma-Kigumba'!L47,'01.08 Karuma-Kigumba'!L47,'02.08 Karuma-Kigumba-24h'!L47,'03.08 Karuma-Kigumba-24h'!L47,'04.08 Karuma-Kigumba'!L47)</f>
        <v>2.1428571428571428</v>
      </c>
      <c r="M47" s="49">
        <f>AVERAGE('29.07 Karuma-Kigumba'!M47,'30.07 Karuma-Kigumba'!M47,'31.07 Karuma-Kigumba'!M47,'01.08 Karuma-Kigumba'!M47,'02.08 Karuma-Kigumba-24h'!M47,'03.08 Karuma-Kigumba-24h'!M47,'04.08 Karuma-Kigumba'!M47)</f>
        <v>5</v>
      </c>
      <c r="N47" s="49">
        <f>AVERAGE('29.07 Karuma-Kigumba'!N47,'30.07 Karuma-Kigumba'!N47,'31.07 Karuma-Kigumba'!N47,'01.08 Karuma-Kigumba'!N47,'02.08 Karuma-Kigumba-24h'!N47,'03.08 Karuma-Kigumba-24h'!N47,'04.08 Karuma-Kigumba'!N47)</f>
        <v>0.14285714285714285</v>
      </c>
      <c r="O47" s="15">
        <f t="shared" si="0"/>
        <v>15.714285714285714</v>
      </c>
      <c r="P47" s="15">
        <f t="shared" si="1"/>
        <v>20.714285714285712</v>
      </c>
      <c r="R47" s="8"/>
      <c r="T47"/>
    </row>
    <row r="48" spans="2:32" ht="23.1" customHeight="1" x14ac:dyDescent="0.25">
      <c r="B48" s="24" t="s">
        <v>75</v>
      </c>
      <c r="C48" s="49">
        <f>AVERAGE('29.07 Karuma-Kigumba'!C48,'30.07 Karuma-Kigumba'!C48,'31.07 Karuma-Kigumba'!C48,'01.08 Karuma-Kigumba'!C48,'02.08 Karuma-Kigumba-24h'!C48,'03.08 Karuma-Kigumba-24h'!C48,'04.08 Karuma-Kigumba'!C48)</f>
        <v>1.7142857142857142</v>
      </c>
      <c r="D48" s="49">
        <f>AVERAGE('29.07 Karuma-Kigumba'!D48,'30.07 Karuma-Kigumba'!D48,'31.07 Karuma-Kigumba'!D48,'01.08 Karuma-Kigumba'!D48,'02.08 Karuma-Kigumba-24h'!D48,'03.08 Karuma-Kigumba-24h'!D48,'04.08 Karuma-Kigumba'!D48)</f>
        <v>1.7142857142857142</v>
      </c>
      <c r="E48" s="49">
        <f>AVERAGE('29.07 Karuma-Kigumba'!E48,'30.07 Karuma-Kigumba'!E48,'31.07 Karuma-Kigumba'!E48,'01.08 Karuma-Kigumba'!E48,'02.08 Karuma-Kigumba-24h'!E48,'03.08 Karuma-Kigumba-24h'!E48,'04.08 Karuma-Kigumba'!E48)</f>
        <v>4</v>
      </c>
      <c r="F48" s="49">
        <f>AVERAGE('29.07 Karuma-Kigumba'!F48,'30.07 Karuma-Kigumba'!F48,'31.07 Karuma-Kigumba'!F48,'01.08 Karuma-Kigumba'!F48,'02.08 Karuma-Kigumba-24h'!F48,'03.08 Karuma-Kigumba-24h'!F48,'04.08 Karuma-Kigumba'!F48)</f>
        <v>2</v>
      </c>
      <c r="G48" s="49">
        <f>AVERAGE('29.07 Karuma-Kigumba'!G48,'30.07 Karuma-Kigumba'!G48,'31.07 Karuma-Kigumba'!G48,'01.08 Karuma-Kigumba'!G48,'02.08 Karuma-Kigumba-24h'!G48,'03.08 Karuma-Kigumba-24h'!G48,'04.08 Karuma-Kigumba'!G48)</f>
        <v>0.14285714285714285</v>
      </c>
      <c r="H48" s="49">
        <f>AVERAGE('29.07 Karuma-Kigumba'!H48,'30.07 Karuma-Kigumba'!H48,'31.07 Karuma-Kigumba'!H48,'01.08 Karuma-Kigumba'!H48,'02.08 Karuma-Kigumba-24h'!H48,'03.08 Karuma-Kigumba-24h'!H48,'04.08 Karuma-Kigumba'!H48)</f>
        <v>0.8571428571428571</v>
      </c>
      <c r="I48" s="49">
        <f>AVERAGE('29.07 Karuma-Kigumba'!I48,'30.07 Karuma-Kigumba'!I48,'31.07 Karuma-Kigumba'!I48,'01.08 Karuma-Kigumba'!I48,'02.08 Karuma-Kigumba-24h'!I48,'03.08 Karuma-Kigumba-24h'!I48,'04.08 Karuma-Kigumba'!I48)</f>
        <v>2.4285714285714284</v>
      </c>
      <c r="J48" s="49">
        <f>AVERAGE('29.07 Karuma-Kigumba'!J48,'30.07 Karuma-Kigumba'!J48,'31.07 Karuma-Kigumba'!J48,'01.08 Karuma-Kigumba'!J48,'02.08 Karuma-Kigumba-24h'!J48,'03.08 Karuma-Kigumba-24h'!J48,'04.08 Karuma-Kigumba'!J48)</f>
        <v>0.42857142857142855</v>
      </c>
      <c r="K48" s="49">
        <f>AVERAGE('29.07 Karuma-Kigumba'!K48,'30.07 Karuma-Kigumba'!K48,'31.07 Karuma-Kigumba'!K48,'01.08 Karuma-Kigumba'!K48,'02.08 Karuma-Kigumba-24h'!K48,'03.08 Karuma-Kigumba-24h'!K48,'04.08 Karuma-Kigumba'!K48)</f>
        <v>0</v>
      </c>
      <c r="L48" s="49">
        <f>AVERAGE('29.07 Karuma-Kigumba'!L48,'30.07 Karuma-Kigumba'!L48,'31.07 Karuma-Kigumba'!L48,'01.08 Karuma-Kigumba'!L48,'02.08 Karuma-Kigumba-24h'!L48,'03.08 Karuma-Kigumba-24h'!L48,'04.08 Karuma-Kigumba'!L48)</f>
        <v>1.5714285714285714</v>
      </c>
      <c r="M48" s="49">
        <f>AVERAGE('29.07 Karuma-Kigumba'!M48,'30.07 Karuma-Kigumba'!M48,'31.07 Karuma-Kigumba'!M48,'01.08 Karuma-Kigumba'!M48,'02.08 Karuma-Kigumba-24h'!M48,'03.08 Karuma-Kigumba-24h'!M48,'04.08 Karuma-Kigumba'!M48)</f>
        <v>4.4285714285714288</v>
      </c>
      <c r="N48" s="49">
        <f>AVERAGE('29.07 Karuma-Kigumba'!N48,'30.07 Karuma-Kigumba'!N48,'31.07 Karuma-Kigumba'!N48,'01.08 Karuma-Kigumba'!N48,'02.08 Karuma-Kigumba-24h'!N48,'03.08 Karuma-Kigumba-24h'!N48,'04.08 Karuma-Kigumba'!N48)</f>
        <v>0</v>
      </c>
      <c r="O48" s="15">
        <f t="shared" si="0"/>
        <v>14.857142857142858</v>
      </c>
      <c r="P48" s="15">
        <f t="shared" si="1"/>
        <v>19.285714285714285</v>
      </c>
      <c r="R48" s="8"/>
      <c r="T48"/>
    </row>
    <row r="49" spans="2:20" ht="23.1" customHeight="1" x14ac:dyDescent="0.25">
      <c r="B49" s="23" t="s">
        <v>76</v>
      </c>
      <c r="C49" s="49">
        <f>AVERAGE('29.07 Karuma-Kigumba'!C49,'30.07 Karuma-Kigumba'!C49,'31.07 Karuma-Kigumba'!C49,'01.08 Karuma-Kigumba'!C49,'02.08 Karuma-Kigumba-24h'!C49,'03.08 Karuma-Kigumba-24h'!C49,'04.08 Karuma-Kigumba'!C49)</f>
        <v>3</v>
      </c>
      <c r="D49" s="49">
        <f>AVERAGE('29.07 Karuma-Kigumba'!D49,'30.07 Karuma-Kigumba'!D49,'31.07 Karuma-Kigumba'!D49,'01.08 Karuma-Kigumba'!D49,'02.08 Karuma-Kigumba-24h'!D49,'03.08 Karuma-Kigumba-24h'!D49,'04.08 Karuma-Kigumba'!D49)</f>
        <v>2.4285714285714284</v>
      </c>
      <c r="E49" s="49">
        <f>AVERAGE('29.07 Karuma-Kigumba'!E49,'30.07 Karuma-Kigumba'!E49,'31.07 Karuma-Kigumba'!E49,'01.08 Karuma-Kigumba'!E49,'02.08 Karuma-Kigumba-24h'!E49,'03.08 Karuma-Kigumba-24h'!E49,'04.08 Karuma-Kigumba'!E49)</f>
        <v>4.7142857142857144</v>
      </c>
      <c r="F49" s="49">
        <f>AVERAGE('29.07 Karuma-Kigumba'!F49,'30.07 Karuma-Kigumba'!F49,'31.07 Karuma-Kigumba'!F49,'01.08 Karuma-Kigumba'!F49,'02.08 Karuma-Kigumba-24h'!F49,'03.08 Karuma-Kigumba-24h'!F49,'04.08 Karuma-Kigumba'!F49)</f>
        <v>1.7142857142857142</v>
      </c>
      <c r="G49" s="49">
        <f>AVERAGE('29.07 Karuma-Kigumba'!G49,'30.07 Karuma-Kigumba'!G49,'31.07 Karuma-Kigumba'!G49,'01.08 Karuma-Kigumba'!G49,'02.08 Karuma-Kigumba-24h'!G49,'03.08 Karuma-Kigumba-24h'!G49,'04.08 Karuma-Kigumba'!G49)</f>
        <v>0</v>
      </c>
      <c r="H49" s="49">
        <f>AVERAGE('29.07 Karuma-Kigumba'!H49,'30.07 Karuma-Kigumba'!H49,'31.07 Karuma-Kigumba'!H49,'01.08 Karuma-Kigumba'!H49,'02.08 Karuma-Kigumba-24h'!H49,'03.08 Karuma-Kigumba-24h'!H49,'04.08 Karuma-Kigumba'!H49)</f>
        <v>1</v>
      </c>
      <c r="I49" s="49">
        <f>AVERAGE('29.07 Karuma-Kigumba'!I49,'30.07 Karuma-Kigumba'!I49,'31.07 Karuma-Kigumba'!I49,'01.08 Karuma-Kigumba'!I49,'02.08 Karuma-Kigumba-24h'!I49,'03.08 Karuma-Kigumba-24h'!I49,'04.08 Karuma-Kigumba'!I49)</f>
        <v>3.2857142857142856</v>
      </c>
      <c r="J49" s="49">
        <f>AVERAGE('29.07 Karuma-Kigumba'!J49,'30.07 Karuma-Kigumba'!J49,'31.07 Karuma-Kigumba'!J49,'01.08 Karuma-Kigumba'!J49,'02.08 Karuma-Kigumba-24h'!J49,'03.08 Karuma-Kigumba-24h'!J49,'04.08 Karuma-Kigumba'!J49)</f>
        <v>0.14285714285714285</v>
      </c>
      <c r="K49" s="49">
        <f>AVERAGE('29.07 Karuma-Kigumba'!K49,'30.07 Karuma-Kigumba'!K49,'31.07 Karuma-Kigumba'!K49,'01.08 Karuma-Kigumba'!K49,'02.08 Karuma-Kigumba-24h'!K49,'03.08 Karuma-Kigumba-24h'!K49,'04.08 Karuma-Kigumba'!K49)</f>
        <v>0.14285714285714285</v>
      </c>
      <c r="L49" s="49">
        <f>AVERAGE('29.07 Karuma-Kigumba'!L49,'30.07 Karuma-Kigumba'!L49,'31.07 Karuma-Kigumba'!L49,'01.08 Karuma-Kigumba'!L49,'02.08 Karuma-Kigumba-24h'!L49,'03.08 Karuma-Kigumba-24h'!L49,'04.08 Karuma-Kigumba'!L49)</f>
        <v>2.1428571428571428</v>
      </c>
      <c r="M49" s="49">
        <f>AVERAGE('29.07 Karuma-Kigumba'!M49,'30.07 Karuma-Kigumba'!M49,'31.07 Karuma-Kigumba'!M49,'01.08 Karuma-Kigumba'!M49,'02.08 Karuma-Kigumba-24h'!M49,'03.08 Karuma-Kigumba-24h'!M49,'04.08 Karuma-Kigumba'!M49)</f>
        <v>5</v>
      </c>
      <c r="N49" s="49">
        <f>AVERAGE('29.07 Karuma-Kigumba'!N49,'30.07 Karuma-Kigumba'!N49,'31.07 Karuma-Kigumba'!N49,'01.08 Karuma-Kigumba'!N49,'02.08 Karuma-Kigumba-24h'!N49,'03.08 Karuma-Kigumba-24h'!N49,'04.08 Karuma-Kigumba'!N49)</f>
        <v>0</v>
      </c>
      <c r="O49" s="15">
        <f t="shared" si="0"/>
        <v>18.571428571428569</v>
      </c>
      <c r="P49" s="15">
        <f t="shared" si="1"/>
        <v>23.571428571428569</v>
      </c>
      <c r="R49" s="8"/>
      <c r="T49"/>
    </row>
    <row r="50" spans="2:20" ht="23.1" customHeight="1" x14ac:dyDescent="0.25">
      <c r="B50" s="24" t="s">
        <v>77</v>
      </c>
      <c r="C50" s="49">
        <f>AVERAGE('29.07 Karuma-Kigumba'!C50,'30.07 Karuma-Kigumba'!C50,'31.07 Karuma-Kigumba'!C50,'01.08 Karuma-Kigumba'!C50,'02.08 Karuma-Kigumba-24h'!C50,'03.08 Karuma-Kigumba-24h'!C50,'04.08 Karuma-Kigumba'!C50)</f>
        <v>1.4285714285714286</v>
      </c>
      <c r="D50" s="49">
        <f>AVERAGE('29.07 Karuma-Kigumba'!D50,'30.07 Karuma-Kigumba'!D50,'31.07 Karuma-Kigumba'!D50,'01.08 Karuma-Kigumba'!D50,'02.08 Karuma-Kigumba-24h'!D50,'03.08 Karuma-Kigumba-24h'!D50,'04.08 Karuma-Kigumba'!D50)</f>
        <v>1.8571428571428572</v>
      </c>
      <c r="E50" s="49">
        <f>AVERAGE('29.07 Karuma-Kigumba'!E50,'30.07 Karuma-Kigumba'!E50,'31.07 Karuma-Kigumba'!E50,'01.08 Karuma-Kigumba'!E50,'02.08 Karuma-Kigumba-24h'!E50,'03.08 Karuma-Kigumba-24h'!E50,'04.08 Karuma-Kigumba'!E50)</f>
        <v>3.1428571428571428</v>
      </c>
      <c r="F50" s="49">
        <f>AVERAGE('29.07 Karuma-Kigumba'!F50,'30.07 Karuma-Kigumba'!F50,'31.07 Karuma-Kigumba'!F50,'01.08 Karuma-Kigumba'!F50,'02.08 Karuma-Kigumba-24h'!F50,'03.08 Karuma-Kigumba-24h'!F50,'04.08 Karuma-Kigumba'!F50)</f>
        <v>1.8571428571428572</v>
      </c>
      <c r="G50" s="49">
        <f>AVERAGE('29.07 Karuma-Kigumba'!G50,'30.07 Karuma-Kigumba'!G50,'31.07 Karuma-Kigumba'!G50,'01.08 Karuma-Kigumba'!G50,'02.08 Karuma-Kigumba-24h'!G50,'03.08 Karuma-Kigumba-24h'!G50,'04.08 Karuma-Kigumba'!G50)</f>
        <v>0</v>
      </c>
      <c r="H50" s="49">
        <f>AVERAGE('29.07 Karuma-Kigumba'!H50,'30.07 Karuma-Kigumba'!H50,'31.07 Karuma-Kigumba'!H50,'01.08 Karuma-Kigumba'!H50,'02.08 Karuma-Kigumba-24h'!H50,'03.08 Karuma-Kigumba-24h'!H50,'04.08 Karuma-Kigumba'!H50)</f>
        <v>2.1428571428571428</v>
      </c>
      <c r="I50" s="49">
        <f>AVERAGE('29.07 Karuma-Kigumba'!I50,'30.07 Karuma-Kigumba'!I50,'31.07 Karuma-Kigumba'!I50,'01.08 Karuma-Kigumba'!I50,'02.08 Karuma-Kigumba-24h'!I50,'03.08 Karuma-Kigumba-24h'!I50,'04.08 Karuma-Kigumba'!I50)</f>
        <v>3.1428571428571428</v>
      </c>
      <c r="J50" s="49">
        <f>AVERAGE('29.07 Karuma-Kigumba'!J50,'30.07 Karuma-Kigumba'!J50,'31.07 Karuma-Kigumba'!J50,'01.08 Karuma-Kigumba'!J50,'02.08 Karuma-Kigumba-24h'!J50,'03.08 Karuma-Kigumba-24h'!J50,'04.08 Karuma-Kigumba'!J50)</f>
        <v>0.5714285714285714</v>
      </c>
      <c r="K50" s="49">
        <f>AVERAGE('29.07 Karuma-Kigumba'!K50,'30.07 Karuma-Kigumba'!K50,'31.07 Karuma-Kigumba'!K50,'01.08 Karuma-Kigumba'!K50,'02.08 Karuma-Kigumba-24h'!K50,'03.08 Karuma-Kigumba-24h'!K50,'04.08 Karuma-Kigumba'!K50)</f>
        <v>0.8571428571428571</v>
      </c>
      <c r="L50" s="49">
        <f>AVERAGE('29.07 Karuma-Kigumba'!L50,'30.07 Karuma-Kigumba'!L50,'31.07 Karuma-Kigumba'!L50,'01.08 Karuma-Kigumba'!L50,'02.08 Karuma-Kigumba-24h'!L50,'03.08 Karuma-Kigumba-24h'!L50,'04.08 Karuma-Kigumba'!L50)</f>
        <v>2.2857142857142856</v>
      </c>
      <c r="M50" s="49">
        <f>AVERAGE('29.07 Karuma-Kigumba'!M50,'30.07 Karuma-Kigumba'!M50,'31.07 Karuma-Kigumba'!M50,'01.08 Karuma-Kigumba'!M50,'02.08 Karuma-Kigumba-24h'!M50,'03.08 Karuma-Kigumba-24h'!M50,'04.08 Karuma-Kigumba'!M50)</f>
        <v>4.7142857142857144</v>
      </c>
      <c r="N50" s="49">
        <f>AVERAGE('29.07 Karuma-Kigumba'!N50,'30.07 Karuma-Kigumba'!N50,'31.07 Karuma-Kigumba'!N50,'01.08 Karuma-Kigumba'!N50,'02.08 Karuma-Kigumba-24h'!N50,'03.08 Karuma-Kigumba-24h'!N50,'04.08 Karuma-Kigumba'!N50)</f>
        <v>0</v>
      </c>
      <c r="O50" s="15">
        <f t="shared" si="0"/>
        <v>17.285714285714285</v>
      </c>
      <c r="P50" s="15">
        <f t="shared" si="1"/>
        <v>22</v>
      </c>
      <c r="R50" s="8"/>
      <c r="T50"/>
    </row>
    <row r="51" spans="2:20" ht="23.1" customHeight="1" x14ac:dyDescent="0.25">
      <c r="B51" s="24" t="s">
        <v>78</v>
      </c>
      <c r="C51" s="49">
        <f>AVERAGE('29.07 Karuma-Kigumba'!C51,'30.07 Karuma-Kigumba'!C51,'31.07 Karuma-Kigumba'!C51,'01.08 Karuma-Kigumba'!C51,'02.08 Karuma-Kigumba-24h'!C51,'03.08 Karuma-Kigumba-24h'!C51,'04.08 Karuma-Kigumba'!C51)</f>
        <v>1.7142857142857142</v>
      </c>
      <c r="D51" s="49">
        <f>AVERAGE('29.07 Karuma-Kigumba'!D51,'30.07 Karuma-Kigumba'!D51,'31.07 Karuma-Kigumba'!D51,'01.08 Karuma-Kigumba'!D51,'02.08 Karuma-Kigumba-24h'!D51,'03.08 Karuma-Kigumba-24h'!D51,'04.08 Karuma-Kigumba'!D51)</f>
        <v>1.7142857142857142</v>
      </c>
      <c r="E51" s="49">
        <f>AVERAGE('29.07 Karuma-Kigumba'!E51,'30.07 Karuma-Kigumba'!E51,'31.07 Karuma-Kigumba'!E51,'01.08 Karuma-Kigumba'!E51,'02.08 Karuma-Kigumba-24h'!E51,'03.08 Karuma-Kigumba-24h'!E51,'04.08 Karuma-Kigumba'!E51)</f>
        <v>3.5714285714285716</v>
      </c>
      <c r="F51" s="49">
        <f>AVERAGE('29.07 Karuma-Kigumba'!F51,'30.07 Karuma-Kigumba'!F51,'31.07 Karuma-Kigumba'!F51,'01.08 Karuma-Kigumba'!F51,'02.08 Karuma-Kigumba-24h'!F51,'03.08 Karuma-Kigumba-24h'!F51,'04.08 Karuma-Kigumba'!F51)</f>
        <v>1.4285714285714286</v>
      </c>
      <c r="G51" s="49">
        <f>AVERAGE('29.07 Karuma-Kigumba'!G51,'30.07 Karuma-Kigumba'!G51,'31.07 Karuma-Kigumba'!G51,'01.08 Karuma-Kigumba'!G51,'02.08 Karuma-Kigumba-24h'!G51,'03.08 Karuma-Kigumba-24h'!G51,'04.08 Karuma-Kigumba'!G51)</f>
        <v>0</v>
      </c>
      <c r="H51" s="49">
        <f>AVERAGE('29.07 Karuma-Kigumba'!H51,'30.07 Karuma-Kigumba'!H51,'31.07 Karuma-Kigumba'!H51,'01.08 Karuma-Kigumba'!H51,'02.08 Karuma-Kigumba-24h'!H51,'03.08 Karuma-Kigumba-24h'!H51,'04.08 Karuma-Kigumba'!H51)</f>
        <v>0.7142857142857143</v>
      </c>
      <c r="I51" s="49">
        <f>AVERAGE('29.07 Karuma-Kigumba'!I51,'30.07 Karuma-Kigumba'!I51,'31.07 Karuma-Kigumba'!I51,'01.08 Karuma-Kigumba'!I51,'02.08 Karuma-Kigumba-24h'!I51,'03.08 Karuma-Kigumba-24h'!I51,'04.08 Karuma-Kigumba'!I51)</f>
        <v>2.7142857142857144</v>
      </c>
      <c r="J51" s="49">
        <f>AVERAGE('29.07 Karuma-Kigumba'!J51,'30.07 Karuma-Kigumba'!J51,'31.07 Karuma-Kigumba'!J51,'01.08 Karuma-Kigumba'!J51,'02.08 Karuma-Kigumba-24h'!J51,'03.08 Karuma-Kigumba-24h'!J51,'04.08 Karuma-Kigumba'!J51)</f>
        <v>0.7142857142857143</v>
      </c>
      <c r="K51" s="49">
        <f>AVERAGE('29.07 Karuma-Kigumba'!K51,'30.07 Karuma-Kigumba'!K51,'31.07 Karuma-Kigumba'!K51,'01.08 Karuma-Kigumba'!K51,'02.08 Karuma-Kigumba-24h'!K51,'03.08 Karuma-Kigumba-24h'!K51,'04.08 Karuma-Kigumba'!K51)</f>
        <v>0.14285714285714285</v>
      </c>
      <c r="L51" s="49">
        <f>AVERAGE('29.07 Karuma-Kigumba'!L51,'30.07 Karuma-Kigumba'!L51,'31.07 Karuma-Kigumba'!L51,'01.08 Karuma-Kigumba'!L51,'02.08 Karuma-Kigumba-24h'!L51,'03.08 Karuma-Kigumba-24h'!L51,'04.08 Karuma-Kigumba'!L51)</f>
        <v>1.2857142857142858</v>
      </c>
      <c r="M51" s="49">
        <f>AVERAGE('29.07 Karuma-Kigumba'!M51,'30.07 Karuma-Kigumba'!M51,'31.07 Karuma-Kigumba'!M51,'01.08 Karuma-Kigumba'!M51,'02.08 Karuma-Kigumba-24h'!M51,'03.08 Karuma-Kigumba-24h'!M51,'04.08 Karuma-Kigumba'!M51)</f>
        <v>3.8571428571428572</v>
      </c>
      <c r="N51" s="49">
        <f>AVERAGE('29.07 Karuma-Kigumba'!N51,'30.07 Karuma-Kigumba'!N51,'31.07 Karuma-Kigumba'!N51,'01.08 Karuma-Kigumba'!N51,'02.08 Karuma-Kigumba-24h'!N51,'03.08 Karuma-Kigumba-24h'!N51,'04.08 Karuma-Kigumba'!N51)</f>
        <v>0</v>
      </c>
      <c r="O51" s="15">
        <f t="shared" si="0"/>
        <v>14</v>
      </c>
      <c r="P51" s="15">
        <f t="shared" si="1"/>
        <v>17.857142857142858</v>
      </c>
      <c r="R51" s="8"/>
      <c r="T51"/>
    </row>
    <row r="52" spans="2:20" ht="23.1" customHeight="1" x14ac:dyDescent="0.25">
      <c r="B52" s="24" t="s">
        <v>79</v>
      </c>
      <c r="C52" s="49">
        <f>AVERAGE('29.07 Karuma-Kigumba'!C52,'30.07 Karuma-Kigumba'!C52,'31.07 Karuma-Kigumba'!C52,'01.08 Karuma-Kigumba'!C52,'02.08 Karuma-Kigumba-24h'!C52,'03.08 Karuma-Kigumba-24h'!C52,'04.08 Karuma-Kigumba'!C52)</f>
        <v>1.5714285714285714</v>
      </c>
      <c r="D52" s="49">
        <f>AVERAGE('29.07 Karuma-Kigumba'!D52,'30.07 Karuma-Kigumba'!D52,'31.07 Karuma-Kigumba'!D52,'01.08 Karuma-Kigumba'!D52,'02.08 Karuma-Kigumba-24h'!D52,'03.08 Karuma-Kigumba-24h'!D52,'04.08 Karuma-Kigumba'!D52)</f>
        <v>1.7142857142857142</v>
      </c>
      <c r="E52" s="49">
        <f>AVERAGE('29.07 Karuma-Kigumba'!E52,'30.07 Karuma-Kigumba'!E52,'31.07 Karuma-Kigumba'!E52,'01.08 Karuma-Kigumba'!E52,'02.08 Karuma-Kigumba-24h'!E52,'03.08 Karuma-Kigumba-24h'!E52,'04.08 Karuma-Kigumba'!E52)</f>
        <v>4</v>
      </c>
      <c r="F52" s="49">
        <f>AVERAGE('29.07 Karuma-Kigumba'!F52,'30.07 Karuma-Kigumba'!F52,'31.07 Karuma-Kigumba'!F52,'01.08 Karuma-Kigumba'!F52,'02.08 Karuma-Kigumba-24h'!F52,'03.08 Karuma-Kigumba-24h'!F52,'04.08 Karuma-Kigumba'!F52)</f>
        <v>1.5714285714285714</v>
      </c>
      <c r="G52" s="49">
        <f>AVERAGE('29.07 Karuma-Kigumba'!G52,'30.07 Karuma-Kigumba'!G52,'31.07 Karuma-Kigumba'!G52,'01.08 Karuma-Kigumba'!G52,'02.08 Karuma-Kigumba-24h'!G52,'03.08 Karuma-Kigumba-24h'!G52,'04.08 Karuma-Kigumba'!G52)</f>
        <v>0.14285714285714285</v>
      </c>
      <c r="H52" s="49">
        <f>AVERAGE('29.07 Karuma-Kigumba'!H52,'30.07 Karuma-Kigumba'!H52,'31.07 Karuma-Kigumba'!H52,'01.08 Karuma-Kigumba'!H52,'02.08 Karuma-Kigumba-24h'!H52,'03.08 Karuma-Kigumba-24h'!H52,'04.08 Karuma-Kigumba'!H52)</f>
        <v>0.8571428571428571</v>
      </c>
      <c r="I52" s="49">
        <f>AVERAGE('29.07 Karuma-Kigumba'!I52,'30.07 Karuma-Kigumba'!I52,'31.07 Karuma-Kigumba'!I52,'01.08 Karuma-Kigumba'!I52,'02.08 Karuma-Kigumba-24h'!I52,'03.08 Karuma-Kigumba-24h'!I52,'04.08 Karuma-Kigumba'!I52)</f>
        <v>2.7142857142857144</v>
      </c>
      <c r="J52" s="49">
        <f>AVERAGE('29.07 Karuma-Kigumba'!J52,'30.07 Karuma-Kigumba'!J52,'31.07 Karuma-Kigumba'!J52,'01.08 Karuma-Kigumba'!J52,'02.08 Karuma-Kigumba-24h'!J52,'03.08 Karuma-Kigumba-24h'!J52,'04.08 Karuma-Kigumba'!J52)</f>
        <v>0.2857142857142857</v>
      </c>
      <c r="K52" s="49">
        <f>AVERAGE('29.07 Karuma-Kigumba'!K52,'30.07 Karuma-Kigumba'!K52,'31.07 Karuma-Kigumba'!K52,'01.08 Karuma-Kigumba'!K52,'02.08 Karuma-Kigumba-24h'!K52,'03.08 Karuma-Kigumba-24h'!K52,'04.08 Karuma-Kigumba'!K52)</f>
        <v>0.2857142857142857</v>
      </c>
      <c r="L52" s="49">
        <f>AVERAGE('29.07 Karuma-Kigumba'!L52,'30.07 Karuma-Kigumba'!L52,'31.07 Karuma-Kigumba'!L52,'01.08 Karuma-Kigumba'!L52,'02.08 Karuma-Kigumba-24h'!L52,'03.08 Karuma-Kigumba-24h'!L52,'04.08 Karuma-Kigumba'!L52)</f>
        <v>2</v>
      </c>
      <c r="M52" s="49">
        <f>AVERAGE('29.07 Karuma-Kigumba'!M52,'30.07 Karuma-Kigumba'!M52,'31.07 Karuma-Kigumba'!M52,'01.08 Karuma-Kigumba'!M52,'02.08 Karuma-Kigumba-24h'!M52,'03.08 Karuma-Kigumba-24h'!M52,'04.08 Karuma-Kigumba'!M52)</f>
        <v>4.7142857142857144</v>
      </c>
      <c r="N52" s="49">
        <f>AVERAGE('29.07 Karuma-Kigumba'!N52,'30.07 Karuma-Kigumba'!N52,'31.07 Karuma-Kigumba'!N52,'01.08 Karuma-Kigumba'!N52,'02.08 Karuma-Kigumba-24h'!N52,'03.08 Karuma-Kigumba-24h'!N52,'04.08 Karuma-Kigumba'!N52)</f>
        <v>0.2857142857142857</v>
      </c>
      <c r="O52" s="15">
        <f t="shared" si="0"/>
        <v>15.428571428571432</v>
      </c>
      <c r="P52" s="15">
        <f t="shared" si="1"/>
        <v>20.142857142857146</v>
      </c>
      <c r="R52" s="8"/>
      <c r="T52"/>
    </row>
    <row r="53" spans="2:20" ht="23.1" customHeight="1" x14ac:dyDescent="0.25">
      <c r="B53" s="23" t="s">
        <v>80</v>
      </c>
      <c r="C53" s="49">
        <f>AVERAGE('29.07 Karuma-Kigumba'!C53,'30.07 Karuma-Kigumba'!C53,'31.07 Karuma-Kigumba'!C53,'01.08 Karuma-Kigumba'!C53,'02.08 Karuma-Kigumba-24h'!C53,'03.08 Karuma-Kigumba-24h'!C53,'04.08 Karuma-Kigumba'!C53)</f>
        <v>1.4285714285714286</v>
      </c>
      <c r="D53" s="49">
        <f>AVERAGE('29.07 Karuma-Kigumba'!D53,'30.07 Karuma-Kigumba'!D53,'31.07 Karuma-Kigumba'!D53,'01.08 Karuma-Kigumba'!D53,'02.08 Karuma-Kigumba-24h'!D53,'03.08 Karuma-Kigumba-24h'!D53,'04.08 Karuma-Kigumba'!D53)</f>
        <v>1.1428571428571428</v>
      </c>
      <c r="E53" s="49">
        <f>AVERAGE('29.07 Karuma-Kigumba'!E53,'30.07 Karuma-Kigumba'!E53,'31.07 Karuma-Kigumba'!E53,'01.08 Karuma-Kigumba'!E53,'02.08 Karuma-Kigumba-24h'!E53,'03.08 Karuma-Kigumba-24h'!E53,'04.08 Karuma-Kigumba'!E53)</f>
        <v>2.5714285714285716</v>
      </c>
      <c r="F53" s="49">
        <f>AVERAGE('29.07 Karuma-Kigumba'!F53,'30.07 Karuma-Kigumba'!F53,'31.07 Karuma-Kigumba'!F53,'01.08 Karuma-Kigumba'!F53,'02.08 Karuma-Kigumba-24h'!F53,'03.08 Karuma-Kigumba-24h'!F53,'04.08 Karuma-Kigumba'!F53)</f>
        <v>1.5714285714285714</v>
      </c>
      <c r="G53" s="49">
        <f>AVERAGE('29.07 Karuma-Kigumba'!G53,'30.07 Karuma-Kigumba'!G53,'31.07 Karuma-Kigumba'!G53,'01.08 Karuma-Kigumba'!G53,'02.08 Karuma-Kigumba-24h'!G53,'03.08 Karuma-Kigumba-24h'!G53,'04.08 Karuma-Kigumba'!G53)</f>
        <v>0</v>
      </c>
      <c r="H53" s="49">
        <f>AVERAGE('29.07 Karuma-Kigumba'!H53,'30.07 Karuma-Kigumba'!H53,'31.07 Karuma-Kigumba'!H53,'01.08 Karuma-Kigumba'!H53,'02.08 Karuma-Kigumba-24h'!H53,'03.08 Karuma-Kigumba-24h'!H53,'04.08 Karuma-Kigumba'!H53)</f>
        <v>1</v>
      </c>
      <c r="I53" s="49">
        <f>AVERAGE('29.07 Karuma-Kigumba'!I53,'30.07 Karuma-Kigumba'!I53,'31.07 Karuma-Kigumba'!I53,'01.08 Karuma-Kigumba'!I53,'02.08 Karuma-Kigumba-24h'!I53,'03.08 Karuma-Kigumba-24h'!I53,'04.08 Karuma-Kigumba'!I53)</f>
        <v>2.1428571428571428</v>
      </c>
      <c r="J53" s="49">
        <f>AVERAGE('29.07 Karuma-Kigumba'!J53,'30.07 Karuma-Kigumba'!J53,'31.07 Karuma-Kigumba'!J53,'01.08 Karuma-Kigumba'!J53,'02.08 Karuma-Kigumba-24h'!J53,'03.08 Karuma-Kigumba-24h'!J53,'04.08 Karuma-Kigumba'!J53)</f>
        <v>0.5714285714285714</v>
      </c>
      <c r="K53" s="49">
        <f>AVERAGE('29.07 Karuma-Kigumba'!K53,'30.07 Karuma-Kigumba'!K53,'31.07 Karuma-Kigumba'!K53,'01.08 Karuma-Kigumba'!K53,'02.08 Karuma-Kigumba-24h'!K53,'03.08 Karuma-Kigumba-24h'!K53,'04.08 Karuma-Kigumba'!K53)</f>
        <v>0.42857142857142855</v>
      </c>
      <c r="L53" s="49">
        <f>AVERAGE('29.07 Karuma-Kigumba'!L53,'30.07 Karuma-Kigumba'!L53,'31.07 Karuma-Kigumba'!L53,'01.08 Karuma-Kigumba'!L53,'02.08 Karuma-Kigumba-24h'!L53,'03.08 Karuma-Kigumba-24h'!L53,'04.08 Karuma-Kigumba'!L53)</f>
        <v>1.5714285714285714</v>
      </c>
      <c r="M53" s="49">
        <f>AVERAGE('29.07 Karuma-Kigumba'!M53,'30.07 Karuma-Kigumba'!M53,'31.07 Karuma-Kigumba'!M53,'01.08 Karuma-Kigumba'!M53,'02.08 Karuma-Kigumba-24h'!M53,'03.08 Karuma-Kigumba-24h'!M53,'04.08 Karuma-Kigumba'!M53)</f>
        <v>4.8571428571428568</v>
      </c>
      <c r="N53" s="49">
        <f>AVERAGE('29.07 Karuma-Kigumba'!N53,'30.07 Karuma-Kigumba'!N53,'31.07 Karuma-Kigumba'!N53,'01.08 Karuma-Kigumba'!N53,'02.08 Karuma-Kigumba-24h'!N53,'03.08 Karuma-Kigumba-24h'!N53,'04.08 Karuma-Kigumba'!N53)</f>
        <v>0</v>
      </c>
      <c r="O53" s="15">
        <f t="shared" si="0"/>
        <v>12.428571428571427</v>
      </c>
      <c r="P53" s="15">
        <f t="shared" si="1"/>
        <v>17.285714285714285</v>
      </c>
      <c r="R53" s="8"/>
      <c r="T53"/>
    </row>
    <row r="54" spans="2:20" ht="23.1" customHeight="1" x14ac:dyDescent="0.25">
      <c r="B54" s="23" t="s">
        <v>81</v>
      </c>
      <c r="C54" s="49">
        <f>AVERAGE('29.07 Karuma-Kigumba'!C54,'30.07 Karuma-Kigumba'!C54,'31.07 Karuma-Kigumba'!C54,'01.08 Karuma-Kigumba'!C54,'02.08 Karuma-Kigumba-24h'!C54,'03.08 Karuma-Kigumba-24h'!C54,'04.08 Karuma-Kigumba'!C54)</f>
        <v>1.4285714285714286</v>
      </c>
      <c r="D54" s="49">
        <f>AVERAGE('29.07 Karuma-Kigumba'!D54,'30.07 Karuma-Kigumba'!D54,'31.07 Karuma-Kigumba'!D54,'01.08 Karuma-Kigumba'!D54,'02.08 Karuma-Kigumba-24h'!D54,'03.08 Karuma-Kigumba-24h'!D54,'04.08 Karuma-Kigumba'!D54)</f>
        <v>1.5714285714285714</v>
      </c>
      <c r="E54" s="49">
        <f>AVERAGE('29.07 Karuma-Kigumba'!E54,'30.07 Karuma-Kigumba'!E54,'31.07 Karuma-Kigumba'!E54,'01.08 Karuma-Kigumba'!E54,'02.08 Karuma-Kigumba-24h'!E54,'03.08 Karuma-Kigumba-24h'!E54,'04.08 Karuma-Kigumba'!E54)</f>
        <v>3.1428571428571428</v>
      </c>
      <c r="F54" s="49">
        <f>AVERAGE('29.07 Karuma-Kigumba'!F54,'30.07 Karuma-Kigumba'!F54,'31.07 Karuma-Kigumba'!F54,'01.08 Karuma-Kigumba'!F54,'02.08 Karuma-Kigumba-24h'!F54,'03.08 Karuma-Kigumba-24h'!F54,'04.08 Karuma-Kigumba'!F54)</f>
        <v>1.8571428571428572</v>
      </c>
      <c r="G54" s="49">
        <f>AVERAGE('29.07 Karuma-Kigumba'!G54,'30.07 Karuma-Kigumba'!G54,'31.07 Karuma-Kigumba'!G54,'01.08 Karuma-Kigumba'!G54,'02.08 Karuma-Kigumba-24h'!G54,'03.08 Karuma-Kigumba-24h'!G54,'04.08 Karuma-Kigumba'!G54)</f>
        <v>0</v>
      </c>
      <c r="H54" s="49">
        <f>AVERAGE('29.07 Karuma-Kigumba'!H54,'30.07 Karuma-Kigumba'!H54,'31.07 Karuma-Kigumba'!H54,'01.08 Karuma-Kigumba'!H54,'02.08 Karuma-Kigumba-24h'!H54,'03.08 Karuma-Kigumba-24h'!H54,'04.08 Karuma-Kigumba'!H54)</f>
        <v>1.2857142857142858</v>
      </c>
      <c r="I54" s="49">
        <f>AVERAGE('29.07 Karuma-Kigumba'!I54,'30.07 Karuma-Kigumba'!I54,'31.07 Karuma-Kigumba'!I54,'01.08 Karuma-Kigumba'!I54,'02.08 Karuma-Kigumba-24h'!I54,'03.08 Karuma-Kigumba-24h'!I54,'04.08 Karuma-Kigumba'!I54)</f>
        <v>3.2857142857142856</v>
      </c>
      <c r="J54" s="49">
        <f>AVERAGE('29.07 Karuma-Kigumba'!J54,'30.07 Karuma-Kigumba'!J54,'31.07 Karuma-Kigumba'!J54,'01.08 Karuma-Kigumba'!J54,'02.08 Karuma-Kigumba-24h'!J54,'03.08 Karuma-Kigumba-24h'!J54,'04.08 Karuma-Kigumba'!J54)</f>
        <v>0.8571428571428571</v>
      </c>
      <c r="K54" s="49">
        <f>AVERAGE('29.07 Karuma-Kigumba'!K54,'30.07 Karuma-Kigumba'!K54,'31.07 Karuma-Kigumba'!K54,'01.08 Karuma-Kigumba'!K54,'02.08 Karuma-Kigumba-24h'!K54,'03.08 Karuma-Kigumba-24h'!K54,'04.08 Karuma-Kigumba'!K54)</f>
        <v>0</v>
      </c>
      <c r="L54" s="49">
        <f>AVERAGE('29.07 Karuma-Kigumba'!L54,'30.07 Karuma-Kigumba'!L54,'31.07 Karuma-Kigumba'!L54,'01.08 Karuma-Kigumba'!L54,'02.08 Karuma-Kigumba-24h'!L54,'03.08 Karuma-Kigumba-24h'!L54,'04.08 Karuma-Kigumba'!L54)</f>
        <v>1.8571428571428572</v>
      </c>
      <c r="M54" s="49">
        <f>AVERAGE('29.07 Karuma-Kigumba'!M54,'30.07 Karuma-Kigumba'!M54,'31.07 Karuma-Kigumba'!M54,'01.08 Karuma-Kigumba'!M54,'02.08 Karuma-Kigumba-24h'!M54,'03.08 Karuma-Kigumba-24h'!M54,'04.08 Karuma-Kigumba'!M54)</f>
        <v>4.8571428571428568</v>
      </c>
      <c r="N54" s="49">
        <f>AVERAGE('29.07 Karuma-Kigumba'!N54,'30.07 Karuma-Kigumba'!N54,'31.07 Karuma-Kigumba'!N54,'01.08 Karuma-Kigumba'!N54,'02.08 Karuma-Kigumba-24h'!N54,'03.08 Karuma-Kigumba-24h'!N54,'04.08 Karuma-Kigumba'!N54)</f>
        <v>0</v>
      </c>
      <c r="O54" s="15">
        <f t="shared" si="0"/>
        <v>15.285714285714288</v>
      </c>
      <c r="P54" s="15">
        <f t="shared" si="1"/>
        <v>20.142857142857146</v>
      </c>
      <c r="R54" s="8"/>
      <c r="T54"/>
    </row>
    <row r="55" spans="2:20" ht="23.1" customHeight="1" x14ac:dyDescent="0.25">
      <c r="B55" s="23" t="s">
        <v>82</v>
      </c>
      <c r="C55" s="49">
        <f>AVERAGE('29.07 Karuma-Kigumba'!C55,'30.07 Karuma-Kigumba'!C55,'31.07 Karuma-Kigumba'!C55,'01.08 Karuma-Kigumba'!C55,'02.08 Karuma-Kigumba-24h'!C55,'03.08 Karuma-Kigumba-24h'!C55,'04.08 Karuma-Kigumba'!C55)</f>
        <v>1.4285714285714286</v>
      </c>
      <c r="D55" s="49">
        <f>AVERAGE('29.07 Karuma-Kigumba'!D55,'30.07 Karuma-Kigumba'!D55,'31.07 Karuma-Kigumba'!D55,'01.08 Karuma-Kigumba'!D55,'02.08 Karuma-Kigumba-24h'!D55,'03.08 Karuma-Kigumba-24h'!D55,'04.08 Karuma-Kigumba'!D55)</f>
        <v>1.2857142857142858</v>
      </c>
      <c r="E55" s="49">
        <f>AVERAGE('29.07 Karuma-Kigumba'!E55,'30.07 Karuma-Kigumba'!E55,'31.07 Karuma-Kigumba'!E55,'01.08 Karuma-Kigumba'!E55,'02.08 Karuma-Kigumba-24h'!E55,'03.08 Karuma-Kigumba-24h'!E55,'04.08 Karuma-Kigumba'!E55)</f>
        <v>2.7142857142857144</v>
      </c>
      <c r="F55" s="49">
        <f>AVERAGE('29.07 Karuma-Kigumba'!F55,'30.07 Karuma-Kigumba'!F55,'31.07 Karuma-Kigumba'!F55,'01.08 Karuma-Kigumba'!F55,'02.08 Karuma-Kigumba-24h'!F55,'03.08 Karuma-Kigumba-24h'!F55,'04.08 Karuma-Kigumba'!F55)</f>
        <v>2.2857142857142856</v>
      </c>
      <c r="G55" s="49">
        <f>AVERAGE('29.07 Karuma-Kigumba'!G55,'30.07 Karuma-Kigumba'!G55,'31.07 Karuma-Kigumba'!G55,'01.08 Karuma-Kigumba'!G55,'02.08 Karuma-Kigumba-24h'!G55,'03.08 Karuma-Kigumba-24h'!G55,'04.08 Karuma-Kigumba'!G55)</f>
        <v>0</v>
      </c>
      <c r="H55" s="49">
        <f>AVERAGE('29.07 Karuma-Kigumba'!H55,'30.07 Karuma-Kigumba'!H55,'31.07 Karuma-Kigumba'!H55,'01.08 Karuma-Kigumba'!H55,'02.08 Karuma-Kigumba-24h'!H55,'03.08 Karuma-Kigumba-24h'!H55,'04.08 Karuma-Kigumba'!H55)</f>
        <v>0.42857142857142855</v>
      </c>
      <c r="I55" s="49">
        <f>AVERAGE('29.07 Karuma-Kigumba'!I55,'30.07 Karuma-Kigumba'!I55,'31.07 Karuma-Kigumba'!I55,'01.08 Karuma-Kigumba'!I55,'02.08 Karuma-Kigumba-24h'!I55,'03.08 Karuma-Kigumba-24h'!I55,'04.08 Karuma-Kigumba'!I55)</f>
        <v>2.5714285714285716</v>
      </c>
      <c r="J55" s="49">
        <f>AVERAGE('29.07 Karuma-Kigumba'!J55,'30.07 Karuma-Kigumba'!J55,'31.07 Karuma-Kigumba'!J55,'01.08 Karuma-Kigumba'!J55,'02.08 Karuma-Kigumba-24h'!J55,'03.08 Karuma-Kigumba-24h'!J55,'04.08 Karuma-Kigumba'!J55)</f>
        <v>0.14285714285714285</v>
      </c>
      <c r="K55" s="49">
        <f>AVERAGE('29.07 Karuma-Kigumba'!K55,'30.07 Karuma-Kigumba'!K55,'31.07 Karuma-Kigumba'!K55,'01.08 Karuma-Kigumba'!K55,'02.08 Karuma-Kigumba-24h'!K55,'03.08 Karuma-Kigumba-24h'!K55,'04.08 Karuma-Kigumba'!K55)</f>
        <v>0.42857142857142855</v>
      </c>
      <c r="L55" s="49">
        <f>AVERAGE('29.07 Karuma-Kigumba'!L55,'30.07 Karuma-Kigumba'!L55,'31.07 Karuma-Kigumba'!L55,'01.08 Karuma-Kigumba'!L55,'02.08 Karuma-Kigumba-24h'!L55,'03.08 Karuma-Kigumba-24h'!L55,'04.08 Karuma-Kigumba'!L55)</f>
        <v>1.8571428571428572</v>
      </c>
      <c r="M55" s="49">
        <f>AVERAGE('29.07 Karuma-Kigumba'!M55,'30.07 Karuma-Kigumba'!M55,'31.07 Karuma-Kigumba'!M55,'01.08 Karuma-Kigumba'!M55,'02.08 Karuma-Kigumba-24h'!M55,'03.08 Karuma-Kigumba-24h'!M55,'04.08 Karuma-Kigumba'!M55)</f>
        <v>4.8571428571428568</v>
      </c>
      <c r="N55" s="49">
        <f>AVERAGE('29.07 Karuma-Kigumba'!N55,'30.07 Karuma-Kigumba'!N55,'31.07 Karuma-Kigumba'!N55,'01.08 Karuma-Kigumba'!N55,'02.08 Karuma-Kigumba-24h'!N55,'03.08 Karuma-Kigumba-24h'!N55,'04.08 Karuma-Kigumba'!N55)</f>
        <v>0</v>
      </c>
      <c r="O55" s="15">
        <f t="shared" si="0"/>
        <v>13.142857142857142</v>
      </c>
      <c r="P55" s="15">
        <f t="shared" si="1"/>
        <v>18</v>
      </c>
      <c r="R55" s="8"/>
      <c r="T55"/>
    </row>
    <row r="56" spans="2:20" ht="23.1" customHeight="1" x14ac:dyDescent="0.25">
      <c r="B56" s="23" t="s">
        <v>83</v>
      </c>
      <c r="C56" s="49">
        <f>AVERAGE('29.07 Karuma-Kigumba'!C56,'30.07 Karuma-Kigumba'!C56,'31.07 Karuma-Kigumba'!C56,'01.08 Karuma-Kigumba'!C56,'02.08 Karuma-Kigumba-24h'!C56,'03.08 Karuma-Kigumba-24h'!C56,'04.08 Karuma-Kigumba'!C56)</f>
        <v>3</v>
      </c>
      <c r="D56" s="49">
        <f>AVERAGE('29.07 Karuma-Kigumba'!D56,'30.07 Karuma-Kigumba'!D56,'31.07 Karuma-Kigumba'!D56,'01.08 Karuma-Kigumba'!D56,'02.08 Karuma-Kigumba-24h'!D56,'03.08 Karuma-Kigumba-24h'!D56,'04.08 Karuma-Kigumba'!D56)</f>
        <v>1</v>
      </c>
      <c r="E56" s="49">
        <f>AVERAGE('29.07 Karuma-Kigumba'!E56,'30.07 Karuma-Kigumba'!E56,'31.07 Karuma-Kigumba'!E56,'01.08 Karuma-Kigumba'!E56,'02.08 Karuma-Kigumba-24h'!E56,'03.08 Karuma-Kigumba-24h'!E56,'04.08 Karuma-Kigumba'!E56)</f>
        <v>2.7142857142857144</v>
      </c>
      <c r="F56" s="49">
        <f>AVERAGE('29.07 Karuma-Kigumba'!F56,'30.07 Karuma-Kigumba'!F56,'31.07 Karuma-Kigumba'!F56,'01.08 Karuma-Kigumba'!F56,'02.08 Karuma-Kigumba-24h'!F56,'03.08 Karuma-Kigumba-24h'!F56,'04.08 Karuma-Kigumba'!F56)</f>
        <v>1.7142857142857142</v>
      </c>
      <c r="G56" s="49">
        <f>AVERAGE('29.07 Karuma-Kigumba'!G56,'30.07 Karuma-Kigumba'!G56,'31.07 Karuma-Kigumba'!G56,'01.08 Karuma-Kigumba'!G56,'02.08 Karuma-Kigumba-24h'!G56,'03.08 Karuma-Kigumba-24h'!G56,'04.08 Karuma-Kigumba'!G56)</f>
        <v>0</v>
      </c>
      <c r="H56" s="49">
        <f>AVERAGE('29.07 Karuma-Kigumba'!H56,'30.07 Karuma-Kigumba'!H56,'31.07 Karuma-Kigumba'!H56,'01.08 Karuma-Kigumba'!H56,'02.08 Karuma-Kigumba-24h'!H56,'03.08 Karuma-Kigumba-24h'!H56,'04.08 Karuma-Kigumba'!H56)</f>
        <v>1.1428571428571428</v>
      </c>
      <c r="I56" s="49">
        <f>AVERAGE('29.07 Karuma-Kigumba'!I56,'30.07 Karuma-Kigumba'!I56,'31.07 Karuma-Kigumba'!I56,'01.08 Karuma-Kigumba'!I56,'02.08 Karuma-Kigumba-24h'!I56,'03.08 Karuma-Kigumba-24h'!I56,'04.08 Karuma-Kigumba'!I56)</f>
        <v>3.1428571428571428</v>
      </c>
      <c r="J56" s="49">
        <f>AVERAGE('29.07 Karuma-Kigumba'!J56,'30.07 Karuma-Kigumba'!J56,'31.07 Karuma-Kigumba'!J56,'01.08 Karuma-Kigumba'!J56,'02.08 Karuma-Kigumba-24h'!J56,'03.08 Karuma-Kigumba-24h'!J56,'04.08 Karuma-Kigumba'!J56)</f>
        <v>0.42857142857142855</v>
      </c>
      <c r="K56" s="49">
        <f>AVERAGE('29.07 Karuma-Kigumba'!K56,'30.07 Karuma-Kigumba'!K56,'31.07 Karuma-Kigumba'!K56,'01.08 Karuma-Kigumba'!K56,'02.08 Karuma-Kigumba-24h'!K56,'03.08 Karuma-Kigumba-24h'!K56,'04.08 Karuma-Kigumba'!K56)</f>
        <v>0</v>
      </c>
      <c r="L56" s="49">
        <f>AVERAGE('29.07 Karuma-Kigumba'!L56,'30.07 Karuma-Kigumba'!L56,'31.07 Karuma-Kigumba'!L56,'01.08 Karuma-Kigumba'!L56,'02.08 Karuma-Kigumba-24h'!L56,'03.08 Karuma-Kigumba-24h'!L56,'04.08 Karuma-Kigumba'!L56)</f>
        <v>2.1428571428571428</v>
      </c>
      <c r="M56" s="49">
        <f>AVERAGE('29.07 Karuma-Kigumba'!M56,'30.07 Karuma-Kigumba'!M56,'31.07 Karuma-Kigumba'!M56,'01.08 Karuma-Kigumba'!M56,'02.08 Karuma-Kigumba-24h'!M56,'03.08 Karuma-Kigumba-24h'!M56,'04.08 Karuma-Kigumba'!M56)</f>
        <v>4</v>
      </c>
      <c r="N56" s="49">
        <f>AVERAGE('29.07 Karuma-Kigumba'!N56,'30.07 Karuma-Kigumba'!N56,'31.07 Karuma-Kigumba'!N56,'01.08 Karuma-Kigumba'!N56,'02.08 Karuma-Kigumba-24h'!N56,'03.08 Karuma-Kigumba-24h'!N56,'04.08 Karuma-Kigumba'!N56)</f>
        <v>0</v>
      </c>
      <c r="O56" s="15">
        <f t="shared" si="0"/>
        <v>15.285714285714285</v>
      </c>
      <c r="P56" s="15">
        <f t="shared" si="1"/>
        <v>19.285714285714285</v>
      </c>
      <c r="R56" s="8"/>
      <c r="T56"/>
    </row>
    <row r="57" spans="2:20" ht="23.1" customHeight="1" x14ac:dyDescent="0.25">
      <c r="B57" s="23" t="s">
        <v>84</v>
      </c>
      <c r="C57" s="49">
        <f>AVERAGE('29.07 Karuma-Kigumba'!C57,'30.07 Karuma-Kigumba'!C57,'31.07 Karuma-Kigumba'!C57,'01.08 Karuma-Kigumba'!C57,'02.08 Karuma-Kigumba-24h'!C57,'03.08 Karuma-Kigumba-24h'!C57,'04.08 Karuma-Kigumba'!C57)</f>
        <v>1.4285714285714286</v>
      </c>
      <c r="D57" s="49">
        <f>AVERAGE('29.07 Karuma-Kigumba'!D57,'30.07 Karuma-Kigumba'!D57,'31.07 Karuma-Kigumba'!D57,'01.08 Karuma-Kigumba'!D57,'02.08 Karuma-Kigumba-24h'!D57,'03.08 Karuma-Kigumba-24h'!D57,'04.08 Karuma-Kigumba'!D57)</f>
        <v>1</v>
      </c>
      <c r="E57" s="49">
        <f>AVERAGE('29.07 Karuma-Kigumba'!E57,'30.07 Karuma-Kigumba'!E57,'31.07 Karuma-Kigumba'!E57,'01.08 Karuma-Kigumba'!E57,'02.08 Karuma-Kigumba-24h'!E57,'03.08 Karuma-Kigumba-24h'!E57,'04.08 Karuma-Kigumba'!E57)</f>
        <v>2.7142857142857144</v>
      </c>
      <c r="F57" s="49">
        <f>AVERAGE('29.07 Karuma-Kigumba'!F57,'30.07 Karuma-Kigumba'!F57,'31.07 Karuma-Kigumba'!F57,'01.08 Karuma-Kigumba'!F57,'02.08 Karuma-Kigumba-24h'!F57,'03.08 Karuma-Kigumba-24h'!F57,'04.08 Karuma-Kigumba'!F57)</f>
        <v>1.5714285714285714</v>
      </c>
      <c r="G57" s="49">
        <f>AVERAGE('29.07 Karuma-Kigumba'!G57,'30.07 Karuma-Kigumba'!G57,'31.07 Karuma-Kigumba'!G57,'01.08 Karuma-Kigumba'!G57,'02.08 Karuma-Kigumba-24h'!G57,'03.08 Karuma-Kigumba-24h'!G57,'04.08 Karuma-Kigumba'!G57)</f>
        <v>0</v>
      </c>
      <c r="H57" s="49">
        <f>AVERAGE('29.07 Karuma-Kigumba'!H57,'30.07 Karuma-Kigumba'!H57,'31.07 Karuma-Kigumba'!H57,'01.08 Karuma-Kigumba'!H57,'02.08 Karuma-Kigumba-24h'!H57,'03.08 Karuma-Kigumba-24h'!H57,'04.08 Karuma-Kigumba'!H57)</f>
        <v>0.42857142857142855</v>
      </c>
      <c r="I57" s="49">
        <f>AVERAGE('29.07 Karuma-Kigumba'!I57,'30.07 Karuma-Kigumba'!I57,'31.07 Karuma-Kigumba'!I57,'01.08 Karuma-Kigumba'!I57,'02.08 Karuma-Kigumba-24h'!I57,'03.08 Karuma-Kigumba-24h'!I57,'04.08 Karuma-Kigumba'!I57)</f>
        <v>2.5714285714285716</v>
      </c>
      <c r="J57" s="49">
        <f>AVERAGE('29.07 Karuma-Kigumba'!J57,'30.07 Karuma-Kigumba'!J57,'31.07 Karuma-Kigumba'!J57,'01.08 Karuma-Kigumba'!J57,'02.08 Karuma-Kigumba-24h'!J57,'03.08 Karuma-Kigumba-24h'!J57,'04.08 Karuma-Kigumba'!J57)</f>
        <v>0.8571428571428571</v>
      </c>
      <c r="K57" s="49">
        <f>AVERAGE('29.07 Karuma-Kigumba'!K57,'30.07 Karuma-Kigumba'!K57,'31.07 Karuma-Kigumba'!K57,'01.08 Karuma-Kigumba'!K57,'02.08 Karuma-Kigumba-24h'!K57,'03.08 Karuma-Kigumba-24h'!K57,'04.08 Karuma-Kigumba'!K57)</f>
        <v>0.14285714285714285</v>
      </c>
      <c r="L57" s="49">
        <f>AVERAGE('29.07 Karuma-Kigumba'!L57,'30.07 Karuma-Kigumba'!L57,'31.07 Karuma-Kigumba'!L57,'01.08 Karuma-Kigumba'!L57,'02.08 Karuma-Kigumba-24h'!L57,'03.08 Karuma-Kigumba-24h'!L57,'04.08 Karuma-Kigumba'!L57)</f>
        <v>1.5714285714285714</v>
      </c>
      <c r="M57" s="49">
        <f>AVERAGE('29.07 Karuma-Kigumba'!M57,'30.07 Karuma-Kigumba'!M57,'31.07 Karuma-Kigumba'!M57,'01.08 Karuma-Kigumba'!M57,'02.08 Karuma-Kigumba-24h'!M57,'03.08 Karuma-Kigumba-24h'!M57,'04.08 Karuma-Kigumba'!M57)</f>
        <v>4.2857142857142856</v>
      </c>
      <c r="N57" s="49">
        <f>AVERAGE('29.07 Karuma-Kigumba'!N57,'30.07 Karuma-Kigumba'!N57,'31.07 Karuma-Kigumba'!N57,'01.08 Karuma-Kigumba'!N57,'02.08 Karuma-Kigumba-24h'!N57,'03.08 Karuma-Kigumba-24h'!N57,'04.08 Karuma-Kigumba'!N57)</f>
        <v>0</v>
      </c>
      <c r="O57" s="15">
        <f t="shared" si="0"/>
        <v>12.285714285714286</v>
      </c>
      <c r="P57" s="15">
        <f t="shared" si="1"/>
        <v>16.571428571428573</v>
      </c>
      <c r="R57" s="8"/>
      <c r="T57"/>
    </row>
    <row r="58" spans="2:20" ht="23.1" customHeight="1" x14ac:dyDescent="0.25">
      <c r="B58" s="23" t="s">
        <v>99</v>
      </c>
      <c r="C58" s="49">
        <f>AVERAGE('02.08 Karuma-Kigumba-24h'!C58,'03.08 Karuma-Kigumba-24h'!C58)</f>
        <v>1.5</v>
      </c>
      <c r="D58" s="49">
        <f>AVERAGE('02.08 Karuma-Kigumba-24h'!D58,'03.08 Karuma-Kigumba-24h'!D58)</f>
        <v>1</v>
      </c>
      <c r="E58" s="49">
        <f>AVERAGE('02.08 Karuma-Kigumba-24h'!E58,'03.08 Karuma-Kigumba-24h'!E58)</f>
        <v>3</v>
      </c>
      <c r="F58" s="49">
        <f>AVERAGE('02.08 Karuma-Kigumba-24h'!F58,'03.08 Karuma-Kigumba-24h'!F58)</f>
        <v>1.5</v>
      </c>
      <c r="G58" s="49">
        <f>AVERAGE('02.08 Karuma-Kigumba-24h'!G58,'03.08 Karuma-Kigumba-24h'!G58)</f>
        <v>0</v>
      </c>
      <c r="H58" s="49">
        <f>AVERAGE('02.08 Karuma-Kigumba-24h'!H58,'03.08 Karuma-Kigumba-24h'!H58)</f>
        <v>0</v>
      </c>
      <c r="I58" s="49">
        <f>AVERAGE('02.08 Karuma-Kigumba-24h'!I58,'03.08 Karuma-Kigumba-24h'!I58)</f>
        <v>1.5</v>
      </c>
      <c r="J58" s="49">
        <f>AVERAGE('02.08 Karuma-Kigumba-24h'!J58,'03.08 Karuma-Kigumba-24h'!J58)</f>
        <v>1</v>
      </c>
      <c r="K58" s="49">
        <f>AVERAGE('02.08 Karuma-Kigumba-24h'!K58,'03.08 Karuma-Kigumba-24h'!K58)</f>
        <v>0</v>
      </c>
      <c r="L58" s="49">
        <f>AVERAGE('02.08 Karuma-Kigumba-24h'!L58,'03.08 Karuma-Kigumba-24h'!L58)</f>
        <v>2.5</v>
      </c>
      <c r="M58" s="49">
        <f>AVERAGE('02.08 Karuma-Kigumba-24h'!M58,'03.08 Karuma-Kigumba-24h'!M58)</f>
        <v>2.5</v>
      </c>
      <c r="N58" s="49">
        <f>AVERAGE('02.08 Karuma-Kigumba-24h'!N58,'03.08 Karuma-Kigumba-24h'!N58)</f>
        <v>0</v>
      </c>
      <c r="O58" s="15">
        <f t="shared" si="0"/>
        <v>12</v>
      </c>
      <c r="P58" s="15">
        <f t="shared" si="1"/>
        <v>14.5</v>
      </c>
      <c r="R58" s="8"/>
      <c r="T58"/>
    </row>
    <row r="59" spans="2:20" ht="23.1" customHeight="1" x14ac:dyDescent="0.25">
      <c r="B59" s="23" t="s">
        <v>100</v>
      </c>
      <c r="C59" s="49">
        <f>AVERAGE('02.08 Karuma-Kigumba-24h'!C59,'03.08 Karuma-Kigumba-24h'!C59)</f>
        <v>1</v>
      </c>
      <c r="D59" s="49">
        <f>AVERAGE('02.08 Karuma-Kigumba-24h'!D59,'03.08 Karuma-Kigumba-24h'!D59)</f>
        <v>0</v>
      </c>
      <c r="E59" s="49">
        <f>AVERAGE('02.08 Karuma-Kigumba-24h'!E59,'03.08 Karuma-Kigumba-24h'!E59)</f>
        <v>2</v>
      </c>
      <c r="F59" s="49">
        <f>AVERAGE('02.08 Karuma-Kigumba-24h'!F59,'03.08 Karuma-Kigumba-24h'!F59)</f>
        <v>1</v>
      </c>
      <c r="G59" s="49">
        <f>AVERAGE('02.08 Karuma-Kigumba-24h'!G59,'03.08 Karuma-Kigumba-24h'!G59)</f>
        <v>0</v>
      </c>
      <c r="H59" s="49">
        <f>AVERAGE('02.08 Karuma-Kigumba-24h'!H59,'03.08 Karuma-Kigumba-24h'!H59)</f>
        <v>0</v>
      </c>
      <c r="I59" s="49">
        <f>AVERAGE('02.08 Karuma-Kigumba-24h'!I59,'03.08 Karuma-Kigumba-24h'!I59)</f>
        <v>1</v>
      </c>
      <c r="J59" s="49">
        <f>AVERAGE('02.08 Karuma-Kigumba-24h'!J59,'03.08 Karuma-Kigumba-24h'!J59)</f>
        <v>0.5</v>
      </c>
      <c r="K59" s="49">
        <f>AVERAGE('02.08 Karuma-Kigumba-24h'!K59,'03.08 Karuma-Kigumba-24h'!K59)</f>
        <v>0</v>
      </c>
      <c r="L59" s="49">
        <f>AVERAGE('02.08 Karuma-Kigumba-24h'!L59,'03.08 Karuma-Kigumba-24h'!L59)</f>
        <v>1.5</v>
      </c>
      <c r="M59" s="49">
        <f>AVERAGE('02.08 Karuma-Kigumba-24h'!M59,'03.08 Karuma-Kigumba-24h'!M59)</f>
        <v>2</v>
      </c>
      <c r="N59" s="49">
        <f>AVERAGE('02.08 Karuma-Kigumba-24h'!N59,'03.08 Karuma-Kigumba-24h'!N59)</f>
        <v>0</v>
      </c>
      <c r="O59" s="15">
        <f t="shared" si="0"/>
        <v>7</v>
      </c>
      <c r="P59" s="15">
        <f t="shared" si="1"/>
        <v>9</v>
      </c>
      <c r="R59" s="8"/>
      <c r="T59"/>
    </row>
    <row r="60" spans="2:20" ht="23.1" customHeight="1" x14ac:dyDescent="0.25">
      <c r="B60" s="23" t="s">
        <v>101</v>
      </c>
      <c r="C60" s="49">
        <f>AVERAGE('02.08 Karuma-Kigumba-24h'!C60,'03.08 Karuma-Kigumba-24h'!C60)</f>
        <v>1</v>
      </c>
      <c r="D60" s="49">
        <f>AVERAGE('02.08 Karuma-Kigumba-24h'!D60,'03.08 Karuma-Kigumba-24h'!D60)</f>
        <v>0</v>
      </c>
      <c r="E60" s="49">
        <f>AVERAGE('02.08 Karuma-Kigumba-24h'!E60,'03.08 Karuma-Kigumba-24h'!E60)</f>
        <v>2.5</v>
      </c>
      <c r="F60" s="49">
        <f>AVERAGE('02.08 Karuma-Kigumba-24h'!F60,'03.08 Karuma-Kigumba-24h'!F60)</f>
        <v>1</v>
      </c>
      <c r="G60" s="49">
        <f>AVERAGE('02.08 Karuma-Kigumba-24h'!G60,'03.08 Karuma-Kigumba-24h'!G60)</f>
        <v>0</v>
      </c>
      <c r="H60" s="49">
        <f>AVERAGE('02.08 Karuma-Kigumba-24h'!H60,'03.08 Karuma-Kigumba-24h'!H60)</f>
        <v>0</v>
      </c>
      <c r="I60" s="49">
        <f>AVERAGE('02.08 Karuma-Kigumba-24h'!I60,'03.08 Karuma-Kigumba-24h'!I60)</f>
        <v>1</v>
      </c>
      <c r="J60" s="49">
        <f>AVERAGE('02.08 Karuma-Kigumba-24h'!J60,'03.08 Karuma-Kigumba-24h'!J60)</f>
        <v>0</v>
      </c>
      <c r="K60" s="49">
        <f>AVERAGE('02.08 Karuma-Kigumba-24h'!K60,'03.08 Karuma-Kigumba-24h'!K60)</f>
        <v>0</v>
      </c>
      <c r="L60" s="49">
        <f>AVERAGE('02.08 Karuma-Kigumba-24h'!L60,'03.08 Karuma-Kigumba-24h'!L60)</f>
        <v>0.5</v>
      </c>
      <c r="M60" s="49">
        <f>AVERAGE('02.08 Karuma-Kigumba-24h'!M60,'03.08 Karuma-Kigumba-24h'!M60)</f>
        <v>2</v>
      </c>
      <c r="N60" s="49">
        <f>AVERAGE('02.08 Karuma-Kigumba-24h'!N60,'03.08 Karuma-Kigumba-24h'!N60)</f>
        <v>0</v>
      </c>
      <c r="O60" s="15">
        <f t="shared" si="0"/>
        <v>6</v>
      </c>
      <c r="P60" s="15">
        <f t="shared" si="1"/>
        <v>8</v>
      </c>
      <c r="R60" s="8"/>
      <c r="T60"/>
    </row>
    <row r="61" spans="2:20" ht="23.1" customHeight="1" x14ac:dyDescent="0.25">
      <c r="B61" s="23" t="s">
        <v>102</v>
      </c>
      <c r="C61" s="49">
        <f>AVERAGE('02.08 Karuma-Kigumba-24h'!C61,'03.08 Karuma-Kigumba-24h'!C61)</f>
        <v>1.5</v>
      </c>
      <c r="D61" s="49">
        <f>AVERAGE('02.08 Karuma-Kigumba-24h'!D61,'03.08 Karuma-Kigumba-24h'!D61)</f>
        <v>1</v>
      </c>
      <c r="E61" s="49">
        <f>AVERAGE('02.08 Karuma-Kigumba-24h'!E61,'03.08 Karuma-Kigumba-24h'!E61)</f>
        <v>3.5</v>
      </c>
      <c r="F61" s="49">
        <f>AVERAGE('02.08 Karuma-Kigumba-24h'!F61,'03.08 Karuma-Kigumba-24h'!F61)</f>
        <v>1.5</v>
      </c>
      <c r="G61" s="49">
        <f>AVERAGE('02.08 Karuma-Kigumba-24h'!G61,'03.08 Karuma-Kigumba-24h'!G61)</f>
        <v>0</v>
      </c>
      <c r="H61" s="49">
        <f>AVERAGE('02.08 Karuma-Kigumba-24h'!H61,'03.08 Karuma-Kigumba-24h'!H61)</f>
        <v>0.5</v>
      </c>
      <c r="I61" s="49">
        <f>AVERAGE('02.08 Karuma-Kigumba-24h'!I61,'03.08 Karuma-Kigumba-24h'!I61)</f>
        <v>1.5</v>
      </c>
      <c r="J61" s="49">
        <f>AVERAGE('02.08 Karuma-Kigumba-24h'!J61,'03.08 Karuma-Kigumba-24h'!J61)</f>
        <v>1</v>
      </c>
      <c r="K61" s="49">
        <f>AVERAGE('02.08 Karuma-Kigumba-24h'!K61,'03.08 Karuma-Kigumba-24h'!K61)</f>
        <v>0</v>
      </c>
      <c r="L61" s="49">
        <f>AVERAGE('02.08 Karuma-Kigumba-24h'!L61,'03.08 Karuma-Kigumba-24h'!L61)</f>
        <v>0.5</v>
      </c>
      <c r="M61" s="49">
        <f>AVERAGE('02.08 Karuma-Kigumba-24h'!M61,'03.08 Karuma-Kigumba-24h'!M61)</f>
        <v>3.5</v>
      </c>
      <c r="N61" s="49">
        <f>AVERAGE('02.08 Karuma-Kigumba-24h'!N61,'03.08 Karuma-Kigumba-24h'!N61)</f>
        <v>0</v>
      </c>
      <c r="O61" s="15">
        <f t="shared" si="0"/>
        <v>11</v>
      </c>
      <c r="P61" s="15">
        <f t="shared" si="1"/>
        <v>14.5</v>
      </c>
      <c r="R61" s="8"/>
      <c r="T61"/>
    </row>
    <row r="62" spans="2:20" ht="23.1" customHeight="1" x14ac:dyDescent="0.25">
      <c r="B62" s="23" t="s">
        <v>107</v>
      </c>
      <c r="C62" s="49">
        <f>AVERAGE('02.08 Karuma-Kigumba-24h'!C62,'03.08 Karuma-Kigumba-24h'!C62)</f>
        <v>1</v>
      </c>
      <c r="D62" s="49">
        <f>AVERAGE('02.08 Karuma-Kigumba-24h'!D62,'03.08 Karuma-Kigumba-24h'!D62)</f>
        <v>0.5</v>
      </c>
      <c r="E62" s="49">
        <f>AVERAGE('02.08 Karuma-Kigumba-24h'!E62,'03.08 Karuma-Kigumba-24h'!E62)</f>
        <v>2.5</v>
      </c>
      <c r="F62" s="49">
        <f>AVERAGE('02.08 Karuma-Kigumba-24h'!F62,'03.08 Karuma-Kigumba-24h'!F62)</f>
        <v>1</v>
      </c>
      <c r="G62" s="49">
        <f>AVERAGE('02.08 Karuma-Kigumba-24h'!G62,'03.08 Karuma-Kigumba-24h'!G62)</f>
        <v>0</v>
      </c>
      <c r="H62" s="49">
        <f>AVERAGE('02.08 Karuma-Kigumba-24h'!H62,'03.08 Karuma-Kigumba-24h'!H62)</f>
        <v>0</v>
      </c>
      <c r="I62" s="49">
        <f>AVERAGE('02.08 Karuma-Kigumba-24h'!I62,'03.08 Karuma-Kigumba-24h'!I62)</f>
        <v>0.5</v>
      </c>
      <c r="J62" s="49">
        <f>AVERAGE('02.08 Karuma-Kigumba-24h'!J62,'03.08 Karuma-Kigumba-24h'!J62)</f>
        <v>0</v>
      </c>
      <c r="K62" s="49">
        <f>AVERAGE('02.08 Karuma-Kigumba-24h'!K62,'03.08 Karuma-Kigumba-24h'!K62)</f>
        <v>0</v>
      </c>
      <c r="L62" s="49">
        <f>AVERAGE('02.08 Karuma-Kigumba-24h'!L62,'03.08 Karuma-Kigumba-24h'!L62)</f>
        <v>0.5</v>
      </c>
      <c r="M62" s="49">
        <f>AVERAGE('02.08 Karuma-Kigumba-24h'!M62,'03.08 Karuma-Kigumba-24h'!M62)</f>
        <v>2</v>
      </c>
      <c r="N62" s="49">
        <f>AVERAGE('02.08 Karuma-Kigumba-24h'!N62,'03.08 Karuma-Kigumba-24h'!N62)</f>
        <v>0</v>
      </c>
      <c r="O62" s="15">
        <f t="shared" si="0"/>
        <v>6</v>
      </c>
      <c r="P62" s="15">
        <f t="shared" si="1"/>
        <v>8</v>
      </c>
      <c r="R62" s="8"/>
      <c r="T62"/>
    </row>
    <row r="63" spans="2:20" ht="23.1" customHeight="1" x14ac:dyDescent="0.25">
      <c r="B63" s="23" t="s">
        <v>108</v>
      </c>
      <c r="C63" s="49">
        <f>AVERAGE('02.08 Karuma-Kigumba-24h'!C63,'03.08 Karuma-Kigumba-24h'!C63)</f>
        <v>1</v>
      </c>
      <c r="D63" s="49">
        <f>AVERAGE('02.08 Karuma-Kigumba-24h'!D63,'03.08 Karuma-Kigumba-24h'!D63)</f>
        <v>1</v>
      </c>
      <c r="E63" s="49">
        <f>AVERAGE('02.08 Karuma-Kigumba-24h'!E63,'03.08 Karuma-Kigumba-24h'!E63)</f>
        <v>3</v>
      </c>
      <c r="F63" s="49">
        <f>AVERAGE('02.08 Karuma-Kigumba-24h'!F63,'03.08 Karuma-Kigumba-24h'!F63)</f>
        <v>1.5</v>
      </c>
      <c r="G63" s="49">
        <f>AVERAGE('02.08 Karuma-Kigumba-24h'!G63,'03.08 Karuma-Kigumba-24h'!G63)</f>
        <v>0</v>
      </c>
      <c r="H63" s="49">
        <f>AVERAGE('02.08 Karuma-Kigumba-24h'!H63,'03.08 Karuma-Kigumba-24h'!H63)</f>
        <v>1</v>
      </c>
      <c r="I63" s="49">
        <f>AVERAGE('02.08 Karuma-Kigumba-24h'!I63,'03.08 Karuma-Kigumba-24h'!I63)</f>
        <v>1</v>
      </c>
      <c r="J63" s="49">
        <f>AVERAGE('02.08 Karuma-Kigumba-24h'!J63,'03.08 Karuma-Kigumba-24h'!J63)</f>
        <v>0.5</v>
      </c>
      <c r="K63" s="49">
        <f>AVERAGE('02.08 Karuma-Kigumba-24h'!K63,'03.08 Karuma-Kigumba-24h'!K63)</f>
        <v>0</v>
      </c>
      <c r="L63" s="49">
        <f>AVERAGE('02.08 Karuma-Kigumba-24h'!L63,'03.08 Karuma-Kigumba-24h'!L63)</f>
        <v>0.5</v>
      </c>
      <c r="M63" s="49">
        <f>AVERAGE('02.08 Karuma-Kigumba-24h'!M63,'03.08 Karuma-Kigumba-24h'!M63)</f>
        <v>3.5</v>
      </c>
      <c r="N63" s="49">
        <f>AVERAGE('02.08 Karuma-Kigumba-24h'!N63,'03.08 Karuma-Kigumba-24h'!N63)</f>
        <v>0</v>
      </c>
      <c r="O63" s="15">
        <f t="shared" si="0"/>
        <v>9.5</v>
      </c>
      <c r="P63" s="15">
        <f t="shared" si="1"/>
        <v>13</v>
      </c>
      <c r="R63" s="8"/>
      <c r="T63"/>
    </row>
    <row r="64" spans="2:20" ht="23.1" customHeight="1" x14ac:dyDescent="0.25">
      <c r="B64" s="23" t="s">
        <v>109</v>
      </c>
      <c r="C64" s="49">
        <f>AVERAGE('02.08 Karuma-Kigumba-24h'!C64,'03.08 Karuma-Kigumba-24h'!C64)</f>
        <v>1</v>
      </c>
      <c r="D64" s="49">
        <f>AVERAGE('02.08 Karuma-Kigumba-24h'!D64,'03.08 Karuma-Kigumba-24h'!D64)</f>
        <v>1</v>
      </c>
      <c r="E64" s="49">
        <f>AVERAGE('02.08 Karuma-Kigumba-24h'!E64,'03.08 Karuma-Kigumba-24h'!E64)</f>
        <v>3</v>
      </c>
      <c r="F64" s="49">
        <f>AVERAGE('02.08 Karuma-Kigumba-24h'!F64,'03.08 Karuma-Kigumba-24h'!F64)</f>
        <v>1.5</v>
      </c>
      <c r="G64" s="49">
        <f>AVERAGE('02.08 Karuma-Kigumba-24h'!G64,'03.08 Karuma-Kigumba-24h'!G64)</f>
        <v>0</v>
      </c>
      <c r="H64" s="49">
        <f>AVERAGE('02.08 Karuma-Kigumba-24h'!H64,'03.08 Karuma-Kigumba-24h'!H64)</f>
        <v>1</v>
      </c>
      <c r="I64" s="49">
        <f>AVERAGE('02.08 Karuma-Kigumba-24h'!I64,'03.08 Karuma-Kigumba-24h'!I64)</f>
        <v>1</v>
      </c>
      <c r="J64" s="49">
        <f>AVERAGE('02.08 Karuma-Kigumba-24h'!J64,'03.08 Karuma-Kigumba-24h'!J64)</f>
        <v>0.5</v>
      </c>
      <c r="K64" s="49">
        <f>AVERAGE('02.08 Karuma-Kigumba-24h'!K64,'03.08 Karuma-Kigumba-24h'!K64)</f>
        <v>0</v>
      </c>
      <c r="L64" s="49">
        <f>AVERAGE('02.08 Karuma-Kigumba-24h'!L64,'03.08 Karuma-Kigumba-24h'!L64)</f>
        <v>1</v>
      </c>
      <c r="M64" s="49">
        <f>AVERAGE('02.08 Karuma-Kigumba-24h'!M64,'03.08 Karuma-Kigumba-24h'!M64)</f>
        <v>2.5</v>
      </c>
      <c r="N64" s="49">
        <f>AVERAGE('02.08 Karuma-Kigumba-24h'!N64,'03.08 Karuma-Kigumba-24h'!N64)</f>
        <v>0</v>
      </c>
      <c r="O64" s="15">
        <f t="shared" si="0"/>
        <v>10</v>
      </c>
      <c r="P64" s="15">
        <f t="shared" si="1"/>
        <v>12.5</v>
      </c>
      <c r="R64" s="8"/>
      <c r="T64"/>
    </row>
    <row r="65" spans="2:20" ht="23.1" customHeight="1" x14ac:dyDescent="0.25">
      <c r="B65" s="23" t="s">
        <v>158</v>
      </c>
      <c r="C65" s="49">
        <f>AVERAGE('02.08 Karuma-Kigumba-24h'!C65,'03.08 Karuma-Kigumba-24h'!C65)</f>
        <v>1</v>
      </c>
      <c r="D65" s="49">
        <f>AVERAGE('02.08 Karuma-Kigumba-24h'!D65,'03.08 Karuma-Kigumba-24h'!D65)</f>
        <v>0.5</v>
      </c>
      <c r="E65" s="49">
        <f>AVERAGE('02.08 Karuma-Kigumba-24h'!E65,'03.08 Karuma-Kigumba-24h'!E65)</f>
        <v>3</v>
      </c>
      <c r="F65" s="49">
        <f>AVERAGE('02.08 Karuma-Kigumba-24h'!F65,'03.08 Karuma-Kigumba-24h'!F65)</f>
        <v>1</v>
      </c>
      <c r="G65" s="49">
        <f>AVERAGE('02.08 Karuma-Kigumba-24h'!G65,'03.08 Karuma-Kigumba-24h'!G65)</f>
        <v>0</v>
      </c>
      <c r="H65" s="49">
        <f>AVERAGE('02.08 Karuma-Kigumba-24h'!H65,'03.08 Karuma-Kigumba-24h'!H65)</f>
        <v>0.5</v>
      </c>
      <c r="I65" s="49">
        <f>AVERAGE('02.08 Karuma-Kigumba-24h'!I65,'03.08 Karuma-Kigumba-24h'!I65)</f>
        <v>1</v>
      </c>
      <c r="J65" s="49">
        <f>AVERAGE('02.08 Karuma-Kigumba-24h'!J65,'03.08 Karuma-Kigumba-24h'!J65)</f>
        <v>0</v>
      </c>
      <c r="K65" s="49">
        <f>AVERAGE('02.08 Karuma-Kigumba-24h'!K65,'03.08 Karuma-Kigumba-24h'!K65)</f>
        <v>0</v>
      </c>
      <c r="L65" s="49">
        <f>AVERAGE('02.08 Karuma-Kigumba-24h'!L65,'03.08 Karuma-Kigumba-24h'!L65)</f>
        <v>0.5</v>
      </c>
      <c r="M65" s="49">
        <f>AVERAGE('02.08 Karuma-Kigumba-24h'!M65,'03.08 Karuma-Kigumba-24h'!M65)</f>
        <v>2</v>
      </c>
      <c r="N65" s="49">
        <f>AVERAGE('02.08 Karuma-Kigumba-24h'!N65,'03.08 Karuma-Kigumba-24h'!N65)</f>
        <v>0</v>
      </c>
      <c r="O65" s="15">
        <f t="shared" si="0"/>
        <v>7.5</v>
      </c>
      <c r="P65" s="15">
        <f t="shared" si="1"/>
        <v>9.5</v>
      </c>
      <c r="R65" s="8"/>
      <c r="T65"/>
    </row>
    <row r="66" spans="2:20" ht="23.1" customHeight="1" x14ac:dyDescent="0.25">
      <c r="B66" s="23" t="s">
        <v>103</v>
      </c>
      <c r="C66" s="49">
        <f>AVERAGE('02.08 Karuma-Kigumba-24h'!C66,'03.08 Karuma-Kigumba-24h'!C66)</f>
        <v>1.5</v>
      </c>
      <c r="D66" s="49">
        <f>AVERAGE('02.08 Karuma-Kigumba-24h'!D66,'03.08 Karuma-Kigumba-24h'!D66)</f>
        <v>1</v>
      </c>
      <c r="E66" s="49">
        <f>AVERAGE('02.08 Karuma-Kigumba-24h'!E66,'03.08 Karuma-Kigumba-24h'!E66)</f>
        <v>3.5</v>
      </c>
      <c r="F66" s="49">
        <f>AVERAGE('02.08 Karuma-Kigumba-24h'!F66,'03.08 Karuma-Kigumba-24h'!F66)</f>
        <v>1.5</v>
      </c>
      <c r="G66" s="49">
        <f>AVERAGE('02.08 Karuma-Kigumba-24h'!G66,'03.08 Karuma-Kigumba-24h'!G66)</f>
        <v>0</v>
      </c>
      <c r="H66" s="49">
        <f>AVERAGE('02.08 Karuma-Kigumba-24h'!H66,'03.08 Karuma-Kigumba-24h'!H66)</f>
        <v>2.5</v>
      </c>
      <c r="I66" s="49">
        <f>AVERAGE('02.08 Karuma-Kigumba-24h'!I66,'03.08 Karuma-Kigumba-24h'!I66)</f>
        <v>1.5</v>
      </c>
      <c r="J66" s="49">
        <f>AVERAGE('02.08 Karuma-Kigumba-24h'!J66,'03.08 Karuma-Kigumba-24h'!J66)</f>
        <v>0.5</v>
      </c>
      <c r="K66" s="49">
        <f>AVERAGE('02.08 Karuma-Kigumba-24h'!K66,'03.08 Karuma-Kigumba-24h'!K66)</f>
        <v>0</v>
      </c>
      <c r="L66" s="49">
        <f>AVERAGE('02.08 Karuma-Kigumba-24h'!L66,'03.08 Karuma-Kigumba-24h'!L66)</f>
        <v>1</v>
      </c>
      <c r="M66" s="49">
        <f>AVERAGE('02.08 Karuma-Kigumba-24h'!M66,'03.08 Karuma-Kigumba-24h'!M66)</f>
        <v>3.5</v>
      </c>
      <c r="N66" s="49">
        <f>AVERAGE('02.08 Karuma-Kigumba-24h'!N66,'03.08 Karuma-Kigumba-24h'!N66)</f>
        <v>0</v>
      </c>
      <c r="O66" s="15">
        <f t="shared" si="0"/>
        <v>13</v>
      </c>
      <c r="P66" s="15">
        <f t="shared" si="1"/>
        <v>16.5</v>
      </c>
      <c r="R66" s="8"/>
      <c r="T66"/>
    </row>
    <row r="67" spans="2:20" ht="23.1" customHeight="1" x14ac:dyDescent="0.25">
      <c r="B67" s="23" t="s">
        <v>104</v>
      </c>
      <c r="C67" s="49">
        <f>AVERAGE('02.08 Karuma-Kigumba-24h'!C67,'03.08 Karuma-Kigumba-24h'!C67)</f>
        <v>1</v>
      </c>
      <c r="D67" s="49">
        <f>AVERAGE('02.08 Karuma-Kigumba-24h'!D67,'03.08 Karuma-Kigumba-24h'!D67)</f>
        <v>0.5</v>
      </c>
      <c r="E67" s="49">
        <f>AVERAGE('02.08 Karuma-Kigumba-24h'!E67,'03.08 Karuma-Kigumba-24h'!E67)</f>
        <v>2.5</v>
      </c>
      <c r="F67" s="49">
        <f>AVERAGE('02.08 Karuma-Kigumba-24h'!F67,'03.08 Karuma-Kigumba-24h'!F67)</f>
        <v>1</v>
      </c>
      <c r="G67" s="49">
        <f>AVERAGE('02.08 Karuma-Kigumba-24h'!G67,'03.08 Karuma-Kigumba-24h'!G67)</f>
        <v>0</v>
      </c>
      <c r="H67" s="49">
        <f>AVERAGE('02.08 Karuma-Kigumba-24h'!H67,'03.08 Karuma-Kigumba-24h'!H67)</f>
        <v>0</v>
      </c>
      <c r="I67" s="49">
        <f>AVERAGE('02.08 Karuma-Kigumba-24h'!I67,'03.08 Karuma-Kigumba-24h'!I67)</f>
        <v>1</v>
      </c>
      <c r="J67" s="49">
        <f>AVERAGE('02.08 Karuma-Kigumba-24h'!J67,'03.08 Karuma-Kigumba-24h'!J67)</f>
        <v>0</v>
      </c>
      <c r="K67" s="49">
        <f>AVERAGE('02.08 Karuma-Kigumba-24h'!K67,'03.08 Karuma-Kigumba-24h'!K67)</f>
        <v>0</v>
      </c>
      <c r="L67" s="49">
        <f>AVERAGE('02.08 Karuma-Kigumba-24h'!L67,'03.08 Karuma-Kigumba-24h'!L67)</f>
        <v>2</v>
      </c>
      <c r="M67" s="49">
        <f>AVERAGE('02.08 Karuma-Kigumba-24h'!M67,'03.08 Karuma-Kigumba-24h'!M67)</f>
        <v>2</v>
      </c>
      <c r="N67" s="49">
        <f>AVERAGE('02.08 Karuma-Kigumba-24h'!N67,'03.08 Karuma-Kigumba-24h'!N67)</f>
        <v>0</v>
      </c>
      <c r="O67" s="15">
        <f t="shared" si="0"/>
        <v>8</v>
      </c>
      <c r="P67" s="15">
        <f t="shared" si="1"/>
        <v>10</v>
      </c>
      <c r="R67" s="8"/>
      <c r="T67"/>
    </row>
    <row r="68" spans="2:20" ht="23.1" customHeight="1" x14ac:dyDescent="0.25">
      <c r="B68" s="23" t="s">
        <v>105</v>
      </c>
      <c r="C68" s="49">
        <f>AVERAGE('02.08 Karuma-Kigumba-24h'!C68,'03.08 Karuma-Kigumba-24h'!C68)</f>
        <v>1</v>
      </c>
      <c r="D68" s="49">
        <f>AVERAGE('02.08 Karuma-Kigumba-24h'!D68,'03.08 Karuma-Kigumba-24h'!D68)</f>
        <v>0.5</v>
      </c>
      <c r="E68" s="49">
        <f>AVERAGE('02.08 Karuma-Kigumba-24h'!E68,'03.08 Karuma-Kigumba-24h'!E68)</f>
        <v>2</v>
      </c>
      <c r="F68" s="49">
        <f>AVERAGE('02.08 Karuma-Kigumba-24h'!F68,'03.08 Karuma-Kigumba-24h'!F68)</f>
        <v>0.5</v>
      </c>
      <c r="G68" s="49">
        <f>AVERAGE('02.08 Karuma-Kigumba-24h'!G68,'03.08 Karuma-Kigumba-24h'!G68)</f>
        <v>0</v>
      </c>
      <c r="H68" s="49">
        <f>AVERAGE('02.08 Karuma-Kigumba-24h'!H68,'03.08 Karuma-Kigumba-24h'!H68)</f>
        <v>2</v>
      </c>
      <c r="I68" s="49">
        <f>AVERAGE('02.08 Karuma-Kigumba-24h'!I68,'03.08 Karuma-Kigumba-24h'!I68)</f>
        <v>1</v>
      </c>
      <c r="J68" s="49">
        <f>AVERAGE('02.08 Karuma-Kigumba-24h'!J68,'03.08 Karuma-Kigumba-24h'!J68)</f>
        <v>0</v>
      </c>
      <c r="K68" s="49">
        <f>AVERAGE('02.08 Karuma-Kigumba-24h'!K68,'03.08 Karuma-Kigumba-24h'!K68)</f>
        <v>0</v>
      </c>
      <c r="L68" s="49">
        <f>AVERAGE('02.08 Karuma-Kigumba-24h'!L68,'03.08 Karuma-Kigumba-24h'!L68)</f>
        <v>2.5</v>
      </c>
      <c r="M68" s="49">
        <f>AVERAGE('02.08 Karuma-Kigumba-24h'!M68,'03.08 Karuma-Kigumba-24h'!M68)</f>
        <v>2</v>
      </c>
      <c r="N68" s="49">
        <f>AVERAGE('02.08 Karuma-Kigumba-24h'!N68,'03.08 Karuma-Kigumba-24h'!N68)</f>
        <v>0</v>
      </c>
      <c r="O68" s="15">
        <f t="shared" si="0"/>
        <v>9.5</v>
      </c>
      <c r="P68" s="15">
        <f t="shared" si="1"/>
        <v>11.5</v>
      </c>
      <c r="R68" s="8"/>
      <c r="T68"/>
    </row>
    <row r="69" spans="2:20" ht="23.1" customHeight="1" x14ac:dyDescent="0.25">
      <c r="B69" s="23" t="s">
        <v>106</v>
      </c>
      <c r="C69" s="49">
        <f>AVERAGE('02.08 Karuma-Kigumba-24h'!C69,'03.08 Karuma-Kigumba-24h'!C69)</f>
        <v>2</v>
      </c>
      <c r="D69" s="49">
        <f>AVERAGE('02.08 Karuma-Kigumba-24h'!D69,'03.08 Karuma-Kigumba-24h'!D69)</f>
        <v>1</v>
      </c>
      <c r="E69" s="49">
        <f>AVERAGE('02.08 Karuma-Kigumba-24h'!E69,'03.08 Karuma-Kigumba-24h'!E69)</f>
        <v>4</v>
      </c>
      <c r="F69" s="49">
        <f>AVERAGE('02.08 Karuma-Kigumba-24h'!F69,'03.08 Karuma-Kigumba-24h'!F69)</f>
        <v>2.5</v>
      </c>
      <c r="G69" s="49">
        <f>AVERAGE('02.08 Karuma-Kigumba-24h'!G69,'03.08 Karuma-Kigumba-24h'!G69)</f>
        <v>0</v>
      </c>
      <c r="H69" s="49">
        <f>AVERAGE('02.08 Karuma-Kigumba-24h'!H69,'03.08 Karuma-Kigumba-24h'!H69)</f>
        <v>2</v>
      </c>
      <c r="I69" s="49">
        <f>AVERAGE('02.08 Karuma-Kigumba-24h'!I69,'03.08 Karuma-Kigumba-24h'!I69)</f>
        <v>1.5</v>
      </c>
      <c r="J69" s="49">
        <f>AVERAGE('02.08 Karuma-Kigumba-24h'!J69,'03.08 Karuma-Kigumba-24h'!J69)</f>
        <v>0.5</v>
      </c>
      <c r="K69" s="49">
        <f>AVERAGE('02.08 Karuma-Kigumba-24h'!K69,'03.08 Karuma-Kigumba-24h'!K69)</f>
        <v>0</v>
      </c>
      <c r="L69" s="49">
        <f>AVERAGE('02.08 Karuma-Kigumba-24h'!L69,'03.08 Karuma-Kigumba-24h'!L69)</f>
        <v>0</v>
      </c>
      <c r="M69" s="49">
        <f>AVERAGE('02.08 Karuma-Kigumba-24h'!M69,'03.08 Karuma-Kigumba-24h'!M69)</f>
        <v>3</v>
      </c>
      <c r="N69" s="49">
        <f>AVERAGE('02.08 Karuma-Kigumba-24h'!N69,'03.08 Karuma-Kigumba-24h'!N69)</f>
        <v>0</v>
      </c>
      <c r="O69" s="15">
        <f t="shared" si="0"/>
        <v>13.5</v>
      </c>
      <c r="P69" s="15">
        <f t="shared" si="1"/>
        <v>16.5</v>
      </c>
      <c r="R69" s="8"/>
      <c r="T69"/>
    </row>
    <row r="70" spans="2:20" ht="23.1" customHeight="1" x14ac:dyDescent="0.25">
      <c r="B70" s="23" t="s">
        <v>110</v>
      </c>
      <c r="C70" s="49">
        <f>AVERAGE('02.08 Karuma-Kigumba-24h'!C70,'03.08 Karuma-Kigumba-24h'!C70)</f>
        <v>1.5</v>
      </c>
      <c r="D70" s="49">
        <f>AVERAGE('02.08 Karuma-Kigumba-24h'!D70,'03.08 Karuma-Kigumba-24h'!D70)</f>
        <v>1.5</v>
      </c>
      <c r="E70" s="49">
        <f>AVERAGE('02.08 Karuma-Kigumba-24h'!E70,'03.08 Karuma-Kigumba-24h'!E70)</f>
        <v>3</v>
      </c>
      <c r="F70" s="49">
        <f>AVERAGE('02.08 Karuma-Kigumba-24h'!F70,'03.08 Karuma-Kigumba-24h'!F70)</f>
        <v>1.5</v>
      </c>
      <c r="G70" s="49">
        <f>AVERAGE('02.08 Karuma-Kigumba-24h'!G70,'03.08 Karuma-Kigumba-24h'!G70)</f>
        <v>0</v>
      </c>
      <c r="H70" s="49">
        <f>AVERAGE('02.08 Karuma-Kigumba-24h'!H70,'03.08 Karuma-Kigumba-24h'!H70)</f>
        <v>0.5</v>
      </c>
      <c r="I70" s="49">
        <f>AVERAGE('02.08 Karuma-Kigumba-24h'!I70,'03.08 Karuma-Kigumba-24h'!I70)</f>
        <v>1</v>
      </c>
      <c r="J70" s="49">
        <f>AVERAGE('02.08 Karuma-Kigumba-24h'!J70,'03.08 Karuma-Kigumba-24h'!J70)</f>
        <v>0.5</v>
      </c>
      <c r="K70" s="49">
        <f>AVERAGE('02.08 Karuma-Kigumba-24h'!K70,'03.08 Karuma-Kigumba-24h'!K70)</f>
        <v>0</v>
      </c>
      <c r="L70" s="49">
        <f>AVERAGE('02.08 Karuma-Kigumba-24h'!L70,'03.08 Karuma-Kigumba-24h'!L70)</f>
        <v>0.5</v>
      </c>
      <c r="M70" s="49">
        <f>AVERAGE('02.08 Karuma-Kigumba-24h'!M70,'03.08 Karuma-Kigumba-24h'!M70)</f>
        <v>2</v>
      </c>
      <c r="N70" s="49">
        <f>AVERAGE('02.08 Karuma-Kigumba-24h'!N70,'03.08 Karuma-Kigumba-24h'!N70)</f>
        <v>0</v>
      </c>
      <c r="O70" s="15">
        <f t="shared" si="0"/>
        <v>10</v>
      </c>
      <c r="P70" s="15">
        <f t="shared" si="1"/>
        <v>12</v>
      </c>
      <c r="R70" s="8"/>
      <c r="T70"/>
    </row>
    <row r="71" spans="2:20" ht="23.1" customHeight="1" x14ac:dyDescent="0.25">
      <c r="B71" s="23" t="s">
        <v>111</v>
      </c>
      <c r="C71" s="49">
        <f>AVERAGE('02.08 Karuma-Kigumba-24h'!C71,'03.08 Karuma-Kigumba-24h'!C71)</f>
        <v>1</v>
      </c>
      <c r="D71" s="49">
        <f>AVERAGE('02.08 Karuma-Kigumba-24h'!D71,'03.08 Karuma-Kigumba-24h'!D71)</f>
        <v>0.5</v>
      </c>
      <c r="E71" s="49">
        <f>AVERAGE('02.08 Karuma-Kigumba-24h'!E71,'03.08 Karuma-Kigumba-24h'!E71)</f>
        <v>2.5</v>
      </c>
      <c r="F71" s="49">
        <f>AVERAGE('02.08 Karuma-Kigumba-24h'!F71,'03.08 Karuma-Kigumba-24h'!F71)</f>
        <v>1</v>
      </c>
      <c r="G71" s="49">
        <f>AVERAGE('02.08 Karuma-Kigumba-24h'!G71,'03.08 Karuma-Kigumba-24h'!G71)</f>
        <v>0</v>
      </c>
      <c r="H71" s="49">
        <f>AVERAGE('02.08 Karuma-Kigumba-24h'!H71,'03.08 Karuma-Kigumba-24h'!H71)</f>
        <v>0</v>
      </c>
      <c r="I71" s="49">
        <f>AVERAGE('02.08 Karuma-Kigumba-24h'!I71,'03.08 Karuma-Kigumba-24h'!I71)</f>
        <v>1</v>
      </c>
      <c r="J71" s="49">
        <f>AVERAGE('02.08 Karuma-Kigumba-24h'!J71,'03.08 Karuma-Kigumba-24h'!J71)</f>
        <v>0.5</v>
      </c>
      <c r="K71" s="49">
        <f>AVERAGE('02.08 Karuma-Kigumba-24h'!K71,'03.08 Karuma-Kigumba-24h'!K71)</f>
        <v>0</v>
      </c>
      <c r="L71" s="49">
        <f>AVERAGE('02.08 Karuma-Kigumba-24h'!L71,'03.08 Karuma-Kigumba-24h'!L71)</f>
        <v>1.5</v>
      </c>
      <c r="M71" s="49">
        <f>AVERAGE('02.08 Karuma-Kigumba-24h'!M71,'03.08 Karuma-Kigumba-24h'!M71)</f>
        <v>2</v>
      </c>
      <c r="N71" s="49">
        <f>AVERAGE('02.08 Karuma-Kigumba-24h'!N71,'03.08 Karuma-Kigumba-24h'!N71)</f>
        <v>0</v>
      </c>
      <c r="O71" s="15">
        <f t="shared" si="0"/>
        <v>8</v>
      </c>
      <c r="P71" s="15">
        <f t="shared" si="1"/>
        <v>10</v>
      </c>
      <c r="R71" s="8"/>
      <c r="T71"/>
    </row>
    <row r="72" spans="2:20" ht="23.1" customHeight="1" x14ac:dyDescent="0.25">
      <c r="B72" s="23" t="s">
        <v>112</v>
      </c>
      <c r="C72" s="49">
        <f>AVERAGE('02.08 Karuma-Kigumba-24h'!C72,'03.08 Karuma-Kigumba-24h'!C72)</f>
        <v>1.5</v>
      </c>
      <c r="D72" s="49">
        <f>AVERAGE('02.08 Karuma-Kigumba-24h'!D72,'03.08 Karuma-Kigumba-24h'!D72)</f>
        <v>1.5</v>
      </c>
      <c r="E72" s="49">
        <f>AVERAGE('02.08 Karuma-Kigumba-24h'!E72,'03.08 Karuma-Kigumba-24h'!E72)</f>
        <v>4</v>
      </c>
      <c r="F72" s="49">
        <f>AVERAGE('02.08 Karuma-Kigumba-24h'!F72,'03.08 Karuma-Kigumba-24h'!F72)</f>
        <v>1.5</v>
      </c>
      <c r="G72" s="49">
        <f>AVERAGE('02.08 Karuma-Kigumba-24h'!G72,'03.08 Karuma-Kigumba-24h'!G72)</f>
        <v>0</v>
      </c>
      <c r="H72" s="49">
        <f>AVERAGE('02.08 Karuma-Kigumba-24h'!H72,'03.08 Karuma-Kigumba-24h'!H72)</f>
        <v>0</v>
      </c>
      <c r="I72" s="49">
        <f>AVERAGE('02.08 Karuma-Kigumba-24h'!I72,'03.08 Karuma-Kigumba-24h'!I72)</f>
        <v>1</v>
      </c>
      <c r="J72" s="49">
        <f>AVERAGE('02.08 Karuma-Kigumba-24h'!J72,'03.08 Karuma-Kigumba-24h'!J72)</f>
        <v>0.5</v>
      </c>
      <c r="K72" s="49">
        <f>AVERAGE('02.08 Karuma-Kigumba-24h'!K72,'03.08 Karuma-Kigumba-24h'!K72)</f>
        <v>0</v>
      </c>
      <c r="L72" s="49">
        <f>AVERAGE('02.08 Karuma-Kigumba-24h'!L72,'03.08 Karuma-Kigumba-24h'!L72)</f>
        <v>0.5</v>
      </c>
      <c r="M72" s="49">
        <f>AVERAGE('02.08 Karuma-Kigumba-24h'!M72,'03.08 Karuma-Kigumba-24h'!M72)</f>
        <v>2</v>
      </c>
      <c r="N72" s="49">
        <f>AVERAGE('02.08 Karuma-Kigumba-24h'!N72,'03.08 Karuma-Kigumba-24h'!N72)</f>
        <v>0</v>
      </c>
      <c r="O72" s="15">
        <f t="shared" si="0"/>
        <v>10.5</v>
      </c>
      <c r="P72" s="15">
        <f t="shared" si="1"/>
        <v>12.5</v>
      </c>
      <c r="R72" s="8"/>
      <c r="T72"/>
    </row>
    <row r="73" spans="2:20" ht="23.1" customHeight="1" x14ac:dyDescent="0.25">
      <c r="B73" s="23" t="s">
        <v>113</v>
      </c>
      <c r="C73" s="49">
        <f>AVERAGE('02.08 Karuma-Kigumba-24h'!C73,'03.08 Karuma-Kigumba-24h'!C73)</f>
        <v>2</v>
      </c>
      <c r="D73" s="49">
        <f>AVERAGE('02.08 Karuma-Kigumba-24h'!D73,'03.08 Karuma-Kigumba-24h'!D73)</f>
        <v>1</v>
      </c>
      <c r="E73" s="49">
        <f>AVERAGE('02.08 Karuma-Kigumba-24h'!E73,'03.08 Karuma-Kigumba-24h'!E73)</f>
        <v>2.5</v>
      </c>
      <c r="F73" s="49">
        <f>AVERAGE('02.08 Karuma-Kigumba-24h'!F73,'03.08 Karuma-Kigumba-24h'!F73)</f>
        <v>2</v>
      </c>
      <c r="G73" s="49">
        <f>AVERAGE('02.08 Karuma-Kigumba-24h'!G73,'03.08 Karuma-Kigumba-24h'!G73)</f>
        <v>0</v>
      </c>
      <c r="H73" s="49">
        <f>AVERAGE('02.08 Karuma-Kigumba-24h'!H73,'03.08 Karuma-Kigumba-24h'!H73)</f>
        <v>0.5</v>
      </c>
      <c r="I73" s="49">
        <f>AVERAGE('02.08 Karuma-Kigumba-24h'!I73,'03.08 Karuma-Kigumba-24h'!I73)</f>
        <v>1</v>
      </c>
      <c r="J73" s="49">
        <f>AVERAGE('02.08 Karuma-Kigumba-24h'!J73,'03.08 Karuma-Kigumba-24h'!J73)</f>
        <v>0</v>
      </c>
      <c r="K73" s="49">
        <f>AVERAGE('02.08 Karuma-Kigumba-24h'!K73,'03.08 Karuma-Kigumba-24h'!K73)</f>
        <v>0</v>
      </c>
      <c r="L73" s="49">
        <f>AVERAGE('02.08 Karuma-Kigumba-24h'!L73,'03.08 Karuma-Kigumba-24h'!L73)</f>
        <v>1</v>
      </c>
      <c r="M73" s="49">
        <f>AVERAGE('02.08 Karuma-Kigumba-24h'!M73,'03.08 Karuma-Kigumba-24h'!M73)</f>
        <v>1</v>
      </c>
      <c r="N73" s="49">
        <f>AVERAGE('02.08 Karuma-Kigumba-24h'!N73,'03.08 Karuma-Kigumba-24h'!N73)</f>
        <v>0</v>
      </c>
      <c r="O73" s="15">
        <f t="shared" si="0"/>
        <v>10</v>
      </c>
      <c r="P73" s="15">
        <f t="shared" si="1"/>
        <v>11</v>
      </c>
      <c r="R73" s="8"/>
      <c r="T73"/>
    </row>
    <row r="74" spans="2:20" ht="23.1" customHeight="1" x14ac:dyDescent="0.25">
      <c r="B74" s="23" t="s">
        <v>114</v>
      </c>
      <c r="C74" s="49">
        <f>AVERAGE('02.08 Karuma-Kigumba-24h'!C74,'03.08 Karuma-Kigumba-24h'!C74)</f>
        <v>0.5</v>
      </c>
      <c r="D74" s="49">
        <f>AVERAGE('02.08 Karuma-Kigumba-24h'!D74,'03.08 Karuma-Kigumba-24h'!D74)</f>
        <v>1</v>
      </c>
      <c r="E74" s="49">
        <f>AVERAGE('02.08 Karuma-Kigumba-24h'!E74,'03.08 Karuma-Kigumba-24h'!E74)</f>
        <v>2.5</v>
      </c>
      <c r="F74" s="49">
        <f>AVERAGE('02.08 Karuma-Kigumba-24h'!F74,'03.08 Karuma-Kigumba-24h'!F74)</f>
        <v>0.5</v>
      </c>
      <c r="G74" s="49">
        <f>AVERAGE('02.08 Karuma-Kigumba-24h'!G74,'03.08 Karuma-Kigumba-24h'!G74)</f>
        <v>0</v>
      </c>
      <c r="H74" s="49">
        <f>AVERAGE('02.08 Karuma-Kigumba-24h'!H74,'03.08 Karuma-Kigumba-24h'!H74)</f>
        <v>1.5</v>
      </c>
      <c r="I74" s="49">
        <f>AVERAGE('02.08 Karuma-Kigumba-24h'!I74,'03.08 Karuma-Kigumba-24h'!I74)</f>
        <v>0.5</v>
      </c>
      <c r="J74" s="49">
        <f>AVERAGE('02.08 Karuma-Kigumba-24h'!J74,'03.08 Karuma-Kigumba-24h'!J74)</f>
        <v>0</v>
      </c>
      <c r="K74" s="49">
        <f>AVERAGE('02.08 Karuma-Kigumba-24h'!K74,'03.08 Karuma-Kigumba-24h'!K74)</f>
        <v>0</v>
      </c>
      <c r="L74" s="49">
        <f>AVERAGE('02.08 Karuma-Kigumba-24h'!L74,'03.08 Karuma-Kigumba-24h'!L74)</f>
        <v>0.5</v>
      </c>
      <c r="M74" s="49">
        <f>AVERAGE('02.08 Karuma-Kigumba-24h'!M74,'03.08 Karuma-Kigumba-24h'!M74)</f>
        <v>0.5</v>
      </c>
      <c r="N74" s="49">
        <f>AVERAGE('02.08 Karuma-Kigumba-24h'!N74,'03.08 Karuma-Kigumba-24h'!N74)</f>
        <v>0</v>
      </c>
      <c r="O74" s="15">
        <f t="shared" ref="O74:O105" si="35">SUM(C74:L74,N74)</f>
        <v>7</v>
      </c>
      <c r="P74" s="15">
        <f t="shared" ref="P74:P105" si="36">SUM(C74:N74)</f>
        <v>7.5</v>
      </c>
      <c r="R74" s="8"/>
      <c r="T74"/>
    </row>
    <row r="75" spans="2:20" ht="23.1" customHeight="1" x14ac:dyDescent="0.25">
      <c r="B75" s="23" t="s">
        <v>115</v>
      </c>
      <c r="C75" s="49">
        <f>AVERAGE('02.08 Karuma-Kigumba-24h'!C75,'03.08 Karuma-Kigumba-24h'!C75)</f>
        <v>1</v>
      </c>
      <c r="D75" s="49">
        <f>AVERAGE('02.08 Karuma-Kigumba-24h'!D75,'03.08 Karuma-Kigumba-24h'!D75)</f>
        <v>1</v>
      </c>
      <c r="E75" s="49">
        <f>AVERAGE('02.08 Karuma-Kigumba-24h'!E75,'03.08 Karuma-Kigumba-24h'!E75)</f>
        <v>2.5</v>
      </c>
      <c r="F75" s="49">
        <f>AVERAGE('02.08 Karuma-Kigumba-24h'!F75,'03.08 Karuma-Kigumba-24h'!F75)</f>
        <v>0.5</v>
      </c>
      <c r="G75" s="49">
        <f>AVERAGE('02.08 Karuma-Kigumba-24h'!G75,'03.08 Karuma-Kigumba-24h'!G75)</f>
        <v>0</v>
      </c>
      <c r="H75" s="49">
        <f>AVERAGE('02.08 Karuma-Kigumba-24h'!H75,'03.08 Karuma-Kigumba-24h'!H75)</f>
        <v>2.5</v>
      </c>
      <c r="I75" s="49">
        <f>AVERAGE('02.08 Karuma-Kigumba-24h'!I75,'03.08 Karuma-Kigumba-24h'!I75)</f>
        <v>0.5</v>
      </c>
      <c r="J75" s="49">
        <f>AVERAGE('02.08 Karuma-Kigumba-24h'!J75,'03.08 Karuma-Kigumba-24h'!J75)</f>
        <v>0</v>
      </c>
      <c r="K75" s="49">
        <f>AVERAGE('02.08 Karuma-Kigumba-24h'!K75,'03.08 Karuma-Kigumba-24h'!K75)</f>
        <v>0</v>
      </c>
      <c r="L75" s="49">
        <f>AVERAGE('02.08 Karuma-Kigumba-24h'!L75,'03.08 Karuma-Kigumba-24h'!L75)</f>
        <v>0.5</v>
      </c>
      <c r="M75" s="49">
        <f>AVERAGE('02.08 Karuma-Kigumba-24h'!M75,'03.08 Karuma-Kigumba-24h'!M75)</f>
        <v>1</v>
      </c>
      <c r="N75" s="49">
        <f>AVERAGE('02.08 Karuma-Kigumba-24h'!N75,'03.08 Karuma-Kigumba-24h'!N75)</f>
        <v>0</v>
      </c>
      <c r="O75" s="15">
        <f t="shared" si="35"/>
        <v>8.5</v>
      </c>
      <c r="P75" s="15">
        <f t="shared" si="36"/>
        <v>9.5</v>
      </c>
      <c r="R75" s="8"/>
      <c r="T75"/>
    </row>
    <row r="76" spans="2:20" ht="23.1" customHeight="1" x14ac:dyDescent="0.25">
      <c r="B76" s="23" t="s">
        <v>116</v>
      </c>
      <c r="C76" s="49">
        <f>AVERAGE('02.08 Karuma-Kigumba-24h'!C76,'03.08 Karuma-Kigumba-24h'!C76)</f>
        <v>1.5</v>
      </c>
      <c r="D76" s="49">
        <f>AVERAGE('02.08 Karuma-Kigumba-24h'!D76,'03.08 Karuma-Kigumba-24h'!D76)</f>
        <v>1</v>
      </c>
      <c r="E76" s="49">
        <f>AVERAGE('02.08 Karuma-Kigumba-24h'!E76,'03.08 Karuma-Kigumba-24h'!E76)</f>
        <v>3</v>
      </c>
      <c r="F76" s="49">
        <f>AVERAGE('02.08 Karuma-Kigumba-24h'!F76,'03.08 Karuma-Kigumba-24h'!F76)</f>
        <v>1</v>
      </c>
      <c r="G76" s="49">
        <f>AVERAGE('02.08 Karuma-Kigumba-24h'!G76,'03.08 Karuma-Kigumba-24h'!G76)</f>
        <v>0</v>
      </c>
      <c r="H76" s="49">
        <f>AVERAGE('02.08 Karuma-Kigumba-24h'!H76,'03.08 Karuma-Kigumba-24h'!H76)</f>
        <v>1</v>
      </c>
      <c r="I76" s="49">
        <f>AVERAGE('02.08 Karuma-Kigumba-24h'!I76,'03.08 Karuma-Kigumba-24h'!I76)</f>
        <v>1</v>
      </c>
      <c r="J76" s="49">
        <f>AVERAGE('02.08 Karuma-Kigumba-24h'!J76,'03.08 Karuma-Kigumba-24h'!J76)</f>
        <v>0.5</v>
      </c>
      <c r="K76" s="49">
        <f>AVERAGE('02.08 Karuma-Kigumba-24h'!K76,'03.08 Karuma-Kigumba-24h'!K76)</f>
        <v>0</v>
      </c>
      <c r="L76" s="49">
        <f>AVERAGE('02.08 Karuma-Kigumba-24h'!L76,'03.08 Karuma-Kigumba-24h'!L76)</f>
        <v>1</v>
      </c>
      <c r="M76" s="49">
        <f>AVERAGE('02.08 Karuma-Kigumba-24h'!M76,'03.08 Karuma-Kigumba-24h'!M76)</f>
        <v>1</v>
      </c>
      <c r="N76" s="49">
        <f>AVERAGE('02.08 Karuma-Kigumba-24h'!N76,'03.08 Karuma-Kigumba-24h'!N76)</f>
        <v>0</v>
      </c>
      <c r="O76" s="15">
        <f t="shared" si="35"/>
        <v>10</v>
      </c>
      <c r="P76" s="15">
        <f t="shared" si="36"/>
        <v>11</v>
      </c>
      <c r="R76" s="8"/>
      <c r="T76"/>
    </row>
    <row r="77" spans="2:20" ht="23.1" customHeight="1" x14ac:dyDescent="0.25">
      <c r="B77" s="23" t="s">
        <v>117</v>
      </c>
      <c r="C77" s="49">
        <f>AVERAGE('02.08 Karuma-Kigumba-24h'!C77,'03.08 Karuma-Kigumba-24h'!C77)</f>
        <v>1</v>
      </c>
      <c r="D77" s="49">
        <f>AVERAGE('02.08 Karuma-Kigumba-24h'!D77,'03.08 Karuma-Kigumba-24h'!D77)</f>
        <v>0.5</v>
      </c>
      <c r="E77" s="49">
        <f>AVERAGE('02.08 Karuma-Kigumba-24h'!E77,'03.08 Karuma-Kigumba-24h'!E77)</f>
        <v>2</v>
      </c>
      <c r="F77" s="49">
        <f>AVERAGE('02.08 Karuma-Kigumba-24h'!F77,'03.08 Karuma-Kigumba-24h'!F77)</f>
        <v>0.5</v>
      </c>
      <c r="G77" s="49">
        <f>AVERAGE('02.08 Karuma-Kigumba-24h'!G77,'03.08 Karuma-Kigumba-24h'!G77)</f>
        <v>0</v>
      </c>
      <c r="H77" s="49">
        <f>AVERAGE('02.08 Karuma-Kigumba-24h'!H77,'03.08 Karuma-Kigumba-24h'!H77)</f>
        <v>2</v>
      </c>
      <c r="I77" s="49">
        <f>AVERAGE('02.08 Karuma-Kigumba-24h'!I77,'03.08 Karuma-Kigumba-24h'!I77)</f>
        <v>1</v>
      </c>
      <c r="J77" s="49">
        <f>AVERAGE('02.08 Karuma-Kigumba-24h'!J77,'03.08 Karuma-Kigumba-24h'!J77)</f>
        <v>0.5</v>
      </c>
      <c r="K77" s="49">
        <f>AVERAGE('02.08 Karuma-Kigumba-24h'!K77,'03.08 Karuma-Kigumba-24h'!K77)</f>
        <v>0</v>
      </c>
      <c r="L77" s="49">
        <f>AVERAGE('02.08 Karuma-Kigumba-24h'!L77,'03.08 Karuma-Kigumba-24h'!L77)</f>
        <v>0.5</v>
      </c>
      <c r="M77" s="49">
        <f>AVERAGE('02.08 Karuma-Kigumba-24h'!M77,'03.08 Karuma-Kigumba-24h'!M77)</f>
        <v>1</v>
      </c>
      <c r="N77" s="49">
        <f>AVERAGE('02.08 Karuma-Kigumba-24h'!N77,'03.08 Karuma-Kigumba-24h'!N77)</f>
        <v>0</v>
      </c>
      <c r="O77" s="15">
        <f t="shared" si="35"/>
        <v>8</v>
      </c>
      <c r="P77" s="15">
        <f t="shared" si="36"/>
        <v>9</v>
      </c>
      <c r="R77" s="8"/>
      <c r="T77"/>
    </row>
    <row r="78" spans="2:20" ht="23.1" customHeight="1" x14ac:dyDescent="0.25">
      <c r="B78" s="24" t="s">
        <v>118</v>
      </c>
      <c r="C78" s="49">
        <f>AVERAGE('02.08 Karuma-Kigumba-24h'!C78,'03.08 Karuma-Kigumba-24h'!C78)</f>
        <v>1</v>
      </c>
      <c r="D78" s="49">
        <f>AVERAGE('02.08 Karuma-Kigumba-24h'!D78,'03.08 Karuma-Kigumba-24h'!D78)</f>
        <v>0.5</v>
      </c>
      <c r="E78" s="49">
        <f>AVERAGE('02.08 Karuma-Kigumba-24h'!E78,'03.08 Karuma-Kigumba-24h'!E78)</f>
        <v>3</v>
      </c>
      <c r="F78" s="49">
        <f>AVERAGE('02.08 Karuma-Kigumba-24h'!F78,'03.08 Karuma-Kigumba-24h'!F78)</f>
        <v>1</v>
      </c>
      <c r="G78" s="49">
        <f>AVERAGE('02.08 Karuma-Kigumba-24h'!G78,'03.08 Karuma-Kigumba-24h'!G78)</f>
        <v>0</v>
      </c>
      <c r="H78" s="49">
        <f>AVERAGE('02.08 Karuma-Kigumba-24h'!H78,'03.08 Karuma-Kigumba-24h'!H78)</f>
        <v>1</v>
      </c>
      <c r="I78" s="49">
        <f>AVERAGE('02.08 Karuma-Kigumba-24h'!I78,'03.08 Karuma-Kigumba-24h'!I78)</f>
        <v>1.5</v>
      </c>
      <c r="J78" s="49">
        <f>AVERAGE('02.08 Karuma-Kigumba-24h'!J78,'03.08 Karuma-Kigumba-24h'!J78)</f>
        <v>0</v>
      </c>
      <c r="K78" s="49">
        <f>AVERAGE('02.08 Karuma-Kigumba-24h'!K78,'03.08 Karuma-Kigumba-24h'!K78)</f>
        <v>0</v>
      </c>
      <c r="L78" s="49">
        <f>AVERAGE('02.08 Karuma-Kigumba-24h'!L78,'03.08 Karuma-Kigumba-24h'!L78)</f>
        <v>1</v>
      </c>
      <c r="M78" s="49">
        <f>AVERAGE('02.08 Karuma-Kigumba-24h'!M78,'03.08 Karuma-Kigumba-24h'!M78)</f>
        <v>1.5</v>
      </c>
      <c r="N78" s="49">
        <f>AVERAGE('02.08 Karuma-Kigumba-24h'!N78,'03.08 Karuma-Kigumba-24h'!N78)</f>
        <v>0</v>
      </c>
      <c r="O78" s="15">
        <f t="shared" si="35"/>
        <v>9</v>
      </c>
      <c r="P78" s="15">
        <f t="shared" si="36"/>
        <v>10.5</v>
      </c>
      <c r="R78" s="8"/>
      <c r="T78"/>
    </row>
    <row r="79" spans="2:20" ht="23.1" customHeight="1" x14ac:dyDescent="0.25">
      <c r="B79" s="23" t="s">
        <v>119</v>
      </c>
      <c r="C79" s="49">
        <f>AVERAGE('02.08 Karuma-Kigumba-24h'!C79,'03.08 Karuma-Kigumba-24h'!C79)</f>
        <v>1</v>
      </c>
      <c r="D79" s="49">
        <f>AVERAGE('02.08 Karuma-Kigumba-24h'!D79,'03.08 Karuma-Kigumba-24h'!D79)</f>
        <v>1</v>
      </c>
      <c r="E79" s="49">
        <f>AVERAGE('02.08 Karuma-Kigumba-24h'!E79,'03.08 Karuma-Kigumba-24h'!E79)</f>
        <v>2.5</v>
      </c>
      <c r="F79" s="49">
        <f>AVERAGE('02.08 Karuma-Kigumba-24h'!F79,'03.08 Karuma-Kigumba-24h'!F79)</f>
        <v>0.5</v>
      </c>
      <c r="G79" s="49">
        <f>AVERAGE('02.08 Karuma-Kigumba-24h'!G79,'03.08 Karuma-Kigumba-24h'!G79)</f>
        <v>0</v>
      </c>
      <c r="H79" s="49">
        <f>AVERAGE('02.08 Karuma-Kigumba-24h'!H79,'03.08 Karuma-Kigumba-24h'!H79)</f>
        <v>1.5</v>
      </c>
      <c r="I79" s="49">
        <f>AVERAGE('02.08 Karuma-Kigumba-24h'!I79,'03.08 Karuma-Kigumba-24h'!I79)</f>
        <v>1</v>
      </c>
      <c r="J79" s="49">
        <f>AVERAGE('02.08 Karuma-Kigumba-24h'!J79,'03.08 Karuma-Kigumba-24h'!J79)</f>
        <v>0</v>
      </c>
      <c r="K79" s="49">
        <f>AVERAGE('02.08 Karuma-Kigumba-24h'!K79,'03.08 Karuma-Kigumba-24h'!K79)</f>
        <v>0</v>
      </c>
      <c r="L79" s="49">
        <f>AVERAGE('02.08 Karuma-Kigumba-24h'!L79,'03.08 Karuma-Kigumba-24h'!L79)</f>
        <v>1</v>
      </c>
      <c r="M79" s="49">
        <f>AVERAGE('02.08 Karuma-Kigumba-24h'!M79,'03.08 Karuma-Kigumba-24h'!M79)</f>
        <v>0.5</v>
      </c>
      <c r="N79" s="49">
        <f>AVERAGE('02.08 Karuma-Kigumba-24h'!N79,'03.08 Karuma-Kigumba-24h'!N79)</f>
        <v>0</v>
      </c>
      <c r="O79" s="15">
        <f t="shared" si="35"/>
        <v>8.5</v>
      </c>
      <c r="P79" s="15">
        <f t="shared" si="36"/>
        <v>9</v>
      </c>
      <c r="R79" s="8"/>
      <c r="T79"/>
    </row>
    <row r="80" spans="2:20" ht="23.1" customHeight="1" x14ac:dyDescent="0.25">
      <c r="B80" s="25" t="s">
        <v>120</v>
      </c>
      <c r="C80" s="49">
        <f>AVERAGE('02.08 Karuma-Kigumba-24h'!C80,'03.08 Karuma-Kigumba-24h'!C80)</f>
        <v>1.5</v>
      </c>
      <c r="D80" s="49">
        <f>AVERAGE('02.08 Karuma-Kigumba-24h'!D80,'03.08 Karuma-Kigumba-24h'!D80)</f>
        <v>1</v>
      </c>
      <c r="E80" s="49">
        <f>AVERAGE('02.08 Karuma-Kigumba-24h'!E80,'03.08 Karuma-Kigumba-24h'!E80)</f>
        <v>2.5</v>
      </c>
      <c r="F80" s="49">
        <f>AVERAGE('02.08 Karuma-Kigumba-24h'!F80,'03.08 Karuma-Kigumba-24h'!F80)</f>
        <v>1.5</v>
      </c>
      <c r="G80" s="49">
        <f>AVERAGE('02.08 Karuma-Kigumba-24h'!G80,'03.08 Karuma-Kigumba-24h'!G80)</f>
        <v>0</v>
      </c>
      <c r="H80" s="49">
        <f>AVERAGE('02.08 Karuma-Kigumba-24h'!H80,'03.08 Karuma-Kigumba-24h'!H80)</f>
        <v>2</v>
      </c>
      <c r="I80" s="49">
        <f>AVERAGE('02.08 Karuma-Kigumba-24h'!I80,'03.08 Karuma-Kigumba-24h'!I80)</f>
        <v>1</v>
      </c>
      <c r="J80" s="49">
        <f>AVERAGE('02.08 Karuma-Kigumba-24h'!J80,'03.08 Karuma-Kigumba-24h'!J80)</f>
        <v>0</v>
      </c>
      <c r="K80" s="49">
        <f>AVERAGE('02.08 Karuma-Kigumba-24h'!K80,'03.08 Karuma-Kigumba-24h'!K80)</f>
        <v>0</v>
      </c>
      <c r="L80" s="49">
        <f>AVERAGE('02.08 Karuma-Kigumba-24h'!L80,'03.08 Karuma-Kigumba-24h'!L80)</f>
        <v>0.5</v>
      </c>
      <c r="M80" s="49">
        <f>AVERAGE('02.08 Karuma-Kigumba-24h'!M80,'03.08 Karuma-Kigumba-24h'!M80)</f>
        <v>1</v>
      </c>
      <c r="N80" s="49">
        <f>AVERAGE('02.08 Karuma-Kigumba-24h'!N80,'03.08 Karuma-Kigumba-24h'!N80)</f>
        <v>0</v>
      </c>
      <c r="O80" s="15">
        <f t="shared" si="35"/>
        <v>10</v>
      </c>
      <c r="P80" s="15">
        <f t="shared" si="36"/>
        <v>11</v>
      </c>
      <c r="R80" s="8"/>
      <c r="T80"/>
    </row>
    <row r="81" spans="2:20" ht="23.1" customHeight="1" x14ac:dyDescent="0.25">
      <c r="B81" s="23" t="s">
        <v>121</v>
      </c>
      <c r="C81" s="49">
        <f>AVERAGE('02.08 Karuma-Kigumba-24h'!C81,'03.08 Karuma-Kigumba-24h'!C81)</f>
        <v>0.5</v>
      </c>
      <c r="D81" s="49">
        <f>AVERAGE('02.08 Karuma-Kigumba-24h'!D81,'03.08 Karuma-Kigumba-24h'!D81)</f>
        <v>1.5</v>
      </c>
      <c r="E81" s="49">
        <f>AVERAGE('02.08 Karuma-Kigumba-24h'!E81,'03.08 Karuma-Kigumba-24h'!E81)</f>
        <v>2.5</v>
      </c>
      <c r="F81" s="49">
        <f>AVERAGE('02.08 Karuma-Kigumba-24h'!F81,'03.08 Karuma-Kigumba-24h'!F81)</f>
        <v>1</v>
      </c>
      <c r="G81" s="49">
        <f>AVERAGE('02.08 Karuma-Kigumba-24h'!G81,'03.08 Karuma-Kigumba-24h'!G81)</f>
        <v>0</v>
      </c>
      <c r="H81" s="49">
        <f>AVERAGE('02.08 Karuma-Kigumba-24h'!H81,'03.08 Karuma-Kigumba-24h'!H81)</f>
        <v>1</v>
      </c>
      <c r="I81" s="49">
        <f>AVERAGE('02.08 Karuma-Kigumba-24h'!I81,'03.08 Karuma-Kigumba-24h'!I81)</f>
        <v>1</v>
      </c>
      <c r="J81" s="49">
        <f>AVERAGE('02.08 Karuma-Kigumba-24h'!J81,'03.08 Karuma-Kigumba-24h'!J81)</f>
        <v>0</v>
      </c>
      <c r="K81" s="49">
        <f>AVERAGE('02.08 Karuma-Kigumba-24h'!K81,'03.08 Karuma-Kigumba-24h'!K81)</f>
        <v>0</v>
      </c>
      <c r="L81" s="49">
        <f>AVERAGE('02.08 Karuma-Kigumba-24h'!L81,'03.08 Karuma-Kigumba-24h'!L81)</f>
        <v>1</v>
      </c>
      <c r="M81" s="49">
        <f>AVERAGE('02.08 Karuma-Kigumba-24h'!M81,'03.08 Karuma-Kigumba-24h'!M81)</f>
        <v>0.5</v>
      </c>
      <c r="N81" s="49">
        <f>AVERAGE('02.08 Karuma-Kigumba-24h'!N81,'03.08 Karuma-Kigumba-24h'!N81)</f>
        <v>0</v>
      </c>
      <c r="O81" s="15">
        <f t="shared" si="35"/>
        <v>8.5</v>
      </c>
      <c r="P81" s="15">
        <f t="shared" si="36"/>
        <v>9</v>
      </c>
      <c r="R81" s="8"/>
      <c r="T81"/>
    </row>
    <row r="82" spans="2:20" ht="23.1" customHeight="1" x14ac:dyDescent="0.25">
      <c r="B82" s="24" t="s">
        <v>122</v>
      </c>
      <c r="C82" s="49">
        <f>AVERAGE('02.08 Karuma-Kigumba-24h'!C82,'03.08 Karuma-Kigumba-24h'!C82)</f>
        <v>1</v>
      </c>
      <c r="D82" s="49">
        <f>AVERAGE('02.08 Karuma-Kigumba-24h'!D82,'03.08 Karuma-Kigumba-24h'!D82)</f>
        <v>0.5</v>
      </c>
      <c r="E82" s="49">
        <f>AVERAGE('02.08 Karuma-Kigumba-24h'!E82,'03.08 Karuma-Kigumba-24h'!E82)</f>
        <v>2.5</v>
      </c>
      <c r="F82" s="49">
        <f>AVERAGE('02.08 Karuma-Kigumba-24h'!F82,'03.08 Karuma-Kigumba-24h'!F82)</f>
        <v>1</v>
      </c>
      <c r="G82" s="49">
        <f>AVERAGE('02.08 Karuma-Kigumba-24h'!G82,'03.08 Karuma-Kigumba-24h'!G82)</f>
        <v>0</v>
      </c>
      <c r="H82" s="49">
        <f>AVERAGE('02.08 Karuma-Kigumba-24h'!H82,'03.08 Karuma-Kigumba-24h'!H82)</f>
        <v>0.5</v>
      </c>
      <c r="I82" s="49">
        <f>AVERAGE('02.08 Karuma-Kigumba-24h'!I82,'03.08 Karuma-Kigumba-24h'!I82)</f>
        <v>1</v>
      </c>
      <c r="J82" s="49">
        <f>AVERAGE('02.08 Karuma-Kigumba-24h'!J82,'03.08 Karuma-Kigumba-24h'!J82)</f>
        <v>0</v>
      </c>
      <c r="K82" s="49">
        <f>AVERAGE('02.08 Karuma-Kigumba-24h'!K82,'03.08 Karuma-Kigumba-24h'!K82)</f>
        <v>0</v>
      </c>
      <c r="L82" s="49">
        <f>AVERAGE('02.08 Karuma-Kigumba-24h'!L82,'03.08 Karuma-Kigumba-24h'!L82)</f>
        <v>0.5</v>
      </c>
      <c r="M82" s="49">
        <f>AVERAGE('02.08 Karuma-Kigumba-24h'!M82,'03.08 Karuma-Kigumba-24h'!M82)</f>
        <v>1</v>
      </c>
      <c r="N82" s="49">
        <f>AVERAGE('02.08 Karuma-Kigumba-24h'!N82,'03.08 Karuma-Kigumba-24h'!N82)</f>
        <v>0</v>
      </c>
      <c r="O82" s="15">
        <f t="shared" si="35"/>
        <v>7</v>
      </c>
      <c r="P82" s="15">
        <f t="shared" si="36"/>
        <v>8</v>
      </c>
      <c r="R82" s="8"/>
      <c r="T82"/>
    </row>
    <row r="83" spans="2:20" ht="23.1" customHeight="1" x14ac:dyDescent="0.25">
      <c r="B83" s="23" t="s">
        <v>123</v>
      </c>
      <c r="C83" s="49">
        <f>AVERAGE('02.08 Karuma-Kigumba-24h'!C83,'03.08 Karuma-Kigumba-24h'!C83)</f>
        <v>1</v>
      </c>
      <c r="D83" s="49">
        <f>AVERAGE('02.08 Karuma-Kigumba-24h'!D83,'03.08 Karuma-Kigumba-24h'!D83)</f>
        <v>1</v>
      </c>
      <c r="E83" s="49">
        <f>AVERAGE('02.08 Karuma-Kigumba-24h'!E83,'03.08 Karuma-Kigumba-24h'!E83)</f>
        <v>3</v>
      </c>
      <c r="F83" s="49">
        <f>AVERAGE('02.08 Karuma-Kigumba-24h'!F83,'03.08 Karuma-Kigumba-24h'!F83)</f>
        <v>1</v>
      </c>
      <c r="G83" s="49">
        <f>AVERAGE('02.08 Karuma-Kigumba-24h'!G83,'03.08 Karuma-Kigumba-24h'!G83)</f>
        <v>0</v>
      </c>
      <c r="H83" s="49">
        <f>AVERAGE('02.08 Karuma-Kigumba-24h'!H83,'03.08 Karuma-Kigumba-24h'!H83)</f>
        <v>0.5</v>
      </c>
      <c r="I83" s="49">
        <f>AVERAGE('02.08 Karuma-Kigumba-24h'!I83,'03.08 Karuma-Kigumba-24h'!I83)</f>
        <v>1.5</v>
      </c>
      <c r="J83" s="49">
        <f>AVERAGE('02.08 Karuma-Kigumba-24h'!J83,'03.08 Karuma-Kigumba-24h'!J83)</f>
        <v>0</v>
      </c>
      <c r="K83" s="49">
        <f>AVERAGE('02.08 Karuma-Kigumba-24h'!K83,'03.08 Karuma-Kigumba-24h'!K83)</f>
        <v>0</v>
      </c>
      <c r="L83" s="49">
        <f>AVERAGE('02.08 Karuma-Kigumba-24h'!L83,'03.08 Karuma-Kigumba-24h'!L83)</f>
        <v>0.5</v>
      </c>
      <c r="M83" s="49">
        <f>AVERAGE('02.08 Karuma-Kigumba-24h'!M83,'03.08 Karuma-Kigumba-24h'!M83)</f>
        <v>1</v>
      </c>
      <c r="N83" s="49">
        <f>AVERAGE('02.08 Karuma-Kigumba-24h'!N83,'03.08 Karuma-Kigumba-24h'!N83)</f>
        <v>0</v>
      </c>
      <c r="O83" s="15">
        <f t="shared" si="35"/>
        <v>8.5</v>
      </c>
      <c r="P83" s="15">
        <f t="shared" si="36"/>
        <v>9.5</v>
      </c>
      <c r="R83" s="8"/>
      <c r="T83"/>
    </row>
    <row r="84" spans="2:20" ht="23.1" customHeight="1" x14ac:dyDescent="0.25">
      <c r="B84" s="25" t="s">
        <v>124</v>
      </c>
      <c r="C84" s="49">
        <f>AVERAGE('02.08 Karuma-Kigumba-24h'!C84,'03.08 Karuma-Kigumba-24h'!C84)</f>
        <v>1</v>
      </c>
      <c r="D84" s="49">
        <f>AVERAGE('02.08 Karuma-Kigumba-24h'!D84,'03.08 Karuma-Kigumba-24h'!D84)</f>
        <v>0.5</v>
      </c>
      <c r="E84" s="49">
        <f>AVERAGE('02.08 Karuma-Kigumba-24h'!E84,'03.08 Karuma-Kigumba-24h'!E84)</f>
        <v>1.5</v>
      </c>
      <c r="F84" s="49">
        <f>AVERAGE('02.08 Karuma-Kigumba-24h'!F84,'03.08 Karuma-Kigumba-24h'!F84)</f>
        <v>0.5</v>
      </c>
      <c r="G84" s="49">
        <f>AVERAGE('02.08 Karuma-Kigumba-24h'!G84,'03.08 Karuma-Kigumba-24h'!G84)</f>
        <v>0</v>
      </c>
      <c r="H84" s="49">
        <f>AVERAGE('02.08 Karuma-Kigumba-24h'!H84,'03.08 Karuma-Kigumba-24h'!H84)</f>
        <v>0.5</v>
      </c>
      <c r="I84" s="49">
        <f>AVERAGE('02.08 Karuma-Kigumba-24h'!I84,'03.08 Karuma-Kigumba-24h'!I84)</f>
        <v>1</v>
      </c>
      <c r="J84" s="49">
        <f>AVERAGE('02.08 Karuma-Kigumba-24h'!J84,'03.08 Karuma-Kigumba-24h'!J84)</f>
        <v>0</v>
      </c>
      <c r="K84" s="49">
        <f>AVERAGE('02.08 Karuma-Kigumba-24h'!K84,'03.08 Karuma-Kigumba-24h'!K84)</f>
        <v>0</v>
      </c>
      <c r="L84" s="49">
        <f>AVERAGE('02.08 Karuma-Kigumba-24h'!L84,'03.08 Karuma-Kigumba-24h'!L84)</f>
        <v>0.5</v>
      </c>
      <c r="M84" s="49">
        <f>AVERAGE('02.08 Karuma-Kigumba-24h'!M84,'03.08 Karuma-Kigumba-24h'!M84)</f>
        <v>0</v>
      </c>
      <c r="N84" s="49">
        <f>AVERAGE('02.08 Karuma-Kigumba-24h'!N84,'03.08 Karuma-Kigumba-24h'!N84)</f>
        <v>0</v>
      </c>
      <c r="O84" s="15">
        <f t="shared" si="35"/>
        <v>5.5</v>
      </c>
      <c r="P84" s="15">
        <f t="shared" si="36"/>
        <v>5.5</v>
      </c>
      <c r="R84" s="8"/>
      <c r="T84"/>
    </row>
    <row r="85" spans="2:20" ht="23.1" customHeight="1" x14ac:dyDescent="0.25">
      <c r="B85" s="23" t="s">
        <v>125</v>
      </c>
      <c r="C85" s="49">
        <f>AVERAGE('02.08 Karuma-Kigumba-24h'!C85,'03.08 Karuma-Kigumba-24h'!C85)</f>
        <v>2</v>
      </c>
      <c r="D85" s="49">
        <f>AVERAGE('02.08 Karuma-Kigumba-24h'!D85,'03.08 Karuma-Kigumba-24h'!D85)</f>
        <v>1</v>
      </c>
      <c r="E85" s="49">
        <f>AVERAGE('02.08 Karuma-Kigumba-24h'!E85,'03.08 Karuma-Kigumba-24h'!E85)</f>
        <v>3</v>
      </c>
      <c r="F85" s="49">
        <f>AVERAGE('02.08 Karuma-Kigumba-24h'!F85,'03.08 Karuma-Kigumba-24h'!F85)</f>
        <v>1</v>
      </c>
      <c r="G85" s="49">
        <f>AVERAGE('02.08 Karuma-Kigumba-24h'!G85,'03.08 Karuma-Kigumba-24h'!G85)</f>
        <v>0</v>
      </c>
      <c r="H85" s="49">
        <f>AVERAGE('02.08 Karuma-Kigumba-24h'!H85,'03.08 Karuma-Kigumba-24h'!H85)</f>
        <v>0.5</v>
      </c>
      <c r="I85" s="49">
        <f>AVERAGE('02.08 Karuma-Kigumba-24h'!I85,'03.08 Karuma-Kigumba-24h'!I85)</f>
        <v>1.5</v>
      </c>
      <c r="J85" s="49">
        <f>AVERAGE('02.08 Karuma-Kigumba-24h'!J85,'03.08 Karuma-Kigumba-24h'!J85)</f>
        <v>0</v>
      </c>
      <c r="K85" s="49">
        <f>AVERAGE('02.08 Karuma-Kigumba-24h'!K85,'03.08 Karuma-Kigumba-24h'!K85)</f>
        <v>0.5</v>
      </c>
      <c r="L85" s="49">
        <f>AVERAGE('02.08 Karuma-Kigumba-24h'!L85,'03.08 Karuma-Kigumba-24h'!L85)</f>
        <v>0.5</v>
      </c>
      <c r="M85" s="49">
        <f>AVERAGE('02.08 Karuma-Kigumba-24h'!M85,'03.08 Karuma-Kigumba-24h'!M85)</f>
        <v>1</v>
      </c>
      <c r="N85" s="49">
        <f>AVERAGE('02.08 Karuma-Kigumba-24h'!N85,'03.08 Karuma-Kigumba-24h'!N85)</f>
        <v>0</v>
      </c>
      <c r="O85" s="15">
        <f t="shared" si="35"/>
        <v>10</v>
      </c>
      <c r="P85" s="15">
        <f t="shared" si="36"/>
        <v>11</v>
      </c>
      <c r="R85" s="8"/>
      <c r="T85"/>
    </row>
    <row r="86" spans="2:20" ht="23.1" customHeight="1" x14ac:dyDescent="0.25">
      <c r="B86" s="24" t="s">
        <v>126</v>
      </c>
      <c r="C86" s="49">
        <f>AVERAGE('02.08 Karuma-Kigumba-24h'!C86,'03.08 Karuma-Kigumba-24h'!C86)</f>
        <v>0.5</v>
      </c>
      <c r="D86" s="49">
        <f>AVERAGE('02.08 Karuma-Kigumba-24h'!D86,'03.08 Karuma-Kigumba-24h'!D86)</f>
        <v>0.5</v>
      </c>
      <c r="E86" s="49">
        <f>AVERAGE('02.08 Karuma-Kigumba-24h'!E86,'03.08 Karuma-Kigumba-24h'!E86)</f>
        <v>1.5</v>
      </c>
      <c r="F86" s="49">
        <f>AVERAGE('02.08 Karuma-Kigumba-24h'!F86,'03.08 Karuma-Kigumba-24h'!F86)</f>
        <v>1</v>
      </c>
      <c r="G86" s="49">
        <f>AVERAGE('02.08 Karuma-Kigumba-24h'!G86,'03.08 Karuma-Kigumba-24h'!G86)</f>
        <v>0</v>
      </c>
      <c r="H86" s="49">
        <f>AVERAGE('02.08 Karuma-Kigumba-24h'!H86,'03.08 Karuma-Kigumba-24h'!H86)</f>
        <v>0.5</v>
      </c>
      <c r="I86" s="49">
        <f>AVERAGE('02.08 Karuma-Kigumba-24h'!I86,'03.08 Karuma-Kigumba-24h'!I86)</f>
        <v>1</v>
      </c>
      <c r="J86" s="49">
        <f>AVERAGE('02.08 Karuma-Kigumba-24h'!J86,'03.08 Karuma-Kigumba-24h'!J86)</f>
        <v>0</v>
      </c>
      <c r="K86" s="49">
        <f>AVERAGE('02.08 Karuma-Kigumba-24h'!K86,'03.08 Karuma-Kigumba-24h'!K86)</f>
        <v>0</v>
      </c>
      <c r="L86" s="49">
        <f>AVERAGE('02.08 Karuma-Kigumba-24h'!L86,'03.08 Karuma-Kigumba-24h'!L86)</f>
        <v>0</v>
      </c>
      <c r="M86" s="49">
        <f>AVERAGE('02.08 Karuma-Kigumba-24h'!M86,'03.08 Karuma-Kigumba-24h'!M86)</f>
        <v>0.5</v>
      </c>
      <c r="N86" s="49">
        <f>AVERAGE('02.08 Karuma-Kigumba-24h'!N86,'03.08 Karuma-Kigumba-24h'!N86)</f>
        <v>0</v>
      </c>
      <c r="O86" s="15">
        <f t="shared" si="35"/>
        <v>5</v>
      </c>
      <c r="P86" s="15">
        <f t="shared" si="36"/>
        <v>5.5</v>
      </c>
      <c r="R86" s="8"/>
      <c r="T86"/>
    </row>
    <row r="87" spans="2:20" ht="23.1" customHeight="1" x14ac:dyDescent="0.25">
      <c r="B87" s="23" t="s">
        <v>127</v>
      </c>
      <c r="C87" s="49">
        <f>AVERAGE('02.08 Karuma-Kigumba-24h'!C87,'03.08 Karuma-Kigumba-24h'!C87)</f>
        <v>1</v>
      </c>
      <c r="D87" s="49">
        <f>AVERAGE('02.08 Karuma-Kigumba-24h'!D87,'03.08 Karuma-Kigumba-24h'!D87)</f>
        <v>0.5</v>
      </c>
      <c r="E87" s="49">
        <f>AVERAGE('02.08 Karuma-Kigumba-24h'!E87,'03.08 Karuma-Kigumba-24h'!E87)</f>
        <v>1.5</v>
      </c>
      <c r="F87" s="49">
        <f>AVERAGE('02.08 Karuma-Kigumba-24h'!F87,'03.08 Karuma-Kigumba-24h'!F87)</f>
        <v>0.5</v>
      </c>
      <c r="G87" s="49">
        <f>AVERAGE('02.08 Karuma-Kigumba-24h'!G87,'03.08 Karuma-Kigumba-24h'!G87)</f>
        <v>0</v>
      </c>
      <c r="H87" s="49">
        <f>AVERAGE('02.08 Karuma-Kigumba-24h'!H87,'03.08 Karuma-Kigumba-24h'!H87)</f>
        <v>0</v>
      </c>
      <c r="I87" s="49">
        <f>AVERAGE('02.08 Karuma-Kigumba-24h'!I87,'03.08 Karuma-Kigumba-24h'!I87)</f>
        <v>1</v>
      </c>
      <c r="J87" s="49">
        <f>AVERAGE('02.08 Karuma-Kigumba-24h'!J87,'03.08 Karuma-Kigumba-24h'!J87)</f>
        <v>0</v>
      </c>
      <c r="K87" s="49">
        <f>AVERAGE('02.08 Karuma-Kigumba-24h'!K87,'03.08 Karuma-Kigumba-24h'!K87)</f>
        <v>0</v>
      </c>
      <c r="L87" s="49">
        <f>AVERAGE('02.08 Karuma-Kigumba-24h'!L87,'03.08 Karuma-Kigumba-24h'!L87)</f>
        <v>1</v>
      </c>
      <c r="M87" s="49">
        <f>AVERAGE('02.08 Karuma-Kigumba-24h'!M87,'03.08 Karuma-Kigumba-24h'!M87)</f>
        <v>0</v>
      </c>
      <c r="N87" s="49">
        <f>AVERAGE('02.08 Karuma-Kigumba-24h'!N87,'03.08 Karuma-Kigumba-24h'!N87)</f>
        <v>0</v>
      </c>
      <c r="O87" s="15">
        <f t="shared" si="35"/>
        <v>5.5</v>
      </c>
      <c r="P87" s="15">
        <f t="shared" si="36"/>
        <v>5.5</v>
      </c>
      <c r="R87" s="8"/>
      <c r="T87"/>
    </row>
    <row r="88" spans="2:20" ht="23.1" customHeight="1" x14ac:dyDescent="0.25">
      <c r="B88" s="25" t="s">
        <v>128</v>
      </c>
      <c r="C88" s="49">
        <f>AVERAGE('02.08 Karuma-Kigumba-24h'!C88,'03.08 Karuma-Kigumba-24h'!C88)</f>
        <v>1</v>
      </c>
      <c r="D88" s="49">
        <f>AVERAGE('02.08 Karuma-Kigumba-24h'!D88,'03.08 Karuma-Kigumba-24h'!D88)</f>
        <v>0.5</v>
      </c>
      <c r="E88" s="49">
        <f>AVERAGE('02.08 Karuma-Kigumba-24h'!E88,'03.08 Karuma-Kigumba-24h'!E88)</f>
        <v>1.5</v>
      </c>
      <c r="F88" s="49">
        <f>AVERAGE('02.08 Karuma-Kigumba-24h'!F88,'03.08 Karuma-Kigumba-24h'!F88)</f>
        <v>0.5</v>
      </c>
      <c r="G88" s="49">
        <f>AVERAGE('02.08 Karuma-Kigumba-24h'!G88,'03.08 Karuma-Kigumba-24h'!G88)</f>
        <v>0</v>
      </c>
      <c r="H88" s="49">
        <f>AVERAGE('02.08 Karuma-Kigumba-24h'!H88,'03.08 Karuma-Kigumba-24h'!H88)</f>
        <v>0.5</v>
      </c>
      <c r="I88" s="49">
        <f>AVERAGE('02.08 Karuma-Kigumba-24h'!I88,'03.08 Karuma-Kigumba-24h'!I88)</f>
        <v>1</v>
      </c>
      <c r="J88" s="49">
        <f>AVERAGE('02.08 Karuma-Kigumba-24h'!J88,'03.08 Karuma-Kigumba-24h'!J88)</f>
        <v>0</v>
      </c>
      <c r="K88" s="49">
        <f>AVERAGE('02.08 Karuma-Kigumba-24h'!K88,'03.08 Karuma-Kigumba-24h'!K88)</f>
        <v>0</v>
      </c>
      <c r="L88" s="49">
        <f>AVERAGE('02.08 Karuma-Kigumba-24h'!L88,'03.08 Karuma-Kigumba-24h'!L88)</f>
        <v>1</v>
      </c>
      <c r="M88" s="49">
        <f>AVERAGE('02.08 Karuma-Kigumba-24h'!M88,'03.08 Karuma-Kigumba-24h'!M88)</f>
        <v>0</v>
      </c>
      <c r="N88" s="49">
        <f>AVERAGE('02.08 Karuma-Kigumba-24h'!N88,'03.08 Karuma-Kigumba-24h'!N88)</f>
        <v>0</v>
      </c>
      <c r="O88" s="15">
        <f t="shared" si="35"/>
        <v>6</v>
      </c>
      <c r="P88" s="15">
        <f t="shared" si="36"/>
        <v>6</v>
      </c>
      <c r="R88" s="8"/>
      <c r="T88"/>
    </row>
    <row r="89" spans="2:20" ht="23.1" customHeight="1" x14ac:dyDescent="0.25">
      <c r="B89" s="23" t="s">
        <v>129</v>
      </c>
      <c r="C89" s="49">
        <f>AVERAGE('02.08 Karuma-Kigumba-24h'!C89,'03.08 Karuma-Kigumba-24h'!C89)</f>
        <v>1</v>
      </c>
      <c r="D89" s="49">
        <f>AVERAGE('02.08 Karuma-Kigumba-24h'!D89,'03.08 Karuma-Kigumba-24h'!D89)</f>
        <v>0.5</v>
      </c>
      <c r="E89" s="49">
        <f>AVERAGE('02.08 Karuma-Kigumba-24h'!E89,'03.08 Karuma-Kigumba-24h'!E89)</f>
        <v>2</v>
      </c>
      <c r="F89" s="49">
        <f>AVERAGE('02.08 Karuma-Kigumba-24h'!F89,'03.08 Karuma-Kigumba-24h'!F89)</f>
        <v>1</v>
      </c>
      <c r="G89" s="49">
        <f>AVERAGE('02.08 Karuma-Kigumba-24h'!G89,'03.08 Karuma-Kigumba-24h'!G89)</f>
        <v>0</v>
      </c>
      <c r="H89" s="49">
        <f>AVERAGE('02.08 Karuma-Kigumba-24h'!H89,'03.08 Karuma-Kigumba-24h'!H89)</f>
        <v>0.5</v>
      </c>
      <c r="I89" s="49">
        <f>AVERAGE('02.08 Karuma-Kigumba-24h'!I89,'03.08 Karuma-Kigumba-24h'!I89)</f>
        <v>0.5</v>
      </c>
      <c r="J89" s="49">
        <f>AVERAGE('02.08 Karuma-Kigumba-24h'!J89,'03.08 Karuma-Kigumba-24h'!J89)</f>
        <v>0</v>
      </c>
      <c r="K89" s="49">
        <f>AVERAGE('02.08 Karuma-Kigumba-24h'!K89,'03.08 Karuma-Kigumba-24h'!K89)</f>
        <v>0</v>
      </c>
      <c r="L89" s="49">
        <f>AVERAGE('02.08 Karuma-Kigumba-24h'!L89,'03.08 Karuma-Kigumba-24h'!L89)</f>
        <v>0.5</v>
      </c>
      <c r="M89" s="49">
        <f>AVERAGE('02.08 Karuma-Kigumba-24h'!M89,'03.08 Karuma-Kigumba-24h'!M89)</f>
        <v>0</v>
      </c>
      <c r="N89" s="49">
        <f>AVERAGE('02.08 Karuma-Kigumba-24h'!N89,'03.08 Karuma-Kigumba-24h'!N89)</f>
        <v>0</v>
      </c>
      <c r="O89" s="15">
        <f t="shared" si="35"/>
        <v>6</v>
      </c>
      <c r="P89" s="15">
        <f t="shared" si="36"/>
        <v>6</v>
      </c>
      <c r="R89" s="8"/>
      <c r="T89"/>
    </row>
    <row r="90" spans="2:20" ht="23.1" customHeight="1" x14ac:dyDescent="0.25">
      <c r="B90" s="24" t="s">
        <v>130</v>
      </c>
      <c r="C90" s="49">
        <f>AVERAGE('02.08 Karuma-Kigumba-24h'!C90,'03.08 Karuma-Kigumba-24h'!C90)</f>
        <v>1</v>
      </c>
      <c r="D90" s="49">
        <f>AVERAGE('02.08 Karuma-Kigumba-24h'!D90,'03.08 Karuma-Kigumba-24h'!D90)</f>
        <v>0.5</v>
      </c>
      <c r="E90" s="49">
        <f>AVERAGE('02.08 Karuma-Kigumba-24h'!E90,'03.08 Karuma-Kigumba-24h'!E90)</f>
        <v>1.5</v>
      </c>
      <c r="F90" s="49">
        <f>AVERAGE('02.08 Karuma-Kigumba-24h'!F90,'03.08 Karuma-Kigumba-24h'!F90)</f>
        <v>0.5</v>
      </c>
      <c r="G90" s="49">
        <f>AVERAGE('02.08 Karuma-Kigumba-24h'!G90,'03.08 Karuma-Kigumba-24h'!G90)</f>
        <v>0</v>
      </c>
      <c r="H90" s="49">
        <f>AVERAGE('02.08 Karuma-Kigumba-24h'!H90,'03.08 Karuma-Kigumba-24h'!H90)</f>
        <v>0.5</v>
      </c>
      <c r="I90" s="49">
        <f>AVERAGE('02.08 Karuma-Kigumba-24h'!I90,'03.08 Karuma-Kigumba-24h'!I90)</f>
        <v>1.5</v>
      </c>
      <c r="J90" s="49">
        <f>AVERAGE('02.08 Karuma-Kigumba-24h'!J90,'03.08 Karuma-Kigumba-24h'!J90)</f>
        <v>0</v>
      </c>
      <c r="K90" s="49">
        <f>AVERAGE('02.08 Karuma-Kigumba-24h'!K90,'03.08 Karuma-Kigumba-24h'!K90)</f>
        <v>0</v>
      </c>
      <c r="L90" s="49">
        <f>AVERAGE('02.08 Karuma-Kigumba-24h'!L90,'03.08 Karuma-Kigumba-24h'!L90)</f>
        <v>1</v>
      </c>
      <c r="M90" s="49">
        <f>AVERAGE('02.08 Karuma-Kigumba-24h'!M90,'03.08 Karuma-Kigumba-24h'!M90)</f>
        <v>0</v>
      </c>
      <c r="N90" s="49">
        <f>AVERAGE('02.08 Karuma-Kigumba-24h'!N90,'03.08 Karuma-Kigumba-24h'!N90)</f>
        <v>0</v>
      </c>
      <c r="O90" s="15">
        <f t="shared" si="35"/>
        <v>6.5</v>
      </c>
      <c r="P90" s="15">
        <f t="shared" si="36"/>
        <v>6.5</v>
      </c>
      <c r="R90" s="8"/>
      <c r="T90"/>
    </row>
    <row r="91" spans="2:20" ht="23.1" customHeight="1" x14ac:dyDescent="0.25">
      <c r="B91" s="23" t="s">
        <v>131</v>
      </c>
      <c r="C91" s="49">
        <f>AVERAGE('02.08 Karuma-Kigumba-24h'!C91,'03.08 Karuma-Kigumba-24h'!C91)</f>
        <v>0.5</v>
      </c>
      <c r="D91" s="49">
        <f>AVERAGE('02.08 Karuma-Kigumba-24h'!D91,'03.08 Karuma-Kigumba-24h'!D91)</f>
        <v>1</v>
      </c>
      <c r="E91" s="49">
        <f>AVERAGE('02.08 Karuma-Kigumba-24h'!E91,'03.08 Karuma-Kigumba-24h'!E91)</f>
        <v>1.5</v>
      </c>
      <c r="F91" s="49">
        <f>AVERAGE('02.08 Karuma-Kigumba-24h'!F91,'03.08 Karuma-Kigumba-24h'!F91)</f>
        <v>0.5</v>
      </c>
      <c r="G91" s="49">
        <f>AVERAGE('02.08 Karuma-Kigumba-24h'!G91,'03.08 Karuma-Kigumba-24h'!G91)</f>
        <v>0</v>
      </c>
      <c r="H91" s="49">
        <f>AVERAGE('02.08 Karuma-Kigumba-24h'!H91,'03.08 Karuma-Kigumba-24h'!H91)</f>
        <v>0.5</v>
      </c>
      <c r="I91" s="49">
        <f>AVERAGE('02.08 Karuma-Kigumba-24h'!I91,'03.08 Karuma-Kigumba-24h'!I91)</f>
        <v>1</v>
      </c>
      <c r="J91" s="49">
        <f>AVERAGE('02.08 Karuma-Kigumba-24h'!J91,'03.08 Karuma-Kigumba-24h'!J91)</f>
        <v>0</v>
      </c>
      <c r="K91" s="49">
        <f>AVERAGE('02.08 Karuma-Kigumba-24h'!K91,'03.08 Karuma-Kigumba-24h'!K91)</f>
        <v>0</v>
      </c>
      <c r="L91" s="49">
        <f>AVERAGE('02.08 Karuma-Kigumba-24h'!L91,'03.08 Karuma-Kigumba-24h'!L91)</f>
        <v>0.5</v>
      </c>
      <c r="M91" s="49">
        <f>AVERAGE('02.08 Karuma-Kigumba-24h'!M91,'03.08 Karuma-Kigumba-24h'!M91)</f>
        <v>0</v>
      </c>
      <c r="N91" s="49">
        <f>AVERAGE('02.08 Karuma-Kigumba-24h'!N91,'03.08 Karuma-Kigumba-24h'!N91)</f>
        <v>0</v>
      </c>
      <c r="O91" s="15">
        <f t="shared" si="35"/>
        <v>5.5</v>
      </c>
      <c r="P91" s="15">
        <f t="shared" si="36"/>
        <v>5.5</v>
      </c>
      <c r="R91" s="8"/>
      <c r="T91"/>
    </row>
    <row r="92" spans="2:20" ht="23.1" customHeight="1" x14ac:dyDescent="0.25">
      <c r="B92" s="25" t="s">
        <v>132</v>
      </c>
      <c r="C92" s="49">
        <f>AVERAGE('02.08 Karuma-Kigumba-24h'!C92,'03.08 Karuma-Kigumba-24h'!C92)</f>
        <v>1</v>
      </c>
      <c r="D92" s="49">
        <f>AVERAGE('02.08 Karuma-Kigumba-24h'!D92,'03.08 Karuma-Kigumba-24h'!D92)</f>
        <v>0.5</v>
      </c>
      <c r="E92" s="49">
        <f>AVERAGE('02.08 Karuma-Kigumba-24h'!E92,'03.08 Karuma-Kigumba-24h'!E92)</f>
        <v>1.5</v>
      </c>
      <c r="F92" s="49">
        <f>AVERAGE('02.08 Karuma-Kigumba-24h'!F92,'03.08 Karuma-Kigumba-24h'!F92)</f>
        <v>0.5</v>
      </c>
      <c r="G92" s="49">
        <f>AVERAGE('02.08 Karuma-Kigumba-24h'!G92,'03.08 Karuma-Kigumba-24h'!G92)</f>
        <v>0</v>
      </c>
      <c r="H92" s="49">
        <f>AVERAGE('02.08 Karuma-Kigumba-24h'!H92,'03.08 Karuma-Kigumba-24h'!H92)</f>
        <v>0.5</v>
      </c>
      <c r="I92" s="49">
        <f>AVERAGE('02.08 Karuma-Kigumba-24h'!I92,'03.08 Karuma-Kigumba-24h'!I92)</f>
        <v>0.5</v>
      </c>
      <c r="J92" s="49">
        <f>AVERAGE('02.08 Karuma-Kigumba-24h'!J92,'03.08 Karuma-Kigumba-24h'!J92)</f>
        <v>0</v>
      </c>
      <c r="K92" s="49">
        <f>AVERAGE('02.08 Karuma-Kigumba-24h'!K92,'03.08 Karuma-Kigumba-24h'!K92)</f>
        <v>0</v>
      </c>
      <c r="L92" s="49">
        <f>AVERAGE('02.08 Karuma-Kigumba-24h'!L92,'03.08 Karuma-Kigumba-24h'!L92)</f>
        <v>0.5</v>
      </c>
      <c r="M92" s="49">
        <f>AVERAGE('02.08 Karuma-Kigumba-24h'!M92,'03.08 Karuma-Kigumba-24h'!M92)</f>
        <v>0</v>
      </c>
      <c r="N92" s="49">
        <f>AVERAGE('02.08 Karuma-Kigumba-24h'!N92,'03.08 Karuma-Kigumba-24h'!N92)</f>
        <v>0</v>
      </c>
      <c r="O92" s="15">
        <f t="shared" si="35"/>
        <v>5</v>
      </c>
      <c r="P92" s="15">
        <f t="shared" si="36"/>
        <v>5</v>
      </c>
      <c r="R92" s="8"/>
      <c r="T92"/>
    </row>
    <row r="93" spans="2:20" ht="23.1" customHeight="1" x14ac:dyDescent="0.25">
      <c r="B93" s="23" t="s">
        <v>133</v>
      </c>
      <c r="C93" s="49">
        <f>AVERAGE('02.08 Karuma-Kigumba-24h'!C93,'03.08 Karuma-Kigumba-24h'!C93)</f>
        <v>1</v>
      </c>
      <c r="D93" s="49">
        <f>AVERAGE('02.08 Karuma-Kigumba-24h'!D93,'03.08 Karuma-Kigumba-24h'!D93)</f>
        <v>1</v>
      </c>
      <c r="E93" s="49">
        <f>AVERAGE('02.08 Karuma-Kigumba-24h'!E93,'03.08 Karuma-Kigumba-24h'!E93)</f>
        <v>1.5</v>
      </c>
      <c r="F93" s="49">
        <f>AVERAGE('02.08 Karuma-Kigumba-24h'!F93,'03.08 Karuma-Kigumba-24h'!F93)</f>
        <v>0.5</v>
      </c>
      <c r="G93" s="49">
        <f>AVERAGE('02.08 Karuma-Kigumba-24h'!G93,'03.08 Karuma-Kigumba-24h'!G93)</f>
        <v>0</v>
      </c>
      <c r="H93" s="49">
        <f>AVERAGE('02.08 Karuma-Kigumba-24h'!H93,'03.08 Karuma-Kigumba-24h'!H93)</f>
        <v>1</v>
      </c>
      <c r="I93" s="49">
        <f>AVERAGE('02.08 Karuma-Kigumba-24h'!I93,'03.08 Karuma-Kigumba-24h'!I93)</f>
        <v>1</v>
      </c>
      <c r="J93" s="49">
        <f>AVERAGE('02.08 Karuma-Kigumba-24h'!J93,'03.08 Karuma-Kigumba-24h'!J93)</f>
        <v>0</v>
      </c>
      <c r="K93" s="49">
        <f>AVERAGE('02.08 Karuma-Kigumba-24h'!K93,'03.08 Karuma-Kigumba-24h'!K93)</f>
        <v>0</v>
      </c>
      <c r="L93" s="49">
        <f>AVERAGE('02.08 Karuma-Kigumba-24h'!L93,'03.08 Karuma-Kigumba-24h'!L93)</f>
        <v>1</v>
      </c>
      <c r="M93" s="49">
        <f>AVERAGE('02.08 Karuma-Kigumba-24h'!M93,'03.08 Karuma-Kigumba-24h'!M93)</f>
        <v>0</v>
      </c>
      <c r="N93" s="49">
        <f>AVERAGE('02.08 Karuma-Kigumba-24h'!N93,'03.08 Karuma-Kigumba-24h'!N93)</f>
        <v>0</v>
      </c>
      <c r="O93" s="15">
        <f t="shared" si="35"/>
        <v>7</v>
      </c>
      <c r="P93" s="15">
        <f t="shared" si="36"/>
        <v>7</v>
      </c>
      <c r="R93" s="8"/>
      <c r="T93"/>
    </row>
    <row r="94" spans="2:20" ht="23.1" customHeight="1" x14ac:dyDescent="0.25">
      <c r="B94" s="24" t="s">
        <v>134</v>
      </c>
      <c r="C94" s="49">
        <f>AVERAGE('02.08 Karuma-Kigumba-24h'!C94,'03.08 Karuma-Kigumba-24h'!C94)</f>
        <v>0.5</v>
      </c>
      <c r="D94" s="49">
        <f>AVERAGE('02.08 Karuma-Kigumba-24h'!D94,'03.08 Karuma-Kigumba-24h'!D94)</f>
        <v>0.5</v>
      </c>
      <c r="E94" s="49">
        <f>AVERAGE('02.08 Karuma-Kigumba-24h'!E94,'03.08 Karuma-Kigumba-24h'!E94)</f>
        <v>1.5</v>
      </c>
      <c r="F94" s="49">
        <f>AVERAGE('02.08 Karuma-Kigumba-24h'!F94,'03.08 Karuma-Kigumba-24h'!F94)</f>
        <v>0.5</v>
      </c>
      <c r="G94" s="49">
        <f>AVERAGE('02.08 Karuma-Kigumba-24h'!G94,'03.08 Karuma-Kigumba-24h'!G94)</f>
        <v>0</v>
      </c>
      <c r="H94" s="49">
        <f>AVERAGE('02.08 Karuma-Kigumba-24h'!H94,'03.08 Karuma-Kigumba-24h'!H94)</f>
        <v>0.5</v>
      </c>
      <c r="I94" s="49">
        <f>AVERAGE('02.08 Karuma-Kigumba-24h'!I94,'03.08 Karuma-Kigumba-24h'!I94)</f>
        <v>0.5</v>
      </c>
      <c r="J94" s="49">
        <f>AVERAGE('02.08 Karuma-Kigumba-24h'!J94,'03.08 Karuma-Kigumba-24h'!J94)</f>
        <v>0.5</v>
      </c>
      <c r="K94" s="49">
        <f>AVERAGE('02.08 Karuma-Kigumba-24h'!K94,'03.08 Karuma-Kigumba-24h'!K94)</f>
        <v>0</v>
      </c>
      <c r="L94" s="49">
        <f>AVERAGE('02.08 Karuma-Kigumba-24h'!L94,'03.08 Karuma-Kigumba-24h'!L94)</f>
        <v>0.5</v>
      </c>
      <c r="M94" s="49">
        <f>AVERAGE('02.08 Karuma-Kigumba-24h'!M94,'03.08 Karuma-Kigumba-24h'!M94)</f>
        <v>0</v>
      </c>
      <c r="N94" s="49">
        <f>AVERAGE('02.08 Karuma-Kigumba-24h'!N94,'03.08 Karuma-Kigumba-24h'!N94)</f>
        <v>0</v>
      </c>
      <c r="O94" s="15">
        <f t="shared" si="35"/>
        <v>5</v>
      </c>
      <c r="P94" s="15">
        <f t="shared" si="36"/>
        <v>5</v>
      </c>
      <c r="R94" s="8"/>
      <c r="T94"/>
    </row>
    <row r="95" spans="2:20" ht="23.1" customHeight="1" x14ac:dyDescent="0.25">
      <c r="B95" s="23" t="s">
        <v>135</v>
      </c>
      <c r="C95" s="49">
        <f>AVERAGE('02.08 Karuma-Kigumba-24h'!C95,'03.08 Karuma-Kigumba-24h'!C95)</f>
        <v>0.5</v>
      </c>
      <c r="D95" s="49">
        <f>AVERAGE('02.08 Karuma-Kigumba-24h'!D95,'03.08 Karuma-Kigumba-24h'!D95)</f>
        <v>0.5</v>
      </c>
      <c r="E95" s="49">
        <f>AVERAGE('02.08 Karuma-Kigumba-24h'!E95,'03.08 Karuma-Kigumba-24h'!E95)</f>
        <v>1</v>
      </c>
      <c r="F95" s="49">
        <f>AVERAGE('02.08 Karuma-Kigumba-24h'!F95,'03.08 Karuma-Kigumba-24h'!F95)</f>
        <v>1</v>
      </c>
      <c r="G95" s="49">
        <f>AVERAGE('02.08 Karuma-Kigumba-24h'!G95,'03.08 Karuma-Kigumba-24h'!G95)</f>
        <v>0</v>
      </c>
      <c r="H95" s="49">
        <f>AVERAGE('02.08 Karuma-Kigumba-24h'!H95,'03.08 Karuma-Kigumba-24h'!H95)</f>
        <v>0.5</v>
      </c>
      <c r="I95" s="49">
        <f>AVERAGE('02.08 Karuma-Kigumba-24h'!I95,'03.08 Karuma-Kigumba-24h'!I95)</f>
        <v>0.5</v>
      </c>
      <c r="J95" s="49">
        <f>AVERAGE('02.08 Karuma-Kigumba-24h'!J95,'03.08 Karuma-Kigumba-24h'!J95)</f>
        <v>0</v>
      </c>
      <c r="K95" s="49">
        <f>AVERAGE('02.08 Karuma-Kigumba-24h'!K95,'03.08 Karuma-Kigumba-24h'!K95)</f>
        <v>0</v>
      </c>
      <c r="L95" s="49">
        <f>AVERAGE('02.08 Karuma-Kigumba-24h'!L95,'03.08 Karuma-Kigumba-24h'!L95)</f>
        <v>0.5</v>
      </c>
      <c r="M95" s="49">
        <f>AVERAGE('02.08 Karuma-Kigumba-24h'!M95,'03.08 Karuma-Kigumba-24h'!M95)</f>
        <v>0</v>
      </c>
      <c r="N95" s="49">
        <f>AVERAGE('02.08 Karuma-Kigumba-24h'!N95,'03.08 Karuma-Kigumba-24h'!N95)</f>
        <v>0</v>
      </c>
      <c r="O95" s="15">
        <f t="shared" si="35"/>
        <v>4.5</v>
      </c>
      <c r="P95" s="15">
        <f t="shared" si="36"/>
        <v>4.5</v>
      </c>
      <c r="R95" s="8"/>
      <c r="T95"/>
    </row>
    <row r="96" spans="2:20" ht="23.1" customHeight="1" x14ac:dyDescent="0.25">
      <c r="B96" s="25" t="s">
        <v>136</v>
      </c>
      <c r="C96" s="49">
        <f>AVERAGE('02.08 Karuma-Kigumba-24h'!C96,'03.08 Karuma-Kigumba-24h'!C96)</f>
        <v>0.5</v>
      </c>
      <c r="D96" s="49">
        <f>AVERAGE('02.08 Karuma-Kigumba-24h'!D96,'03.08 Karuma-Kigumba-24h'!D96)</f>
        <v>0.5</v>
      </c>
      <c r="E96" s="49">
        <f>AVERAGE('02.08 Karuma-Kigumba-24h'!E96,'03.08 Karuma-Kigumba-24h'!E96)</f>
        <v>1.5</v>
      </c>
      <c r="F96" s="49">
        <f>AVERAGE('02.08 Karuma-Kigumba-24h'!F96,'03.08 Karuma-Kigumba-24h'!F96)</f>
        <v>0.5</v>
      </c>
      <c r="G96" s="49">
        <f>AVERAGE('02.08 Karuma-Kigumba-24h'!G96,'03.08 Karuma-Kigumba-24h'!G96)</f>
        <v>0</v>
      </c>
      <c r="H96" s="49">
        <f>AVERAGE('02.08 Karuma-Kigumba-24h'!H96,'03.08 Karuma-Kigumba-24h'!H96)</f>
        <v>0</v>
      </c>
      <c r="I96" s="49">
        <f>AVERAGE('02.08 Karuma-Kigumba-24h'!I96,'03.08 Karuma-Kigumba-24h'!I96)</f>
        <v>1</v>
      </c>
      <c r="J96" s="49">
        <f>AVERAGE('02.08 Karuma-Kigumba-24h'!J96,'03.08 Karuma-Kigumba-24h'!J96)</f>
        <v>0</v>
      </c>
      <c r="K96" s="49">
        <f>AVERAGE('02.08 Karuma-Kigumba-24h'!K96,'03.08 Karuma-Kigumba-24h'!K96)</f>
        <v>0</v>
      </c>
      <c r="L96" s="49">
        <f>AVERAGE('02.08 Karuma-Kigumba-24h'!L96,'03.08 Karuma-Kigumba-24h'!L96)</f>
        <v>0.5</v>
      </c>
      <c r="M96" s="49">
        <f>AVERAGE('02.08 Karuma-Kigumba-24h'!M96,'03.08 Karuma-Kigumba-24h'!M96)</f>
        <v>0</v>
      </c>
      <c r="N96" s="49">
        <f>AVERAGE('02.08 Karuma-Kigumba-24h'!N96,'03.08 Karuma-Kigumba-24h'!N96)</f>
        <v>0</v>
      </c>
      <c r="O96" s="15">
        <f t="shared" si="35"/>
        <v>4.5</v>
      </c>
      <c r="P96" s="15">
        <f t="shared" si="36"/>
        <v>4.5</v>
      </c>
      <c r="R96" s="8"/>
      <c r="T96"/>
    </row>
    <row r="97" spans="2:20" ht="23.1" customHeight="1" x14ac:dyDescent="0.25">
      <c r="B97" s="23" t="s">
        <v>137</v>
      </c>
      <c r="C97" s="49">
        <f>AVERAGE('02.08 Karuma-Kigumba-24h'!C97,'03.08 Karuma-Kigumba-24h'!C97)</f>
        <v>1.5</v>
      </c>
      <c r="D97" s="49">
        <f>AVERAGE('02.08 Karuma-Kigumba-24h'!D97,'03.08 Karuma-Kigumba-24h'!D97)</f>
        <v>1</v>
      </c>
      <c r="E97" s="49">
        <f>AVERAGE('02.08 Karuma-Kigumba-24h'!E97,'03.08 Karuma-Kigumba-24h'!E97)</f>
        <v>2</v>
      </c>
      <c r="F97" s="49">
        <f>AVERAGE('02.08 Karuma-Kigumba-24h'!F97,'03.08 Karuma-Kigumba-24h'!F97)</f>
        <v>0.5</v>
      </c>
      <c r="G97" s="49">
        <f>AVERAGE('02.08 Karuma-Kigumba-24h'!G97,'03.08 Karuma-Kigumba-24h'!G97)</f>
        <v>0</v>
      </c>
      <c r="H97" s="49">
        <f>AVERAGE('02.08 Karuma-Kigumba-24h'!H97,'03.08 Karuma-Kigumba-24h'!H97)</f>
        <v>1</v>
      </c>
      <c r="I97" s="49">
        <f>AVERAGE('02.08 Karuma-Kigumba-24h'!I97,'03.08 Karuma-Kigumba-24h'!I97)</f>
        <v>1.5</v>
      </c>
      <c r="J97" s="49">
        <f>AVERAGE('02.08 Karuma-Kigumba-24h'!J97,'03.08 Karuma-Kigumba-24h'!J97)</f>
        <v>0</v>
      </c>
      <c r="K97" s="49">
        <f>AVERAGE('02.08 Karuma-Kigumba-24h'!K97,'03.08 Karuma-Kigumba-24h'!K97)</f>
        <v>0</v>
      </c>
      <c r="L97" s="49">
        <f>AVERAGE('02.08 Karuma-Kigumba-24h'!L97,'03.08 Karuma-Kigumba-24h'!L97)</f>
        <v>1</v>
      </c>
      <c r="M97" s="49">
        <f>AVERAGE('02.08 Karuma-Kigumba-24h'!M97,'03.08 Karuma-Kigumba-24h'!M97)</f>
        <v>0</v>
      </c>
      <c r="N97" s="49">
        <f>AVERAGE('02.08 Karuma-Kigumba-24h'!N97,'03.08 Karuma-Kigumba-24h'!N97)</f>
        <v>0</v>
      </c>
      <c r="O97" s="15">
        <f t="shared" si="35"/>
        <v>8.5</v>
      </c>
      <c r="P97" s="15">
        <f t="shared" si="36"/>
        <v>8.5</v>
      </c>
      <c r="R97" s="8"/>
      <c r="T97"/>
    </row>
    <row r="98" spans="2:20" ht="23.1" customHeight="1" x14ac:dyDescent="0.25">
      <c r="B98" s="24" t="s">
        <v>138</v>
      </c>
      <c r="C98" s="49">
        <f>AVERAGE('02.08 Karuma-Kigumba-24h'!C98,'03.08 Karuma-Kigumba-24h'!C98)</f>
        <v>0.5</v>
      </c>
      <c r="D98" s="49">
        <f>AVERAGE('02.08 Karuma-Kigumba-24h'!D98,'03.08 Karuma-Kigumba-24h'!D98)</f>
        <v>0.5</v>
      </c>
      <c r="E98" s="49">
        <f>AVERAGE('02.08 Karuma-Kigumba-24h'!E98,'03.08 Karuma-Kigumba-24h'!E98)</f>
        <v>1</v>
      </c>
      <c r="F98" s="49">
        <f>AVERAGE('02.08 Karuma-Kigumba-24h'!F98,'03.08 Karuma-Kigumba-24h'!F98)</f>
        <v>0.5</v>
      </c>
      <c r="G98" s="49">
        <f>AVERAGE('02.08 Karuma-Kigumba-24h'!G98,'03.08 Karuma-Kigumba-24h'!G98)</f>
        <v>0</v>
      </c>
      <c r="H98" s="49">
        <f>AVERAGE('02.08 Karuma-Kigumba-24h'!H98,'03.08 Karuma-Kigumba-24h'!H98)</f>
        <v>1</v>
      </c>
      <c r="I98" s="49">
        <f>AVERAGE('02.08 Karuma-Kigumba-24h'!I98,'03.08 Karuma-Kigumba-24h'!I98)</f>
        <v>1</v>
      </c>
      <c r="J98" s="49">
        <f>AVERAGE('02.08 Karuma-Kigumba-24h'!J98,'03.08 Karuma-Kigumba-24h'!J98)</f>
        <v>0</v>
      </c>
      <c r="K98" s="49">
        <f>AVERAGE('02.08 Karuma-Kigumba-24h'!K98,'03.08 Karuma-Kigumba-24h'!K98)</f>
        <v>0.5</v>
      </c>
      <c r="L98" s="49">
        <f>AVERAGE('02.08 Karuma-Kigumba-24h'!L98,'03.08 Karuma-Kigumba-24h'!L98)</f>
        <v>1</v>
      </c>
      <c r="M98" s="49">
        <f>AVERAGE('02.08 Karuma-Kigumba-24h'!M98,'03.08 Karuma-Kigumba-24h'!M98)</f>
        <v>2.5</v>
      </c>
      <c r="N98" s="49">
        <f>AVERAGE('02.08 Karuma-Kigumba-24h'!N98,'03.08 Karuma-Kigumba-24h'!N98)</f>
        <v>0</v>
      </c>
      <c r="O98" s="15">
        <f t="shared" si="35"/>
        <v>6</v>
      </c>
      <c r="P98" s="15">
        <f t="shared" si="36"/>
        <v>8.5</v>
      </c>
      <c r="R98" s="8"/>
      <c r="T98"/>
    </row>
    <row r="99" spans="2:20" ht="23.1" customHeight="1" x14ac:dyDescent="0.25">
      <c r="B99" s="23" t="s">
        <v>139</v>
      </c>
      <c r="C99" s="49">
        <f>AVERAGE('02.08 Karuma-Kigumba-24h'!C99,'03.08 Karuma-Kigumba-24h'!C99)</f>
        <v>0.5</v>
      </c>
      <c r="D99" s="49">
        <f>AVERAGE('02.08 Karuma-Kigumba-24h'!D99,'03.08 Karuma-Kigumba-24h'!D99)</f>
        <v>0.5</v>
      </c>
      <c r="E99" s="49">
        <f>AVERAGE('02.08 Karuma-Kigumba-24h'!E99,'03.08 Karuma-Kigumba-24h'!E99)</f>
        <v>1.5</v>
      </c>
      <c r="F99" s="49">
        <f>AVERAGE('02.08 Karuma-Kigumba-24h'!F99,'03.08 Karuma-Kigumba-24h'!F99)</f>
        <v>0.5</v>
      </c>
      <c r="G99" s="49">
        <f>AVERAGE('02.08 Karuma-Kigumba-24h'!G99,'03.08 Karuma-Kigumba-24h'!G99)</f>
        <v>0</v>
      </c>
      <c r="H99" s="49">
        <f>AVERAGE('02.08 Karuma-Kigumba-24h'!H99,'03.08 Karuma-Kigumba-24h'!H99)</f>
        <v>0.5</v>
      </c>
      <c r="I99" s="49">
        <f>AVERAGE('02.08 Karuma-Kigumba-24h'!I99,'03.08 Karuma-Kigumba-24h'!I99)</f>
        <v>1.5</v>
      </c>
      <c r="J99" s="49">
        <f>AVERAGE('02.08 Karuma-Kigumba-24h'!J99,'03.08 Karuma-Kigumba-24h'!J99)</f>
        <v>0</v>
      </c>
      <c r="K99" s="49">
        <f>AVERAGE('02.08 Karuma-Kigumba-24h'!K99,'03.08 Karuma-Kigumba-24h'!K99)</f>
        <v>0</v>
      </c>
      <c r="L99" s="49">
        <f>AVERAGE('02.08 Karuma-Kigumba-24h'!L99,'03.08 Karuma-Kigumba-24h'!L99)</f>
        <v>0.5</v>
      </c>
      <c r="M99" s="49">
        <f>AVERAGE('02.08 Karuma-Kigumba-24h'!M99,'03.08 Karuma-Kigumba-24h'!M99)</f>
        <v>2</v>
      </c>
      <c r="N99" s="49">
        <f>AVERAGE('02.08 Karuma-Kigumba-24h'!N99,'03.08 Karuma-Kigumba-24h'!N99)</f>
        <v>0</v>
      </c>
      <c r="O99" s="15">
        <f t="shared" si="35"/>
        <v>5.5</v>
      </c>
      <c r="P99" s="15">
        <f t="shared" si="36"/>
        <v>7.5</v>
      </c>
      <c r="R99" s="8"/>
      <c r="T99"/>
    </row>
    <row r="100" spans="2:20" ht="23.1" customHeight="1" x14ac:dyDescent="0.25">
      <c r="B100" s="25" t="s">
        <v>140</v>
      </c>
      <c r="C100" s="49">
        <f>AVERAGE('02.08 Karuma-Kigumba-24h'!C100,'03.08 Karuma-Kigumba-24h'!C100)</f>
        <v>0.5</v>
      </c>
      <c r="D100" s="49">
        <f>AVERAGE('02.08 Karuma-Kigumba-24h'!D100,'03.08 Karuma-Kigumba-24h'!D100)</f>
        <v>0.5</v>
      </c>
      <c r="E100" s="49">
        <f>AVERAGE('02.08 Karuma-Kigumba-24h'!E100,'03.08 Karuma-Kigumba-24h'!E100)</f>
        <v>2</v>
      </c>
      <c r="F100" s="49">
        <f>AVERAGE('02.08 Karuma-Kigumba-24h'!F100,'03.08 Karuma-Kigumba-24h'!F100)</f>
        <v>1</v>
      </c>
      <c r="G100" s="49">
        <f>AVERAGE('02.08 Karuma-Kigumba-24h'!G100,'03.08 Karuma-Kigumba-24h'!G100)</f>
        <v>0</v>
      </c>
      <c r="H100" s="49">
        <f>AVERAGE('02.08 Karuma-Kigumba-24h'!H100,'03.08 Karuma-Kigumba-24h'!H100)</f>
        <v>0.5</v>
      </c>
      <c r="I100" s="49">
        <f>AVERAGE('02.08 Karuma-Kigumba-24h'!I100,'03.08 Karuma-Kigumba-24h'!I100)</f>
        <v>1</v>
      </c>
      <c r="J100" s="49">
        <f>AVERAGE('02.08 Karuma-Kigumba-24h'!J100,'03.08 Karuma-Kigumba-24h'!J100)</f>
        <v>0</v>
      </c>
      <c r="K100" s="49">
        <f>AVERAGE('02.08 Karuma-Kigumba-24h'!K100,'03.08 Karuma-Kigumba-24h'!K100)</f>
        <v>0</v>
      </c>
      <c r="L100" s="49">
        <f>AVERAGE('02.08 Karuma-Kigumba-24h'!L100,'03.08 Karuma-Kigumba-24h'!L100)</f>
        <v>0.5</v>
      </c>
      <c r="M100" s="49">
        <f>AVERAGE('02.08 Karuma-Kigumba-24h'!M100,'03.08 Karuma-Kigumba-24h'!M100)</f>
        <v>3</v>
      </c>
      <c r="N100" s="49">
        <f>AVERAGE('02.08 Karuma-Kigumba-24h'!N100,'03.08 Karuma-Kigumba-24h'!N100)</f>
        <v>0</v>
      </c>
      <c r="O100" s="15">
        <f t="shared" si="35"/>
        <v>6</v>
      </c>
      <c r="P100" s="15">
        <f t="shared" si="36"/>
        <v>9</v>
      </c>
      <c r="R100" s="8"/>
      <c r="T100"/>
    </row>
    <row r="101" spans="2:20" ht="23.1" customHeight="1" x14ac:dyDescent="0.25">
      <c r="B101" s="23" t="s">
        <v>141</v>
      </c>
      <c r="C101" s="49">
        <f>AVERAGE('02.08 Karuma-Kigumba-24h'!C101,'03.08 Karuma-Kigumba-24h'!C101)</f>
        <v>0.5</v>
      </c>
      <c r="D101" s="49">
        <f>AVERAGE('02.08 Karuma-Kigumba-24h'!D101,'03.08 Karuma-Kigumba-24h'!D101)</f>
        <v>0.5</v>
      </c>
      <c r="E101" s="49">
        <f>AVERAGE('02.08 Karuma-Kigumba-24h'!E101,'03.08 Karuma-Kigumba-24h'!E101)</f>
        <v>1</v>
      </c>
      <c r="F101" s="49">
        <f>AVERAGE('02.08 Karuma-Kigumba-24h'!F101,'03.08 Karuma-Kigumba-24h'!F101)</f>
        <v>0.5</v>
      </c>
      <c r="G101" s="49">
        <f>AVERAGE('02.08 Karuma-Kigumba-24h'!G101,'03.08 Karuma-Kigumba-24h'!G101)</f>
        <v>0</v>
      </c>
      <c r="H101" s="49">
        <f>AVERAGE('02.08 Karuma-Kigumba-24h'!H101,'03.08 Karuma-Kigumba-24h'!H101)</f>
        <v>0.5</v>
      </c>
      <c r="I101" s="49">
        <f>AVERAGE('02.08 Karuma-Kigumba-24h'!I101,'03.08 Karuma-Kigumba-24h'!I101)</f>
        <v>1</v>
      </c>
      <c r="J101" s="49">
        <f>AVERAGE('02.08 Karuma-Kigumba-24h'!J101,'03.08 Karuma-Kigumba-24h'!J101)</f>
        <v>0.5</v>
      </c>
      <c r="K101" s="49">
        <f>AVERAGE('02.08 Karuma-Kigumba-24h'!K101,'03.08 Karuma-Kigumba-24h'!K101)</f>
        <v>0</v>
      </c>
      <c r="L101" s="49">
        <f>AVERAGE('02.08 Karuma-Kigumba-24h'!L101,'03.08 Karuma-Kigumba-24h'!L101)</f>
        <v>0.5</v>
      </c>
      <c r="M101" s="49">
        <f>AVERAGE('02.08 Karuma-Kigumba-24h'!M101,'03.08 Karuma-Kigumba-24h'!M101)</f>
        <v>2.5</v>
      </c>
      <c r="N101" s="49">
        <f>AVERAGE('02.08 Karuma-Kigumba-24h'!N101,'03.08 Karuma-Kigumba-24h'!N101)</f>
        <v>0</v>
      </c>
      <c r="O101" s="15">
        <f t="shared" si="35"/>
        <v>5</v>
      </c>
      <c r="P101" s="15">
        <f t="shared" si="36"/>
        <v>7.5</v>
      </c>
      <c r="R101" s="8"/>
      <c r="T101"/>
    </row>
    <row r="102" spans="2:20" ht="23.1" customHeight="1" x14ac:dyDescent="0.25">
      <c r="B102" s="24" t="s">
        <v>142</v>
      </c>
      <c r="C102" s="49">
        <f>AVERAGE('02.08 Karuma-Kigumba-24h'!C102,'03.08 Karuma-Kigumba-24h'!C102)</f>
        <v>0.5</v>
      </c>
      <c r="D102" s="49">
        <f>AVERAGE('02.08 Karuma-Kigumba-24h'!D102,'03.08 Karuma-Kigumba-24h'!D102)</f>
        <v>0.5</v>
      </c>
      <c r="E102" s="49">
        <f>AVERAGE('02.08 Karuma-Kigumba-24h'!E102,'03.08 Karuma-Kigumba-24h'!E102)</f>
        <v>2</v>
      </c>
      <c r="F102" s="49">
        <f>AVERAGE('02.08 Karuma-Kigumba-24h'!F102,'03.08 Karuma-Kigumba-24h'!F102)</f>
        <v>0.5</v>
      </c>
      <c r="G102" s="49">
        <f>AVERAGE('02.08 Karuma-Kigumba-24h'!G102,'03.08 Karuma-Kigumba-24h'!G102)</f>
        <v>0</v>
      </c>
      <c r="H102" s="49">
        <f>AVERAGE('02.08 Karuma-Kigumba-24h'!H102,'03.08 Karuma-Kigumba-24h'!H102)</f>
        <v>1</v>
      </c>
      <c r="I102" s="49">
        <f>AVERAGE('02.08 Karuma-Kigumba-24h'!I102,'03.08 Karuma-Kigumba-24h'!I102)</f>
        <v>1.5</v>
      </c>
      <c r="J102" s="49">
        <f>AVERAGE('02.08 Karuma-Kigumba-24h'!J102,'03.08 Karuma-Kigumba-24h'!J102)</f>
        <v>0.5</v>
      </c>
      <c r="K102" s="49">
        <f>AVERAGE('02.08 Karuma-Kigumba-24h'!K102,'03.08 Karuma-Kigumba-24h'!K102)</f>
        <v>0</v>
      </c>
      <c r="L102" s="49">
        <f>AVERAGE('02.08 Karuma-Kigumba-24h'!L102,'03.08 Karuma-Kigumba-24h'!L102)</f>
        <v>1</v>
      </c>
      <c r="M102" s="49">
        <f>AVERAGE('02.08 Karuma-Kigumba-24h'!M102,'03.08 Karuma-Kigumba-24h'!M102)</f>
        <v>2.5</v>
      </c>
      <c r="N102" s="49">
        <f>AVERAGE('02.08 Karuma-Kigumba-24h'!N102,'03.08 Karuma-Kigumba-24h'!N102)</f>
        <v>0</v>
      </c>
      <c r="O102" s="15">
        <f t="shared" si="35"/>
        <v>7.5</v>
      </c>
      <c r="P102" s="15">
        <f t="shared" si="36"/>
        <v>10</v>
      </c>
      <c r="R102" s="8"/>
      <c r="T102"/>
    </row>
    <row r="103" spans="2:20" ht="23.1" customHeight="1" x14ac:dyDescent="0.25">
      <c r="B103" s="23" t="s">
        <v>143</v>
      </c>
      <c r="C103" s="49">
        <f>AVERAGE('02.08 Karuma-Kigumba-24h'!C103,'03.08 Karuma-Kigumba-24h'!C103)</f>
        <v>1</v>
      </c>
      <c r="D103" s="49">
        <f>AVERAGE('02.08 Karuma-Kigumba-24h'!D103,'03.08 Karuma-Kigumba-24h'!D103)</f>
        <v>0.5</v>
      </c>
      <c r="E103" s="49">
        <f>AVERAGE('02.08 Karuma-Kigumba-24h'!E103,'03.08 Karuma-Kigumba-24h'!E103)</f>
        <v>1</v>
      </c>
      <c r="F103" s="49">
        <f>AVERAGE('02.08 Karuma-Kigumba-24h'!F103,'03.08 Karuma-Kigumba-24h'!F103)</f>
        <v>1.5</v>
      </c>
      <c r="G103" s="49">
        <f>AVERAGE('02.08 Karuma-Kigumba-24h'!G103,'03.08 Karuma-Kigumba-24h'!G103)</f>
        <v>0</v>
      </c>
      <c r="H103" s="49">
        <f>AVERAGE('02.08 Karuma-Kigumba-24h'!H103,'03.08 Karuma-Kigumba-24h'!H103)</f>
        <v>0</v>
      </c>
      <c r="I103" s="49">
        <f>AVERAGE('02.08 Karuma-Kigumba-24h'!I103,'03.08 Karuma-Kigumba-24h'!I103)</f>
        <v>1</v>
      </c>
      <c r="J103" s="49">
        <f>AVERAGE('02.08 Karuma-Kigumba-24h'!J103,'03.08 Karuma-Kigumba-24h'!J103)</f>
        <v>0</v>
      </c>
      <c r="K103" s="49">
        <f>AVERAGE('02.08 Karuma-Kigumba-24h'!K103,'03.08 Karuma-Kigumba-24h'!K103)</f>
        <v>0</v>
      </c>
      <c r="L103" s="49">
        <f>AVERAGE('02.08 Karuma-Kigumba-24h'!L103,'03.08 Karuma-Kigumba-24h'!L103)</f>
        <v>1</v>
      </c>
      <c r="M103" s="49">
        <f>AVERAGE('02.08 Karuma-Kigumba-24h'!M103,'03.08 Karuma-Kigumba-24h'!M103)</f>
        <v>2</v>
      </c>
      <c r="N103" s="49">
        <f>AVERAGE('02.08 Karuma-Kigumba-24h'!N103,'03.08 Karuma-Kigumba-24h'!N103)</f>
        <v>0</v>
      </c>
      <c r="O103" s="15">
        <f t="shared" si="35"/>
        <v>6</v>
      </c>
      <c r="P103" s="15">
        <f t="shared" si="36"/>
        <v>8</v>
      </c>
      <c r="R103" s="8"/>
      <c r="T103"/>
    </row>
    <row r="104" spans="2:20" ht="23.1" customHeight="1" x14ac:dyDescent="0.25">
      <c r="B104" s="25" t="s">
        <v>144</v>
      </c>
      <c r="C104" s="49">
        <f>AVERAGE('02.08 Karuma-Kigumba-24h'!C104,'03.08 Karuma-Kigumba-24h'!C104)</f>
        <v>1.5</v>
      </c>
      <c r="D104" s="49">
        <f>AVERAGE('02.08 Karuma-Kigumba-24h'!D104,'03.08 Karuma-Kigumba-24h'!D104)</f>
        <v>0.5</v>
      </c>
      <c r="E104" s="49">
        <f>AVERAGE('02.08 Karuma-Kigumba-24h'!E104,'03.08 Karuma-Kigumba-24h'!E104)</f>
        <v>1.5</v>
      </c>
      <c r="F104" s="49">
        <f>AVERAGE('02.08 Karuma-Kigumba-24h'!F104,'03.08 Karuma-Kigumba-24h'!F104)</f>
        <v>0.5</v>
      </c>
      <c r="G104" s="49">
        <f>AVERAGE('02.08 Karuma-Kigumba-24h'!G104,'03.08 Karuma-Kigumba-24h'!G104)</f>
        <v>0</v>
      </c>
      <c r="H104" s="49">
        <f>AVERAGE('02.08 Karuma-Kigumba-24h'!H104,'03.08 Karuma-Kigumba-24h'!H104)</f>
        <v>1</v>
      </c>
      <c r="I104" s="49">
        <f>AVERAGE('02.08 Karuma-Kigumba-24h'!I104,'03.08 Karuma-Kigumba-24h'!I104)</f>
        <v>1.5</v>
      </c>
      <c r="J104" s="49">
        <f>AVERAGE('02.08 Karuma-Kigumba-24h'!J104,'03.08 Karuma-Kigumba-24h'!J104)</f>
        <v>0</v>
      </c>
      <c r="K104" s="49">
        <f>AVERAGE('02.08 Karuma-Kigumba-24h'!K104,'03.08 Karuma-Kigumba-24h'!K104)</f>
        <v>0</v>
      </c>
      <c r="L104" s="49">
        <f>AVERAGE('02.08 Karuma-Kigumba-24h'!L104,'03.08 Karuma-Kigumba-24h'!L104)</f>
        <v>2.5</v>
      </c>
      <c r="M104" s="49">
        <f>AVERAGE('02.08 Karuma-Kigumba-24h'!M104,'03.08 Karuma-Kigumba-24h'!M104)</f>
        <v>2</v>
      </c>
      <c r="N104" s="49">
        <f>AVERAGE('02.08 Karuma-Kigumba-24h'!N104,'03.08 Karuma-Kigumba-24h'!N104)</f>
        <v>0</v>
      </c>
      <c r="O104" s="15">
        <f t="shared" si="35"/>
        <v>9</v>
      </c>
      <c r="P104" s="15">
        <f t="shared" si="36"/>
        <v>11</v>
      </c>
      <c r="R104" s="8"/>
      <c r="T104"/>
    </row>
    <row r="105" spans="2:20" ht="23.1" customHeight="1" x14ac:dyDescent="0.25">
      <c r="B105" s="23" t="s">
        <v>145</v>
      </c>
      <c r="C105" s="49">
        <f>AVERAGE('02.08 Karuma-Kigumba-24h'!C105,'03.08 Karuma-Kigumba-24h'!C105)</f>
        <v>1</v>
      </c>
      <c r="D105" s="49">
        <f>AVERAGE('02.08 Karuma-Kigumba-24h'!D105,'03.08 Karuma-Kigumba-24h'!D105)</f>
        <v>0.5</v>
      </c>
      <c r="E105" s="49">
        <f>AVERAGE('02.08 Karuma-Kigumba-24h'!E105,'03.08 Karuma-Kigumba-24h'!E105)</f>
        <v>2</v>
      </c>
      <c r="F105" s="49">
        <f>AVERAGE('02.08 Karuma-Kigumba-24h'!F105,'03.08 Karuma-Kigumba-24h'!F105)</f>
        <v>1</v>
      </c>
      <c r="G105" s="49">
        <f>AVERAGE('02.08 Karuma-Kigumba-24h'!G105,'03.08 Karuma-Kigumba-24h'!G105)</f>
        <v>0</v>
      </c>
      <c r="H105" s="49">
        <f>AVERAGE('02.08 Karuma-Kigumba-24h'!H105,'03.08 Karuma-Kigumba-24h'!H105)</f>
        <v>0</v>
      </c>
      <c r="I105" s="49">
        <f>AVERAGE('02.08 Karuma-Kigumba-24h'!I105,'03.08 Karuma-Kigumba-24h'!I105)</f>
        <v>1.5</v>
      </c>
      <c r="J105" s="49">
        <f>AVERAGE('02.08 Karuma-Kigumba-24h'!J105,'03.08 Karuma-Kigumba-24h'!J105)</f>
        <v>0.5</v>
      </c>
      <c r="K105" s="49">
        <f>AVERAGE('02.08 Karuma-Kigumba-24h'!K105,'03.08 Karuma-Kigumba-24h'!K105)</f>
        <v>0</v>
      </c>
      <c r="L105" s="49">
        <f>AVERAGE('02.08 Karuma-Kigumba-24h'!L105,'03.08 Karuma-Kigumba-24h'!L105)</f>
        <v>1.5</v>
      </c>
      <c r="M105" s="49">
        <f>AVERAGE('02.08 Karuma-Kigumba-24h'!M105,'03.08 Karuma-Kigumba-24h'!M105)</f>
        <v>2.5</v>
      </c>
      <c r="N105" s="49">
        <f>AVERAGE('02.08 Karuma-Kigumba-24h'!N105,'03.08 Karuma-Kigumba-24h'!N105)</f>
        <v>0</v>
      </c>
      <c r="O105" s="15">
        <f t="shared" si="35"/>
        <v>8</v>
      </c>
      <c r="P105" s="15">
        <f t="shared" si="36"/>
        <v>10.5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129.5</v>
      </c>
      <c r="D106" s="16">
        <f t="shared" ref="D106:P106" si="37">SUM(D10:D105)</f>
        <v>104.64285714285714</v>
      </c>
      <c r="E106" s="16">
        <f t="shared" si="37"/>
        <v>260.78571428571433</v>
      </c>
      <c r="F106" s="16">
        <f t="shared" si="37"/>
        <v>112.85714285714285</v>
      </c>
      <c r="G106" s="16">
        <f t="shared" si="37"/>
        <v>2.8571428571428563</v>
      </c>
      <c r="H106" s="16">
        <f t="shared" si="37"/>
        <v>78.357142857142861</v>
      </c>
      <c r="I106" s="16">
        <f t="shared" si="37"/>
        <v>135.57142857142856</v>
      </c>
      <c r="J106" s="16">
        <f t="shared" si="37"/>
        <v>24.428571428571431</v>
      </c>
      <c r="K106" s="16">
        <f t="shared" si="37"/>
        <v>8.571428571428573</v>
      </c>
      <c r="L106" s="16">
        <f t="shared" si="37"/>
        <v>97.142857142857139</v>
      </c>
      <c r="M106" s="16">
        <f t="shared" si="37"/>
        <v>240.57142857142856</v>
      </c>
      <c r="N106" s="16">
        <f t="shared" si="37"/>
        <v>1.4285714285714284</v>
      </c>
      <c r="O106" s="16">
        <f t="shared" si="37"/>
        <v>956.14285714285722</v>
      </c>
      <c r="P106" s="16">
        <f t="shared" si="37"/>
        <v>1196.7142857142858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0.10821296406828219</v>
      </c>
      <c r="D107" s="43">
        <f t="shared" si="38"/>
        <v>8.7441804942103366E-2</v>
      </c>
      <c r="E107" s="43">
        <f t="shared" si="38"/>
        <v>0.21791810910827267</v>
      </c>
      <c r="F107" s="43">
        <f t="shared" si="38"/>
        <v>9.4305837411961316E-2</v>
      </c>
      <c r="G107" s="43">
        <f t="shared" si="38"/>
        <v>2.3874895547331973E-3</v>
      </c>
      <c r="H107" s="43">
        <f t="shared" si="38"/>
        <v>6.5476901038557953E-2</v>
      </c>
      <c r="I107" s="43">
        <f t="shared" si="38"/>
        <v>0.11328637937209023</v>
      </c>
      <c r="J107" s="43">
        <f t="shared" si="38"/>
        <v>2.0413035692968845E-2</v>
      </c>
      <c r="K107" s="43">
        <f t="shared" si="38"/>
        <v>7.1624686641995946E-3</v>
      </c>
      <c r="L107" s="43">
        <f t="shared" si="38"/>
        <v>8.1174644860928721E-2</v>
      </c>
      <c r="M107" s="43">
        <f t="shared" si="38"/>
        <v>0.20102662050853526</v>
      </c>
      <c r="N107" s="43">
        <f t="shared" si="38"/>
        <v>1.1937447773665989E-3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0.13544001195278649</v>
      </c>
      <c r="D108" s="44">
        <f t="shared" ref="D108:N108" si="39">D106/$O$106</f>
        <v>0.10944270132974748</v>
      </c>
      <c r="E108" s="44">
        <f t="shared" si="39"/>
        <v>0.27274764679515917</v>
      </c>
      <c r="F108" s="44">
        <f t="shared" si="39"/>
        <v>0.1180337666218437</v>
      </c>
      <c r="G108" s="44">
        <f t="shared" si="39"/>
        <v>2.9881966233378143E-3</v>
      </c>
      <c r="H108" s="44">
        <f t="shared" si="39"/>
        <v>8.1951292395039593E-2</v>
      </c>
      <c r="I108" s="44">
        <f t="shared" si="39"/>
        <v>0.14178992977737931</v>
      </c>
      <c r="J108" s="44">
        <f t="shared" si="39"/>
        <v>2.5549081129538322E-2</v>
      </c>
      <c r="K108" s="44">
        <f t="shared" si="39"/>
        <v>8.9645898700134469E-3</v>
      </c>
      <c r="L108" s="44">
        <f t="shared" si="39"/>
        <v>0.10159868519348572</v>
      </c>
      <c r="M108" s="44"/>
      <c r="N108" s="44">
        <f t="shared" si="39"/>
        <v>1.4940983116689074E-3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I58" zoomScale="60" workbookViewId="0">
      <selection activeCell="AC84" sqref="AC83:AC8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e">
        <f>#REF!</f>
        <v>#REF!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3" t="s">
        <v>163</v>
      </c>
      <c r="E5" s="74"/>
      <c r="F5" s="41" t="s">
        <v>1</v>
      </c>
      <c r="G5" s="71" t="e">
        <f>#REF!</f>
        <v>#REF!</v>
      </c>
      <c r="H5" s="72"/>
      <c r="I5" s="14"/>
      <c r="J5" s="2" t="s">
        <v>5</v>
      </c>
      <c r="K5" s="71" t="e">
        <f>#REF!</f>
        <v>#REF!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e">
        <f>#REF!</f>
        <v>#REF!</v>
      </c>
      <c r="E6" s="72"/>
      <c r="F6" s="2" t="s">
        <v>2</v>
      </c>
      <c r="G6" s="71" t="e">
        <f>#REF!</f>
        <v>#REF!</v>
      </c>
      <c r="H6" s="72"/>
      <c r="J6" s="2" t="s">
        <v>21</v>
      </c>
      <c r="K6" s="71" t="e">
        <f>#REF!</f>
        <v>#REF!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Kigumba-Karuma'!C10,'30.07 Kigumba-Karuma'!C10,'31.07 Kigumba-Karuma'!C10,'01.08 Kigumba-Karuma'!C10,'02.08 Kigumba-Karuma-24h'!C10,'03.08 Kigumba-Karuma-24h'!C10,'04.08 Kigumba-Karuma'!C10)</f>
        <v>0.8571428571428571</v>
      </c>
      <c r="D10" s="49">
        <f>AVERAGE('29.07 Kigumba-Karuma'!D10,'30.07 Kigumba-Karuma'!D10,'31.07 Kigumba-Karuma'!D10,'01.08 Kigumba-Karuma'!D10,'02.08 Kigumba-Karuma-24h'!D10,'03.08 Kigumba-Karuma-24h'!D10,'04.08 Kigumba-Karuma'!D10)</f>
        <v>0.2857142857142857</v>
      </c>
      <c r="E10" s="49">
        <f>AVERAGE('29.07 Kigumba-Karuma'!E10,'30.07 Kigumba-Karuma'!E10,'31.07 Kigumba-Karuma'!E10,'01.08 Kigumba-Karuma'!E10,'02.08 Kigumba-Karuma-24h'!E10,'03.08 Kigumba-Karuma-24h'!E10,'04.08 Kigumba-Karuma'!E10)</f>
        <v>0.8571428571428571</v>
      </c>
      <c r="F10" s="49">
        <f>AVERAGE('29.07 Kigumba-Karuma'!F10,'30.07 Kigumba-Karuma'!F10,'31.07 Kigumba-Karuma'!F10,'01.08 Kigumba-Karuma'!F10,'02.08 Kigumba-Karuma-24h'!F10,'03.08 Kigumba-Karuma-24h'!F10,'04.08 Kigumba-Karuma'!F10)</f>
        <v>0.42857142857142855</v>
      </c>
      <c r="G10" s="49">
        <f>AVERAGE('29.07 Kigumba-Karuma'!G10,'30.07 Kigumba-Karuma'!G10,'31.07 Kigumba-Karuma'!G10,'01.08 Kigumba-Karuma'!G10,'02.08 Kigumba-Karuma-24h'!G10,'03.08 Kigumba-Karuma-24h'!G10,'04.08 Kigumba-Karuma'!G10)</f>
        <v>0</v>
      </c>
      <c r="H10" s="49">
        <f>AVERAGE('29.07 Kigumba-Karuma'!H10,'30.07 Kigumba-Karuma'!H10,'31.07 Kigumba-Karuma'!H10,'01.08 Kigumba-Karuma'!H10,'02.08 Kigumba-Karuma-24h'!H10,'03.08 Kigumba-Karuma-24h'!H10,'04.08 Kigumba-Karuma'!H10)</f>
        <v>0</v>
      </c>
      <c r="I10" s="49">
        <f>AVERAGE('29.07 Kigumba-Karuma'!I10,'30.07 Kigumba-Karuma'!I10,'31.07 Kigumba-Karuma'!I10,'01.08 Kigumba-Karuma'!I10,'02.08 Kigumba-Karuma-24h'!I10,'03.08 Kigumba-Karuma-24h'!I10,'04.08 Kigumba-Karuma'!I10)</f>
        <v>2.2857142857142856</v>
      </c>
      <c r="J10" s="49">
        <f>AVERAGE('29.07 Kigumba-Karuma'!J10,'30.07 Kigumba-Karuma'!J10,'31.07 Kigumba-Karuma'!J10,'01.08 Kigumba-Karuma'!J10,'02.08 Kigumba-Karuma-24h'!J10,'03.08 Kigumba-Karuma-24h'!J10,'04.08 Kigumba-Karuma'!J10)</f>
        <v>0.42857142857142855</v>
      </c>
      <c r="K10" s="49">
        <f>AVERAGE('29.07 Kigumba-Karuma'!K10,'30.07 Kigumba-Karuma'!K10,'31.07 Kigumba-Karuma'!K10,'01.08 Kigumba-Karuma'!K10,'02.08 Kigumba-Karuma-24h'!K10,'03.08 Kigumba-Karuma-24h'!K10,'04.08 Kigumba-Karuma'!K10)</f>
        <v>0.14285714285714285</v>
      </c>
      <c r="L10" s="49">
        <f>AVERAGE('29.07 Kigumba-Karuma'!L10,'30.07 Kigumba-Karuma'!L10,'31.07 Kigumba-Karuma'!L10,'01.08 Kigumba-Karuma'!L10,'02.08 Kigumba-Karuma-24h'!L10,'03.08 Kigumba-Karuma-24h'!L10,'04.08 Kigumba-Karuma'!L10)</f>
        <v>3.1428571428571428</v>
      </c>
      <c r="M10" s="49">
        <f>AVERAGE('29.07 Kigumba-Karuma'!M10,'30.07 Kigumba-Karuma'!M10,'31.07 Kigumba-Karuma'!M10,'01.08 Kigumba-Karuma'!M10,'02.08 Kigumba-Karuma-24h'!M10,'03.08 Kigumba-Karuma-24h'!M10,'04.08 Kigumba-Karuma'!M10)</f>
        <v>2.1428571428571428</v>
      </c>
      <c r="N10" s="49">
        <f>AVERAGE('29.07 Kigumba-Karuma'!N10,'30.07 Kigumba-Karuma'!N10,'31.07 Kigumba-Karuma'!N10,'01.08 Kigumba-Karuma'!N10,'02.08 Kigumba-Karuma-24h'!N10,'03.08 Kigumba-Karuma-24h'!N10,'04.08 Kigumba-Karuma'!N10)</f>
        <v>0</v>
      </c>
      <c r="O10" s="15">
        <f t="shared" ref="O10:O73" si="0">SUM(C10:L10,N10)</f>
        <v>8.4285714285714288</v>
      </c>
      <c r="P10" s="15">
        <f t="shared" ref="P10:P73" si="1">SUM(C10:N10)</f>
        <v>10.571428571428571</v>
      </c>
      <c r="R10" s="1" t="s">
        <v>6</v>
      </c>
      <c r="S10" s="17">
        <f t="shared" ref="S10:AF10" si="2">SUM(C10:C13)</f>
        <v>3.5714285714285716</v>
      </c>
      <c r="T10" s="17">
        <f t="shared" si="2"/>
        <v>2.7142857142857144</v>
      </c>
      <c r="U10" s="17">
        <f t="shared" si="2"/>
        <v>6.5714285714285712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1.2857142857142856</v>
      </c>
      <c r="AA10" s="17">
        <f t="shared" si="2"/>
        <v>0.2857142857142857</v>
      </c>
      <c r="AB10" s="17">
        <f t="shared" si="2"/>
        <v>8.7142857142857135</v>
      </c>
      <c r="AC10" s="17">
        <f t="shared" si="2"/>
        <v>9</v>
      </c>
      <c r="AD10" s="17">
        <f t="shared" si="2"/>
        <v>0</v>
      </c>
      <c r="AE10" s="31">
        <f t="shared" si="2"/>
        <v>33.142857142857146</v>
      </c>
      <c r="AF10" s="31">
        <f t="shared" si="2"/>
        <v>42.142857142857146</v>
      </c>
    </row>
    <row r="11" spans="2:32" s="6" customFormat="1" ht="23.1" customHeight="1" x14ac:dyDescent="0.25">
      <c r="B11" s="23" t="s">
        <v>38</v>
      </c>
      <c r="C11" s="49">
        <f>AVERAGE('29.07 Kigumba-Karuma'!C11,'30.07 Kigumba-Karuma'!C11,'31.07 Kigumba-Karuma'!C11,'01.08 Kigumba-Karuma'!C11,'02.08 Kigumba-Karuma-24h'!C11,'03.08 Kigumba-Karuma-24h'!C11,'04.08 Kigumba-Karuma'!C11)</f>
        <v>0.8571428571428571</v>
      </c>
      <c r="D11" s="49">
        <f>AVERAGE('29.07 Kigumba-Karuma'!D11,'30.07 Kigumba-Karuma'!D11,'31.07 Kigumba-Karuma'!D11,'01.08 Kigumba-Karuma'!D11,'02.08 Kigumba-Karuma-24h'!D11,'03.08 Kigumba-Karuma-24h'!D11,'04.08 Kigumba-Karuma'!D11)</f>
        <v>0.5714285714285714</v>
      </c>
      <c r="E11" s="49">
        <f>AVERAGE('29.07 Kigumba-Karuma'!E11,'30.07 Kigumba-Karuma'!E11,'31.07 Kigumba-Karuma'!E11,'01.08 Kigumba-Karuma'!E11,'02.08 Kigumba-Karuma-24h'!E11,'03.08 Kigumba-Karuma-24h'!E11,'04.08 Kigumba-Karuma'!E11)</f>
        <v>1.7142857142857142</v>
      </c>
      <c r="F11" s="49">
        <f>AVERAGE('29.07 Kigumba-Karuma'!F11,'30.07 Kigumba-Karuma'!F11,'31.07 Kigumba-Karuma'!F11,'01.08 Kigumba-Karuma'!F11,'02.08 Kigumba-Karuma-24h'!F11,'03.08 Kigumba-Karuma-24h'!F11,'04.08 Kigumba-Karuma'!F11)</f>
        <v>0.7142857142857143</v>
      </c>
      <c r="G11" s="49">
        <f>AVERAGE('29.07 Kigumba-Karuma'!G11,'30.07 Kigumba-Karuma'!G11,'31.07 Kigumba-Karuma'!G11,'01.08 Kigumba-Karuma'!G11,'02.08 Kigumba-Karuma-24h'!G11,'03.08 Kigumba-Karuma-24h'!G11,'04.08 Kigumba-Karuma'!G11)</f>
        <v>0</v>
      </c>
      <c r="H11" s="49">
        <f>AVERAGE('29.07 Kigumba-Karuma'!H11,'30.07 Kigumba-Karuma'!H11,'31.07 Kigumba-Karuma'!H11,'01.08 Kigumba-Karuma'!H11,'02.08 Kigumba-Karuma-24h'!H11,'03.08 Kigumba-Karuma-24h'!H11,'04.08 Kigumba-Karuma'!H11)</f>
        <v>0</v>
      </c>
      <c r="I11" s="49">
        <f>AVERAGE('29.07 Kigumba-Karuma'!I11,'30.07 Kigumba-Karuma'!I11,'31.07 Kigumba-Karuma'!I11,'01.08 Kigumba-Karuma'!I11,'02.08 Kigumba-Karuma-24h'!I11,'03.08 Kigumba-Karuma-24h'!I11,'04.08 Kigumba-Karuma'!I11)</f>
        <v>1.4285714285714286</v>
      </c>
      <c r="J11" s="49">
        <f>AVERAGE('29.07 Kigumba-Karuma'!J11,'30.07 Kigumba-Karuma'!J11,'31.07 Kigumba-Karuma'!J11,'01.08 Kigumba-Karuma'!J11,'02.08 Kigumba-Karuma-24h'!J11,'03.08 Kigumba-Karuma-24h'!J11,'04.08 Kigumba-Karuma'!J11)</f>
        <v>0.5714285714285714</v>
      </c>
      <c r="K11" s="49">
        <f>AVERAGE('29.07 Kigumba-Karuma'!K11,'30.07 Kigumba-Karuma'!K11,'31.07 Kigumba-Karuma'!K11,'01.08 Kigumba-Karuma'!K11,'02.08 Kigumba-Karuma-24h'!K11,'03.08 Kigumba-Karuma-24h'!K11,'04.08 Kigumba-Karuma'!K11)</f>
        <v>0</v>
      </c>
      <c r="L11" s="49">
        <f>AVERAGE('29.07 Kigumba-Karuma'!L11,'30.07 Kigumba-Karuma'!L11,'31.07 Kigumba-Karuma'!L11,'01.08 Kigumba-Karuma'!L11,'02.08 Kigumba-Karuma-24h'!L11,'03.08 Kigumba-Karuma-24h'!L11,'04.08 Kigumba-Karuma'!L11)</f>
        <v>1.1428571428571428</v>
      </c>
      <c r="M11" s="49">
        <f>AVERAGE('29.07 Kigumba-Karuma'!M11,'30.07 Kigumba-Karuma'!M11,'31.07 Kigumba-Karuma'!M11,'01.08 Kigumba-Karuma'!M11,'02.08 Kigumba-Karuma-24h'!M11,'03.08 Kigumba-Karuma-24h'!M11,'04.08 Kigumba-Karuma'!M11)</f>
        <v>1.1428571428571428</v>
      </c>
      <c r="N11" s="49">
        <f>AVERAGE('29.07 Kigumba-Karuma'!N11,'30.07 Kigumba-Karuma'!N11,'31.07 Kigumba-Karuma'!N11,'01.08 Kigumba-Karuma'!N11,'02.08 Kigumba-Karuma-24h'!N11,'03.08 Kigumba-Karuma-24h'!N11,'04.08 Kigumba-Karuma'!N11)</f>
        <v>0</v>
      </c>
      <c r="O11" s="15">
        <f t="shared" si="0"/>
        <v>7</v>
      </c>
      <c r="P11" s="15">
        <f t="shared" si="1"/>
        <v>8.1428571428571423</v>
      </c>
      <c r="R11" s="1" t="s">
        <v>7</v>
      </c>
      <c r="S11" s="17">
        <f t="shared" ref="S11:AF11" si="3">SUM(C14:C17)</f>
        <v>5.5714285714285712</v>
      </c>
      <c r="T11" s="17">
        <f t="shared" si="3"/>
        <v>5.8571428571428568</v>
      </c>
      <c r="U11" s="17">
        <f t="shared" si="3"/>
        <v>10.428571428571427</v>
      </c>
      <c r="V11" s="17">
        <f t="shared" si="3"/>
        <v>4.1428571428571432</v>
      </c>
      <c r="W11" s="17">
        <f t="shared" si="3"/>
        <v>0</v>
      </c>
      <c r="X11" s="17">
        <f t="shared" si="3"/>
        <v>0.2857142857142857</v>
      </c>
      <c r="Y11" s="17">
        <f t="shared" si="3"/>
        <v>7.7142857142857135</v>
      </c>
      <c r="Z11" s="17">
        <f t="shared" si="3"/>
        <v>1.4285714285714284</v>
      </c>
      <c r="AA11" s="17">
        <f t="shared" si="3"/>
        <v>0.2857142857142857</v>
      </c>
      <c r="AB11" s="17">
        <f t="shared" si="3"/>
        <v>3.7142857142857144</v>
      </c>
      <c r="AC11" s="17">
        <f t="shared" si="3"/>
        <v>11.142857142857142</v>
      </c>
      <c r="AD11" s="17">
        <f t="shared" si="3"/>
        <v>0.14285714285714285</v>
      </c>
      <c r="AE11" s="31">
        <f t="shared" si="3"/>
        <v>39.571428571428569</v>
      </c>
      <c r="AF11" s="31">
        <f t="shared" si="3"/>
        <v>50.714285714285708</v>
      </c>
    </row>
    <row r="12" spans="2:32" ht="23.1" customHeight="1" x14ac:dyDescent="0.25">
      <c r="B12" s="23" t="s">
        <v>39</v>
      </c>
      <c r="C12" s="49">
        <f>AVERAGE('29.07 Kigumba-Karuma'!C12,'30.07 Kigumba-Karuma'!C12,'31.07 Kigumba-Karuma'!C12,'01.08 Kigumba-Karuma'!C12,'02.08 Kigumba-Karuma-24h'!C12,'03.08 Kigumba-Karuma-24h'!C12,'04.08 Kigumba-Karuma'!C12)</f>
        <v>1</v>
      </c>
      <c r="D12" s="49">
        <f>AVERAGE('29.07 Kigumba-Karuma'!D12,'30.07 Kigumba-Karuma'!D12,'31.07 Kigumba-Karuma'!D12,'01.08 Kigumba-Karuma'!D12,'02.08 Kigumba-Karuma-24h'!D12,'03.08 Kigumba-Karuma-24h'!D12,'04.08 Kigumba-Karuma'!D12)</f>
        <v>0.7142857142857143</v>
      </c>
      <c r="E12" s="49">
        <f>AVERAGE('29.07 Kigumba-Karuma'!E12,'30.07 Kigumba-Karuma'!E12,'31.07 Kigumba-Karuma'!E12,'01.08 Kigumba-Karuma'!E12,'02.08 Kigumba-Karuma-24h'!E12,'03.08 Kigumba-Karuma-24h'!E12,'04.08 Kigumba-Karuma'!E12)</f>
        <v>1.7142857142857142</v>
      </c>
      <c r="F12" s="49">
        <f>AVERAGE('29.07 Kigumba-Karuma'!F12,'30.07 Kigumba-Karuma'!F12,'31.07 Kigumba-Karuma'!F12,'01.08 Kigumba-Karuma'!F12,'02.08 Kigumba-Karuma-24h'!F12,'03.08 Kigumba-Karuma-24h'!F12,'04.08 Kigumba-Karuma'!F12)</f>
        <v>0.8571428571428571</v>
      </c>
      <c r="G12" s="49">
        <f>AVERAGE('29.07 Kigumba-Karuma'!G12,'30.07 Kigumba-Karuma'!G12,'31.07 Kigumba-Karuma'!G12,'01.08 Kigumba-Karuma'!G12,'02.08 Kigumba-Karuma-24h'!G12,'03.08 Kigumba-Karuma-24h'!G12,'04.08 Kigumba-Karuma'!G12)</f>
        <v>0</v>
      </c>
      <c r="H12" s="49">
        <f>AVERAGE('29.07 Kigumba-Karuma'!H12,'30.07 Kigumba-Karuma'!H12,'31.07 Kigumba-Karuma'!H12,'01.08 Kigumba-Karuma'!H12,'02.08 Kigumba-Karuma-24h'!H12,'03.08 Kigumba-Karuma-24h'!H12,'04.08 Kigumba-Karuma'!H12)</f>
        <v>0</v>
      </c>
      <c r="I12" s="49">
        <f>AVERAGE('29.07 Kigumba-Karuma'!I12,'30.07 Kigumba-Karuma'!I12,'31.07 Kigumba-Karuma'!I12,'01.08 Kigumba-Karuma'!I12,'02.08 Kigumba-Karuma-24h'!I12,'03.08 Kigumba-Karuma-24h'!I12,'04.08 Kigumba-Karuma'!I12)</f>
        <v>1.4285714285714286</v>
      </c>
      <c r="J12" s="49">
        <f>AVERAGE('29.07 Kigumba-Karuma'!J12,'30.07 Kigumba-Karuma'!J12,'31.07 Kigumba-Karuma'!J12,'01.08 Kigumba-Karuma'!J12,'02.08 Kigumba-Karuma-24h'!J12,'03.08 Kigumba-Karuma-24h'!J12,'04.08 Kigumba-Karuma'!J12)</f>
        <v>0.14285714285714285</v>
      </c>
      <c r="K12" s="49">
        <f>AVERAGE('29.07 Kigumba-Karuma'!K12,'30.07 Kigumba-Karuma'!K12,'31.07 Kigumba-Karuma'!K12,'01.08 Kigumba-Karuma'!K12,'02.08 Kigumba-Karuma-24h'!K12,'03.08 Kigumba-Karuma-24h'!K12,'04.08 Kigumba-Karuma'!K12)</f>
        <v>0</v>
      </c>
      <c r="L12" s="49">
        <f>AVERAGE('29.07 Kigumba-Karuma'!L12,'30.07 Kigumba-Karuma'!L12,'31.07 Kigumba-Karuma'!L12,'01.08 Kigumba-Karuma'!L12,'02.08 Kigumba-Karuma-24h'!L12,'03.08 Kigumba-Karuma-24h'!L12,'04.08 Kigumba-Karuma'!L12)</f>
        <v>1.5714285714285714</v>
      </c>
      <c r="M12" s="49">
        <f>AVERAGE('29.07 Kigumba-Karuma'!M12,'30.07 Kigumba-Karuma'!M12,'31.07 Kigumba-Karuma'!M12,'01.08 Kigumba-Karuma'!M12,'02.08 Kigumba-Karuma-24h'!M12,'03.08 Kigumba-Karuma-24h'!M12,'04.08 Kigumba-Karuma'!M12)</f>
        <v>2.4285714285714284</v>
      </c>
      <c r="N12" s="49">
        <f>AVERAGE('29.07 Kigumba-Karuma'!N12,'30.07 Kigumba-Karuma'!N12,'31.07 Kigumba-Karuma'!N12,'01.08 Kigumba-Karuma'!N12,'02.08 Kigumba-Karuma-24h'!N12,'03.08 Kigumba-Karuma-24h'!N12,'04.08 Kigumba-Karuma'!N12)</f>
        <v>0</v>
      </c>
      <c r="O12" s="15">
        <f t="shared" si="0"/>
        <v>7.4285714285714288</v>
      </c>
      <c r="P12" s="15">
        <f t="shared" si="1"/>
        <v>9.8571428571428577</v>
      </c>
      <c r="R12" s="1" t="s">
        <v>8</v>
      </c>
      <c r="S12" s="17">
        <f t="shared" ref="S12:AF12" si="4">SUM(C18:C21)</f>
        <v>6.5714285714285712</v>
      </c>
      <c r="T12" s="17">
        <f t="shared" si="4"/>
        <v>6.1428571428571423</v>
      </c>
      <c r="U12" s="17">
        <f t="shared" si="4"/>
        <v>11</v>
      </c>
      <c r="V12" s="17">
        <f t="shared" si="4"/>
        <v>7.1428571428571423</v>
      </c>
      <c r="W12" s="17">
        <f t="shared" si="4"/>
        <v>0.2857142857142857</v>
      </c>
      <c r="X12" s="17">
        <f t="shared" si="4"/>
        <v>0.14285714285714285</v>
      </c>
      <c r="Y12" s="17">
        <f t="shared" si="4"/>
        <v>3.8571428571428568</v>
      </c>
      <c r="Z12" s="17">
        <f t="shared" si="4"/>
        <v>0.42857142857142855</v>
      </c>
      <c r="AA12" s="17">
        <f t="shared" si="4"/>
        <v>0.14285714285714285</v>
      </c>
      <c r="AB12" s="17">
        <f t="shared" si="4"/>
        <v>2.9999999999999996</v>
      </c>
      <c r="AC12" s="17">
        <f t="shared" si="4"/>
        <v>11.285714285714286</v>
      </c>
      <c r="AD12" s="17">
        <f t="shared" si="4"/>
        <v>0</v>
      </c>
      <c r="AE12" s="31">
        <f t="shared" si="4"/>
        <v>38.714285714285715</v>
      </c>
      <c r="AF12" s="31">
        <f t="shared" si="4"/>
        <v>50</v>
      </c>
    </row>
    <row r="13" spans="2:32" ht="23.1" customHeight="1" x14ac:dyDescent="0.25">
      <c r="B13" s="23" t="s">
        <v>40</v>
      </c>
      <c r="C13" s="49">
        <f>AVERAGE('29.07 Kigumba-Karuma'!C13,'30.07 Kigumba-Karuma'!C13,'31.07 Kigumba-Karuma'!C13,'01.08 Kigumba-Karuma'!C13,'02.08 Kigumba-Karuma-24h'!C13,'03.08 Kigumba-Karuma-24h'!C13,'04.08 Kigumba-Karuma'!C13)</f>
        <v>0.8571428571428571</v>
      </c>
      <c r="D13" s="49">
        <f>AVERAGE('29.07 Kigumba-Karuma'!D13,'30.07 Kigumba-Karuma'!D13,'31.07 Kigumba-Karuma'!D13,'01.08 Kigumba-Karuma'!D13,'02.08 Kigumba-Karuma-24h'!D13,'03.08 Kigumba-Karuma-24h'!D13,'04.08 Kigumba-Karuma'!D13)</f>
        <v>1.1428571428571428</v>
      </c>
      <c r="E13" s="49">
        <f>AVERAGE('29.07 Kigumba-Karuma'!E13,'30.07 Kigumba-Karuma'!E13,'31.07 Kigumba-Karuma'!E13,'01.08 Kigumba-Karuma'!E13,'02.08 Kigumba-Karuma-24h'!E13,'03.08 Kigumba-Karuma-24h'!E13,'04.08 Kigumba-Karuma'!E13)</f>
        <v>2.2857142857142856</v>
      </c>
      <c r="F13" s="49">
        <f>AVERAGE('29.07 Kigumba-Karuma'!F13,'30.07 Kigumba-Karuma'!F13,'31.07 Kigumba-Karuma'!F13,'01.08 Kigumba-Karuma'!F13,'02.08 Kigumba-Karuma-24h'!F13,'03.08 Kigumba-Karuma-24h'!F13,'04.08 Kigumba-Karuma'!F13)</f>
        <v>1</v>
      </c>
      <c r="G13" s="49">
        <f>AVERAGE('29.07 Kigumba-Karuma'!G13,'30.07 Kigumba-Karuma'!G13,'31.07 Kigumba-Karuma'!G13,'01.08 Kigumba-Karuma'!G13,'02.08 Kigumba-Karuma-24h'!G13,'03.08 Kigumba-Karuma-24h'!G13,'04.08 Kigumba-Karuma'!G13)</f>
        <v>0</v>
      </c>
      <c r="H13" s="49">
        <f>AVERAGE('29.07 Kigumba-Karuma'!H13,'30.07 Kigumba-Karuma'!H13,'31.07 Kigumba-Karuma'!H13,'01.08 Kigumba-Karuma'!H13,'02.08 Kigumba-Karuma-24h'!H13,'03.08 Kigumba-Karuma-24h'!H13,'04.08 Kigumba-Karuma'!H13)</f>
        <v>0</v>
      </c>
      <c r="I13" s="49">
        <f>AVERAGE('29.07 Kigumba-Karuma'!I13,'30.07 Kigumba-Karuma'!I13,'31.07 Kigumba-Karuma'!I13,'01.08 Kigumba-Karuma'!I13,'02.08 Kigumba-Karuma-24h'!I13,'03.08 Kigumba-Karuma-24h'!I13,'04.08 Kigumba-Karuma'!I13)</f>
        <v>1.8571428571428572</v>
      </c>
      <c r="J13" s="49">
        <f>AVERAGE('29.07 Kigumba-Karuma'!J13,'30.07 Kigumba-Karuma'!J13,'31.07 Kigumba-Karuma'!J13,'01.08 Kigumba-Karuma'!J13,'02.08 Kigumba-Karuma-24h'!J13,'03.08 Kigumba-Karuma-24h'!J13,'04.08 Kigumba-Karuma'!J13)</f>
        <v>0.14285714285714285</v>
      </c>
      <c r="K13" s="49">
        <f>AVERAGE('29.07 Kigumba-Karuma'!K13,'30.07 Kigumba-Karuma'!K13,'31.07 Kigumba-Karuma'!K13,'01.08 Kigumba-Karuma'!K13,'02.08 Kigumba-Karuma-24h'!K13,'03.08 Kigumba-Karuma-24h'!K13,'04.08 Kigumba-Karuma'!K13)</f>
        <v>0.14285714285714285</v>
      </c>
      <c r="L13" s="49">
        <f>AVERAGE('29.07 Kigumba-Karuma'!L13,'30.07 Kigumba-Karuma'!L13,'31.07 Kigumba-Karuma'!L13,'01.08 Kigumba-Karuma'!L13,'02.08 Kigumba-Karuma-24h'!L13,'03.08 Kigumba-Karuma-24h'!L13,'04.08 Kigumba-Karuma'!L13)</f>
        <v>2.8571428571428572</v>
      </c>
      <c r="M13" s="49">
        <f>AVERAGE('29.07 Kigumba-Karuma'!M13,'30.07 Kigumba-Karuma'!M13,'31.07 Kigumba-Karuma'!M13,'01.08 Kigumba-Karuma'!M13,'02.08 Kigumba-Karuma-24h'!M13,'03.08 Kigumba-Karuma-24h'!M13,'04.08 Kigumba-Karuma'!M13)</f>
        <v>3.2857142857142856</v>
      </c>
      <c r="N13" s="49">
        <f>AVERAGE('29.07 Kigumba-Karuma'!N13,'30.07 Kigumba-Karuma'!N13,'31.07 Kigumba-Karuma'!N13,'01.08 Kigumba-Karuma'!N13,'02.08 Kigumba-Karuma-24h'!N13,'03.08 Kigumba-Karuma-24h'!N13,'04.08 Kigumba-Karuma'!N13)</f>
        <v>0</v>
      </c>
      <c r="O13" s="15">
        <f t="shared" si="0"/>
        <v>10.285714285714286</v>
      </c>
      <c r="P13" s="15">
        <f t="shared" si="1"/>
        <v>13.571428571428573</v>
      </c>
      <c r="R13" s="1" t="s">
        <v>9</v>
      </c>
      <c r="S13" s="17">
        <f t="shared" ref="S13:AF13" si="5">SUM(C22:C25)</f>
        <v>4.2857142857142856</v>
      </c>
      <c r="T13" s="17">
        <f t="shared" si="5"/>
        <v>6</v>
      </c>
      <c r="U13" s="17">
        <f t="shared" si="5"/>
        <v>11.142857142857144</v>
      </c>
      <c r="V13" s="17">
        <f t="shared" si="5"/>
        <v>8.5714285714285712</v>
      </c>
      <c r="W13" s="17">
        <f t="shared" si="5"/>
        <v>0.14285714285714285</v>
      </c>
      <c r="X13" s="17">
        <f t="shared" si="5"/>
        <v>3</v>
      </c>
      <c r="Y13" s="17">
        <f t="shared" si="5"/>
        <v>5.7142857142857135</v>
      </c>
      <c r="Z13" s="17">
        <f t="shared" si="5"/>
        <v>0.85714285714285698</v>
      </c>
      <c r="AA13" s="17">
        <f t="shared" si="5"/>
        <v>0.14285714285714285</v>
      </c>
      <c r="AB13" s="17">
        <f t="shared" si="5"/>
        <v>2.1428571428571428</v>
      </c>
      <c r="AC13" s="17">
        <f t="shared" si="5"/>
        <v>15.285714285714286</v>
      </c>
      <c r="AD13" s="17">
        <f t="shared" si="5"/>
        <v>0</v>
      </c>
      <c r="AE13" s="31">
        <f t="shared" si="5"/>
        <v>41.999999999999993</v>
      </c>
      <c r="AF13" s="31">
        <f t="shared" si="5"/>
        <v>57.285714285714285</v>
      </c>
    </row>
    <row r="14" spans="2:32" ht="23.1" customHeight="1" x14ac:dyDescent="0.25">
      <c r="B14" s="23" t="s">
        <v>41</v>
      </c>
      <c r="C14" s="49">
        <f>AVERAGE('29.07 Kigumba-Karuma'!C14,'30.07 Kigumba-Karuma'!C14,'31.07 Kigumba-Karuma'!C14,'01.08 Kigumba-Karuma'!C14,'02.08 Kigumba-Karuma-24h'!C14,'03.08 Kigumba-Karuma-24h'!C14,'04.08 Kigumba-Karuma'!C14)</f>
        <v>1.2857142857142858</v>
      </c>
      <c r="D14" s="49">
        <f>AVERAGE('29.07 Kigumba-Karuma'!D14,'30.07 Kigumba-Karuma'!D14,'31.07 Kigumba-Karuma'!D14,'01.08 Kigumba-Karuma'!D14,'02.08 Kigumba-Karuma-24h'!D14,'03.08 Kigumba-Karuma-24h'!D14,'04.08 Kigumba-Karuma'!D14)</f>
        <v>1.2857142857142858</v>
      </c>
      <c r="E14" s="49">
        <f>AVERAGE('29.07 Kigumba-Karuma'!E14,'30.07 Kigumba-Karuma'!E14,'31.07 Kigumba-Karuma'!E14,'01.08 Kigumba-Karuma'!E14,'02.08 Kigumba-Karuma-24h'!E14,'03.08 Kigumba-Karuma-24h'!E14,'04.08 Kigumba-Karuma'!E14)</f>
        <v>2</v>
      </c>
      <c r="F14" s="49">
        <f>AVERAGE('29.07 Kigumba-Karuma'!F14,'30.07 Kigumba-Karuma'!F14,'31.07 Kigumba-Karuma'!F14,'01.08 Kigumba-Karuma'!F14,'02.08 Kigumba-Karuma-24h'!F14,'03.08 Kigumba-Karuma-24h'!F14,'04.08 Kigumba-Karuma'!F14)</f>
        <v>0.42857142857142855</v>
      </c>
      <c r="G14" s="49">
        <f>AVERAGE('29.07 Kigumba-Karuma'!G14,'30.07 Kigumba-Karuma'!G14,'31.07 Kigumba-Karuma'!G14,'01.08 Kigumba-Karuma'!G14,'02.08 Kigumba-Karuma-24h'!G14,'03.08 Kigumba-Karuma-24h'!G14,'04.08 Kigumba-Karuma'!G14)</f>
        <v>0</v>
      </c>
      <c r="H14" s="49">
        <f>AVERAGE('29.07 Kigumba-Karuma'!H14,'30.07 Kigumba-Karuma'!H14,'31.07 Kigumba-Karuma'!H14,'01.08 Kigumba-Karuma'!H14,'02.08 Kigumba-Karuma-24h'!H14,'03.08 Kigumba-Karuma-24h'!H14,'04.08 Kigumba-Karuma'!H14)</f>
        <v>0</v>
      </c>
      <c r="I14" s="49">
        <f>AVERAGE('29.07 Kigumba-Karuma'!I14,'30.07 Kigumba-Karuma'!I14,'31.07 Kigumba-Karuma'!I14,'01.08 Kigumba-Karuma'!I14,'02.08 Kigumba-Karuma-24h'!I14,'03.08 Kigumba-Karuma-24h'!I14,'04.08 Kigumba-Karuma'!I14)</f>
        <v>2.4285714285714284</v>
      </c>
      <c r="J14" s="49">
        <f>AVERAGE('29.07 Kigumba-Karuma'!J14,'30.07 Kigumba-Karuma'!J14,'31.07 Kigumba-Karuma'!J14,'01.08 Kigumba-Karuma'!J14,'02.08 Kigumba-Karuma-24h'!J14,'03.08 Kigumba-Karuma-24h'!J14,'04.08 Kigumba-Karuma'!J14)</f>
        <v>0.42857142857142855</v>
      </c>
      <c r="K14" s="49">
        <f>AVERAGE('29.07 Kigumba-Karuma'!K14,'30.07 Kigumba-Karuma'!K14,'31.07 Kigumba-Karuma'!K14,'01.08 Kigumba-Karuma'!K14,'02.08 Kigumba-Karuma-24h'!K14,'03.08 Kigumba-Karuma-24h'!K14,'04.08 Kigumba-Karuma'!K14)</f>
        <v>0.14285714285714285</v>
      </c>
      <c r="L14" s="49">
        <f>AVERAGE('29.07 Kigumba-Karuma'!L14,'30.07 Kigumba-Karuma'!L14,'31.07 Kigumba-Karuma'!L14,'01.08 Kigumba-Karuma'!L14,'02.08 Kigumba-Karuma-24h'!L14,'03.08 Kigumba-Karuma-24h'!L14,'04.08 Kigumba-Karuma'!L14)</f>
        <v>1.1428571428571428</v>
      </c>
      <c r="M14" s="49">
        <f>AVERAGE('29.07 Kigumba-Karuma'!M14,'30.07 Kigumba-Karuma'!M14,'31.07 Kigumba-Karuma'!M14,'01.08 Kigumba-Karuma'!M14,'02.08 Kigumba-Karuma-24h'!M14,'03.08 Kigumba-Karuma-24h'!M14,'04.08 Kigumba-Karuma'!M14)</f>
        <v>2.7142857142857144</v>
      </c>
      <c r="N14" s="49">
        <f>AVERAGE('29.07 Kigumba-Karuma'!N14,'30.07 Kigumba-Karuma'!N14,'31.07 Kigumba-Karuma'!N14,'01.08 Kigumba-Karuma'!N14,'02.08 Kigumba-Karuma-24h'!N14,'03.08 Kigumba-Karuma-24h'!N14,'04.08 Kigumba-Karuma'!N14)</f>
        <v>0</v>
      </c>
      <c r="O14" s="15">
        <f t="shared" si="0"/>
        <v>9.1428571428571423</v>
      </c>
      <c r="P14" s="15">
        <f t="shared" si="1"/>
        <v>11.857142857142858</v>
      </c>
      <c r="R14" s="1" t="s">
        <v>10</v>
      </c>
      <c r="S14" s="17">
        <f t="shared" ref="S14:AF14" si="6">SUM(C26:C29)</f>
        <v>8.1428571428571441</v>
      </c>
      <c r="T14" s="17">
        <f t="shared" si="6"/>
        <v>5.8571428571428577</v>
      </c>
      <c r="U14" s="17">
        <f t="shared" si="6"/>
        <v>10.714285714285714</v>
      </c>
      <c r="V14" s="17">
        <f t="shared" si="6"/>
        <v>7.5714285714285712</v>
      </c>
      <c r="W14" s="17">
        <f t="shared" si="6"/>
        <v>0.71428571428571419</v>
      </c>
      <c r="X14" s="17">
        <f t="shared" si="6"/>
        <v>3.1428571428571432</v>
      </c>
      <c r="Y14" s="17">
        <f t="shared" si="6"/>
        <v>4.4285714285714288</v>
      </c>
      <c r="Z14" s="17">
        <f t="shared" si="6"/>
        <v>0.71428571428571419</v>
      </c>
      <c r="AA14" s="17">
        <f t="shared" si="6"/>
        <v>0.71428571428571419</v>
      </c>
      <c r="AB14" s="17">
        <f t="shared" si="6"/>
        <v>2.4285714285714284</v>
      </c>
      <c r="AC14" s="17">
        <f t="shared" si="6"/>
        <v>15.571428571428571</v>
      </c>
      <c r="AD14" s="17">
        <f t="shared" si="6"/>
        <v>0</v>
      </c>
      <c r="AE14" s="31">
        <f t="shared" si="6"/>
        <v>44.428571428571431</v>
      </c>
      <c r="AF14" s="31">
        <f t="shared" si="6"/>
        <v>60</v>
      </c>
    </row>
    <row r="15" spans="2:32" ht="23.1" customHeight="1" x14ac:dyDescent="0.25">
      <c r="B15" s="23" t="s">
        <v>42</v>
      </c>
      <c r="C15" s="49">
        <f>AVERAGE('29.07 Kigumba-Karuma'!C15,'30.07 Kigumba-Karuma'!C15,'31.07 Kigumba-Karuma'!C15,'01.08 Kigumba-Karuma'!C15,'02.08 Kigumba-Karuma-24h'!C15,'03.08 Kigumba-Karuma-24h'!C15,'04.08 Kigumba-Karuma'!C15)</f>
        <v>1.1428571428571428</v>
      </c>
      <c r="D15" s="49">
        <f>AVERAGE('29.07 Kigumba-Karuma'!D15,'30.07 Kigumba-Karuma'!D15,'31.07 Kigumba-Karuma'!D15,'01.08 Kigumba-Karuma'!D15,'02.08 Kigumba-Karuma-24h'!D15,'03.08 Kigumba-Karuma-24h'!D15,'04.08 Kigumba-Karuma'!D15)</f>
        <v>1</v>
      </c>
      <c r="E15" s="49">
        <f>AVERAGE('29.07 Kigumba-Karuma'!E15,'30.07 Kigumba-Karuma'!E15,'31.07 Kigumba-Karuma'!E15,'01.08 Kigumba-Karuma'!E15,'02.08 Kigumba-Karuma-24h'!E15,'03.08 Kigumba-Karuma-24h'!E15,'04.08 Kigumba-Karuma'!E15)</f>
        <v>2.2857142857142856</v>
      </c>
      <c r="F15" s="49">
        <f>AVERAGE('29.07 Kigumba-Karuma'!F15,'30.07 Kigumba-Karuma'!F15,'31.07 Kigumba-Karuma'!F15,'01.08 Kigumba-Karuma'!F15,'02.08 Kigumba-Karuma-24h'!F15,'03.08 Kigumba-Karuma-24h'!F15,'04.08 Kigumba-Karuma'!F15)</f>
        <v>0.8571428571428571</v>
      </c>
      <c r="G15" s="49">
        <f>AVERAGE('29.07 Kigumba-Karuma'!G15,'30.07 Kigumba-Karuma'!G15,'31.07 Kigumba-Karuma'!G15,'01.08 Kigumba-Karuma'!G15,'02.08 Kigumba-Karuma-24h'!G15,'03.08 Kigumba-Karuma-24h'!G15,'04.08 Kigumba-Karuma'!G15)</f>
        <v>0</v>
      </c>
      <c r="H15" s="49">
        <f>AVERAGE('29.07 Kigumba-Karuma'!H15,'30.07 Kigumba-Karuma'!H15,'31.07 Kigumba-Karuma'!H15,'01.08 Kigumba-Karuma'!H15,'02.08 Kigumba-Karuma-24h'!H15,'03.08 Kigumba-Karuma-24h'!H15,'04.08 Kigumba-Karuma'!H15)</f>
        <v>0</v>
      </c>
      <c r="I15" s="49">
        <f>AVERAGE('29.07 Kigumba-Karuma'!I15,'30.07 Kigumba-Karuma'!I15,'31.07 Kigumba-Karuma'!I15,'01.08 Kigumba-Karuma'!I15,'02.08 Kigumba-Karuma-24h'!I15,'03.08 Kigumba-Karuma-24h'!I15,'04.08 Kigumba-Karuma'!I15)</f>
        <v>2.4285714285714284</v>
      </c>
      <c r="J15" s="49">
        <f>AVERAGE('29.07 Kigumba-Karuma'!J15,'30.07 Kigumba-Karuma'!J15,'31.07 Kigumba-Karuma'!J15,'01.08 Kigumba-Karuma'!J15,'02.08 Kigumba-Karuma-24h'!J15,'03.08 Kigumba-Karuma-24h'!J15,'04.08 Kigumba-Karuma'!J15)</f>
        <v>0.2857142857142857</v>
      </c>
      <c r="K15" s="49">
        <f>AVERAGE('29.07 Kigumba-Karuma'!K15,'30.07 Kigumba-Karuma'!K15,'31.07 Kigumba-Karuma'!K15,'01.08 Kigumba-Karuma'!K15,'02.08 Kigumba-Karuma-24h'!K15,'03.08 Kigumba-Karuma-24h'!K15,'04.08 Kigumba-Karuma'!K15)</f>
        <v>0.14285714285714285</v>
      </c>
      <c r="L15" s="49">
        <f>AVERAGE('29.07 Kigumba-Karuma'!L15,'30.07 Kigumba-Karuma'!L15,'31.07 Kigumba-Karuma'!L15,'01.08 Kigumba-Karuma'!L15,'02.08 Kigumba-Karuma-24h'!L15,'03.08 Kigumba-Karuma-24h'!L15,'04.08 Kigumba-Karuma'!L15)</f>
        <v>1.1428571428571428</v>
      </c>
      <c r="M15" s="49">
        <f>AVERAGE('29.07 Kigumba-Karuma'!M15,'30.07 Kigumba-Karuma'!M15,'31.07 Kigumba-Karuma'!M15,'01.08 Kigumba-Karuma'!M15,'02.08 Kigumba-Karuma-24h'!M15,'03.08 Kigumba-Karuma-24h'!M15,'04.08 Kigumba-Karuma'!M15)</f>
        <v>3.4285714285714284</v>
      </c>
      <c r="N15" s="49">
        <f>AVERAGE('29.07 Kigumba-Karuma'!N15,'30.07 Kigumba-Karuma'!N15,'31.07 Kigumba-Karuma'!N15,'01.08 Kigumba-Karuma'!N15,'02.08 Kigumba-Karuma-24h'!N15,'03.08 Kigumba-Karuma-24h'!N15,'04.08 Kigumba-Karuma'!N15)</f>
        <v>0</v>
      </c>
      <c r="O15" s="15">
        <f t="shared" si="0"/>
        <v>9.2857142857142847</v>
      </c>
      <c r="P15" s="15">
        <f t="shared" si="1"/>
        <v>12.714285714285714</v>
      </c>
      <c r="R15" s="1" t="s">
        <v>11</v>
      </c>
      <c r="S15" s="17">
        <f t="shared" ref="S15:AF15" si="7">SUM(C30:C33)</f>
        <v>8</v>
      </c>
      <c r="T15" s="17">
        <f t="shared" si="7"/>
        <v>6.1428571428571423</v>
      </c>
      <c r="U15" s="17">
        <f t="shared" si="7"/>
        <v>11</v>
      </c>
      <c r="V15" s="17">
        <f t="shared" si="7"/>
        <v>7.2857142857142856</v>
      </c>
      <c r="W15" s="17">
        <f t="shared" si="7"/>
        <v>0.42857142857142855</v>
      </c>
      <c r="X15" s="17">
        <f t="shared" si="7"/>
        <v>3</v>
      </c>
      <c r="Y15" s="17">
        <f t="shared" si="7"/>
        <v>4.8571428571428577</v>
      </c>
      <c r="Z15" s="17">
        <f t="shared" si="7"/>
        <v>0.42857142857142855</v>
      </c>
      <c r="AA15" s="17">
        <f t="shared" si="7"/>
        <v>0.5714285714285714</v>
      </c>
      <c r="AB15" s="17">
        <f t="shared" si="7"/>
        <v>1.4285714285714284</v>
      </c>
      <c r="AC15" s="17">
        <f t="shared" si="7"/>
        <v>13.571428571428571</v>
      </c>
      <c r="AD15" s="17">
        <f t="shared" si="7"/>
        <v>0</v>
      </c>
      <c r="AE15" s="31">
        <f t="shared" si="7"/>
        <v>43.142857142857139</v>
      </c>
      <c r="AF15" s="31">
        <f t="shared" si="7"/>
        <v>56.714285714285708</v>
      </c>
    </row>
    <row r="16" spans="2:32" ht="23.1" customHeight="1" x14ac:dyDescent="0.25">
      <c r="B16" s="23" t="s">
        <v>43</v>
      </c>
      <c r="C16" s="49">
        <f>AVERAGE('29.07 Kigumba-Karuma'!C16,'30.07 Kigumba-Karuma'!C16,'31.07 Kigumba-Karuma'!C16,'01.08 Kigumba-Karuma'!C16,'02.08 Kigumba-Karuma-24h'!C16,'03.08 Kigumba-Karuma-24h'!C16,'04.08 Kigumba-Karuma'!C16)</f>
        <v>2</v>
      </c>
      <c r="D16" s="49">
        <f>AVERAGE('29.07 Kigumba-Karuma'!D16,'30.07 Kigumba-Karuma'!D16,'31.07 Kigumba-Karuma'!D16,'01.08 Kigumba-Karuma'!D16,'02.08 Kigumba-Karuma-24h'!D16,'03.08 Kigumba-Karuma-24h'!D16,'04.08 Kigumba-Karuma'!D16)</f>
        <v>1.2857142857142858</v>
      </c>
      <c r="E16" s="49">
        <f>AVERAGE('29.07 Kigumba-Karuma'!E16,'30.07 Kigumba-Karuma'!E16,'31.07 Kigumba-Karuma'!E16,'01.08 Kigumba-Karuma'!E16,'02.08 Kigumba-Karuma-24h'!E16,'03.08 Kigumba-Karuma-24h'!E16,'04.08 Kigumba-Karuma'!E16)</f>
        <v>2.8571428571428572</v>
      </c>
      <c r="F16" s="49">
        <f>AVERAGE('29.07 Kigumba-Karuma'!F16,'30.07 Kigumba-Karuma'!F16,'31.07 Kigumba-Karuma'!F16,'01.08 Kigumba-Karuma'!F16,'02.08 Kigumba-Karuma-24h'!F16,'03.08 Kigumba-Karuma-24h'!F16,'04.08 Kigumba-Karuma'!F16)</f>
        <v>1.4285714285714286</v>
      </c>
      <c r="G16" s="49">
        <f>AVERAGE('29.07 Kigumba-Karuma'!G16,'30.07 Kigumba-Karuma'!G16,'31.07 Kigumba-Karuma'!G16,'01.08 Kigumba-Karuma'!G16,'02.08 Kigumba-Karuma-24h'!G16,'03.08 Kigumba-Karuma-24h'!G16,'04.08 Kigumba-Karuma'!G16)</f>
        <v>0</v>
      </c>
      <c r="H16" s="49">
        <f>AVERAGE('29.07 Kigumba-Karuma'!H16,'30.07 Kigumba-Karuma'!H16,'31.07 Kigumba-Karuma'!H16,'01.08 Kigumba-Karuma'!H16,'02.08 Kigumba-Karuma-24h'!H16,'03.08 Kigumba-Karuma-24h'!H16,'04.08 Kigumba-Karuma'!H16)</f>
        <v>0</v>
      </c>
      <c r="I16" s="49">
        <f>AVERAGE('29.07 Kigumba-Karuma'!I16,'30.07 Kigumba-Karuma'!I16,'31.07 Kigumba-Karuma'!I16,'01.08 Kigumba-Karuma'!I16,'02.08 Kigumba-Karuma-24h'!I16,'03.08 Kigumba-Karuma-24h'!I16,'04.08 Kigumba-Karuma'!I16)</f>
        <v>1.5714285714285714</v>
      </c>
      <c r="J16" s="49">
        <f>AVERAGE('29.07 Kigumba-Karuma'!J16,'30.07 Kigumba-Karuma'!J16,'31.07 Kigumba-Karuma'!J16,'01.08 Kigumba-Karuma'!J16,'02.08 Kigumba-Karuma-24h'!J16,'03.08 Kigumba-Karuma-24h'!J16,'04.08 Kigumba-Karuma'!J16)</f>
        <v>0.7142857142857143</v>
      </c>
      <c r="K16" s="49">
        <f>AVERAGE('29.07 Kigumba-Karuma'!K16,'30.07 Kigumba-Karuma'!K16,'31.07 Kigumba-Karuma'!K16,'01.08 Kigumba-Karuma'!K16,'02.08 Kigumba-Karuma-24h'!K16,'03.08 Kigumba-Karuma-24h'!K16,'04.08 Kigumba-Karuma'!K16)</f>
        <v>0</v>
      </c>
      <c r="L16" s="49">
        <f>AVERAGE('29.07 Kigumba-Karuma'!L16,'30.07 Kigumba-Karuma'!L16,'31.07 Kigumba-Karuma'!L16,'01.08 Kigumba-Karuma'!L16,'02.08 Kigumba-Karuma-24h'!L16,'03.08 Kigumba-Karuma-24h'!L16,'04.08 Kigumba-Karuma'!L16)</f>
        <v>0.8571428571428571</v>
      </c>
      <c r="M16" s="49">
        <f>AVERAGE('29.07 Kigumba-Karuma'!M16,'30.07 Kigumba-Karuma'!M16,'31.07 Kigumba-Karuma'!M16,'01.08 Kigumba-Karuma'!M16,'02.08 Kigumba-Karuma-24h'!M16,'03.08 Kigumba-Karuma-24h'!M16,'04.08 Kigumba-Karuma'!M16)</f>
        <v>2.5714285714285716</v>
      </c>
      <c r="N16" s="49">
        <f>AVERAGE('29.07 Kigumba-Karuma'!N16,'30.07 Kigumba-Karuma'!N16,'31.07 Kigumba-Karuma'!N16,'01.08 Kigumba-Karuma'!N16,'02.08 Kigumba-Karuma-24h'!N16,'03.08 Kigumba-Karuma-24h'!N16,'04.08 Kigumba-Karuma'!N16)</f>
        <v>0</v>
      </c>
      <c r="O16" s="15">
        <f t="shared" si="0"/>
        <v>10.714285714285714</v>
      </c>
      <c r="P16" s="15">
        <f t="shared" si="1"/>
        <v>13.285714285714285</v>
      </c>
      <c r="R16" s="1" t="s">
        <v>12</v>
      </c>
      <c r="S16" s="17">
        <f t="shared" ref="S16:AF16" si="8">SUM(C34:C37)</f>
        <v>8.1428571428571441</v>
      </c>
      <c r="T16" s="17">
        <f t="shared" si="8"/>
        <v>8.2857142857142865</v>
      </c>
      <c r="U16" s="17">
        <f t="shared" si="8"/>
        <v>12.571428571428571</v>
      </c>
      <c r="V16" s="17">
        <f t="shared" si="8"/>
        <v>6.4285714285714288</v>
      </c>
      <c r="W16" s="17">
        <f t="shared" si="8"/>
        <v>0.2857142857142857</v>
      </c>
      <c r="X16" s="17">
        <f t="shared" si="8"/>
        <v>4.5714285714285712</v>
      </c>
      <c r="Y16" s="17">
        <f t="shared" si="8"/>
        <v>5.4285714285714288</v>
      </c>
      <c r="Z16" s="17">
        <f t="shared" si="8"/>
        <v>0.2857142857142857</v>
      </c>
      <c r="AA16" s="17">
        <f t="shared" si="8"/>
        <v>0.5714285714285714</v>
      </c>
      <c r="AB16" s="17">
        <f t="shared" si="8"/>
        <v>1.1428571428571428</v>
      </c>
      <c r="AC16" s="17">
        <f t="shared" si="8"/>
        <v>13.285714285714285</v>
      </c>
      <c r="AD16" s="17">
        <f t="shared" si="8"/>
        <v>0</v>
      </c>
      <c r="AE16" s="31">
        <f t="shared" si="8"/>
        <v>47.714285714285715</v>
      </c>
      <c r="AF16" s="31">
        <f t="shared" si="8"/>
        <v>61</v>
      </c>
    </row>
    <row r="17" spans="2:32" ht="23.1" customHeight="1" x14ac:dyDescent="0.25">
      <c r="B17" s="23" t="s">
        <v>44</v>
      </c>
      <c r="C17" s="49">
        <f>AVERAGE('29.07 Kigumba-Karuma'!C17,'30.07 Kigumba-Karuma'!C17,'31.07 Kigumba-Karuma'!C17,'01.08 Kigumba-Karuma'!C17,'02.08 Kigumba-Karuma-24h'!C17,'03.08 Kigumba-Karuma-24h'!C17,'04.08 Kigumba-Karuma'!C17)</f>
        <v>1.1428571428571428</v>
      </c>
      <c r="D17" s="49">
        <f>AVERAGE('29.07 Kigumba-Karuma'!D17,'30.07 Kigumba-Karuma'!D17,'31.07 Kigumba-Karuma'!D17,'01.08 Kigumba-Karuma'!D17,'02.08 Kigumba-Karuma-24h'!D17,'03.08 Kigumba-Karuma-24h'!D17,'04.08 Kigumba-Karuma'!D17)</f>
        <v>2.2857142857142856</v>
      </c>
      <c r="E17" s="49">
        <f>AVERAGE('29.07 Kigumba-Karuma'!E17,'30.07 Kigumba-Karuma'!E17,'31.07 Kigumba-Karuma'!E17,'01.08 Kigumba-Karuma'!E17,'02.08 Kigumba-Karuma-24h'!E17,'03.08 Kigumba-Karuma-24h'!E17,'04.08 Kigumba-Karuma'!E17)</f>
        <v>3.2857142857142856</v>
      </c>
      <c r="F17" s="49">
        <f>AVERAGE('29.07 Kigumba-Karuma'!F17,'30.07 Kigumba-Karuma'!F17,'31.07 Kigumba-Karuma'!F17,'01.08 Kigumba-Karuma'!F17,'02.08 Kigumba-Karuma-24h'!F17,'03.08 Kigumba-Karuma-24h'!F17,'04.08 Kigumba-Karuma'!F17)</f>
        <v>1.4285714285714286</v>
      </c>
      <c r="G17" s="49">
        <f>AVERAGE('29.07 Kigumba-Karuma'!G17,'30.07 Kigumba-Karuma'!G17,'31.07 Kigumba-Karuma'!G17,'01.08 Kigumba-Karuma'!G17,'02.08 Kigumba-Karuma-24h'!G17,'03.08 Kigumba-Karuma-24h'!G17,'04.08 Kigumba-Karuma'!G17)</f>
        <v>0</v>
      </c>
      <c r="H17" s="49">
        <f>AVERAGE('29.07 Kigumba-Karuma'!H17,'30.07 Kigumba-Karuma'!H17,'31.07 Kigumba-Karuma'!H17,'01.08 Kigumba-Karuma'!H17,'02.08 Kigumba-Karuma-24h'!H17,'03.08 Kigumba-Karuma-24h'!H17,'04.08 Kigumba-Karuma'!H17)</f>
        <v>0.2857142857142857</v>
      </c>
      <c r="I17" s="49">
        <f>AVERAGE('29.07 Kigumba-Karuma'!I17,'30.07 Kigumba-Karuma'!I17,'31.07 Kigumba-Karuma'!I17,'01.08 Kigumba-Karuma'!I17,'02.08 Kigumba-Karuma-24h'!I17,'03.08 Kigumba-Karuma-24h'!I17,'04.08 Kigumba-Karuma'!I17)</f>
        <v>1.2857142857142858</v>
      </c>
      <c r="J17" s="49">
        <f>AVERAGE('29.07 Kigumba-Karuma'!J17,'30.07 Kigumba-Karuma'!J17,'31.07 Kigumba-Karuma'!J17,'01.08 Kigumba-Karuma'!J17,'02.08 Kigumba-Karuma-24h'!J17,'03.08 Kigumba-Karuma-24h'!J17,'04.08 Kigumba-Karuma'!J17)</f>
        <v>0</v>
      </c>
      <c r="K17" s="49">
        <f>AVERAGE('29.07 Kigumba-Karuma'!K17,'30.07 Kigumba-Karuma'!K17,'31.07 Kigumba-Karuma'!K17,'01.08 Kigumba-Karuma'!K17,'02.08 Kigumba-Karuma-24h'!K17,'03.08 Kigumba-Karuma-24h'!K17,'04.08 Kigumba-Karuma'!K17)</f>
        <v>0</v>
      </c>
      <c r="L17" s="49">
        <f>AVERAGE('29.07 Kigumba-Karuma'!L17,'30.07 Kigumba-Karuma'!L17,'31.07 Kigumba-Karuma'!L17,'01.08 Kigumba-Karuma'!L17,'02.08 Kigumba-Karuma-24h'!L17,'03.08 Kigumba-Karuma-24h'!L17,'04.08 Kigumba-Karuma'!L17)</f>
        <v>0.5714285714285714</v>
      </c>
      <c r="M17" s="49">
        <f>AVERAGE('29.07 Kigumba-Karuma'!M17,'30.07 Kigumba-Karuma'!M17,'31.07 Kigumba-Karuma'!M17,'01.08 Kigumba-Karuma'!M17,'02.08 Kigumba-Karuma-24h'!M17,'03.08 Kigumba-Karuma-24h'!M17,'04.08 Kigumba-Karuma'!M17)</f>
        <v>2.4285714285714284</v>
      </c>
      <c r="N17" s="49">
        <f>AVERAGE('29.07 Kigumba-Karuma'!N17,'30.07 Kigumba-Karuma'!N17,'31.07 Kigumba-Karuma'!N17,'01.08 Kigumba-Karuma'!N17,'02.08 Kigumba-Karuma-24h'!N17,'03.08 Kigumba-Karuma-24h'!N17,'04.08 Kigumba-Karuma'!N17)</f>
        <v>0.14285714285714285</v>
      </c>
      <c r="O17" s="15">
        <f t="shared" si="0"/>
        <v>10.428571428571429</v>
      </c>
      <c r="P17" s="15">
        <f t="shared" si="1"/>
        <v>12.857142857142858</v>
      </c>
      <c r="R17" s="1" t="s">
        <v>13</v>
      </c>
      <c r="S17" s="17">
        <f t="shared" ref="S17:AF17" si="9">SUM(C38:C41)</f>
        <v>7.4285714285714279</v>
      </c>
      <c r="T17" s="17">
        <f t="shared" si="9"/>
        <v>9.1428571428571423</v>
      </c>
      <c r="U17" s="17">
        <f t="shared" si="9"/>
        <v>14.142857142857142</v>
      </c>
      <c r="V17" s="17">
        <f t="shared" si="9"/>
        <v>4.4285714285714288</v>
      </c>
      <c r="W17" s="17">
        <f t="shared" si="9"/>
        <v>0.14285714285714285</v>
      </c>
      <c r="X17" s="17">
        <f t="shared" si="9"/>
        <v>2.7142857142857144</v>
      </c>
      <c r="Y17" s="17">
        <f t="shared" si="9"/>
        <v>5.7142857142857144</v>
      </c>
      <c r="Z17" s="17">
        <f t="shared" si="9"/>
        <v>0.71428571428571419</v>
      </c>
      <c r="AA17" s="17">
        <f t="shared" si="9"/>
        <v>0.42857142857142855</v>
      </c>
      <c r="AB17" s="17">
        <f t="shared" si="9"/>
        <v>2.7142857142857144</v>
      </c>
      <c r="AC17" s="17">
        <f t="shared" si="9"/>
        <v>17.571428571428569</v>
      </c>
      <c r="AD17" s="17">
        <f t="shared" si="9"/>
        <v>0</v>
      </c>
      <c r="AE17" s="31">
        <f t="shared" si="9"/>
        <v>47.571428571428577</v>
      </c>
      <c r="AF17" s="31">
        <f t="shared" si="9"/>
        <v>65.142857142857139</v>
      </c>
    </row>
    <row r="18" spans="2:32" ht="23.1" customHeight="1" x14ac:dyDescent="0.25">
      <c r="B18" s="23" t="s">
        <v>45</v>
      </c>
      <c r="C18" s="49">
        <f>AVERAGE('29.07 Kigumba-Karuma'!C18,'30.07 Kigumba-Karuma'!C18,'31.07 Kigumba-Karuma'!C18,'01.08 Kigumba-Karuma'!C18,'02.08 Kigumba-Karuma-24h'!C18,'03.08 Kigumba-Karuma-24h'!C18,'04.08 Kigumba-Karuma'!C18)</f>
        <v>1.4285714285714286</v>
      </c>
      <c r="D18" s="49">
        <f>AVERAGE('29.07 Kigumba-Karuma'!D18,'30.07 Kigumba-Karuma'!D18,'31.07 Kigumba-Karuma'!D18,'01.08 Kigumba-Karuma'!D18,'02.08 Kigumba-Karuma-24h'!D18,'03.08 Kigumba-Karuma-24h'!D18,'04.08 Kigumba-Karuma'!D18)</f>
        <v>1.5714285714285714</v>
      </c>
      <c r="E18" s="49">
        <f>AVERAGE('29.07 Kigumba-Karuma'!E18,'30.07 Kigumba-Karuma'!E18,'31.07 Kigumba-Karuma'!E18,'01.08 Kigumba-Karuma'!E18,'02.08 Kigumba-Karuma-24h'!E18,'03.08 Kigumba-Karuma-24h'!E18,'04.08 Kigumba-Karuma'!E18)</f>
        <v>2.8571428571428572</v>
      </c>
      <c r="F18" s="49">
        <f>AVERAGE('29.07 Kigumba-Karuma'!F18,'30.07 Kigumba-Karuma'!F18,'31.07 Kigumba-Karuma'!F18,'01.08 Kigumba-Karuma'!F18,'02.08 Kigumba-Karuma-24h'!F18,'03.08 Kigumba-Karuma-24h'!F18,'04.08 Kigumba-Karuma'!F18)</f>
        <v>1.4285714285714286</v>
      </c>
      <c r="G18" s="49">
        <f>AVERAGE('29.07 Kigumba-Karuma'!G18,'30.07 Kigumba-Karuma'!G18,'31.07 Kigumba-Karuma'!G18,'01.08 Kigumba-Karuma'!G18,'02.08 Kigumba-Karuma-24h'!G18,'03.08 Kigumba-Karuma-24h'!G18,'04.08 Kigumba-Karuma'!G18)</f>
        <v>0</v>
      </c>
      <c r="H18" s="49">
        <f>AVERAGE('29.07 Kigumba-Karuma'!H18,'30.07 Kigumba-Karuma'!H18,'31.07 Kigumba-Karuma'!H18,'01.08 Kigumba-Karuma'!H18,'02.08 Kigumba-Karuma-24h'!H18,'03.08 Kigumba-Karuma-24h'!H18,'04.08 Kigumba-Karuma'!H18)</f>
        <v>0</v>
      </c>
      <c r="I18" s="49">
        <f>AVERAGE('29.07 Kigumba-Karuma'!I18,'30.07 Kigumba-Karuma'!I18,'31.07 Kigumba-Karuma'!I18,'01.08 Kigumba-Karuma'!I18,'02.08 Kigumba-Karuma-24h'!I18,'03.08 Kigumba-Karuma-24h'!I18,'04.08 Kigumba-Karuma'!I18)</f>
        <v>0.7142857142857143</v>
      </c>
      <c r="J18" s="49">
        <f>AVERAGE('29.07 Kigumba-Karuma'!J18,'30.07 Kigumba-Karuma'!J18,'31.07 Kigumba-Karuma'!J18,'01.08 Kigumba-Karuma'!J18,'02.08 Kigumba-Karuma-24h'!J18,'03.08 Kigumba-Karuma-24h'!J18,'04.08 Kigumba-Karuma'!J18)</f>
        <v>0.14285714285714285</v>
      </c>
      <c r="K18" s="49">
        <f>AVERAGE('29.07 Kigumba-Karuma'!K18,'30.07 Kigumba-Karuma'!K18,'31.07 Kigumba-Karuma'!K18,'01.08 Kigumba-Karuma'!K18,'02.08 Kigumba-Karuma-24h'!K18,'03.08 Kigumba-Karuma-24h'!K18,'04.08 Kigumba-Karuma'!K18)</f>
        <v>0</v>
      </c>
      <c r="L18" s="49">
        <f>AVERAGE('29.07 Kigumba-Karuma'!L18,'30.07 Kigumba-Karuma'!L18,'31.07 Kigumba-Karuma'!L18,'01.08 Kigumba-Karuma'!L18,'02.08 Kigumba-Karuma-24h'!L18,'03.08 Kigumba-Karuma-24h'!L18,'04.08 Kigumba-Karuma'!L18)</f>
        <v>1.8571428571428572</v>
      </c>
      <c r="M18" s="49">
        <f>AVERAGE('29.07 Kigumba-Karuma'!M18,'30.07 Kigumba-Karuma'!M18,'31.07 Kigumba-Karuma'!M18,'01.08 Kigumba-Karuma'!M18,'02.08 Kigumba-Karuma-24h'!M18,'03.08 Kigumba-Karuma-24h'!M18,'04.08 Kigumba-Karuma'!M18)</f>
        <v>2.5714285714285716</v>
      </c>
      <c r="N18" s="49">
        <f>AVERAGE('29.07 Kigumba-Karuma'!N18,'30.07 Kigumba-Karuma'!N18,'31.07 Kigumba-Karuma'!N18,'01.08 Kigumba-Karuma'!N18,'02.08 Kigumba-Karuma-24h'!N18,'03.08 Kigumba-Karuma-24h'!N18,'04.08 Kigumba-Karuma'!N18)</f>
        <v>0</v>
      </c>
      <c r="O18" s="15">
        <f t="shared" si="0"/>
        <v>10</v>
      </c>
      <c r="P18" s="15">
        <f t="shared" si="1"/>
        <v>12.571428571428571</v>
      </c>
      <c r="R18" s="1" t="s">
        <v>14</v>
      </c>
      <c r="S18" s="17">
        <f t="shared" ref="S18:AF18" si="10">SUM(C42:C45)</f>
        <v>11.142857142857142</v>
      </c>
      <c r="T18" s="17">
        <f t="shared" si="10"/>
        <v>10.142857142857142</v>
      </c>
      <c r="U18" s="17">
        <f t="shared" si="10"/>
        <v>15.285714285714288</v>
      </c>
      <c r="V18" s="17">
        <f t="shared" si="10"/>
        <v>7</v>
      </c>
      <c r="W18" s="17">
        <f t="shared" si="10"/>
        <v>0.5714285714285714</v>
      </c>
      <c r="X18" s="17">
        <f t="shared" si="10"/>
        <v>5</v>
      </c>
      <c r="Y18" s="17">
        <f t="shared" si="10"/>
        <v>4.1428571428571432</v>
      </c>
      <c r="Z18" s="17">
        <f t="shared" si="10"/>
        <v>1.4285714285714284</v>
      </c>
      <c r="AA18" s="17">
        <f t="shared" si="10"/>
        <v>0.14285714285714285</v>
      </c>
      <c r="AB18" s="17">
        <f t="shared" si="10"/>
        <v>1.857142857142857</v>
      </c>
      <c r="AC18" s="17">
        <f t="shared" si="10"/>
        <v>18.428571428571427</v>
      </c>
      <c r="AD18" s="17">
        <f t="shared" si="10"/>
        <v>0</v>
      </c>
      <c r="AE18" s="31">
        <f t="shared" si="10"/>
        <v>56.714285714285708</v>
      </c>
      <c r="AF18" s="31">
        <f t="shared" si="10"/>
        <v>75.142857142857139</v>
      </c>
    </row>
    <row r="19" spans="2:32" ht="23.1" customHeight="1" x14ac:dyDescent="0.25">
      <c r="B19" s="23" t="s">
        <v>46</v>
      </c>
      <c r="C19" s="49">
        <f>AVERAGE('29.07 Kigumba-Karuma'!C19,'30.07 Kigumba-Karuma'!C19,'31.07 Kigumba-Karuma'!C19,'01.08 Kigumba-Karuma'!C19,'02.08 Kigumba-Karuma-24h'!C19,'03.08 Kigumba-Karuma-24h'!C19,'04.08 Kigumba-Karuma'!C19)</f>
        <v>1.2857142857142858</v>
      </c>
      <c r="D19" s="49">
        <f>AVERAGE('29.07 Kigumba-Karuma'!D19,'30.07 Kigumba-Karuma'!D19,'31.07 Kigumba-Karuma'!D19,'01.08 Kigumba-Karuma'!D19,'02.08 Kigumba-Karuma-24h'!D19,'03.08 Kigumba-Karuma-24h'!D19,'04.08 Kigumba-Karuma'!D19)</f>
        <v>1.5714285714285714</v>
      </c>
      <c r="E19" s="49">
        <f>AVERAGE('29.07 Kigumba-Karuma'!E19,'30.07 Kigumba-Karuma'!E19,'31.07 Kigumba-Karuma'!E19,'01.08 Kigumba-Karuma'!E19,'02.08 Kigumba-Karuma-24h'!E19,'03.08 Kigumba-Karuma-24h'!E19,'04.08 Kigumba-Karuma'!E19)</f>
        <v>2.8571428571428572</v>
      </c>
      <c r="F19" s="49">
        <f>AVERAGE('29.07 Kigumba-Karuma'!F19,'30.07 Kigumba-Karuma'!F19,'31.07 Kigumba-Karuma'!F19,'01.08 Kigumba-Karuma'!F19,'02.08 Kigumba-Karuma-24h'!F19,'03.08 Kigumba-Karuma-24h'!F19,'04.08 Kigumba-Karuma'!F19)</f>
        <v>1.5714285714285714</v>
      </c>
      <c r="G19" s="49">
        <f>AVERAGE('29.07 Kigumba-Karuma'!G19,'30.07 Kigumba-Karuma'!G19,'31.07 Kigumba-Karuma'!G19,'01.08 Kigumba-Karuma'!G19,'02.08 Kigumba-Karuma-24h'!G19,'03.08 Kigumba-Karuma-24h'!G19,'04.08 Kigumba-Karuma'!G19)</f>
        <v>0</v>
      </c>
      <c r="H19" s="49">
        <f>AVERAGE('29.07 Kigumba-Karuma'!H19,'30.07 Kigumba-Karuma'!H19,'31.07 Kigumba-Karuma'!H19,'01.08 Kigumba-Karuma'!H19,'02.08 Kigumba-Karuma-24h'!H19,'03.08 Kigumba-Karuma-24h'!H19,'04.08 Kigumba-Karuma'!H19)</f>
        <v>0</v>
      </c>
      <c r="I19" s="49">
        <f>AVERAGE('29.07 Kigumba-Karuma'!I19,'30.07 Kigumba-Karuma'!I19,'31.07 Kigumba-Karuma'!I19,'01.08 Kigumba-Karuma'!I19,'02.08 Kigumba-Karuma-24h'!I19,'03.08 Kigumba-Karuma-24h'!I19,'04.08 Kigumba-Karuma'!I19)</f>
        <v>0.8571428571428571</v>
      </c>
      <c r="J19" s="49">
        <f>AVERAGE('29.07 Kigumba-Karuma'!J19,'30.07 Kigumba-Karuma'!J19,'31.07 Kigumba-Karuma'!J19,'01.08 Kigumba-Karuma'!J19,'02.08 Kigumba-Karuma-24h'!J19,'03.08 Kigumba-Karuma-24h'!J19,'04.08 Kigumba-Karuma'!J19)</f>
        <v>0.14285714285714285</v>
      </c>
      <c r="K19" s="49">
        <f>AVERAGE('29.07 Kigumba-Karuma'!K19,'30.07 Kigumba-Karuma'!K19,'31.07 Kigumba-Karuma'!K19,'01.08 Kigumba-Karuma'!K19,'02.08 Kigumba-Karuma-24h'!K19,'03.08 Kigumba-Karuma-24h'!K19,'04.08 Kigumba-Karuma'!K19)</f>
        <v>0</v>
      </c>
      <c r="L19" s="49">
        <f>AVERAGE('29.07 Kigumba-Karuma'!L19,'30.07 Kigumba-Karuma'!L19,'31.07 Kigumba-Karuma'!L19,'01.08 Kigumba-Karuma'!L19,'02.08 Kigumba-Karuma-24h'!L19,'03.08 Kigumba-Karuma-24h'!L19,'04.08 Kigumba-Karuma'!L19)</f>
        <v>0.42857142857142855</v>
      </c>
      <c r="M19" s="49">
        <f>AVERAGE('29.07 Kigumba-Karuma'!M19,'30.07 Kigumba-Karuma'!M19,'31.07 Kigumba-Karuma'!M19,'01.08 Kigumba-Karuma'!M19,'02.08 Kigumba-Karuma-24h'!M19,'03.08 Kigumba-Karuma-24h'!M19,'04.08 Kigumba-Karuma'!M19)</f>
        <v>3.7142857142857144</v>
      </c>
      <c r="N19" s="49">
        <f>AVERAGE('29.07 Kigumba-Karuma'!N19,'30.07 Kigumba-Karuma'!N19,'31.07 Kigumba-Karuma'!N19,'01.08 Kigumba-Karuma'!N19,'02.08 Kigumba-Karuma-24h'!N19,'03.08 Kigumba-Karuma-24h'!N19,'04.08 Kigumba-Karuma'!N19)</f>
        <v>0</v>
      </c>
      <c r="O19" s="15">
        <f t="shared" si="0"/>
        <v>8.7142857142857135</v>
      </c>
      <c r="P19" s="15">
        <f t="shared" si="1"/>
        <v>12.428571428571427</v>
      </c>
      <c r="R19" s="1" t="s">
        <v>15</v>
      </c>
      <c r="S19" s="17">
        <f t="shared" ref="S19:AF19" si="11">SUM(C46:C49)</f>
        <v>10.285714285714285</v>
      </c>
      <c r="T19" s="17">
        <f t="shared" si="11"/>
        <v>9.7142857142857153</v>
      </c>
      <c r="U19" s="17">
        <f t="shared" si="11"/>
        <v>15</v>
      </c>
      <c r="V19" s="17">
        <f t="shared" si="11"/>
        <v>7.2857142857142856</v>
      </c>
      <c r="W19" s="17">
        <f t="shared" si="11"/>
        <v>0.42857142857142855</v>
      </c>
      <c r="X19" s="17">
        <f t="shared" si="11"/>
        <v>6.4285714285714288</v>
      </c>
      <c r="Y19" s="17">
        <f t="shared" si="11"/>
        <v>7.1428571428571423</v>
      </c>
      <c r="Z19" s="17">
        <f t="shared" si="11"/>
        <v>0.71428571428571419</v>
      </c>
      <c r="AA19" s="17">
        <f t="shared" si="11"/>
        <v>1.1428571428571428</v>
      </c>
      <c r="AB19" s="17">
        <f t="shared" si="11"/>
        <v>4.4285714285714288</v>
      </c>
      <c r="AC19" s="17">
        <f t="shared" si="11"/>
        <v>18.285714285714285</v>
      </c>
      <c r="AD19" s="17">
        <f t="shared" si="11"/>
        <v>0</v>
      </c>
      <c r="AE19" s="31">
        <f t="shared" si="11"/>
        <v>62.571428571428569</v>
      </c>
      <c r="AF19" s="31">
        <f t="shared" si="11"/>
        <v>80.857142857142861</v>
      </c>
    </row>
    <row r="20" spans="2:32" ht="23.1" customHeight="1" x14ac:dyDescent="0.25">
      <c r="B20" s="23" t="s">
        <v>47</v>
      </c>
      <c r="C20" s="49">
        <f>AVERAGE('29.07 Kigumba-Karuma'!C20,'30.07 Kigumba-Karuma'!C20,'31.07 Kigumba-Karuma'!C20,'01.08 Kigumba-Karuma'!C20,'02.08 Kigumba-Karuma-24h'!C20,'03.08 Kigumba-Karuma-24h'!C20,'04.08 Kigumba-Karuma'!C20)</f>
        <v>1.8571428571428572</v>
      </c>
      <c r="D20" s="49">
        <f>AVERAGE('29.07 Kigumba-Karuma'!D20,'30.07 Kigumba-Karuma'!D20,'31.07 Kigumba-Karuma'!D20,'01.08 Kigumba-Karuma'!D20,'02.08 Kigumba-Karuma-24h'!D20,'03.08 Kigumba-Karuma-24h'!D20,'04.08 Kigumba-Karuma'!D20)</f>
        <v>1.8571428571428572</v>
      </c>
      <c r="E20" s="49">
        <f>AVERAGE('29.07 Kigumba-Karuma'!E20,'30.07 Kigumba-Karuma'!E20,'31.07 Kigumba-Karuma'!E20,'01.08 Kigumba-Karuma'!E20,'02.08 Kigumba-Karuma-24h'!E20,'03.08 Kigumba-Karuma-24h'!E20,'04.08 Kigumba-Karuma'!E20)</f>
        <v>3</v>
      </c>
      <c r="F20" s="49">
        <f>AVERAGE('29.07 Kigumba-Karuma'!F20,'30.07 Kigumba-Karuma'!F20,'31.07 Kigumba-Karuma'!F20,'01.08 Kigumba-Karuma'!F20,'02.08 Kigumba-Karuma-24h'!F20,'03.08 Kigumba-Karuma-24h'!F20,'04.08 Kigumba-Karuma'!F20)</f>
        <v>1.7142857142857142</v>
      </c>
      <c r="G20" s="49">
        <f>AVERAGE('29.07 Kigumba-Karuma'!G20,'30.07 Kigumba-Karuma'!G20,'31.07 Kigumba-Karuma'!G20,'01.08 Kigumba-Karuma'!G20,'02.08 Kigumba-Karuma-24h'!G20,'03.08 Kigumba-Karuma-24h'!G20,'04.08 Kigumba-Karuma'!G20)</f>
        <v>0.14285714285714285</v>
      </c>
      <c r="H20" s="49">
        <f>AVERAGE('29.07 Kigumba-Karuma'!H20,'30.07 Kigumba-Karuma'!H20,'31.07 Kigumba-Karuma'!H20,'01.08 Kigumba-Karuma'!H20,'02.08 Kigumba-Karuma-24h'!H20,'03.08 Kigumba-Karuma-24h'!H20,'04.08 Kigumba-Karuma'!H20)</f>
        <v>0</v>
      </c>
      <c r="I20" s="49">
        <f>AVERAGE('29.07 Kigumba-Karuma'!I20,'30.07 Kigumba-Karuma'!I20,'31.07 Kigumba-Karuma'!I20,'01.08 Kigumba-Karuma'!I20,'02.08 Kigumba-Karuma-24h'!I20,'03.08 Kigumba-Karuma-24h'!I20,'04.08 Kigumba-Karuma'!I20)</f>
        <v>1</v>
      </c>
      <c r="J20" s="49">
        <f>AVERAGE('29.07 Kigumba-Karuma'!J20,'30.07 Kigumba-Karuma'!J20,'31.07 Kigumba-Karuma'!J20,'01.08 Kigumba-Karuma'!J20,'02.08 Kigumba-Karuma-24h'!J20,'03.08 Kigumba-Karuma-24h'!J20,'04.08 Kigumba-Karuma'!J20)</f>
        <v>0</v>
      </c>
      <c r="K20" s="49">
        <f>AVERAGE('29.07 Kigumba-Karuma'!K20,'30.07 Kigumba-Karuma'!K20,'31.07 Kigumba-Karuma'!K20,'01.08 Kigumba-Karuma'!K20,'02.08 Kigumba-Karuma-24h'!K20,'03.08 Kigumba-Karuma-24h'!K20,'04.08 Kigumba-Karuma'!K20)</f>
        <v>0.14285714285714285</v>
      </c>
      <c r="L20" s="49">
        <f>AVERAGE('29.07 Kigumba-Karuma'!L20,'30.07 Kigumba-Karuma'!L20,'31.07 Kigumba-Karuma'!L20,'01.08 Kigumba-Karuma'!L20,'02.08 Kigumba-Karuma-24h'!L20,'03.08 Kigumba-Karuma-24h'!L20,'04.08 Kigumba-Karuma'!L20)</f>
        <v>0.42857142857142855</v>
      </c>
      <c r="M20" s="49">
        <f>AVERAGE('29.07 Kigumba-Karuma'!M20,'30.07 Kigumba-Karuma'!M20,'31.07 Kigumba-Karuma'!M20,'01.08 Kigumba-Karuma'!M20,'02.08 Kigumba-Karuma-24h'!M20,'03.08 Kigumba-Karuma-24h'!M20,'04.08 Kigumba-Karuma'!M20)</f>
        <v>2</v>
      </c>
      <c r="N20" s="49">
        <f>AVERAGE('29.07 Kigumba-Karuma'!N20,'30.07 Kigumba-Karuma'!N20,'31.07 Kigumba-Karuma'!N20,'01.08 Kigumba-Karuma'!N20,'02.08 Kigumba-Karuma-24h'!N20,'03.08 Kigumba-Karuma-24h'!N20,'04.08 Kigumba-Karuma'!N20)</f>
        <v>0</v>
      </c>
      <c r="O20" s="15">
        <f t="shared" si="0"/>
        <v>10.142857142857142</v>
      </c>
      <c r="P20" s="15">
        <f t="shared" si="1"/>
        <v>12.142857142857142</v>
      </c>
      <c r="R20" s="1" t="s">
        <v>16</v>
      </c>
      <c r="S20" s="17">
        <f t="shared" ref="S20:AF20" si="12">SUM(C50:C53)</f>
        <v>8.5714285714285712</v>
      </c>
      <c r="T20" s="17">
        <f t="shared" si="12"/>
        <v>9.4285714285714288</v>
      </c>
      <c r="U20" s="17">
        <f t="shared" si="12"/>
        <v>14.714285714285715</v>
      </c>
      <c r="V20" s="17">
        <f t="shared" si="12"/>
        <v>7.7142857142857135</v>
      </c>
      <c r="W20" s="17">
        <f t="shared" si="12"/>
        <v>0.14285714285714285</v>
      </c>
      <c r="X20" s="17">
        <f t="shared" si="12"/>
        <v>5.4285714285714288</v>
      </c>
      <c r="Y20" s="17">
        <f t="shared" si="12"/>
        <v>6.4285714285714288</v>
      </c>
      <c r="Z20" s="17">
        <f t="shared" si="12"/>
        <v>1.5714285714285714</v>
      </c>
      <c r="AA20" s="17">
        <f t="shared" si="12"/>
        <v>0.5714285714285714</v>
      </c>
      <c r="AB20" s="17">
        <f t="shared" si="12"/>
        <v>4.2857142857142856</v>
      </c>
      <c r="AC20" s="17">
        <f t="shared" si="12"/>
        <v>20.285714285714285</v>
      </c>
      <c r="AD20" s="17">
        <f t="shared" si="12"/>
        <v>0.14285714285714285</v>
      </c>
      <c r="AE20" s="31">
        <f t="shared" si="12"/>
        <v>59</v>
      </c>
      <c r="AF20" s="31">
        <f t="shared" si="12"/>
        <v>79.285714285714278</v>
      </c>
    </row>
    <row r="21" spans="2:32" ht="23.1" customHeight="1" x14ac:dyDescent="0.25">
      <c r="B21" s="23" t="s">
        <v>48</v>
      </c>
      <c r="C21" s="49">
        <f>AVERAGE('29.07 Kigumba-Karuma'!C21,'30.07 Kigumba-Karuma'!C21,'31.07 Kigumba-Karuma'!C21,'01.08 Kigumba-Karuma'!C21,'02.08 Kigumba-Karuma-24h'!C21,'03.08 Kigumba-Karuma-24h'!C21,'04.08 Kigumba-Karuma'!C21)</f>
        <v>2</v>
      </c>
      <c r="D21" s="49">
        <f>AVERAGE('29.07 Kigumba-Karuma'!D21,'30.07 Kigumba-Karuma'!D21,'31.07 Kigumba-Karuma'!D21,'01.08 Kigumba-Karuma'!D21,'02.08 Kigumba-Karuma-24h'!D21,'03.08 Kigumba-Karuma-24h'!D21,'04.08 Kigumba-Karuma'!D21)</f>
        <v>1.1428571428571428</v>
      </c>
      <c r="E21" s="49">
        <f>AVERAGE('29.07 Kigumba-Karuma'!E21,'30.07 Kigumba-Karuma'!E21,'31.07 Kigumba-Karuma'!E21,'01.08 Kigumba-Karuma'!E21,'02.08 Kigumba-Karuma-24h'!E21,'03.08 Kigumba-Karuma-24h'!E21,'04.08 Kigumba-Karuma'!E21)</f>
        <v>2.2857142857142856</v>
      </c>
      <c r="F21" s="49">
        <f>AVERAGE('29.07 Kigumba-Karuma'!F21,'30.07 Kigumba-Karuma'!F21,'31.07 Kigumba-Karuma'!F21,'01.08 Kigumba-Karuma'!F21,'02.08 Kigumba-Karuma-24h'!F21,'03.08 Kigumba-Karuma-24h'!F21,'04.08 Kigumba-Karuma'!F21)</f>
        <v>2.4285714285714284</v>
      </c>
      <c r="G21" s="49">
        <f>AVERAGE('29.07 Kigumba-Karuma'!G21,'30.07 Kigumba-Karuma'!G21,'31.07 Kigumba-Karuma'!G21,'01.08 Kigumba-Karuma'!G21,'02.08 Kigumba-Karuma-24h'!G21,'03.08 Kigumba-Karuma-24h'!G21,'04.08 Kigumba-Karuma'!G21)</f>
        <v>0.14285714285714285</v>
      </c>
      <c r="H21" s="49">
        <f>AVERAGE('29.07 Kigumba-Karuma'!H21,'30.07 Kigumba-Karuma'!H21,'31.07 Kigumba-Karuma'!H21,'01.08 Kigumba-Karuma'!H21,'02.08 Kigumba-Karuma-24h'!H21,'03.08 Kigumba-Karuma-24h'!H21,'04.08 Kigumba-Karuma'!H21)</f>
        <v>0.14285714285714285</v>
      </c>
      <c r="I21" s="49">
        <f>AVERAGE('29.07 Kigumba-Karuma'!I21,'30.07 Kigumba-Karuma'!I21,'31.07 Kigumba-Karuma'!I21,'01.08 Kigumba-Karuma'!I21,'02.08 Kigumba-Karuma-24h'!I21,'03.08 Kigumba-Karuma-24h'!I21,'04.08 Kigumba-Karuma'!I21)</f>
        <v>1.2857142857142858</v>
      </c>
      <c r="J21" s="49">
        <f>AVERAGE('29.07 Kigumba-Karuma'!J21,'30.07 Kigumba-Karuma'!J21,'31.07 Kigumba-Karuma'!J21,'01.08 Kigumba-Karuma'!J21,'02.08 Kigumba-Karuma-24h'!J21,'03.08 Kigumba-Karuma-24h'!J21,'04.08 Kigumba-Karuma'!J21)</f>
        <v>0.14285714285714285</v>
      </c>
      <c r="K21" s="49">
        <f>AVERAGE('29.07 Kigumba-Karuma'!K21,'30.07 Kigumba-Karuma'!K21,'31.07 Kigumba-Karuma'!K21,'01.08 Kigumba-Karuma'!K21,'02.08 Kigumba-Karuma-24h'!K21,'03.08 Kigumba-Karuma-24h'!K21,'04.08 Kigumba-Karuma'!K21)</f>
        <v>0</v>
      </c>
      <c r="L21" s="49">
        <f>AVERAGE('29.07 Kigumba-Karuma'!L21,'30.07 Kigumba-Karuma'!L21,'31.07 Kigumba-Karuma'!L21,'01.08 Kigumba-Karuma'!L21,'02.08 Kigumba-Karuma-24h'!L21,'03.08 Kigumba-Karuma-24h'!L21,'04.08 Kigumba-Karuma'!L21)</f>
        <v>0.2857142857142857</v>
      </c>
      <c r="M21" s="49">
        <f>AVERAGE('29.07 Kigumba-Karuma'!M21,'30.07 Kigumba-Karuma'!M21,'31.07 Kigumba-Karuma'!M21,'01.08 Kigumba-Karuma'!M21,'02.08 Kigumba-Karuma-24h'!M21,'03.08 Kigumba-Karuma-24h'!M21,'04.08 Kigumba-Karuma'!M21)</f>
        <v>3</v>
      </c>
      <c r="N21" s="49">
        <f>AVERAGE('29.07 Kigumba-Karuma'!N21,'30.07 Kigumba-Karuma'!N21,'31.07 Kigumba-Karuma'!N21,'01.08 Kigumba-Karuma'!N21,'02.08 Kigumba-Karuma-24h'!N21,'03.08 Kigumba-Karuma-24h'!N21,'04.08 Kigumba-Karuma'!N21)</f>
        <v>0</v>
      </c>
      <c r="O21" s="15">
        <f t="shared" si="0"/>
        <v>9.8571428571428577</v>
      </c>
      <c r="P21" s="15">
        <f t="shared" si="1"/>
        <v>12.857142857142858</v>
      </c>
      <c r="R21" s="36" t="s">
        <v>20</v>
      </c>
      <c r="S21" s="34">
        <f t="shared" ref="S21:AF21" si="13">SUM(C54:C57)</f>
        <v>9</v>
      </c>
      <c r="T21" s="17">
        <f t="shared" si="13"/>
        <v>9.2857142857142865</v>
      </c>
      <c r="U21" s="17">
        <f t="shared" si="13"/>
        <v>15.571428571428573</v>
      </c>
      <c r="V21" s="17">
        <f t="shared" si="13"/>
        <v>6.4285714285714288</v>
      </c>
      <c r="W21" s="17">
        <f t="shared" si="13"/>
        <v>0.2857142857142857</v>
      </c>
      <c r="X21" s="17">
        <f t="shared" si="13"/>
        <v>3.8571428571428568</v>
      </c>
      <c r="Y21" s="17">
        <f t="shared" si="13"/>
        <v>6.4285714285714288</v>
      </c>
      <c r="Z21" s="17">
        <f t="shared" si="13"/>
        <v>1.714285714285714</v>
      </c>
      <c r="AA21" s="17">
        <f t="shared" si="13"/>
        <v>1</v>
      </c>
      <c r="AB21" s="17">
        <f t="shared" si="13"/>
        <v>7</v>
      </c>
      <c r="AC21" s="17">
        <f t="shared" si="13"/>
        <v>21</v>
      </c>
      <c r="AD21" s="17">
        <f t="shared" si="13"/>
        <v>0</v>
      </c>
      <c r="AE21" s="31">
        <f t="shared" si="13"/>
        <v>60.571428571428569</v>
      </c>
      <c r="AF21" s="31">
        <f t="shared" si="13"/>
        <v>81.571428571428569</v>
      </c>
    </row>
    <row r="22" spans="2:32" ht="23.1" customHeight="1" x14ac:dyDescent="0.25">
      <c r="B22" s="23" t="s">
        <v>49</v>
      </c>
      <c r="C22" s="49">
        <f>AVERAGE('29.07 Kigumba-Karuma'!C22,'30.07 Kigumba-Karuma'!C22,'31.07 Kigumba-Karuma'!C22,'01.08 Kigumba-Karuma'!C22,'02.08 Kigumba-Karuma-24h'!C22,'03.08 Kigumba-Karuma-24h'!C22,'04.08 Kigumba-Karuma'!C22)</f>
        <v>0.42857142857142855</v>
      </c>
      <c r="D22" s="49">
        <f>AVERAGE('29.07 Kigumba-Karuma'!D22,'30.07 Kigumba-Karuma'!D22,'31.07 Kigumba-Karuma'!D22,'01.08 Kigumba-Karuma'!D22,'02.08 Kigumba-Karuma-24h'!D22,'03.08 Kigumba-Karuma-24h'!D22,'04.08 Kigumba-Karuma'!D22)</f>
        <v>1.1428571428571428</v>
      </c>
      <c r="E22" s="49">
        <f>AVERAGE('29.07 Kigumba-Karuma'!E22,'30.07 Kigumba-Karuma'!E22,'31.07 Kigumba-Karuma'!E22,'01.08 Kigumba-Karuma'!E22,'02.08 Kigumba-Karuma-24h'!E22,'03.08 Kigumba-Karuma-24h'!E22,'04.08 Kigumba-Karuma'!E22)</f>
        <v>2.7142857142857144</v>
      </c>
      <c r="F22" s="49">
        <f>AVERAGE('29.07 Kigumba-Karuma'!F22,'30.07 Kigumba-Karuma'!F22,'31.07 Kigumba-Karuma'!F22,'01.08 Kigumba-Karuma'!F22,'02.08 Kigumba-Karuma-24h'!F22,'03.08 Kigumba-Karuma-24h'!F22,'04.08 Kigumba-Karuma'!F22)</f>
        <v>2</v>
      </c>
      <c r="G22" s="49">
        <f>AVERAGE('29.07 Kigumba-Karuma'!G22,'30.07 Kigumba-Karuma'!G22,'31.07 Kigumba-Karuma'!G22,'01.08 Kigumba-Karuma'!G22,'02.08 Kigumba-Karuma-24h'!G22,'03.08 Kigumba-Karuma-24h'!G22,'04.08 Kigumba-Karuma'!G22)</f>
        <v>0.14285714285714285</v>
      </c>
      <c r="H22" s="49">
        <f>AVERAGE('29.07 Kigumba-Karuma'!H22,'30.07 Kigumba-Karuma'!H22,'31.07 Kigumba-Karuma'!H22,'01.08 Kigumba-Karuma'!H22,'02.08 Kigumba-Karuma-24h'!H22,'03.08 Kigumba-Karuma-24h'!H22,'04.08 Kigumba-Karuma'!H22)</f>
        <v>0.7142857142857143</v>
      </c>
      <c r="I22" s="49">
        <f>AVERAGE('29.07 Kigumba-Karuma'!I22,'30.07 Kigumba-Karuma'!I22,'31.07 Kigumba-Karuma'!I22,'01.08 Kigumba-Karuma'!I22,'02.08 Kigumba-Karuma-24h'!I22,'03.08 Kigumba-Karuma-24h'!I22,'04.08 Kigumba-Karuma'!I22)</f>
        <v>0.7142857142857143</v>
      </c>
      <c r="J22" s="49">
        <f>AVERAGE('29.07 Kigumba-Karuma'!J22,'30.07 Kigumba-Karuma'!J22,'31.07 Kigumba-Karuma'!J22,'01.08 Kigumba-Karuma'!J22,'02.08 Kigumba-Karuma-24h'!J22,'03.08 Kigumba-Karuma-24h'!J22,'04.08 Kigumba-Karuma'!J22)</f>
        <v>0.2857142857142857</v>
      </c>
      <c r="K22" s="49">
        <f>AVERAGE('29.07 Kigumba-Karuma'!K22,'30.07 Kigumba-Karuma'!K22,'31.07 Kigumba-Karuma'!K22,'01.08 Kigumba-Karuma'!K22,'02.08 Kigumba-Karuma-24h'!K22,'03.08 Kigumba-Karuma-24h'!K22,'04.08 Kigumba-Karuma'!K22)</f>
        <v>0</v>
      </c>
      <c r="L22" s="49">
        <f>AVERAGE('29.07 Kigumba-Karuma'!L22,'30.07 Kigumba-Karuma'!L22,'31.07 Kigumba-Karuma'!L22,'01.08 Kigumba-Karuma'!L22,'02.08 Kigumba-Karuma-24h'!L22,'03.08 Kigumba-Karuma-24h'!L22,'04.08 Kigumba-Karuma'!L22)</f>
        <v>0.5714285714285714</v>
      </c>
      <c r="M22" s="49">
        <f>AVERAGE('29.07 Kigumba-Karuma'!M22,'30.07 Kigumba-Karuma'!M22,'31.07 Kigumba-Karuma'!M22,'01.08 Kigumba-Karuma'!M22,'02.08 Kigumba-Karuma-24h'!M22,'03.08 Kigumba-Karuma-24h'!M22,'04.08 Kigumba-Karuma'!M22)</f>
        <v>3.7142857142857144</v>
      </c>
      <c r="N22" s="49">
        <f>AVERAGE('29.07 Kigumba-Karuma'!N22,'30.07 Kigumba-Karuma'!N22,'31.07 Kigumba-Karuma'!N22,'01.08 Kigumba-Karuma'!N22,'02.08 Kigumba-Karuma-24h'!N22,'03.08 Kigumba-Karuma-24h'!N22,'04.08 Kigumba-Karuma'!N22)</f>
        <v>0</v>
      </c>
      <c r="O22" s="15">
        <f t="shared" si="0"/>
        <v>8.7142857142857153</v>
      </c>
      <c r="P22" s="15">
        <f t="shared" si="1"/>
        <v>12.428571428571431</v>
      </c>
      <c r="R22" s="1" t="s">
        <v>146</v>
      </c>
      <c r="S22" s="34">
        <f>SUM(C58:C61)</f>
        <v>8.5</v>
      </c>
      <c r="T22" s="34">
        <f t="shared" ref="T22:AF22" si="14">SUM(D58:D61)</f>
        <v>4.5</v>
      </c>
      <c r="U22" s="34">
        <f t="shared" si="14"/>
        <v>11.5</v>
      </c>
      <c r="V22" s="34">
        <f t="shared" si="14"/>
        <v>4</v>
      </c>
      <c r="W22" s="34">
        <f t="shared" si="14"/>
        <v>0</v>
      </c>
      <c r="X22" s="34">
        <f t="shared" si="14"/>
        <v>2.5</v>
      </c>
      <c r="Y22" s="34">
        <f t="shared" si="14"/>
        <v>7</v>
      </c>
      <c r="Z22" s="34">
        <f t="shared" si="14"/>
        <v>0.5</v>
      </c>
      <c r="AA22" s="34">
        <f t="shared" si="14"/>
        <v>0</v>
      </c>
      <c r="AB22" s="34">
        <f t="shared" si="14"/>
        <v>10</v>
      </c>
      <c r="AC22" s="34">
        <f t="shared" si="14"/>
        <v>16</v>
      </c>
      <c r="AD22" s="34">
        <f t="shared" si="14"/>
        <v>0</v>
      </c>
      <c r="AE22" s="31">
        <f t="shared" si="14"/>
        <v>48.5</v>
      </c>
      <c r="AF22" s="31">
        <f t="shared" si="14"/>
        <v>64.5</v>
      </c>
    </row>
    <row r="23" spans="2:32" ht="23.1" customHeight="1" x14ac:dyDescent="0.25">
      <c r="B23" s="23" t="s">
        <v>50</v>
      </c>
      <c r="C23" s="49">
        <f>AVERAGE('29.07 Kigumba-Karuma'!C23,'30.07 Kigumba-Karuma'!C23,'31.07 Kigumba-Karuma'!C23,'01.08 Kigumba-Karuma'!C23,'02.08 Kigumba-Karuma-24h'!C23,'03.08 Kigumba-Karuma-24h'!C23,'04.08 Kigumba-Karuma'!C23)</f>
        <v>0.7142857142857143</v>
      </c>
      <c r="D23" s="49">
        <f>AVERAGE('29.07 Kigumba-Karuma'!D23,'30.07 Kigumba-Karuma'!D23,'31.07 Kigumba-Karuma'!D23,'01.08 Kigumba-Karuma'!D23,'02.08 Kigumba-Karuma-24h'!D23,'03.08 Kigumba-Karuma-24h'!D23,'04.08 Kigumba-Karuma'!D23)</f>
        <v>1.4285714285714286</v>
      </c>
      <c r="E23" s="49">
        <f>AVERAGE('29.07 Kigumba-Karuma'!E23,'30.07 Kigumba-Karuma'!E23,'31.07 Kigumba-Karuma'!E23,'01.08 Kigumba-Karuma'!E23,'02.08 Kigumba-Karuma-24h'!E23,'03.08 Kigumba-Karuma-24h'!E23,'04.08 Kigumba-Karuma'!E23)</f>
        <v>2.5714285714285716</v>
      </c>
      <c r="F23" s="49">
        <f>AVERAGE('29.07 Kigumba-Karuma'!F23,'30.07 Kigumba-Karuma'!F23,'31.07 Kigumba-Karuma'!F23,'01.08 Kigumba-Karuma'!F23,'02.08 Kigumba-Karuma-24h'!F23,'03.08 Kigumba-Karuma-24h'!F23,'04.08 Kigumba-Karuma'!F23)</f>
        <v>2.2857142857142856</v>
      </c>
      <c r="G23" s="49">
        <f>AVERAGE('29.07 Kigumba-Karuma'!G23,'30.07 Kigumba-Karuma'!G23,'31.07 Kigumba-Karuma'!G23,'01.08 Kigumba-Karuma'!G23,'02.08 Kigumba-Karuma-24h'!G23,'03.08 Kigumba-Karuma-24h'!G23,'04.08 Kigumba-Karuma'!G23)</f>
        <v>0</v>
      </c>
      <c r="H23" s="49">
        <f>AVERAGE('29.07 Kigumba-Karuma'!H23,'30.07 Kigumba-Karuma'!H23,'31.07 Kigumba-Karuma'!H23,'01.08 Kigumba-Karuma'!H23,'02.08 Kigumba-Karuma-24h'!H23,'03.08 Kigumba-Karuma-24h'!H23,'04.08 Kigumba-Karuma'!H23)</f>
        <v>0.5714285714285714</v>
      </c>
      <c r="I23" s="49">
        <f>AVERAGE('29.07 Kigumba-Karuma'!I23,'30.07 Kigumba-Karuma'!I23,'31.07 Kigumba-Karuma'!I23,'01.08 Kigumba-Karuma'!I23,'02.08 Kigumba-Karuma-24h'!I23,'03.08 Kigumba-Karuma-24h'!I23,'04.08 Kigumba-Karuma'!I23)</f>
        <v>2.2857142857142856</v>
      </c>
      <c r="J23" s="49">
        <f>AVERAGE('29.07 Kigumba-Karuma'!J23,'30.07 Kigumba-Karuma'!J23,'31.07 Kigumba-Karuma'!J23,'01.08 Kigumba-Karuma'!J23,'02.08 Kigumba-Karuma-24h'!J23,'03.08 Kigumba-Karuma-24h'!J23,'04.08 Kigumba-Karuma'!J23)</f>
        <v>0.2857142857142857</v>
      </c>
      <c r="K23" s="49">
        <f>AVERAGE('29.07 Kigumba-Karuma'!K23,'30.07 Kigumba-Karuma'!K23,'31.07 Kigumba-Karuma'!K23,'01.08 Kigumba-Karuma'!K23,'02.08 Kigumba-Karuma-24h'!K23,'03.08 Kigumba-Karuma-24h'!K23,'04.08 Kigumba-Karuma'!K23)</f>
        <v>0</v>
      </c>
      <c r="L23" s="49">
        <f>AVERAGE('29.07 Kigumba-Karuma'!L23,'30.07 Kigumba-Karuma'!L23,'31.07 Kigumba-Karuma'!L23,'01.08 Kigumba-Karuma'!L23,'02.08 Kigumba-Karuma-24h'!L23,'03.08 Kigumba-Karuma-24h'!L23,'04.08 Kigumba-Karuma'!L23)</f>
        <v>0.14285714285714285</v>
      </c>
      <c r="M23" s="49">
        <f>AVERAGE('29.07 Kigumba-Karuma'!M23,'30.07 Kigumba-Karuma'!M23,'31.07 Kigumba-Karuma'!M23,'01.08 Kigumba-Karuma'!M23,'02.08 Kigumba-Karuma-24h'!M23,'03.08 Kigumba-Karuma-24h'!M23,'04.08 Kigumba-Karuma'!M23)</f>
        <v>3.4285714285714284</v>
      </c>
      <c r="N23" s="49">
        <f>AVERAGE('29.07 Kigumba-Karuma'!N23,'30.07 Kigumba-Karuma'!N23,'31.07 Kigumba-Karuma'!N23,'01.08 Kigumba-Karuma'!N23,'02.08 Kigumba-Karuma-24h'!N23,'03.08 Kigumba-Karuma-24h'!N23,'04.08 Kigumba-Karuma'!N23)</f>
        <v>0</v>
      </c>
      <c r="O23" s="15">
        <f t="shared" si="0"/>
        <v>10.285714285714286</v>
      </c>
      <c r="P23" s="15">
        <f t="shared" si="1"/>
        <v>13.714285714285715</v>
      </c>
      <c r="R23" s="1" t="s">
        <v>147</v>
      </c>
      <c r="S23" s="34">
        <f>SUM(C62:C65)</f>
        <v>7</v>
      </c>
      <c r="T23" s="34">
        <f t="shared" ref="T23:AF23" si="15">SUM(D62:D65)</f>
        <v>4.5</v>
      </c>
      <c r="U23" s="34">
        <f t="shared" si="15"/>
        <v>10.5</v>
      </c>
      <c r="V23" s="34">
        <f t="shared" si="15"/>
        <v>4.5</v>
      </c>
      <c r="W23" s="34">
        <f t="shared" si="15"/>
        <v>0</v>
      </c>
      <c r="X23" s="34">
        <f t="shared" si="15"/>
        <v>0.5</v>
      </c>
      <c r="Y23" s="34">
        <f t="shared" si="15"/>
        <v>7</v>
      </c>
      <c r="Z23" s="34">
        <f t="shared" si="15"/>
        <v>1</v>
      </c>
      <c r="AA23" s="34">
        <f t="shared" si="15"/>
        <v>0</v>
      </c>
      <c r="AB23" s="34">
        <f t="shared" si="15"/>
        <v>4.5</v>
      </c>
      <c r="AC23" s="34">
        <f t="shared" si="15"/>
        <v>13.5</v>
      </c>
      <c r="AD23" s="34">
        <f t="shared" si="15"/>
        <v>0</v>
      </c>
      <c r="AE23" s="31">
        <f t="shared" si="15"/>
        <v>39.5</v>
      </c>
      <c r="AF23" s="31">
        <f t="shared" si="15"/>
        <v>53</v>
      </c>
    </row>
    <row r="24" spans="2:32" ht="23.1" customHeight="1" x14ac:dyDescent="0.25">
      <c r="B24" s="23" t="s">
        <v>51</v>
      </c>
      <c r="C24" s="49">
        <f>AVERAGE('29.07 Kigumba-Karuma'!C24,'30.07 Kigumba-Karuma'!C24,'31.07 Kigumba-Karuma'!C24,'01.08 Kigumba-Karuma'!C24,'02.08 Kigumba-Karuma-24h'!C24,'03.08 Kigumba-Karuma-24h'!C24,'04.08 Kigumba-Karuma'!C24)</f>
        <v>1.5714285714285714</v>
      </c>
      <c r="D24" s="49">
        <f>AVERAGE('29.07 Kigumba-Karuma'!D24,'30.07 Kigumba-Karuma'!D24,'31.07 Kigumba-Karuma'!D24,'01.08 Kigumba-Karuma'!D24,'02.08 Kigumba-Karuma-24h'!D24,'03.08 Kigumba-Karuma-24h'!D24,'04.08 Kigumba-Karuma'!D24)</f>
        <v>1.7142857142857142</v>
      </c>
      <c r="E24" s="49">
        <f>AVERAGE('29.07 Kigumba-Karuma'!E24,'30.07 Kigumba-Karuma'!E24,'31.07 Kigumba-Karuma'!E24,'01.08 Kigumba-Karuma'!E24,'02.08 Kigumba-Karuma-24h'!E24,'03.08 Kigumba-Karuma-24h'!E24,'04.08 Kigumba-Karuma'!E24)</f>
        <v>2.8571428571428572</v>
      </c>
      <c r="F24" s="49">
        <f>AVERAGE('29.07 Kigumba-Karuma'!F24,'30.07 Kigumba-Karuma'!F24,'31.07 Kigumba-Karuma'!F24,'01.08 Kigumba-Karuma'!F24,'02.08 Kigumba-Karuma-24h'!F24,'03.08 Kigumba-Karuma-24h'!F24,'04.08 Kigumba-Karuma'!F24)</f>
        <v>1.8571428571428572</v>
      </c>
      <c r="G24" s="49">
        <f>AVERAGE('29.07 Kigumba-Karuma'!G24,'30.07 Kigumba-Karuma'!G24,'31.07 Kigumba-Karuma'!G24,'01.08 Kigumba-Karuma'!G24,'02.08 Kigumba-Karuma-24h'!G24,'03.08 Kigumba-Karuma-24h'!G24,'04.08 Kigumba-Karuma'!G24)</f>
        <v>0</v>
      </c>
      <c r="H24" s="49">
        <f>AVERAGE('29.07 Kigumba-Karuma'!H24,'30.07 Kigumba-Karuma'!H24,'31.07 Kigumba-Karuma'!H24,'01.08 Kigumba-Karuma'!H24,'02.08 Kigumba-Karuma-24h'!H24,'03.08 Kigumba-Karuma-24h'!H24,'04.08 Kigumba-Karuma'!H24)</f>
        <v>0.8571428571428571</v>
      </c>
      <c r="I24" s="49">
        <f>AVERAGE('29.07 Kigumba-Karuma'!I24,'30.07 Kigumba-Karuma'!I24,'31.07 Kigumba-Karuma'!I24,'01.08 Kigumba-Karuma'!I24,'02.08 Kigumba-Karuma-24h'!I24,'03.08 Kigumba-Karuma-24h'!I24,'04.08 Kigumba-Karuma'!I24)</f>
        <v>1.1428571428571428</v>
      </c>
      <c r="J24" s="49">
        <f>AVERAGE('29.07 Kigumba-Karuma'!J24,'30.07 Kigumba-Karuma'!J24,'31.07 Kigumba-Karuma'!J24,'01.08 Kigumba-Karuma'!J24,'02.08 Kigumba-Karuma-24h'!J24,'03.08 Kigumba-Karuma-24h'!J24,'04.08 Kigumba-Karuma'!J24)</f>
        <v>0.14285714285714285</v>
      </c>
      <c r="K24" s="49">
        <f>AVERAGE('29.07 Kigumba-Karuma'!K24,'30.07 Kigumba-Karuma'!K24,'31.07 Kigumba-Karuma'!K24,'01.08 Kigumba-Karuma'!K24,'02.08 Kigumba-Karuma-24h'!K24,'03.08 Kigumba-Karuma-24h'!K24,'04.08 Kigumba-Karuma'!K24)</f>
        <v>0</v>
      </c>
      <c r="L24" s="49">
        <f>AVERAGE('29.07 Kigumba-Karuma'!L24,'30.07 Kigumba-Karuma'!L24,'31.07 Kigumba-Karuma'!L24,'01.08 Kigumba-Karuma'!L24,'02.08 Kigumba-Karuma-24h'!L24,'03.08 Kigumba-Karuma-24h'!L24,'04.08 Kigumba-Karuma'!L24)</f>
        <v>0.7142857142857143</v>
      </c>
      <c r="M24" s="49">
        <f>AVERAGE('29.07 Kigumba-Karuma'!M24,'30.07 Kigumba-Karuma'!M24,'31.07 Kigumba-Karuma'!M24,'01.08 Kigumba-Karuma'!M24,'02.08 Kigumba-Karuma-24h'!M24,'03.08 Kigumba-Karuma-24h'!M24,'04.08 Kigumba-Karuma'!M24)</f>
        <v>4.7142857142857144</v>
      </c>
      <c r="N24" s="49">
        <f>AVERAGE('29.07 Kigumba-Karuma'!N24,'30.07 Kigumba-Karuma'!N24,'31.07 Kigumba-Karuma'!N24,'01.08 Kigumba-Karuma'!N24,'02.08 Kigumba-Karuma-24h'!N24,'03.08 Kigumba-Karuma-24h'!N24,'04.08 Kigumba-Karuma'!N24)</f>
        <v>0</v>
      </c>
      <c r="O24" s="15">
        <f t="shared" si="0"/>
        <v>10.857142857142856</v>
      </c>
      <c r="P24" s="15">
        <f t="shared" si="1"/>
        <v>15.571428571428569</v>
      </c>
      <c r="R24" s="1" t="s">
        <v>148</v>
      </c>
      <c r="S24" s="34">
        <f>SUM(C66:C69)</f>
        <v>5.5</v>
      </c>
      <c r="T24" s="34">
        <f t="shared" ref="T24:AF24" si="16">SUM(D66:D69)</f>
        <v>3.5</v>
      </c>
      <c r="U24" s="34">
        <f t="shared" si="16"/>
        <v>10</v>
      </c>
      <c r="V24" s="34">
        <f t="shared" si="16"/>
        <v>4.5</v>
      </c>
      <c r="W24" s="34">
        <f t="shared" si="16"/>
        <v>0</v>
      </c>
      <c r="X24" s="34">
        <f t="shared" si="16"/>
        <v>0</v>
      </c>
      <c r="Y24" s="34">
        <f t="shared" si="16"/>
        <v>3.5</v>
      </c>
      <c r="Z24" s="34">
        <f t="shared" si="16"/>
        <v>0</v>
      </c>
      <c r="AA24" s="34">
        <f t="shared" si="16"/>
        <v>0</v>
      </c>
      <c r="AB24" s="34">
        <f t="shared" si="16"/>
        <v>3</v>
      </c>
      <c r="AC24" s="34">
        <f t="shared" si="16"/>
        <v>11</v>
      </c>
      <c r="AD24" s="34">
        <f t="shared" si="16"/>
        <v>0</v>
      </c>
      <c r="AE24" s="31">
        <f t="shared" si="16"/>
        <v>30</v>
      </c>
      <c r="AF24" s="31">
        <f t="shared" si="16"/>
        <v>41</v>
      </c>
    </row>
    <row r="25" spans="2:32" ht="23.1" customHeight="1" x14ac:dyDescent="0.25">
      <c r="B25" s="23" t="s">
        <v>52</v>
      </c>
      <c r="C25" s="49">
        <f>AVERAGE('29.07 Kigumba-Karuma'!C25,'30.07 Kigumba-Karuma'!C25,'31.07 Kigumba-Karuma'!C25,'01.08 Kigumba-Karuma'!C25,'02.08 Kigumba-Karuma-24h'!C25,'03.08 Kigumba-Karuma-24h'!C25,'04.08 Kigumba-Karuma'!C25)</f>
        <v>1.5714285714285714</v>
      </c>
      <c r="D25" s="49">
        <f>AVERAGE('29.07 Kigumba-Karuma'!D25,'30.07 Kigumba-Karuma'!D25,'31.07 Kigumba-Karuma'!D25,'01.08 Kigumba-Karuma'!D25,'02.08 Kigumba-Karuma-24h'!D25,'03.08 Kigumba-Karuma-24h'!D25,'04.08 Kigumba-Karuma'!D25)</f>
        <v>1.7142857142857142</v>
      </c>
      <c r="E25" s="49">
        <f>AVERAGE('29.07 Kigumba-Karuma'!E25,'30.07 Kigumba-Karuma'!E25,'31.07 Kigumba-Karuma'!E25,'01.08 Kigumba-Karuma'!E25,'02.08 Kigumba-Karuma-24h'!E25,'03.08 Kigumba-Karuma-24h'!E25,'04.08 Kigumba-Karuma'!E25)</f>
        <v>3</v>
      </c>
      <c r="F25" s="49">
        <f>AVERAGE('29.07 Kigumba-Karuma'!F25,'30.07 Kigumba-Karuma'!F25,'31.07 Kigumba-Karuma'!F25,'01.08 Kigumba-Karuma'!F25,'02.08 Kigumba-Karuma-24h'!F25,'03.08 Kigumba-Karuma-24h'!F25,'04.08 Kigumba-Karuma'!F25)</f>
        <v>2.4285714285714284</v>
      </c>
      <c r="G25" s="49">
        <f>AVERAGE('29.07 Kigumba-Karuma'!G25,'30.07 Kigumba-Karuma'!G25,'31.07 Kigumba-Karuma'!G25,'01.08 Kigumba-Karuma'!G25,'02.08 Kigumba-Karuma-24h'!G25,'03.08 Kigumba-Karuma-24h'!G25,'04.08 Kigumba-Karuma'!G25)</f>
        <v>0</v>
      </c>
      <c r="H25" s="49">
        <f>AVERAGE('29.07 Kigumba-Karuma'!H25,'30.07 Kigumba-Karuma'!H25,'31.07 Kigumba-Karuma'!H25,'01.08 Kigumba-Karuma'!H25,'02.08 Kigumba-Karuma-24h'!H25,'03.08 Kigumba-Karuma-24h'!H25,'04.08 Kigumba-Karuma'!H25)</f>
        <v>0.8571428571428571</v>
      </c>
      <c r="I25" s="49">
        <f>AVERAGE('29.07 Kigumba-Karuma'!I25,'30.07 Kigumba-Karuma'!I25,'31.07 Kigumba-Karuma'!I25,'01.08 Kigumba-Karuma'!I25,'02.08 Kigumba-Karuma-24h'!I25,'03.08 Kigumba-Karuma-24h'!I25,'04.08 Kigumba-Karuma'!I25)</f>
        <v>1.5714285714285714</v>
      </c>
      <c r="J25" s="49">
        <f>AVERAGE('29.07 Kigumba-Karuma'!J25,'30.07 Kigumba-Karuma'!J25,'31.07 Kigumba-Karuma'!J25,'01.08 Kigumba-Karuma'!J25,'02.08 Kigumba-Karuma-24h'!J25,'03.08 Kigumba-Karuma-24h'!J25,'04.08 Kigumba-Karuma'!J25)</f>
        <v>0.14285714285714285</v>
      </c>
      <c r="K25" s="49">
        <f>AVERAGE('29.07 Kigumba-Karuma'!K25,'30.07 Kigumba-Karuma'!K25,'31.07 Kigumba-Karuma'!K25,'01.08 Kigumba-Karuma'!K25,'02.08 Kigumba-Karuma-24h'!K25,'03.08 Kigumba-Karuma-24h'!K25,'04.08 Kigumba-Karuma'!K25)</f>
        <v>0.14285714285714285</v>
      </c>
      <c r="L25" s="49">
        <f>AVERAGE('29.07 Kigumba-Karuma'!L25,'30.07 Kigumba-Karuma'!L25,'31.07 Kigumba-Karuma'!L25,'01.08 Kigumba-Karuma'!L25,'02.08 Kigumba-Karuma-24h'!L25,'03.08 Kigumba-Karuma-24h'!L25,'04.08 Kigumba-Karuma'!L25)</f>
        <v>0.7142857142857143</v>
      </c>
      <c r="M25" s="49">
        <f>AVERAGE('29.07 Kigumba-Karuma'!M25,'30.07 Kigumba-Karuma'!M25,'31.07 Kigumba-Karuma'!M25,'01.08 Kigumba-Karuma'!M25,'02.08 Kigumba-Karuma-24h'!M25,'03.08 Kigumba-Karuma-24h'!M25,'04.08 Kigumba-Karuma'!M25)</f>
        <v>3.4285714285714284</v>
      </c>
      <c r="N25" s="49">
        <f>AVERAGE('29.07 Kigumba-Karuma'!N25,'30.07 Kigumba-Karuma'!N25,'31.07 Kigumba-Karuma'!N25,'01.08 Kigumba-Karuma'!N25,'02.08 Kigumba-Karuma-24h'!N25,'03.08 Kigumba-Karuma-24h'!N25,'04.08 Kigumba-Karuma'!N25)</f>
        <v>0</v>
      </c>
      <c r="O25" s="15">
        <f t="shared" si="0"/>
        <v>12.142857142857141</v>
      </c>
      <c r="P25" s="15">
        <f t="shared" si="1"/>
        <v>15.571428571428569</v>
      </c>
      <c r="R25" s="1" t="s">
        <v>149</v>
      </c>
      <c r="S25" s="34">
        <f>SUM(C70:C73)</f>
        <v>4</v>
      </c>
      <c r="T25" s="34">
        <f t="shared" ref="T25:AF25" si="17">SUM(D70:D73)</f>
        <v>3.5</v>
      </c>
      <c r="U25" s="34">
        <f t="shared" si="17"/>
        <v>8</v>
      </c>
      <c r="V25" s="34">
        <f t="shared" si="17"/>
        <v>4.5</v>
      </c>
      <c r="W25" s="34">
        <f t="shared" si="17"/>
        <v>0</v>
      </c>
      <c r="X25" s="34">
        <f t="shared" si="17"/>
        <v>4</v>
      </c>
      <c r="Y25" s="34">
        <f t="shared" si="17"/>
        <v>3.5</v>
      </c>
      <c r="Z25" s="34">
        <f t="shared" si="17"/>
        <v>0</v>
      </c>
      <c r="AA25" s="34">
        <f t="shared" si="17"/>
        <v>0</v>
      </c>
      <c r="AB25" s="34">
        <f t="shared" si="17"/>
        <v>2</v>
      </c>
      <c r="AC25" s="34">
        <f t="shared" si="17"/>
        <v>10</v>
      </c>
      <c r="AD25" s="34">
        <f t="shared" si="17"/>
        <v>0</v>
      </c>
      <c r="AE25" s="31">
        <f t="shared" si="17"/>
        <v>29.5</v>
      </c>
      <c r="AF25" s="31">
        <f t="shared" si="17"/>
        <v>39.5</v>
      </c>
    </row>
    <row r="26" spans="2:32" ht="23.1" customHeight="1" x14ac:dyDescent="0.25">
      <c r="B26" s="23" t="s">
        <v>53</v>
      </c>
      <c r="C26" s="49">
        <f>AVERAGE('29.07 Kigumba-Karuma'!C26,'30.07 Kigumba-Karuma'!C26,'31.07 Kigumba-Karuma'!C26,'01.08 Kigumba-Karuma'!C26,'02.08 Kigumba-Karuma-24h'!C26,'03.08 Kigumba-Karuma-24h'!C26,'04.08 Kigumba-Karuma'!C26)</f>
        <v>2.5714285714285716</v>
      </c>
      <c r="D26" s="49">
        <f>AVERAGE('29.07 Kigumba-Karuma'!D26,'30.07 Kigumba-Karuma'!D26,'31.07 Kigumba-Karuma'!D26,'01.08 Kigumba-Karuma'!D26,'02.08 Kigumba-Karuma-24h'!D26,'03.08 Kigumba-Karuma-24h'!D26,'04.08 Kigumba-Karuma'!D26)</f>
        <v>1.4285714285714286</v>
      </c>
      <c r="E26" s="49">
        <f>AVERAGE('29.07 Kigumba-Karuma'!E26,'30.07 Kigumba-Karuma'!E26,'31.07 Kigumba-Karuma'!E26,'01.08 Kigumba-Karuma'!E26,'02.08 Kigumba-Karuma-24h'!E26,'03.08 Kigumba-Karuma-24h'!E26,'04.08 Kigumba-Karuma'!E26)</f>
        <v>2.8571428571428572</v>
      </c>
      <c r="F26" s="49">
        <f>AVERAGE('29.07 Kigumba-Karuma'!F26,'30.07 Kigumba-Karuma'!F26,'31.07 Kigumba-Karuma'!F26,'01.08 Kigumba-Karuma'!F26,'02.08 Kigumba-Karuma-24h'!F26,'03.08 Kigumba-Karuma-24h'!F26,'04.08 Kigumba-Karuma'!F26)</f>
        <v>1.8571428571428572</v>
      </c>
      <c r="G26" s="49">
        <f>AVERAGE('29.07 Kigumba-Karuma'!G26,'30.07 Kigumba-Karuma'!G26,'31.07 Kigumba-Karuma'!G26,'01.08 Kigumba-Karuma'!G26,'02.08 Kigumba-Karuma-24h'!G26,'03.08 Kigumba-Karuma-24h'!G26,'04.08 Kigumba-Karuma'!G26)</f>
        <v>0.14285714285714285</v>
      </c>
      <c r="H26" s="49">
        <f>AVERAGE('29.07 Kigumba-Karuma'!H26,'30.07 Kigumba-Karuma'!H26,'31.07 Kigumba-Karuma'!H26,'01.08 Kigumba-Karuma'!H26,'02.08 Kigumba-Karuma-24h'!H26,'03.08 Kigumba-Karuma-24h'!H26,'04.08 Kigumba-Karuma'!H26)</f>
        <v>1</v>
      </c>
      <c r="I26" s="49">
        <f>AVERAGE('29.07 Kigumba-Karuma'!I26,'30.07 Kigumba-Karuma'!I26,'31.07 Kigumba-Karuma'!I26,'01.08 Kigumba-Karuma'!I26,'02.08 Kigumba-Karuma-24h'!I26,'03.08 Kigumba-Karuma-24h'!I26,'04.08 Kigumba-Karuma'!I26)</f>
        <v>1.8571428571428572</v>
      </c>
      <c r="J26" s="49">
        <f>AVERAGE('29.07 Kigumba-Karuma'!J26,'30.07 Kigumba-Karuma'!J26,'31.07 Kigumba-Karuma'!J26,'01.08 Kigumba-Karuma'!J26,'02.08 Kigumba-Karuma-24h'!J26,'03.08 Kigumba-Karuma-24h'!J26,'04.08 Kigumba-Karuma'!J26)</f>
        <v>0.2857142857142857</v>
      </c>
      <c r="K26" s="49">
        <f>AVERAGE('29.07 Kigumba-Karuma'!K26,'30.07 Kigumba-Karuma'!K26,'31.07 Kigumba-Karuma'!K26,'01.08 Kigumba-Karuma'!K26,'02.08 Kigumba-Karuma-24h'!K26,'03.08 Kigumba-Karuma-24h'!K26,'04.08 Kigumba-Karuma'!K26)</f>
        <v>0.2857142857142857</v>
      </c>
      <c r="L26" s="49">
        <f>AVERAGE('29.07 Kigumba-Karuma'!L26,'30.07 Kigumba-Karuma'!L26,'31.07 Kigumba-Karuma'!L26,'01.08 Kigumba-Karuma'!L26,'02.08 Kigumba-Karuma-24h'!L26,'03.08 Kigumba-Karuma-24h'!L26,'04.08 Kigumba-Karuma'!L26)</f>
        <v>0.5714285714285714</v>
      </c>
      <c r="M26" s="49">
        <f>AVERAGE('29.07 Kigumba-Karuma'!M26,'30.07 Kigumba-Karuma'!M26,'31.07 Kigumba-Karuma'!M26,'01.08 Kigumba-Karuma'!M26,'02.08 Kigumba-Karuma-24h'!M26,'03.08 Kigumba-Karuma-24h'!M26,'04.08 Kigumba-Karuma'!M26)</f>
        <v>3.2857142857142856</v>
      </c>
      <c r="N26" s="49">
        <f>AVERAGE('29.07 Kigumba-Karuma'!N26,'30.07 Kigumba-Karuma'!N26,'31.07 Kigumba-Karuma'!N26,'01.08 Kigumba-Karuma'!N26,'02.08 Kigumba-Karuma-24h'!N26,'03.08 Kigumba-Karuma-24h'!N26,'04.08 Kigumba-Karuma'!N26)</f>
        <v>0</v>
      </c>
      <c r="O26" s="15">
        <f t="shared" si="0"/>
        <v>12.857142857142859</v>
      </c>
      <c r="P26" s="15">
        <f t="shared" si="1"/>
        <v>16.142857142857146</v>
      </c>
      <c r="R26" s="1" t="s">
        <v>150</v>
      </c>
      <c r="S26" s="34">
        <f>SUM(C74:C77)</f>
        <v>5</v>
      </c>
      <c r="T26" s="34">
        <f t="shared" ref="T26:AF26" si="18">SUM(D74:D77)</f>
        <v>3</v>
      </c>
      <c r="U26" s="34">
        <f t="shared" si="18"/>
        <v>6.5</v>
      </c>
      <c r="V26" s="34">
        <f t="shared" si="18"/>
        <v>4</v>
      </c>
      <c r="W26" s="34">
        <f t="shared" si="18"/>
        <v>0</v>
      </c>
      <c r="X26" s="34">
        <f t="shared" si="18"/>
        <v>1.5</v>
      </c>
      <c r="Y26" s="34">
        <f t="shared" si="18"/>
        <v>2.5</v>
      </c>
      <c r="Z26" s="34">
        <f t="shared" si="18"/>
        <v>0</v>
      </c>
      <c r="AA26" s="34">
        <f t="shared" si="18"/>
        <v>0</v>
      </c>
      <c r="AB26" s="34">
        <f t="shared" si="18"/>
        <v>2</v>
      </c>
      <c r="AC26" s="34">
        <f t="shared" si="18"/>
        <v>9</v>
      </c>
      <c r="AD26" s="34">
        <f t="shared" si="18"/>
        <v>0</v>
      </c>
      <c r="AE26" s="31">
        <f t="shared" si="18"/>
        <v>24.5</v>
      </c>
      <c r="AF26" s="31">
        <f t="shared" si="18"/>
        <v>33.5</v>
      </c>
    </row>
    <row r="27" spans="2:32" ht="23.1" customHeight="1" x14ac:dyDescent="0.25">
      <c r="B27" s="23" t="s">
        <v>54</v>
      </c>
      <c r="C27" s="49">
        <f>AVERAGE('29.07 Kigumba-Karuma'!C27,'30.07 Kigumba-Karuma'!C27,'31.07 Kigumba-Karuma'!C27,'01.08 Kigumba-Karuma'!C27,'02.08 Kigumba-Karuma-24h'!C27,'03.08 Kigumba-Karuma-24h'!C27,'04.08 Kigumba-Karuma'!C27)</f>
        <v>2.4285714285714284</v>
      </c>
      <c r="D27" s="49">
        <f>AVERAGE('29.07 Kigumba-Karuma'!D27,'30.07 Kigumba-Karuma'!D27,'31.07 Kigumba-Karuma'!D27,'01.08 Kigumba-Karuma'!D27,'02.08 Kigumba-Karuma-24h'!D27,'03.08 Kigumba-Karuma-24h'!D27,'04.08 Kigumba-Karuma'!D27)</f>
        <v>1.2857142857142858</v>
      </c>
      <c r="E27" s="49">
        <f>AVERAGE('29.07 Kigumba-Karuma'!E27,'30.07 Kigumba-Karuma'!E27,'31.07 Kigumba-Karuma'!E27,'01.08 Kigumba-Karuma'!E27,'02.08 Kigumba-Karuma-24h'!E27,'03.08 Kigumba-Karuma-24h'!E27,'04.08 Kigumba-Karuma'!E27)</f>
        <v>2.4285714285714284</v>
      </c>
      <c r="F27" s="49">
        <f>AVERAGE('29.07 Kigumba-Karuma'!F27,'30.07 Kigumba-Karuma'!F27,'31.07 Kigumba-Karuma'!F27,'01.08 Kigumba-Karuma'!F27,'02.08 Kigumba-Karuma-24h'!F27,'03.08 Kigumba-Karuma-24h'!F27,'04.08 Kigumba-Karuma'!F27)</f>
        <v>1.5714285714285714</v>
      </c>
      <c r="G27" s="49">
        <f>AVERAGE('29.07 Kigumba-Karuma'!G27,'30.07 Kigumba-Karuma'!G27,'31.07 Kigumba-Karuma'!G27,'01.08 Kigumba-Karuma'!G27,'02.08 Kigumba-Karuma-24h'!G27,'03.08 Kigumba-Karuma-24h'!G27,'04.08 Kigumba-Karuma'!G27)</f>
        <v>0.2857142857142857</v>
      </c>
      <c r="H27" s="49">
        <f>AVERAGE('29.07 Kigumba-Karuma'!H27,'30.07 Kigumba-Karuma'!H27,'31.07 Kigumba-Karuma'!H27,'01.08 Kigumba-Karuma'!H27,'02.08 Kigumba-Karuma-24h'!H27,'03.08 Kigumba-Karuma-24h'!H27,'04.08 Kigumba-Karuma'!H27)</f>
        <v>0.42857142857142855</v>
      </c>
      <c r="I27" s="49">
        <f>AVERAGE('29.07 Kigumba-Karuma'!I27,'30.07 Kigumba-Karuma'!I27,'31.07 Kigumba-Karuma'!I27,'01.08 Kigumba-Karuma'!I27,'02.08 Kigumba-Karuma-24h'!I27,'03.08 Kigumba-Karuma-24h'!I27,'04.08 Kigumba-Karuma'!I27)</f>
        <v>0.5714285714285714</v>
      </c>
      <c r="J27" s="49">
        <f>AVERAGE('29.07 Kigumba-Karuma'!J27,'30.07 Kigumba-Karuma'!J27,'31.07 Kigumba-Karuma'!J27,'01.08 Kigumba-Karuma'!J27,'02.08 Kigumba-Karuma-24h'!J27,'03.08 Kigumba-Karuma-24h'!J27,'04.08 Kigumba-Karuma'!J27)</f>
        <v>0.14285714285714285</v>
      </c>
      <c r="K27" s="49">
        <f>AVERAGE('29.07 Kigumba-Karuma'!K27,'30.07 Kigumba-Karuma'!K27,'31.07 Kigumba-Karuma'!K27,'01.08 Kigumba-Karuma'!K27,'02.08 Kigumba-Karuma-24h'!K27,'03.08 Kigumba-Karuma-24h'!K27,'04.08 Kigumba-Karuma'!K27)</f>
        <v>0.2857142857142857</v>
      </c>
      <c r="L27" s="49">
        <f>AVERAGE('29.07 Kigumba-Karuma'!L27,'30.07 Kigumba-Karuma'!L27,'31.07 Kigumba-Karuma'!L27,'01.08 Kigumba-Karuma'!L27,'02.08 Kigumba-Karuma-24h'!L27,'03.08 Kigumba-Karuma-24h'!L27,'04.08 Kigumba-Karuma'!L27)</f>
        <v>0.8571428571428571</v>
      </c>
      <c r="M27" s="49">
        <f>AVERAGE('29.07 Kigumba-Karuma'!M27,'30.07 Kigumba-Karuma'!M27,'31.07 Kigumba-Karuma'!M27,'01.08 Kigumba-Karuma'!M27,'02.08 Kigumba-Karuma-24h'!M27,'03.08 Kigumba-Karuma-24h'!M27,'04.08 Kigumba-Karuma'!M27)</f>
        <v>3.4285714285714284</v>
      </c>
      <c r="N27" s="49">
        <f>AVERAGE('29.07 Kigumba-Karuma'!N27,'30.07 Kigumba-Karuma'!N27,'31.07 Kigumba-Karuma'!N27,'01.08 Kigumba-Karuma'!N27,'02.08 Kigumba-Karuma-24h'!N27,'03.08 Kigumba-Karuma-24h'!N27,'04.08 Kigumba-Karuma'!N27)</f>
        <v>0</v>
      </c>
      <c r="O27" s="15">
        <f t="shared" si="0"/>
        <v>10.285714285714285</v>
      </c>
      <c r="P27" s="15">
        <f t="shared" si="1"/>
        <v>13.714285714285714</v>
      </c>
      <c r="R27" s="1" t="s">
        <v>151</v>
      </c>
      <c r="S27" s="34">
        <f>SUM(C78:C81)</f>
        <v>2.5</v>
      </c>
      <c r="T27" s="34">
        <f t="shared" ref="T27:AF27" si="19">SUM(D78:D81)</f>
        <v>2</v>
      </c>
      <c r="U27" s="34">
        <f t="shared" si="19"/>
        <v>5.5</v>
      </c>
      <c r="V27" s="34">
        <f t="shared" si="19"/>
        <v>2</v>
      </c>
      <c r="W27" s="34">
        <f t="shared" si="19"/>
        <v>0</v>
      </c>
      <c r="X27" s="34">
        <f t="shared" si="19"/>
        <v>0.5</v>
      </c>
      <c r="Y27" s="34">
        <f t="shared" si="19"/>
        <v>1.5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6.5</v>
      </c>
      <c r="AD27" s="34">
        <f t="shared" si="19"/>
        <v>0</v>
      </c>
      <c r="AE27" s="31">
        <f t="shared" si="19"/>
        <v>15</v>
      </c>
      <c r="AF27" s="31">
        <f t="shared" si="19"/>
        <v>21.5</v>
      </c>
    </row>
    <row r="28" spans="2:32" ht="23.1" customHeight="1" x14ac:dyDescent="0.25">
      <c r="B28" s="23" t="s">
        <v>55</v>
      </c>
      <c r="C28" s="49">
        <f>AVERAGE('29.07 Kigumba-Karuma'!C28,'30.07 Kigumba-Karuma'!C28,'31.07 Kigumba-Karuma'!C28,'01.08 Kigumba-Karuma'!C28,'02.08 Kigumba-Karuma-24h'!C28,'03.08 Kigumba-Karuma-24h'!C28,'04.08 Kigumba-Karuma'!C28)</f>
        <v>1.8571428571428572</v>
      </c>
      <c r="D28" s="49">
        <f>AVERAGE('29.07 Kigumba-Karuma'!D28,'30.07 Kigumba-Karuma'!D28,'31.07 Kigumba-Karuma'!D28,'01.08 Kigumba-Karuma'!D28,'02.08 Kigumba-Karuma-24h'!D28,'03.08 Kigumba-Karuma-24h'!D28,'04.08 Kigumba-Karuma'!D28)</f>
        <v>1.4285714285714286</v>
      </c>
      <c r="E28" s="49">
        <f>AVERAGE('29.07 Kigumba-Karuma'!E28,'30.07 Kigumba-Karuma'!E28,'31.07 Kigumba-Karuma'!E28,'01.08 Kigumba-Karuma'!E28,'02.08 Kigumba-Karuma-24h'!E28,'03.08 Kigumba-Karuma-24h'!E28,'04.08 Kigumba-Karuma'!E28)</f>
        <v>2.2857142857142856</v>
      </c>
      <c r="F28" s="49">
        <f>AVERAGE('29.07 Kigumba-Karuma'!F28,'30.07 Kigumba-Karuma'!F28,'31.07 Kigumba-Karuma'!F28,'01.08 Kigumba-Karuma'!F28,'02.08 Kigumba-Karuma-24h'!F28,'03.08 Kigumba-Karuma-24h'!F28,'04.08 Kigumba-Karuma'!F28)</f>
        <v>2.2857142857142856</v>
      </c>
      <c r="G28" s="49">
        <f>AVERAGE('29.07 Kigumba-Karuma'!G28,'30.07 Kigumba-Karuma'!G28,'31.07 Kigumba-Karuma'!G28,'01.08 Kigumba-Karuma'!G28,'02.08 Kigumba-Karuma-24h'!G28,'03.08 Kigumba-Karuma-24h'!G28,'04.08 Kigumba-Karuma'!G28)</f>
        <v>0</v>
      </c>
      <c r="H28" s="49">
        <f>AVERAGE('29.07 Kigumba-Karuma'!H28,'30.07 Kigumba-Karuma'!H28,'31.07 Kigumba-Karuma'!H28,'01.08 Kigumba-Karuma'!H28,'02.08 Kigumba-Karuma-24h'!H28,'03.08 Kigumba-Karuma-24h'!H28,'04.08 Kigumba-Karuma'!H28)</f>
        <v>1</v>
      </c>
      <c r="I28" s="49">
        <f>AVERAGE('29.07 Kigumba-Karuma'!I28,'30.07 Kigumba-Karuma'!I28,'31.07 Kigumba-Karuma'!I28,'01.08 Kigumba-Karuma'!I28,'02.08 Kigumba-Karuma-24h'!I28,'03.08 Kigumba-Karuma-24h'!I28,'04.08 Kigumba-Karuma'!I28)</f>
        <v>0.8571428571428571</v>
      </c>
      <c r="J28" s="49">
        <f>AVERAGE('29.07 Kigumba-Karuma'!J28,'30.07 Kigumba-Karuma'!J28,'31.07 Kigumba-Karuma'!J28,'01.08 Kigumba-Karuma'!J28,'02.08 Kigumba-Karuma-24h'!J28,'03.08 Kigumba-Karuma-24h'!J28,'04.08 Kigumba-Karuma'!J28)</f>
        <v>0.2857142857142857</v>
      </c>
      <c r="K28" s="49">
        <f>AVERAGE('29.07 Kigumba-Karuma'!K28,'30.07 Kigumba-Karuma'!K28,'31.07 Kigumba-Karuma'!K28,'01.08 Kigumba-Karuma'!K28,'02.08 Kigumba-Karuma-24h'!K28,'03.08 Kigumba-Karuma-24h'!K28,'04.08 Kigumba-Karuma'!K28)</f>
        <v>0</v>
      </c>
      <c r="L28" s="49">
        <f>AVERAGE('29.07 Kigumba-Karuma'!L28,'30.07 Kigumba-Karuma'!L28,'31.07 Kigumba-Karuma'!L28,'01.08 Kigumba-Karuma'!L28,'02.08 Kigumba-Karuma-24h'!L28,'03.08 Kigumba-Karuma-24h'!L28,'04.08 Kigumba-Karuma'!L28)</f>
        <v>0.7142857142857143</v>
      </c>
      <c r="M28" s="49">
        <f>AVERAGE('29.07 Kigumba-Karuma'!M28,'30.07 Kigumba-Karuma'!M28,'31.07 Kigumba-Karuma'!M28,'01.08 Kigumba-Karuma'!M28,'02.08 Kigumba-Karuma-24h'!M28,'03.08 Kigumba-Karuma-24h'!M28,'04.08 Kigumba-Karuma'!M28)</f>
        <v>4.2857142857142856</v>
      </c>
      <c r="N28" s="49">
        <f>AVERAGE('29.07 Kigumba-Karuma'!N28,'30.07 Kigumba-Karuma'!N28,'31.07 Kigumba-Karuma'!N28,'01.08 Kigumba-Karuma'!N28,'02.08 Kigumba-Karuma-24h'!N28,'03.08 Kigumba-Karuma-24h'!N28,'04.08 Kigumba-Karuma'!N28)</f>
        <v>0</v>
      </c>
      <c r="O28" s="15">
        <f t="shared" si="0"/>
        <v>10.714285714285715</v>
      </c>
      <c r="P28" s="15">
        <f t="shared" si="1"/>
        <v>15</v>
      </c>
      <c r="R28" s="1" t="s">
        <v>152</v>
      </c>
      <c r="S28" s="34">
        <f>SUM(C82:C85)</f>
        <v>2.5</v>
      </c>
      <c r="T28" s="34">
        <f t="shared" ref="T28:AF28" si="20">SUM(D82:D85)</f>
        <v>2</v>
      </c>
      <c r="U28" s="34">
        <f t="shared" si="20"/>
        <v>4</v>
      </c>
      <c r="V28" s="34">
        <f t="shared" si="20"/>
        <v>2</v>
      </c>
      <c r="W28" s="34">
        <f t="shared" si="20"/>
        <v>0</v>
      </c>
      <c r="X28" s="34">
        <f t="shared" si="20"/>
        <v>2.5</v>
      </c>
      <c r="Y28" s="34">
        <f t="shared" si="20"/>
        <v>1.5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4</v>
      </c>
      <c r="AD28" s="34">
        <f t="shared" si="20"/>
        <v>0</v>
      </c>
      <c r="AE28" s="31">
        <f t="shared" si="20"/>
        <v>14.5</v>
      </c>
      <c r="AF28" s="31">
        <f t="shared" si="20"/>
        <v>18.5</v>
      </c>
    </row>
    <row r="29" spans="2:32" ht="23.1" customHeight="1" x14ac:dyDescent="0.25">
      <c r="B29" s="23" t="s">
        <v>56</v>
      </c>
      <c r="C29" s="49">
        <f>AVERAGE('29.07 Kigumba-Karuma'!C29,'30.07 Kigumba-Karuma'!C29,'31.07 Kigumba-Karuma'!C29,'01.08 Kigumba-Karuma'!C29,'02.08 Kigumba-Karuma-24h'!C29,'03.08 Kigumba-Karuma-24h'!C29,'04.08 Kigumba-Karuma'!C29)</f>
        <v>1.2857142857142858</v>
      </c>
      <c r="D29" s="49">
        <f>AVERAGE('29.07 Kigumba-Karuma'!D29,'30.07 Kigumba-Karuma'!D29,'31.07 Kigumba-Karuma'!D29,'01.08 Kigumba-Karuma'!D29,'02.08 Kigumba-Karuma-24h'!D29,'03.08 Kigumba-Karuma-24h'!D29,'04.08 Kigumba-Karuma'!D29)</f>
        <v>1.7142857142857142</v>
      </c>
      <c r="E29" s="49">
        <f>AVERAGE('29.07 Kigumba-Karuma'!E29,'30.07 Kigumba-Karuma'!E29,'31.07 Kigumba-Karuma'!E29,'01.08 Kigumba-Karuma'!E29,'02.08 Kigumba-Karuma-24h'!E29,'03.08 Kigumba-Karuma-24h'!E29,'04.08 Kigumba-Karuma'!E29)</f>
        <v>3.1428571428571428</v>
      </c>
      <c r="F29" s="49">
        <f>AVERAGE('29.07 Kigumba-Karuma'!F29,'30.07 Kigumba-Karuma'!F29,'31.07 Kigumba-Karuma'!F29,'01.08 Kigumba-Karuma'!F29,'02.08 Kigumba-Karuma-24h'!F29,'03.08 Kigumba-Karuma-24h'!F29,'04.08 Kigumba-Karuma'!F29)</f>
        <v>1.8571428571428572</v>
      </c>
      <c r="G29" s="49">
        <f>AVERAGE('29.07 Kigumba-Karuma'!G29,'30.07 Kigumba-Karuma'!G29,'31.07 Kigumba-Karuma'!G29,'01.08 Kigumba-Karuma'!G29,'02.08 Kigumba-Karuma-24h'!G29,'03.08 Kigumba-Karuma-24h'!G29,'04.08 Kigumba-Karuma'!G29)</f>
        <v>0.2857142857142857</v>
      </c>
      <c r="H29" s="49">
        <f>AVERAGE('29.07 Kigumba-Karuma'!H29,'30.07 Kigumba-Karuma'!H29,'31.07 Kigumba-Karuma'!H29,'01.08 Kigumba-Karuma'!H29,'02.08 Kigumba-Karuma-24h'!H29,'03.08 Kigumba-Karuma-24h'!H29,'04.08 Kigumba-Karuma'!H29)</f>
        <v>0.7142857142857143</v>
      </c>
      <c r="I29" s="49">
        <f>AVERAGE('29.07 Kigumba-Karuma'!I29,'30.07 Kigumba-Karuma'!I29,'31.07 Kigumba-Karuma'!I29,'01.08 Kigumba-Karuma'!I29,'02.08 Kigumba-Karuma-24h'!I29,'03.08 Kigumba-Karuma-24h'!I29,'04.08 Kigumba-Karuma'!I29)</f>
        <v>1.1428571428571428</v>
      </c>
      <c r="J29" s="49">
        <f>AVERAGE('29.07 Kigumba-Karuma'!J29,'30.07 Kigumba-Karuma'!J29,'31.07 Kigumba-Karuma'!J29,'01.08 Kigumba-Karuma'!J29,'02.08 Kigumba-Karuma-24h'!J29,'03.08 Kigumba-Karuma-24h'!J29,'04.08 Kigumba-Karuma'!J29)</f>
        <v>0</v>
      </c>
      <c r="K29" s="49">
        <f>AVERAGE('29.07 Kigumba-Karuma'!K29,'30.07 Kigumba-Karuma'!K29,'31.07 Kigumba-Karuma'!K29,'01.08 Kigumba-Karuma'!K29,'02.08 Kigumba-Karuma-24h'!K29,'03.08 Kigumba-Karuma-24h'!K29,'04.08 Kigumba-Karuma'!K29)</f>
        <v>0.14285714285714285</v>
      </c>
      <c r="L29" s="49">
        <f>AVERAGE('29.07 Kigumba-Karuma'!L29,'30.07 Kigumba-Karuma'!L29,'31.07 Kigumba-Karuma'!L29,'01.08 Kigumba-Karuma'!L29,'02.08 Kigumba-Karuma-24h'!L29,'03.08 Kigumba-Karuma-24h'!L29,'04.08 Kigumba-Karuma'!L29)</f>
        <v>0.2857142857142857</v>
      </c>
      <c r="M29" s="49">
        <f>AVERAGE('29.07 Kigumba-Karuma'!M29,'30.07 Kigumba-Karuma'!M29,'31.07 Kigumba-Karuma'!M29,'01.08 Kigumba-Karuma'!M29,'02.08 Kigumba-Karuma-24h'!M29,'03.08 Kigumba-Karuma-24h'!M29,'04.08 Kigumba-Karuma'!M29)</f>
        <v>4.5714285714285712</v>
      </c>
      <c r="N29" s="49">
        <f>AVERAGE('29.07 Kigumba-Karuma'!N29,'30.07 Kigumba-Karuma'!N29,'31.07 Kigumba-Karuma'!N29,'01.08 Kigumba-Karuma'!N29,'02.08 Kigumba-Karuma-24h'!N29,'03.08 Kigumba-Karuma-24h'!N29,'04.08 Kigumba-Karuma'!N29)</f>
        <v>0</v>
      </c>
      <c r="O29" s="15">
        <f t="shared" si="0"/>
        <v>10.571428571428571</v>
      </c>
      <c r="P29" s="15">
        <f t="shared" si="1"/>
        <v>15.142857142857142</v>
      </c>
      <c r="R29" s="1" t="s">
        <v>153</v>
      </c>
      <c r="S29" s="34">
        <f>SUM(C86:C89)</f>
        <v>3</v>
      </c>
      <c r="T29" s="34">
        <f t="shared" ref="T29:AF29" si="21">SUM(D86:D89)</f>
        <v>2.5</v>
      </c>
      <c r="U29" s="34">
        <f t="shared" si="21"/>
        <v>6</v>
      </c>
      <c r="V29" s="34">
        <f t="shared" si="21"/>
        <v>1.5</v>
      </c>
      <c r="W29" s="34">
        <f t="shared" si="21"/>
        <v>0</v>
      </c>
      <c r="X29" s="34">
        <f t="shared" si="21"/>
        <v>2.5</v>
      </c>
      <c r="Y29" s="34">
        <f t="shared" si="21"/>
        <v>2</v>
      </c>
      <c r="Z29" s="34">
        <f t="shared" si="21"/>
        <v>0</v>
      </c>
      <c r="AA29" s="34">
        <f t="shared" si="21"/>
        <v>0</v>
      </c>
      <c r="AB29" s="34">
        <f t="shared" si="21"/>
        <v>1</v>
      </c>
      <c r="AC29" s="34">
        <f t="shared" si="21"/>
        <v>7.5</v>
      </c>
      <c r="AD29" s="34">
        <f t="shared" si="21"/>
        <v>0</v>
      </c>
      <c r="AE29" s="31">
        <f t="shared" si="21"/>
        <v>18.5</v>
      </c>
      <c r="AF29" s="31">
        <f t="shared" si="21"/>
        <v>26</v>
      </c>
    </row>
    <row r="30" spans="2:32" ht="23.1" customHeight="1" x14ac:dyDescent="0.25">
      <c r="B30" s="23" t="s">
        <v>57</v>
      </c>
      <c r="C30" s="49">
        <f>AVERAGE('29.07 Kigumba-Karuma'!C30,'30.07 Kigumba-Karuma'!C30,'31.07 Kigumba-Karuma'!C30,'01.08 Kigumba-Karuma'!C30,'02.08 Kigumba-Karuma-24h'!C30,'03.08 Kigumba-Karuma-24h'!C30,'04.08 Kigumba-Karuma'!C30)</f>
        <v>2.2857142857142856</v>
      </c>
      <c r="D30" s="49">
        <f>AVERAGE('29.07 Kigumba-Karuma'!D30,'30.07 Kigumba-Karuma'!D30,'31.07 Kigumba-Karuma'!D30,'01.08 Kigumba-Karuma'!D30,'02.08 Kigumba-Karuma-24h'!D30,'03.08 Kigumba-Karuma-24h'!D30,'04.08 Kigumba-Karuma'!D30)</f>
        <v>1.5714285714285714</v>
      </c>
      <c r="E30" s="49">
        <f>AVERAGE('29.07 Kigumba-Karuma'!E30,'30.07 Kigumba-Karuma'!E30,'31.07 Kigumba-Karuma'!E30,'01.08 Kigumba-Karuma'!E30,'02.08 Kigumba-Karuma-24h'!E30,'03.08 Kigumba-Karuma-24h'!E30,'04.08 Kigumba-Karuma'!E30)</f>
        <v>2.8571428571428572</v>
      </c>
      <c r="F30" s="49">
        <f>AVERAGE('29.07 Kigumba-Karuma'!F30,'30.07 Kigumba-Karuma'!F30,'31.07 Kigumba-Karuma'!F30,'01.08 Kigumba-Karuma'!F30,'02.08 Kigumba-Karuma-24h'!F30,'03.08 Kigumba-Karuma-24h'!F30,'04.08 Kigumba-Karuma'!F30)</f>
        <v>2.7142857142857144</v>
      </c>
      <c r="G30" s="49">
        <f>AVERAGE('29.07 Kigumba-Karuma'!G30,'30.07 Kigumba-Karuma'!G30,'31.07 Kigumba-Karuma'!G30,'01.08 Kigumba-Karuma'!G30,'02.08 Kigumba-Karuma-24h'!G30,'03.08 Kigumba-Karuma-24h'!G30,'04.08 Kigumba-Karuma'!G30)</f>
        <v>0</v>
      </c>
      <c r="H30" s="49">
        <f>AVERAGE('29.07 Kigumba-Karuma'!H30,'30.07 Kigumba-Karuma'!H30,'31.07 Kigumba-Karuma'!H30,'01.08 Kigumba-Karuma'!H30,'02.08 Kigumba-Karuma-24h'!H30,'03.08 Kigumba-Karuma-24h'!H30,'04.08 Kigumba-Karuma'!H30)</f>
        <v>0.7142857142857143</v>
      </c>
      <c r="I30" s="49">
        <f>AVERAGE('29.07 Kigumba-Karuma'!I30,'30.07 Kigumba-Karuma'!I30,'31.07 Kigumba-Karuma'!I30,'01.08 Kigumba-Karuma'!I30,'02.08 Kigumba-Karuma-24h'!I30,'03.08 Kigumba-Karuma-24h'!I30,'04.08 Kigumba-Karuma'!I30)</f>
        <v>1.7142857142857142</v>
      </c>
      <c r="J30" s="49">
        <f>AVERAGE('29.07 Kigumba-Karuma'!J30,'30.07 Kigumba-Karuma'!J30,'31.07 Kigumba-Karuma'!J30,'01.08 Kigumba-Karuma'!J30,'02.08 Kigumba-Karuma-24h'!J30,'03.08 Kigumba-Karuma-24h'!J30,'04.08 Kigumba-Karuma'!J30)</f>
        <v>0.14285714285714285</v>
      </c>
      <c r="K30" s="49">
        <f>AVERAGE('29.07 Kigumba-Karuma'!K30,'30.07 Kigumba-Karuma'!K30,'31.07 Kigumba-Karuma'!K30,'01.08 Kigumba-Karuma'!K30,'02.08 Kigumba-Karuma-24h'!K30,'03.08 Kigumba-Karuma-24h'!K30,'04.08 Kigumba-Karuma'!K30)</f>
        <v>0.14285714285714285</v>
      </c>
      <c r="L30" s="49">
        <f>AVERAGE('29.07 Kigumba-Karuma'!L30,'30.07 Kigumba-Karuma'!L30,'31.07 Kigumba-Karuma'!L30,'01.08 Kigumba-Karuma'!L30,'02.08 Kigumba-Karuma-24h'!L30,'03.08 Kigumba-Karuma-24h'!L30,'04.08 Kigumba-Karuma'!L30)</f>
        <v>0.8571428571428571</v>
      </c>
      <c r="M30" s="49">
        <f>AVERAGE('29.07 Kigumba-Karuma'!M30,'30.07 Kigumba-Karuma'!M30,'31.07 Kigumba-Karuma'!M30,'01.08 Kigumba-Karuma'!M30,'02.08 Kigumba-Karuma-24h'!M30,'03.08 Kigumba-Karuma-24h'!M30,'04.08 Kigumba-Karuma'!M30)</f>
        <v>3.7142857142857144</v>
      </c>
      <c r="N30" s="49">
        <f>AVERAGE('29.07 Kigumba-Karuma'!N30,'30.07 Kigumba-Karuma'!N30,'31.07 Kigumba-Karuma'!N30,'01.08 Kigumba-Karuma'!N30,'02.08 Kigumba-Karuma-24h'!N30,'03.08 Kigumba-Karuma-24h'!N30,'04.08 Kigumba-Karuma'!N30)</f>
        <v>0</v>
      </c>
      <c r="O30" s="15">
        <f t="shared" si="0"/>
        <v>12.999999999999996</v>
      </c>
      <c r="P30" s="15">
        <f t="shared" si="1"/>
        <v>16.714285714285712</v>
      </c>
      <c r="R30" s="1" t="s">
        <v>154</v>
      </c>
      <c r="S30" s="34">
        <f>SUM(C90:C93)</f>
        <v>3.5</v>
      </c>
      <c r="T30" s="34">
        <f t="shared" ref="T30:AF30" si="22">SUM(D90:D93)</f>
        <v>2</v>
      </c>
      <c r="U30" s="34">
        <f t="shared" si="22"/>
        <v>6</v>
      </c>
      <c r="V30" s="34">
        <f t="shared" si="22"/>
        <v>2</v>
      </c>
      <c r="W30" s="34">
        <f t="shared" si="22"/>
        <v>0</v>
      </c>
      <c r="X30" s="34">
        <f t="shared" si="22"/>
        <v>4.5</v>
      </c>
      <c r="Y30" s="34">
        <f t="shared" si="22"/>
        <v>2</v>
      </c>
      <c r="Z30" s="34">
        <f t="shared" si="22"/>
        <v>0</v>
      </c>
      <c r="AA30" s="34">
        <f t="shared" si="22"/>
        <v>0</v>
      </c>
      <c r="AB30" s="34">
        <f t="shared" si="22"/>
        <v>1.5</v>
      </c>
      <c r="AC30" s="34">
        <f t="shared" si="22"/>
        <v>7.5</v>
      </c>
      <c r="AD30" s="34">
        <f t="shared" si="22"/>
        <v>0</v>
      </c>
      <c r="AE30" s="31">
        <f t="shared" si="22"/>
        <v>21.5</v>
      </c>
      <c r="AF30" s="31">
        <f t="shared" si="22"/>
        <v>29</v>
      </c>
    </row>
    <row r="31" spans="2:32" ht="23.1" customHeight="1" x14ac:dyDescent="0.25">
      <c r="B31" s="24" t="s">
        <v>58</v>
      </c>
      <c r="C31" s="49">
        <f>AVERAGE('29.07 Kigumba-Karuma'!C31,'30.07 Kigumba-Karuma'!C31,'31.07 Kigumba-Karuma'!C31,'01.08 Kigumba-Karuma'!C31,'02.08 Kigumba-Karuma-24h'!C31,'03.08 Kigumba-Karuma-24h'!C31,'04.08 Kigumba-Karuma'!C31)</f>
        <v>2.5714285714285716</v>
      </c>
      <c r="D31" s="49">
        <f>AVERAGE('29.07 Kigumba-Karuma'!D31,'30.07 Kigumba-Karuma'!D31,'31.07 Kigumba-Karuma'!D31,'01.08 Kigumba-Karuma'!D31,'02.08 Kigumba-Karuma-24h'!D31,'03.08 Kigumba-Karuma-24h'!D31,'04.08 Kigumba-Karuma'!D31)</f>
        <v>2.1428571428571428</v>
      </c>
      <c r="E31" s="49">
        <f>AVERAGE('29.07 Kigumba-Karuma'!E31,'30.07 Kigumba-Karuma'!E31,'31.07 Kigumba-Karuma'!E31,'01.08 Kigumba-Karuma'!E31,'02.08 Kigumba-Karuma-24h'!E31,'03.08 Kigumba-Karuma-24h'!E31,'04.08 Kigumba-Karuma'!E31)</f>
        <v>3.1428571428571428</v>
      </c>
      <c r="F31" s="49">
        <f>AVERAGE('29.07 Kigumba-Karuma'!F31,'30.07 Kigumba-Karuma'!F31,'31.07 Kigumba-Karuma'!F31,'01.08 Kigumba-Karuma'!F31,'02.08 Kigumba-Karuma-24h'!F31,'03.08 Kigumba-Karuma-24h'!F31,'04.08 Kigumba-Karuma'!F31)</f>
        <v>1.5714285714285714</v>
      </c>
      <c r="G31" s="49">
        <f>AVERAGE('29.07 Kigumba-Karuma'!G31,'30.07 Kigumba-Karuma'!G31,'31.07 Kigumba-Karuma'!G31,'01.08 Kigumba-Karuma'!G31,'02.08 Kigumba-Karuma-24h'!G31,'03.08 Kigumba-Karuma-24h'!G31,'04.08 Kigumba-Karuma'!G31)</f>
        <v>0.14285714285714285</v>
      </c>
      <c r="H31" s="49">
        <f>AVERAGE('29.07 Kigumba-Karuma'!H31,'30.07 Kigumba-Karuma'!H31,'31.07 Kigumba-Karuma'!H31,'01.08 Kigumba-Karuma'!H31,'02.08 Kigumba-Karuma-24h'!H31,'03.08 Kigumba-Karuma-24h'!H31,'04.08 Kigumba-Karuma'!H31)</f>
        <v>0.5714285714285714</v>
      </c>
      <c r="I31" s="49">
        <f>AVERAGE('29.07 Kigumba-Karuma'!I31,'30.07 Kigumba-Karuma'!I31,'31.07 Kigumba-Karuma'!I31,'01.08 Kigumba-Karuma'!I31,'02.08 Kigumba-Karuma-24h'!I31,'03.08 Kigumba-Karuma-24h'!I31,'04.08 Kigumba-Karuma'!I31)</f>
        <v>1</v>
      </c>
      <c r="J31" s="49">
        <f>AVERAGE('29.07 Kigumba-Karuma'!J31,'30.07 Kigumba-Karuma'!J31,'31.07 Kigumba-Karuma'!J31,'01.08 Kigumba-Karuma'!J31,'02.08 Kigumba-Karuma-24h'!J31,'03.08 Kigumba-Karuma-24h'!J31,'04.08 Kigumba-Karuma'!J31)</f>
        <v>0</v>
      </c>
      <c r="K31" s="49">
        <f>AVERAGE('29.07 Kigumba-Karuma'!K31,'30.07 Kigumba-Karuma'!K31,'31.07 Kigumba-Karuma'!K31,'01.08 Kigumba-Karuma'!K31,'02.08 Kigumba-Karuma-24h'!K31,'03.08 Kigumba-Karuma-24h'!K31,'04.08 Kigumba-Karuma'!K31)</f>
        <v>0</v>
      </c>
      <c r="L31" s="49">
        <f>AVERAGE('29.07 Kigumba-Karuma'!L31,'30.07 Kigumba-Karuma'!L31,'31.07 Kigumba-Karuma'!L31,'01.08 Kigumba-Karuma'!L31,'02.08 Kigumba-Karuma-24h'!L31,'03.08 Kigumba-Karuma-24h'!L31,'04.08 Kigumba-Karuma'!L31)</f>
        <v>0.14285714285714285</v>
      </c>
      <c r="M31" s="49">
        <f>AVERAGE('29.07 Kigumba-Karuma'!M31,'30.07 Kigumba-Karuma'!M31,'31.07 Kigumba-Karuma'!M31,'01.08 Kigumba-Karuma'!M31,'02.08 Kigumba-Karuma-24h'!M31,'03.08 Kigumba-Karuma-24h'!M31,'04.08 Kigumba-Karuma'!M31)</f>
        <v>3.7142857142857144</v>
      </c>
      <c r="N31" s="49">
        <f>AVERAGE('29.07 Kigumba-Karuma'!N31,'30.07 Kigumba-Karuma'!N31,'31.07 Kigumba-Karuma'!N31,'01.08 Kigumba-Karuma'!N31,'02.08 Kigumba-Karuma-24h'!N31,'03.08 Kigumba-Karuma-24h'!N31,'04.08 Kigumba-Karuma'!N31)</f>
        <v>0</v>
      </c>
      <c r="O31" s="15">
        <f t="shared" si="0"/>
        <v>11.285714285714285</v>
      </c>
      <c r="P31" s="15">
        <f t="shared" si="1"/>
        <v>15</v>
      </c>
      <c r="R31" s="1" t="s">
        <v>155</v>
      </c>
      <c r="S31" s="34">
        <f>SUM(C94:C97)</f>
        <v>4</v>
      </c>
      <c r="T31" s="34">
        <f t="shared" ref="T31:AF31" si="23">SUM(D94:D97)</f>
        <v>3</v>
      </c>
      <c r="U31" s="34">
        <f t="shared" si="23"/>
        <v>6</v>
      </c>
      <c r="V31" s="34">
        <f t="shared" si="23"/>
        <v>2.5</v>
      </c>
      <c r="W31" s="34">
        <f t="shared" si="23"/>
        <v>0</v>
      </c>
      <c r="X31" s="34">
        <f t="shared" si="23"/>
        <v>5</v>
      </c>
      <c r="Y31" s="34">
        <f t="shared" si="23"/>
        <v>3</v>
      </c>
      <c r="Z31" s="34">
        <f t="shared" si="23"/>
        <v>0</v>
      </c>
      <c r="AA31" s="34">
        <f t="shared" si="23"/>
        <v>0</v>
      </c>
      <c r="AB31" s="34">
        <f t="shared" si="23"/>
        <v>1.5</v>
      </c>
      <c r="AC31" s="34">
        <f t="shared" si="23"/>
        <v>7</v>
      </c>
      <c r="AD31" s="34">
        <f t="shared" si="23"/>
        <v>0</v>
      </c>
      <c r="AE31" s="31">
        <f t="shared" si="23"/>
        <v>25</v>
      </c>
      <c r="AF31" s="31">
        <f t="shared" si="23"/>
        <v>32</v>
      </c>
    </row>
    <row r="32" spans="2:32" ht="23.1" customHeight="1" x14ac:dyDescent="0.25">
      <c r="B32" s="24" t="s">
        <v>59</v>
      </c>
      <c r="C32" s="49">
        <f>AVERAGE('29.07 Kigumba-Karuma'!C32,'30.07 Kigumba-Karuma'!C32,'31.07 Kigumba-Karuma'!C32,'01.08 Kigumba-Karuma'!C32,'02.08 Kigumba-Karuma-24h'!C32,'03.08 Kigumba-Karuma-24h'!C32,'04.08 Kigumba-Karuma'!C32)</f>
        <v>1</v>
      </c>
      <c r="D32" s="49">
        <f>AVERAGE('29.07 Kigumba-Karuma'!D32,'30.07 Kigumba-Karuma'!D32,'31.07 Kigumba-Karuma'!D32,'01.08 Kigumba-Karuma'!D32,'02.08 Kigumba-Karuma-24h'!D32,'03.08 Kigumba-Karuma-24h'!D32,'04.08 Kigumba-Karuma'!D32)</f>
        <v>1.2857142857142858</v>
      </c>
      <c r="E32" s="49">
        <f>AVERAGE('29.07 Kigumba-Karuma'!E32,'30.07 Kigumba-Karuma'!E32,'31.07 Kigumba-Karuma'!E32,'01.08 Kigumba-Karuma'!E32,'02.08 Kigumba-Karuma-24h'!E32,'03.08 Kigumba-Karuma-24h'!E32,'04.08 Kigumba-Karuma'!E32)</f>
        <v>2.4285714285714284</v>
      </c>
      <c r="F32" s="49">
        <f>AVERAGE('29.07 Kigumba-Karuma'!F32,'30.07 Kigumba-Karuma'!F32,'31.07 Kigumba-Karuma'!F32,'01.08 Kigumba-Karuma'!F32,'02.08 Kigumba-Karuma-24h'!F32,'03.08 Kigumba-Karuma-24h'!F32,'04.08 Kigumba-Karuma'!F32)</f>
        <v>1.2857142857142858</v>
      </c>
      <c r="G32" s="49">
        <f>AVERAGE('29.07 Kigumba-Karuma'!G32,'30.07 Kigumba-Karuma'!G32,'31.07 Kigumba-Karuma'!G32,'01.08 Kigumba-Karuma'!G32,'02.08 Kigumba-Karuma-24h'!G32,'03.08 Kigumba-Karuma-24h'!G32,'04.08 Kigumba-Karuma'!G32)</f>
        <v>0.2857142857142857</v>
      </c>
      <c r="H32" s="49">
        <f>AVERAGE('29.07 Kigumba-Karuma'!H32,'30.07 Kigumba-Karuma'!H32,'31.07 Kigumba-Karuma'!H32,'01.08 Kigumba-Karuma'!H32,'02.08 Kigumba-Karuma-24h'!H32,'03.08 Kigumba-Karuma-24h'!H32,'04.08 Kigumba-Karuma'!H32)</f>
        <v>1</v>
      </c>
      <c r="I32" s="49">
        <f>AVERAGE('29.07 Kigumba-Karuma'!I32,'30.07 Kigumba-Karuma'!I32,'31.07 Kigumba-Karuma'!I32,'01.08 Kigumba-Karuma'!I32,'02.08 Kigumba-Karuma-24h'!I32,'03.08 Kigumba-Karuma-24h'!I32,'04.08 Kigumba-Karuma'!I32)</f>
        <v>1.4285714285714286</v>
      </c>
      <c r="J32" s="49">
        <f>AVERAGE('29.07 Kigumba-Karuma'!J32,'30.07 Kigumba-Karuma'!J32,'31.07 Kigumba-Karuma'!J32,'01.08 Kigumba-Karuma'!J32,'02.08 Kigumba-Karuma-24h'!J32,'03.08 Kigumba-Karuma-24h'!J32,'04.08 Kigumba-Karuma'!J32)</f>
        <v>0.14285714285714285</v>
      </c>
      <c r="K32" s="49">
        <f>AVERAGE('29.07 Kigumba-Karuma'!K32,'30.07 Kigumba-Karuma'!K32,'31.07 Kigumba-Karuma'!K32,'01.08 Kigumba-Karuma'!K32,'02.08 Kigumba-Karuma-24h'!K32,'03.08 Kigumba-Karuma-24h'!K32,'04.08 Kigumba-Karuma'!K32)</f>
        <v>0.42857142857142855</v>
      </c>
      <c r="L32" s="49">
        <f>AVERAGE('29.07 Kigumba-Karuma'!L32,'30.07 Kigumba-Karuma'!L32,'31.07 Kigumba-Karuma'!L32,'01.08 Kigumba-Karuma'!L32,'02.08 Kigumba-Karuma-24h'!L32,'03.08 Kigumba-Karuma-24h'!L32,'04.08 Kigumba-Karuma'!L32)</f>
        <v>0.14285714285714285</v>
      </c>
      <c r="M32" s="49">
        <f>AVERAGE('29.07 Kigumba-Karuma'!M32,'30.07 Kigumba-Karuma'!M32,'31.07 Kigumba-Karuma'!M32,'01.08 Kigumba-Karuma'!M32,'02.08 Kigumba-Karuma-24h'!M32,'03.08 Kigumba-Karuma-24h'!M32,'04.08 Kigumba-Karuma'!M32)</f>
        <v>3.1428571428571428</v>
      </c>
      <c r="N32" s="49">
        <f>AVERAGE('29.07 Kigumba-Karuma'!N32,'30.07 Kigumba-Karuma'!N32,'31.07 Kigumba-Karuma'!N32,'01.08 Kigumba-Karuma'!N32,'02.08 Kigumba-Karuma-24h'!N32,'03.08 Kigumba-Karuma-24h'!N32,'04.08 Kigumba-Karuma'!N32)</f>
        <v>0</v>
      </c>
      <c r="O32" s="15">
        <f t="shared" si="0"/>
        <v>9.428571428571427</v>
      </c>
      <c r="P32" s="15">
        <f t="shared" si="1"/>
        <v>12.571428571428569</v>
      </c>
      <c r="R32" s="1" t="s">
        <v>156</v>
      </c>
      <c r="S32" s="34">
        <f>SUM(C98:C101)</f>
        <v>4.5</v>
      </c>
      <c r="T32" s="34">
        <f t="shared" ref="T32:AF32" si="24">SUM(D98:D101)</f>
        <v>3.5</v>
      </c>
      <c r="U32" s="34">
        <f t="shared" si="24"/>
        <v>8.5</v>
      </c>
      <c r="V32" s="34">
        <f t="shared" si="24"/>
        <v>3</v>
      </c>
      <c r="W32" s="34">
        <f t="shared" si="24"/>
        <v>0</v>
      </c>
      <c r="X32" s="34">
        <f t="shared" si="24"/>
        <v>3.5</v>
      </c>
      <c r="Y32" s="34">
        <f t="shared" si="24"/>
        <v>3</v>
      </c>
      <c r="Z32" s="34">
        <f t="shared" si="24"/>
        <v>0.5</v>
      </c>
      <c r="AA32" s="34">
        <f t="shared" si="24"/>
        <v>0</v>
      </c>
      <c r="AB32" s="34">
        <f t="shared" si="24"/>
        <v>2</v>
      </c>
      <c r="AC32" s="34">
        <f t="shared" si="24"/>
        <v>10</v>
      </c>
      <c r="AD32" s="34">
        <f t="shared" si="24"/>
        <v>0</v>
      </c>
      <c r="AE32" s="31">
        <f t="shared" si="24"/>
        <v>28.5</v>
      </c>
      <c r="AF32" s="31">
        <f t="shared" si="24"/>
        <v>38.5</v>
      </c>
    </row>
    <row r="33" spans="2:32" ht="23.1" customHeight="1" x14ac:dyDescent="0.25">
      <c r="B33" s="23" t="s">
        <v>60</v>
      </c>
      <c r="C33" s="49">
        <f>AVERAGE('29.07 Kigumba-Karuma'!C33,'30.07 Kigumba-Karuma'!C33,'31.07 Kigumba-Karuma'!C33,'01.08 Kigumba-Karuma'!C33,'02.08 Kigumba-Karuma-24h'!C33,'03.08 Kigumba-Karuma-24h'!C33,'04.08 Kigumba-Karuma'!C33)</f>
        <v>2.1428571428571428</v>
      </c>
      <c r="D33" s="49">
        <f>AVERAGE('29.07 Kigumba-Karuma'!D33,'30.07 Kigumba-Karuma'!D33,'31.07 Kigumba-Karuma'!D33,'01.08 Kigumba-Karuma'!D33,'02.08 Kigumba-Karuma-24h'!D33,'03.08 Kigumba-Karuma-24h'!D33,'04.08 Kigumba-Karuma'!D33)</f>
        <v>1.1428571428571428</v>
      </c>
      <c r="E33" s="49">
        <f>AVERAGE('29.07 Kigumba-Karuma'!E33,'30.07 Kigumba-Karuma'!E33,'31.07 Kigumba-Karuma'!E33,'01.08 Kigumba-Karuma'!E33,'02.08 Kigumba-Karuma-24h'!E33,'03.08 Kigumba-Karuma-24h'!E33,'04.08 Kigumba-Karuma'!E33)</f>
        <v>2.5714285714285716</v>
      </c>
      <c r="F33" s="49">
        <f>AVERAGE('29.07 Kigumba-Karuma'!F33,'30.07 Kigumba-Karuma'!F33,'31.07 Kigumba-Karuma'!F33,'01.08 Kigumba-Karuma'!F33,'02.08 Kigumba-Karuma-24h'!F33,'03.08 Kigumba-Karuma-24h'!F33,'04.08 Kigumba-Karuma'!F33)</f>
        <v>1.7142857142857142</v>
      </c>
      <c r="G33" s="49">
        <f>AVERAGE('29.07 Kigumba-Karuma'!G33,'30.07 Kigumba-Karuma'!G33,'31.07 Kigumba-Karuma'!G33,'01.08 Kigumba-Karuma'!G33,'02.08 Kigumba-Karuma-24h'!G33,'03.08 Kigumba-Karuma-24h'!G33,'04.08 Kigumba-Karuma'!G33)</f>
        <v>0</v>
      </c>
      <c r="H33" s="49">
        <f>AVERAGE('29.07 Kigumba-Karuma'!H33,'30.07 Kigumba-Karuma'!H33,'31.07 Kigumba-Karuma'!H33,'01.08 Kigumba-Karuma'!H33,'02.08 Kigumba-Karuma-24h'!H33,'03.08 Kigumba-Karuma-24h'!H33,'04.08 Kigumba-Karuma'!H33)</f>
        <v>0.7142857142857143</v>
      </c>
      <c r="I33" s="49">
        <f>AVERAGE('29.07 Kigumba-Karuma'!I33,'30.07 Kigumba-Karuma'!I33,'31.07 Kigumba-Karuma'!I33,'01.08 Kigumba-Karuma'!I33,'02.08 Kigumba-Karuma-24h'!I33,'03.08 Kigumba-Karuma-24h'!I33,'04.08 Kigumba-Karuma'!I33)</f>
        <v>0.7142857142857143</v>
      </c>
      <c r="J33" s="49">
        <f>AVERAGE('29.07 Kigumba-Karuma'!J33,'30.07 Kigumba-Karuma'!J33,'31.07 Kigumba-Karuma'!J33,'01.08 Kigumba-Karuma'!J33,'02.08 Kigumba-Karuma-24h'!J33,'03.08 Kigumba-Karuma-24h'!J33,'04.08 Kigumba-Karuma'!J33)</f>
        <v>0.14285714285714285</v>
      </c>
      <c r="K33" s="49">
        <f>AVERAGE('29.07 Kigumba-Karuma'!K33,'30.07 Kigumba-Karuma'!K33,'31.07 Kigumba-Karuma'!K33,'01.08 Kigumba-Karuma'!K33,'02.08 Kigumba-Karuma-24h'!K33,'03.08 Kigumba-Karuma-24h'!K33,'04.08 Kigumba-Karuma'!K33)</f>
        <v>0</v>
      </c>
      <c r="L33" s="49">
        <f>AVERAGE('29.07 Kigumba-Karuma'!L33,'30.07 Kigumba-Karuma'!L33,'31.07 Kigumba-Karuma'!L33,'01.08 Kigumba-Karuma'!L33,'02.08 Kigumba-Karuma-24h'!L33,'03.08 Kigumba-Karuma-24h'!L33,'04.08 Kigumba-Karuma'!L33)</f>
        <v>0.2857142857142857</v>
      </c>
      <c r="M33" s="49">
        <f>AVERAGE('29.07 Kigumba-Karuma'!M33,'30.07 Kigumba-Karuma'!M33,'31.07 Kigumba-Karuma'!M33,'01.08 Kigumba-Karuma'!M33,'02.08 Kigumba-Karuma-24h'!M33,'03.08 Kigumba-Karuma-24h'!M33,'04.08 Kigumba-Karuma'!M33)</f>
        <v>3</v>
      </c>
      <c r="N33" s="49">
        <f>AVERAGE('29.07 Kigumba-Karuma'!N33,'30.07 Kigumba-Karuma'!N33,'31.07 Kigumba-Karuma'!N33,'01.08 Kigumba-Karuma'!N33,'02.08 Kigumba-Karuma-24h'!N33,'03.08 Kigumba-Karuma-24h'!N33,'04.08 Kigumba-Karuma'!N33)</f>
        <v>0</v>
      </c>
      <c r="O33" s="15">
        <f t="shared" si="0"/>
        <v>9.4285714285714288</v>
      </c>
      <c r="P33" s="15">
        <f t="shared" si="1"/>
        <v>12.428571428571429</v>
      </c>
      <c r="R33" s="1" t="s">
        <v>157</v>
      </c>
      <c r="S33" s="34">
        <f>SUM(C102:C105)</f>
        <v>6</v>
      </c>
      <c r="T33" s="34">
        <f t="shared" ref="T33:AF33" si="25">SUM(D102:D105)</f>
        <v>5.5</v>
      </c>
      <c r="U33" s="34">
        <f t="shared" si="25"/>
        <v>9.5</v>
      </c>
      <c r="V33" s="34">
        <f t="shared" si="25"/>
        <v>3.5</v>
      </c>
      <c r="W33" s="34">
        <f t="shared" si="25"/>
        <v>0</v>
      </c>
      <c r="X33" s="34">
        <f t="shared" si="25"/>
        <v>2</v>
      </c>
      <c r="Y33" s="34">
        <f t="shared" si="25"/>
        <v>3</v>
      </c>
      <c r="Z33" s="34">
        <f t="shared" si="25"/>
        <v>0.5</v>
      </c>
      <c r="AA33" s="34">
        <f t="shared" si="25"/>
        <v>0</v>
      </c>
      <c r="AB33" s="34">
        <f t="shared" si="25"/>
        <v>3</v>
      </c>
      <c r="AC33" s="34">
        <f t="shared" si="25"/>
        <v>12</v>
      </c>
      <c r="AD33" s="34">
        <f t="shared" si="25"/>
        <v>0</v>
      </c>
      <c r="AE33" s="31">
        <f t="shared" si="25"/>
        <v>33</v>
      </c>
      <c r="AF33" s="31">
        <f t="shared" si="25"/>
        <v>45</v>
      </c>
    </row>
    <row r="34" spans="2:32" ht="23.1" customHeight="1" x14ac:dyDescent="0.25">
      <c r="B34" s="24" t="s">
        <v>61</v>
      </c>
      <c r="C34" s="49">
        <f>AVERAGE('29.07 Kigumba-Karuma'!C34,'30.07 Kigumba-Karuma'!C34,'31.07 Kigumba-Karuma'!C34,'01.08 Kigumba-Karuma'!C34,'02.08 Kigumba-Karuma-24h'!C34,'03.08 Kigumba-Karuma-24h'!C34,'04.08 Kigumba-Karuma'!C34)</f>
        <v>1.5714285714285714</v>
      </c>
      <c r="D34" s="49">
        <f>AVERAGE('29.07 Kigumba-Karuma'!D34,'30.07 Kigumba-Karuma'!D34,'31.07 Kigumba-Karuma'!D34,'01.08 Kigumba-Karuma'!D34,'02.08 Kigumba-Karuma-24h'!D34,'03.08 Kigumba-Karuma-24h'!D34,'04.08 Kigumba-Karuma'!D34)</f>
        <v>1.8571428571428572</v>
      </c>
      <c r="E34" s="49">
        <f>AVERAGE('29.07 Kigumba-Karuma'!E34,'30.07 Kigumba-Karuma'!E34,'31.07 Kigumba-Karuma'!E34,'01.08 Kigumba-Karuma'!E34,'02.08 Kigumba-Karuma-24h'!E34,'03.08 Kigumba-Karuma-24h'!E34,'04.08 Kigumba-Karuma'!E34)</f>
        <v>2.8571428571428572</v>
      </c>
      <c r="F34" s="49">
        <f>AVERAGE('29.07 Kigumba-Karuma'!F34,'30.07 Kigumba-Karuma'!F34,'31.07 Kigumba-Karuma'!F34,'01.08 Kigumba-Karuma'!F34,'02.08 Kigumba-Karuma-24h'!F34,'03.08 Kigumba-Karuma-24h'!F34,'04.08 Kigumba-Karuma'!F34)</f>
        <v>1.8571428571428572</v>
      </c>
      <c r="G34" s="49">
        <f>AVERAGE('29.07 Kigumba-Karuma'!G34,'30.07 Kigumba-Karuma'!G34,'31.07 Kigumba-Karuma'!G34,'01.08 Kigumba-Karuma'!G34,'02.08 Kigumba-Karuma-24h'!G34,'03.08 Kigumba-Karuma-24h'!G34,'04.08 Kigumba-Karuma'!G34)</f>
        <v>0</v>
      </c>
      <c r="H34" s="49">
        <f>AVERAGE('29.07 Kigumba-Karuma'!H34,'30.07 Kigumba-Karuma'!H34,'31.07 Kigumba-Karuma'!H34,'01.08 Kigumba-Karuma'!H34,'02.08 Kigumba-Karuma-24h'!H34,'03.08 Kigumba-Karuma-24h'!H34,'04.08 Kigumba-Karuma'!H34)</f>
        <v>0.5714285714285714</v>
      </c>
      <c r="I34" s="49">
        <f>AVERAGE('29.07 Kigumba-Karuma'!I34,'30.07 Kigumba-Karuma'!I34,'31.07 Kigumba-Karuma'!I34,'01.08 Kigumba-Karuma'!I34,'02.08 Kigumba-Karuma-24h'!I34,'03.08 Kigumba-Karuma-24h'!I34,'04.08 Kigumba-Karuma'!I34)</f>
        <v>2</v>
      </c>
      <c r="J34" s="49">
        <f>AVERAGE('29.07 Kigumba-Karuma'!J34,'30.07 Kigumba-Karuma'!J34,'31.07 Kigumba-Karuma'!J34,'01.08 Kigumba-Karuma'!J34,'02.08 Kigumba-Karuma-24h'!J34,'03.08 Kigumba-Karuma-24h'!J34,'04.08 Kigumba-Karuma'!J34)</f>
        <v>0.14285714285714285</v>
      </c>
      <c r="K34" s="49">
        <f>AVERAGE('29.07 Kigumba-Karuma'!K34,'30.07 Kigumba-Karuma'!K34,'31.07 Kigumba-Karuma'!K34,'01.08 Kigumba-Karuma'!K34,'02.08 Kigumba-Karuma-24h'!K34,'03.08 Kigumba-Karuma-24h'!K34,'04.08 Kigumba-Karuma'!K34)</f>
        <v>0.14285714285714285</v>
      </c>
      <c r="L34" s="49">
        <f>AVERAGE('29.07 Kigumba-Karuma'!L34,'30.07 Kigumba-Karuma'!L34,'31.07 Kigumba-Karuma'!L34,'01.08 Kigumba-Karuma'!L34,'02.08 Kigumba-Karuma-24h'!L34,'03.08 Kigumba-Karuma-24h'!L34,'04.08 Kigumba-Karuma'!L34)</f>
        <v>0.14285714285714285</v>
      </c>
      <c r="M34" s="49">
        <f>AVERAGE('29.07 Kigumba-Karuma'!M34,'30.07 Kigumba-Karuma'!M34,'31.07 Kigumba-Karuma'!M34,'01.08 Kigumba-Karuma'!M34,'02.08 Kigumba-Karuma-24h'!M34,'03.08 Kigumba-Karuma-24h'!M34,'04.08 Kigumba-Karuma'!M34)</f>
        <v>3.8571428571428572</v>
      </c>
      <c r="N34" s="49">
        <f>AVERAGE('29.07 Kigumba-Karuma'!N34,'30.07 Kigumba-Karuma'!N34,'31.07 Kigumba-Karuma'!N34,'01.08 Kigumba-Karuma'!N34,'02.08 Kigumba-Karuma-24h'!N34,'03.08 Kigumba-Karuma-24h'!N34,'04.08 Kigumba-Karuma'!N34)</f>
        <v>0</v>
      </c>
      <c r="O34" s="15">
        <f t="shared" si="0"/>
        <v>11.142857142857142</v>
      </c>
      <c r="P34" s="15">
        <f t="shared" si="1"/>
        <v>15</v>
      </c>
      <c r="R34" s="56" t="s">
        <v>90</v>
      </c>
      <c r="S34" s="57">
        <f t="shared" ref="S34:AF34" si="26">MAX(S10:S12)</f>
        <v>6.5714285714285712</v>
      </c>
      <c r="T34" s="57">
        <f t="shared" si="26"/>
        <v>6.1428571428571423</v>
      </c>
      <c r="U34" s="57">
        <f t="shared" si="26"/>
        <v>11</v>
      </c>
      <c r="V34" s="57">
        <f t="shared" si="26"/>
        <v>7.1428571428571423</v>
      </c>
      <c r="W34" s="57">
        <f t="shared" si="26"/>
        <v>0.2857142857142857</v>
      </c>
      <c r="X34" s="57">
        <f t="shared" si="26"/>
        <v>0.2857142857142857</v>
      </c>
      <c r="Y34" s="57">
        <f t="shared" si="26"/>
        <v>7.7142857142857135</v>
      </c>
      <c r="Z34" s="57">
        <f t="shared" si="26"/>
        <v>1.4285714285714284</v>
      </c>
      <c r="AA34" s="57">
        <f t="shared" si="26"/>
        <v>0.2857142857142857</v>
      </c>
      <c r="AB34" s="57">
        <f t="shared" si="26"/>
        <v>8.7142857142857135</v>
      </c>
      <c r="AC34" s="57">
        <f t="shared" si="26"/>
        <v>11.285714285714286</v>
      </c>
      <c r="AD34" s="57">
        <f t="shared" si="26"/>
        <v>0.14285714285714285</v>
      </c>
      <c r="AE34" s="40">
        <f t="shared" si="26"/>
        <v>39.571428571428569</v>
      </c>
      <c r="AF34" s="40">
        <f t="shared" si="26"/>
        <v>50.714285714285708</v>
      </c>
    </row>
    <row r="35" spans="2:32" ht="23.1" customHeight="1" x14ac:dyDescent="0.25">
      <c r="B35" s="24" t="s">
        <v>62</v>
      </c>
      <c r="C35" s="49">
        <f>AVERAGE('29.07 Kigumba-Karuma'!C35,'30.07 Kigumba-Karuma'!C35,'31.07 Kigumba-Karuma'!C35,'01.08 Kigumba-Karuma'!C35,'02.08 Kigumba-Karuma-24h'!C35,'03.08 Kigumba-Karuma-24h'!C35,'04.08 Kigumba-Karuma'!C35)</f>
        <v>1.8571428571428572</v>
      </c>
      <c r="D35" s="49">
        <f>AVERAGE('29.07 Kigumba-Karuma'!D35,'30.07 Kigumba-Karuma'!D35,'31.07 Kigumba-Karuma'!D35,'01.08 Kigumba-Karuma'!D35,'02.08 Kigumba-Karuma-24h'!D35,'03.08 Kigumba-Karuma-24h'!D35,'04.08 Kigumba-Karuma'!D35)</f>
        <v>2.1428571428571428</v>
      </c>
      <c r="E35" s="49">
        <f>AVERAGE('29.07 Kigumba-Karuma'!E35,'30.07 Kigumba-Karuma'!E35,'31.07 Kigumba-Karuma'!E35,'01.08 Kigumba-Karuma'!E35,'02.08 Kigumba-Karuma-24h'!E35,'03.08 Kigumba-Karuma-24h'!E35,'04.08 Kigumba-Karuma'!E35)</f>
        <v>3.2857142857142856</v>
      </c>
      <c r="F35" s="49">
        <f>AVERAGE('29.07 Kigumba-Karuma'!F35,'30.07 Kigumba-Karuma'!F35,'31.07 Kigumba-Karuma'!F35,'01.08 Kigumba-Karuma'!F35,'02.08 Kigumba-Karuma-24h'!F35,'03.08 Kigumba-Karuma-24h'!F35,'04.08 Kigumba-Karuma'!F35)</f>
        <v>2.5714285714285716</v>
      </c>
      <c r="G35" s="49">
        <f>AVERAGE('29.07 Kigumba-Karuma'!G35,'30.07 Kigumba-Karuma'!G35,'31.07 Kigumba-Karuma'!G35,'01.08 Kigumba-Karuma'!G35,'02.08 Kigumba-Karuma-24h'!G35,'03.08 Kigumba-Karuma-24h'!G35,'04.08 Kigumba-Karuma'!G35)</f>
        <v>0</v>
      </c>
      <c r="H35" s="49">
        <f>AVERAGE('29.07 Kigumba-Karuma'!H35,'30.07 Kigumba-Karuma'!H35,'31.07 Kigumba-Karuma'!H35,'01.08 Kigumba-Karuma'!H35,'02.08 Kigumba-Karuma-24h'!H35,'03.08 Kigumba-Karuma-24h'!H35,'04.08 Kigumba-Karuma'!H35)</f>
        <v>1.1428571428571428</v>
      </c>
      <c r="I35" s="49">
        <f>AVERAGE('29.07 Kigumba-Karuma'!I35,'30.07 Kigumba-Karuma'!I35,'31.07 Kigumba-Karuma'!I35,'01.08 Kigumba-Karuma'!I35,'02.08 Kigumba-Karuma-24h'!I35,'03.08 Kigumba-Karuma-24h'!I35,'04.08 Kigumba-Karuma'!I35)</f>
        <v>1.7142857142857142</v>
      </c>
      <c r="J35" s="49">
        <f>AVERAGE('29.07 Kigumba-Karuma'!J35,'30.07 Kigumba-Karuma'!J35,'31.07 Kigumba-Karuma'!J35,'01.08 Kigumba-Karuma'!J35,'02.08 Kigumba-Karuma-24h'!J35,'03.08 Kigumba-Karuma-24h'!J35,'04.08 Kigumba-Karuma'!J35)</f>
        <v>0</v>
      </c>
      <c r="K35" s="49">
        <f>AVERAGE('29.07 Kigumba-Karuma'!K35,'30.07 Kigumba-Karuma'!K35,'31.07 Kigumba-Karuma'!K35,'01.08 Kigumba-Karuma'!K35,'02.08 Kigumba-Karuma-24h'!K35,'03.08 Kigumba-Karuma-24h'!K35,'04.08 Kigumba-Karuma'!K35)</f>
        <v>0</v>
      </c>
      <c r="L35" s="49">
        <f>AVERAGE('29.07 Kigumba-Karuma'!L35,'30.07 Kigumba-Karuma'!L35,'31.07 Kigumba-Karuma'!L35,'01.08 Kigumba-Karuma'!L35,'02.08 Kigumba-Karuma-24h'!L35,'03.08 Kigumba-Karuma-24h'!L35,'04.08 Kigumba-Karuma'!L35)</f>
        <v>0.5714285714285714</v>
      </c>
      <c r="M35" s="49">
        <f>AVERAGE('29.07 Kigumba-Karuma'!M35,'30.07 Kigumba-Karuma'!M35,'31.07 Kigumba-Karuma'!M35,'01.08 Kigumba-Karuma'!M35,'02.08 Kigumba-Karuma-24h'!M35,'03.08 Kigumba-Karuma-24h'!M35,'04.08 Kigumba-Karuma'!M35)</f>
        <v>3.1428571428571428</v>
      </c>
      <c r="N35" s="49">
        <f>AVERAGE('29.07 Kigumba-Karuma'!N35,'30.07 Kigumba-Karuma'!N35,'31.07 Kigumba-Karuma'!N35,'01.08 Kigumba-Karuma'!N35,'02.08 Kigumba-Karuma-24h'!N35,'03.08 Kigumba-Karuma-24h'!N35,'04.08 Kigumba-Karuma'!N35)</f>
        <v>0</v>
      </c>
      <c r="O35" s="15">
        <f t="shared" si="0"/>
        <v>13.285714285714285</v>
      </c>
      <c r="P35" s="15">
        <f t="shared" si="1"/>
        <v>16.428571428571427</v>
      </c>
      <c r="R35" s="56" t="s">
        <v>91</v>
      </c>
      <c r="S35" s="57">
        <f t="shared" ref="S35:AF35" si="27">MAX(S13:S18)</f>
        <v>11.142857142857142</v>
      </c>
      <c r="T35" s="57">
        <f t="shared" si="27"/>
        <v>10.142857142857142</v>
      </c>
      <c r="U35" s="57">
        <f t="shared" si="27"/>
        <v>15.285714285714288</v>
      </c>
      <c r="V35" s="57">
        <f t="shared" si="27"/>
        <v>8.5714285714285712</v>
      </c>
      <c r="W35" s="57">
        <f t="shared" si="27"/>
        <v>0.71428571428571419</v>
      </c>
      <c r="X35" s="57">
        <f t="shared" si="27"/>
        <v>5</v>
      </c>
      <c r="Y35" s="57">
        <f t="shared" si="27"/>
        <v>5.7142857142857144</v>
      </c>
      <c r="Z35" s="57">
        <f t="shared" si="27"/>
        <v>1.4285714285714284</v>
      </c>
      <c r="AA35" s="57">
        <f t="shared" si="27"/>
        <v>0.71428571428571419</v>
      </c>
      <c r="AB35" s="57">
        <f t="shared" si="27"/>
        <v>2.7142857142857144</v>
      </c>
      <c r="AC35" s="57">
        <f t="shared" si="27"/>
        <v>18.428571428571427</v>
      </c>
      <c r="AD35" s="57">
        <f t="shared" si="27"/>
        <v>0</v>
      </c>
      <c r="AE35" s="40">
        <f t="shared" si="27"/>
        <v>56.714285714285708</v>
      </c>
      <c r="AF35" s="40">
        <f t="shared" si="27"/>
        <v>75.142857142857139</v>
      </c>
    </row>
    <row r="36" spans="2:32" ht="23.1" customHeight="1" x14ac:dyDescent="0.25">
      <c r="B36" s="24" t="s">
        <v>63</v>
      </c>
      <c r="C36" s="49">
        <f>AVERAGE('29.07 Kigumba-Karuma'!C36,'30.07 Kigumba-Karuma'!C36,'31.07 Kigumba-Karuma'!C36,'01.08 Kigumba-Karuma'!C36,'02.08 Kigumba-Karuma-24h'!C36,'03.08 Kigumba-Karuma-24h'!C36,'04.08 Kigumba-Karuma'!C36)</f>
        <v>1.8571428571428572</v>
      </c>
      <c r="D36" s="49">
        <f>AVERAGE('29.07 Kigumba-Karuma'!D36,'30.07 Kigumba-Karuma'!D36,'31.07 Kigumba-Karuma'!D36,'01.08 Kigumba-Karuma'!D36,'02.08 Kigumba-Karuma-24h'!D36,'03.08 Kigumba-Karuma-24h'!D36,'04.08 Kigumba-Karuma'!D36)</f>
        <v>2.4285714285714284</v>
      </c>
      <c r="E36" s="49">
        <f>AVERAGE('29.07 Kigumba-Karuma'!E36,'30.07 Kigumba-Karuma'!E36,'31.07 Kigumba-Karuma'!E36,'01.08 Kigumba-Karuma'!E36,'02.08 Kigumba-Karuma-24h'!E36,'03.08 Kigumba-Karuma-24h'!E36,'04.08 Kigumba-Karuma'!E36)</f>
        <v>3.5714285714285716</v>
      </c>
      <c r="F36" s="49">
        <f>AVERAGE('29.07 Kigumba-Karuma'!F36,'30.07 Kigumba-Karuma'!F36,'31.07 Kigumba-Karuma'!F36,'01.08 Kigumba-Karuma'!F36,'02.08 Kigumba-Karuma-24h'!F36,'03.08 Kigumba-Karuma-24h'!F36,'04.08 Kigumba-Karuma'!F36)</f>
        <v>0.7142857142857143</v>
      </c>
      <c r="G36" s="49">
        <f>AVERAGE('29.07 Kigumba-Karuma'!G36,'30.07 Kigumba-Karuma'!G36,'31.07 Kigumba-Karuma'!G36,'01.08 Kigumba-Karuma'!G36,'02.08 Kigumba-Karuma-24h'!G36,'03.08 Kigumba-Karuma-24h'!G36,'04.08 Kigumba-Karuma'!G36)</f>
        <v>0</v>
      </c>
      <c r="H36" s="49">
        <f>AVERAGE('29.07 Kigumba-Karuma'!H36,'30.07 Kigumba-Karuma'!H36,'31.07 Kigumba-Karuma'!H36,'01.08 Kigumba-Karuma'!H36,'02.08 Kigumba-Karuma-24h'!H36,'03.08 Kigumba-Karuma-24h'!H36,'04.08 Kigumba-Karuma'!H36)</f>
        <v>1.8571428571428572</v>
      </c>
      <c r="I36" s="49">
        <f>AVERAGE('29.07 Kigumba-Karuma'!I36,'30.07 Kigumba-Karuma'!I36,'31.07 Kigumba-Karuma'!I36,'01.08 Kigumba-Karuma'!I36,'02.08 Kigumba-Karuma-24h'!I36,'03.08 Kigumba-Karuma-24h'!I36,'04.08 Kigumba-Karuma'!I36)</f>
        <v>0.5714285714285714</v>
      </c>
      <c r="J36" s="49">
        <f>AVERAGE('29.07 Kigumba-Karuma'!J36,'30.07 Kigumba-Karuma'!J36,'31.07 Kigumba-Karuma'!J36,'01.08 Kigumba-Karuma'!J36,'02.08 Kigumba-Karuma-24h'!J36,'03.08 Kigumba-Karuma-24h'!J36,'04.08 Kigumba-Karuma'!J36)</f>
        <v>0.14285714285714285</v>
      </c>
      <c r="K36" s="49">
        <f>AVERAGE('29.07 Kigumba-Karuma'!K36,'30.07 Kigumba-Karuma'!K36,'31.07 Kigumba-Karuma'!K36,'01.08 Kigumba-Karuma'!K36,'02.08 Kigumba-Karuma-24h'!K36,'03.08 Kigumba-Karuma-24h'!K36,'04.08 Kigumba-Karuma'!K36)</f>
        <v>0.42857142857142855</v>
      </c>
      <c r="L36" s="49">
        <f>AVERAGE('29.07 Kigumba-Karuma'!L36,'30.07 Kigumba-Karuma'!L36,'31.07 Kigumba-Karuma'!L36,'01.08 Kigumba-Karuma'!L36,'02.08 Kigumba-Karuma-24h'!L36,'03.08 Kigumba-Karuma-24h'!L36,'04.08 Kigumba-Karuma'!L36)</f>
        <v>0.2857142857142857</v>
      </c>
      <c r="M36" s="49">
        <f>AVERAGE('29.07 Kigumba-Karuma'!M36,'30.07 Kigumba-Karuma'!M36,'31.07 Kigumba-Karuma'!M36,'01.08 Kigumba-Karuma'!M36,'02.08 Kigumba-Karuma-24h'!M36,'03.08 Kigumba-Karuma-24h'!M36,'04.08 Kigumba-Karuma'!M36)</f>
        <v>2.2857142857142856</v>
      </c>
      <c r="N36" s="49">
        <f>AVERAGE('29.07 Kigumba-Karuma'!N36,'30.07 Kigumba-Karuma'!N36,'31.07 Kigumba-Karuma'!N36,'01.08 Kigumba-Karuma'!N36,'02.08 Kigumba-Karuma-24h'!N36,'03.08 Kigumba-Karuma-24h'!N36,'04.08 Kigumba-Karuma'!N36)</f>
        <v>0</v>
      </c>
      <c r="O36" s="15">
        <f t="shared" si="0"/>
        <v>11.857142857142858</v>
      </c>
      <c r="P36" s="15">
        <f t="shared" si="1"/>
        <v>14.142857142857142</v>
      </c>
      <c r="R36" s="56" t="s">
        <v>92</v>
      </c>
      <c r="S36" s="57">
        <f t="shared" ref="S36:AF36" si="28">MAX(S19:S21)</f>
        <v>10.285714285714285</v>
      </c>
      <c r="T36" s="57">
        <f t="shared" si="28"/>
        <v>9.7142857142857153</v>
      </c>
      <c r="U36" s="57">
        <f t="shared" si="28"/>
        <v>15.571428571428573</v>
      </c>
      <c r="V36" s="57">
        <f t="shared" si="28"/>
        <v>7.7142857142857135</v>
      </c>
      <c r="W36" s="57">
        <f t="shared" si="28"/>
        <v>0.42857142857142855</v>
      </c>
      <c r="X36" s="57">
        <f t="shared" si="28"/>
        <v>6.4285714285714288</v>
      </c>
      <c r="Y36" s="57">
        <f t="shared" si="28"/>
        <v>7.1428571428571423</v>
      </c>
      <c r="Z36" s="57">
        <f t="shared" si="28"/>
        <v>1.714285714285714</v>
      </c>
      <c r="AA36" s="57">
        <f t="shared" si="28"/>
        <v>1.1428571428571428</v>
      </c>
      <c r="AB36" s="57">
        <f t="shared" si="28"/>
        <v>7</v>
      </c>
      <c r="AC36" s="57">
        <f t="shared" si="28"/>
        <v>21</v>
      </c>
      <c r="AD36" s="57">
        <f t="shared" si="28"/>
        <v>0.14285714285714285</v>
      </c>
      <c r="AE36" s="40">
        <f t="shared" si="28"/>
        <v>62.571428571428569</v>
      </c>
      <c r="AF36" s="40">
        <f t="shared" si="28"/>
        <v>81.571428571428569</v>
      </c>
    </row>
    <row r="37" spans="2:32" ht="23.1" customHeight="1" x14ac:dyDescent="0.25">
      <c r="B37" s="23" t="s">
        <v>64</v>
      </c>
      <c r="C37" s="49">
        <f>AVERAGE('29.07 Kigumba-Karuma'!C37,'30.07 Kigumba-Karuma'!C37,'31.07 Kigumba-Karuma'!C37,'01.08 Kigumba-Karuma'!C37,'02.08 Kigumba-Karuma-24h'!C37,'03.08 Kigumba-Karuma-24h'!C37,'04.08 Kigumba-Karuma'!C37)</f>
        <v>2.8571428571428572</v>
      </c>
      <c r="D37" s="49">
        <f>AVERAGE('29.07 Kigumba-Karuma'!D37,'30.07 Kigumba-Karuma'!D37,'31.07 Kigumba-Karuma'!D37,'01.08 Kigumba-Karuma'!D37,'02.08 Kigumba-Karuma-24h'!D37,'03.08 Kigumba-Karuma-24h'!D37,'04.08 Kigumba-Karuma'!D37)</f>
        <v>1.8571428571428572</v>
      </c>
      <c r="E37" s="49">
        <f>AVERAGE('29.07 Kigumba-Karuma'!E37,'30.07 Kigumba-Karuma'!E37,'31.07 Kigumba-Karuma'!E37,'01.08 Kigumba-Karuma'!E37,'02.08 Kigumba-Karuma-24h'!E37,'03.08 Kigumba-Karuma-24h'!E37,'04.08 Kigumba-Karuma'!E37)</f>
        <v>2.8571428571428572</v>
      </c>
      <c r="F37" s="49">
        <f>AVERAGE('29.07 Kigumba-Karuma'!F37,'30.07 Kigumba-Karuma'!F37,'31.07 Kigumba-Karuma'!F37,'01.08 Kigumba-Karuma'!F37,'02.08 Kigumba-Karuma-24h'!F37,'03.08 Kigumba-Karuma-24h'!F37,'04.08 Kigumba-Karuma'!F37)</f>
        <v>1.2857142857142858</v>
      </c>
      <c r="G37" s="49">
        <f>AVERAGE('29.07 Kigumba-Karuma'!G37,'30.07 Kigumba-Karuma'!G37,'31.07 Kigumba-Karuma'!G37,'01.08 Kigumba-Karuma'!G37,'02.08 Kigumba-Karuma-24h'!G37,'03.08 Kigumba-Karuma-24h'!G37,'04.08 Kigumba-Karuma'!G37)</f>
        <v>0.2857142857142857</v>
      </c>
      <c r="H37" s="49">
        <f>AVERAGE('29.07 Kigumba-Karuma'!H37,'30.07 Kigumba-Karuma'!H37,'31.07 Kigumba-Karuma'!H37,'01.08 Kigumba-Karuma'!H37,'02.08 Kigumba-Karuma-24h'!H37,'03.08 Kigumba-Karuma-24h'!H37,'04.08 Kigumba-Karuma'!H37)</f>
        <v>1</v>
      </c>
      <c r="I37" s="49">
        <f>AVERAGE('29.07 Kigumba-Karuma'!I37,'30.07 Kigumba-Karuma'!I37,'31.07 Kigumba-Karuma'!I37,'01.08 Kigumba-Karuma'!I37,'02.08 Kigumba-Karuma-24h'!I37,'03.08 Kigumba-Karuma-24h'!I37,'04.08 Kigumba-Karuma'!I37)</f>
        <v>1.1428571428571428</v>
      </c>
      <c r="J37" s="49">
        <f>AVERAGE('29.07 Kigumba-Karuma'!J37,'30.07 Kigumba-Karuma'!J37,'31.07 Kigumba-Karuma'!J37,'01.08 Kigumba-Karuma'!J37,'02.08 Kigumba-Karuma-24h'!J37,'03.08 Kigumba-Karuma-24h'!J37,'04.08 Kigumba-Karuma'!J37)</f>
        <v>0</v>
      </c>
      <c r="K37" s="49">
        <f>AVERAGE('29.07 Kigumba-Karuma'!K37,'30.07 Kigumba-Karuma'!K37,'31.07 Kigumba-Karuma'!K37,'01.08 Kigumba-Karuma'!K37,'02.08 Kigumba-Karuma-24h'!K37,'03.08 Kigumba-Karuma-24h'!K37,'04.08 Kigumba-Karuma'!K37)</f>
        <v>0</v>
      </c>
      <c r="L37" s="49">
        <f>AVERAGE('29.07 Kigumba-Karuma'!L37,'30.07 Kigumba-Karuma'!L37,'31.07 Kigumba-Karuma'!L37,'01.08 Kigumba-Karuma'!L37,'02.08 Kigumba-Karuma-24h'!L37,'03.08 Kigumba-Karuma-24h'!L37,'04.08 Kigumba-Karuma'!L37)</f>
        <v>0.14285714285714285</v>
      </c>
      <c r="M37" s="49">
        <f>AVERAGE('29.07 Kigumba-Karuma'!M37,'30.07 Kigumba-Karuma'!M37,'31.07 Kigumba-Karuma'!M37,'01.08 Kigumba-Karuma'!M37,'02.08 Kigumba-Karuma-24h'!M37,'03.08 Kigumba-Karuma-24h'!M37,'04.08 Kigumba-Karuma'!M37)</f>
        <v>4</v>
      </c>
      <c r="N37" s="49">
        <f>AVERAGE('29.07 Kigumba-Karuma'!N37,'30.07 Kigumba-Karuma'!N37,'31.07 Kigumba-Karuma'!N37,'01.08 Kigumba-Karuma'!N37,'02.08 Kigumba-Karuma-24h'!N37,'03.08 Kigumba-Karuma-24h'!N37,'04.08 Kigumba-Karuma'!N37)</f>
        <v>0</v>
      </c>
      <c r="O37" s="15">
        <f t="shared" si="0"/>
        <v>11.428571428571429</v>
      </c>
      <c r="P37" s="15">
        <f t="shared" si="1"/>
        <v>15.428571428571429</v>
      </c>
      <c r="R37" s="37" t="s">
        <v>85</v>
      </c>
      <c r="S37" s="58">
        <f t="shared" ref="S37:AF37" si="29">SUM(S10:S12)</f>
        <v>15.714285714285714</v>
      </c>
      <c r="T37" s="59">
        <f t="shared" si="29"/>
        <v>14.714285714285714</v>
      </c>
      <c r="U37" s="59">
        <f t="shared" si="29"/>
        <v>28</v>
      </c>
      <c r="V37" s="59">
        <f t="shared" si="29"/>
        <v>14.285714285714285</v>
      </c>
      <c r="W37" s="59">
        <f t="shared" si="29"/>
        <v>0.2857142857142857</v>
      </c>
      <c r="X37" s="59">
        <f t="shared" si="29"/>
        <v>0.42857142857142855</v>
      </c>
      <c r="Y37" s="59">
        <f t="shared" si="29"/>
        <v>18.571428571428569</v>
      </c>
      <c r="Z37" s="59">
        <f t="shared" si="29"/>
        <v>3.1428571428571423</v>
      </c>
      <c r="AA37" s="59">
        <f t="shared" si="29"/>
        <v>0.71428571428571419</v>
      </c>
      <c r="AB37" s="59">
        <f t="shared" si="29"/>
        <v>15.428571428571427</v>
      </c>
      <c r="AC37" s="59">
        <f t="shared" si="29"/>
        <v>31.428571428571431</v>
      </c>
      <c r="AD37" s="59">
        <f t="shared" si="29"/>
        <v>0.14285714285714285</v>
      </c>
      <c r="AE37" s="60">
        <f t="shared" si="29"/>
        <v>111.42857142857144</v>
      </c>
      <c r="AF37" s="60">
        <f t="shared" si="29"/>
        <v>142.85714285714286</v>
      </c>
    </row>
    <row r="38" spans="2:32" ht="23.1" customHeight="1" x14ac:dyDescent="0.25">
      <c r="B38" s="24" t="s">
        <v>65</v>
      </c>
      <c r="C38" s="49">
        <f>AVERAGE('29.07 Kigumba-Karuma'!C38,'30.07 Kigumba-Karuma'!C38,'31.07 Kigumba-Karuma'!C38,'01.08 Kigumba-Karuma'!C38,'02.08 Kigumba-Karuma-24h'!C38,'03.08 Kigumba-Karuma-24h'!C38,'04.08 Kigumba-Karuma'!C38)</f>
        <v>2</v>
      </c>
      <c r="D38" s="49">
        <f>AVERAGE('29.07 Kigumba-Karuma'!D38,'30.07 Kigumba-Karuma'!D38,'31.07 Kigumba-Karuma'!D38,'01.08 Kigumba-Karuma'!D38,'02.08 Kigumba-Karuma-24h'!D38,'03.08 Kigumba-Karuma-24h'!D38,'04.08 Kigumba-Karuma'!D38)</f>
        <v>1.7142857142857142</v>
      </c>
      <c r="E38" s="49">
        <f>AVERAGE('29.07 Kigumba-Karuma'!E38,'30.07 Kigumba-Karuma'!E38,'31.07 Kigumba-Karuma'!E38,'01.08 Kigumba-Karuma'!E38,'02.08 Kigumba-Karuma-24h'!E38,'03.08 Kigumba-Karuma-24h'!E38,'04.08 Kigumba-Karuma'!E38)</f>
        <v>2.7142857142857144</v>
      </c>
      <c r="F38" s="49">
        <f>AVERAGE('29.07 Kigumba-Karuma'!F38,'30.07 Kigumba-Karuma'!F38,'31.07 Kigumba-Karuma'!F38,'01.08 Kigumba-Karuma'!F38,'02.08 Kigumba-Karuma-24h'!F38,'03.08 Kigumba-Karuma-24h'!F38,'04.08 Kigumba-Karuma'!F38)</f>
        <v>1.4285714285714286</v>
      </c>
      <c r="G38" s="49">
        <f>AVERAGE('29.07 Kigumba-Karuma'!G38,'30.07 Kigumba-Karuma'!G38,'31.07 Kigumba-Karuma'!G38,'01.08 Kigumba-Karuma'!G38,'02.08 Kigumba-Karuma-24h'!G38,'03.08 Kigumba-Karuma-24h'!G38,'04.08 Kigumba-Karuma'!G38)</f>
        <v>0</v>
      </c>
      <c r="H38" s="49">
        <f>AVERAGE('29.07 Kigumba-Karuma'!H38,'30.07 Kigumba-Karuma'!H38,'31.07 Kigumba-Karuma'!H38,'01.08 Kigumba-Karuma'!H38,'02.08 Kigumba-Karuma-24h'!H38,'03.08 Kigumba-Karuma-24h'!H38,'04.08 Kigumba-Karuma'!H38)</f>
        <v>0.5714285714285714</v>
      </c>
      <c r="I38" s="49">
        <f>AVERAGE('29.07 Kigumba-Karuma'!I38,'30.07 Kigumba-Karuma'!I38,'31.07 Kigumba-Karuma'!I38,'01.08 Kigumba-Karuma'!I38,'02.08 Kigumba-Karuma-24h'!I38,'03.08 Kigumba-Karuma-24h'!I38,'04.08 Kigumba-Karuma'!I38)</f>
        <v>1.1428571428571428</v>
      </c>
      <c r="J38" s="49">
        <f>AVERAGE('29.07 Kigumba-Karuma'!J38,'30.07 Kigumba-Karuma'!J38,'31.07 Kigumba-Karuma'!J38,'01.08 Kigumba-Karuma'!J38,'02.08 Kigumba-Karuma-24h'!J38,'03.08 Kigumba-Karuma-24h'!J38,'04.08 Kigumba-Karuma'!J38)</f>
        <v>0.42857142857142855</v>
      </c>
      <c r="K38" s="49">
        <f>AVERAGE('29.07 Kigumba-Karuma'!K38,'30.07 Kigumba-Karuma'!K38,'31.07 Kigumba-Karuma'!K38,'01.08 Kigumba-Karuma'!K38,'02.08 Kigumba-Karuma-24h'!K38,'03.08 Kigumba-Karuma-24h'!K38,'04.08 Kigumba-Karuma'!K38)</f>
        <v>0</v>
      </c>
      <c r="L38" s="49">
        <f>AVERAGE('29.07 Kigumba-Karuma'!L38,'30.07 Kigumba-Karuma'!L38,'31.07 Kigumba-Karuma'!L38,'01.08 Kigumba-Karuma'!L38,'02.08 Kigumba-Karuma-24h'!L38,'03.08 Kigumba-Karuma-24h'!L38,'04.08 Kigumba-Karuma'!L38)</f>
        <v>0.8571428571428571</v>
      </c>
      <c r="M38" s="49">
        <f>AVERAGE('29.07 Kigumba-Karuma'!M38,'30.07 Kigumba-Karuma'!M38,'31.07 Kigumba-Karuma'!M38,'01.08 Kigumba-Karuma'!M38,'02.08 Kigumba-Karuma-24h'!M38,'03.08 Kigumba-Karuma-24h'!M38,'04.08 Kigumba-Karuma'!M38)</f>
        <v>5</v>
      </c>
      <c r="N38" s="49">
        <f>AVERAGE('29.07 Kigumba-Karuma'!N38,'30.07 Kigumba-Karuma'!N38,'31.07 Kigumba-Karuma'!N38,'01.08 Kigumba-Karuma'!N38,'02.08 Kigumba-Karuma-24h'!N38,'03.08 Kigumba-Karuma-24h'!N38,'04.08 Kigumba-Karuma'!N38)</f>
        <v>0</v>
      </c>
      <c r="O38" s="15">
        <f t="shared" si="0"/>
        <v>10.857142857142858</v>
      </c>
      <c r="P38" s="15">
        <f t="shared" si="1"/>
        <v>15.857142857142858</v>
      </c>
      <c r="R38" s="28" t="s">
        <v>86</v>
      </c>
      <c r="S38" s="59">
        <f t="shared" ref="S38:AF38" si="30">SUM(S13:S18)</f>
        <v>47.142857142857153</v>
      </c>
      <c r="T38" s="59">
        <f t="shared" si="30"/>
        <v>45.571428571428569</v>
      </c>
      <c r="U38" s="59">
        <f t="shared" si="30"/>
        <v>74.857142857142861</v>
      </c>
      <c r="V38" s="59">
        <f t="shared" si="30"/>
        <v>41.285714285714285</v>
      </c>
      <c r="W38" s="59">
        <f t="shared" si="30"/>
        <v>2.2857142857142856</v>
      </c>
      <c r="X38" s="59">
        <f t="shared" si="30"/>
        <v>21.428571428571427</v>
      </c>
      <c r="Y38" s="59">
        <f t="shared" si="30"/>
        <v>30.285714285714288</v>
      </c>
      <c r="Z38" s="59">
        <f t="shared" si="30"/>
        <v>4.4285714285714288</v>
      </c>
      <c r="AA38" s="59">
        <f t="shared" si="30"/>
        <v>2.5714285714285712</v>
      </c>
      <c r="AB38" s="59">
        <f t="shared" si="30"/>
        <v>11.714285714285715</v>
      </c>
      <c r="AC38" s="59">
        <f t="shared" si="30"/>
        <v>93.714285714285708</v>
      </c>
      <c r="AD38" s="59">
        <f t="shared" si="30"/>
        <v>0</v>
      </c>
      <c r="AE38" s="60">
        <f t="shared" si="30"/>
        <v>281.57142857142856</v>
      </c>
      <c r="AF38" s="60">
        <f t="shared" si="30"/>
        <v>375.28571428571422</v>
      </c>
    </row>
    <row r="39" spans="2:32" ht="23.1" customHeight="1" x14ac:dyDescent="0.25">
      <c r="B39" s="24" t="s">
        <v>66</v>
      </c>
      <c r="C39" s="49">
        <f>AVERAGE('29.07 Kigumba-Karuma'!C39,'30.07 Kigumba-Karuma'!C39,'31.07 Kigumba-Karuma'!C39,'01.08 Kigumba-Karuma'!C39,'02.08 Kigumba-Karuma-24h'!C39,'03.08 Kigumba-Karuma-24h'!C39,'04.08 Kigumba-Karuma'!C39)</f>
        <v>2.1428571428571428</v>
      </c>
      <c r="D39" s="49">
        <f>AVERAGE('29.07 Kigumba-Karuma'!D39,'30.07 Kigumba-Karuma'!D39,'31.07 Kigumba-Karuma'!D39,'01.08 Kigumba-Karuma'!D39,'02.08 Kigumba-Karuma-24h'!D39,'03.08 Kigumba-Karuma-24h'!D39,'04.08 Kigumba-Karuma'!D39)</f>
        <v>2.8571428571428572</v>
      </c>
      <c r="E39" s="49">
        <f>AVERAGE('29.07 Kigumba-Karuma'!E39,'30.07 Kigumba-Karuma'!E39,'31.07 Kigumba-Karuma'!E39,'01.08 Kigumba-Karuma'!E39,'02.08 Kigumba-Karuma-24h'!E39,'03.08 Kigumba-Karuma-24h'!E39,'04.08 Kigumba-Karuma'!E39)</f>
        <v>4.1428571428571432</v>
      </c>
      <c r="F39" s="49">
        <f>AVERAGE('29.07 Kigumba-Karuma'!F39,'30.07 Kigumba-Karuma'!F39,'31.07 Kigumba-Karuma'!F39,'01.08 Kigumba-Karuma'!F39,'02.08 Kigumba-Karuma-24h'!F39,'03.08 Kigumba-Karuma-24h'!F39,'04.08 Kigumba-Karuma'!F39)</f>
        <v>0.2857142857142857</v>
      </c>
      <c r="G39" s="49">
        <f>AVERAGE('29.07 Kigumba-Karuma'!G39,'30.07 Kigumba-Karuma'!G39,'31.07 Kigumba-Karuma'!G39,'01.08 Kigumba-Karuma'!G39,'02.08 Kigumba-Karuma-24h'!G39,'03.08 Kigumba-Karuma-24h'!G39,'04.08 Kigumba-Karuma'!G39)</f>
        <v>0</v>
      </c>
      <c r="H39" s="49">
        <f>AVERAGE('29.07 Kigumba-Karuma'!H39,'30.07 Kigumba-Karuma'!H39,'31.07 Kigumba-Karuma'!H39,'01.08 Kigumba-Karuma'!H39,'02.08 Kigumba-Karuma-24h'!H39,'03.08 Kigumba-Karuma-24h'!H39,'04.08 Kigumba-Karuma'!H39)</f>
        <v>1</v>
      </c>
      <c r="I39" s="49">
        <f>AVERAGE('29.07 Kigumba-Karuma'!I39,'30.07 Kigumba-Karuma'!I39,'31.07 Kigumba-Karuma'!I39,'01.08 Kigumba-Karuma'!I39,'02.08 Kigumba-Karuma-24h'!I39,'03.08 Kigumba-Karuma-24h'!I39,'04.08 Kigumba-Karuma'!I39)</f>
        <v>1.2857142857142858</v>
      </c>
      <c r="J39" s="49">
        <f>AVERAGE('29.07 Kigumba-Karuma'!J39,'30.07 Kigumba-Karuma'!J39,'31.07 Kigumba-Karuma'!J39,'01.08 Kigumba-Karuma'!J39,'02.08 Kigumba-Karuma-24h'!J39,'03.08 Kigumba-Karuma-24h'!J39,'04.08 Kigumba-Karuma'!J39)</f>
        <v>0</v>
      </c>
      <c r="K39" s="49">
        <f>AVERAGE('29.07 Kigumba-Karuma'!K39,'30.07 Kigumba-Karuma'!K39,'31.07 Kigumba-Karuma'!K39,'01.08 Kigumba-Karuma'!K39,'02.08 Kigumba-Karuma-24h'!K39,'03.08 Kigumba-Karuma-24h'!K39,'04.08 Kigumba-Karuma'!K39)</f>
        <v>0.2857142857142857</v>
      </c>
      <c r="L39" s="49">
        <f>AVERAGE('29.07 Kigumba-Karuma'!L39,'30.07 Kigumba-Karuma'!L39,'31.07 Kigumba-Karuma'!L39,'01.08 Kigumba-Karuma'!L39,'02.08 Kigumba-Karuma-24h'!L39,'03.08 Kigumba-Karuma-24h'!L39,'04.08 Kigumba-Karuma'!L39)</f>
        <v>0.2857142857142857</v>
      </c>
      <c r="M39" s="49">
        <f>AVERAGE('29.07 Kigumba-Karuma'!M39,'30.07 Kigumba-Karuma'!M39,'31.07 Kigumba-Karuma'!M39,'01.08 Kigumba-Karuma'!M39,'02.08 Kigumba-Karuma-24h'!M39,'03.08 Kigumba-Karuma-24h'!M39,'04.08 Kigumba-Karuma'!M39)</f>
        <v>5.2857142857142856</v>
      </c>
      <c r="N39" s="49">
        <f>AVERAGE('29.07 Kigumba-Karuma'!N39,'30.07 Kigumba-Karuma'!N39,'31.07 Kigumba-Karuma'!N39,'01.08 Kigumba-Karuma'!N39,'02.08 Kigumba-Karuma-24h'!N39,'03.08 Kigumba-Karuma-24h'!N39,'04.08 Kigumba-Karuma'!N39)</f>
        <v>0</v>
      </c>
      <c r="O39" s="15">
        <f t="shared" si="0"/>
        <v>12.285714285714288</v>
      </c>
      <c r="P39" s="15">
        <f t="shared" si="1"/>
        <v>17.571428571428573</v>
      </c>
      <c r="R39" s="29" t="s">
        <v>87</v>
      </c>
      <c r="S39" s="59">
        <f t="shared" ref="S39:AF39" si="31">SUM(S19:S21)</f>
        <v>27.857142857142854</v>
      </c>
      <c r="T39" s="59">
        <f t="shared" si="31"/>
        <v>28.428571428571431</v>
      </c>
      <c r="U39" s="59">
        <f t="shared" si="31"/>
        <v>45.285714285714292</v>
      </c>
      <c r="V39" s="59">
        <f t="shared" si="31"/>
        <v>21.428571428571431</v>
      </c>
      <c r="W39" s="59">
        <f t="shared" si="31"/>
        <v>0.8571428571428571</v>
      </c>
      <c r="X39" s="59">
        <f t="shared" si="31"/>
        <v>15.714285714285715</v>
      </c>
      <c r="Y39" s="59">
        <f t="shared" si="31"/>
        <v>20</v>
      </c>
      <c r="Z39" s="59">
        <f t="shared" si="31"/>
        <v>3.9999999999999996</v>
      </c>
      <c r="AA39" s="59">
        <f t="shared" si="31"/>
        <v>2.7142857142857144</v>
      </c>
      <c r="AB39" s="59">
        <f t="shared" si="31"/>
        <v>15.714285714285715</v>
      </c>
      <c r="AC39" s="59">
        <f t="shared" si="31"/>
        <v>59.571428571428569</v>
      </c>
      <c r="AD39" s="59">
        <f t="shared" si="31"/>
        <v>0.14285714285714285</v>
      </c>
      <c r="AE39" s="60">
        <f t="shared" si="31"/>
        <v>182.14285714285714</v>
      </c>
      <c r="AF39" s="60">
        <f t="shared" si="31"/>
        <v>241.71428571428572</v>
      </c>
    </row>
    <row r="40" spans="2:32" ht="23.1" customHeight="1" x14ac:dyDescent="0.25">
      <c r="B40" s="24" t="s">
        <v>67</v>
      </c>
      <c r="C40" s="49">
        <f>AVERAGE('29.07 Kigumba-Karuma'!C40,'30.07 Kigumba-Karuma'!C40,'31.07 Kigumba-Karuma'!C40,'01.08 Kigumba-Karuma'!C40,'02.08 Kigumba-Karuma-24h'!C40,'03.08 Kigumba-Karuma-24h'!C40,'04.08 Kigumba-Karuma'!C40)</f>
        <v>2</v>
      </c>
      <c r="D40" s="49">
        <f>AVERAGE('29.07 Kigumba-Karuma'!D40,'30.07 Kigumba-Karuma'!D40,'31.07 Kigumba-Karuma'!D40,'01.08 Kigumba-Karuma'!D40,'02.08 Kigumba-Karuma-24h'!D40,'03.08 Kigumba-Karuma-24h'!D40,'04.08 Kigumba-Karuma'!D40)</f>
        <v>2</v>
      </c>
      <c r="E40" s="49">
        <f>AVERAGE('29.07 Kigumba-Karuma'!E40,'30.07 Kigumba-Karuma'!E40,'31.07 Kigumba-Karuma'!E40,'01.08 Kigumba-Karuma'!E40,'02.08 Kigumba-Karuma-24h'!E40,'03.08 Kigumba-Karuma-24h'!E40,'04.08 Kigumba-Karuma'!E40)</f>
        <v>3</v>
      </c>
      <c r="F40" s="49">
        <f>AVERAGE('29.07 Kigumba-Karuma'!F40,'30.07 Kigumba-Karuma'!F40,'31.07 Kigumba-Karuma'!F40,'01.08 Kigumba-Karuma'!F40,'02.08 Kigumba-Karuma-24h'!F40,'03.08 Kigumba-Karuma-24h'!F40,'04.08 Kigumba-Karuma'!F40)</f>
        <v>1</v>
      </c>
      <c r="G40" s="49">
        <f>AVERAGE('29.07 Kigumba-Karuma'!G40,'30.07 Kigumba-Karuma'!G40,'31.07 Kigumba-Karuma'!G40,'01.08 Kigumba-Karuma'!G40,'02.08 Kigumba-Karuma-24h'!G40,'03.08 Kigumba-Karuma-24h'!G40,'04.08 Kigumba-Karuma'!G40)</f>
        <v>0.14285714285714285</v>
      </c>
      <c r="H40" s="49">
        <f>AVERAGE('29.07 Kigumba-Karuma'!H40,'30.07 Kigumba-Karuma'!H40,'31.07 Kigumba-Karuma'!H40,'01.08 Kigumba-Karuma'!H40,'02.08 Kigumba-Karuma-24h'!H40,'03.08 Kigumba-Karuma-24h'!H40,'04.08 Kigumba-Karuma'!H40)</f>
        <v>0.5714285714285714</v>
      </c>
      <c r="I40" s="49">
        <f>AVERAGE('29.07 Kigumba-Karuma'!I40,'30.07 Kigumba-Karuma'!I40,'31.07 Kigumba-Karuma'!I40,'01.08 Kigumba-Karuma'!I40,'02.08 Kigumba-Karuma-24h'!I40,'03.08 Kigumba-Karuma-24h'!I40,'04.08 Kigumba-Karuma'!I40)</f>
        <v>1.2857142857142858</v>
      </c>
      <c r="J40" s="49">
        <f>AVERAGE('29.07 Kigumba-Karuma'!J40,'30.07 Kigumba-Karuma'!J40,'31.07 Kigumba-Karuma'!J40,'01.08 Kigumba-Karuma'!J40,'02.08 Kigumba-Karuma-24h'!J40,'03.08 Kigumba-Karuma-24h'!J40,'04.08 Kigumba-Karuma'!J40)</f>
        <v>0</v>
      </c>
      <c r="K40" s="49">
        <f>AVERAGE('29.07 Kigumba-Karuma'!K40,'30.07 Kigumba-Karuma'!K40,'31.07 Kigumba-Karuma'!K40,'01.08 Kigumba-Karuma'!K40,'02.08 Kigumba-Karuma-24h'!K40,'03.08 Kigumba-Karuma-24h'!K40,'04.08 Kigumba-Karuma'!K40)</f>
        <v>0.14285714285714285</v>
      </c>
      <c r="L40" s="49">
        <f>AVERAGE('29.07 Kigumba-Karuma'!L40,'30.07 Kigumba-Karuma'!L40,'31.07 Kigumba-Karuma'!L40,'01.08 Kigumba-Karuma'!L40,'02.08 Kigumba-Karuma-24h'!L40,'03.08 Kigumba-Karuma-24h'!L40,'04.08 Kigumba-Karuma'!L40)</f>
        <v>0.5714285714285714</v>
      </c>
      <c r="M40" s="49">
        <f>AVERAGE('29.07 Kigumba-Karuma'!M40,'30.07 Kigumba-Karuma'!M40,'31.07 Kigumba-Karuma'!M40,'01.08 Kigumba-Karuma'!M40,'02.08 Kigumba-Karuma-24h'!M40,'03.08 Kigumba-Karuma-24h'!M40,'04.08 Kigumba-Karuma'!M40)</f>
        <v>4.4285714285714288</v>
      </c>
      <c r="N40" s="49">
        <f>AVERAGE('29.07 Kigumba-Karuma'!N40,'30.07 Kigumba-Karuma'!N40,'31.07 Kigumba-Karuma'!N40,'01.08 Kigumba-Karuma'!N40,'02.08 Kigumba-Karuma-24h'!N40,'03.08 Kigumba-Karuma-24h'!N40,'04.08 Kigumba-Karuma'!N40)</f>
        <v>0</v>
      </c>
      <c r="O40" s="15">
        <f t="shared" si="0"/>
        <v>10.714285714285714</v>
      </c>
      <c r="P40" s="15">
        <f t="shared" si="1"/>
        <v>15.142857142857142</v>
      </c>
      <c r="R40" s="5" t="s">
        <v>17</v>
      </c>
      <c r="S40" s="59">
        <f t="shared" ref="S40:AF40" si="32">SUM(S10:S21)</f>
        <v>90.714285714285708</v>
      </c>
      <c r="T40" s="59">
        <f t="shared" si="32"/>
        <v>88.714285714285722</v>
      </c>
      <c r="U40" s="59">
        <f t="shared" si="32"/>
        <v>148.14285714285717</v>
      </c>
      <c r="V40" s="59">
        <f t="shared" si="32"/>
        <v>77</v>
      </c>
      <c r="W40" s="59">
        <f t="shared" si="32"/>
        <v>3.4285714285714279</v>
      </c>
      <c r="X40" s="59">
        <f t="shared" si="32"/>
        <v>37.571428571428569</v>
      </c>
      <c r="Y40" s="59">
        <f t="shared" si="32"/>
        <v>68.857142857142861</v>
      </c>
      <c r="Z40" s="59">
        <f t="shared" si="32"/>
        <v>11.571428571428569</v>
      </c>
      <c r="AA40" s="59">
        <f t="shared" si="32"/>
        <v>5.9999999999999982</v>
      </c>
      <c r="AB40" s="59">
        <f t="shared" si="32"/>
        <v>42.857142857142854</v>
      </c>
      <c r="AC40" s="59">
        <f t="shared" si="32"/>
        <v>184.71428571428569</v>
      </c>
      <c r="AD40" s="59">
        <f t="shared" si="32"/>
        <v>0.2857142857142857</v>
      </c>
      <c r="AE40" s="60">
        <f t="shared" si="32"/>
        <v>575.14285714285711</v>
      </c>
      <c r="AF40" s="60">
        <f t="shared" si="32"/>
        <v>759.85714285714278</v>
      </c>
    </row>
    <row r="41" spans="2:32" ht="23.1" customHeight="1" x14ac:dyDescent="0.25">
      <c r="B41" s="23" t="s">
        <v>68</v>
      </c>
      <c r="C41" s="49">
        <f>AVERAGE('29.07 Kigumba-Karuma'!C41,'30.07 Kigumba-Karuma'!C41,'31.07 Kigumba-Karuma'!C41,'01.08 Kigumba-Karuma'!C41,'02.08 Kigumba-Karuma-24h'!C41,'03.08 Kigumba-Karuma-24h'!C41,'04.08 Kigumba-Karuma'!C41)</f>
        <v>1.2857142857142858</v>
      </c>
      <c r="D41" s="49">
        <f>AVERAGE('29.07 Kigumba-Karuma'!D41,'30.07 Kigumba-Karuma'!D41,'31.07 Kigumba-Karuma'!D41,'01.08 Kigumba-Karuma'!D41,'02.08 Kigumba-Karuma-24h'!D41,'03.08 Kigumba-Karuma-24h'!D41,'04.08 Kigumba-Karuma'!D41)</f>
        <v>2.5714285714285716</v>
      </c>
      <c r="E41" s="49">
        <f>AVERAGE('29.07 Kigumba-Karuma'!E41,'30.07 Kigumba-Karuma'!E41,'31.07 Kigumba-Karuma'!E41,'01.08 Kigumba-Karuma'!E41,'02.08 Kigumba-Karuma-24h'!E41,'03.08 Kigumba-Karuma-24h'!E41,'04.08 Kigumba-Karuma'!E41)</f>
        <v>4.2857142857142856</v>
      </c>
      <c r="F41" s="49">
        <f>AVERAGE('29.07 Kigumba-Karuma'!F41,'30.07 Kigumba-Karuma'!F41,'31.07 Kigumba-Karuma'!F41,'01.08 Kigumba-Karuma'!F41,'02.08 Kigumba-Karuma-24h'!F41,'03.08 Kigumba-Karuma-24h'!F41,'04.08 Kigumba-Karuma'!F41)</f>
        <v>1.7142857142857142</v>
      </c>
      <c r="G41" s="49">
        <f>AVERAGE('29.07 Kigumba-Karuma'!G41,'30.07 Kigumba-Karuma'!G41,'31.07 Kigumba-Karuma'!G41,'01.08 Kigumba-Karuma'!G41,'02.08 Kigumba-Karuma-24h'!G41,'03.08 Kigumba-Karuma-24h'!G41,'04.08 Kigumba-Karuma'!G41)</f>
        <v>0</v>
      </c>
      <c r="H41" s="49">
        <f>AVERAGE('29.07 Kigumba-Karuma'!H41,'30.07 Kigumba-Karuma'!H41,'31.07 Kigumba-Karuma'!H41,'01.08 Kigumba-Karuma'!H41,'02.08 Kigumba-Karuma-24h'!H41,'03.08 Kigumba-Karuma-24h'!H41,'04.08 Kigumba-Karuma'!H41)</f>
        <v>0.5714285714285714</v>
      </c>
      <c r="I41" s="49">
        <f>AVERAGE('29.07 Kigumba-Karuma'!I41,'30.07 Kigumba-Karuma'!I41,'31.07 Kigumba-Karuma'!I41,'01.08 Kigumba-Karuma'!I41,'02.08 Kigumba-Karuma-24h'!I41,'03.08 Kigumba-Karuma-24h'!I41,'04.08 Kigumba-Karuma'!I41)</f>
        <v>2</v>
      </c>
      <c r="J41" s="49">
        <f>AVERAGE('29.07 Kigumba-Karuma'!J41,'30.07 Kigumba-Karuma'!J41,'31.07 Kigumba-Karuma'!J41,'01.08 Kigumba-Karuma'!J41,'02.08 Kigumba-Karuma-24h'!J41,'03.08 Kigumba-Karuma-24h'!J41,'04.08 Kigumba-Karuma'!J41)</f>
        <v>0.2857142857142857</v>
      </c>
      <c r="K41" s="49">
        <f>AVERAGE('29.07 Kigumba-Karuma'!K41,'30.07 Kigumba-Karuma'!K41,'31.07 Kigumba-Karuma'!K41,'01.08 Kigumba-Karuma'!K41,'02.08 Kigumba-Karuma-24h'!K41,'03.08 Kigumba-Karuma-24h'!K41,'04.08 Kigumba-Karuma'!K41)</f>
        <v>0</v>
      </c>
      <c r="L41" s="49">
        <f>AVERAGE('29.07 Kigumba-Karuma'!L41,'30.07 Kigumba-Karuma'!L41,'31.07 Kigumba-Karuma'!L41,'01.08 Kigumba-Karuma'!L41,'02.08 Kigumba-Karuma-24h'!L41,'03.08 Kigumba-Karuma-24h'!L41,'04.08 Kigumba-Karuma'!L41)</f>
        <v>1</v>
      </c>
      <c r="M41" s="49">
        <f>AVERAGE('29.07 Kigumba-Karuma'!M41,'30.07 Kigumba-Karuma'!M41,'31.07 Kigumba-Karuma'!M41,'01.08 Kigumba-Karuma'!M41,'02.08 Kigumba-Karuma-24h'!M41,'03.08 Kigumba-Karuma-24h'!M41,'04.08 Kigumba-Karuma'!M41)</f>
        <v>2.8571428571428572</v>
      </c>
      <c r="N41" s="49">
        <f>AVERAGE('29.07 Kigumba-Karuma'!N41,'30.07 Kigumba-Karuma'!N41,'31.07 Kigumba-Karuma'!N41,'01.08 Kigumba-Karuma'!N41,'02.08 Kigumba-Karuma-24h'!N41,'03.08 Kigumba-Karuma-24h'!N41,'04.08 Kigumba-Karuma'!N41)</f>
        <v>0</v>
      </c>
      <c r="O41" s="15">
        <f t="shared" si="0"/>
        <v>13.714285714285714</v>
      </c>
      <c r="P41" s="15">
        <f t="shared" si="1"/>
        <v>16.571428571428569</v>
      </c>
      <c r="R41" s="5" t="s">
        <v>176</v>
      </c>
      <c r="S41" s="59">
        <f>SUM(S10:S33)</f>
        <v>146.71428571428572</v>
      </c>
      <c r="T41" s="59">
        <f t="shared" ref="T41:AD41" si="33">SUM(T10:T33)</f>
        <v>128.21428571428572</v>
      </c>
      <c r="U41" s="59">
        <f t="shared" si="33"/>
        <v>240.14285714285717</v>
      </c>
      <c r="V41" s="59">
        <f t="shared" si="33"/>
        <v>115</v>
      </c>
      <c r="W41" s="59">
        <f t="shared" si="33"/>
        <v>3.4285714285714279</v>
      </c>
      <c r="X41" s="59">
        <f t="shared" si="33"/>
        <v>66.571428571428569</v>
      </c>
      <c r="Y41" s="59">
        <f t="shared" si="33"/>
        <v>108.35714285714286</v>
      </c>
      <c r="Z41" s="59">
        <f t="shared" si="33"/>
        <v>14.071428571428569</v>
      </c>
      <c r="AA41" s="59">
        <f t="shared" si="33"/>
        <v>5.9999999999999982</v>
      </c>
      <c r="AB41" s="59">
        <f t="shared" si="33"/>
        <v>74.357142857142861</v>
      </c>
      <c r="AC41" s="59">
        <f t="shared" si="33"/>
        <v>298.71428571428567</v>
      </c>
      <c r="AD41" s="59">
        <f t="shared" si="33"/>
        <v>0.2857142857142857</v>
      </c>
      <c r="AE41" s="60">
        <f>SUM(AE10:AE33)</f>
        <v>903.14285714285711</v>
      </c>
      <c r="AF41" s="60">
        <f>SUM(AF10:AF33)</f>
        <v>1201.8571428571427</v>
      </c>
    </row>
    <row r="42" spans="2:32" ht="23.1" customHeight="1" x14ac:dyDescent="0.25">
      <c r="B42" s="24" t="s">
        <v>69</v>
      </c>
      <c r="C42" s="49">
        <f>AVERAGE('29.07 Kigumba-Karuma'!C42,'30.07 Kigumba-Karuma'!C42,'31.07 Kigumba-Karuma'!C42,'01.08 Kigumba-Karuma'!C42,'02.08 Kigumba-Karuma-24h'!C42,'03.08 Kigumba-Karuma-24h'!C42,'04.08 Kigumba-Karuma'!C42)</f>
        <v>2.5714285714285716</v>
      </c>
      <c r="D42" s="49">
        <f>AVERAGE('29.07 Kigumba-Karuma'!D42,'30.07 Kigumba-Karuma'!D42,'31.07 Kigumba-Karuma'!D42,'01.08 Kigumba-Karuma'!D42,'02.08 Kigumba-Karuma-24h'!D42,'03.08 Kigumba-Karuma-24h'!D42,'04.08 Kigumba-Karuma'!D42)</f>
        <v>2.4285714285714284</v>
      </c>
      <c r="E42" s="49">
        <f>AVERAGE('29.07 Kigumba-Karuma'!E42,'30.07 Kigumba-Karuma'!E42,'31.07 Kigumba-Karuma'!E42,'01.08 Kigumba-Karuma'!E42,'02.08 Kigumba-Karuma-24h'!E42,'03.08 Kigumba-Karuma-24h'!E42,'04.08 Kigumba-Karuma'!E42)</f>
        <v>3.7142857142857144</v>
      </c>
      <c r="F42" s="49">
        <f>AVERAGE('29.07 Kigumba-Karuma'!F42,'30.07 Kigumba-Karuma'!F42,'31.07 Kigumba-Karuma'!F42,'01.08 Kigumba-Karuma'!F42,'02.08 Kigumba-Karuma-24h'!F42,'03.08 Kigumba-Karuma-24h'!F42,'04.08 Kigumba-Karuma'!F42)</f>
        <v>1.8571428571428572</v>
      </c>
      <c r="G42" s="49">
        <f>AVERAGE('29.07 Kigumba-Karuma'!G42,'30.07 Kigumba-Karuma'!G42,'31.07 Kigumba-Karuma'!G42,'01.08 Kigumba-Karuma'!G42,'02.08 Kigumba-Karuma-24h'!G42,'03.08 Kigumba-Karuma-24h'!G42,'04.08 Kigumba-Karuma'!G42)</f>
        <v>0.14285714285714285</v>
      </c>
      <c r="H42" s="49">
        <f>AVERAGE('29.07 Kigumba-Karuma'!H42,'30.07 Kigumba-Karuma'!H42,'31.07 Kigumba-Karuma'!H42,'01.08 Kigumba-Karuma'!H42,'02.08 Kigumba-Karuma-24h'!H42,'03.08 Kigumba-Karuma-24h'!H42,'04.08 Kigumba-Karuma'!H42)</f>
        <v>0.5714285714285714</v>
      </c>
      <c r="I42" s="49">
        <f>AVERAGE('29.07 Kigumba-Karuma'!I42,'30.07 Kigumba-Karuma'!I42,'31.07 Kigumba-Karuma'!I42,'01.08 Kigumba-Karuma'!I42,'02.08 Kigumba-Karuma-24h'!I42,'03.08 Kigumba-Karuma-24h'!I42,'04.08 Kigumba-Karuma'!I42)</f>
        <v>1.1428571428571428</v>
      </c>
      <c r="J42" s="49">
        <f>AVERAGE('29.07 Kigumba-Karuma'!J42,'30.07 Kigumba-Karuma'!J42,'31.07 Kigumba-Karuma'!J42,'01.08 Kigumba-Karuma'!J42,'02.08 Kigumba-Karuma-24h'!J42,'03.08 Kigumba-Karuma-24h'!J42,'04.08 Kigumba-Karuma'!J42)</f>
        <v>0.2857142857142857</v>
      </c>
      <c r="K42" s="49">
        <f>AVERAGE('29.07 Kigumba-Karuma'!K42,'30.07 Kigumba-Karuma'!K42,'31.07 Kigumba-Karuma'!K42,'01.08 Kigumba-Karuma'!K42,'02.08 Kigumba-Karuma-24h'!K42,'03.08 Kigumba-Karuma-24h'!K42,'04.08 Kigumba-Karuma'!K42)</f>
        <v>0</v>
      </c>
      <c r="L42" s="49">
        <f>AVERAGE('29.07 Kigumba-Karuma'!L42,'30.07 Kigumba-Karuma'!L42,'31.07 Kigumba-Karuma'!L42,'01.08 Kigumba-Karuma'!L42,'02.08 Kigumba-Karuma-24h'!L42,'03.08 Kigumba-Karuma-24h'!L42,'04.08 Kigumba-Karuma'!L42)</f>
        <v>0</v>
      </c>
      <c r="M42" s="49">
        <f>AVERAGE('29.07 Kigumba-Karuma'!M42,'30.07 Kigumba-Karuma'!M42,'31.07 Kigumba-Karuma'!M42,'01.08 Kigumba-Karuma'!M42,'02.08 Kigumba-Karuma-24h'!M42,'03.08 Kigumba-Karuma-24h'!M42,'04.08 Kigumba-Karuma'!M42)</f>
        <v>2.8571428571428572</v>
      </c>
      <c r="N42" s="49">
        <f>AVERAGE('29.07 Kigumba-Karuma'!N42,'30.07 Kigumba-Karuma'!N42,'31.07 Kigumba-Karuma'!N42,'01.08 Kigumba-Karuma'!N42,'02.08 Kigumba-Karuma-24h'!N42,'03.08 Kigumba-Karuma-24h'!N42,'04.08 Kigumba-Karuma'!N42)</f>
        <v>0</v>
      </c>
      <c r="O42" s="15">
        <f t="shared" si="0"/>
        <v>12.714285714285715</v>
      </c>
      <c r="P42" s="15">
        <f t="shared" si="1"/>
        <v>15.571428571428573</v>
      </c>
      <c r="R42" s="5" t="s">
        <v>160</v>
      </c>
      <c r="S42" s="48">
        <f>S41/S40</f>
        <v>1.6173228346456694</v>
      </c>
      <c r="T42" s="48">
        <f t="shared" ref="T42:AF42" si="34">T41/T40</f>
        <v>1.4452495974235104</v>
      </c>
      <c r="U42" s="48">
        <f t="shared" si="34"/>
        <v>1.6210221793635486</v>
      </c>
      <c r="V42" s="48">
        <f t="shared" si="34"/>
        <v>1.4935064935064934</v>
      </c>
      <c r="W42" s="48">
        <f t="shared" si="34"/>
        <v>1</v>
      </c>
      <c r="X42" s="48">
        <f t="shared" si="34"/>
        <v>1.7718631178707225</v>
      </c>
      <c r="Y42" s="48">
        <f t="shared" si="34"/>
        <v>1.5736514522821576</v>
      </c>
      <c r="Z42" s="48">
        <f t="shared" si="34"/>
        <v>1.2160493827160495</v>
      </c>
      <c r="AA42" s="48">
        <f t="shared" si="34"/>
        <v>1</v>
      </c>
      <c r="AB42" s="48">
        <f t="shared" si="34"/>
        <v>1.7350000000000003</v>
      </c>
      <c r="AC42" s="48">
        <f t="shared" si="34"/>
        <v>1.617169373549884</v>
      </c>
      <c r="AD42" s="48">
        <f t="shared" si="34"/>
        <v>1</v>
      </c>
      <c r="AE42" s="61">
        <f t="shared" si="34"/>
        <v>1.5702930948832587</v>
      </c>
      <c r="AF42" s="61">
        <f t="shared" si="34"/>
        <v>1.5816882872720435</v>
      </c>
    </row>
    <row r="43" spans="2:32" ht="23.1" customHeight="1" x14ac:dyDescent="0.25">
      <c r="B43" s="23" t="s">
        <v>70</v>
      </c>
      <c r="C43" s="49">
        <f>AVERAGE('29.07 Kigumba-Karuma'!C43,'30.07 Kigumba-Karuma'!C43,'31.07 Kigumba-Karuma'!C43,'01.08 Kigumba-Karuma'!C43,'02.08 Kigumba-Karuma-24h'!C43,'03.08 Kigumba-Karuma-24h'!C43,'04.08 Kigumba-Karuma'!C43)</f>
        <v>4.2857142857142856</v>
      </c>
      <c r="D43" s="49">
        <f>AVERAGE('29.07 Kigumba-Karuma'!D43,'30.07 Kigumba-Karuma'!D43,'31.07 Kigumba-Karuma'!D43,'01.08 Kigumba-Karuma'!D43,'02.08 Kigumba-Karuma-24h'!D43,'03.08 Kigumba-Karuma-24h'!D43,'04.08 Kigumba-Karuma'!D43)</f>
        <v>2.4285714285714284</v>
      </c>
      <c r="E43" s="49">
        <f>AVERAGE('29.07 Kigumba-Karuma'!E43,'30.07 Kigumba-Karuma'!E43,'31.07 Kigumba-Karuma'!E43,'01.08 Kigumba-Karuma'!E43,'02.08 Kigumba-Karuma-24h'!E43,'03.08 Kigumba-Karuma-24h'!E43,'04.08 Kigumba-Karuma'!E43)</f>
        <v>3.7142857142857144</v>
      </c>
      <c r="F43" s="49">
        <f>AVERAGE('29.07 Kigumba-Karuma'!F43,'30.07 Kigumba-Karuma'!F43,'31.07 Kigumba-Karuma'!F43,'01.08 Kigumba-Karuma'!F43,'02.08 Kigumba-Karuma-24h'!F43,'03.08 Kigumba-Karuma-24h'!F43,'04.08 Kigumba-Karuma'!F43)</f>
        <v>1.5714285714285714</v>
      </c>
      <c r="G43" s="49">
        <f>AVERAGE('29.07 Kigumba-Karuma'!G43,'30.07 Kigumba-Karuma'!G43,'31.07 Kigumba-Karuma'!G43,'01.08 Kigumba-Karuma'!G43,'02.08 Kigumba-Karuma-24h'!G43,'03.08 Kigumba-Karuma-24h'!G43,'04.08 Kigumba-Karuma'!G43)</f>
        <v>0.2857142857142857</v>
      </c>
      <c r="H43" s="49">
        <f>AVERAGE('29.07 Kigumba-Karuma'!H43,'30.07 Kigumba-Karuma'!H43,'31.07 Kigumba-Karuma'!H43,'01.08 Kigumba-Karuma'!H43,'02.08 Kigumba-Karuma-24h'!H43,'03.08 Kigumba-Karuma-24h'!H43,'04.08 Kigumba-Karuma'!H43)</f>
        <v>1.2857142857142858</v>
      </c>
      <c r="I43" s="49">
        <f>AVERAGE('29.07 Kigumba-Karuma'!I43,'30.07 Kigumba-Karuma'!I43,'31.07 Kigumba-Karuma'!I43,'01.08 Kigumba-Karuma'!I43,'02.08 Kigumba-Karuma-24h'!I43,'03.08 Kigumba-Karuma-24h'!I43,'04.08 Kigumba-Karuma'!I43)</f>
        <v>0.7142857142857143</v>
      </c>
      <c r="J43" s="49">
        <f>AVERAGE('29.07 Kigumba-Karuma'!J43,'30.07 Kigumba-Karuma'!J43,'31.07 Kigumba-Karuma'!J43,'01.08 Kigumba-Karuma'!J43,'02.08 Kigumba-Karuma-24h'!J43,'03.08 Kigumba-Karuma-24h'!J43,'04.08 Kigumba-Karuma'!J43)</f>
        <v>0.42857142857142855</v>
      </c>
      <c r="K43" s="49">
        <f>AVERAGE('29.07 Kigumba-Karuma'!K43,'30.07 Kigumba-Karuma'!K43,'31.07 Kigumba-Karuma'!K43,'01.08 Kigumba-Karuma'!K43,'02.08 Kigumba-Karuma-24h'!K43,'03.08 Kigumba-Karuma-24h'!K43,'04.08 Kigumba-Karuma'!K43)</f>
        <v>0</v>
      </c>
      <c r="L43" s="49">
        <f>AVERAGE('29.07 Kigumba-Karuma'!L43,'30.07 Kigumba-Karuma'!L43,'31.07 Kigumba-Karuma'!L43,'01.08 Kigumba-Karuma'!L43,'02.08 Kigumba-Karuma-24h'!L43,'03.08 Kigumba-Karuma-24h'!L43,'04.08 Kigumba-Karuma'!L43)</f>
        <v>0.2857142857142857</v>
      </c>
      <c r="M43" s="49">
        <f>AVERAGE('29.07 Kigumba-Karuma'!M43,'30.07 Kigumba-Karuma'!M43,'31.07 Kigumba-Karuma'!M43,'01.08 Kigumba-Karuma'!M43,'02.08 Kigumba-Karuma-24h'!M43,'03.08 Kigumba-Karuma-24h'!M43,'04.08 Kigumba-Karuma'!M43)</f>
        <v>4.1428571428571432</v>
      </c>
      <c r="N43" s="49">
        <f>AVERAGE('29.07 Kigumba-Karuma'!N43,'30.07 Kigumba-Karuma'!N43,'31.07 Kigumba-Karuma'!N43,'01.08 Kigumba-Karuma'!N43,'02.08 Kigumba-Karuma-24h'!N43,'03.08 Kigumba-Karuma-24h'!N43,'04.08 Kigumba-Karuma'!N43)</f>
        <v>0</v>
      </c>
      <c r="O43" s="15">
        <f t="shared" si="0"/>
        <v>15</v>
      </c>
      <c r="P43" s="15">
        <f t="shared" si="1"/>
        <v>19.142857142857142</v>
      </c>
    </row>
    <row r="44" spans="2:32" ht="23.1" customHeight="1" x14ac:dyDescent="0.25">
      <c r="B44" s="25" t="s">
        <v>71</v>
      </c>
      <c r="C44" s="49">
        <f>AVERAGE('29.07 Kigumba-Karuma'!C44,'30.07 Kigumba-Karuma'!C44,'31.07 Kigumba-Karuma'!C44,'01.08 Kigumba-Karuma'!C44,'02.08 Kigumba-Karuma-24h'!C44,'03.08 Kigumba-Karuma-24h'!C44,'04.08 Kigumba-Karuma'!C44)</f>
        <v>2.1428571428571428</v>
      </c>
      <c r="D44" s="49">
        <f>AVERAGE('29.07 Kigumba-Karuma'!D44,'30.07 Kigumba-Karuma'!D44,'31.07 Kigumba-Karuma'!D44,'01.08 Kigumba-Karuma'!D44,'02.08 Kigumba-Karuma-24h'!D44,'03.08 Kigumba-Karuma-24h'!D44,'04.08 Kigumba-Karuma'!D44)</f>
        <v>2.8571428571428572</v>
      </c>
      <c r="E44" s="49">
        <f>AVERAGE('29.07 Kigumba-Karuma'!E44,'30.07 Kigumba-Karuma'!E44,'31.07 Kigumba-Karuma'!E44,'01.08 Kigumba-Karuma'!E44,'02.08 Kigumba-Karuma-24h'!E44,'03.08 Kigumba-Karuma-24h'!E44,'04.08 Kigumba-Karuma'!E44)</f>
        <v>4.1428571428571432</v>
      </c>
      <c r="F44" s="49">
        <f>AVERAGE('29.07 Kigumba-Karuma'!F44,'30.07 Kigumba-Karuma'!F44,'31.07 Kigumba-Karuma'!F44,'01.08 Kigumba-Karuma'!F44,'02.08 Kigumba-Karuma-24h'!F44,'03.08 Kigumba-Karuma-24h'!F44,'04.08 Kigumba-Karuma'!F44)</f>
        <v>1.4285714285714286</v>
      </c>
      <c r="G44" s="49">
        <f>AVERAGE('29.07 Kigumba-Karuma'!G44,'30.07 Kigumba-Karuma'!G44,'31.07 Kigumba-Karuma'!G44,'01.08 Kigumba-Karuma'!G44,'02.08 Kigumba-Karuma-24h'!G44,'03.08 Kigumba-Karuma-24h'!G44,'04.08 Kigumba-Karuma'!G44)</f>
        <v>0.14285714285714285</v>
      </c>
      <c r="H44" s="49">
        <f>AVERAGE('29.07 Kigumba-Karuma'!H44,'30.07 Kigumba-Karuma'!H44,'31.07 Kigumba-Karuma'!H44,'01.08 Kigumba-Karuma'!H44,'02.08 Kigumba-Karuma-24h'!H44,'03.08 Kigumba-Karuma-24h'!H44,'04.08 Kigumba-Karuma'!H44)</f>
        <v>2.1428571428571428</v>
      </c>
      <c r="I44" s="49">
        <f>AVERAGE('29.07 Kigumba-Karuma'!I44,'30.07 Kigumba-Karuma'!I44,'31.07 Kigumba-Karuma'!I44,'01.08 Kigumba-Karuma'!I44,'02.08 Kigumba-Karuma-24h'!I44,'03.08 Kigumba-Karuma-24h'!I44,'04.08 Kigumba-Karuma'!I44)</f>
        <v>0.8571428571428571</v>
      </c>
      <c r="J44" s="49">
        <f>AVERAGE('29.07 Kigumba-Karuma'!J44,'30.07 Kigumba-Karuma'!J44,'31.07 Kigumba-Karuma'!J44,'01.08 Kigumba-Karuma'!J44,'02.08 Kigumba-Karuma-24h'!J44,'03.08 Kigumba-Karuma-24h'!J44,'04.08 Kigumba-Karuma'!J44)</f>
        <v>0.5714285714285714</v>
      </c>
      <c r="K44" s="49">
        <f>AVERAGE('29.07 Kigumba-Karuma'!K44,'30.07 Kigumba-Karuma'!K44,'31.07 Kigumba-Karuma'!K44,'01.08 Kigumba-Karuma'!K44,'02.08 Kigumba-Karuma-24h'!K44,'03.08 Kigumba-Karuma-24h'!K44,'04.08 Kigumba-Karuma'!K44)</f>
        <v>0.14285714285714285</v>
      </c>
      <c r="L44" s="49">
        <f>AVERAGE('29.07 Kigumba-Karuma'!L44,'30.07 Kigumba-Karuma'!L44,'31.07 Kigumba-Karuma'!L44,'01.08 Kigumba-Karuma'!L44,'02.08 Kigumba-Karuma-24h'!L44,'03.08 Kigumba-Karuma-24h'!L44,'04.08 Kigumba-Karuma'!L44)</f>
        <v>1</v>
      </c>
      <c r="M44" s="49">
        <f>AVERAGE('29.07 Kigumba-Karuma'!M44,'30.07 Kigumba-Karuma'!M44,'31.07 Kigumba-Karuma'!M44,'01.08 Kigumba-Karuma'!M44,'02.08 Kigumba-Karuma-24h'!M44,'03.08 Kigumba-Karuma-24h'!M44,'04.08 Kigumba-Karuma'!M44)</f>
        <v>5.5714285714285712</v>
      </c>
      <c r="N44" s="49">
        <f>AVERAGE('29.07 Kigumba-Karuma'!N44,'30.07 Kigumba-Karuma'!N44,'31.07 Kigumba-Karuma'!N44,'01.08 Kigumba-Karuma'!N44,'02.08 Kigumba-Karuma-24h'!N44,'03.08 Kigumba-Karuma-24h'!N44,'04.08 Kigumba-Karuma'!N44)</f>
        <v>0</v>
      </c>
      <c r="O44" s="15">
        <f t="shared" si="0"/>
        <v>15.428571428571427</v>
      </c>
      <c r="P44" s="15">
        <f t="shared" si="1"/>
        <v>21</v>
      </c>
    </row>
    <row r="45" spans="2:32" ht="23.1" customHeight="1" x14ac:dyDescent="0.25">
      <c r="B45" s="23" t="s">
        <v>72</v>
      </c>
      <c r="C45" s="49">
        <f>AVERAGE('29.07 Kigumba-Karuma'!C45,'30.07 Kigumba-Karuma'!C45,'31.07 Kigumba-Karuma'!C45,'01.08 Kigumba-Karuma'!C45,'02.08 Kigumba-Karuma-24h'!C45,'03.08 Kigumba-Karuma-24h'!C45,'04.08 Kigumba-Karuma'!C45)</f>
        <v>2.1428571428571428</v>
      </c>
      <c r="D45" s="49">
        <f>AVERAGE('29.07 Kigumba-Karuma'!D45,'30.07 Kigumba-Karuma'!D45,'31.07 Kigumba-Karuma'!D45,'01.08 Kigumba-Karuma'!D45,'02.08 Kigumba-Karuma-24h'!D45,'03.08 Kigumba-Karuma-24h'!D45,'04.08 Kigumba-Karuma'!D45)</f>
        <v>2.4285714285714284</v>
      </c>
      <c r="E45" s="49">
        <f>AVERAGE('29.07 Kigumba-Karuma'!E45,'30.07 Kigumba-Karuma'!E45,'31.07 Kigumba-Karuma'!E45,'01.08 Kigumba-Karuma'!E45,'02.08 Kigumba-Karuma-24h'!E45,'03.08 Kigumba-Karuma-24h'!E45,'04.08 Kigumba-Karuma'!E45)</f>
        <v>3.7142857142857144</v>
      </c>
      <c r="F45" s="49">
        <f>AVERAGE('29.07 Kigumba-Karuma'!F45,'30.07 Kigumba-Karuma'!F45,'31.07 Kigumba-Karuma'!F45,'01.08 Kigumba-Karuma'!F45,'02.08 Kigumba-Karuma-24h'!F45,'03.08 Kigumba-Karuma-24h'!F45,'04.08 Kigumba-Karuma'!F45)</f>
        <v>2.1428571428571428</v>
      </c>
      <c r="G45" s="49">
        <f>AVERAGE('29.07 Kigumba-Karuma'!G45,'30.07 Kigumba-Karuma'!G45,'31.07 Kigumba-Karuma'!G45,'01.08 Kigumba-Karuma'!G45,'02.08 Kigumba-Karuma-24h'!G45,'03.08 Kigumba-Karuma-24h'!G45,'04.08 Kigumba-Karuma'!G45)</f>
        <v>0</v>
      </c>
      <c r="H45" s="49">
        <f>AVERAGE('29.07 Kigumba-Karuma'!H45,'30.07 Kigumba-Karuma'!H45,'31.07 Kigumba-Karuma'!H45,'01.08 Kigumba-Karuma'!H45,'02.08 Kigumba-Karuma-24h'!H45,'03.08 Kigumba-Karuma-24h'!H45,'04.08 Kigumba-Karuma'!H45)</f>
        <v>1</v>
      </c>
      <c r="I45" s="49">
        <f>AVERAGE('29.07 Kigumba-Karuma'!I45,'30.07 Kigumba-Karuma'!I45,'31.07 Kigumba-Karuma'!I45,'01.08 Kigumba-Karuma'!I45,'02.08 Kigumba-Karuma-24h'!I45,'03.08 Kigumba-Karuma-24h'!I45,'04.08 Kigumba-Karuma'!I45)</f>
        <v>1.4285714285714286</v>
      </c>
      <c r="J45" s="49">
        <f>AVERAGE('29.07 Kigumba-Karuma'!J45,'30.07 Kigumba-Karuma'!J45,'31.07 Kigumba-Karuma'!J45,'01.08 Kigumba-Karuma'!J45,'02.08 Kigumba-Karuma-24h'!J45,'03.08 Kigumba-Karuma-24h'!J45,'04.08 Kigumba-Karuma'!J45)</f>
        <v>0.14285714285714285</v>
      </c>
      <c r="K45" s="49">
        <f>AVERAGE('29.07 Kigumba-Karuma'!K45,'30.07 Kigumba-Karuma'!K45,'31.07 Kigumba-Karuma'!K45,'01.08 Kigumba-Karuma'!K45,'02.08 Kigumba-Karuma-24h'!K45,'03.08 Kigumba-Karuma-24h'!K45,'04.08 Kigumba-Karuma'!K45)</f>
        <v>0</v>
      </c>
      <c r="L45" s="49">
        <f>AVERAGE('29.07 Kigumba-Karuma'!L45,'30.07 Kigumba-Karuma'!L45,'31.07 Kigumba-Karuma'!L45,'01.08 Kigumba-Karuma'!L45,'02.08 Kigumba-Karuma-24h'!L45,'03.08 Kigumba-Karuma-24h'!L45,'04.08 Kigumba-Karuma'!L45)</f>
        <v>0.5714285714285714</v>
      </c>
      <c r="M45" s="49">
        <f>AVERAGE('29.07 Kigumba-Karuma'!M45,'30.07 Kigumba-Karuma'!M45,'31.07 Kigumba-Karuma'!M45,'01.08 Kigumba-Karuma'!M45,'02.08 Kigumba-Karuma-24h'!M45,'03.08 Kigumba-Karuma-24h'!M45,'04.08 Kigumba-Karuma'!M45)</f>
        <v>5.8571428571428568</v>
      </c>
      <c r="N45" s="49">
        <f>AVERAGE('29.07 Kigumba-Karuma'!N45,'30.07 Kigumba-Karuma'!N45,'31.07 Kigumba-Karuma'!N45,'01.08 Kigumba-Karuma'!N45,'02.08 Kigumba-Karuma-24h'!N45,'03.08 Kigumba-Karuma-24h'!N45,'04.08 Kigumba-Karuma'!N45)</f>
        <v>0</v>
      </c>
      <c r="O45" s="15">
        <f t="shared" si="0"/>
        <v>13.571428571428569</v>
      </c>
      <c r="P45" s="15">
        <f t="shared" si="1"/>
        <v>19.428571428571427</v>
      </c>
    </row>
    <row r="46" spans="2:32" ht="23.1" customHeight="1" x14ac:dyDescent="0.25">
      <c r="B46" s="24" t="s">
        <v>73</v>
      </c>
      <c r="C46" s="49">
        <f>AVERAGE('29.07 Kigumba-Karuma'!C46,'30.07 Kigumba-Karuma'!C46,'31.07 Kigumba-Karuma'!C46,'01.08 Kigumba-Karuma'!C46,'02.08 Kigumba-Karuma-24h'!C46,'03.08 Kigumba-Karuma-24h'!C46,'04.08 Kigumba-Karuma'!C46)</f>
        <v>1.1428571428571428</v>
      </c>
      <c r="D46" s="49">
        <f>AVERAGE('29.07 Kigumba-Karuma'!D46,'30.07 Kigumba-Karuma'!D46,'31.07 Kigumba-Karuma'!D46,'01.08 Kigumba-Karuma'!D46,'02.08 Kigumba-Karuma-24h'!D46,'03.08 Kigumba-Karuma-24h'!D46,'04.08 Kigumba-Karuma'!D46)</f>
        <v>1.8571428571428572</v>
      </c>
      <c r="E46" s="49">
        <f>AVERAGE('29.07 Kigumba-Karuma'!E46,'30.07 Kigumba-Karuma'!E46,'31.07 Kigumba-Karuma'!E46,'01.08 Kigumba-Karuma'!E46,'02.08 Kigumba-Karuma-24h'!E46,'03.08 Kigumba-Karuma-24h'!E46,'04.08 Kigumba-Karuma'!E46)</f>
        <v>3.2857142857142856</v>
      </c>
      <c r="F46" s="49">
        <f>AVERAGE('29.07 Kigumba-Karuma'!F46,'30.07 Kigumba-Karuma'!F46,'31.07 Kigumba-Karuma'!F46,'01.08 Kigumba-Karuma'!F46,'02.08 Kigumba-Karuma-24h'!F46,'03.08 Kigumba-Karuma-24h'!F46,'04.08 Kigumba-Karuma'!F46)</f>
        <v>1.8571428571428572</v>
      </c>
      <c r="G46" s="49">
        <f>AVERAGE('29.07 Kigumba-Karuma'!G46,'30.07 Kigumba-Karuma'!G46,'31.07 Kigumba-Karuma'!G46,'01.08 Kigumba-Karuma'!G46,'02.08 Kigumba-Karuma-24h'!G46,'03.08 Kigumba-Karuma-24h'!G46,'04.08 Kigumba-Karuma'!G46)</f>
        <v>0.14285714285714285</v>
      </c>
      <c r="H46" s="49">
        <f>AVERAGE('29.07 Kigumba-Karuma'!H46,'30.07 Kigumba-Karuma'!H46,'31.07 Kigumba-Karuma'!H46,'01.08 Kigumba-Karuma'!H46,'02.08 Kigumba-Karuma-24h'!H46,'03.08 Kigumba-Karuma-24h'!H46,'04.08 Kigumba-Karuma'!H46)</f>
        <v>1.7142857142857142</v>
      </c>
      <c r="I46" s="49">
        <f>AVERAGE('29.07 Kigumba-Karuma'!I46,'30.07 Kigumba-Karuma'!I46,'31.07 Kigumba-Karuma'!I46,'01.08 Kigumba-Karuma'!I46,'02.08 Kigumba-Karuma-24h'!I46,'03.08 Kigumba-Karuma-24h'!I46,'04.08 Kigumba-Karuma'!I46)</f>
        <v>1.2857142857142858</v>
      </c>
      <c r="J46" s="49">
        <f>AVERAGE('29.07 Kigumba-Karuma'!J46,'30.07 Kigumba-Karuma'!J46,'31.07 Kigumba-Karuma'!J46,'01.08 Kigumba-Karuma'!J46,'02.08 Kigumba-Karuma-24h'!J46,'03.08 Kigumba-Karuma-24h'!J46,'04.08 Kigumba-Karuma'!J46)</f>
        <v>0.2857142857142857</v>
      </c>
      <c r="K46" s="49">
        <f>AVERAGE('29.07 Kigumba-Karuma'!K46,'30.07 Kigumba-Karuma'!K46,'31.07 Kigumba-Karuma'!K46,'01.08 Kigumba-Karuma'!K46,'02.08 Kigumba-Karuma-24h'!K46,'03.08 Kigumba-Karuma-24h'!K46,'04.08 Kigumba-Karuma'!K46)</f>
        <v>0.2857142857142857</v>
      </c>
      <c r="L46" s="49">
        <f>AVERAGE('29.07 Kigumba-Karuma'!L46,'30.07 Kigumba-Karuma'!L46,'31.07 Kigumba-Karuma'!L46,'01.08 Kigumba-Karuma'!L46,'02.08 Kigumba-Karuma-24h'!L46,'03.08 Kigumba-Karuma-24h'!L46,'04.08 Kigumba-Karuma'!L46)</f>
        <v>0.7142857142857143</v>
      </c>
      <c r="M46" s="49">
        <f>AVERAGE('29.07 Kigumba-Karuma'!M46,'30.07 Kigumba-Karuma'!M46,'31.07 Kigumba-Karuma'!M46,'01.08 Kigumba-Karuma'!M46,'02.08 Kigumba-Karuma-24h'!M46,'03.08 Kigumba-Karuma-24h'!M46,'04.08 Kigumba-Karuma'!M46)</f>
        <v>4.8571428571428568</v>
      </c>
      <c r="N46" s="49">
        <f>AVERAGE('29.07 Kigumba-Karuma'!N46,'30.07 Kigumba-Karuma'!N46,'31.07 Kigumba-Karuma'!N46,'01.08 Kigumba-Karuma'!N46,'02.08 Kigumba-Karuma-24h'!N46,'03.08 Kigumba-Karuma-24h'!N46,'04.08 Kigumba-Karuma'!N46)</f>
        <v>0</v>
      </c>
      <c r="O46" s="15">
        <f t="shared" si="0"/>
        <v>12.571428571428571</v>
      </c>
      <c r="P46" s="15">
        <f t="shared" si="1"/>
        <v>17.428571428571427</v>
      </c>
      <c r="R46" s="8"/>
      <c r="T46"/>
    </row>
    <row r="47" spans="2:32" ht="23.1" customHeight="1" x14ac:dyDescent="0.25">
      <c r="B47" s="24" t="s">
        <v>74</v>
      </c>
      <c r="C47" s="49">
        <f>AVERAGE('29.07 Kigumba-Karuma'!C47,'30.07 Kigumba-Karuma'!C47,'31.07 Kigumba-Karuma'!C47,'01.08 Kigumba-Karuma'!C47,'02.08 Kigumba-Karuma-24h'!C47,'03.08 Kigumba-Karuma-24h'!C47,'04.08 Kigumba-Karuma'!C47)</f>
        <v>3.5714285714285716</v>
      </c>
      <c r="D47" s="49">
        <f>AVERAGE('29.07 Kigumba-Karuma'!D47,'30.07 Kigumba-Karuma'!D47,'31.07 Kigumba-Karuma'!D47,'01.08 Kigumba-Karuma'!D47,'02.08 Kigumba-Karuma-24h'!D47,'03.08 Kigumba-Karuma-24h'!D47,'04.08 Kigumba-Karuma'!D47)</f>
        <v>2</v>
      </c>
      <c r="E47" s="49">
        <f>AVERAGE('29.07 Kigumba-Karuma'!E47,'30.07 Kigumba-Karuma'!E47,'31.07 Kigumba-Karuma'!E47,'01.08 Kigumba-Karuma'!E47,'02.08 Kigumba-Karuma-24h'!E47,'03.08 Kigumba-Karuma-24h'!E47,'04.08 Kigumba-Karuma'!E47)</f>
        <v>2.7142857142857144</v>
      </c>
      <c r="F47" s="49">
        <f>AVERAGE('29.07 Kigumba-Karuma'!F47,'30.07 Kigumba-Karuma'!F47,'31.07 Kigumba-Karuma'!F47,'01.08 Kigumba-Karuma'!F47,'02.08 Kigumba-Karuma-24h'!F47,'03.08 Kigumba-Karuma-24h'!F47,'04.08 Kigumba-Karuma'!F47)</f>
        <v>2.7142857142857144</v>
      </c>
      <c r="G47" s="49">
        <f>AVERAGE('29.07 Kigumba-Karuma'!G47,'30.07 Kigumba-Karuma'!G47,'31.07 Kigumba-Karuma'!G47,'01.08 Kigumba-Karuma'!G47,'02.08 Kigumba-Karuma-24h'!G47,'03.08 Kigumba-Karuma-24h'!G47,'04.08 Kigumba-Karuma'!G47)</f>
        <v>0.14285714285714285</v>
      </c>
      <c r="H47" s="49">
        <f>AVERAGE('29.07 Kigumba-Karuma'!H47,'30.07 Kigumba-Karuma'!H47,'31.07 Kigumba-Karuma'!H47,'01.08 Kigumba-Karuma'!H47,'02.08 Kigumba-Karuma-24h'!H47,'03.08 Kigumba-Karuma-24h'!H47,'04.08 Kigumba-Karuma'!H47)</f>
        <v>1.7142857142857142</v>
      </c>
      <c r="I47" s="49">
        <f>AVERAGE('29.07 Kigumba-Karuma'!I47,'30.07 Kigumba-Karuma'!I47,'31.07 Kigumba-Karuma'!I47,'01.08 Kigumba-Karuma'!I47,'02.08 Kigumba-Karuma-24h'!I47,'03.08 Kigumba-Karuma-24h'!I47,'04.08 Kigumba-Karuma'!I47)</f>
        <v>1.8571428571428572</v>
      </c>
      <c r="J47" s="49">
        <f>AVERAGE('29.07 Kigumba-Karuma'!J47,'30.07 Kigumba-Karuma'!J47,'31.07 Kigumba-Karuma'!J47,'01.08 Kigumba-Karuma'!J47,'02.08 Kigumba-Karuma-24h'!J47,'03.08 Kigumba-Karuma-24h'!J47,'04.08 Kigumba-Karuma'!J47)</f>
        <v>0</v>
      </c>
      <c r="K47" s="49">
        <f>AVERAGE('29.07 Kigumba-Karuma'!K47,'30.07 Kigumba-Karuma'!K47,'31.07 Kigumba-Karuma'!K47,'01.08 Kigumba-Karuma'!K47,'02.08 Kigumba-Karuma-24h'!K47,'03.08 Kigumba-Karuma-24h'!K47,'04.08 Kigumba-Karuma'!K47)</f>
        <v>0.42857142857142855</v>
      </c>
      <c r="L47" s="49">
        <f>AVERAGE('29.07 Kigumba-Karuma'!L47,'30.07 Kigumba-Karuma'!L47,'31.07 Kigumba-Karuma'!L47,'01.08 Kigumba-Karuma'!L47,'02.08 Kigumba-Karuma-24h'!L47,'03.08 Kigumba-Karuma-24h'!L47,'04.08 Kigumba-Karuma'!L47)</f>
        <v>0.8571428571428571</v>
      </c>
      <c r="M47" s="49">
        <f>AVERAGE('29.07 Kigumba-Karuma'!M47,'30.07 Kigumba-Karuma'!M47,'31.07 Kigumba-Karuma'!M47,'01.08 Kigumba-Karuma'!M47,'02.08 Kigumba-Karuma-24h'!M47,'03.08 Kigumba-Karuma-24h'!M47,'04.08 Kigumba-Karuma'!M47)</f>
        <v>4.1428571428571432</v>
      </c>
      <c r="N47" s="49">
        <f>AVERAGE('29.07 Kigumba-Karuma'!N47,'30.07 Kigumba-Karuma'!N47,'31.07 Kigumba-Karuma'!N47,'01.08 Kigumba-Karuma'!N47,'02.08 Kigumba-Karuma-24h'!N47,'03.08 Kigumba-Karuma-24h'!N47,'04.08 Kigumba-Karuma'!N47)</f>
        <v>0</v>
      </c>
      <c r="O47" s="15">
        <f t="shared" si="0"/>
        <v>16</v>
      </c>
      <c r="P47" s="15">
        <f t="shared" si="1"/>
        <v>20.142857142857142</v>
      </c>
      <c r="R47" s="8"/>
      <c r="T47"/>
    </row>
    <row r="48" spans="2:32" ht="23.1" customHeight="1" x14ac:dyDescent="0.25">
      <c r="B48" s="24" t="s">
        <v>75</v>
      </c>
      <c r="C48" s="49">
        <f>AVERAGE('29.07 Kigumba-Karuma'!C48,'30.07 Kigumba-Karuma'!C48,'31.07 Kigumba-Karuma'!C48,'01.08 Kigumba-Karuma'!C48,'02.08 Kigumba-Karuma-24h'!C48,'03.08 Kigumba-Karuma-24h'!C48,'04.08 Kigumba-Karuma'!C48)</f>
        <v>3.2857142857142856</v>
      </c>
      <c r="D48" s="49">
        <f>AVERAGE('29.07 Kigumba-Karuma'!D48,'30.07 Kigumba-Karuma'!D48,'31.07 Kigumba-Karuma'!D48,'01.08 Kigumba-Karuma'!D48,'02.08 Kigumba-Karuma-24h'!D48,'03.08 Kigumba-Karuma-24h'!D48,'04.08 Kigumba-Karuma'!D48)</f>
        <v>3</v>
      </c>
      <c r="E48" s="49">
        <f>AVERAGE('29.07 Kigumba-Karuma'!E48,'30.07 Kigumba-Karuma'!E48,'31.07 Kigumba-Karuma'!E48,'01.08 Kigumba-Karuma'!E48,'02.08 Kigumba-Karuma-24h'!E48,'03.08 Kigumba-Karuma-24h'!E48,'04.08 Kigumba-Karuma'!E48)</f>
        <v>4.7142857142857144</v>
      </c>
      <c r="F48" s="49">
        <f>AVERAGE('29.07 Kigumba-Karuma'!F48,'30.07 Kigumba-Karuma'!F48,'31.07 Kigumba-Karuma'!F48,'01.08 Kigumba-Karuma'!F48,'02.08 Kigumba-Karuma-24h'!F48,'03.08 Kigumba-Karuma-24h'!F48,'04.08 Kigumba-Karuma'!F48)</f>
        <v>1.8571428571428572</v>
      </c>
      <c r="G48" s="49">
        <f>AVERAGE('29.07 Kigumba-Karuma'!G48,'30.07 Kigumba-Karuma'!G48,'31.07 Kigumba-Karuma'!G48,'01.08 Kigumba-Karuma'!G48,'02.08 Kigumba-Karuma-24h'!G48,'03.08 Kigumba-Karuma-24h'!G48,'04.08 Kigumba-Karuma'!G48)</f>
        <v>0</v>
      </c>
      <c r="H48" s="49">
        <f>AVERAGE('29.07 Kigumba-Karuma'!H48,'30.07 Kigumba-Karuma'!H48,'31.07 Kigumba-Karuma'!H48,'01.08 Kigumba-Karuma'!H48,'02.08 Kigumba-Karuma-24h'!H48,'03.08 Kigumba-Karuma-24h'!H48,'04.08 Kigumba-Karuma'!H48)</f>
        <v>1.5714285714285714</v>
      </c>
      <c r="I48" s="49">
        <f>AVERAGE('29.07 Kigumba-Karuma'!I48,'30.07 Kigumba-Karuma'!I48,'31.07 Kigumba-Karuma'!I48,'01.08 Kigumba-Karuma'!I48,'02.08 Kigumba-Karuma-24h'!I48,'03.08 Kigumba-Karuma-24h'!I48,'04.08 Kigumba-Karuma'!I48)</f>
        <v>0.8571428571428571</v>
      </c>
      <c r="J48" s="49">
        <f>AVERAGE('29.07 Kigumba-Karuma'!J48,'30.07 Kigumba-Karuma'!J48,'31.07 Kigumba-Karuma'!J48,'01.08 Kigumba-Karuma'!J48,'02.08 Kigumba-Karuma-24h'!J48,'03.08 Kigumba-Karuma-24h'!J48,'04.08 Kigumba-Karuma'!J48)</f>
        <v>0.14285714285714285</v>
      </c>
      <c r="K48" s="49">
        <f>AVERAGE('29.07 Kigumba-Karuma'!K48,'30.07 Kigumba-Karuma'!K48,'31.07 Kigumba-Karuma'!K48,'01.08 Kigumba-Karuma'!K48,'02.08 Kigumba-Karuma-24h'!K48,'03.08 Kigumba-Karuma-24h'!K48,'04.08 Kigumba-Karuma'!K48)</f>
        <v>0.2857142857142857</v>
      </c>
      <c r="L48" s="49">
        <f>AVERAGE('29.07 Kigumba-Karuma'!L48,'30.07 Kigumba-Karuma'!L48,'31.07 Kigumba-Karuma'!L48,'01.08 Kigumba-Karuma'!L48,'02.08 Kigumba-Karuma-24h'!L48,'03.08 Kigumba-Karuma-24h'!L48,'04.08 Kigumba-Karuma'!L48)</f>
        <v>2.1428571428571428</v>
      </c>
      <c r="M48" s="49">
        <f>AVERAGE('29.07 Kigumba-Karuma'!M48,'30.07 Kigumba-Karuma'!M48,'31.07 Kigumba-Karuma'!M48,'01.08 Kigumba-Karuma'!M48,'02.08 Kigumba-Karuma-24h'!M48,'03.08 Kigumba-Karuma-24h'!M48,'04.08 Kigumba-Karuma'!M48)</f>
        <v>4.8571428571428568</v>
      </c>
      <c r="N48" s="49">
        <f>AVERAGE('29.07 Kigumba-Karuma'!N48,'30.07 Kigumba-Karuma'!N48,'31.07 Kigumba-Karuma'!N48,'01.08 Kigumba-Karuma'!N48,'02.08 Kigumba-Karuma-24h'!N48,'03.08 Kigumba-Karuma-24h'!N48,'04.08 Kigumba-Karuma'!N48)</f>
        <v>0</v>
      </c>
      <c r="O48" s="15">
        <f t="shared" si="0"/>
        <v>17.857142857142858</v>
      </c>
      <c r="P48" s="15">
        <f t="shared" si="1"/>
        <v>22.714285714285715</v>
      </c>
      <c r="R48" s="8"/>
      <c r="T48"/>
    </row>
    <row r="49" spans="2:20" ht="23.1" customHeight="1" x14ac:dyDescent="0.25">
      <c r="B49" s="23" t="s">
        <v>76</v>
      </c>
      <c r="C49" s="49">
        <f>AVERAGE('29.07 Kigumba-Karuma'!C49,'30.07 Kigumba-Karuma'!C49,'31.07 Kigumba-Karuma'!C49,'01.08 Kigumba-Karuma'!C49,'02.08 Kigumba-Karuma-24h'!C49,'03.08 Kigumba-Karuma-24h'!C49,'04.08 Kigumba-Karuma'!C49)</f>
        <v>2.2857142857142856</v>
      </c>
      <c r="D49" s="49">
        <f>AVERAGE('29.07 Kigumba-Karuma'!D49,'30.07 Kigumba-Karuma'!D49,'31.07 Kigumba-Karuma'!D49,'01.08 Kigumba-Karuma'!D49,'02.08 Kigumba-Karuma-24h'!D49,'03.08 Kigumba-Karuma-24h'!D49,'04.08 Kigumba-Karuma'!D49)</f>
        <v>2.8571428571428572</v>
      </c>
      <c r="E49" s="49">
        <f>AVERAGE('29.07 Kigumba-Karuma'!E49,'30.07 Kigumba-Karuma'!E49,'31.07 Kigumba-Karuma'!E49,'01.08 Kigumba-Karuma'!E49,'02.08 Kigumba-Karuma-24h'!E49,'03.08 Kigumba-Karuma-24h'!E49,'04.08 Kigumba-Karuma'!E49)</f>
        <v>4.2857142857142856</v>
      </c>
      <c r="F49" s="49">
        <f>AVERAGE('29.07 Kigumba-Karuma'!F49,'30.07 Kigumba-Karuma'!F49,'31.07 Kigumba-Karuma'!F49,'01.08 Kigumba-Karuma'!F49,'02.08 Kigumba-Karuma-24h'!F49,'03.08 Kigumba-Karuma-24h'!F49,'04.08 Kigumba-Karuma'!F49)</f>
        <v>0.8571428571428571</v>
      </c>
      <c r="G49" s="49">
        <f>AVERAGE('29.07 Kigumba-Karuma'!G49,'30.07 Kigumba-Karuma'!G49,'31.07 Kigumba-Karuma'!G49,'01.08 Kigumba-Karuma'!G49,'02.08 Kigumba-Karuma-24h'!G49,'03.08 Kigumba-Karuma-24h'!G49,'04.08 Kigumba-Karuma'!G49)</f>
        <v>0.14285714285714285</v>
      </c>
      <c r="H49" s="49">
        <f>AVERAGE('29.07 Kigumba-Karuma'!H49,'30.07 Kigumba-Karuma'!H49,'31.07 Kigumba-Karuma'!H49,'01.08 Kigumba-Karuma'!H49,'02.08 Kigumba-Karuma-24h'!H49,'03.08 Kigumba-Karuma-24h'!H49,'04.08 Kigumba-Karuma'!H49)</f>
        <v>1.4285714285714286</v>
      </c>
      <c r="I49" s="49">
        <f>AVERAGE('29.07 Kigumba-Karuma'!I49,'30.07 Kigumba-Karuma'!I49,'31.07 Kigumba-Karuma'!I49,'01.08 Kigumba-Karuma'!I49,'02.08 Kigumba-Karuma-24h'!I49,'03.08 Kigumba-Karuma-24h'!I49,'04.08 Kigumba-Karuma'!I49)</f>
        <v>3.1428571428571428</v>
      </c>
      <c r="J49" s="49">
        <f>AVERAGE('29.07 Kigumba-Karuma'!J49,'30.07 Kigumba-Karuma'!J49,'31.07 Kigumba-Karuma'!J49,'01.08 Kigumba-Karuma'!J49,'02.08 Kigumba-Karuma-24h'!J49,'03.08 Kigumba-Karuma-24h'!J49,'04.08 Kigumba-Karuma'!J49)</f>
        <v>0.2857142857142857</v>
      </c>
      <c r="K49" s="49">
        <f>AVERAGE('29.07 Kigumba-Karuma'!K49,'30.07 Kigumba-Karuma'!K49,'31.07 Kigumba-Karuma'!K49,'01.08 Kigumba-Karuma'!K49,'02.08 Kigumba-Karuma-24h'!K49,'03.08 Kigumba-Karuma-24h'!K49,'04.08 Kigumba-Karuma'!K49)</f>
        <v>0.14285714285714285</v>
      </c>
      <c r="L49" s="49">
        <f>AVERAGE('29.07 Kigumba-Karuma'!L49,'30.07 Kigumba-Karuma'!L49,'31.07 Kigumba-Karuma'!L49,'01.08 Kigumba-Karuma'!L49,'02.08 Kigumba-Karuma-24h'!L49,'03.08 Kigumba-Karuma-24h'!L49,'04.08 Kigumba-Karuma'!L49)</f>
        <v>0.7142857142857143</v>
      </c>
      <c r="M49" s="49">
        <f>AVERAGE('29.07 Kigumba-Karuma'!M49,'30.07 Kigumba-Karuma'!M49,'31.07 Kigumba-Karuma'!M49,'01.08 Kigumba-Karuma'!M49,'02.08 Kigumba-Karuma-24h'!M49,'03.08 Kigumba-Karuma-24h'!M49,'04.08 Kigumba-Karuma'!M49)</f>
        <v>4.4285714285714288</v>
      </c>
      <c r="N49" s="49">
        <f>AVERAGE('29.07 Kigumba-Karuma'!N49,'30.07 Kigumba-Karuma'!N49,'31.07 Kigumba-Karuma'!N49,'01.08 Kigumba-Karuma'!N49,'02.08 Kigumba-Karuma-24h'!N49,'03.08 Kigumba-Karuma-24h'!N49,'04.08 Kigumba-Karuma'!N49)</f>
        <v>0</v>
      </c>
      <c r="O49" s="15">
        <f t="shared" si="0"/>
        <v>16.142857142857142</v>
      </c>
      <c r="P49" s="15">
        <f t="shared" si="1"/>
        <v>20.571428571428569</v>
      </c>
      <c r="R49" s="8"/>
      <c r="T49"/>
    </row>
    <row r="50" spans="2:20" ht="23.1" customHeight="1" x14ac:dyDescent="0.25">
      <c r="B50" s="24" t="s">
        <v>77</v>
      </c>
      <c r="C50" s="49">
        <f>AVERAGE('29.07 Kigumba-Karuma'!C50,'30.07 Kigumba-Karuma'!C50,'31.07 Kigumba-Karuma'!C50,'01.08 Kigumba-Karuma'!C50,'02.08 Kigumba-Karuma-24h'!C50,'03.08 Kigumba-Karuma-24h'!C50,'04.08 Kigumba-Karuma'!C50)</f>
        <v>2.1428571428571428</v>
      </c>
      <c r="D50" s="49">
        <f>AVERAGE('29.07 Kigumba-Karuma'!D50,'30.07 Kigumba-Karuma'!D50,'31.07 Kigumba-Karuma'!D50,'01.08 Kigumba-Karuma'!D50,'02.08 Kigumba-Karuma-24h'!D50,'03.08 Kigumba-Karuma-24h'!D50,'04.08 Kigumba-Karuma'!D50)</f>
        <v>1.8571428571428572</v>
      </c>
      <c r="E50" s="49">
        <f>AVERAGE('29.07 Kigumba-Karuma'!E50,'30.07 Kigumba-Karuma'!E50,'31.07 Kigumba-Karuma'!E50,'01.08 Kigumba-Karuma'!E50,'02.08 Kigumba-Karuma-24h'!E50,'03.08 Kigumba-Karuma-24h'!E50,'04.08 Kigumba-Karuma'!E50)</f>
        <v>3.2857142857142856</v>
      </c>
      <c r="F50" s="49">
        <f>AVERAGE('29.07 Kigumba-Karuma'!F50,'30.07 Kigumba-Karuma'!F50,'31.07 Kigumba-Karuma'!F50,'01.08 Kigumba-Karuma'!F50,'02.08 Kigumba-Karuma-24h'!F50,'03.08 Kigumba-Karuma-24h'!F50,'04.08 Kigumba-Karuma'!F50)</f>
        <v>2</v>
      </c>
      <c r="G50" s="49">
        <f>AVERAGE('29.07 Kigumba-Karuma'!G50,'30.07 Kigumba-Karuma'!G50,'31.07 Kigumba-Karuma'!G50,'01.08 Kigumba-Karuma'!G50,'02.08 Kigumba-Karuma-24h'!G50,'03.08 Kigumba-Karuma-24h'!G50,'04.08 Kigumba-Karuma'!G50)</f>
        <v>0</v>
      </c>
      <c r="H50" s="49">
        <f>AVERAGE('29.07 Kigumba-Karuma'!H50,'30.07 Kigumba-Karuma'!H50,'31.07 Kigumba-Karuma'!H50,'01.08 Kigumba-Karuma'!H50,'02.08 Kigumba-Karuma-24h'!H50,'03.08 Kigumba-Karuma-24h'!H50,'04.08 Kigumba-Karuma'!H50)</f>
        <v>1.7142857142857142</v>
      </c>
      <c r="I50" s="49">
        <f>AVERAGE('29.07 Kigumba-Karuma'!I50,'30.07 Kigumba-Karuma'!I50,'31.07 Kigumba-Karuma'!I50,'01.08 Kigumba-Karuma'!I50,'02.08 Kigumba-Karuma-24h'!I50,'03.08 Kigumba-Karuma-24h'!I50,'04.08 Kigumba-Karuma'!I50)</f>
        <v>1.2857142857142858</v>
      </c>
      <c r="J50" s="49">
        <f>AVERAGE('29.07 Kigumba-Karuma'!J50,'30.07 Kigumba-Karuma'!J50,'31.07 Kigumba-Karuma'!J50,'01.08 Kigumba-Karuma'!J50,'02.08 Kigumba-Karuma-24h'!J50,'03.08 Kigumba-Karuma-24h'!J50,'04.08 Kigumba-Karuma'!J50)</f>
        <v>0.2857142857142857</v>
      </c>
      <c r="K50" s="49">
        <f>AVERAGE('29.07 Kigumba-Karuma'!K50,'30.07 Kigumba-Karuma'!K50,'31.07 Kigumba-Karuma'!K50,'01.08 Kigumba-Karuma'!K50,'02.08 Kigumba-Karuma-24h'!K50,'03.08 Kigumba-Karuma-24h'!K50,'04.08 Kigumba-Karuma'!K50)</f>
        <v>0.14285714285714285</v>
      </c>
      <c r="L50" s="49">
        <f>AVERAGE('29.07 Kigumba-Karuma'!L50,'30.07 Kigumba-Karuma'!L50,'31.07 Kigumba-Karuma'!L50,'01.08 Kigumba-Karuma'!L50,'02.08 Kigumba-Karuma-24h'!L50,'03.08 Kigumba-Karuma-24h'!L50,'04.08 Kigumba-Karuma'!L50)</f>
        <v>0.2857142857142857</v>
      </c>
      <c r="M50" s="49">
        <f>AVERAGE('29.07 Kigumba-Karuma'!M50,'30.07 Kigumba-Karuma'!M50,'31.07 Kigumba-Karuma'!M50,'01.08 Kigumba-Karuma'!M50,'02.08 Kigumba-Karuma-24h'!M50,'03.08 Kigumba-Karuma-24h'!M50,'04.08 Kigumba-Karuma'!M50)</f>
        <v>5</v>
      </c>
      <c r="N50" s="49">
        <f>AVERAGE('29.07 Kigumba-Karuma'!N50,'30.07 Kigumba-Karuma'!N50,'31.07 Kigumba-Karuma'!N50,'01.08 Kigumba-Karuma'!N50,'02.08 Kigumba-Karuma-24h'!N50,'03.08 Kigumba-Karuma-24h'!N50,'04.08 Kigumba-Karuma'!N50)</f>
        <v>0</v>
      </c>
      <c r="O50" s="15">
        <f t="shared" si="0"/>
        <v>13</v>
      </c>
      <c r="P50" s="15">
        <f t="shared" si="1"/>
        <v>18</v>
      </c>
      <c r="R50" s="8"/>
      <c r="T50"/>
    </row>
    <row r="51" spans="2:20" ht="23.1" customHeight="1" x14ac:dyDescent="0.25">
      <c r="B51" s="24" t="s">
        <v>78</v>
      </c>
      <c r="C51" s="49">
        <f>AVERAGE('29.07 Kigumba-Karuma'!C51,'30.07 Kigumba-Karuma'!C51,'31.07 Kigumba-Karuma'!C51,'01.08 Kigumba-Karuma'!C51,'02.08 Kigumba-Karuma-24h'!C51,'03.08 Kigumba-Karuma-24h'!C51,'04.08 Kigumba-Karuma'!C51)</f>
        <v>1.5714285714285714</v>
      </c>
      <c r="D51" s="49">
        <f>AVERAGE('29.07 Kigumba-Karuma'!D51,'30.07 Kigumba-Karuma'!D51,'31.07 Kigumba-Karuma'!D51,'01.08 Kigumba-Karuma'!D51,'02.08 Kigumba-Karuma-24h'!D51,'03.08 Kigumba-Karuma-24h'!D51,'04.08 Kigumba-Karuma'!D51)</f>
        <v>2.1428571428571428</v>
      </c>
      <c r="E51" s="49">
        <f>AVERAGE('29.07 Kigumba-Karuma'!E51,'30.07 Kigumba-Karuma'!E51,'31.07 Kigumba-Karuma'!E51,'01.08 Kigumba-Karuma'!E51,'02.08 Kigumba-Karuma-24h'!E51,'03.08 Kigumba-Karuma-24h'!E51,'04.08 Kigumba-Karuma'!E51)</f>
        <v>3.5714285714285716</v>
      </c>
      <c r="F51" s="49">
        <f>AVERAGE('29.07 Kigumba-Karuma'!F51,'30.07 Kigumba-Karuma'!F51,'31.07 Kigumba-Karuma'!F51,'01.08 Kigumba-Karuma'!F51,'02.08 Kigumba-Karuma-24h'!F51,'03.08 Kigumba-Karuma-24h'!F51,'04.08 Kigumba-Karuma'!F51)</f>
        <v>1.5714285714285714</v>
      </c>
      <c r="G51" s="49">
        <f>AVERAGE('29.07 Kigumba-Karuma'!G51,'30.07 Kigumba-Karuma'!G51,'31.07 Kigumba-Karuma'!G51,'01.08 Kigumba-Karuma'!G51,'02.08 Kigumba-Karuma-24h'!G51,'03.08 Kigumba-Karuma-24h'!G51,'04.08 Kigumba-Karuma'!G51)</f>
        <v>0</v>
      </c>
      <c r="H51" s="49">
        <f>AVERAGE('29.07 Kigumba-Karuma'!H51,'30.07 Kigumba-Karuma'!H51,'31.07 Kigumba-Karuma'!H51,'01.08 Kigumba-Karuma'!H51,'02.08 Kigumba-Karuma-24h'!H51,'03.08 Kigumba-Karuma-24h'!H51,'04.08 Kigumba-Karuma'!H51)</f>
        <v>1</v>
      </c>
      <c r="I51" s="49">
        <f>AVERAGE('29.07 Kigumba-Karuma'!I51,'30.07 Kigumba-Karuma'!I51,'31.07 Kigumba-Karuma'!I51,'01.08 Kigumba-Karuma'!I51,'02.08 Kigumba-Karuma-24h'!I51,'03.08 Kigumba-Karuma-24h'!I51,'04.08 Kigumba-Karuma'!I51)</f>
        <v>1.2857142857142858</v>
      </c>
      <c r="J51" s="49">
        <f>AVERAGE('29.07 Kigumba-Karuma'!J51,'30.07 Kigumba-Karuma'!J51,'31.07 Kigumba-Karuma'!J51,'01.08 Kigumba-Karuma'!J51,'02.08 Kigumba-Karuma-24h'!J51,'03.08 Kigumba-Karuma-24h'!J51,'04.08 Kigumba-Karuma'!J51)</f>
        <v>0.14285714285714285</v>
      </c>
      <c r="K51" s="49">
        <f>AVERAGE('29.07 Kigumba-Karuma'!K51,'30.07 Kigumba-Karuma'!K51,'31.07 Kigumba-Karuma'!K51,'01.08 Kigumba-Karuma'!K51,'02.08 Kigumba-Karuma-24h'!K51,'03.08 Kigumba-Karuma-24h'!K51,'04.08 Kigumba-Karuma'!K51)</f>
        <v>0.14285714285714285</v>
      </c>
      <c r="L51" s="49">
        <f>AVERAGE('29.07 Kigumba-Karuma'!L51,'30.07 Kigumba-Karuma'!L51,'31.07 Kigumba-Karuma'!L51,'01.08 Kigumba-Karuma'!L51,'02.08 Kigumba-Karuma-24h'!L51,'03.08 Kigumba-Karuma-24h'!L51,'04.08 Kigumba-Karuma'!L51)</f>
        <v>1</v>
      </c>
      <c r="M51" s="49">
        <f>AVERAGE('29.07 Kigumba-Karuma'!M51,'30.07 Kigumba-Karuma'!M51,'31.07 Kigumba-Karuma'!M51,'01.08 Kigumba-Karuma'!M51,'02.08 Kigumba-Karuma-24h'!M51,'03.08 Kigumba-Karuma-24h'!M51,'04.08 Kigumba-Karuma'!M51)</f>
        <v>5.1428571428571432</v>
      </c>
      <c r="N51" s="49">
        <f>AVERAGE('29.07 Kigumba-Karuma'!N51,'30.07 Kigumba-Karuma'!N51,'31.07 Kigumba-Karuma'!N51,'01.08 Kigumba-Karuma'!N51,'02.08 Kigumba-Karuma-24h'!N51,'03.08 Kigumba-Karuma-24h'!N51,'04.08 Kigumba-Karuma'!N51)</f>
        <v>0</v>
      </c>
      <c r="O51" s="15">
        <f t="shared" si="0"/>
        <v>12.428571428571429</v>
      </c>
      <c r="P51" s="15">
        <f t="shared" si="1"/>
        <v>17.571428571428573</v>
      </c>
      <c r="R51" s="8"/>
      <c r="T51"/>
    </row>
    <row r="52" spans="2:20" ht="23.1" customHeight="1" x14ac:dyDescent="0.25">
      <c r="B52" s="24" t="s">
        <v>79</v>
      </c>
      <c r="C52" s="49">
        <f>AVERAGE('29.07 Kigumba-Karuma'!C52,'30.07 Kigumba-Karuma'!C52,'31.07 Kigumba-Karuma'!C52,'01.08 Kigumba-Karuma'!C52,'02.08 Kigumba-Karuma-24h'!C52,'03.08 Kigumba-Karuma-24h'!C52,'04.08 Kigumba-Karuma'!C52)</f>
        <v>2.7142857142857144</v>
      </c>
      <c r="D52" s="49">
        <f>AVERAGE('29.07 Kigumba-Karuma'!D52,'30.07 Kigumba-Karuma'!D52,'31.07 Kigumba-Karuma'!D52,'01.08 Kigumba-Karuma'!D52,'02.08 Kigumba-Karuma-24h'!D52,'03.08 Kigumba-Karuma-24h'!D52,'04.08 Kigumba-Karuma'!D52)</f>
        <v>3.4285714285714284</v>
      </c>
      <c r="E52" s="49">
        <f>AVERAGE('29.07 Kigumba-Karuma'!E52,'30.07 Kigumba-Karuma'!E52,'31.07 Kigumba-Karuma'!E52,'01.08 Kigumba-Karuma'!E52,'02.08 Kigumba-Karuma-24h'!E52,'03.08 Kigumba-Karuma-24h'!E52,'04.08 Kigumba-Karuma'!E52)</f>
        <v>4.8571428571428568</v>
      </c>
      <c r="F52" s="49">
        <f>AVERAGE('29.07 Kigumba-Karuma'!F52,'30.07 Kigumba-Karuma'!F52,'31.07 Kigumba-Karuma'!F52,'01.08 Kigumba-Karuma'!F52,'02.08 Kigumba-Karuma-24h'!F52,'03.08 Kigumba-Karuma-24h'!F52,'04.08 Kigumba-Karuma'!F52)</f>
        <v>2.1428571428571428</v>
      </c>
      <c r="G52" s="49">
        <f>AVERAGE('29.07 Kigumba-Karuma'!G52,'30.07 Kigumba-Karuma'!G52,'31.07 Kigumba-Karuma'!G52,'01.08 Kigumba-Karuma'!G52,'02.08 Kigumba-Karuma-24h'!G52,'03.08 Kigumba-Karuma-24h'!G52,'04.08 Kigumba-Karuma'!G52)</f>
        <v>0.14285714285714285</v>
      </c>
      <c r="H52" s="49">
        <f>AVERAGE('29.07 Kigumba-Karuma'!H52,'30.07 Kigumba-Karuma'!H52,'31.07 Kigumba-Karuma'!H52,'01.08 Kigumba-Karuma'!H52,'02.08 Kigumba-Karuma-24h'!H52,'03.08 Kigumba-Karuma-24h'!H52,'04.08 Kigumba-Karuma'!H52)</f>
        <v>1.2857142857142858</v>
      </c>
      <c r="I52" s="49">
        <f>AVERAGE('29.07 Kigumba-Karuma'!I52,'30.07 Kigumba-Karuma'!I52,'31.07 Kigumba-Karuma'!I52,'01.08 Kigumba-Karuma'!I52,'02.08 Kigumba-Karuma-24h'!I52,'03.08 Kigumba-Karuma-24h'!I52,'04.08 Kigumba-Karuma'!I52)</f>
        <v>2</v>
      </c>
      <c r="J52" s="49">
        <f>AVERAGE('29.07 Kigumba-Karuma'!J52,'30.07 Kigumba-Karuma'!J52,'31.07 Kigumba-Karuma'!J52,'01.08 Kigumba-Karuma'!J52,'02.08 Kigumba-Karuma-24h'!J52,'03.08 Kigumba-Karuma-24h'!J52,'04.08 Kigumba-Karuma'!J52)</f>
        <v>0.5714285714285714</v>
      </c>
      <c r="K52" s="49">
        <f>AVERAGE('29.07 Kigumba-Karuma'!K52,'30.07 Kigumba-Karuma'!K52,'31.07 Kigumba-Karuma'!K52,'01.08 Kigumba-Karuma'!K52,'02.08 Kigumba-Karuma-24h'!K52,'03.08 Kigumba-Karuma-24h'!K52,'04.08 Kigumba-Karuma'!K52)</f>
        <v>0.2857142857142857</v>
      </c>
      <c r="L52" s="49">
        <f>AVERAGE('29.07 Kigumba-Karuma'!L52,'30.07 Kigumba-Karuma'!L52,'31.07 Kigumba-Karuma'!L52,'01.08 Kigumba-Karuma'!L52,'02.08 Kigumba-Karuma-24h'!L52,'03.08 Kigumba-Karuma-24h'!L52,'04.08 Kigumba-Karuma'!L52)</f>
        <v>1.2857142857142858</v>
      </c>
      <c r="M52" s="49">
        <f>AVERAGE('29.07 Kigumba-Karuma'!M52,'30.07 Kigumba-Karuma'!M52,'31.07 Kigumba-Karuma'!M52,'01.08 Kigumba-Karuma'!M52,'02.08 Kigumba-Karuma-24h'!M52,'03.08 Kigumba-Karuma-24h'!M52,'04.08 Kigumba-Karuma'!M52)</f>
        <v>5.2857142857142856</v>
      </c>
      <c r="N52" s="49">
        <f>AVERAGE('29.07 Kigumba-Karuma'!N52,'30.07 Kigumba-Karuma'!N52,'31.07 Kigumba-Karuma'!N52,'01.08 Kigumba-Karuma'!N52,'02.08 Kigumba-Karuma-24h'!N52,'03.08 Kigumba-Karuma-24h'!N52,'04.08 Kigumba-Karuma'!N52)</f>
        <v>0.14285714285714285</v>
      </c>
      <c r="O52" s="15">
        <f t="shared" si="0"/>
        <v>18.857142857142854</v>
      </c>
      <c r="P52" s="15">
        <f t="shared" si="1"/>
        <v>24.142857142857139</v>
      </c>
      <c r="R52" s="8"/>
      <c r="T52"/>
    </row>
    <row r="53" spans="2:20" ht="23.1" customHeight="1" x14ac:dyDescent="0.25">
      <c r="B53" s="23" t="s">
        <v>80</v>
      </c>
      <c r="C53" s="49">
        <f>AVERAGE('29.07 Kigumba-Karuma'!C53,'30.07 Kigumba-Karuma'!C53,'31.07 Kigumba-Karuma'!C53,'01.08 Kigumba-Karuma'!C53,'02.08 Kigumba-Karuma-24h'!C53,'03.08 Kigumba-Karuma-24h'!C53,'04.08 Kigumba-Karuma'!C53)</f>
        <v>2.1428571428571428</v>
      </c>
      <c r="D53" s="49">
        <f>AVERAGE('29.07 Kigumba-Karuma'!D53,'30.07 Kigumba-Karuma'!D53,'31.07 Kigumba-Karuma'!D53,'01.08 Kigumba-Karuma'!D53,'02.08 Kigumba-Karuma-24h'!D53,'03.08 Kigumba-Karuma-24h'!D53,'04.08 Kigumba-Karuma'!D53)</f>
        <v>2</v>
      </c>
      <c r="E53" s="49">
        <f>AVERAGE('29.07 Kigumba-Karuma'!E53,'30.07 Kigumba-Karuma'!E53,'31.07 Kigumba-Karuma'!E53,'01.08 Kigumba-Karuma'!E53,'02.08 Kigumba-Karuma-24h'!E53,'03.08 Kigumba-Karuma-24h'!E53,'04.08 Kigumba-Karuma'!E53)</f>
        <v>3</v>
      </c>
      <c r="F53" s="49">
        <f>AVERAGE('29.07 Kigumba-Karuma'!F53,'30.07 Kigumba-Karuma'!F53,'31.07 Kigumba-Karuma'!F53,'01.08 Kigumba-Karuma'!F53,'02.08 Kigumba-Karuma-24h'!F53,'03.08 Kigumba-Karuma-24h'!F53,'04.08 Kigumba-Karuma'!F53)</f>
        <v>2</v>
      </c>
      <c r="G53" s="49">
        <f>AVERAGE('29.07 Kigumba-Karuma'!G53,'30.07 Kigumba-Karuma'!G53,'31.07 Kigumba-Karuma'!G53,'01.08 Kigumba-Karuma'!G53,'02.08 Kigumba-Karuma-24h'!G53,'03.08 Kigumba-Karuma-24h'!G53,'04.08 Kigumba-Karuma'!G53)</f>
        <v>0</v>
      </c>
      <c r="H53" s="49">
        <f>AVERAGE('29.07 Kigumba-Karuma'!H53,'30.07 Kigumba-Karuma'!H53,'31.07 Kigumba-Karuma'!H53,'01.08 Kigumba-Karuma'!H53,'02.08 Kigumba-Karuma-24h'!H53,'03.08 Kigumba-Karuma-24h'!H53,'04.08 Kigumba-Karuma'!H53)</f>
        <v>1.4285714285714286</v>
      </c>
      <c r="I53" s="49">
        <f>AVERAGE('29.07 Kigumba-Karuma'!I53,'30.07 Kigumba-Karuma'!I53,'31.07 Kigumba-Karuma'!I53,'01.08 Kigumba-Karuma'!I53,'02.08 Kigumba-Karuma-24h'!I53,'03.08 Kigumba-Karuma-24h'!I53,'04.08 Kigumba-Karuma'!I53)</f>
        <v>1.8571428571428572</v>
      </c>
      <c r="J53" s="49">
        <f>AVERAGE('29.07 Kigumba-Karuma'!J53,'30.07 Kigumba-Karuma'!J53,'31.07 Kigumba-Karuma'!J53,'01.08 Kigumba-Karuma'!J53,'02.08 Kigumba-Karuma-24h'!J53,'03.08 Kigumba-Karuma-24h'!J53,'04.08 Kigumba-Karuma'!J53)</f>
        <v>0.5714285714285714</v>
      </c>
      <c r="K53" s="49">
        <f>AVERAGE('29.07 Kigumba-Karuma'!K53,'30.07 Kigumba-Karuma'!K53,'31.07 Kigumba-Karuma'!K53,'01.08 Kigumba-Karuma'!K53,'02.08 Kigumba-Karuma-24h'!K53,'03.08 Kigumba-Karuma-24h'!K53,'04.08 Kigumba-Karuma'!K53)</f>
        <v>0</v>
      </c>
      <c r="L53" s="49">
        <f>AVERAGE('29.07 Kigumba-Karuma'!L53,'30.07 Kigumba-Karuma'!L53,'31.07 Kigumba-Karuma'!L53,'01.08 Kigumba-Karuma'!L53,'02.08 Kigumba-Karuma-24h'!L53,'03.08 Kigumba-Karuma-24h'!L53,'04.08 Kigumba-Karuma'!L53)</f>
        <v>1.7142857142857142</v>
      </c>
      <c r="M53" s="49">
        <f>AVERAGE('29.07 Kigumba-Karuma'!M53,'30.07 Kigumba-Karuma'!M53,'31.07 Kigumba-Karuma'!M53,'01.08 Kigumba-Karuma'!M53,'02.08 Kigumba-Karuma-24h'!M53,'03.08 Kigumba-Karuma-24h'!M53,'04.08 Kigumba-Karuma'!M53)</f>
        <v>4.8571428571428568</v>
      </c>
      <c r="N53" s="49">
        <f>AVERAGE('29.07 Kigumba-Karuma'!N53,'30.07 Kigumba-Karuma'!N53,'31.07 Kigumba-Karuma'!N53,'01.08 Kigumba-Karuma'!N53,'02.08 Kigumba-Karuma-24h'!N53,'03.08 Kigumba-Karuma-24h'!N53,'04.08 Kigumba-Karuma'!N53)</f>
        <v>0</v>
      </c>
      <c r="O53" s="15">
        <f t="shared" si="0"/>
        <v>14.714285714285714</v>
      </c>
      <c r="P53" s="15">
        <f t="shared" si="1"/>
        <v>19.571428571428569</v>
      </c>
      <c r="R53" s="8"/>
      <c r="T53"/>
    </row>
    <row r="54" spans="2:20" ht="23.1" customHeight="1" x14ac:dyDescent="0.25">
      <c r="B54" s="23" t="s">
        <v>81</v>
      </c>
      <c r="C54" s="49">
        <f>AVERAGE('29.07 Kigumba-Karuma'!C54,'30.07 Kigumba-Karuma'!C54,'31.07 Kigumba-Karuma'!C54,'01.08 Kigumba-Karuma'!C54,'02.08 Kigumba-Karuma-24h'!C54,'03.08 Kigumba-Karuma-24h'!C54,'04.08 Kigumba-Karuma'!C54)</f>
        <v>2.2857142857142856</v>
      </c>
      <c r="D54" s="49">
        <f>AVERAGE('29.07 Kigumba-Karuma'!D54,'30.07 Kigumba-Karuma'!D54,'31.07 Kigumba-Karuma'!D54,'01.08 Kigumba-Karuma'!D54,'02.08 Kigumba-Karuma-24h'!D54,'03.08 Kigumba-Karuma-24h'!D54,'04.08 Kigumba-Karuma'!D54)</f>
        <v>2.8571428571428572</v>
      </c>
      <c r="E54" s="49">
        <f>AVERAGE('29.07 Kigumba-Karuma'!E54,'30.07 Kigumba-Karuma'!E54,'31.07 Kigumba-Karuma'!E54,'01.08 Kigumba-Karuma'!E54,'02.08 Kigumba-Karuma-24h'!E54,'03.08 Kigumba-Karuma-24h'!E54,'04.08 Kigumba-Karuma'!E54)</f>
        <v>4.8571428571428568</v>
      </c>
      <c r="F54" s="49">
        <f>AVERAGE('29.07 Kigumba-Karuma'!F54,'30.07 Kigumba-Karuma'!F54,'31.07 Kigumba-Karuma'!F54,'01.08 Kigumba-Karuma'!F54,'02.08 Kigumba-Karuma-24h'!F54,'03.08 Kigumba-Karuma-24h'!F54,'04.08 Kigumba-Karuma'!F54)</f>
        <v>1.4285714285714286</v>
      </c>
      <c r="G54" s="49">
        <f>AVERAGE('29.07 Kigumba-Karuma'!G54,'30.07 Kigumba-Karuma'!G54,'31.07 Kigumba-Karuma'!G54,'01.08 Kigumba-Karuma'!G54,'02.08 Kigumba-Karuma-24h'!G54,'03.08 Kigumba-Karuma-24h'!G54,'04.08 Kigumba-Karuma'!G54)</f>
        <v>0</v>
      </c>
      <c r="H54" s="49">
        <f>AVERAGE('29.07 Kigumba-Karuma'!H54,'30.07 Kigumba-Karuma'!H54,'31.07 Kigumba-Karuma'!H54,'01.08 Kigumba-Karuma'!H54,'02.08 Kigumba-Karuma-24h'!H54,'03.08 Kigumba-Karuma-24h'!H54,'04.08 Kigumba-Karuma'!H54)</f>
        <v>0.5714285714285714</v>
      </c>
      <c r="I54" s="49">
        <f>AVERAGE('29.07 Kigumba-Karuma'!I54,'30.07 Kigumba-Karuma'!I54,'31.07 Kigumba-Karuma'!I54,'01.08 Kigumba-Karuma'!I54,'02.08 Kigumba-Karuma-24h'!I54,'03.08 Kigumba-Karuma-24h'!I54,'04.08 Kigumba-Karuma'!I54)</f>
        <v>1.4285714285714286</v>
      </c>
      <c r="J54" s="49">
        <f>AVERAGE('29.07 Kigumba-Karuma'!J54,'30.07 Kigumba-Karuma'!J54,'31.07 Kigumba-Karuma'!J54,'01.08 Kigumba-Karuma'!J54,'02.08 Kigumba-Karuma-24h'!J54,'03.08 Kigumba-Karuma-24h'!J54,'04.08 Kigumba-Karuma'!J54)</f>
        <v>0.2857142857142857</v>
      </c>
      <c r="K54" s="49">
        <f>AVERAGE('29.07 Kigumba-Karuma'!K54,'30.07 Kigumba-Karuma'!K54,'31.07 Kigumba-Karuma'!K54,'01.08 Kigumba-Karuma'!K54,'02.08 Kigumba-Karuma-24h'!K54,'03.08 Kigumba-Karuma-24h'!K54,'04.08 Kigumba-Karuma'!K54)</f>
        <v>0.14285714285714285</v>
      </c>
      <c r="L54" s="49">
        <f>AVERAGE('29.07 Kigumba-Karuma'!L54,'30.07 Kigumba-Karuma'!L54,'31.07 Kigumba-Karuma'!L54,'01.08 Kigumba-Karuma'!L54,'02.08 Kigumba-Karuma-24h'!L54,'03.08 Kigumba-Karuma-24h'!L54,'04.08 Kigumba-Karuma'!L54)</f>
        <v>2.1428571428571428</v>
      </c>
      <c r="M54" s="49">
        <f>AVERAGE('29.07 Kigumba-Karuma'!M54,'30.07 Kigumba-Karuma'!M54,'31.07 Kigumba-Karuma'!M54,'01.08 Kigumba-Karuma'!M54,'02.08 Kigumba-Karuma-24h'!M54,'03.08 Kigumba-Karuma-24h'!M54,'04.08 Kigumba-Karuma'!M54)</f>
        <v>4.4285714285714288</v>
      </c>
      <c r="N54" s="49">
        <f>AVERAGE('29.07 Kigumba-Karuma'!N54,'30.07 Kigumba-Karuma'!N54,'31.07 Kigumba-Karuma'!N54,'01.08 Kigumba-Karuma'!N54,'02.08 Kigumba-Karuma-24h'!N54,'03.08 Kigumba-Karuma-24h'!N54,'04.08 Kigumba-Karuma'!N54)</f>
        <v>0</v>
      </c>
      <c r="O54" s="15">
        <f t="shared" si="0"/>
        <v>16</v>
      </c>
      <c r="P54" s="15">
        <f t="shared" si="1"/>
        <v>20.428571428571431</v>
      </c>
      <c r="R54" s="8"/>
      <c r="T54"/>
    </row>
    <row r="55" spans="2:20" ht="23.1" customHeight="1" x14ac:dyDescent="0.25">
      <c r="B55" s="23" t="s">
        <v>82</v>
      </c>
      <c r="C55" s="49">
        <f>AVERAGE('29.07 Kigumba-Karuma'!C55,'30.07 Kigumba-Karuma'!C55,'31.07 Kigumba-Karuma'!C55,'01.08 Kigumba-Karuma'!C55,'02.08 Kigumba-Karuma-24h'!C55,'03.08 Kigumba-Karuma-24h'!C55,'04.08 Kigumba-Karuma'!C55)</f>
        <v>2.8571428571428572</v>
      </c>
      <c r="D55" s="49">
        <f>AVERAGE('29.07 Kigumba-Karuma'!D55,'30.07 Kigumba-Karuma'!D55,'31.07 Kigumba-Karuma'!D55,'01.08 Kigumba-Karuma'!D55,'02.08 Kigumba-Karuma-24h'!D55,'03.08 Kigumba-Karuma-24h'!D55,'04.08 Kigumba-Karuma'!D55)</f>
        <v>2.1428571428571428</v>
      </c>
      <c r="E55" s="49">
        <f>AVERAGE('29.07 Kigumba-Karuma'!E55,'30.07 Kigumba-Karuma'!E55,'31.07 Kigumba-Karuma'!E55,'01.08 Kigumba-Karuma'!E55,'02.08 Kigumba-Karuma-24h'!E55,'03.08 Kigumba-Karuma-24h'!E55,'04.08 Kigumba-Karuma'!E55)</f>
        <v>3.5714285714285716</v>
      </c>
      <c r="F55" s="49">
        <f>AVERAGE('29.07 Kigumba-Karuma'!F55,'30.07 Kigumba-Karuma'!F55,'31.07 Kigumba-Karuma'!F55,'01.08 Kigumba-Karuma'!F55,'02.08 Kigumba-Karuma-24h'!F55,'03.08 Kigumba-Karuma-24h'!F55,'04.08 Kigumba-Karuma'!F55)</f>
        <v>1.2857142857142858</v>
      </c>
      <c r="G55" s="49">
        <f>AVERAGE('29.07 Kigumba-Karuma'!G55,'30.07 Kigumba-Karuma'!G55,'31.07 Kigumba-Karuma'!G55,'01.08 Kigumba-Karuma'!G55,'02.08 Kigumba-Karuma-24h'!G55,'03.08 Kigumba-Karuma-24h'!G55,'04.08 Kigumba-Karuma'!G55)</f>
        <v>0.2857142857142857</v>
      </c>
      <c r="H55" s="49">
        <f>AVERAGE('29.07 Kigumba-Karuma'!H55,'30.07 Kigumba-Karuma'!H55,'31.07 Kigumba-Karuma'!H55,'01.08 Kigumba-Karuma'!H55,'02.08 Kigumba-Karuma-24h'!H55,'03.08 Kigumba-Karuma-24h'!H55,'04.08 Kigumba-Karuma'!H55)</f>
        <v>1.5714285714285714</v>
      </c>
      <c r="I55" s="49">
        <f>AVERAGE('29.07 Kigumba-Karuma'!I55,'30.07 Kigumba-Karuma'!I55,'31.07 Kigumba-Karuma'!I55,'01.08 Kigumba-Karuma'!I55,'02.08 Kigumba-Karuma-24h'!I55,'03.08 Kigumba-Karuma-24h'!I55,'04.08 Kigumba-Karuma'!I55)</f>
        <v>1.8571428571428572</v>
      </c>
      <c r="J55" s="49">
        <f>AVERAGE('29.07 Kigumba-Karuma'!J55,'30.07 Kigumba-Karuma'!J55,'31.07 Kigumba-Karuma'!J55,'01.08 Kigumba-Karuma'!J55,'02.08 Kigumba-Karuma-24h'!J55,'03.08 Kigumba-Karuma-24h'!J55,'04.08 Kigumba-Karuma'!J55)</f>
        <v>0.42857142857142855</v>
      </c>
      <c r="K55" s="49">
        <f>AVERAGE('29.07 Kigumba-Karuma'!K55,'30.07 Kigumba-Karuma'!K55,'31.07 Kigumba-Karuma'!K55,'01.08 Kigumba-Karuma'!K55,'02.08 Kigumba-Karuma-24h'!K55,'03.08 Kigumba-Karuma-24h'!K55,'04.08 Kigumba-Karuma'!K55)</f>
        <v>0.2857142857142857</v>
      </c>
      <c r="L55" s="49">
        <f>AVERAGE('29.07 Kigumba-Karuma'!L55,'30.07 Kigumba-Karuma'!L55,'31.07 Kigumba-Karuma'!L55,'01.08 Kigumba-Karuma'!L55,'02.08 Kigumba-Karuma-24h'!L55,'03.08 Kigumba-Karuma-24h'!L55,'04.08 Kigumba-Karuma'!L55)</f>
        <v>1.4285714285714286</v>
      </c>
      <c r="M55" s="49">
        <f>AVERAGE('29.07 Kigumba-Karuma'!M55,'30.07 Kigumba-Karuma'!M55,'31.07 Kigumba-Karuma'!M55,'01.08 Kigumba-Karuma'!M55,'02.08 Kigumba-Karuma-24h'!M55,'03.08 Kigumba-Karuma-24h'!M55,'04.08 Kigumba-Karuma'!M55)</f>
        <v>5</v>
      </c>
      <c r="N55" s="49">
        <f>AVERAGE('29.07 Kigumba-Karuma'!N55,'30.07 Kigumba-Karuma'!N55,'31.07 Kigumba-Karuma'!N55,'01.08 Kigumba-Karuma'!N55,'02.08 Kigumba-Karuma-24h'!N55,'03.08 Kigumba-Karuma-24h'!N55,'04.08 Kigumba-Karuma'!N55)</f>
        <v>0</v>
      </c>
      <c r="O55" s="15">
        <f t="shared" si="0"/>
        <v>15.714285714285717</v>
      </c>
      <c r="P55" s="15">
        <f t="shared" si="1"/>
        <v>20.714285714285715</v>
      </c>
      <c r="R55" s="8"/>
      <c r="T55"/>
    </row>
    <row r="56" spans="2:20" ht="23.1" customHeight="1" x14ac:dyDescent="0.25">
      <c r="B56" s="23" t="s">
        <v>83</v>
      </c>
      <c r="C56" s="49">
        <f>AVERAGE('29.07 Kigumba-Karuma'!C56,'30.07 Kigumba-Karuma'!C56,'31.07 Kigumba-Karuma'!C56,'01.08 Kigumba-Karuma'!C56,'02.08 Kigumba-Karuma-24h'!C56,'03.08 Kigumba-Karuma-24h'!C56,'04.08 Kigumba-Karuma'!C56)</f>
        <v>2.2857142857142856</v>
      </c>
      <c r="D56" s="49">
        <f>AVERAGE('29.07 Kigumba-Karuma'!D56,'30.07 Kigumba-Karuma'!D56,'31.07 Kigumba-Karuma'!D56,'01.08 Kigumba-Karuma'!D56,'02.08 Kigumba-Karuma-24h'!D56,'03.08 Kigumba-Karuma-24h'!D56,'04.08 Kigumba-Karuma'!D56)</f>
        <v>1.7142857142857142</v>
      </c>
      <c r="E56" s="49">
        <f>AVERAGE('29.07 Kigumba-Karuma'!E56,'30.07 Kigumba-Karuma'!E56,'31.07 Kigumba-Karuma'!E56,'01.08 Kigumba-Karuma'!E56,'02.08 Kigumba-Karuma-24h'!E56,'03.08 Kigumba-Karuma-24h'!E56,'04.08 Kigumba-Karuma'!E56)</f>
        <v>3.2857142857142856</v>
      </c>
      <c r="F56" s="49">
        <f>AVERAGE('29.07 Kigumba-Karuma'!F56,'30.07 Kigumba-Karuma'!F56,'31.07 Kigumba-Karuma'!F56,'01.08 Kigumba-Karuma'!F56,'02.08 Kigumba-Karuma-24h'!F56,'03.08 Kigumba-Karuma-24h'!F56,'04.08 Kigumba-Karuma'!F56)</f>
        <v>1.7142857142857142</v>
      </c>
      <c r="G56" s="49">
        <f>AVERAGE('29.07 Kigumba-Karuma'!G56,'30.07 Kigumba-Karuma'!G56,'31.07 Kigumba-Karuma'!G56,'01.08 Kigumba-Karuma'!G56,'02.08 Kigumba-Karuma-24h'!G56,'03.08 Kigumba-Karuma-24h'!G56,'04.08 Kigumba-Karuma'!G56)</f>
        <v>0</v>
      </c>
      <c r="H56" s="49">
        <f>AVERAGE('29.07 Kigumba-Karuma'!H56,'30.07 Kigumba-Karuma'!H56,'31.07 Kigumba-Karuma'!H56,'01.08 Kigumba-Karuma'!H56,'02.08 Kigumba-Karuma-24h'!H56,'03.08 Kigumba-Karuma-24h'!H56,'04.08 Kigumba-Karuma'!H56)</f>
        <v>1.1428571428571428</v>
      </c>
      <c r="I56" s="49">
        <f>AVERAGE('29.07 Kigumba-Karuma'!I56,'30.07 Kigumba-Karuma'!I56,'31.07 Kigumba-Karuma'!I56,'01.08 Kigumba-Karuma'!I56,'02.08 Kigumba-Karuma-24h'!I56,'03.08 Kigumba-Karuma-24h'!I56,'04.08 Kigumba-Karuma'!I56)</f>
        <v>1.4285714285714286</v>
      </c>
      <c r="J56" s="49">
        <f>AVERAGE('29.07 Kigumba-Karuma'!J56,'30.07 Kigumba-Karuma'!J56,'31.07 Kigumba-Karuma'!J56,'01.08 Kigumba-Karuma'!J56,'02.08 Kigumba-Karuma-24h'!J56,'03.08 Kigumba-Karuma-24h'!J56,'04.08 Kigumba-Karuma'!J56)</f>
        <v>0.7142857142857143</v>
      </c>
      <c r="K56" s="49">
        <f>AVERAGE('29.07 Kigumba-Karuma'!K56,'30.07 Kigumba-Karuma'!K56,'31.07 Kigumba-Karuma'!K56,'01.08 Kigumba-Karuma'!K56,'02.08 Kigumba-Karuma-24h'!K56,'03.08 Kigumba-Karuma-24h'!K56,'04.08 Kigumba-Karuma'!K56)</f>
        <v>0.42857142857142855</v>
      </c>
      <c r="L56" s="49">
        <f>AVERAGE('29.07 Kigumba-Karuma'!L56,'30.07 Kigumba-Karuma'!L56,'31.07 Kigumba-Karuma'!L56,'01.08 Kigumba-Karuma'!L56,'02.08 Kigumba-Karuma-24h'!L56,'03.08 Kigumba-Karuma-24h'!L56,'04.08 Kigumba-Karuma'!L56)</f>
        <v>1.2857142857142858</v>
      </c>
      <c r="M56" s="49">
        <f>AVERAGE('29.07 Kigumba-Karuma'!M56,'30.07 Kigumba-Karuma'!M56,'31.07 Kigumba-Karuma'!M56,'01.08 Kigumba-Karuma'!M56,'02.08 Kigumba-Karuma-24h'!M56,'03.08 Kigumba-Karuma-24h'!M56,'04.08 Kigumba-Karuma'!M56)</f>
        <v>5.2857142857142856</v>
      </c>
      <c r="N56" s="49">
        <f>AVERAGE('29.07 Kigumba-Karuma'!N56,'30.07 Kigumba-Karuma'!N56,'31.07 Kigumba-Karuma'!N56,'01.08 Kigumba-Karuma'!N56,'02.08 Kigumba-Karuma-24h'!N56,'03.08 Kigumba-Karuma-24h'!N56,'04.08 Kigumba-Karuma'!N56)</f>
        <v>0</v>
      </c>
      <c r="O56" s="15">
        <f t="shared" si="0"/>
        <v>14</v>
      </c>
      <c r="P56" s="15">
        <f t="shared" si="1"/>
        <v>19.285714285714285</v>
      </c>
      <c r="R56" s="8"/>
      <c r="T56"/>
    </row>
    <row r="57" spans="2:20" ht="23.1" customHeight="1" x14ac:dyDescent="0.25">
      <c r="B57" s="23" t="s">
        <v>84</v>
      </c>
      <c r="C57" s="49">
        <f>AVERAGE('29.07 Kigumba-Karuma'!C57,'30.07 Kigumba-Karuma'!C57,'31.07 Kigumba-Karuma'!C57,'01.08 Kigumba-Karuma'!C57,'02.08 Kigumba-Karuma-24h'!C57,'03.08 Kigumba-Karuma-24h'!C57,'04.08 Kigumba-Karuma'!C57)</f>
        <v>1.5714285714285714</v>
      </c>
      <c r="D57" s="49">
        <f>AVERAGE('29.07 Kigumba-Karuma'!D57,'30.07 Kigumba-Karuma'!D57,'31.07 Kigumba-Karuma'!D57,'01.08 Kigumba-Karuma'!D57,'02.08 Kigumba-Karuma-24h'!D57,'03.08 Kigumba-Karuma-24h'!D57,'04.08 Kigumba-Karuma'!D57)</f>
        <v>2.5714285714285716</v>
      </c>
      <c r="E57" s="49">
        <f>AVERAGE('29.07 Kigumba-Karuma'!E57,'30.07 Kigumba-Karuma'!E57,'31.07 Kigumba-Karuma'!E57,'01.08 Kigumba-Karuma'!E57,'02.08 Kigumba-Karuma-24h'!E57,'03.08 Kigumba-Karuma-24h'!E57,'04.08 Kigumba-Karuma'!E57)</f>
        <v>3.8571428571428572</v>
      </c>
      <c r="F57" s="49">
        <f>AVERAGE('29.07 Kigumba-Karuma'!F57,'30.07 Kigumba-Karuma'!F57,'31.07 Kigumba-Karuma'!F57,'01.08 Kigumba-Karuma'!F57,'02.08 Kigumba-Karuma-24h'!F57,'03.08 Kigumba-Karuma-24h'!F57,'04.08 Kigumba-Karuma'!F57)</f>
        <v>2</v>
      </c>
      <c r="G57" s="49">
        <f>AVERAGE('29.07 Kigumba-Karuma'!G57,'30.07 Kigumba-Karuma'!G57,'31.07 Kigumba-Karuma'!G57,'01.08 Kigumba-Karuma'!G57,'02.08 Kigumba-Karuma-24h'!G57,'03.08 Kigumba-Karuma-24h'!G57,'04.08 Kigumba-Karuma'!G57)</f>
        <v>0</v>
      </c>
      <c r="H57" s="49">
        <f>AVERAGE('29.07 Kigumba-Karuma'!H57,'30.07 Kigumba-Karuma'!H57,'31.07 Kigumba-Karuma'!H57,'01.08 Kigumba-Karuma'!H57,'02.08 Kigumba-Karuma-24h'!H57,'03.08 Kigumba-Karuma-24h'!H57,'04.08 Kigumba-Karuma'!H57)</f>
        <v>0.5714285714285714</v>
      </c>
      <c r="I57" s="49">
        <f>AVERAGE('29.07 Kigumba-Karuma'!I57,'30.07 Kigumba-Karuma'!I57,'31.07 Kigumba-Karuma'!I57,'01.08 Kigumba-Karuma'!I57,'02.08 Kigumba-Karuma-24h'!I57,'03.08 Kigumba-Karuma-24h'!I57,'04.08 Kigumba-Karuma'!I57)</f>
        <v>1.7142857142857142</v>
      </c>
      <c r="J57" s="49">
        <f>AVERAGE('29.07 Kigumba-Karuma'!J57,'30.07 Kigumba-Karuma'!J57,'31.07 Kigumba-Karuma'!J57,'01.08 Kigumba-Karuma'!J57,'02.08 Kigumba-Karuma-24h'!J57,'03.08 Kigumba-Karuma-24h'!J57,'04.08 Kigumba-Karuma'!J57)</f>
        <v>0.2857142857142857</v>
      </c>
      <c r="K57" s="49">
        <f>AVERAGE('29.07 Kigumba-Karuma'!K57,'30.07 Kigumba-Karuma'!K57,'31.07 Kigumba-Karuma'!K57,'01.08 Kigumba-Karuma'!K57,'02.08 Kigumba-Karuma-24h'!K57,'03.08 Kigumba-Karuma-24h'!K57,'04.08 Kigumba-Karuma'!K57)</f>
        <v>0.14285714285714285</v>
      </c>
      <c r="L57" s="49">
        <f>AVERAGE('29.07 Kigumba-Karuma'!L57,'30.07 Kigumba-Karuma'!L57,'31.07 Kigumba-Karuma'!L57,'01.08 Kigumba-Karuma'!L57,'02.08 Kigumba-Karuma-24h'!L57,'03.08 Kigumba-Karuma-24h'!L57,'04.08 Kigumba-Karuma'!L57)</f>
        <v>2.1428571428571428</v>
      </c>
      <c r="M57" s="49">
        <f>AVERAGE('29.07 Kigumba-Karuma'!M57,'30.07 Kigumba-Karuma'!M57,'31.07 Kigumba-Karuma'!M57,'01.08 Kigumba-Karuma'!M57,'02.08 Kigumba-Karuma-24h'!M57,'03.08 Kigumba-Karuma-24h'!M57,'04.08 Kigumba-Karuma'!M57)</f>
        <v>6.2857142857142856</v>
      </c>
      <c r="N57" s="49">
        <f>AVERAGE('29.07 Kigumba-Karuma'!N57,'30.07 Kigumba-Karuma'!N57,'31.07 Kigumba-Karuma'!N57,'01.08 Kigumba-Karuma'!N57,'02.08 Kigumba-Karuma-24h'!N57,'03.08 Kigumba-Karuma-24h'!N57,'04.08 Kigumba-Karuma'!N57)</f>
        <v>0</v>
      </c>
      <c r="O57" s="15">
        <f t="shared" si="0"/>
        <v>14.857142857142856</v>
      </c>
      <c r="P57" s="15">
        <f t="shared" si="1"/>
        <v>21.142857142857142</v>
      </c>
      <c r="R57" s="8"/>
      <c r="T57"/>
    </row>
    <row r="58" spans="2:20" ht="23.1" customHeight="1" x14ac:dyDescent="0.25">
      <c r="B58" s="23" t="s">
        <v>99</v>
      </c>
      <c r="C58" s="49">
        <f>AVERAGE('02.08 Kigumba-Karuma-24h'!C58,'03.08 Kigumba-Karuma-24h'!C58)</f>
        <v>2.5</v>
      </c>
      <c r="D58" s="49">
        <f>AVERAGE('02.08 Kigumba-Karuma-24h'!D58,'03.08 Kigumba-Karuma-24h'!D58)</f>
        <v>1</v>
      </c>
      <c r="E58" s="49">
        <f>AVERAGE('02.08 Kigumba-Karuma-24h'!E58,'03.08 Kigumba-Karuma-24h'!E58)</f>
        <v>3</v>
      </c>
      <c r="F58" s="49">
        <f>AVERAGE('02.08 Kigumba-Karuma-24h'!F58,'03.08 Kigumba-Karuma-24h'!F58)</f>
        <v>1</v>
      </c>
      <c r="G58" s="49">
        <f>AVERAGE('02.08 Kigumba-Karuma-24h'!G58,'03.08 Kigumba-Karuma-24h'!G58)</f>
        <v>0</v>
      </c>
      <c r="H58" s="49">
        <f>AVERAGE('02.08 Kigumba-Karuma-24h'!H58,'03.08 Kigumba-Karuma-24h'!H58)</f>
        <v>1</v>
      </c>
      <c r="I58" s="49">
        <f>AVERAGE('02.08 Kigumba-Karuma-24h'!I58,'03.08 Kigumba-Karuma-24h'!I58)</f>
        <v>2</v>
      </c>
      <c r="J58" s="49">
        <f>AVERAGE('02.08 Kigumba-Karuma-24h'!J58,'03.08 Kigumba-Karuma-24h'!J58)</f>
        <v>0</v>
      </c>
      <c r="K58" s="49">
        <f>AVERAGE('02.08 Kigumba-Karuma-24h'!K58,'03.08 Kigumba-Karuma-24h'!K58)</f>
        <v>0</v>
      </c>
      <c r="L58" s="49">
        <f>AVERAGE('02.08 Kigumba-Karuma-24h'!L58,'03.08 Kigumba-Karuma-24h'!L58)</f>
        <v>3.5</v>
      </c>
      <c r="M58" s="49">
        <f>AVERAGE('02.08 Kigumba-Karuma-24h'!M58,'03.08 Kigumba-Karuma-24h'!M58)</f>
        <v>4.5</v>
      </c>
      <c r="N58" s="49">
        <f>AVERAGE('02.08 Kigumba-Karuma-24h'!N58,'03.08 Kigumba-Karuma-24h'!N58)</f>
        <v>0</v>
      </c>
      <c r="O58" s="15">
        <f t="shared" si="0"/>
        <v>14</v>
      </c>
      <c r="P58" s="15">
        <f t="shared" si="1"/>
        <v>18.5</v>
      </c>
      <c r="R58" s="8"/>
      <c r="T58"/>
    </row>
    <row r="59" spans="2:20" ht="23.1" customHeight="1" x14ac:dyDescent="0.25">
      <c r="B59" s="23" t="s">
        <v>100</v>
      </c>
      <c r="C59" s="49">
        <f>AVERAGE('02.08 Kigumba-Karuma-24h'!C59,'03.08 Kigumba-Karuma-24h'!C59)</f>
        <v>2</v>
      </c>
      <c r="D59" s="49">
        <f>AVERAGE('02.08 Kigumba-Karuma-24h'!D59,'03.08 Kigumba-Karuma-24h'!D59)</f>
        <v>1.5</v>
      </c>
      <c r="E59" s="49">
        <f>AVERAGE('02.08 Kigumba-Karuma-24h'!E59,'03.08 Kigumba-Karuma-24h'!E59)</f>
        <v>2.5</v>
      </c>
      <c r="F59" s="49">
        <f>AVERAGE('02.08 Kigumba-Karuma-24h'!F59,'03.08 Kigumba-Karuma-24h'!F59)</f>
        <v>1</v>
      </c>
      <c r="G59" s="49">
        <f>AVERAGE('02.08 Kigumba-Karuma-24h'!G59,'03.08 Kigumba-Karuma-24h'!G59)</f>
        <v>0</v>
      </c>
      <c r="H59" s="49">
        <f>AVERAGE('02.08 Kigumba-Karuma-24h'!H59,'03.08 Kigumba-Karuma-24h'!H59)</f>
        <v>0.5</v>
      </c>
      <c r="I59" s="49">
        <f>AVERAGE('02.08 Kigumba-Karuma-24h'!I59,'03.08 Kigumba-Karuma-24h'!I59)</f>
        <v>1.5</v>
      </c>
      <c r="J59" s="49">
        <f>AVERAGE('02.08 Kigumba-Karuma-24h'!J59,'03.08 Kigumba-Karuma-24h'!J59)</f>
        <v>0.5</v>
      </c>
      <c r="K59" s="49">
        <f>AVERAGE('02.08 Kigumba-Karuma-24h'!K59,'03.08 Kigumba-Karuma-24h'!K59)</f>
        <v>0</v>
      </c>
      <c r="L59" s="49">
        <f>AVERAGE('02.08 Kigumba-Karuma-24h'!L59,'03.08 Kigumba-Karuma-24h'!L59)</f>
        <v>1.5</v>
      </c>
      <c r="M59" s="49">
        <f>AVERAGE('02.08 Kigumba-Karuma-24h'!M59,'03.08 Kigumba-Karuma-24h'!M59)</f>
        <v>3</v>
      </c>
      <c r="N59" s="49">
        <f>AVERAGE('02.08 Kigumba-Karuma-24h'!N59,'03.08 Kigumba-Karuma-24h'!N59)</f>
        <v>0</v>
      </c>
      <c r="O59" s="15">
        <f t="shared" si="0"/>
        <v>11</v>
      </c>
      <c r="P59" s="15">
        <f t="shared" si="1"/>
        <v>14</v>
      </c>
      <c r="R59" s="8"/>
      <c r="T59"/>
    </row>
    <row r="60" spans="2:20" ht="23.1" customHeight="1" x14ac:dyDescent="0.25">
      <c r="B60" s="23" t="s">
        <v>101</v>
      </c>
      <c r="C60" s="49">
        <f>AVERAGE('02.08 Kigumba-Karuma-24h'!C60,'03.08 Kigumba-Karuma-24h'!C60)</f>
        <v>1.5</v>
      </c>
      <c r="D60" s="49">
        <f>AVERAGE('02.08 Kigumba-Karuma-24h'!D60,'03.08 Kigumba-Karuma-24h'!D60)</f>
        <v>0.5</v>
      </c>
      <c r="E60" s="49">
        <f>AVERAGE('02.08 Kigumba-Karuma-24h'!E60,'03.08 Kigumba-Karuma-24h'!E60)</f>
        <v>2.5</v>
      </c>
      <c r="F60" s="49">
        <f>AVERAGE('02.08 Kigumba-Karuma-24h'!F60,'03.08 Kigumba-Karuma-24h'!F60)</f>
        <v>1</v>
      </c>
      <c r="G60" s="49">
        <f>AVERAGE('02.08 Kigumba-Karuma-24h'!G60,'03.08 Kigumba-Karuma-24h'!G60)</f>
        <v>0</v>
      </c>
      <c r="H60" s="49">
        <f>AVERAGE('02.08 Kigumba-Karuma-24h'!H60,'03.08 Kigumba-Karuma-24h'!H60)</f>
        <v>0</v>
      </c>
      <c r="I60" s="49">
        <f>AVERAGE('02.08 Kigumba-Karuma-24h'!I60,'03.08 Kigumba-Karuma-24h'!I60)</f>
        <v>1.5</v>
      </c>
      <c r="J60" s="49">
        <f>AVERAGE('02.08 Kigumba-Karuma-24h'!J60,'03.08 Kigumba-Karuma-24h'!J60)</f>
        <v>0</v>
      </c>
      <c r="K60" s="49">
        <f>AVERAGE('02.08 Kigumba-Karuma-24h'!K60,'03.08 Kigumba-Karuma-24h'!K60)</f>
        <v>0</v>
      </c>
      <c r="L60" s="49">
        <f>AVERAGE('02.08 Kigumba-Karuma-24h'!L60,'03.08 Kigumba-Karuma-24h'!L60)</f>
        <v>1.5</v>
      </c>
      <c r="M60" s="49">
        <f>AVERAGE('02.08 Kigumba-Karuma-24h'!M60,'03.08 Kigumba-Karuma-24h'!M60)</f>
        <v>3.5</v>
      </c>
      <c r="N60" s="49">
        <f>AVERAGE('02.08 Kigumba-Karuma-24h'!N60,'03.08 Kigumba-Karuma-24h'!N60)</f>
        <v>0</v>
      </c>
      <c r="O60" s="15">
        <f t="shared" si="0"/>
        <v>8.5</v>
      </c>
      <c r="P60" s="15">
        <f t="shared" si="1"/>
        <v>12</v>
      </c>
      <c r="R60" s="8"/>
      <c r="T60"/>
    </row>
    <row r="61" spans="2:20" ht="23.1" customHeight="1" x14ac:dyDescent="0.25">
      <c r="B61" s="23" t="s">
        <v>102</v>
      </c>
      <c r="C61" s="49">
        <f>AVERAGE('02.08 Kigumba-Karuma-24h'!C61,'03.08 Kigumba-Karuma-24h'!C61)</f>
        <v>2.5</v>
      </c>
      <c r="D61" s="49">
        <f>AVERAGE('02.08 Kigumba-Karuma-24h'!D61,'03.08 Kigumba-Karuma-24h'!D61)</f>
        <v>1.5</v>
      </c>
      <c r="E61" s="49">
        <f>AVERAGE('02.08 Kigumba-Karuma-24h'!E61,'03.08 Kigumba-Karuma-24h'!E61)</f>
        <v>3.5</v>
      </c>
      <c r="F61" s="49">
        <f>AVERAGE('02.08 Kigumba-Karuma-24h'!F61,'03.08 Kigumba-Karuma-24h'!F61)</f>
        <v>1</v>
      </c>
      <c r="G61" s="49">
        <f>AVERAGE('02.08 Kigumba-Karuma-24h'!G61,'03.08 Kigumba-Karuma-24h'!G61)</f>
        <v>0</v>
      </c>
      <c r="H61" s="49">
        <f>AVERAGE('02.08 Kigumba-Karuma-24h'!H61,'03.08 Kigumba-Karuma-24h'!H61)</f>
        <v>1</v>
      </c>
      <c r="I61" s="49">
        <f>AVERAGE('02.08 Kigumba-Karuma-24h'!I61,'03.08 Kigumba-Karuma-24h'!I61)</f>
        <v>2</v>
      </c>
      <c r="J61" s="49">
        <f>AVERAGE('02.08 Kigumba-Karuma-24h'!J61,'03.08 Kigumba-Karuma-24h'!J61)</f>
        <v>0</v>
      </c>
      <c r="K61" s="49">
        <f>AVERAGE('02.08 Kigumba-Karuma-24h'!K61,'03.08 Kigumba-Karuma-24h'!K61)</f>
        <v>0</v>
      </c>
      <c r="L61" s="49">
        <f>AVERAGE('02.08 Kigumba-Karuma-24h'!L61,'03.08 Kigumba-Karuma-24h'!L61)</f>
        <v>3.5</v>
      </c>
      <c r="M61" s="49">
        <f>AVERAGE('02.08 Kigumba-Karuma-24h'!M61,'03.08 Kigumba-Karuma-24h'!M61)</f>
        <v>5</v>
      </c>
      <c r="N61" s="49">
        <f>AVERAGE('02.08 Kigumba-Karuma-24h'!N61,'03.08 Kigumba-Karuma-24h'!N61)</f>
        <v>0</v>
      </c>
      <c r="O61" s="15">
        <f t="shared" si="0"/>
        <v>15</v>
      </c>
      <c r="P61" s="15">
        <f t="shared" si="1"/>
        <v>20</v>
      </c>
      <c r="R61" s="8"/>
      <c r="T61"/>
    </row>
    <row r="62" spans="2:20" ht="23.1" customHeight="1" x14ac:dyDescent="0.25">
      <c r="B62" s="23" t="s">
        <v>107</v>
      </c>
      <c r="C62" s="49">
        <f>AVERAGE('02.08 Kigumba-Karuma-24h'!C62,'03.08 Kigumba-Karuma-24h'!C62)</f>
        <v>2.5</v>
      </c>
      <c r="D62" s="49">
        <f>AVERAGE('02.08 Kigumba-Karuma-24h'!D62,'03.08 Kigumba-Karuma-24h'!D62)</f>
        <v>1.5</v>
      </c>
      <c r="E62" s="49">
        <f>AVERAGE('02.08 Kigumba-Karuma-24h'!E62,'03.08 Kigumba-Karuma-24h'!E62)</f>
        <v>3.5</v>
      </c>
      <c r="F62" s="49">
        <f>AVERAGE('02.08 Kigumba-Karuma-24h'!F62,'03.08 Kigumba-Karuma-24h'!F62)</f>
        <v>1</v>
      </c>
      <c r="G62" s="49">
        <f>AVERAGE('02.08 Kigumba-Karuma-24h'!G62,'03.08 Kigumba-Karuma-24h'!G62)</f>
        <v>0</v>
      </c>
      <c r="H62" s="49">
        <f>AVERAGE('02.08 Kigumba-Karuma-24h'!H62,'03.08 Kigumba-Karuma-24h'!H62)</f>
        <v>0</v>
      </c>
      <c r="I62" s="49">
        <f>AVERAGE('02.08 Kigumba-Karuma-24h'!I62,'03.08 Kigumba-Karuma-24h'!I62)</f>
        <v>2.5</v>
      </c>
      <c r="J62" s="49">
        <f>AVERAGE('02.08 Kigumba-Karuma-24h'!J62,'03.08 Kigumba-Karuma-24h'!J62)</f>
        <v>0.5</v>
      </c>
      <c r="K62" s="49">
        <f>AVERAGE('02.08 Kigumba-Karuma-24h'!K62,'03.08 Kigumba-Karuma-24h'!K62)</f>
        <v>0</v>
      </c>
      <c r="L62" s="49">
        <f>AVERAGE('02.08 Kigumba-Karuma-24h'!L62,'03.08 Kigumba-Karuma-24h'!L62)</f>
        <v>2</v>
      </c>
      <c r="M62" s="49">
        <f>AVERAGE('02.08 Kigumba-Karuma-24h'!M62,'03.08 Kigumba-Karuma-24h'!M62)</f>
        <v>5</v>
      </c>
      <c r="N62" s="49">
        <f>AVERAGE('02.08 Kigumba-Karuma-24h'!N62,'03.08 Kigumba-Karuma-24h'!N62)</f>
        <v>0</v>
      </c>
      <c r="O62" s="15">
        <f t="shared" si="0"/>
        <v>13.5</v>
      </c>
      <c r="P62" s="15">
        <f t="shared" si="1"/>
        <v>18.5</v>
      </c>
      <c r="R62" s="8"/>
      <c r="T62"/>
    </row>
    <row r="63" spans="2:20" ht="23.1" customHeight="1" x14ac:dyDescent="0.25">
      <c r="B63" s="23" t="s">
        <v>108</v>
      </c>
      <c r="C63" s="49">
        <f>AVERAGE('02.08 Kigumba-Karuma-24h'!C63,'03.08 Kigumba-Karuma-24h'!C63)</f>
        <v>1.5</v>
      </c>
      <c r="D63" s="49">
        <f>AVERAGE('02.08 Kigumba-Karuma-24h'!D63,'03.08 Kigumba-Karuma-24h'!D63)</f>
        <v>1</v>
      </c>
      <c r="E63" s="49">
        <f>AVERAGE('02.08 Kigumba-Karuma-24h'!E63,'03.08 Kigumba-Karuma-24h'!E63)</f>
        <v>2</v>
      </c>
      <c r="F63" s="49">
        <f>AVERAGE('02.08 Kigumba-Karuma-24h'!F63,'03.08 Kigumba-Karuma-24h'!F63)</f>
        <v>1</v>
      </c>
      <c r="G63" s="49">
        <f>AVERAGE('02.08 Kigumba-Karuma-24h'!G63,'03.08 Kigumba-Karuma-24h'!G63)</f>
        <v>0</v>
      </c>
      <c r="H63" s="49">
        <f>AVERAGE('02.08 Kigumba-Karuma-24h'!H63,'03.08 Kigumba-Karuma-24h'!H63)</f>
        <v>0.5</v>
      </c>
      <c r="I63" s="49">
        <f>AVERAGE('02.08 Kigumba-Karuma-24h'!I63,'03.08 Kigumba-Karuma-24h'!I63)</f>
        <v>2</v>
      </c>
      <c r="J63" s="49">
        <f>AVERAGE('02.08 Kigumba-Karuma-24h'!J63,'03.08 Kigumba-Karuma-24h'!J63)</f>
        <v>0</v>
      </c>
      <c r="K63" s="49">
        <f>AVERAGE('02.08 Kigumba-Karuma-24h'!K63,'03.08 Kigumba-Karuma-24h'!K63)</f>
        <v>0</v>
      </c>
      <c r="L63" s="49">
        <f>AVERAGE('02.08 Kigumba-Karuma-24h'!L63,'03.08 Kigumba-Karuma-24h'!L63)</f>
        <v>1</v>
      </c>
      <c r="M63" s="49">
        <f>AVERAGE('02.08 Kigumba-Karuma-24h'!M63,'03.08 Kigumba-Karuma-24h'!M63)</f>
        <v>3</v>
      </c>
      <c r="N63" s="49">
        <f>AVERAGE('02.08 Kigumba-Karuma-24h'!N63,'03.08 Kigumba-Karuma-24h'!N63)</f>
        <v>0</v>
      </c>
      <c r="O63" s="15">
        <f t="shared" si="0"/>
        <v>9</v>
      </c>
      <c r="P63" s="15">
        <f t="shared" si="1"/>
        <v>12</v>
      </c>
      <c r="R63" s="8"/>
      <c r="T63"/>
    </row>
    <row r="64" spans="2:20" ht="23.1" customHeight="1" x14ac:dyDescent="0.25">
      <c r="B64" s="23" t="s">
        <v>109</v>
      </c>
      <c r="C64" s="49">
        <f>AVERAGE('02.08 Kigumba-Karuma-24h'!C64,'03.08 Kigumba-Karuma-24h'!C64)</f>
        <v>1.5</v>
      </c>
      <c r="D64" s="49">
        <f>AVERAGE('02.08 Kigumba-Karuma-24h'!D64,'03.08 Kigumba-Karuma-24h'!D64)</f>
        <v>0.5</v>
      </c>
      <c r="E64" s="49">
        <f>AVERAGE('02.08 Kigumba-Karuma-24h'!E64,'03.08 Kigumba-Karuma-24h'!E64)</f>
        <v>2.5</v>
      </c>
      <c r="F64" s="49">
        <f>AVERAGE('02.08 Kigumba-Karuma-24h'!F64,'03.08 Kigumba-Karuma-24h'!F64)</f>
        <v>1</v>
      </c>
      <c r="G64" s="49">
        <f>AVERAGE('02.08 Kigumba-Karuma-24h'!G64,'03.08 Kigumba-Karuma-24h'!G64)</f>
        <v>0</v>
      </c>
      <c r="H64" s="49">
        <f>AVERAGE('02.08 Kigumba-Karuma-24h'!H64,'03.08 Kigumba-Karuma-24h'!H64)</f>
        <v>0</v>
      </c>
      <c r="I64" s="49">
        <f>AVERAGE('02.08 Kigumba-Karuma-24h'!I64,'03.08 Kigumba-Karuma-24h'!I64)</f>
        <v>1.5</v>
      </c>
      <c r="J64" s="49">
        <f>AVERAGE('02.08 Kigumba-Karuma-24h'!J64,'03.08 Kigumba-Karuma-24h'!J64)</f>
        <v>0.5</v>
      </c>
      <c r="K64" s="49">
        <f>AVERAGE('02.08 Kigumba-Karuma-24h'!K64,'03.08 Kigumba-Karuma-24h'!K64)</f>
        <v>0</v>
      </c>
      <c r="L64" s="49">
        <f>AVERAGE('02.08 Kigumba-Karuma-24h'!L64,'03.08 Kigumba-Karuma-24h'!L64)</f>
        <v>0.5</v>
      </c>
      <c r="M64" s="49">
        <f>AVERAGE('02.08 Kigumba-Karuma-24h'!M64,'03.08 Kigumba-Karuma-24h'!M64)</f>
        <v>2.5</v>
      </c>
      <c r="N64" s="49">
        <f>AVERAGE('02.08 Kigumba-Karuma-24h'!N64,'03.08 Kigumba-Karuma-24h'!N64)</f>
        <v>0</v>
      </c>
      <c r="O64" s="15">
        <f t="shared" si="0"/>
        <v>8</v>
      </c>
      <c r="P64" s="15">
        <f t="shared" si="1"/>
        <v>10.5</v>
      </c>
      <c r="R64" s="8"/>
      <c r="T64"/>
    </row>
    <row r="65" spans="2:20" ht="23.1" customHeight="1" x14ac:dyDescent="0.25">
      <c r="B65" s="23" t="s">
        <v>158</v>
      </c>
      <c r="C65" s="49">
        <f>AVERAGE('02.08 Kigumba-Karuma-24h'!C65,'03.08 Kigumba-Karuma-24h'!C65)</f>
        <v>1.5</v>
      </c>
      <c r="D65" s="49">
        <f>AVERAGE('02.08 Kigumba-Karuma-24h'!D65,'03.08 Kigumba-Karuma-24h'!D65)</f>
        <v>1.5</v>
      </c>
      <c r="E65" s="49">
        <f>AVERAGE('02.08 Kigumba-Karuma-24h'!E65,'03.08 Kigumba-Karuma-24h'!E65)</f>
        <v>2.5</v>
      </c>
      <c r="F65" s="49">
        <f>AVERAGE('02.08 Kigumba-Karuma-24h'!F65,'03.08 Kigumba-Karuma-24h'!F65)</f>
        <v>1.5</v>
      </c>
      <c r="G65" s="49">
        <f>AVERAGE('02.08 Kigumba-Karuma-24h'!G65,'03.08 Kigumba-Karuma-24h'!G65)</f>
        <v>0</v>
      </c>
      <c r="H65" s="49">
        <f>AVERAGE('02.08 Kigumba-Karuma-24h'!H65,'03.08 Kigumba-Karuma-24h'!H65)</f>
        <v>0</v>
      </c>
      <c r="I65" s="49">
        <f>AVERAGE('02.08 Kigumba-Karuma-24h'!I65,'03.08 Kigumba-Karuma-24h'!I65)</f>
        <v>1</v>
      </c>
      <c r="J65" s="49">
        <f>AVERAGE('02.08 Kigumba-Karuma-24h'!J65,'03.08 Kigumba-Karuma-24h'!J65)</f>
        <v>0</v>
      </c>
      <c r="K65" s="49">
        <f>AVERAGE('02.08 Kigumba-Karuma-24h'!K65,'03.08 Kigumba-Karuma-24h'!K65)</f>
        <v>0</v>
      </c>
      <c r="L65" s="49">
        <f>AVERAGE('02.08 Kigumba-Karuma-24h'!L65,'03.08 Kigumba-Karuma-24h'!L65)</f>
        <v>1</v>
      </c>
      <c r="M65" s="49">
        <f>AVERAGE('02.08 Kigumba-Karuma-24h'!M65,'03.08 Kigumba-Karuma-24h'!M65)</f>
        <v>3</v>
      </c>
      <c r="N65" s="49">
        <f>AVERAGE('02.08 Kigumba-Karuma-24h'!N65,'03.08 Kigumba-Karuma-24h'!N65)</f>
        <v>0</v>
      </c>
      <c r="O65" s="15">
        <f t="shared" si="0"/>
        <v>9</v>
      </c>
      <c r="P65" s="15">
        <f t="shared" si="1"/>
        <v>12</v>
      </c>
      <c r="R65" s="8"/>
      <c r="T65"/>
    </row>
    <row r="66" spans="2:20" ht="23.1" customHeight="1" x14ac:dyDescent="0.25">
      <c r="B66" s="23" t="s">
        <v>103</v>
      </c>
      <c r="C66" s="49">
        <f>AVERAGE('02.08 Kigumba-Karuma-24h'!C66,'03.08 Kigumba-Karuma-24h'!C66)</f>
        <v>1</v>
      </c>
      <c r="D66" s="49">
        <f>AVERAGE('02.08 Kigumba-Karuma-24h'!D66,'03.08 Kigumba-Karuma-24h'!D66)</f>
        <v>1</v>
      </c>
      <c r="E66" s="49">
        <f>AVERAGE('02.08 Kigumba-Karuma-24h'!E66,'03.08 Kigumba-Karuma-24h'!E66)</f>
        <v>2.5</v>
      </c>
      <c r="F66" s="49">
        <f>AVERAGE('02.08 Kigumba-Karuma-24h'!F66,'03.08 Kigumba-Karuma-24h'!F66)</f>
        <v>1</v>
      </c>
      <c r="G66" s="49">
        <f>AVERAGE('02.08 Kigumba-Karuma-24h'!G66,'03.08 Kigumba-Karuma-24h'!G66)</f>
        <v>0</v>
      </c>
      <c r="H66" s="49">
        <f>AVERAGE('02.08 Kigumba-Karuma-24h'!H66,'03.08 Kigumba-Karuma-24h'!H66)</f>
        <v>0</v>
      </c>
      <c r="I66" s="49">
        <f>AVERAGE('02.08 Kigumba-Karuma-24h'!I66,'03.08 Kigumba-Karuma-24h'!I66)</f>
        <v>1</v>
      </c>
      <c r="J66" s="49">
        <f>AVERAGE('02.08 Kigumba-Karuma-24h'!J66,'03.08 Kigumba-Karuma-24h'!J66)</f>
        <v>0</v>
      </c>
      <c r="K66" s="49">
        <f>AVERAGE('02.08 Kigumba-Karuma-24h'!K66,'03.08 Kigumba-Karuma-24h'!K66)</f>
        <v>0</v>
      </c>
      <c r="L66" s="49">
        <f>AVERAGE('02.08 Kigumba-Karuma-24h'!L66,'03.08 Kigumba-Karuma-24h'!L66)</f>
        <v>1.5</v>
      </c>
      <c r="M66" s="49">
        <f>AVERAGE('02.08 Kigumba-Karuma-24h'!M66,'03.08 Kigumba-Karuma-24h'!M66)</f>
        <v>2.5</v>
      </c>
      <c r="N66" s="49">
        <f>AVERAGE('02.08 Kigumba-Karuma-24h'!N66,'03.08 Kigumba-Karuma-24h'!N66)</f>
        <v>0</v>
      </c>
      <c r="O66" s="15">
        <f t="shared" si="0"/>
        <v>8</v>
      </c>
      <c r="P66" s="15">
        <f t="shared" si="1"/>
        <v>10.5</v>
      </c>
      <c r="R66" s="8"/>
      <c r="T66"/>
    </row>
    <row r="67" spans="2:20" ht="23.1" customHeight="1" x14ac:dyDescent="0.25">
      <c r="B67" s="23" t="s">
        <v>104</v>
      </c>
      <c r="C67" s="49">
        <f>AVERAGE('02.08 Kigumba-Karuma-24h'!C67,'03.08 Kigumba-Karuma-24h'!C67)</f>
        <v>1.5</v>
      </c>
      <c r="D67" s="49">
        <f>AVERAGE('02.08 Kigumba-Karuma-24h'!D67,'03.08 Kigumba-Karuma-24h'!D67)</f>
        <v>1</v>
      </c>
      <c r="E67" s="49">
        <f>AVERAGE('02.08 Kigumba-Karuma-24h'!E67,'03.08 Kigumba-Karuma-24h'!E67)</f>
        <v>2.5</v>
      </c>
      <c r="F67" s="49">
        <f>AVERAGE('02.08 Kigumba-Karuma-24h'!F67,'03.08 Kigumba-Karuma-24h'!F67)</f>
        <v>1</v>
      </c>
      <c r="G67" s="49">
        <f>AVERAGE('02.08 Kigumba-Karuma-24h'!G67,'03.08 Kigumba-Karuma-24h'!G67)</f>
        <v>0</v>
      </c>
      <c r="H67" s="49">
        <f>AVERAGE('02.08 Kigumba-Karuma-24h'!H67,'03.08 Kigumba-Karuma-24h'!H67)</f>
        <v>0</v>
      </c>
      <c r="I67" s="49">
        <f>AVERAGE('02.08 Kigumba-Karuma-24h'!I67,'03.08 Kigumba-Karuma-24h'!I67)</f>
        <v>0.5</v>
      </c>
      <c r="J67" s="49">
        <f>AVERAGE('02.08 Kigumba-Karuma-24h'!J67,'03.08 Kigumba-Karuma-24h'!J67)</f>
        <v>0</v>
      </c>
      <c r="K67" s="49">
        <f>AVERAGE('02.08 Kigumba-Karuma-24h'!K67,'03.08 Kigumba-Karuma-24h'!K67)</f>
        <v>0</v>
      </c>
      <c r="L67" s="49">
        <f>AVERAGE('02.08 Kigumba-Karuma-24h'!L67,'03.08 Kigumba-Karuma-24h'!L67)</f>
        <v>1</v>
      </c>
      <c r="M67" s="49">
        <f>AVERAGE('02.08 Kigumba-Karuma-24h'!M67,'03.08 Kigumba-Karuma-24h'!M67)</f>
        <v>3</v>
      </c>
      <c r="N67" s="49">
        <f>AVERAGE('02.08 Kigumba-Karuma-24h'!N67,'03.08 Kigumba-Karuma-24h'!N67)</f>
        <v>0</v>
      </c>
      <c r="O67" s="15">
        <f t="shared" si="0"/>
        <v>7.5</v>
      </c>
      <c r="P67" s="15">
        <f t="shared" si="1"/>
        <v>10.5</v>
      </c>
      <c r="R67" s="8"/>
      <c r="T67"/>
    </row>
    <row r="68" spans="2:20" ht="23.1" customHeight="1" x14ac:dyDescent="0.25">
      <c r="B68" s="23" t="s">
        <v>105</v>
      </c>
      <c r="C68" s="49">
        <f>AVERAGE('02.08 Kigumba-Karuma-24h'!C68,'03.08 Kigumba-Karuma-24h'!C68)</f>
        <v>1</v>
      </c>
      <c r="D68" s="49">
        <f>AVERAGE('02.08 Kigumba-Karuma-24h'!D68,'03.08 Kigumba-Karuma-24h'!D68)</f>
        <v>0.5</v>
      </c>
      <c r="E68" s="49">
        <f>AVERAGE('02.08 Kigumba-Karuma-24h'!E68,'03.08 Kigumba-Karuma-24h'!E68)</f>
        <v>2.5</v>
      </c>
      <c r="F68" s="49">
        <f>AVERAGE('02.08 Kigumba-Karuma-24h'!F68,'03.08 Kigumba-Karuma-24h'!F68)</f>
        <v>0.5</v>
      </c>
      <c r="G68" s="49">
        <f>AVERAGE('02.08 Kigumba-Karuma-24h'!G68,'03.08 Kigumba-Karuma-24h'!G68)</f>
        <v>0</v>
      </c>
      <c r="H68" s="49">
        <f>AVERAGE('02.08 Kigumba-Karuma-24h'!H68,'03.08 Kigumba-Karuma-24h'!H68)</f>
        <v>0</v>
      </c>
      <c r="I68" s="49">
        <f>AVERAGE('02.08 Kigumba-Karuma-24h'!I68,'03.08 Kigumba-Karuma-24h'!I68)</f>
        <v>0.5</v>
      </c>
      <c r="J68" s="49">
        <f>AVERAGE('02.08 Kigumba-Karuma-24h'!J68,'03.08 Kigumba-Karuma-24h'!J68)</f>
        <v>0</v>
      </c>
      <c r="K68" s="49">
        <f>AVERAGE('02.08 Kigumba-Karuma-24h'!K68,'03.08 Kigumba-Karuma-24h'!K68)</f>
        <v>0</v>
      </c>
      <c r="L68" s="49">
        <f>AVERAGE('02.08 Kigumba-Karuma-24h'!L68,'03.08 Kigumba-Karuma-24h'!L68)</f>
        <v>0</v>
      </c>
      <c r="M68" s="49">
        <f>AVERAGE('02.08 Kigumba-Karuma-24h'!M68,'03.08 Kigumba-Karuma-24h'!M68)</f>
        <v>2</v>
      </c>
      <c r="N68" s="49">
        <f>AVERAGE('02.08 Kigumba-Karuma-24h'!N68,'03.08 Kigumba-Karuma-24h'!N68)</f>
        <v>0</v>
      </c>
      <c r="O68" s="15">
        <f t="shared" si="0"/>
        <v>5</v>
      </c>
      <c r="P68" s="15">
        <f t="shared" si="1"/>
        <v>7</v>
      </c>
      <c r="R68" s="8"/>
      <c r="T68"/>
    </row>
    <row r="69" spans="2:20" ht="23.1" customHeight="1" x14ac:dyDescent="0.25">
      <c r="B69" s="23" t="s">
        <v>106</v>
      </c>
      <c r="C69" s="49">
        <f>AVERAGE('02.08 Kigumba-Karuma-24h'!C69,'03.08 Kigumba-Karuma-24h'!C69)</f>
        <v>2</v>
      </c>
      <c r="D69" s="49">
        <f>AVERAGE('02.08 Kigumba-Karuma-24h'!D69,'03.08 Kigumba-Karuma-24h'!D69)</f>
        <v>1</v>
      </c>
      <c r="E69" s="49">
        <f>AVERAGE('02.08 Kigumba-Karuma-24h'!E69,'03.08 Kigumba-Karuma-24h'!E69)</f>
        <v>2.5</v>
      </c>
      <c r="F69" s="49">
        <f>AVERAGE('02.08 Kigumba-Karuma-24h'!F69,'03.08 Kigumba-Karuma-24h'!F69)</f>
        <v>2</v>
      </c>
      <c r="G69" s="49">
        <f>AVERAGE('02.08 Kigumba-Karuma-24h'!G69,'03.08 Kigumba-Karuma-24h'!G69)</f>
        <v>0</v>
      </c>
      <c r="H69" s="49">
        <f>AVERAGE('02.08 Kigumba-Karuma-24h'!H69,'03.08 Kigumba-Karuma-24h'!H69)</f>
        <v>0</v>
      </c>
      <c r="I69" s="49">
        <f>AVERAGE('02.08 Kigumba-Karuma-24h'!I69,'03.08 Kigumba-Karuma-24h'!I69)</f>
        <v>1.5</v>
      </c>
      <c r="J69" s="49">
        <f>AVERAGE('02.08 Kigumba-Karuma-24h'!J69,'03.08 Kigumba-Karuma-24h'!J69)</f>
        <v>0</v>
      </c>
      <c r="K69" s="49">
        <f>AVERAGE('02.08 Kigumba-Karuma-24h'!K69,'03.08 Kigumba-Karuma-24h'!K69)</f>
        <v>0</v>
      </c>
      <c r="L69" s="49">
        <f>AVERAGE('02.08 Kigumba-Karuma-24h'!L69,'03.08 Kigumba-Karuma-24h'!L69)</f>
        <v>0.5</v>
      </c>
      <c r="M69" s="49">
        <f>AVERAGE('02.08 Kigumba-Karuma-24h'!M69,'03.08 Kigumba-Karuma-24h'!M69)</f>
        <v>3.5</v>
      </c>
      <c r="N69" s="49">
        <f>AVERAGE('02.08 Kigumba-Karuma-24h'!N69,'03.08 Kigumba-Karuma-24h'!N69)</f>
        <v>0</v>
      </c>
      <c r="O69" s="15">
        <f t="shared" si="0"/>
        <v>9.5</v>
      </c>
      <c r="P69" s="15">
        <f t="shared" si="1"/>
        <v>13</v>
      </c>
      <c r="R69" s="8"/>
      <c r="T69"/>
    </row>
    <row r="70" spans="2:20" ht="23.1" customHeight="1" x14ac:dyDescent="0.25">
      <c r="B70" s="23" t="s">
        <v>110</v>
      </c>
      <c r="C70" s="49">
        <f>AVERAGE('02.08 Kigumba-Karuma-24h'!C70,'03.08 Kigumba-Karuma-24h'!C70)</f>
        <v>1</v>
      </c>
      <c r="D70" s="49">
        <f>AVERAGE('02.08 Kigumba-Karuma-24h'!D70,'03.08 Kigumba-Karuma-24h'!D70)</f>
        <v>0.5</v>
      </c>
      <c r="E70" s="49">
        <f>AVERAGE('02.08 Kigumba-Karuma-24h'!E70,'03.08 Kigumba-Karuma-24h'!E70)</f>
        <v>2.5</v>
      </c>
      <c r="F70" s="49">
        <f>AVERAGE('02.08 Kigumba-Karuma-24h'!F70,'03.08 Kigumba-Karuma-24h'!F70)</f>
        <v>1</v>
      </c>
      <c r="G70" s="49">
        <f>AVERAGE('02.08 Kigumba-Karuma-24h'!G70,'03.08 Kigumba-Karuma-24h'!G70)</f>
        <v>0</v>
      </c>
      <c r="H70" s="49">
        <f>AVERAGE('02.08 Kigumba-Karuma-24h'!H70,'03.08 Kigumba-Karuma-24h'!H70)</f>
        <v>1</v>
      </c>
      <c r="I70" s="49">
        <f>AVERAGE('02.08 Kigumba-Karuma-24h'!I70,'03.08 Kigumba-Karuma-24h'!I70)</f>
        <v>1</v>
      </c>
      <c r="J70" s="49">
        <f>AVERAGE('02.08 Kigumba-Karuma-24h'!J70,'03.08 Kigumba-Karuma-24h'!J70)</f>
        <v>0</v>
      </c>
      <c r="K70" s="49">
        <f>AVERAGE('02.08 Kigumba-Karuma-24h'!K70,'03.08 Kigumba-Karuma-24h'!K70)</f>
        <v>0</v>
      </c>
      <c r="L70" s="49">
        <f>AVERAGE('02.08 Kigumba-Karuma-24h'!L70,'03.08 Kigumba-Karuma-24h'!L70)</f>
        <v>1</v>
      </c>
      <c r="M70" s="49">
        <f>AVERAGE('02.08 Kigumba-Karuma-24h'!M70,'03.08 Kigumba-Karuma-24h'!M70)</f>
        <v>3</v>
      </c>
      <c r="N70" s="49">
        <f>AVERAGE('02.08 Kigumba-Karuma-24h'!N70,'03.08 Kigumba-Karuma-24h'!N70)</f>
        <v>0</v>
      </c>
      <c r="O70" s="15">
        <f t="shared" si="0"/>
        <v>8</v>
      </c>
      <c r="P70" s="15">
        <f t="shared" si="1"/>
        <v>11</v>
      </c>
      <c r="R70" s="8"/>
      <c r="T70"/>
    </row>
    <row r="71" spans="2:20" ht="23.1" customHeight="1" x14ac:dyDescent="0.25">
      <c r="B71" s="23" t="s">
        <v>111</v>
      </c>
      <c r="C71" s="49">
        <f>AVERAGE('02.08 Kigumba-Karuma-24h'!C71,'03.08 Kigumba-Karuma-24h'!C71)</f>
        <v>0.5</v>
      </c>
      <c r="D71" s="49">
        <f>AVERAGE('02.08 Kigumba-Karuma-24h'!D71,'03.08 Kigumba-Karuma-24h'!D71)</f>
        <v>1</v>
      </c>
      <c r="E71" s="49">
        <f>AVERAGE('02.08 Kigumba-Karuma-24h'!E71,'03.08 Kigumba-Karuma-24h'!E71)</f>
        <v>1.5</v>
      </c>
      <c r="F71" s="49">
        <f>AVERAGE('02.08 Kigumba-Karuma-24h'!F71,'03.08 Kigumba-Karuma-24h'!F71)</f>
        <v>1</v>
      </c>
      <c r="G71" s="49">
        <f>AVERAGE('02.08 Kigumba-Karuma-24h'!G71,'03.08 Kigumba-Karuma-24h'!G71)</f>
        <v>0</v>
      </c>
      <c r="H71" s="49">
        <f>AVERAGE('02.08 Kigumba-Karuma-24h'!H71,'03.08 Kigumba-Karuma-24h'!H71)</f>
        <v>1</v>
      </c>
      <c r="I71" s="49">
        <f>AVERAGE('02.08 Kigumba-Karuma-24h'!I71,'03.08 Kigumba-Karuma-24h'!I71)</f>
        <v>1</v>
      </c>
      <c r="J71" s="49">
        <f>AVERAGE('02.08 Kigumba-Karuma-24h'!J71,'03.08 Kigumba-Karuma-24h'!J71)</f>
        <v>0</v>
      </c>
      <c r="K71" s="49">
        <f>AVERAGE('02.08 Kigumba-Karuma-24h'!K71,'03.08 Kigumba-Karuma-24h'!K71)</f>
        <v>0</v>
      </c>
      <c r="L71" s="49">
        <f>AVERAGE('02.08 Kigumba-Karuma-24h'!L71,'03.08 Kigumba-Karuma-24h'!L71)</f>
        <v>0</v>
      </c>
      <c r="M71" s="49">
        <f>AVERAGE('02.08 Kigumba-Karuma-24h'!M71,'03.08 Kigumba-Karuma-24h'!M71)</f>
        <v>2</v>
      </c>
      <c r="N71" s="49">
        <f>AVERAGE('02.08 Kigumba-Karuma-24h'!N71,'03.08 Kigumba-Karuma-24h'!N71)</f>
        <v>0</v>
      </c>
      <c r="O71" s="15">
        <f t="shared" si="0"/>
        <v>6</v>
      </c>
      <c r="P71" s="15">
        <f t="shared" si="1"/>
        <v>8</v>
      </c>
      <c r="R71" s="8"/>
      <c r="T71"/>
    </row>
    <row r="72" spans="2:20" ht="23.1" customHeight="1" x14ac:dyDescent="0.25">
      <c r="B72" s="23" t="s">
        <v>112</v>
      </c>
      <c r="C72" s="49">
        <f>AVERAGE('02.08 Kigumba-Karuma-24h'!C72,'03.08 Kigumba-Karuma-24h'!C72)</f>
        <v>1.5</v>
      </c>
      <c r="D72" s="49">
        <f>AVERAGE('02.08 Kigumba-Karuma-24h'!D72,'03.08 Kigumba-Karuma-24h'!D72)</f>
        <v>1</v>
      </c>
      <c r="E72" s="49">
        <f>AVERAGE('02.08 Kigumba-Karuma-24h'!E72,'03.08 Kigumba-Karuma-24h'!E72)</f>
        <v>2</v>
      </c>
      <c r="F72" s="49">
        <f>AVERAGE('02.08 Kigumba-Karuma-24h'!F72,'03.08 Kigumba-Karuma-24h'!F72)</f>
        <v>1</v>
      </c>
      <c r="G72" s="49">
        <f>AVERAGE('02.08 Kigumba-Karuma-24h'!G72,'03.08 Kigumba-Karuma-24h'!G72)</f>
        <v>0</v>
      </c>
      <c r="H72" s="49">
        <f>AVERAGE('02.08 Kigumba-Karuma-24h'!H72,'03.08 Kigumba-Karuma-24h'!H72)</f>
        <v>1.5</v>
      </c>
      <c r="I72" s="49">
        <f>AVERAGE('02.08 Kigumba-Karuma-24h'!I72,'03.08 Kigumba-Karuma-24h'!I72)</f>
        <v>0.5</v>
      </c>
      <c r="J72" s="49">
        <f>AVERAGE('02.08 Kigumba-Karuma-24h'!J72,'03.08 Kigumba-Karuma-24h'!J72)</f>
        <v>0</v>
      </c>
      <c r="K72" s="49">
        <f>AVERAGE('02.08 Kigumba-Karuma-24h'!K72,'03.08 Kigumba-Karuma-24h'!K72)</f>
        <v>0</v>
      </c>
      <c r="L72" s="49">
        <f>AVERAGE('02.08 Kigumba-Karuma-24h'!L72,'03.08 Kigumba-Karuma-24h'!L72)</f>
        <v>0.5</v>
      </c>
      <c r="M72" s="49">
        <f>AVERAGE('02.08 Kigumba-Karuma-24h'!M72,'03.08 Kigumba-Karuma-24h'!M72)</f>
        <v>2.5</v>
      </c>
      <c r="N72" s="49">
        <f>AVERAGE('02.08 Kigumba-Karuma-24h'!N72,'03.08 Kigumba-Karuma-24h'!N72)</f>
        <v>0</v>
      </c>
      <c r="O72" s="15">
        <f t="shared" si="0"/>
        <v>8</v>
      </c>
      <c r="P72" s="15">
        <f t="shared" si="1"/>
        <v>10.5</v>
      </c>
      <c r="R72" s="8"/>
      <c r="T72"/>
    </row>
    <row r="73" spans="2:20" ht="23.1" customHeight="1" x14ac:dyDescent="0.25">
      <c r="B73" s="23" t="s">
        <v>113</v>
      </c>
      <c r="C73" s="49">
        <f>AVERAGE('02.08 Kigumba-Karuma-24h'!C73,'03.08 Kigumba-Karuma-24h'!C73)</f>
        <v>1</v>
      </c>
      <c r="D73" s="49">
        <f>AVERAGE('02.08 Kigumba-Karuma-24h'!D73,'03.08 Kigumba-Karuma-24h'!D73)</f>
        <v>1</v>
      </c>
      <c r="E73" s="49">
        <f>AVERAGE('02.08 Kigumba-Karuma-24h'!E73,'03.08 Kigumba-Karuma-24h'!E73)</f>
        <v>2</v>
      </c>
      <c r="F73" s="49">
        <f>AVERAGE('02.08 Kigumba-Karuma-24h'!F73,'03.08 Kigumba-Karuma-24h'!F73)</f>
        <v>1.5</v>
      </c>
      <c r="G73" s="49">
        <f>AVERAGE('02.08 Kigumba-Karuma-24h'!G73,'03.08 Kigumba-Karuma-24h'!G73)</f>
        <v>0</v>
      </c>
      <c r="H73" s="49">
        <f>AVERAGE('02.08 Kigumba-Karuma-24h'!H73,'03.08 Kigumba-Karuma-24h'!H73)</f>
        <v>0.5</v>
      </c>
      <c r="I73" s="49">
        <f>AVERAGE('02.08 Kigumba-Karuma-24h'!I73,'03.08 Kigumba-Karuma-24h'!I73)</f>
        <v>1</v>
      </c>
      <c r="J73" s="49">
        <f>AVERAGE('02.08 Kigumba-Karuma-24h'!J73,'03.08 Kigumba-Karuma-24h'!J73)</f>
        <v>0</v>
      </c>
      <c r="K73" s="49">
        <f>AVERAGE('02.08 Kigumba-Karuma-24h'!K73,'03.08 Kigumba-Karuma-24h'!K73)</f>
        <v>0</v>
      </c>
      <c r="L73" s="49">
        <f>AVERAGE('02.08 Kigumba-Karuma-24h'!L73,'03.08 Kigumba-Karuma-24h'!L73)</f>
        <v>0.5</v>
      </c>
      <c r="M73" s="49">
        <f>AVERAGE('02.08 Kigumba-Karuma-24h'!M73,'03.08 Kigumba-Karuma-24h'!M73)</f>
        <v>2.5</v>
      </c>
      <c r="N73" s="49">
        <f>AVERAGE('02.08 Kigumba-Karuma-24h'!N73,'03.08 Kigumba-Karuma-24h'!N73)</f>
        <v>0</v>
      </c>
      <c r="O73" s="15">
        <f t="shared" si="0"/>
        <v>7.5</v>
      </c>
      <c r="P73" s="15">
        <f t="shared" si="1"/>
        <v>10</v>
      </c>
      <c r="R73" s="8"/>
      <c r="T73"/>
    </row>
    <row r="74" spans="2:20" ht="23.1" customHeight="1" x14ac:dyDescent="0.25">
      <c r="B74" s="23" t="s">
        <v>114</v>
      </c>
      <c r="C74" s="49">
        <f>AVERAGE('02.08 Kigumba-Karuma-24h'!C74,'03.08 Kigumba-Karuma-24h'!C74)</f>
        <v>1.5</v>
      </c>
      <c r="D74" s="49">
        <f>AVERAGE('02.08 Kigumba-Karuma-24h'!D74,'03.08 Kigumba-Karuma-24h'!D74)</f>
        <v>1</v>
      </c>
      <c r="E74" s="49">
        <f>AVERAGE('02.08 Kigumba-Karuma-24h'!E74,'03.08 Kigumba-Karuma-24h'!E74)</f>
        <v>2</v>
      </c>
      <c r="F74" s="49">
        <f>AVERAGE('02.08 Kigumba-Karuma-24h'!F74,'03.08 Kigumba-Karuma-24h'!F74)</f>
        <v>1</v>
      </c>
      <c r="G74" s="49">
        <f>AVERAGE('02.08 Kigumba-Karuma-24h'!G74,'03.08 Kigumba-Karuma-24h'!G74)</f>
        <v>0</v>
      </c>
      <c r="H74" s="49">
        <f>AVERAGE('02.08 Kigumba-Karuma-24h'!H74,'03.08 Kigumba-Karuma-24h'!H74)</f>
        <v>0.5</v>
      </c>
      <c r="I74" s="49">
        <f>AVERAGE('02.08 Kigumba-Karuma-24h'!I74,'03.08 Kigumba-Karuma-24h'!I74)</f>
        <v>1</v>
      </c>
      <c r="J74" s="49">
        <f>AVERAGE('02.08 Kigumba-Karuma-24h'!J74,'03.08 Kigumba-Karuma-24h'!J74)</f>
        <v>0</v>
      </c>
      <c r="K74" s="49">
        <f>AVERAGE('02.08 Kigumba-Karuma-24h'!K74,'03.08 Kigumba-Karuma-24h'!K74)</f>
        <v>0</v>
      </c>
      <c r="L74" s="49">
        <f>AVERAGE('02.08 Kigumba-Karuma-24h'!L74,'03.08 Kigumba-Karuma-24h'!L74)</f>
        <v>0.5</v>
      </c>
      <c r="M74" s="49">
        <f>AVERAGE('02.08 Kigumba-Karuma-24h'!M74,'03.08 Kigumba-Karuma-24h'!M74)</f>
        <v>2.5</v>
      </c>
      <c r="N74" s="49">
        <f>AVERAGE('02.08 Kigumba-Karuma-24h'!N74,'03.08 Kigumba-Karuma-24h'!N74)</f>
        <v>0</v>
      </c>
      <c r="O74" s="15">
        <f t="shared" ref="O74:O105" si="35">SUM(C74:L74,N74)</f>
        <v>7.5</v>
      </c>
      <c r="P74" s="15">
        <f t="shared" ref="P74:P105" si="36">SUM(C74:N74)</f>
        <v>10</v>
      </c>
      <c r="R74" s="8"/>
      <c r="T74"/>
    </row>
    <row r="75" spans="2:20" ht="23.1" customHeight="1" x14ac:dyDescent="0.25">
      <c r="B75" s="23" t="s">
        <v>115</v>
      </c>
      <c r="C75" s="49">
        <f>AVERAGE('02.08 Kigumba-Karuma-24h'!C75,'03.08 Kigumba-Karuma-24h'!C75)</f>
        <v>1</v>
      </c>
      <c r="D75" s="49">
        <f>AVERAGE('02.08 Kigumba-Karuma-24h'!D75,'03.08 Kigumba-Karuma-24h'!D75)</f>
        <v>0.5</v>
      </c>
      <c r="E75" s="49">
        <f>AVERAGE('02.08 Kigumba-Karuma-24h'!E75,'03.08 Kigumba-Karuma-24h'!E75)</f>
        <v>1</v>
      </c>
      <c r="F75" s="49">
        <f>AVERAGE('02.08 Kigumba-Karuma-24h'!F75,'03.08 Kigumba-Karuma-24h'!F75)</f>
        <v>1</v>
      </c>
      <c r="G75" s="49">
        <f>AVERAGE('02.08 Kigumba-Karuma-24h'!G75,'03.08 Kigumba-Karuma-24h'!G75)</f>
        <v>0</v>
      </c>
      <c r="H75" s="49">
        <f>AVERAGE('02.08 Kigumba-Karuma-24h'!H75,'03.08 Kigumba-Karuma-24h'!H75)</f>
        <v>0</v>
      </c>
      <c r="I75" s="49">
        <f>AVERAGE('02.08 Kigumba-Karuma-24h'!I75,'03.08 Kigumba-Karuma-24h'!I75)</f>
        <v>0.5</v>
      </c>
      <c r="J75" s="49">
        <f>AVERAGE('02.08 Kigumba-Karuma-24h'!J75,'03.08 Kigumba-Karuma-24h'!J75)</f>
        <v>0</v>
      </c>
      <c r="K75" s="49">
        <f>AVERAGE('02.08 Kigumba-Karuma-24h'!K75,'03.08 Kigumba-Karuma-24h'!K75)</f>
        <v>0</v>
      </c>
      <c r="L75" s="49">
        <f>AVERAGE('02.08 Kigumba-Karuma-24h'!L75,'03.08 Kigumba-Karuma-24h'!L75)</f>
        <v>0.5</v>
      </c>
      <c r="M75" s="49">
        <f>AVERAGE('02.08 Kigumba-Karuma-24h'!M75,'03.08 Kigumba-Karuma-24h'!M75)</f>
        <v>1.5</v>
      </c>
      <c r="N75" s="49">
        <f>AVERAGE('02.08 Kigumba-Karuma-24h'!N75,'03.08 Kigumba-Karuma-24h'!N75)</f>
        <v>0</v>
      </c>
      <c r="O75" s="15">
        <f t="shared" si="35"/>
        <v>4.5</v>
      </c>
      <c r="P75" s="15">
        <f t="shared" si="36"/>
        <v>6</v>
      </c>
      <c r="R75" s="8"/>
      <c r="T75"/>
    </row>
    <row r="76" spans="2:20" ht="23.1" customHeight="1" x14ac:dyDescent="0.25">
      <c r="B76" s="23" t="s">
        <v>116</v>
      </c>
      <c r="C76" s="49">
        <f>AVERAGE('02.08 Kigumba-Karuma-24h'!C76,'03.08 Kigumba-Karuma-24h'!C76)</f>
        <v>1.5</v>
      </c>
      <c r="D76" s="49">
        <f>AVERAGE('02.08 Kigumba-Karuma-24h'!D76,'03.08 Kigumba-Karuma-24h'!D76)</f>
        <v>0.5</v>
      </c>
      <c r="E76" s="49">
        <f>AVERAGE('02.08 Kigumba-Karuma-24h'!E76,'03.08 Kigumba-Karuma-24h'!E76)</f>
        <v>2</v>
      </c>
      <c r="F76" s="49">
        <f>AVERAGE('02.08 Kigumba-Karuma-24h'!F76,'03.08 Kigumba-Karuma-24h'!F76)</f>
        <v>1</v>
      </c>
      <c r="G76" s="49">
        <f>AVERAGE('02.08 Kigumba-Karuma-24h'!G76,'03.08 Kigumba-Karuma-24h'!G76)</f>
        <v>0</v>
      </c>
      <c r="H76" s="49">
        <f>AVERAGE('02.08 Kigumba-Karuma-24h'!H76,'03.08 Kigumba-Karuma-24h'!H76)</f>
        <v>0.5</v>
      </c>
      <c r="I76" s="49">
        <f>AVERAGE('02.08 Kigumba-Karuma-24h'!I76,'03.08 Kigumba-Karuma-24h'!I76)</f>
        <v>0.5</v>
      </c>
      <c r="J76" s="49">
        <f>AVERAGE('02.08 Kigumba-Karuma-24h'!J76,'03.08 Kigumba-Karuma-24h'!J76)</f>
        <v>0</v>
      </c>
      <c r="K76" s="49">
        <f>AVERAGE('02.08 Kigumba-Karuma-24h'!K76,'03.08 Kigumba-Karuma-24h'!K76)</f>
        <v>0</v>
      </c>
      <c r="L76" s="49">
        <f>AVERAGE('02.08 Kigumba-Karuma-24h'!L76,'03.08 Kigumba-Karuma-24h'!L76)</f>
        <v>1</v>
      </c>
      <c r="M76" s="49">
        <f>AVERAGE('02.08 Kigumba-Karuma-24h'!M76,'03.08 Kigumba-Karuma-24h'!M76)</f>
        <v>2.5</v>
      </c>
      <c r="N76" s="49">
        <f>AVERAGE('02.08 Kigumba-Karuma-24h'!N76,'03.08 Kigumba-Karuma-24h'!N76)</f>
        <v>0</v>
      </c>
      <c r="O76" s="15">
        <f t="shared" si="35"/>
        <v>7</v>
      </c>
      <c r="P76" s="15">
        <f t="shared" si="36"/>
        <v>9.5</v>
      </c>
      <c r="R76" s="8"/>
      <c r="T76"/>
    </row>
    <row r="77" spans="2:20" ht="23.1" customHeight="1" x14ac:dyDescent="0.25">
      <c r="B77" s="23" t="s">
        <v>117</v>
      </c>
      <c r="C77" s="49">
        <f>AVERAGE('02.08 Kigumba-Karuma-24h'!C77,'03.08 Kigumba-Karuma-24h'!C77)</f>
        <v>1</v>
      </c>
      <c r="D77" s="49">
        <f>AVERAGE('02.08 Kigumba-Karuma-24h'!D77,'03.08 Kigumba-Karuma-24h'!D77)</f>
        <v>1</v>
      </c>
      <c r="E77" s="49">
        <f>AVERAGE('02.08 Kigumba-Karuma-24h'!E77,'03.08 Kigumba-Karuma-24h'!E77)</f>
        <v>1.5</v>
      </c>
      <c r="F77" s="49">
        <f>AVERAGE('02.08 Kigumba-Karuma-24h'!F77,'03.08 Kigumba-Karuma-24h'!F77)</f>
        <v>1</v>
      </c>
      <c r="G77" s="49">
        <f>AVERAGE('02.08 Kigumba-Karuma-24h'!G77,'03.08 Kigumba-Karuma-24h'!G77)</f>
        <v>0</v>
      </c>
      <c r="H77" s="49">
        <f>AVERAGE('02.08 Kigumba-Karuma-24h'!H77,'03.08 Kigumba-Karuma-24h'!H77)</f>
        <v>0.5</v>
      </c>
      <c r="I77" s="49">
        <f>AVERAGE('02.08 Kigumba-Karuma-24h'!I77,'03.08 Kigumba-Karuma-24h'!I77)</f>
        <v>0.5</v>
      </c>
      <c r="J77" s="49">
        <f>AVERAGE('02.08 Kigumba-Karuma-24h'!J77,'03.08 Kigumba-Karuma-24h'!J77)</f>
        <v>0</v>
      </c>
      <c r="K77" s="49">
        <f>AVERAGE('02.08 Kigumba-Karuma-24h'!K77,'03.08 Kigumba-Karuma-24h'!K77)</f>
        <v>0</v>
      </c>
      <c r="L77" s="49">
        <f>AVERAGE('02.08 Kigumba-Karuma-24h'!L77,'03.08 Kigumba-Karuma-24h'!L77)</f>
        <v>0</v>
      </c>
      <c r="M77" s="49">
        <f>AVERAGE('02.08 Kigumba-Karuma-24h'!M77,'03.08 Kigumba-Karuma-24h'!M77)</f>
        <v>2.5</v>
      </c>
      <c r="N77" s="49">
        <f>AVERAGE('02.08 Kigumba-Karuma-24h'!N77,'03.08 Kigumba-Karuma-24h'!N77)</f>
        <v>0</v>
      </c>
      <c r="O77" s="15">
        <f t="shared" si="35"/>
        <v>5.5</v>
      </c>
      <c r="P77" s="15">
        <f t="shared" si="36"/>
        <v>8</v>
      </c>
      <c r="R77" s="8"/>
      <c r="T77"/>
    </row>
    <row r="78" spans="2:20" ht="23.1" customHeight="1" x14ac:dyDescent="0.25">
      <c r="B78" s="24" t="s">
        <v>118</v>
      </c>
      <c r="C78" s="49">
        <f>AVERAGE('02.08 Kigumba-Karuma-24h'!C78,'03.08 Kigumba-Karuma-24h'!C78)</f>
        <v>0.5</v>
      </c>
      <c r="D78" s="49">
        <f>AVERAGE('02.08 Kigumba-Karuma-24h'!D78,'03.08 Kigumba-Karuma-24h'!D78)</f>
        <v>0.5</v>
      </c>
      <c r="E78" s="49">
        <f>AVERAGE('02.08 Kigumba-Karuma-24h'!E78,'03.08 Kigumba-Karuma-24h'!E78)</f>
        <v>1</v>
      </c>
      <c r="F78" s="49">
        <f>AVERAGE('02.08 Kigumba-Karuma-24h'!F78,'03.08 Kigumba-Karuma-24h'!F78)</f>
        <v>1</v>
      </c>
      <c r="G78" s="49">
        <f>AVERAGE('02.08 Kigumba-Karuma-24h'!G78,'03.08 Kigumba-Karuma-24h'!G78)</f>
        <v>0</v>
      </c>
      <c r="H78" s="49">
        <f>AVERAGE('02.08 Kigumba-Karuma-24h'!H78,'03.08 Kigumba-Karuma-24h'!H78)</f>
        <v>0</v>
      </c>
      <c r="I78" s="49">
        <f>AVERAGE('02.08 Kigumba-Karuma-24h'!I78,'03.08 Kigumba-Karuma-24h'!I78)</f>
        <v>0.5</v>
      </c>
      <c r="J78" s="49">
        <f>AVERAGE('02.08 Kigumba-Karuma-24h'!J78,'03.08 Kigumba-Karuma-24h'!J78)</f>
        <v>0</v>
      </c>
      <c r="K78" s="49">
        <f>AVERAGE('02.08 Kigumba-Karuma-24h'!K78,'03.08 Kigumba-Karuma-24h'!K78)</f>
        <v>0</v>
      </c>
      <c r="L78" s="49">
        <f>AVERAGE('02.08 Kigumba-Karuma-24h'!L78,'03.08 Kigumba-Karuma-24h'!L78)</f>
        <v>0</v>
      </c>
      <c r="M78" s="49">
        <f>AVERAGE('02.08 Kigumba-Karuma-24h'!M78,'03.08 Kigumba-Karuma-24h'!M78)</f>
        <v>1</v>
      </c>
      <c r="N78" s="49">
        <f>AVERAGE('02.08 Kigumba-Karuma-24h'!N78,'03.08 Kigumba-Karuma-24h'!N78)</f>
        <v>0</v>
      </c>
      <c r="O78" s="15">
        <f t="shared" si="35"/>
        <v>3.5</v>
      </c>
      <c r="P78" s="15">
        <f t="shared" si="36"/>
        <v>4.5</v>
      </c>
      <c r="R78" s="8"/>
      <c r="T78"/>
    </row>
    <row r="79" spans="2:20" ht="23.1" customHeight="1" x14ac:dyDescent="0.25">
      <c r="B79" s="23" t="s">
        <v>119</v>
      </c>
      <c r="C79" s="49">
        <f>AVERAGE('02.08 Kigumba-Karuma-24h'!C79,'03.08 Kigumba-Karuma-24h'!C79)</f>
        <v>1</v>
      </c>
      <c r="D79" s="49">
        <f>AVERAGE('02.08 Kigumba-Karuma-24h'!D79,'03.08 Kigumba-Karuma-24h'!D79)</f>
        <v>0.5</v>
      </c>
      <c r="E79" s="49">
        <f>AVERAGE('02.08 Kigumba-Karuma-24h'!E79,'03.08 Kigumba-Karuma-24h'!E79)</f>
        <v>2</v>
      </c>
      <c r="F79" s="49">
        <f>AVERAGE('02.08 Kigumba-Karuma-24h'!F79,'03.08 Kigumba-Karuma-24h'!F79)</f>
        <v>0.5</v>
      </c>
      <c r="G79" s="49">
        <f>AVERAGE('02.08 Kigumba-Karuma-24h'!G79,'03.08 Kigumba-Karuma-24h'!G79)</f>
        <v>0</v>
      </c>
      <c r="H79" s="49">
        <f>AVERAGE('02.08 Kigumba-Karuma-24h'!H79,'03.08 Kigumba-Karuma-24h'!H79)</f>
        <v>0</v>
      </c>
      <c r="I79" s="49">
        <f>AVERAGE('02.08 Kigumba-Karuma-24h'!I79,'03.08 Kigumba-Karuma-24h'!I79)</f>
        <v>0.5</v>
      </c>
      <c r="J79" s="49">
        <f>AVERAGE('02.08 Kigumba-Karuma-24h'!J79,'03.08 Kigumba-Karuma-24h'!J79)</f>
        <v>0</v>
      </c>
      <c r="K79" s="49">
        <f>AVERAGE('02.08 Kigumba-Karuma-24h'!K79,'03.08 Kigumba-Karuma-24h'!K79)</f>
        <v>0</v>
      </c>
      <c r="L79" s="49">
        <f>AVERAGE('02.08 Kigumba-Karuma-24h'!L79,'03.08 Kigumba-Karuma-24h'!L79)</f>
        <v>0.5</v>
      </c>
      <c r="M79" s="49">
        <f>AVERAGE('02.08 Kigumba-Karuma-24h'!M79,'03.08 Kigumba-Karuma-24h'!M79)</f>
        <v>2</v>
      </c>
      <c r="N79" s="49">
        <f>AVERAGE('02.08 Kigumba-Karuma-24h'!N79,'03.08 Kigumba-Karuma-24h'!N79)</f>
        <v>0</v>
      </c>
      <c r="O79" s="15">
        <f t="shared" si="35"/>
        <v>5</v>
      </c>
      <c r="P79" s="15">
        <f t="shared" si="36"/>
        <v>7</v>
      </c>
      <c r="R79" s="8"/>
      <c r="T79"/>
    </row>
    <row r="80" spans="2:20" ht="23.1" customHeight="1" x14ac:dyDescent="0.25">
      <c r="B80" s="25" t="s">
        <v>120</v>
      </c>
      <c r="C80" s="49">
        <f>AVERAGE('02.08 Kigumba-Karuma-24h'!C80,'03.08 Kigumba-Karuma-24h'!C80)</f>
        <v>0.5</v>
      </c>
      <c r="D80" s="49">
        <f>AVERAGE('02.08 Kigumba-Karuma-24h'!D80,'03.08 Kigumba-Karuma-24h'!D80)</f>
        <v>0.5</v>
      </c>
      <c r="E80" s="49">
        <f>AVERAGE('02.08 Kigumba-Karuma-24h'!E80,'03.08 Kigumba-Karuma-24h'!E80)</f>
        <v>1.5</v>
      </c>
      <c r="F80" s="49">
        <f>AVERAGE('02.08 Kigumba-Karuma-24h'!F80,'03.08 Kigumba-Karuma-24h'!F80)</f>
        <v>0</v>
      </c>
      <c r="G80" s="49">
        <f>AVERAGE('02.08 Kigumba-Karuma-24h'!G80,'03.08 Kigumba-Karuma-24h'!G80)</f>
        <v>0</v>
      </c>
      <c r="H80" s="49">
        <f>AVERAGE('02.08 Kigumba-Karuma-24h'!H80,'03.08 Kigumba-Karuma-24h'!H80)</f>
        <v>0.5</v>
      </c>
      <c r="I80" s="49">
        <f>AVERAGE('02.08 Kigumba-Karuma-24h'!I80,'03.08 Kigumba-Karuma-24h'!I80)</f>
        <v>0.5</v>
      </c>
      <c r="J80" s="49">
        <f>AVERAGE('02.08 Kigumba-Karuma-24h'!J80,'03.08 Kigumba-Karuma-24h'!J80)</f>
        <v>0</v>
      </c>
      <c r="K80" s="49">
        <f>AVERAGE('02.08 Kigumba-Karuma-24h'!K80,'03.08 Kigumba-Karuma-24h'!K80)</f>
        <v>0</v>
      </c>
      <c r="L80" s="49">
        <f>AVERAGE('02.08 Kigumba-Karuma-24h'!L80,'03.08 Kigumba-Karuma-24h'!L80)</f>
        <v>0.5</v>
      </c>
      <c r="M80" s="49">
        <f>AVERAGE('02.08 Kigumba-Karuma-24h'!M80,'03.08 Kigumba-Karuma-24h'!M80)</f>
        <v>2</v>
      </c>
      <c r="N80" s="49">
        <f>AVERAGE('02.08 Kigumba-Karuma-24h'!N80,'03.08 Kigumba-Karuma-24h'!N80)</f>
        <v>0</v>
      </c>
      <c r="O80" s="15">
        <f t="shared" si="35"/>
        <v>4</v>
      </c>
      <c r="P80" s="15">
        <f t="shared" si="36"/>
        <v>6</v>
      </c>
      <c r="R80" s="8"/>
      <c r="T80"/>
    </row>
    <row r="81" spans="2:20" ht="23.1" customHeight="1" x14ac:dyDescent="0.25">
      <c r="B81" s="23" t="s">
        <v>121</v>
      </c>
      <c r="C81" s="49">
        <f>AVERAGE('02.08 Kigumba-Karuma-24h'!C81,'03.08 Kigumba-Karuma-24h'!C81)</f>
        <v>0.5</v>
      </c>
      <c r="D81" s="49">
        <f>AVERAGE('02.08 Kigumba-Karuma-24h'!D81,'03.08 Kigumba-Karuma-24h'!D81)</f>
        <v>0.5</v>
      </c>
      <c r="E81" s="49">
        <f>AVERAGE('02.08 Kigumba-Karuma-24h'!E81,'03.08 Kigumba-Karuma-24h'!E81)</f>
        <v>1</v>
      </c>
      <c r="F81" s="49">
        <f>AVERAGE('02.08 Kigumba-Karuma-24h'!F81,'03.08 Kigumba-Karuma-24h'!F81)</f>
        <v>0.5</v>
      </c>
      <c r="G81" s="49">
        <f>AVERAGE('02.08 Kigumba-Karuma-24h'!G81,'03.08 Kigumba-Karuma-24h'!G81)</f>
        <v>0</v>
      </c>
      <c r="H81" s="49">
        <f>AVERAGE('02.08 Kigumba-Karuma-24h'!H81,'03.08 Kigumba-Karuma-24h'!H81)</f>
        <v>0</v>
      </c>
      <c r="I81" s="49">
        <f>AVERAGE('02.08 Kigumba-Karuma-24h'!I81,'03.08 Kigumba-Karuma-24h'!I81)</f>
        <v>0</v>
      </c>
      <c r="J81" s="49">
        <f>AVERAGE('02.08 Kigumba-Karuma-24h'!J81,'03.08 Kigumba-Karuma-24h'!J81)</f>
        <v>0</v>
      </c>
      <c r="K81" s="49">
        <f>AVERAGE('02.08 Kigumba-Karuma-24h'!K81,'03.08 Kigumba-Karuma-24h'!K81)</f>
        <v>0</v>
      </c>
      <c r="L81" s="49">
        <f>AVERAGE('02.08 Kigumba-Karuma-24h'!L81,'03.08 Kigumba-Karuma-24h'!L81)</f>
        <v>0</v>
      </c>
      <c r="M81" s="49">
        <f>AVERAGE('02.08 Kigumba-Karuma-24h'!M81,'03.08 Kigumba-Karuma-24h'!M81)</f>
        <v>1.5</v>
      </c>
      <c r="N81" s="49">
        <f>AVERAGE('02.08 Kigumba-Karuma-24h'!N81,'03.08 Kigumba-Karuma-24h'!N81)</f>
        <v>0</v>
      </c>
      <c r="O81" s="15">
        <f t="shared" si="35"/>
        <v>2.5</v>
      </c>
      <c r="P81" s="15">
        <f t="shared" si="36"/>
        <v>4</v>
      </c>
      <c r="R81" s="8"/>
      <c r="T81"/>
    </row>
    <row r="82" spans="2:20" ht="23.1" customHeight="1" x14ac:dyDescent="0.25">
      <c r="B82" s="24" t="s">
        <v>122</v>
      </c>
      <c r="C82" s="49">
        <f>AVERAGE('02.08 Kigumba-Karuma-24h'!C82,'03.08 Kigumba-Karuma-24h'!C82)</f>
        <v>0.5</v>
      </c>
      <c r="D82" s="49">
        <f>AVERAGE('02.08 Kigumba-Karuma-24h'!D82,'03.08 Kigumba-Karuma-24h'!D82)</f>
        <v>0.5</v>
      </c>
      <c r="E82" s="49">
        <f>AVERAGE('02.08 Kigumba-Karuma-24h'!E82,'03.08 Kigumba-Karuma-24h'!E82)</f>
        <v>1</v>
      </c>
      <c r="F82" s="49">
        <f>AVERAGE('02.08 Kigumba-Karuma-24h'!F82,'03.08 Kigumba-Karuma-24h'!F82)</f>
        <v>0.5</v>
      </c>
      <c r="G82" s="49">
        <f>AVERAGE('02.08 Kigumba-Karuma-24h'!G82,'03.08 Kigumba-Karuma-24h'!G82)</f>
        <v>0</v>
      </c>
      <c r="H82" s="49">
        <f>AVERAGE('02.08 Kigumba-Karuma-24h'!H82,'03.08 Kigumba-Karuma-24h'!H82)</f>
        <v>0.5</v>
      </c>
      <c r="I82" s="49">
        <f>AVERAGE('02.08 Kigumba-Karuma-24h'!I82,'03.08 Kigumba-Karuma-24h'!I82)</f>
        <v>0.5</v>
      </c>
      <c r="J82" s="49">
        <f>AVERAGE('02.08 Kigumba-Karuma-24h'!J82,'03.08 Kigumba-Karuma-24h'!J82)</f>
        <v>0</v>
      </c>
      <c r="K82" s="49">
        <f>AVERAGE('02.08 Kigumba-Karuma-24h'!K82,'03.08 Kigumba-Karuma-24h'!K82)</f>
        <v>0</v>
      </c>
      <c r="L82" s="49">
        <f>AVERAGE('02.08 Kigumba-Karuma-24h'!L82,'03.08 Kigumba-Karuma-24h'!L82)</f>
        <v>0</v>
      </c>
      <c r="M82" s="49">
        <f>AVERAGE('02.08 Kigumba-Karuma-24h'!M82,'03.08 Kigumba-Karuma-24h'!M82)</f>
        <v>1</v>
      </c>
      <c r="N82" s="49">
        <f>AVERAGE('02.08 Kigumba-Karuma-24h'!N82,'03.08 Kigumba-Karuma-24h'!N82)</f>
        <v>0</v>
      </c>
      <c r="O82" s="15">
        <f t="shared" si="35"/>
        <v>3.5</v>
      </c>
      <c r="P82" s="15">
        <f t="shared" si="36"/>
        <v>4.5</v>
      </c>
      <c r="R82" s="8"/>
      <c r="T82"/>
    </row>
    <row r="83" spans="2:20" ht="23.1" customHeight="1" x14ac:dyDescent="0.25">
      <c r="B83" s="23" t="s">
        <v>123</v>
      </c>
      <c r="C83" s="49">
        <f>AVERAGE('02.08 Kigumba-Karuma-24h'!C83,'03.08 Kigumba-Karuma-24h'!C83)</f>
        <v>0.5</v>
      </c>
      <c r="D83" s="49">
        <f>AVERAGE('02.08 Kigumba-Karuma-24h'!D83,'03.08 Kigumba-Karuma-24h'!D83)</f>
        <v>0.5</v>
      </c>
      <c r="E83" s="49">
        <f>AVERAGE('02.08 Kigumba-Karuma-24h'!E83,'03.08 Kigumba-Karuma-24h'!E83)</f>
        <v>1</v>
      </c>
      <c r="F83" s="49">
        <f>AVERAGE('02.08 Kigumba-Karuma-24h'!F83,'03.08 Kigumba-Karuma-24h'!F83)</f>
        <v>1</v>
      </c>
      <c r="G83" s="49">
        <f>AVERAGE('02.08 Kigumba-Karuma-24h'!G83,'03.08 Kigumba-Karuma-24h'!G83)</f>
        <v>0</v>
      </c>
      <c r="H83" s="49">
        <f>AVERAGE('02.08 Kigumba-Karuma-24h'!H83,'03.08 Kigumba-Karuma-24h'!H83)</f>
        <v>1</v>
      </c>
      <c r="I83" s="49">
        <f>AVERAGE('02.08 Kigumba-Karuma-24h'!I83,'03.08 Kigumba-Karuma-24h'!I83)</f>
        <v>0.5</v>
      </c>
      <c r="J83" s="49">
        <f>AVERAGE('02.08 Kigumba-Karuma-24h'!J83,'03.08 Kigumba-Karuma-24h'!J83)</f>
        <v>0</v>
      </c>
      <c r="K83" s="49">
        <f>AVERAGE('02.08 Kigumba-Karuma-24h'!K83,'03.08 Kigumba-Karuma-24h'!K83)</f>
        <v>0</v>
      </c>
      <c r="L83" s="49">
        <f>AVERAGE('02.08 Kigumba-Karuma-24h'!L83,'03.08 Kigumba-Karuma-24h'!L83)</f>
        <v>0</v>
      </c>
      <c r="M83" s="49">
        <f>AVERAGE('02.08 Kigumba-Karuma-24h'!M83,'03.08 Kigumba-Karuma-24h'!M83)</f>
        <v>1</v>
      </c>
      <c r="N83" s="49">
        <f>AVERAGE('02.08 Kigumba-Karuma-24h'!N83,'03.08 Kigumba-Karuma-24h'!N83)</f>
        <v>0</v>
      </c>
      <c r="O83" s="15">
        <f t="shared" si="35"/>
        <v>4.5</v>
      </c>
      <c r="P83" s="15">
        <f t="shared" si="36"/>
        <v>5.5</v>
      </c>
      <c r="R83" s="8"/>
      <c r="T83"/>
    </row>
    <row r="84" spans="2:20" ht="23.1" customHeight="1" x14ac:dyDescent="0.25">
      <c r="B84" s="25" t="s">
        <v>124</v>
      </c>
      <c r="C84" s="49">
        <f>AVERAGE('02.08 Kigumba-Karuma-24h'!C84,'03.08 Kigumba-Karuma-24h'!C84)</f>
        <v>1</v>
      </c>
      <c r="D84" s="49">
        <f>AVERAGE('02.08 Kigumba-Karuma-24h'!D84,'03.08 Kigumba-Karuma-24h'!D84)</f>
        <v>0.5</v>
      </c>
      <c r="E84" s="49">
        <f>AVERAGE('02.08 Kigumba-Karuma-24h'!E84,'03.08 Kigumba-Karuma-24h'!E84)</f>
        <v>1.5</v>
      </c>
      <c r="F84" s="49">
        <f>AVERAGE('02.08 Kigumba-Karuma-24h'!F84,'03.08 Kigumba-Karuma-24h'!F84)</f>
        <v>0</v>
      </c>
      <c r="G84" s="49">
        <f>AVERAGE('02.08 Kigumba-Karuma-24h'!G84,'03.08 Kigumba-Karuma-24h'!G84)</f>
        <v>0</v>
      </c>
      <c r="H84" s="49">
        <f>AVERAGE('02.08 Kigumba-Karuma-24h'!H84,'03.08 Kigumba-Karuma-24h'!H84)</f>
        <v>0.5</v>
      </c>
      <c r="I84" s="49">
        <f>AVERAGE('02.08 Kigumba-Karuma-24h'!I84,'03.08 Kigumba-Karuma-24h'!I84)</f>
        <v>0</v>
      </c>
      <c r="J84" s="49">
        <f>AVERAGE('02.08 Kigumba-Karuma-24h'!J84,'03.08 Kigumba-Karuma-24h'!J84)</f>
        <v>0</v>
      </c>
      <c r="K84" s="49">
        <f>AVERAGE('02.08 Kigumba-Karuma-24h'!K84,'03.08 Kigumba-Karuma-24h'!K84)</f>
        <v>0</v>
      </c>
      <c r="L84" s="49">
        <f>AVERAGE('02.08 Kigumba-Karuma-24h'!L84,'03.08 Kigumba-Karuma-24h'!L84)</f>
        <v>0</v>
      </c>
      <c r="M84" s="49">
        <f>AVERAGE('02.08 Kigumba-Karuma-24h'!M84,'03.08 Kigumba-Karuma-24h'!M84)</f>
        <v>1</v>
      </c>
      <c r="N84" s="49">
        <f>AVERAGE('02.08 Kigumba-Karuma-24h'!N84,'03.08 Kigumba-Karuma-24h'!N84)</f>
        <v>0</v>
      </c>
      <c r="O84" s="15">
        <f t="shared" si="35"/>
        <v>3.5</v>
      </c>
      <c r="P84" s="15">
        <f t="shared" si="36"/>
        <v>4.5</v>
      </c>
      <c r="R84" s="8"/>
      <c r="T84"/>
    </row>
    <row r="85" spans="2:20" ht="23.1" customHeight="1" x14ac:dyDescent="0.25">
      <c r="B85" s="23" t="s">
        <v>125</v>
      </c>
      <c r="C85" s="49">
        <f>AVERAGE('02.08 Kigumba-Karuma-24h'!C85,'03.08 Kigumba-Karuma-24h'!C85)</f>
        <v>0.5</v>
      </c>
      <c r="D85" s="49">
        <f>AVERAGE('02.08 Kigumba-Karuma-24h'!D85,'03.08 Kigumba-Karuma-24h'!D85)</f>
        <v>0.5</v>
      </c>
      <c r="E85" s="49">
        <f>AVERAGE('02.08 Kigumba-Karuma-24h'!E85,'03.08 Kigumba-Karuma-24h'!E85)</f>
        <v>0.5</v>
      </c>
      <c r="F85" s="49">
        <f>AVERAGE('02.08 Kigumba-Karuma-24h'!F85,'03.08 Kigumba-Karuma-24h'!F85)</f>
        <v>0.5</v>
      </c>
      <c r="G85" s="49">
        <f>AVERAGE('02.08 Kigumba-Karuma-24h'!G85,'03.08 Kigumba-Karuma-24h'!G85)</f>
        <v>0</v>
      </c>
      <c r="H85" s="49">
        <f>AVERAGE('02.08 Kigumba-Karuma-24h'!H85,'03.08 Kigumba-Karuma-24h'!H85)</f>
        <v>0.5</v>
      </c>
      <c r="I85" s="49">
        <f>AVERAGE('02.08 Kigumba-Karuma-24h'!I85,'03.08 Kigumba-Karuma-24h'!I85)</f>
        <v>0.5</v>
      </c>
      <c r="J85" s="49">
        <f>AVERAGE('02.08 Kigumba-Karuma-24h'!J85,'03.08 Kigumba-Karuma-24h'!J85)</f>
        <v>0</v>
      </c>
      <c r="K85" s="49">
        <f>AVERAGE('02.08 Kigumba-Karuma-24h'!K85,'03.08 Kigumba-Karuma-24h'!K85)</f>
        <v>0</v>
      </c>
      <c r="L85" s="49">
        <f>AVERAGE('02.08 Kigumba-Karuma-24h'!L85,'03.08 Kigumba-Karuma-24h'!L85)</f>
        <v>0</v>
      </c>
      <c r="M85" s="49">
        <f>AVERAGE('02.08 Kigumba-Karuma-24h'!M85,'03.08 Kigumba-Karuma-24h'!M85)</f>
        <v>1</v>
      </c>
      <c r="N85" s="49">
        <f>AVERAGE('02.08 Kigumba-Karuma-24h'!N85,'03.08 Kigumba-Karuma-24h'!N85)</f>
        <v>0</v>
      </c>
      <c r="O85" s="15">
        <f t="shared" si="35"/>
        <v>3</v>
      </c>
      <c r="P85" s="15">
        <f t="shared" si="36"/>
        <v>4</v>
      </c>
      <c r="R85" s="8"/>
      <c r="T85"/>
    </row>
    <row r="86" spans="2:20" ht="23.1" customHeight="1" x14ac:dyDescent="0.25">
      <c r="B86" s="24" t="s">
        <v>126</v>
      </c>
      <c r="C86" s="49">
        <f>AVERAGE('02.08 Kigumba-Karuma-24h'!C86,'03.08 Kigumba-Karuma-24h'!C86)</f>
        <v>1</v>
      </c>
      <c r="D86" s="49">
        <f>AVERAGE('02.08 Kigumba-Karuma-24h'!D86,'03.08 Kigumba-Karuma-24h'!D86)</f>
        <v>0.5</v>
      </c>
      <c r="E86" s="49">
        <f>AVERAGE('02.08 Kigumba-Karuma-24h'!E86,'03.08 Kigumba-Karuma-24h'!E86)</f>
        <v>1.5</v>
      </c>
      <c r="F86" s="49">
        <f>AVERAGE('02.08 Kigumba-Karuma-24h'!F86,'03.08 Kigumba-Karuma-24h'!F86)</f>
        <v>0.5</v>
      </c>
      <c r="G86" s="49">
        <f>AVERAGE('02.08 Kigumba-Karuma-24h'!G86,'03.08 Kigumba-Karuma-24h'!G86)</f>
        <v>0</v>
      </c>
      <c r="H86" s="49">
        <f>AVERAGE('02.08 Kigumba-Karuma-24h'!H86,'03.08 Kigumba-Karuma-24h'!H86)</f>
        <v>1.5</v>
      </c>
      <c r="I86" s="49">
        <f>AVERAGE('02.08 Kigumba-Karuma-24h'!I86,'03.08 Kigumba-Karuma-24h'!I86)</f>
        <v>0.5</v>
      </c>
      <c r="J86" s="49">
        <f>AVERAGE('02.08 Kigumba-Karuma-24h'!J86,'03.08 Kigumba-Karuma-24h'!J86)</f>
        <v>0</v>
      </c>
      <c r="K86" s="49">
        <f>AVERAGE('02.08 Kigumba-Karuma-24h'!K86,'03.08 Kigumba-Karuma-24h'!K86)</f>
        <v>0</v>
      </c>
      <c r="L86" s="49">
        <f>AVERAGE('02.08 Kigumba-Karuma-24h'!L86,'03.08 Kigumba-Karuma-24h'!L86)</f>
        <v>0.5</v>
      </c>
      <c r="M86" s="49">
        <f>AVERAGE('02.08 Kigumba-Karuma-24h'!M86,'03.08 Kigumba-Karuma-24h'!M86)</f>
        <v>2.5</v>
      </c>
      <c r="N86" s="49">
        <f>AVERAGE('02.08 Kigumba-Karuma-24h'!N86,'03.08 Kigumba-Karuma-24h'!N86)</f>
        <v>0</v>
      </c>
      <c r="O86" s="15">
        <f t="shared" si="35"/>
        <v>6</v>
      </c>
      <c r="P86" s="15">
        <f t="shared" si="36"/>
        <v>8.5</v>
      </c>
      <c r="R86" s="8"/>
      <c r="T86"/>
    </row>
    <row r="87" spans="2:20" ht="23.1" customHeight="1" x14ac:dyDescent="0.25">
      <c r="B87" s="23" t="s">
        <v>127</v>
      </c>
      <c r="C87" s="49">
        <f>AVERAGE('02.08 Kigumba-Karuma-24h'!C87,'03.08 Kigumba-Karuma-24h'!C87)</f>
        <v>0.5</v>
      </c>
      <c r="D87" s="49">
        <f>AVERAGE('02.08 Kigumba-Karuma-24h'!D87,'03.08 Kigumba-Karuma-24h'!D87)</f>
        <v>1</v>
      </c>
      <c r="E87" s="49">
        <f>AVERAGE('02.08 Kigumba-Karuma-24h'!E87,'03.08 Kigumba-Karuma-24h'!E87)</f>
        <v>1.5</v>
      </c>
      <c r="F87" s="49">
        <f>AVERAGE('02.08 Kigumba-Karuma-24h'!F87,'03.08 Kigumba-Karuma-24h'!F87)</f>
        <v>0</v>
      </c>
      <c r="G87" s="49">
        <f>AVERAGE('02.08 Kigumba-Karuma-24h'!G87,'03.08 Kigumba-Karuma-24h'!G87)</f>
        <v>0</v>
      </c>
      <c r="H87" s="49">
        <f>AVERAGE('02.08 Kigumba-Karuma-24h'!H87,'03.08 Kigumba-Karuma-24h'!H87)</f>
        <v>0.5</v>
      </c>
      <c r="I87" s="49">
        <f>AVERAGE('02.08 Kigumba-Karuma-24h'!I87,'03.08 Kigumba-Karuma-24h'!I87)</f>
        <v>0.5</v>
      </c>
      <c r="J87" s="49">
        <f>AVERAGE('02.08 Kigumba-Karuma-24h'!J87,'03.08 Kigumba-Karuma-24h'!J87)</f>
        <v>0</v>
      </c>
      <c r="K87" s="49">
        <f>AVERAGE('02.08 Kigumba-Karuma-24h'!K87,'03.08 Kigumba-Karuma-24h'!K87)</f>
        <v>0</v>
      </c>
      <c r="L87" s="49">
        <f>AVERAGE('02.08 Kigumba-Karuma-24h'!L87,'03.08 Kigumba-Karuma-24h'!L87)</f>
        <v>0</v>
      </c>
      <c r="M87" s="49">
        <f>AVERAGE('02.08 Kigumba-Karuma-24h'!M87,'03.08 Kigumba-Karuma-24h'!M87)</f>
        <v>2</v>
      </c>
      <c r="N87" s="49">
        <f>AVERAGE('02.08 Kigumba-Karuma-24h'!N87,'03.08 Kigumba-Karuma-24h'!N87)</f>
        <v>0</v>
      </c>
      <c r="O87" s="15">
        <f t="shared" si="35"/>
        <v>4</v>
      </c>
      <c r="P87" s="15">
        <f t="shared" si="36"/>
        <v>6</v>
      </c>
      <c r="R87" s="8"/>
      <c r="T87"/>
    </row>
    <row r="88" spans="2:20" ht="23.1" customHeight="1" x14ac:dyDescent="0.25">
      <c r="B88" s="25" t="s">
        <v>128</v>
      </c>
      <c r="C88" s="49">
        <f>AVERAGE('02.08 Kigumba-Karuma-24h'!C88,'03.08 Kigumba-Karuma-24h'!C88)</f>
        <v>1</v>
      </c>
      <c r="D88" s="49">
        <f>AVERAGE('02.08 Kigumba-Karuma-24h'!D88,'03.08 Kigumba-Karuma-24h'!D88)</f>
        <v>0.5</v>
      </c>
      <c r="E88" s="49">
        <f>AVERAGE('02.08 Kigumba-Karuma-24h'!E88,'03.08 Kigumba-Karuma-24h'!E88)</f>
        <v>1.5</v>
      </c>
      <c r="F88" s="49">
        <f>AVERAGE('02.08 Kigumba-Karuma-24h'!F88,'03.08 Kigumba-Karuma-24h'!F88)</f>
        <v>0.5</v>
      </c>
      <c r="G88" s="49">
        <f>AVERAGE('02.08 Kigumba-Karuma-24h'!G88,'03.08 Kigumba-Karuma-24h'!G88)</f>
        <v>0</v>
      </c>
      <c r="H88" s="49">
        <f>AVERAGE('02.08 Kigumba-Karuma-24h'!H88,'03.08 Kigumba-Karuma-24h'!H88)</f>
        <v>0.5</v>
      </c>
      <c r="I88" s="49">
        <f>AVERAGE('02.08 Kigumba-Karuma-24h'!I88,'03.08 Kigumba-Karuma-24h'!I88)</f>
        <v>0.5</v>
      </c>
      <c r="J88" s="49">
        <f>AVERAGE('02.08 Kigumba-Karuma-24h'!J88,'03.08 Kigumba-Karuma-24h'!J88)</f>
        <v>0</v>
      </c>
      <c r="K88" s="49">
        <f>AVERAGE('02.08 Kigumba-Karuma-24h'!K88,'03.08 Kigumba-Karuma-24h'!K88)</f>
        <v>0</v>
      </c>
      <c r="L88" s="49">
        <f>AVERAGE('02.08 Kigumba-Karuma-24h'!L88,'03.08 Kigumba-Karuma-24h'!L88)</f>
        <v>0</v>
      </c>
      <c r="M88" s="49">
        <f>AVERAGE('02.08 Kigumba-Karuma-24h'!M88,'03.08 Kigumba-Karuma-24h'!M88)</f>
        <v>1.5</v>
      </c>
      <c r="N88" s="49">
        <f>AVERAGE('02.08 Kigumba-Karuma-24h'!N88,'03.08 Kigumba-Karuma-24h'!N88)</f>
        <v>0</v>
      </c>
      <c r="O88" s="15">
        <f t="shared" si="35"/>
        <v>4.5</v>
      </c>
      <c r="P88" s="15">
        <f t="shared" si="36"/>
        <v>6</v>
      </c>
      <c r="R88" s="8"/>
      <c r="T88"/>
    </row>
    <row r="89" spans="2:20" ht="23.1" customHeight="1" x14ac:dyDescent="0.25">
      <c r="B89" s="23" t="s">
        <v>129</v>
      </c>
      <c r="C89" s="49">
        <f>AVERAGE('02.08 Kigumba-Karuma-24h'!C89,'03.08 Kigumba-Karuma-24h'!C89)</f>
        <v>0.5</v>
      </c>
      <c r="D89" s="49">
        <f>AVERAGE('02.08 Kigumba-Karuma-24h'!D89,'03.08 Kigumba-Karuma-24h'!D89)</f>
        <v>0.5</v>
      </c>
      <c r="E89" s="49">
        <f>AVERAGE('02.08 Kigumba-Karuma-24h'!E89,'03.08 Kigumba-Karuma-24h'!E89)</f>
        <v>1.5</v>
      </c>
      <c r="F89" s="49">
        <f>AVERAGE('02.08 Kigumba-Karuma-24h'!F89,'03.08 Kigumba-Karuma-24h'!F89)</f>
        <v>0.5</v>
      </c>
      <c r="G89" s="49">
        <f>AVERAGE('02.08 Kigumba-Karuma-24h'!G89,'03.08 Kigumba-Karuma-24h'!G89)</f>
        <v>0</v>
      </c>
      <c r="H89" s="49">
        <f>AVERAGE('02.08 Kigumba-Karuma-24h'!H89,'03.08 Kigumba-Karuma-24h'!H89)</f>
        <v>0</v>
      </c>
      <c r="I89" s="49">
        <f>AVERAGE('02.08 Kigumba-Karuma-24h'!I89,'03.08 Kigumba-Karuma-24h'!I89)</f>
        <v>0.5</v>
      </c>
      <c r="J89" s="49">
        <f>AVERAGE('02.08 Kigumba-Karuma-24h'!J89,'03.08 Kigumba-Karuma-24h'!J89)</f>
        <v>0</v>
      </c>
      <c r="K89" s="49">
        <f>AVERAGE('02.08 Kigumba-Karuma-24h'!K89,'03.08 Kigumba-Karuma-24h'!K89)</f>
        <v>0</v>
      </c>
      <c r="L89" s="49">
        <f>AVERAGE('02.08 Kigumba-Karuma-24h'!L89,'03.08 Kigumba-Karuma-24h'!L89)</f>
        <v>0.5</v>
      </c>
      <c r="M89" s="49">
        <f>AVERAGE('02.08 Kigumba-Karuma-24h'!M89,'03.08 Kigumba-Karuma-24h'!M89)</f>
        <v>1.5</v>
      </c>
      <c r="N89" s="49">
        <f>AVERAGE('02.08 Kigumba-Karuma-24h'!N89,'03.08 Kigumba-Karuma-24h'!N89)</f>
        <v>0</v>
      </c>
      <c r="O89" s="15">
        <f t="shared" si="35"/>
        <v>4</v>
      </c>
      <c r="P89" s="15">
        <f t="shared" si="36"/>
        <v>5.5</v>
      </c>
      <c r="R89" s="8"/>
      <c r="T89"/>
    </row>
    <row r="90" spans="2:20" ht="23.1" customHeight="1" x14ac:dyDescent="0.25">
      <c r="B90" s="24" t="s">
        <v>130</v>
      </c>
      <c r="C90" s="49">
        <f>AVERAGE('02.08 Kigumba-Karuma-24h'!C90,'03.08 Kigumba-Karuma-24h'!C90)</f>
        <v>0.5</v>
      </c>
      <c r="D90" s="49">
        <f>AVERAGE('02.08 Kigumba-Karuma-24h'!D90,'03.08 Kigumba-Karuma-24h'!D90)</f>
        <v>0.5</v>
      </c>
      <c r="E90" s="49">
        <f>AVERAGE('02.08 Kigumba-Karuma-24h'!E90,'03.08 Kigumba-Karuma-24h'!E90)</f>
        <v>1</v>
      </c>
      <c r="F90" s="49">
        <f>AVERAGE('02.08 Kigumba-Karuma-24h'!F90,'03.08 Kigumba-Karuma-24h'!F90)</f>
        <v>0.5</v>
      </c>
      <c r="G90" s="49">
        <f>AVERAGE('02.08 Kigumba-Karuma-24h'!G90,'03.08 Kigumba-Karuma-24h'!G90)</f>
        <v>0</v>
      </c>
      <c r="H90" s="49">
        <f>AVERAGE('02.08 Kigumba-Karuma-24h'!H90,'03.08 Kigumba-Karuma-24h'!H90)</f>
        <v>0.5</v>
      </c>
      <c r="I90" s="49">
        <f>AVERAGE('02.08 Kigumba-Karuma-24h'!I90,'03.08 Kigumba-Karuma-24h'!I90)</f>
        <v>0.5</v>
      </c>
      <c r="J90" s="49">
        <f>AVERAGE('02.08 Kigumba-Karuma-24h'!J90,'03.08 Kigumba-Karuma-24h'!J90)</f>
        <v>0</v>
      </c>
      <c r="K90" s="49">
        <f>AVERAGE('02.08 Kigumba-Karuma-24h'!K90,'03.08 Kigumba-Karuma-24h'!K90)</f>
        <v>0</v>
      </c>
      <c r="L90" s="49">
        <f>AVERAGE('02.08 Kigumba-Karuma-24h'!L90,'03.08 Kigumba-Karuma-24h'!L90)</f>
        <v>0</v>
      </c>
      <c r="M90" s="49">
        <f>AVERAGE('02.08 Kigumba-Karuma-24h'!M90,'03.08 Kigumba-Karuma-24h'!M90)</f>
        <v>0.5</v>
      </c>
      <c r="N90" s="49">
        <f>AVERAGE('02.08 Kigumba-Karuma-24h'!N90,'03.08 Kigumba-Karuma-24h'!N90)</f>
        <v>0</v>
      </c>
      <c r="O90" s="15">
        <f t="shared" si="35"/>
        <v>3.5</v>
      </c>
      <c r="P90" s="15">
        <f t="shared" si="36"/>
        <v>4</v>
      </c>
      <c r="R90" s="8"/>
      <c r="T90"/>
    </row>
    <row r="91" spans="2:20" ht="23.1" customHeight="1" x14ac:dyDescent="0.25">
      <c r="B91" s="23" t="s">
        <v>131</v>
      </c>
      <c r="C91" s="49">
        <f>AVERAGE('02.08 Kigumba-Karuma-24h'!C91,'03.08 Kigumba-Karuma-24h'!C91)</f>
        <v>1.5</v>
      </c>
      <c r="D91" s="49">
        <f>AVERAGE('02.08 Kigumba-Karuma-24h'!D91,'03.08 Kigumba-Karuma-24h'!D91)</f>
        <v>0.5</v>
      </c>
      <c r="E91" s="49">
        <f>AVERAGE('02.08 Kigumba-Karuma-24h'!E91,'03.08 Kigumba-Karuma-24h'!E91)</f>
        <v>2</v>
      </c>
      <c r="F91" s="49">
        <f>AVERAGE('02.08 Kigumba-Karuma-24h'!F91,'03.08 Kigumba-Karuma-24h'!F91)</f>
        <v>0.5</v>
      </c>
      <c r="G91" s="49">
        <f>AVERAGE('02.08 Kigumba-Karuma-24h'!G91,'03.08 Kigumba-Karuma-24h'!G91)</f>
        <v>0</v>
      </c>
      <c r="H91" s="49">
        <f>AVERAGE('02.08 Kigumba-Karuma-24h'!H91,'03.08 Kigumba-Karuma-24h'!H91)</f>
        <v>0.5</v>
      </c>
      <c r="I91" s="49">
        <f>AVERAGE('02.08 Kigumba-Karuma-24h'!I91,'03.08 Kigumba-Karuma-24h'!I91)</f>
        <v>0</v>
      </c>
      <c r="J91" s="49">
        <f>AVERAGE('02.08 Kigumba-Karuma-24h'!J91,'03.08 Kigumba-Karuma-24h'!J91)</f>
        <v>0</v>
      </c>
      <c r="K91" s="49">
        <f>AVERAGE('02.08 Kigumba-Karuma-24h'!K91,'03.08 Kigumba-Karuma-24h'!K91)</f>
        <v>0</v>
      </c>
      <c r="L91" s="49">
        <f>AVERAGE('02.08 Kigumba-Karuma-24h'!L91,'03.08 Kigumba-Karuma-24h'!L91)</f>
        <v>0.5</v>
      </c>
      <c r="M91" s="49">
        <f>AVERAGE('02.08 Kigumba-Karuma-24h'!M91,'03.08 Kigumba-Karuma-24h'!M91)</f>
        <v>2</v>
      </c>
      <c r="N91" s="49">
        <f>AVERAGE('02.08 Kigumba-Karuma-24h'!N91,'03.08 Kigumba-Karuma-24h'!N91)</f>
        <v>0</v>
      </c>
      <c r="O91" s="15">
        <f t="shared" si="35"/>
        <v>5.5</v>
      </c>
      <c r="P91" s="15">
        <f t="shared" si="36"/>
        <v>7.5</v>
      </c>
      <c r="R91" s="8"/>
      <c r="T91"/>
    </row>
    <row r="92" spans="2:20" ht="23.1" customHeight="1" x14ac:dyDescent="0.25">
      <c r="B92" s="25" t="s">
        <v>132</v>
      </c>
      <c r="C92" s="49">
        <f>AVERAGE('02.08 Kigumba-Karuma-24h'!C92,'03.08 Kigumba-Karuma-24h'!C92)</f>
        <v>0.5</v>
      </c>
      <c r="D92" s="49">
        <f>AVERAGE('02.08 Kigumba-Karuma-24h'!D92,'03.08 Kigumba-Karuma-24h'!D92)</f>
        <v>0.5</v>
      </c>
      <c r="E92" s="49">
        <f>AVERAGE('02.08 Kigumba-Karuma-24h'!E92,'03.08 Kigumba-Karuma-24h'!E92)</f>
        <v>1.5</v>
      </c>
      <c r="F92" s="49">
        <f>AVERAGE('02.08 Kigumba-Karuma-24h'!F92,'03.08 Kigumba-Karuma-24h'!F92)</f>
        <v>0.5</v>
      </c>
      <c r="G92" s="49">
        <f>AVERAGE('02.08 Kigumba-Karuma-24h'!G92,'03.08 Kigumba-Karuma-24h'!G92)</f>
        <v>0</v>
      </c>
      <c r="H92" s="49">
        <f>AVERAGE('02.08 Kigumba-Karuma-24h'!H92,'03.08 Kigumba-Karuma-24h'!H92)</f>
        <v>2.5</v>
      </c>
      <c r="I92" s="49">
        <f>AVERAGE('02.08 Kigumba-Karuma-24h'!I92,'03.08 Kigumba-Karuma-24h'!I92)</f>
        <v>1</v>
      </c>
      <c r="J92" s="49">
        <f>AVERAGE('02.08 Kigumba-Karuma-24h'!J92,'03.08 Kigumba-Karuma-24h'!J92)</f>
        <v>0</v>
      </c>
      <c r="K92" s="49">
        <f>AVERAGE('02.08 Kigumba-Karuma-24h'!K92,'03.08 Kigumba-Karuma-24h'!K92)</f>
        <v>0</v>
      </c>
      <c r="L92" s="49">
        <f>AVERAGE('02.08 Kigumba-Karuma-24h'!L92,'03.08 Kigumba-Karuma-24h'!L92)</f>
        <v>1</v>
      </c>
      <c r="M92" s="49">
        <f>AVERAGE('02.08 Kigumba-Karuma-24h'!M92,'03.08 Kigumba-Karuma-24h'!M92)</f>
        <v>3</v>
      </c>
      <c r="N92" s="49">
        <f>AVERAGE('02.08 Kigumba-Karuma-24h'!N92,'03.08 Kigumba-Karuma-24h'!N92)</f>
        <v>0</v>
      </c>
      <c r="O92" s="15">
        <f t="shared" si="35"/>
        <v>7.5</v>
      </c>
      <c r="P92" s="15">
        <f t="shared" si="36"/>
        <v>10.5</v>
      </c>
      <c r="R92" s="8"/>
      <c r="T92"/>
    </row>
    <row r="93" spans="2:20" ht="23.1" customHeight="1" x14ac:dyDescent="0.25">
      <c r="B93" s="23" t="s">
        <v>133</v>
      </c>
      <c r="C93" s="49">
        <f>AVERAGE('02.08 Kigumba-Karuma-24h'!C93,'03.08 Kigumba-Karuma-24h'!C93)</f>
        <v>1</v>
      </c>
      <c r="D93" s="49">
        <f>AVERAGE('02.08 Kigumba-Karuma-24h'!D93,'03.08 Kigumba-Karuma-24h'!D93)</f>
        <v>0.5</v>
      </c>
      <c r="E93" s="49">
        <f>AVERAGE('02.08 Kigumba-Karuma-24h'!E93,'03.08 Kigumba-Karuma-24h'!E93)</f>
        <v>1.5</v>
      </c>
      <c r="F93" s="49">
        <f>AVERAGE('02.08 Kigumba-Karuma-24h'!F93,'03.08 Kigumba-Karuma-24h'!F93)</f>
        <v>0.5</v>
      </c>
      <c r="G93" s="49">
        <f>AVERAGE('02.08 Kigumba-Karuma-24h'!G93,'03.08 Kigumba-Karuma-24h'!G93)</f>
        <v>0</v>
      </c>
      <c r="H93" s="49">
        <f>AVERAGE('02.08 Kigumba-Karuma-24h'!H93,'03.08 Kigumba-Karuma-24h'!H93)</f>
        <v>1</v>
      </c>
      <c r="I93" s="49">
        <f>AVERAGE('02.08 Kigumba-Karuma-24h'!I93,'03.08 Kigumba-Karuma-24h'!I93)</f>
        <v>0.5</v>
      </c>
      <c r="J93" s="49">
        <f>AVERAGE('02.08 Kigumba-Karuma-24h'!J93,'03.08 Kigumba-Karuma-24h'!J93)</f>
        <v>0</v>
      </c>
      <c r="K93" s="49">
        <f>AVERAGE('02.08 Kigumba-Karuma-24h'!K93,'03.08 Kigumba-Karuma-24h'!K93)</f>
        <v>0</v>
      </c>
      <c r="L93" s="49">
        <f>AVERAGE('02.08 Kigumba-Karuma-24h'!L93,'03.08 Kigumba-Karuma-24h'!L93)</f>
        <v>0</v>
      </c>
      <c r="M93" s="49">
        <f>AVERAGE('02.08 Kigumba-Karuma-24h'!M93,'03.08 Kigumba-Karuma-24h'!M93)</f>
        <v>2</v>
      </c>
      <c r="N93" s="49">
        <f>AVERAGE('02.08 Kigumba-Karuma-24h'!N93,'03.08 Kigumba-Karuma-24h'!N93)</f>
        <v>0</v>
      </c>
      <c r="O93" s="15">
        <f t="shared" si="35"/>
        <v>5</v>
      </c>
      <c r="P93" s="15">
        <f t="shared" si="36"/>
        <v>7</v>
      </c>
      <c r="R93" s="8"/>
      <c r="T93"/>
    </row>
    <row r="94" spans="2:20" ht="23.1" customHeight="1" x14ac:dyDescent="0.25">
      <c r="B94" s="24" t="s">
        <v>134</v>
      </c>
      <c r="C94" s="49">
        <f>AVERAGE('02.08 Kigumba-Karuma-24h'!C94,'03.08 Kigumba-Karuma-24h'!C94)</f>
        <v>1</v>
      </c>
      <c r="D94" s="49">
        <f>AVERAGE('02.08 Kigumba-Karuma-24h'!D94,'03.08 Kigumba-Karuma-24h'!D94)</f>
        <v>0.5</v>
      </c>
      <c r="E94" s="49">
        <f>AVERAGE('02.08 Kigumba-Karuma-24h'!E94,'03.08 Kigumba-Karuma-24h'!E94)</f>
        <v>1.5</v>
      </c>
      <c r="F94" s="49">
        <f>AVERAGE('02.08 Kigumba-Karuma-24h'!F94,'03.08 Kigumba-Karuma-24h'!F94)</f>
        <v>0.5</v>
      </c>
      <c r="G94" s="49">
        <f>AVERAGE('02.08 Kigumba-Karuma-24h'!G94,'03.08 Kigumba-Karuma-24h'!G94)</f>
        <v>0</v>
      </c>
      <c r="H94" s="49">
        <f>AVERAGE('02.08 Kigumba-Karuma-24h'!H94,'03.08 Kigumba-Karuma-24h'!H94)</f>
        <v>1.5</v>
      </c>
      <c r="I94" s="49">
        <f>AVERAGE('02.08 Kigumba-Karuma-24h'!I94,'03.08 Kigumba-Karuma-24h'!I94)</f>
        <v>0.5</v>
      </c>
      <c r="J94" s="49">
        <f>AVERAGE('02.08 Kigumba-Karuma-24h'!J94,'03.08 Kigumba-Karuma-24h'!J94)</f>
        <v>0</v>
      </c>
      <c r="K94" s="49">
        <f>AVERAGE('02.08 Kigumba-Karuma-24h'!K94,'03.08 Kigumba-Karuma-24h'!K94)</f>
        <v>0</v>
      </c>
      <c r="L94" s="49">
        <f>AVERAGE('02.08 Kigumba-Karuma-24h'!L94,'03.08 Kigumba-Karuma-24h'!L94)</f>
        <v>0</v>
      </c>
      <c r="M94" s="49">
        <f>AVERAGE('02.08 Kigumba-Karuma-24h'!M94,'03.08 Kigumba-Karuma-24h'!M94)</f>
        <v>2</v>
      </c>
      <c r="N94" s="49">
        <f>AVERAGE('02.08 Kigumba-Karuma-24h'!N94,'03.08 Kigumba-Karuma-24h'!N94)</f>
        <v>0</v>
      </c>
      <c r="O94" s="15">
        <f t="shared" si="35"/>
        <v>5.5</v>
      </c>
      <c r="P94" s="15">
        <f t="shared" si="36"/>
        <v>7.5</v>
      </c>
      <c r="R94" s="8"/>
      <c r="T94"/>
    </row>
    <row r="95" spans="2:20" ht="23.1" customHeight="1" x14ac:dyDescent="0.25">
      <c r="B95" s="23" t="s">
        <v>135</v>
      </c>
      <c r="C95" s="49">
        <f>AVERAGE('02.08 Kigumba-Karuma-24h'!C95,'03.08 Kigumba-Karuma-24h'!C95)</f>
        <v>1</v>
      </c>
      <c r="D95" s="49">
        <f>AVERAGE('02.08 Kigumba-Karuma-24h'!D95,'03.08 Kigumba-Karuma-24h'!D95)</f>
        <v>0.5</v>
      </c>
      <c r="E95" s="49">
        <f>AVERAGE('02.08 Kigumba-Karuma-24h'!E95,'03.08 Kigumba-Karuma-24h'!E95)</f>
        <v>1</v>
      </c>
      <c r="F95" s="49">
        <f>AVERAGE('02.08 Kigumba-Karuma-24h'!F95,'03.08 Kigumba-Karuma-24h'!F95)</f>
        <v>1</v>
      </c>
      <c r="G95" s="49">
        <f>AVERAGE('02.08 Kigumba-Karuma-24h'!G95,'03.08 Kigumba-Karuma-24h'!G95)</f>
        <v>0</v>
      </c>
      <c r="H95" s="49">
        <f>AVERAGE('02.08 Kigumba-Karuma-24h'!H95,'03.08 Kigumba-Karuma-24h'!H95)</f>
        <v>1.5</v>
      </c>
      <c r="I95" s="49">
        <f>AVERAGE('02.08 Kigumba-Karuma-24h'!I95,'03.08 Kigumba-Karuma-24h'!I95)</f>
        <v>0.5</v>
      </c>
      <c r="J95" s="49">
        <f>AVERAGE('02.08 Kigumba-Karuma-24h'!J95,'03.08 Kigumba-Karuma-24h'!J95)</f>
        <v>0</v>
      </c>
      <c r="K95" s="49">
        <f>AVERAGE('02.08 Kigumba-Karuma-24h'!K95,'03.08 Kigumba-Karuma-24h'!K95)</f>
        <v>0</v>
      </c>
      <c r="L95" s="49">
        <f>AVERAGE('02.08 Kigumba-Karuma-24h'!L95,'03.08 Kigumba-Karuma-24h'!L95)</f>
        <v>0.5</v>
      </c>
      <c r="M95" s="49">
        <f>AVERAGE('02.08 Kigumba-Karuma-24h'!M95,'03.08 Kigumba-Karuma-24h'!M95)</f>
        <v>1.5</v>
      </c>
      <c r="N95" s="49">
        <f>AVERAGE('02.08 Kigumba-Karuma-24h'!N95,'03.08 Kigumba-Karuma-24h'!N95)</f>
        <v>0</v>
      </c>
      <c r="O95" s="15">
        <f t="shared" si="35"/>
        <v>6</v>
      </c>
      <c r="P95" s="15">
        <f t="shared" si="36"/>
        <v>7.5</v>
      </c>
      <c r="R95" s="8"/>
      <c r="T95"/>
    </row>
    <row r="96" spans="2:20" ht="23.1" customHeight="1" x14ac:dyDescent="0.25">
      <c r="B96" s="25" t="s">
        <v>136</v>
      </c>
      <c r="C96" s="49">
        <f>AVERAGE('02.08 Kigumba-Karuma-24h'!C96,'03.08 Kigumba-Karuma-24h'!C96)</f>
        <v>1.5</v>
      </c>
      <c r="D96" s="49">
        <f>AVERAGE('02.08 Kigumba-Karuma-24h'!D96,'03.08 Kigumba-Karuma-24h'!D96)</f>
        <v>1</v>
      </c>
      <c r="E96" s="49">
        <f>AVERAGE('02.08 Kigumba-Karuma-24h'!E96,'03.08 Kigumba-Karuma-24h'!E96)</f>
        <v>2.5</v>
      </c>
      <c r="F96" s="49">
        <f>AVERAGE('02.08 Kigumba-Karuma-24h'!F96,'03.08 Kigumba-Karuma-24h'!F96)</f>
        <v>0.5</v>
      </c>
      <c r="G96" s="49">
        <f>AVERAGE('02.08 Kigumba-Karuma-24h'!G96,'03.08 Kigumba-Karuma-24h'!G96)</f>
        <v>0</v>
      </c>
      <c r="H96" s="49">
        <f>AVERAGE('02.08 Kigumba-Karuma-24h'!H96,'03.08 Kigumba-Karuma-24h'!H96)</f>
        <v>1.5</v>
      </c>
      <c r="I96" s="49">
        <f>AVERAGE('02.08 Kigumba-Karuma-24h'!I96,'03.08 Kigumba-Karuma-24h'!I96)</f>
        <v>1</v>
      </c>
      <c r="J96" s="49">
        <f>AVERAGE('02.08 Kigumba-Karuma-24h'!J96,'03.08 Kigumba-Karuma-24h'!J96)</f>
        <v>0</v>
      </c>
      <c r="K96" s="49">
        <f>AVERAGE('02.08 Kigumba-Karuma-24h'!K96,'03.08 Kigumba-Karuma-24h'!K96)</f>
        <v>0</v>
      </c>
      <c r="L96" s="49">
        <f>AVERAGE('02.08 Kigumba-Karuma-24h'!L96,'03.08 Kigumba-Karuma-24h'!L96)</f>
        <v>1</v>
      </c>
      <c r="M96" s="49">
        <f>AVERAGE('02.08 Kigumba-Karuma-24h'!M96,'03.08 Kigumba-Karuma-24h'!M96)</f>
        <v>2.5</v>
      </c>
      <c r="N96" s="49">
        <f>AVERAGE('02.08 Kigumba-Karuma-24h'!N96,'03.08 Kigumba-Karuma-24h'!N96)</f>
        <v>0</v>
      </c>
      <c r="O96" s="15">
        <f t="shared" si="35"/>
        <v>9</v>
      </c>
      <c r="P96" s="15">
        <f t="shared" si="36"/>
        <v>11.5</v>
      </c>
      <c r="R96" s="8"/>
      <c r="T96"/>
    </row>
    <row r="97" spans="2:20" ht="23.1" customHeight="1" x14ac:dyDescent="0.25">
      <c r="B97" s="23" t="s">
        <v>137</v>
      </c>
      <c r="C97" s="49">
        <f>AVERAGE('02.08 Kigumba-Karuma-24h'!C97,'03.08 Kigumba-Karuma-24h'!C97)</f>
        <v>0.5</v>
      </c>
      <c r="D97" s="49">
        <f>AVERAGE('02.08 Kigumba-Karuma-24h'!D97,'03.08 Kigumba-Karuma-24h'!D97)</f>
        <v>1</v>
      </c>
      <c r="E97" s="49">
        <f>AVERAGE('02.08 Kigumba-Karuma-24h'!E97,'03.08 Kigumba-Karuma-24h'!E97)</f>
        <v>1</v>
      </c>
      <c r="F97" s="49">
        <f>AVERAGE('02.08 Kigumba-Karuma-24h'!F97,'03.08 Kigumba-Karuma-24h'!F97)</f>
        <v>0.5</v>
      </c>
      <c r="G97" s="49">
        <f>AVERAGE('02.08 Kigumba-Karuma-24h'!G97,'03.08 Kigumba-Karuma-24h'!G97)</f>
        <v>0</v>
      </c>
      <c r="H97" s="49">
        <f>AVERAGE('02.08 Kigumba-Karuma-24h'!H97,'03.08 Kigumba-Karuma-24h'!H97)</f>
        <v>0.5</v>
      </c>
      <c r="I97" s="49">
        <f>AVERAGE('02.08 Kigumba-Karuma-24h'!I97,'03.08 Kigumba-Karuma-24h'!I97)</f>
        <v>1</v>
      </c>
      <c r="J97" s="49">
        <f>AVERAGE('02.08 Kigumba-Karuma-24h'!J97,'03.08 Kigumba-Karuma-24h'!J97)</f>
        <v>0</v>
      </c>
      <c r="K97" s="49">
        <f>AVERAGE('02.08 Kigumba-Karuma-24h'!K97,'03.08 Kigumba-Karuma-24h'!K97)</f>
        <v>0</v>
      </c>
      <c r="L97" s="49">
        <f>AVERAGE('02.08 Kigumba-Karuma-24h'!L97,'03.08 Kigumba-Karuma-24h'!L97)</f>
        <v>0</v>
      </c>
      <c r="M97" s="49">
        <f>AVERAGE('02.08 Kigumba-Karuma-24h'!M97,'03.08 Kigumba-Karuma-24h'!M97)</f>
        <v>1</v>
      </c>
      <c r="N97" s="49">
        <f>AVERAGE('02.08 Kigumba-Karuma-24h'!N97,'03.08 Kigumba-Karuma-24h'!N97)</f>
        <v>0</v>
      </c>
      <c r="O97" s="15">
        <f t="shared" si="35"/>
        <v>4.5</v>
      </c>
      <c r="P97" s="15">
        <f t="shared" si="36"/>
        <v>5.5</v>
      </c>
      <c r="R97" s="8"/>
      <c r="T97"/>
    </row>
    <row r="98" spans="2:20" ht="23.1" customHeight="1" x14ac:dyDescent="0.25">
      <c r="B98" s="24" t="s">
        <v>138</v>
      </c>
      <c r="C98" s="49">
        <f>AVERAGE('02.08 Kigumba-Karuma-24h'!C98,'03.08 Kigumba-Karuma-24h'!C98)</f>
        <v>0.5</v>
      </c>
      <c r="D98" s="49">
        <f>AVERAGE('02.08 Kigumba-Karuma-24h'!D98,'03.08 Kigumba-Karuma-24h'!D98)</f>
        <v>0.5</v>
      </c>
      <c r="E98" s="49">
        <f>AVERAGE('02.08 Kigumba-Karuma-24h'!E98,'03.08 Kigumba-Karuma-24h'!E98)</f>
        <v>1.5</v>
      </c>
      <c r="F98" s="49">
        <f>AVERAGE('02.08 Kigumba-Karuma-24h'!F98,'03.08 Kigumba-Karuma-24h'!F98)</f>
        <v>0.5</v>
      </c>
      <c r="G98" s="49">
        <f>AVERAGE('02.08 Kigumba-Karuma-24h'!G98,'03.08 Kigumba-Karuma-24h'!G98)</f>
        <v>0</v>
      </c>
      <c r="H98" s="49">
        <f>AVERAGE('02.08 Kigumba-Karuma-24h'!H98,'03.08 Kigumba-Karuma-24h'!H98)</f>
        <v>0.5</v>
      </c>
      <c r="I98" s="49">
        <f>AVERAGE('02.08 Kigumba-Karuma-24h'!I98,'03.08 Kigumba-Karuma-24h'!I98)</f>
        <v>0.5</v>
      </c>
      <c r="J98" s="49">
        <f>AVERAGE('02.08 Kigumba-Karuma-24h'!J98,'03.08 Kigumba-Karuma-24h'!J98)</f>
        <v>0</v>
      </c>
      <c r="K98" s="49">
        <f>AVERAGE('02.08 Kigumba-Karuma-24h'!K98,'03.08 Kigumba-Karuma-24h'!K98)</f>
        <v>0</v>
      </c>
      <c r="L98" s="49">
        <f>AVERAGE('02.08 Kigumba-Karuma-24h'!L98,'03.08 Kigumba-Karuma-24h'!L98)</f>
        <v>0</v>
      </c>
      <c r="M98" s="49">
        <f>AVERAGE('02.08 Kigumba-Karuma-24h'!M98,'03.08 Kigumba-Karuma-24h'!M98)</f>
        <v>2</v>
      </c>
      <c r="N98" s="49">
        <f>AVERAGE('02.08 Kigumba-Karuma-24h'!N98,'03.08 Kigumba-Karuma-24h'!N98)</f>
        <v>0</v>
      </c>
      <c r="O98" s="15">
        <f t="shared" si="35"/>
        <v>4</v>
      </c>
      <c r="P98" s="15">
        <f t="shared" si="36"/>
        <v>6</v>
      </c>
      <c r="R98" s="8"/>
      <c r="T98"/>
    </row>
    <row r="99" spans="2:20" ht="23.1" customHeight="1" x14ac:dyDescent="0.25">
      <c r="B99" s="23" t="s">
        <v>139</v>
      </c>
      <c r="C99" s="49">
        <f>AVERAGE('02.08 Kigumba-Karuma-24h'!C99,'03.08 Kigumba-Karuma-24h'!C99)</f>
        <v>1</v>
      </c>
      <c r="D99" s="49">
        <f>AVERAGE('02.08 Kigumba-Karuma-24h'!D99,'03.08 Kigumba-Karuma-24h'!D99)</f>
        <v>0.5</v>
      </c>
      <c r="E99" s="49">
        <f>AVERAGE('02.08 Kigumba-Karuma-24h'!E99,'03.08 Kigumba-Karuma-24h'!E99)</f>
        <v>1.5</v>
      </c>
      <c r="F99" s="49">
        <f>AVERAGE('02.08 Kigumba-Karuma-24h'!F99,'03.08 Kigumba-Karuma-24h'!F99)</f>
        <v>0.5</v>
      </c>
      <c r="G99" s="49">
        <f>AVERAGE('02.08 Kigumba-Karuma-24h'!G99,'03.08 Kigumba-Karuma-24h'!G99)</f>
        <v>0</v>
      </c>
      <c r="H99" s="49">
        <f>AVERAGE('02.08 Kigumba-Karuma-24h'!H99,'03.08 Kigumba-Karuma-24h'!H99)</f>
        <v>2</v>
      </c>
      <c r="I99" s="49">
        <f>AVERAGE('02.08 Kigumba-Karuma-24h'!I99,'03.08 Kigumba-Karuma-24h'!I99)</f>
        <v>0.5</v>
      </c>
      <c r="J99" s="49">
        <f>AVERAGE('02.08 Kigumba-Karuma-24h'!J99,'03.08 Kigumba-Karuma-24h'!J99)</f>
        <v>0</v>
      </c>
      <c r="K99" s="49">
        <f>AVERAGE('02.08 Kigumba-Karuma-24h'!K99,'03.08 Kigumba-Karuma-24h'!K99)</f>
        <v>0</v>
      </c>
      <c r="L99" s="49">
        <f>AVERAGE('02.08 Kigumba-Karuma-24h'!L99,'03.08 Kigumba-Karuma-24h'!L99)</f>
        <v>0</v>
      </c>
      <c r="M99" s="49">
        <f>AVERAGE('02.08 Kigumba-Karuma-24h'!M99,'03.08 Kigumba-Karuma-24h'!M99)</f>
        <v>2</v>
      </c>
      <c r="N99" s="49">
        <f>AVERAGE('02.08 Kigumba-Karuma-24h'!N99,'03.08 Kigumba-Karuma-24h'!N99)</f>
        <v>0</v>
      </c>
      <c r="O99" s="15">
        <f t="shared" si="35"/>
        <v>6</v>
      </c>
      <c r="P99" s="15">
        <f t="shared" si="36"/>
        <v>8</v>
      </c>
      <c r="R99" s="8"/>
      <c r="T99"/>
    </row>
    <row r="100" spans="2:20" ht="23.1" customHeight="1" x14ac:dyDescent="0.25">
      <c r="B100" s="25" t="s">
        <v>140</v>
      </c>
      <c r="C100" s="49">
        <f>AVERAGE('02.08 Kigumba-Karuma-24h'!C100,'03.08 Kigumba-Karuma-24h'!C100)</f>
        <v>1.5</v>
      </c>
      <c r="D100" s="49">
        <f>AVERAGE('02.08 Kigumba-Karuma-24h'!D100,'03.08 Kigumba-Karuma-24h'!D100)</f>
        <v>1.5</v>
      </c>
      <c r="E100" s="49">
        <f>AVERAGE('02.08 Kigumba-Karuma-24h'!E100,'03.08 Kigumba-Karuma-24h'!E100)</f>
        <v>3</v>
      </c>
      <c r="F100" s="49">
        <f>AVERAGE('02.08 Kigumba-Karuma-24h'!F100,'03.08 Kigumba-Karuma-24h'!F100)</f>
        <v>1</v>
      </c>
      <c r="G100" s="49">
        <f>AVERAGE('02.08 Kigumba-Karuma-24h'!G100,'03.08 Kigumba-Karuma-24h'!G100)</f>
        <v>0</v>
      </c>
      <c r="H100" s="49">
        <f>AVERAGE('02.08 Kigumba-Karuma-24h'!H100,'03.08 Kigumba-Karuma-24h'!H100)</f>
        <v>0.5</v>
      </c>
      <c r="I100" s="49">
        <f>AVERAGE('02.08 Kigumba-Karuma-24h'!I100,'03.08 Kigumba-Karuma-24h'!I100)</f>
        <v>1</v>
      </c>
      <c r="J100" s="49">
        <f>AVERAGE('02.08 Kigumba-Karuma-24h'!J100,'03.08 Kigumba-Karuma-24h'!J100)</f>
        <v>0</v>
      </c>
      <c r="K100" s="49">
        <f>AVERAGE('02.08 Kigumba-Karuma-24h'!K100,'03.08 Kigumba-Karuma-24h'!K100)</f>
        <v>0</v>
      </c>
      <c r="L100" s="49">
        <f>AVERAGE('02.08 Kigumba-Karuma-24h'!L100,'03.08 Kigumba-Karuma-24h'!L100)</f>
        <v>0.5</v>
      </c>
      <c r="M100" s="49">
        <f>AVERAGE('02.08 Kigumba-Karuma-24h'!M100,'03.08 Kigumba-Karuma-24h'!M100)</f>
        <v>3</v>
      </c>
      <c r="N100" s="49">
        <f>AVERAGE('02.08 Kigumba-Karuma-24h'!N100,'03.08 Kigumba-Karuma-24h'!N100)</f>
        <v>0</v>
      </c>
      <c r="O100" s="15">
        <f t="shared" si="35"/>
        <v>9</v>
      </c>
      <c r="P100" s="15">
        <f t="shared" si="36"/>
        <v>12</v>
      </c>
      <c r="R100" s="8"/>
      <c r="T100"/>
    </row>
    <row r="101" spans="2:20" ht="23.1" customHeight="1" x14ac:dyDescent="0.25">
      <c r="B101" s="23" t="s">
        <v>141</v>
      </c>
      <c r="C101" s="49">
        <f>AVERAGE('02.08 Kigumba-Karuma-24h'!C101,'03.08 Kigumba-Karuma-24h'!C101)</f>
        <v>1.5</v>
      </c>
      <c r="D101" s="49">
        <f>AVERAGE('02.08 Kigumba-Karuma-24h'!D101,'03.08 Kigumba-Karuma-24h'!D101)</f>
        <v>1</v>
      </c>
      <c r="E101" s="49">
        <f>AVERAGE('02.08 Kigumba-Karuma-24h'!E101,'03.08 Kigumba-Karuma-24h'!E101)</f>
        <v>2.5</v>
      </c>
      <c r="F101" s="49">
        <f>AVERAGE('02.08 Kigumba-Karuma-24h'!F101,'03.08 Kigumba-Karuma-24h'!F101)</f>
        <v>1</v>
      </c>
      <c r="G101" s="49">
        <f>AVERAGE('02.08 Kigumba-Karuma-24h'!G101,'03.08 Kigumba-Karuma-24h'!G101)</f>
        <v>0</v>
      </c>
      <c r="H101" s="49">
        <f>AVERAGE('02.08 Kigumba-Karuma-24h'!H101,'03.08 Kigumba-Karuma-24h'!H101)</f>
        <v>0.5</v>
      </c>
      <c r="I101" s="49">
        <f>AVERAGE('02.08 Kigumba-Karuma-24h'!I101,'03.08 Kigumba-Karuma-24h'!I101)</f>
        <v>1</v>
      </c>
      <c r="J101" s="49">
        <f>AVERAGE('02.08 Kigumba-Karuma-24h'!J101,'03.08 Kigumba-Karuma-24h'!J101)</f>
        <v>0.5</v>
      </c>
      <c r="K101" s="49">
        <f>AVERAGE('02.08 Kigumba-Karuma-24h'!K101,'03.08 Kigumba-Karuma-24h'!K101)</f>
        <v>0</v>
      </c>
      <c r="L101" s="49">
        <f>AVERAGE('02.08 Kigumba-Karuma-24h'!L101,'03.08 Kigumba-Karuma-24h'!L101)</f>
        <v>1.5</v>
      </c>
      <c r="M101" s="49">
        <f>AVERAGE('02.08 Kigumba-Karuma-24h'!M101,'03.08 Kigumba-Karuma-24h'!M101)</f>
        <v>3</v>
      </c>
      <c r="N101" s="49">
        <f>AVERAGE('02.08 Kigumba-Karuma-24h'!N101,'03.08 Kigumba-Karuma-24h'!N101)</f>
        <v>0</v>
      </c>
      <c r="O101" s="15">
        <f t="shared" si="35"/>
        <v>9.5</v>
      </c>
      <c r="P101" s="15">
        <f t="shared" si="36"/>
        <v>12.5</v>
      </c>
      <c r="R101" s="8"/>
      <c r="T101"/>
    </row>
    <row r="102" spans="2:20" ht="23.1" customHeight="1" x14ac:dyDescent="0.25">
      <c r="B102" s="24" t="s">
        <v>142</v>
      </c>
      <c r="C102" s="49">
        <f>AVERAGE('02.08 Kigumba-Karuma-24h'!C102,'03.08 Kigumba-Karuma-24h'!C102)</f>
        <v>0.5</v>
      </c>
      <c r="D102" s="49">
        <f>AVERAGE('02.08 Kigumba-Karuma-24h'!D102,'03.08 Kigumba-Karuma-24h'!D102)</f>
        <v>1.5</v>
      </c>
      <c r="E102" s="49">
        <f>AVERAGE('02.08 Kigumba-Karuma-24h'!E102,'03.08 Kigumba-Karuma-24h'!E102)</f>
        <v>2.5</v>
      </c>
      <c r="F102" s="49">
        <f>AVERAGE('02.08 Kigumba-Karuma-24h'!F102,'03.08 Kigumba-Karuma-24h'!F102)</f>
        <v>0.5</v>
      </c>
      <c r="G102" s="49">
        <f>AVERAGE('02.08 Kigumba-Karuma-24h'!G102,'03.08 Kigumba-Karuma-24h'!G102)</f>
        <v>0</v>
      </c>
      <c r="H102" s="49">
        <f>AVERAGE('02.08 Kigumba-Karuma-24h'!H102,'03.08 Kigumba-Karuma-24h'!H102)</f>
        <v>0.5</v>
      </c>
      <c r="I102" s="49">
        <f>AVERAGE('02.08 Kigumba-Karuma-24h'!I102,'03.08 Kigumba-Karuma-24h'!I102)</f>
        <v>0.5</v>
      </c>
      <c r="J102" s="49">
        <f>AVERAGE('02.08 Kigumba-Karuma-24h'!J102,'03.08 Kigumba-Karuma-24h'!J102)</f>
        <v>0</v>
      </c>
      <c r="K102" s="49">
        <f>AVERAGE('02.08 Kigumba-Karuma-24h'!K102,'03.08 Kigumba-Karuma-24h'!K102)</f>
        <v>0</v>
      </c>
      <c r="L102" s="49">
        <f>AVERAGE('02.08 Kigumba-Karuma-24h'!L102,'03.08 Kigumba-Karuma-24h'!L102)</f>
        <v>0.5</v>
      </c>
      <c r="M102" s="49">
        <f>AVERAGE('02.08 Kigumba-Karuma-24h'!M102,'03.08 Kigumba-Karuma-24h'!M102)</f>
        <v>2</v>
      </c>
      <c r="N102" s="49">
        <f>AVERAGE('02.08 Kigumba-Karuma-24h'!N102,'03.08 Kigumba-Karuma-24h'!N102)</f>
        <v>0</v>
      </c>
      <c r="O102" s="15">
        <f t="shared" si="35"/>
        <v>6.5</v>
      </c>
      <c r="P102" s="15">
        <f t="shared" si="36"/>
        <v>8.5</v>
      </c>
      <c r="R102" s="8"/>
      <c r="T102"/>
    </row>
    <row r="103" spans="2:20" ht="23.1" customHeight="1" x14ac:dyDescent="0.25">
      <c r="B103" s="23" t="s">
        <v>143</v>
      </c>
      <c r="C103" s="49">
        <f>AVERAGE('02.08 Kigumba-Karuma-24h'!C103,'03.08 Kigumba-Karuma-24h'!C103)</f>
        <v>2</v>
      </c>
      <c r="D103" s="49">
        <f>AVERAGE('02.08 Kigumba-Karuma-24h'!D103,'03.08 Kigumba-Karuma-24h'!D103)</f>
        <v>1</v>
      </c>
      <c r="E103" s="49">
        <f>AVERAGE('02.08 Kigumba-Karuma-24h'!E103,'03.08 Kigumba-Karuma-24h'!E103)</f>
        <v>2</v>
      </c>
      <c r="F103" s="49">
        <f>AVERAGE('02.08 Kigumba-Karuma-24h'!F103,'03.08 Kigumba-Karuma-24h'!F103)</f>
        <v>0.5</v>
      </c>
      <c r="G103" s="49">
        <f>AVERAGE('02.08 Kigumba-Karuma-24h'!G103,'03.08 Kigumba-Karuma-24h'!G103)</f>
        <v>0</v>
      </c>
      <c r="H103" s="49">
        <f>AVERAGE('02.08 Kigumba-Karuma-24h'!H103,'03.08 Kigumba-Karuma-24h'!H103)</f>
        <v>1</v>
      </c>
      <c r="I103" s="49">
        <f>AVERAGE('02.08 Kigumba-Karuma-24h'!I103,'03.08 Kigumba-Karuma-24h'!I103)</f>
        <v>1</v>
      </c>
      <c r="J103" s="49">
        <f>AVERAGE('02.08 Kigumba-Karuma-24h'!J103,'03.08 Kigumba-Karuma-24h'!J103)</f>
        <v>0</v>
      </c>
      <c r="K103" s="49">
        <f>AVERAGE('02.08 Kigumba-Karuma-24h'!K103,'03.08 Kigumba-Karuma-24h'!K103)</f>
        <v>0</v>
      </c>
      <c r="L103" s="49">
        <f>AVERAGE('02.08 Kigumba-Karuma-24h'!L103,'03.08 Kigumba-Karuma-24h'!L103)</f>
        <v>0.5</v>
      </c>
      <c r="M103" s="49">
        <f>AVERAGE('02.08 Kigumba-Karuma-24h'!M103,'03.08 Kigumba-Karuma-24h'!M103)</f>
        <v>2.5</v>
      </c>
      <c r="N103" s="49">
        <f>AVERAGE('02.08 Kigumba-Karuma-24h'!N103,'03.08 Kigumba-Karuma-24h'!N103)</f>
        <v>0</v>
      </c>
      <c r="O103" s="15">
        <f t="shared" si="35"/>
        <v>8</v>
      </c>
      <c r="P103" s="15">
        <f t="shared" si="36"/>
        <v>10.5</v>
      </c>
      <c r="R103" s="8"/>
      <c r="T103"/>
    </row>
    <row r="104" spans="2:20" ht="23.1" customHeight="1" x14ac:dyDescent="0.25">
      <c r="B104" s="25" t="s">
        <v>144</v>
      </c>
      <c r="C104" s="49">
        <f>AVERAGE('02.08 Kigumba-Karuma-24h'!C104,'03.08 Kigumba-Karuma-24h'!C104)</f>
        <v>2</v>
      </c>
      <c r="D104" s="49">
        <f>AVERAGE('02.08 Kigumba-Karuma-24h'!D104,'03.08 Kigumba-Karuma-24h'!D104)</f>
        <v>1.5</v>
      </c>
      <c r="E104" s="49">
        <f>AVERAGE('02.08 Kigumba-Karuma-24h'!E104,'03.08 Kigumba-Karuma-24h'!E104)</f>
        <v>2.5</v>
      </c>
      <c r="F104" s="49">
        <f>AVERAGE('02.08 Kigumba-Karuma-24h'!F104,'03.08 Kigumba-Karuma-24h'!F104)</f>
        <v>1.5</v>
      </c>
      <c r="G104" s="49">
        <f>AVERAGE('02.08 Kigumba-Karuma-24h'!G104,'03.08 Kigumba-Karuma-24h'!G104)</f>
        <v>0</v>
      </c>
      <c r="H104" s="49">
        <f>AVERAGE('02.08 Kigumba-Karuma-24h'!H104,'03.08 Kigumba-Karuma-24h'!H104)</f>
        <v>0.5</v>
      </c>
      <c r="I104" s="49">
        <f>AVERAGE('02.08 Kigumba-Karuma-24h'!I104,'03.08 Kigumba-Karuma-24h'!I104)</f>
        <v>1</v>
      </c>
      <c r="J104" s="49">
        <f>AVERAGE('02.08 Kigumba-Karuma-24h'!J104,'03.08 Kigumba-Karuma-24h'!J104)</f>
        <v>0.5</v>
      </c>
      <c r="K104" s="49">
        <f>AVERAGE('02.08 Kigumba-Karuma-24h'!K104,'03.08 Kigumba-Karuma-24h'!K104)</f>
        <v>0</v>
      </c>
      <c r="L104" s="49">
        <f>AVERAGE('02.08 Kigumba-Karuma-24h'!L104,'03.08 Kigumba-Karuma-24h'!L104)</f>
        <v>1</v>
      </c>
      <c r="M104" s="49">
        <f>AVERAGE('02.08 Kigumba-Karuma-24h'!M104,'03.08 Kigumba-Karuma-24h'!M104)</f>
        <v>4</v>
      </c>
      <c r="N104" s="49">
        <f>AVERAGE('02.08 Kigumba-Karuma-24h'!N104,'03.08 Kigumba-Karuma-24h'!N104)</f>
        <v>0</v>
      </c>
      <c r="O104" s="15">
        <f t="shared" si="35"/>
        <v>10.5</v>
      </c>
      <c r="P104" s="15">
        <f t="shared" si="36"/>
        <v>14.5</v>
      </c>
      <c r="R104" s="8"/>
      <c r="T104"/>
    </row>
    <row r="105" spans="2:20" ht="23.1" customHeight="1" x14ac:dyDescent="0.25">
      <c r="B105" s="23" t="s">
        <v>145</v>
      </c>
      <c r="C105" s="49">
        <f>AVERAGE('02.08 Kigumba-Karuma-24h'!C105,'03.08 Kigumba-Karuma-24h'!C105)</f>
        <v>1.5</v>
      </c>
      <c r="D105" s="49">
        <f>AVERAGE('02.08 Kigumba-Karuma-24h'!D105,'03.08 Kigumba-Karuma-24h'!D105)</f>
        <v>1.5</v>
      </c>
      <c r="E105" s="49">
        <f>AVERAGE('02.08 Kigumba-Karuma-24h'!E105,'03.08 Kigumba-Karuma-24h'!E105)</f>
        <v>2.5</v>
      </c>
      <c r="F105" s="49">
        <f>AVERAGE('02.08 Kigumba-Karuma-24h'!F105,'03.08 Kigumba-Karuma-24h'!F105)</f>
        <v>1</v>
      </c>
      <c r="G105" s="49">
        <f>AVERAGE('02.08 Kigumba-Karuma-24h'!G105,'03.08 Kigumba-Karuma-24h'!G105)</f>
        <v>0</v>
      </c>
      <c r="H105" s="49">
        <f>AVERAGE('02.08 Kigumba-Karuma-24h'!H105,'03.08 Kigumba-Karuma-24h'!H105)</f>
        <v>0</v>
      </c>
      <c r="I105" s="49">
        <f>AVERAGE('02.08 Kigumba-Karuma-24h'!I105,'03.08 Kigumba-Karuma-24h'!I105)</f>
        <v>0.5</v>
      </c>
      <c r="J105" s="49">
        <f>AVERAGE('02.08 Kigumba-Karuma-24h'!J105,'03.08 Kigumba-Karuma-24h'!J105)</f>
        <v>0</v>
      </c>
      <c r="K105" s="49">
        <f>AVERAGE('02.08 Kigumba-Karuma-24h'!K105,'03.08 Kigumba-Karuma-24h'!K105)</f>
        <v>0</v>
      </c>
      <c r="L105" s="49">
        <f>AVERAGE('02.08 Kigumba-Karuma-24h'!L105,'03.08 Kigumba-Karuma-24h'!L105)</f>
        <v>1</v>
      </c>
      <c r="M105" s="49">
        <f>AVERAGE('02.08 Kigumba-Karuma-24h'!M105,'03.08 Kigumba-Karuma-24h'!M105)</f>
        <v>3.5</v>
      </c>
      <c r="N105" s="49">
        <f>AVERAGE('02.08 Kigumba-Karuma-24h'!N105,'03.08 Kigumba-Karuma-24h'!N105)</f>
        <v>0</v>
      </c>
      <c r="O105" s="15">
        <f t="shared" si="35"/>
        <v>8</v>
      </c>
      <c r="P105" s="15">
        <f t="shared" si="36"/>
        <v>11.5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146.71428571428572</v>
      </c>
      <c r="D106" s="16">
        <f t="shared" ref="D106:P106" si="37">SUM(D10:D105)</f>
        <v>128.21428571428572</v>
      </c>
      <c r="E106" s="16">
        <f t="shared" si="37"/>
        <v>240.14285714285714</v>
      </c>
      <c r="F106" s="16">
        <f t="shared" si="37"/>
        <v>114.99999999999997</v>
      </c>
      <c r="G106" s="16">
        <f t="shared" si="37"/>
        <v>3.4285714285714275</v>
      </c>
      <c r="H106" s="16">
        <f t="shared" si="37"/>
        <v>66.571428571428584</v>
      </c>
      <c r="I106" s="16">
        <f t="shared" si="37"/>
        <v>108.35714285714286</v>
      </c>
      <c r="J106" s="16">
        <f t="shared" si="37"/>
        <v>14.071428571428575</v>
      </c>
      <c r="K106" s="16">
        <f t="shared" si="37"/>
        <v>6.0000000000000009</v>
      </c>
      <c r="L106" s="16">
        <f t="shared" si="37"/>
        <v>74.357142857142861</v>
      </c>
      <c r="M106" s="16">
        <f t="shared" si="37"/>
        <v>298.71428571428567</v>
      </c>
      <c r="N106" s="16">
        <f t="shared" si="37"/>
        <v>0.2857142857142857</v>
      </c>
      <c r="O106" s="16">
        <f t="shared" si="37"/>
        <v>903.142857142857</v>
      </c>
      <c r="P106" s="16">
        <f t="shared" si="37"/>
        <v>1201.8571428571427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0.12207298228931418</v>
      </c>
      <c r="D107" s="43">
        <f t="shared" si="38"/>
        <v>0.10668013788184955</v>
      </c>
      <c r="E107" s="43">
        <f t="shared" si="38"/>
        <v>0.19980981813859505</v>
      </c>
      <c r="F107" s="43">
        <f t="shared" si="38"/>
        <v>9.5685249019374766E-2</v>
      </c>
      <c r="G107" s="43">
        <f t="shared" si="38"/>
        <v>2.8527279210745272E-3</v>
      </c>
      <c r="H107" s="43">
        <f t="shared" si="38"/>
        <v>5.5390467134197097E-2</v>
      </c>
      <c r="I107" s="43">
        <f t="shared" si="38"/>
        <v>9.0158088672292899E-2</v>
      </c>
      <c r="J107" s="43">
        <f t="shared" si="38"/>
        <v>1.1708070842743378E-2</v>
      </c>
      <c r="K107" s="43">
        <f t="shared" si="38"/>
        <v>4.9922738618804249E-3</v>
      </c>
      <c r="L107" s="43">
        <f t="shared" si="38"/>
        <v>6.1868536788303827E-2</v>
      </c>
      <c r="M107" s="43">
        <f t="shared" si="38"/>
        <v>0.2485439201236182</v>
      </c>
      <c r="N107" s="43">
        <f t="shared" si="38"/>
        <v>2.3772732675621065E-4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0.16244859221765268</v>
      </c>
      <c r="D108" s="44">
        <f t="shared" ref="D108:N108" si="39">D106/$O$106</f>
        <v>0.14196456817462833</v>
      </c>
      <c r="E108" s="44">
        <f t="shared" si="39"/>
        <v>0.26589686807972163</v>
      </c>
      <c r="F108" s="44">
        <f t="shared" si="39"/>
        <v>0.12733312242961087</v>
      </c>
      <c r="G108" s="44">
        <f t="shared" si="39"/>
        <v>3.796267004112622E-3</v>
      </c>
      <c r="H108" s="44">
        <f t="shared" si="39"/>
        <v>7.3710850996520111E-2</v>
      </c>
      <c r="I108" s="44">
        <f t="shared" si="39"/>
        <v>0.1199778551091427</v>
      </c>
      <c r="J108" s="44">
        <f t="shared" si="39"/>
        <v>1.5580512496045562E-2</v>
      </c>
      <c r="K108" s="44">
        <f t="shared" si="39"/>
        <v>6.6434672571970919E-3</v>
      </c>
      <c r="L108" s="44">
        <f t="shared" si="39"/>
        <v>8.2331540651692514E-2</v>
      </c>
      <c r="M108" s="44"/>
      <c r="N108" s="44">
        <f t="shared" si="39"/>
        <v>3.1635558367605192E-4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zoomScale="60" workbookViewId="0">
      <selection activeCell="C58" sqref="C58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5.425781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e">
        <f>#REF!</f>
        <v>#REF!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3" t="s">
        <v>163</v>
      </c>
      <c r="E5" s="74"/>
      <c r="F5" s="41" t="s">
        <v>1</v>
      </c>
      <c r="G5" s="71" t="e">
        <f>'Avg Week Kigumba-Karuma'!G5:H5</f>
        <v>#REF!</v>
      </c>
      <c r="H5" s="72"/>
      <c r="I5" s="14"/>
      <c r="J5" s="2" t="s">
        <v>5</v>
      </c>
      <c r="K5" s="71" t="e">
        <f>'Avg Week Kigumba-Karuma'!K5:L5</f>
        <v>#REF!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5" t="s">
        <v>161</v>
      </c>
      <c r="E6" s="76"/>
      <c r="F6" s="2" t="s">
        <v>2</v>
      </c>
      <c r="G6" s="75" t="s">
        <v>161</v>
      </c>
      <c r="H6" s="76"/>
      <c r="J6" s="2" t="s">
        <v>21</v>
      </c>
      <c r="K6" s="71" t="e">
        <f>'Avg Week Kigumba-Karuma'!K6:L6</f>
        <v>#REF!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Karuma-Kigumba'!C10+'Avg Week Kigumba-Karuma'!C10</f>
        <v>1.8571428571428572</v>
      </c>
      <c r="D10" s="49">
        <f>'Avg Week Karuma-Kigumba'!D10+'Avg Week Kigumba-Karuma'!D10</f>
        <v>0.71428571428571419</v>
      </c>
      <c r="E10" s="49">
        <f>'Avg Week Karuma-Kigumba'!E10+'Avg Week Kigumba-Karuma'!E10</f>
        <v>2.4285714285714284</v>
      </c>
      <c r="F10" s="49">
        <f>'Avg Week Karuma-Kigumba'!F10+'Avg Week Kigumba-Karuma'!F10</f>
        <v>1</v>
      </c>
      <c r="G10" s="49">
        <f>'Avg Week Karuma-Kigumba'!G10+'Avg Week Kigumba-Karuma'!G10</f>
        <v>0</v>
      </c>
      <c r="H10" s="49">
        <f>'Avg Week Karuma-Kigumba'!H10+'Avg Week Kigumba-Karuma'!H10</f>
        <v>0</v>
      </c>
      <c r="I10" s="49">
        <f>'Avg Week Karuma-Kigumba'!I10+'Avg Week Kigumba-Karuma'!I10</f>
        <v>3</v>
      </c>
      <c r="J10" s="49">
        <f>'Avg Week Karuma-Kigumba'!J10+'Avg Week Kigumba-Karuma'!J10</f>
        <v>0.8571428571428571</v>
      </c>
      <c r="K10" s="49">
        <f>'Avg Week Karuma-Kigumba'!K10+'Avg Week Kigumba-Karuma'!K10</f>
        <v>0.42857142857142855</v>
      </c>
      <c r="L10" s="49">
        <f>'Avg Week Karuma-Kigumba'!L10+'Avg Week Kigumba-Karuma'!L10</f>
        <v>3.7142857142857144</v>
      </c>
      <c r="M10" s="49">
        <f>'Avg Week Karuma-Kigumba'!M10+'Avg Week Kigumba-Karuma'!M10</f>
        <v>3.4285714285714288</v>
      </c>
      <c r="N10" s="49">
        <f>'Avg Week Karuma-Kigumba'!N10+'Avg Week Kigumba-Karuma'!N10</f>
        <v>0</v>
      </c>
      <c r="O10" s="15">
        <f t="shared" ref="O10:O73" si="0">SUM(C10:L10,N10)</f>
        <v>14</v>
      </c>
      <c r="P10" s="15">
        <f t="shared" ref="P10:P73" si="1">SUM(C10:N10)</f>
        <v>17.428571428571431</v>
      </c>
      <c r="R10" s="1" t="s">
        <v>6</v>
      </c>
      <c r="S10" s="17">
        <f t="shared" ref="S10:AF10" si="2">SUM(C10:C13)</f>
        <v>6.2857142857142856</v>
      </c>
      <c r="T10" s="17">
        <f t="shared" si="2"/>
        <v>4.5714285714285712</v>
      </c>
      <c r="U10" s="17">
        <f t="shared" si="2"/>
        <v>12.999999999999998</v>
      </c>
      <c r="V10" s="17">
        <f t="shared" si="2"/>
        <v>5.7142857142857144</v>
      </c>
      <c r="W10" s="17">
        <f t="shared" si="2"/>
        <v>0.14285714285714285</v>
      </c>
      <c r="X10" s="17">
        <f t="shared" si="2"/>
        <v>0</v>
      </c>
      <c r="Y10" s="17">
        <f t="shared" si="2"/>
        <v>9.7142857142857135</v>
      </c>
      <c r="Z10" s="17">
        <f t="shared" si="2"/>
        <v>2.5714285714285712</v>
      </c>
      <c r="AA10" s="17">
        <f t="shared" si="2"/>
        <v>0.71428571428571419</v>
      </c>
      <c r="AB10" s="17">
        <f t="shared" si="2"/>
        <v>11.857142857142858</v>
      </c>
      <c r="AC10" s="17">
        <f t="shared" si="2"/>
        <v>18.571428571428569</v>
      </c>
      <c r="AD10" s="17">
        <f t="shared" si="2"/>
        <v>0</v>
      </c>
      <c r="AE10" s="31">
        <f t="shared" si="2"/>
        <v>54.571428571428569</v>
      </c>
      <c r="AF10" s="31">
        <f t="shared" si="2"/>
        <v>73.142857142857139</v>
      </c>
    </row>
    <row r="11" spans="2:32" s="6" customFormat="1" ht="23.1" customHeight="1" x14ac:dyDescent="0.25">
      <c r="B11" s="23" t="s">
        <v>38</v>
      </c>
      <c r="C11" s="49">
        <f>'Avg Week Karuma-Kigumba'!C11+'Avg Week Kigumba-Karuma'!C11</f>
        <v>1.4285714285714284</v>
      </c>
      <c r="D11" s="49">
        <f>'Avg Week Karuma-Kigumba'!D11+'Avg Week Kigumba-Karuma'!D11</f>
        <v>0.8571428571428571</v>
      </c>
      <c r="E11" s="49">
        <f>'Avg Week Karuma-Kigumba'!E11+'Avg Week Kigumba-Karuma'!E11</f>
        <v>2.8571428571428568</v>
      </c>
      <c r="F11" s="49">
        <f>'Avg Week Karuma-Kigumba'!F11+'Avg Week Kigumba-Karuma'!F11</f>
        <v>1.4285714285714286</v>
      </c>
      <c r="G11" s="49">
        <f>'Avg Week Karuma-Kigumba'!G11+'Avg Week Kigumba-Karuma'!G11</f>
        <v>0.14285714285714285</v>
      </c>
      <c r="H11" s="49">
        <f>'Avg Week Karuma-Kigumba'!H11+'Avg Week Kigumba-Karuma'!H11</f>
        <v>0</v>
      </c>
      <c r="I11" s="49">
        <f>'Avg Week Karuma-Kigumba'!I11+'Avg Week Kigumba-Karuma'!I11</f>
        <v>2.2857142857142856</v>
      </c>
      <c r="J11" s="49">
        <f>'Avg Week Karuma-Kigumba'!J11+'Avg Week Kigumba-Karuma'!J11</f>
        <v>0.8571428571428571</v>
      </c>
      <c r="K11" s="49">
        <f>'Avg Week Karuma-Kigumba'!K11+'Avg Week Kigumba-Karuma'!K11</f>
        <v>0.14285714285714285</v>
      </c>
      <c r="L11" s="49">
        <f>'Avg Week Karuma-Kigumba'!L11+'Avg Week Kigumba-Karuma'!L11</f>
        <v>2.1428571428571428</v>
      </c>
      <c r="M11" s="49">
        <f>'Avg Week Karuma-Kigumba'!M11+'Avg Week Kigumba-Karuma'!M11</f>
        <v>3.1428571428571428</v>
      </c>
      <c r="N11" s="49">
        <f>'Avg Week Karuma-Kigumba'!N11+'Avg Week Kigumba-Karuma'!N11</f>
        <v>0</v>
      </c>
      <c r="O11" s="15">
        <f t="shared" si="0"/>
        <v>12.142857142857142</v>
      </c>
      <c r="P11" s="15">
        <f t="shared" si="1"/>
        <v>15.285714285714285</v>
      </c>
      <c r="R11" s="1" t="s">
        <v>7</v>
      </c>
      <c r="S11" s="17">
        <f t="shared" ref="S11:AF11" si="3">SUM(C14:C17)</f>
        <v>8.2857142857142865</v>
      </c>
      <c r="T11" s="17">
        <f t="shared" si="3"/>
        <v>9.571428571428573</v>
      </c>
      <c r="U11" s="17">
        <f t="shared" si="3"/>
        <v>20.142857142857146</v>
      </c>
      <c r="V11" s="17">
        <f t="shared" si="3"/>
        <v>8.1428571428571423</v>
      </c>
      <c r="W11" s="17">
        <f t="shared" si="3"/>
        <v>0.14285714285714285</v>
      </c>
      <c r="X11" s="17">
        <f t="shared" si="3"/>
        <v>1.4285714285714284</v>
      </c>
      <c r="Y11" s="17">
        <f t="shared" si="3"/>
        <v>9.7142857142857135</v>
      </c>
      <c r="Z11" s="17">
        <f t="shared" si="3"/>
        <v>1.8571428571428572</v>
      </c>
      <c r="AA11" s="17">
        <f t="shared" si="3"/>
        <v>0.71428571428571419</v>
      </c>
      <c r="AB11" s="17">
        <f t="shared" si="3"/>
        <v>5.8571428571428568</v>
      </c>
      <c r="AC11" s="17">
        <f t="shared" si="3"/>
        <v>23.714285714285715</v>
      </c>
      <c r="AD11" s="17">
        <f t="shared" si="3"/>
        <v>0.2857142857142857</v>
      </c>
      <c r="AE11" s="31">
        <f t="shared" si="3"/>
        <v>66.142857142857139</v>
      </c>
      <c r="AF11" s="31">
        <f t="shared" si="3"/>
        <v>89.857142857142847</v>
      </c>
    </row>
    <row r="12" spans="2:32" ht="23.1" customHeight="1" x14ac:dyDescent="0.25">
      <c r="B12" s="23" t="s">
        <v>39</v>
      </c>
      <c r="C12" s="49">
        <f>'Avg Week Karuma-Kigumba'!C12+'Avg Week Kigumba-Karuma'!C12</f>
        <v>1.4285714285714286</v>
      </c>
      <c r="D12" s="49">
        <f>'Avg Week Karuma-Kigumba'!D12+'Avg Week Kigumba-Karuma'!D12</f>
        <v>1</v>
      </c>
      <c r="E12" s="49">
        <f>'Avg Week Karuma-Kigumba'!E12+'Avg Week Kigumba-Karuma'!E12</f>
        <v>3.2857142857142856</v>
      </c>
      <c r="F12" s="49">
        <f>'Avg Week Karuma-Kigumba'!F12+'Avg Week Kigumba-Karuma'!F12</f>
        <v>1.7142857142857142</v>
      </c>
      <c r="G12" s="49">
        <f>'Avg Week Karuma-Kigumba'!G12+'Avg Week Kigumba-Karuma'!G12</f>
        <v>0</v>
      </c>
      <c r="H12" s="49">
        <f>'Avg Week Karuma-Kigumba'!H12+'Avg Week Kigumba-Karuma'!H12</f>
        <v>0</v>
      </c>
      <c r="I12" s="49">
        <f>'Avg Week Karuma-Kigumba'!I12+'Avg Week Kigumba-Karuma'!I12</f>
        <v>1.8571428571428572</v>
      </c>
      <c r="J12" s="49">
        <f>'Avg Week Karuma-Kigumba'!J12+'Avg Week Kigumba-Karuma'!J12</f>
        <v>0.2857142857142857</v>
      </c>
      <c r="K12" s="49">
        <f>'Avg Week Karuma-Kigumba'!K12+'Avg Week Kigumba-Karuma'!K12</f>
        <v>0</v>
      </c>
      <c r="L12" s="49">
        <f>'Avg Week Karuma-Kigumba'!L12+'Avg Week Kigumba-Karuma'!L12</f>
        <v>2.2857142857142856</v>
      </c>
      <c r="M12" s="49">
        <f>'Avg Week Karuma-Kigumba'!M12+'Avg Week Kigumba-Karuma'!M12</f>
        <v>5.1428571428571423</v>
      </c>
      <c r="N12" s="49">
        <f>'Avg Week Karuma-Kigumba'!N12+'Avg Week Kigumba-Karuma'!N12</f>
        <v>0</v>
      </c>
      <c r="O12" s="15">
        <f t="shared" si="0"/>
        <v>11.857142857142858</v>
      </c>
      <c r="P12" s="15">
        <f t="shared" si="1"/>
        <v>17</v>
      </c>
      <c r="R12" s="1" t="s">
        <v>8</v>
      </c>
      <c r="S12" s="17">
        <f t="shared" ref="S12:AF12" si="4">SUM(C18:C21)</f>
        <v>11.857142857142856</v>
      </c>
      <c r="T12" s="17">
        <f t="shared" si="4"/>
        <v>9.7142857142857135</v>
      </c>
      <c r="U12" s="17">
        <f t="shared" si="4"/>
        <v>20</v>
      </c>
      <c r="V12" s="17">
        <f t="shared" si="4"/>
        <v>11</v>
      </c>
      <c r="W12" s="17">
        <f t="shared" si="4"/>
        <v>0.71428571428571419</v>
      </c>
      <c r="X12" s="17">
        <f t="shared" si="4"/>
        <v>3.4285714285714284</v>
      </c>
      <c r="Y12" s="17">
        <f t="shared" si="4"/>
        <v>7.1428571428571423</v>
      </c>
      <c r="Z12" s="17">
        <f t="shared" si="4"/>
        <v>0.85714285714285698</v>
      </c>
      <c r="AA12" s="17">
        <f t="shared" si="4"/>
        <v>0.5714285714285714</v>
      </c>
      <c r="AB12" s="17">
        <f t="shared" si="4"/>
        <v>5.4285714285714288</v>
      </c>
      <c r="AC12" s="17">
        <f t="shared" si="4"/>
        <v>23.857142857142858</v>
      </c>
      <c r="AD12" s="17">
        <f t="shared" si="4"/>
        <v>0.2857142857142857</v>
      </c>
      <c r="AE12" s="31">
        <f t="shared" si="4"/>
        <v>71</v>
      </c>
      <c r="AF12" s="31">
        <f t="shared" si="4"/>
        <v>94.857142857142861</v>
      </c>
    </row>
    <row r="13" spans="2:32" ht="23.1" customHeight="1" x14ac:dyDescent="0.25">
      <c r="B13" s="23" t="s">
        <v>40</v>
      </c>
      <c r="C13" s="49">
        <f>'Avg Week Karuma-Kigumba'!C13+'Avg Week Kigumba-Karuma'!C13</f>
        <v>1.5714285714285714</v>
      </c>
      <c r="D13" s="49">
        <f>'Avg Week Karuma-Kigumba'!D13+'Avg Week Kigumba-Karuma'!D13</f>
        <v>2</v>
      </c>
      <c r="E13" s="49">
        <f>'Avg Week Karuma-Kigumba'!E13+'Avg Week Kigumba-Karuma'!E13</f>
        <v>4.4285714285714288</v>
      </c>
      <c r="F13" s="49">
        <f>'Avg Week Karuma-Kigumba'!F13+'Avg Week Kigumba-Karuma'!F13</f>
        <v>1.5714285714285714</v>
      </c>
      <c r="G13" s="49">
        <f>'Avg Week Karuma-Kigumba'!G13+'Avg Week Kigumba-Karuma'!G13</f>
        <v>0</v>
      </c>
      <c r="H13" s="49">
        <f>'Avg Week Karuma-Kigumba'!H13+'Avg Week Kigumba-Karuma'!H13</f>
        <v>0</v>
      </c>
      <c r="I13" s="49">
        <f>'Avg Week Karuma-Kigumba'!I13+'Avg Week Kigumba-Karuma'!I13</f>
        <v>2.5714285714285716</v>
      </c>
      <c r="J13" s="49">
        <f>'Avg Week Karuma-Kigumba'!J13+'Avg Week Kigumba-Karuma'!J13</f>
        <v>0.5714285714285714</v>
      </c>
      <c r="K13" s="49">
        <f>'Avg Week Karuma-Kigumba'!K13+'Avg Week Kigumba-Karuma'!K13</f>
        <v>0.14285714285714285</v>
      </c>
      <c r="L13" s="49">
        <f>'Avg Week Karuma-Kigumba'!L13+'Avg Week Kigumba-Karuma'!L13</f>
        <v>3.7142857142857144</v>
      </c>
      <c r="M13" s="49">
        <f>'Avg Week Karuma-Kigumba'!M13+'Avg Week Kigumba-Karuma'!M13</f>
        <v>6.8571428571428577</v>
      </c>
      <c r="N13" s="49">
        <f>'Avg Week Karuma-Kigumba'!N13+'Avg Week Kigumba-Karuma'!N13</f>
        <v>0</v>
      </c>
      <c r="O13" s="15">
        <f t="shared" si="0"/>
        <v>16.571428571428569</v>
      </c>
      <c r="P13" s="15">
        <f t="shared" si="1"/>
        <v>23.428571428571427</v>
      </c>
      <c r="R13" s="1" t="s">
        <v>9</v>
      </c>
      <c r="S13" s="17">
        <f t="shared" ref="S13:AF13" si="5">SUM(C22:C25)</f>
        <v>11.428571428571429</v>
      </c>
      <c r="T13" s="17">
        <f t="shared" si="5"/>
        <v>12</v>
      </c>
      <c r="U13" s="17">
        <f t="shared" si="5"/>
        <v>23.142857142857142</v>
      </c>
      <c r="V13" s="17">
        <f t="shared" si="5"/>
        <v>15.857142857142858</v>
      </c>
      <c r="W13" s="17">
        <f t="shared" si="5"/>
        <v>0.42857142857142855</v>
      </c>
      <c r="X13" s="17">
        <f t="shared" si="5"/>
        <v>5</v>
      </c>
      <c r="Y13" s="17">
        <f t="shared" si="5"/>
        <v>9.428571428571427</v>
      </c>
      <c r="Z13" s="17">
        <f t="shared" si="5"/>
        <v>1.8571428571428568</v>
      </c>
      <c r="AA13" s="17">
        <f t="shared" si="5"/>
        <v>0.42857142857142855</v>
      </c>
      <c r="AB13" s="17">
        <f t="shared" si="5"/>
        <v>4.4285714285714288</v>
      </c>
      <c r="AC13" s="17">
        <f t="shared" si="5"/>
        <v>30.142857142857139</v>
      </c>
      <c r="AD13" s="17">
        <f t="shared" si="5"/>
        <v>0.14285714285714285</v>
      </c>
      <c r="AE13" s="31">
        <f t="shared" si="5"/>
        <v>84.142857142857139</v>
      </c>
      <c r="AF13" s="31">
        <f t="shared" si="5"/>
        <v>114.28571428571428</v>
      </c>
    </row>
    <row r="14" spans="2:32" ht="23.1" customHeight="1" x14ac:dyDescent="0.25">
      <c r="B14" s="23" t="s">
        <v>41</v>
      </c>
      <c r="C14" s="49">
        <f>'Avg Week Karuma-Kigumba'!C14+'Avg Week Kigumba-Karuma'!C14</f>
        <v>1.8571428571428572</v>
      </c>
      <c r="D14" s="49">
        <f>'Avg Week Karuma-Kigumba'!D14+'Avg Week Kigumba-Karuma'!D14</f>
        <v>1.8571428571428572</v>
      </c>
      <c r="E14" s="49">
        <f>'Avg Week Karuma-Kigumba'!E14+'Avg Week Kigumba-Karuma'!E14</f>
        <v>4.2857142857142856</v>
      </c>
      <c r="F14" s="49">
        <f>'Avg Week Karuma-Kigumba'!F14+'Avg Week Kigumba-Karuma'!F14</f>
        <v>1.4285714285714286</v>
      </c>
      <c r="G14" s="49">
        <f>'Avg Week Karuma-Kigumba'!G14+'Avg Week Kigumba-Karuma'!G14</f>
        <v>0</v>
      </c>
      <c r="H14" s="49">
        <f>'Avg Week Karuma-Kigumba'!H14+'Avg Week Kigumba-Karuma'!H14</f>
        <v>0</v>
      </c>
      <c r="I14" s="49">
        <f>'Avg Week Karuma-Kigumba'!I14+'Avg Week Kigumba-Karuma'!I14</f>
        <v>2.714285714285714</v>
      </c>
      <c r="J14" s="49">
        <f>'Avg Week Karuma-Kigumba'!J14+'Avg Week Kigumba-Karuma'!J14</f>
        <v>0.42857142857142855</v>
      </c>
      <c r="K14" s="49">
        <f>'Avg Week Karuma-Kigumba'!K14+'Avg Week Kigumba-Karuma'!K14</f>
        <v>0.2857142857142857</v>
      </c>
      <c r="L14" s="49">
        <f>'Avg Week Karuma-Kigumba'!L14+'Avg Week Kigumba-Karuma'!L14</f>
        <v>2.2857142857142856</v>
      </c>
      <c r="M14" s="49">
        <f>'Avg Week Karuma-Kigumba'!M14+'Avg Week Kigumba-Karuma'!M14</f>
        <v>5.4285714285714288</v>
      </c>
      <c r="N14" s="49">
        <f>'Avg Week Karuma-Kigumba'!N14+'Avg Week Kigumba-Karuma'!N14</f>
        <v>0</v>
      </c>
      <c r="O14" s="15">
        <f t="shared" si="0"/>
        <v>15.142857142857142</v>
      </c>
      <c r="P14" s="15">
        <f t="shared" si="1"/>
        <v>20.571428571428569</v>
      </c>
      <c r="R14" s="1" t="s">
        <v>10</v>
      </c>
      <c r="S14" s="17">
        <f t="shared" ref="S14:AF14" si="6">SUM(C26:C29)</f>
        <v>14.428571428571427</v>
      </c>
      <c r="T14" s="17">
        <f t="shared" si="6"/>
        <v>12.142857142857142</v>
      </c>
      <c r="U14" s="17">
        <f t="shared" si="6"/>
        <v>25.285714285714285</v>
      </c>
      <c r="V14" s="17">
        <f t="shared" si="6"/>
        <v>11.428571428571427</v>
      </c>
      <c r="W14" s="17">
        <f t="shared" si="6"/>
        <v>0.99999999999999989</v>
      </c>
      <c r="X14" s="17">
        <f t="shared" si="6"/>
        <v>8.1428571428571423</v>
      </c>
      <c r="Y14" s="17">
        <f t="shared" si="6"/>
        <v>10</v>
      </c>
      <c r="Z14" s="17">
        <f t="shared" si="6"/>
        <v>1.9999999999999998</v>
      </c>
      <c r="AA14" s="17">
        <f t="shared" si="6"/>
        <v>0.85714285714285698</v>
      </c>
      <c r="AB14" s="17">
        <f t="shared" si="6"/>
        <v>5.8571428571428568</v>
      </c>
      <c r="AC14" s="17">
        <f t="shared" si="6"/>
        <v>28.714285714285712</v>
      </c>
      <c r="AD14" s="17">
        <f t="shared" si="6"/>
        <v>0.2857142857142857</v>
      </c>
      <c r="AE14" s="31">
        <f t="shared" si="6"/>
        <v>91.428571428571416</v>
      </c>
      <c r="AF14" s="31">
        <f t="shared" si="6"/>
        <v>120.14285714285714</v>
      </c>
    </row>
    <row r="15" spans="2:32" ht="23.1" customHeight="1" x14ac:dyDescent="0.25">
      <c r="B15" s="23" t="s">
        <v>42</v>
      </c>
      <c r="C15" s="49">
        <f>'Avg Week Karuma-Kigumba'!C15+'Avg Week Kigumba-Karuma'!C15</f>
        <v>1.7142857142857142</v>
      </c>
      <c r="D15" s="49">
        <f>'Avg Week Karuma-Kigumba'!D15+'Avg Week Kigumba-Karuma'!D15</f>
        <v>1.7142857142857144</v>
      </c>
      <c r="E15" s="49">
        <f>'Avg Week Karuma-Kigumba'!E15+'Avg Week Kigumba-Karuma'!E15</f>
        <v>4.4285714285714288</v>
      </c>
      <c r="F15" s="49">
        <f>'Avg Week Karuma-Kigumba'!F15+'Avg Week Kigumba-Karuma'!F15</f>
        <v>2.2857142857142856</v>
      </c>
      <c r="G15" s="49">
        <f>'Avg Week Karuma-Kigumba'!G15+'Avg Week Kigumba-Karuma'!G15</f>
        <v>0</v>
      </c>
      <c r="H15" s="49">
        <f>'Avg Week Karuma-Kigumba'!H15+'Avg Week Kigumba-Karuma'!H15</f>
        <v>0</v>
      </c>
      <c r="I15" s="49">
        <f>'Avg Week Karuma-Kigumba'!I15+'Avg Week Kigumba-Karuma'!I15</f>
        <v>2.714285714285714</v>
      </c>
      <c r="J15" s="49">
        <f>'Avg Week Karuma-Kigumba'!J15+'Avg Week Kigumba-Karuma'!J15</f>
        <v>0.42857142857142855</v>
      </c>
      <c r="K15" s="49">
        <f>'Avg Week Karuma-Kigumba'!K15+'Avg Week Kigumba-Karuma'!K15</f>
        <v>0.14285714285714285</v>
      </c>
      <c r="L15" s="49">
        <f>'Avg Week Karuma-Kigumba'!L15+'Avg Week Kigumba-Karuma'!L15</f>
        <v>1.5714285714285714</v>
      </c>
      <c r="M15" s="49">
        <f>'Avg Week Karuma-Kigumba'!M15+'Avg Week Kigumba-Karuma'!M15</f>
        <v>7.2857142857142856</v>
      </c>
      <c r="N15" s="49">
        <f>'Avg Week Karuma-Kigumba'!N15+'Avg Week Kigumba-Karuma'!N15</f>
        <v>0</v>
      </c>
      <c r="O15" s="15">
        <f t="shared" si="0"/>
        <v>14.999999999999998</v>
      </c>
      <c r="P15" s="15">
        <f t="shared" si="1"/>
        <v>22.285714285714285</v>
      </c>
      <c r="R15" s="1" t="s">
        <v>11</v>
      </c>
      <c r="S15" s="17">
        <f t="shared" ref="S15:AF15" si="7">SUM(C30:C33)</f>
        <v>14.857142857142858</v>
      </c>
      <c r="T15" s="17">
        <f t="shared" si="7"/>
        <v>14.428571428571427</v>
      </c>
      <c r="U15" s="17">
        <f t="shared" si="7"/>
        <v>27.428571428571431</v>
      </c>
      <c r="V15" s="17">
        <f t="shared" si="7"/>
        <v>14.142857142857142</v>
      </c>
      <c r="W15" s="17">
        <f t="shared" si="7"/>
        <v>0.71428571428571419</v>
      </c>
      <c r="X15" s="17">
        <f t="shared" si="7"/>
        <v>9.2857142857142865</v>
      </c>
      <c r="Y15" s="17">
        <f t="shared" si="7"/>
        <v>12.571428571428573</v>
      </c>
      <c r="Z15" s="17">
        <f t="shared" si="7"/>
        <v>1.1428571428571428</v>
      </c>
      <c r="AA15" s="17">
        <f t="shared" si="7"/>
        <v>0.99999999999999989</v>
      </c>
      <c r="AB15" s="17">
        <f t="shared" si="7"/>
        <v>6.7142857142857135</v>
      </c>
      <c r="AC15" s="17">
        <f t="shared" si="7"/>
        <v>25</v>
      </c>
      <c r="AD15" s="17">
        <f t="shared" si="7"/>
        <v>0</v>
      </c>
      <c r="AE15" s="31">
        <f t="shared" si="7"/>
        <v>102.28571428571428</v>
      </c>
      <c r="AF15" s="31">
        <f t="shared" si="7"/>
        <v>127.28571428571428</v>
      </c>
    </row>
    <row r="16" spans="2:32" ht="23.1" customHeight="1" x14ac:dyDescent="0.25">
      <c r="B16" s="23" t="s">
        <v>43</v>
      </c>
      <c r="C16" s="49">
        <f>'Avg Week Karuma-Kigumba'!C16+'Avg Week Kigumba-Karuma'!C16</f>
        <v>2.8571428571428572</v>
      </c>
      <c r="D16" s="49">
        <f>'Avg Week Karuma-Kigumba'!D16+'Avg Week Kigumba-Karuma'!D16</f>
        <v>2.7142857142857144</v>
      </c>
      <c r="E16" s="49">
        <f>'Avg Week Karuma-Kigumba'!E16+'Avg Week Kigumba-Karuma'!E16</f>
        <v>5.4285714285714288</v>
      </c>
      <c r="F16" s="49">
        <f>'Avg Week Karuma-Kigumba'!F16+'Avg Week Kigumba-Karuma'!F16</f>
        <v>2.5714285714285712</v>
      </c>
      <c r="G16" s="49">
        <f>'Avg Week Karuma-Kigumba'!G16+'Avg Week Kigumba-Karuma'!G16</f>
        <v>0</v>
      </c>
      <c r="H16" s="49">
        <f>'Avg Week Karuma-Kigumba'!H16+'Avg Week Kigumba-Karuma'!H16</f>
        <v>0.2857142857142857</v>
      </c>
      <c r="I16" s="49">
        <f>'Avg Week Karuma-Kigumba'!I16+'Avg Week Kigumba-Karuma'!I16</f>
        <v>2.2857142857142856</v>
      </c>
      <c r="J16" s="49">
        <f>'Avg Week Karuma-Kigumba'!J16+'Avg Week Kigumba-Karuma'!J16</f>
        <v>1</v>
      </c>
      <c r="K16" s="49">
        <f>'Avg Week Karuma-Kigumba'!K16+'Avg Week Kigumba-Karuma'!K16</f>
        <v>0.14285714285714285</v>
      </c>
      <c r="L16" s="49">
        <f>'Avg Week Karuma-Kigumba'!L16+'Avg Week Kigumba-Karuma'!L16</f>
        <v>1</v>
      </c>
      <c r="M16" s="49">
        <f>'Avg Week Karuma-Kigumba'!M16+'Avg Week Kigumba-Karuma'!M16</f>
        <v>5.5714285714285712</v>
      </c>
      <c r="N16" s="49">
        <f>'Avg Week Karuma-Kigumba'!N16+'Avg Week Kigumba-Karuma'!N16</f>
        <v>0</v>
      </c>
      <c r="O16" s="15">
        <f t="shared" si="0"/>
        <v>18.285714285714285</v>
      </c>
      <c r="P16" s="15">
        <f t="shared" si="1"/>
        <v>23.857142857142854</v>
      </c>
      <c r="R16" s="1" t="s">
        <v>12</v>
      </c>
      <c r="S16" s="17">
        <f t="shared" ref="S16:AF16" si="8">SUM(C34:C37)</f>
        <v>18.285714285714285</v>
      </c>
      <c r="T16" s="17">
        <f t="shared" si="8"/>
        <v>16.142857142857142</v>
      </c>
      <c r="U16" s="17">
        <f t="shared" si="8"/>
        <v>28.857142857142854</v>
      </c>
      <c r="V16" s="17">
        <f t="shared" si="8"/>
        <v>11.142857142857142</v>
      </c>
      <c r="W16" s="17">
        <f t="shared" si="8"/>
        <v>0.42857142857142855</v>
      </c>
      <c r="X16" s="17">
        <f t="shared" si="8"/>
        <v>8.1428571428571423</v>
      </c>
      <c r="Y16" s="17">
        <f t="shared" si="8"/>
        <v>14.285714285714285</v>
      </c>
      <c r="Z16" s="17">
        <f t="shared" si="8"/>
        <v>2</v>
      </c>
      <c r="AA16" s="17">
        <f t="shared" si="8"/>
        <v>1.8571428571428572</v>
      </c>
      <c r="AB16" s="17">
        <f t="shared" si="8"/>
        <v>6.4285714285714279</v>
      </c>
      <c r="AC16" s="17">
        <f t="shared" si="8"/>
        <v>27.571428571428569</v>
      </c>
      <c r="AD16" s="17">
        <f t="shared" si="8"/>
        <v>0</v>
      </c>
      <c r="AE16" s="31">
        <f t="shared" si="8"/>
        <v>107.57142857142857</v>
      </c>
      <c r="AF16" s="31">
        <f t="shared" si="8"/>
        <v>135.14285714285714</v>
      </c>
    </row>
    <row r="17" spans="2:32" ht="23.1" customHeight="1" x14ac:dyDescent="0.25">
      <c r="B17" s="23" t="s">
        <v>44</v>
      </c>
      <c r="C17" s="49">
        <f>'Avg Week Karuma-Kigumba'!C17+'Avg Week Kigumba-Karuma'!C17</f>
        <v>1.8571428571428572</v>
      </c>
      <c r="D17" s="49">
        <f>'Avg Week Karuma-Kigumba'!D17+'Avg Week Kigumba-Karuma'!D17</f>
        <v>3.2857142857142856</v>
      </c>
      <c r="E17" s="49">
        <f>'Avg Week Karuma-Kigumba'!E17+'Avg Week Kigumba-Karuma'!E17</f>
        <v>6</v>
      </c>
      <c r="F17" s="49">
        <f>'Avg Week Karuma-Kigumba'!F17+'Avg Week Kigumba-Karuma'!F17</f>
        <v>1.8571428571428572</v>
      </c>
      <c r="G17" s="49">
        <f>'Avg Week Karuma-Kigumba'!G17+'Avg Week Kigumba-Karuma'!G17</f>
        <v>0.14285714285714285</v>
      </c>
      <c r="H17" s="49">
        <f>'Avg Week Karuma-Kigumba'!H17+'Avg Week Kigumba-Karuma'!H17</f>
        <v>1.1428571428571428</v>
      </c>
      <c r="I17" s="49">
        <f>'Avg Week Karuma-Kigumba'!I17+'Avg Week Kigumba-Karuma'!I17</f>
        <v>2</v>
      </c>
      <c r="J17" s="49">
        <f>'Avg Week Karuma-Kigumba'!J17+'Avg Week Kigumba-Karuma'!J17</f>
        <v>0</v>
      </c>
      <c r="K17" s="49">
        <f>'Avg Week Karuma-Kigumba'!K17+'Avg Week Kigumba-Karuma'!K17</f>
        <v>0.14285714285714285</v>
      </c>
      <c r="L17" s="49">
        <f>'Avg Week Karuma-Kigumba'!L17+'Avg Week Kigumba-Karuma'!L17</f>
        <v>1</v>
      </c>
      <c r="M17" s="49">
        <f>'Avg Week Karuma-Kigumba'!M17+'Avg Week Kigumba-Karuma'!M17</f>
        <v>5.4285714285714288</v>
      </c>
      <c r="N17" s="49">
        <f>'Avg Week Karuma-Kigumba'!N17+'Avg Week Kigumba-Karuma'!N17</f>
        <v>0.2857142857142857</v>
      </c>
      <c r="O17" s="15">
        <f t="shared" si="0"/>
        <v>17.714285714285712</v>
      </c>
      <c r="P17" s="15">
        <f t="shared" si="1"/>
        <v>23.142857142857139</v>
      </c>
      <c r="R17" s="1" t="s">
        <v>13</v>
      </c>
      <c r="S17" s="17">
        <f t="shared" ref="S17:AF17" si="9">SUM(C38:C41)</f>
        <v>15.714285714285715</v>
      </c>
      <c r="T17" s="17">
        <f t="shared" si="9"/>
        <v>15.571428571428569</v>
      </c>
      <c r="U17" s="17">
        <f t="shared" si="9"/>
        <v>27.428571428571427</v>
      </c>
      <c r="V17" s="17">
        <f t="shared" si="9"/>
        <v>11.857142857142858</v>
      </c>
      <c r="W17" s="17">
        <f t="shared" si="9"/>
        <v>0.42857142857142855</v>
      </c>
      <c r="X17" s="17">
        <f t="shared" si="9"/>
        <v>7.1428571428571423</v>
      </c>
      <c r="Y17" s="17">
        <f t="shared" si="9"/>
        <v>14.428571428571429</v>
      </c>
      <c r="Z17" s="17">
        <f t="shared" si="9"/>
        <v>2</v>
      </c>
      <c r="AA17" s="17">
        <f t="shared" si="9"/>
        <v>0.71428571428571419</v>
      </c>
      <c r="AB17" s="17">
        <f t="shared" si="9"/>
        <v>8.1428571428571423</v>
      </c>
      <c r="AC17" s="17">
        <f t="shared" si="9"/>
        <v>30.571428571428569</v>
      </c>
      <c r="AD17" s="17">
        <f t="shared" si="9"/>
        <v>0</v>
      </c>
      <c r="AE17" s="31">
        <f t="shared" si="9"/>
        <v>103.42857142857142</v>
      </c>
      <c r="AF17" s="31">
        <f t="shared" si="9"/>
        <v>133.99999999999997</v>
      </c>
    </row>
    <row r="18" spans="2:32" ht="23.1" customHeight="1" x14ac:dyDescent="0.25">
      <c r="B18" s="23" t="s">
        <v>45</v>
      </c>
      <c r="C18" s="49">
        <f>'Avg Week Karuma-Kigumba'!C18+'Avg Week Kigumba-Karuma'!C18</f>
        <v>2.5714285714285712</v>
      </c>
      <c r="D18" s="49">
        <f>'Avg Week Karuma-Kigumba'!D18+'Avg Week Kigumba-Karuma'!D18</f>
        <v>2.5714285714285712</v>
      </c>
      <c r="E18" s="49">
        <f>'Avg Week Karuma-Kigumba'!E18+'Avg Week Kigumba-Karuma'!E18</f>
        <v>5.5714285714285712</v>
      </c>
      <c r="F18" s="49">
        <f>'Avg Week Karuma-Kigumba'!F18+'Avg Week Kigumba-Karuma'!F18</f>
        <v>2</v>
      </c>
      <c r="G18" s="49">
        <f>'Avg Week Karuma-Kigumba'!G18+'Avg Week Kigumba-Karuma'!G18</f>
        <v>0.2857142857142857</v>
      </c>
      <c r="H18" s="49">
        <f>'Avg Week Karuma-Kigumba'!H18+'Avg Week Kigumba-Karuma'!H18</f>
        <v>1</v>
      </c>
      <c r="I18" s="49">
        <f>'Avg Week Karuma-Kigumba'!I18+'Avg Week Kigumba-Karuma'!I18</f>
        <v>1.4285714285714286</v>
      </c>
      <c r="J18" s="49">
        <f>'Avg Week Karuma-Kigumba'!J18+'Avg Week Kigumba-Karuma'!J18</f>
        <v>0.2857142857142857</v>
      </c>
      <c r="K18" s="49">
        <f>'Avg Week Karuma-Kigumba'!K18+'Avg Week Kigumba-Karuma'!K18</f>
        <v>0</v>
      </c>
      <c r="L18" s="49">
        <f>'Avg Week Karuma-Kigumba'!L18+'Avg Week Kigumba-Karuma'!L18</f>
        <v>2.4285714285714288</v>
      </c>
      <c r="M18" s="49">
        <f>'Avg Week Karuma-Kigumba'!M18+'Avg Week Kigumba-Karuma'!M18</f>
        <v>5.7142857142857144</v>
      </c>
      <c r="N18" s="49">
        <f>'Avg Week Karuma-Kigumba'!N18+'Avg Week Kigumba-Karuma'!N18</f>
        <v>0</v>
      </c>
      <c r="O18" s="15">
        <f t="shared" si="0"/>
        <v>18.142857142857146</v>
      </c>
      <c r="P18" s="15">
        <f t="shared" si="1"/>
        <v>23.857142857142861</v>
      </c>
      <c r="R18" s="1" t="s">
        <v>14</v>
      </c>
      <c r="S18" s="17">
        <f t="shared" ref="S18:AF18" si="10">SUM(C42:C45)</f>
        <v>19.285714285714285</v>
      </c>
      <c r="T18" s="17">
        <f t="shared" si="10"/>
        <v>17.571428571428569</v>
      </c>
      <c r="U18" s="17">
        <f t="shared" si="10"/>
        <v>30</v>
      </c>
      <c r="V18" s="17">
        <f t="shared" si="10"/>
        <v>12.285714285714286</v>
      </c>
      <c r="W18" s="17">
        <f t="shared" si="10"/>
        <v>0.85714285714285698</v>
      </c>
      <c r="X18" s="17">
        <f t="shared" si="10"/>
        <v>10.428571428571429</v>
      </c>
      <c r="Y18" s="17">
        <f t="shared" si="10"/>
        <v>14.428571428571427</v>
      </c>
      <c r="Z18" s="17">
        <f t="shared" si="10"/>
        <v>2.4285714285714284</v>
      </c>
      <c r="AA18" s="17">
        <f t="shared" si="10"/>
        <v>0.85714285714285698</v>
      </c>
      <c r="AB18" s="17">
        <f t="shared" si="10"/>
        <v>7</v>
      </c>
      <c r="AC18" s="17">
        <f t="shared" si="10"/>
        <v>35.571428571428569</v>
      </c>
      <c r="AD18" s="17">
        <f t="shared" si="10"/>
        <v>0.14285714285714285</v>
      </c>
      <c r="AE18" s="31">
        <f t="shared" si="10"/>
        <v>115.28571428571428</v>
      </c>
      <c r="AF18" s="31">
        <f t="shared" si="10"/>
        <v>150.85714285714283</v>
      </c>
    </row>
    <row r="19" spans="2:32" ht="23.1" customHeight="1" x14ac:dyDescent="0.25">
      <c r="B19" s="23" t="s">
        <v>46</v>
      </c>
      <c r="C19" s="49">
        <f>'Avg Week Karuma-Kigumba'!C19+'Avg Week Kigumba-Karuma'!C19</f>
        <v>2.5714285714285716</v>
      </c>
      <c r="D19" s="49">
        <f>'Avg Week Karuma-Kigumba'!D19+'Avg Week Kigumba-Karuma'!D19</f>
        <v>2.4285714285714284</v>
      </c>
      <c r="E19" s="49">
        <f>'Avg Week Karuma-Kigumba'!E19+'Avg Week Kigumba-Karuma'!E19</f>
        <v>5</v>
      </c>
      <c r="F19" s="49">
        <f>'Avg Week Karuma-Kigumba'!F19+'Avg Week Kigumba-Karuma'!F19</f>
        <v>2.5714285714285712</v>
      </c>
      <c r="G19" s="49">
        <f>'Avg Week Karuma-Kigumba'!G19+'Avg Week Kigumba-Karuma'!G19</f>
        <v>0</v>
      </c>
      <c r="H19" s="49">
        <f>'Avg Week Karuma-Kigumba'!H19+'Avg Week Kigumba-Karuma'!H19</f>
        <v>0.2857142857142857</v>
      </c>
      <c r="I19" s="49">
        <f>'Avg Week Karuma-Kigumba'!I19+'Avg Week Kigumba-Karuma'!I19</f>
        <v>1.7142857142857142</v>
      </c>
      <c r="J19" s="49">
        <f>'Avg Week Karuma-Kigumba'!J19+'Avg Week Kigumba-Karuma'!J19</f>
        <v>0.2857142857142857</v>
      </c>
      <c r="K19" s="49">
        <f>'Avg Week Karuma-Kigumba'!K19+'Avg Week Kigumba-Karuma'!K19</f>
        <v>0.14285714285714285</v>
      </c>
      <c r="L19" s="49">
        <f>'Avg Week Karuma-Kigumba'!L19+'Avg Week Kigumba-Karuma'!L19</f>
        <v>0.5714285714285714</v>
      </c>
      <c r="M19" s="49">
        <f>'Avg Week Karuma-Kigumba'!M19+'Avg Week Kigumba-Karuma'!M19</f>
        <v>7.1428571428571423</v>
      </c>
      <c r="N19" s="49">
        <f>'Avg Week Karuma-Kigumba'!N19+'Avg Week Kigumba-Karuma'!N19</f>
        <v>0.14285714285714285</v>
      </c>
      <c r="O19" s="15">
        <f t="shared" si="0"/>
        <v>15.714285714285714</v>
      </c>
      <c r="P19" s="15">
        <f t="shared" si="1"/>
        <v>22.857142857142858</v>
      </c>
      <c r="R19" s="1" t="s">
        <v>15</v>
      </c>
      <c r="S19" s="17">
        <f t="shared" ref="S19:AF19" si="11">SUM(C46:C49)</f>
        <v>19.285714285714285</v>
      </c>
      <c r="T19" s="17">
        <f t="shared" si="11"/>
        <v>17.142857142857142</v>
      </c>
      <c r="U19" s="17">
        <f t="shared" si="11"/>
        <v>31.285714285714285</v>
      </c>
      <c r="V19" s="17">
        <f t="shared" si="11"/>
        <v>15.285714285714286</v>
      </c>
      <c r="W19" s="17">
        <f t="shared" si="11"/>
        <v>0.85714285714285698</v>
      </c>
      <c r="X19" s="17">
        <f t="shared" si="11"/>
        <v>10.142857142857142</v>
      </c>
      <c r="Y19" s="17">
        <f t="shared" si="11"/>
        <v>16.571428571428569</v>
      </c>
      <c r="Z19" s="17">
        <f t="shared" si="11"/>
        <v>2.5714285714285712</v>
      </c>
      <c r="AA19" s="17">
        <f t="shared" si="11"/>
        <v>1.9999999999999996</v>
      </c>
      <c r="AB19" s="17">
        <f t="shared" si="11"/>
        <v>11.428571428571431</v>
      </c>
      <c r="AC19" s="17">
        <f t="shared" si="11"/>
        <v>37.142857142857139</v>
      </c>
      <c r="AD19" s="17">
        <f t="shared" si="11"/>
        <v>0.14285714285714285</v>
      </c>
      <c r="AE19" s="31">
        <f t="shared" si="11"/>
        <v>126.71428571428571</v>
      </c>
      <c r="AF19" s="31">
        <f t="shared" si="11"/>
        <v>163.85714285714286</v>
      </c>
    </row>
    <row r="20" spans="2:32" ht="23.1" customHeight="1" x14ac:dyDescent="0.25">
      <c r="B20" s="23" t="s">
        <v>47</v>
      </c>
      <c r="C20" s="49">
        <f>'Avg Week Karuma-Kigumba'!C20+'Avg Week Kigumba-Karuma'!C20</f>
        <v>3.1428571428571432</v>
      </c>
      <c r="D20" s="49">
        <f>'Avg Week Karuma-Kigumba'!D20+'Avg Week Kigumba-Karuma'!D20</f>
        <v>2.5714285714285716</v>
      </c>
      <c r="E20" s="49">
        <f>'Avg Week Karuma-Kigumba'!E20+'Avg Week Kigumba-Karuma'!E20</f>
        <v>5</v>
      </c>
      <c r="F20" s="49">
        <f>'Avg Week Karuma-Kigumba'!F20+'Avg Week Kigumba-Karuma'!F20</f>
        <v>2</v>
      </c>
      <c r="G20" s="49">
        <f>'Avg Week Karuma-Kigumba'!G20+'Avg Week Kigumba-Karuma'!G20</f>
        <v>0.14285714285714285</v>
      </c>
      <c r="H20" s="49">
        <f>'Avg Week Karuma-Kigumba'!H20+'Avg Week Kigumba-Karuma'!H20</f>
        <v>0.42857142857142855</v>
      </c>
      <c r="I20" s="49">
        <f>'Avg Week Karuma-Kigumba'!I20+'Avg Week Kigumba-Karuma'!I20</f>
        <v>2</v>
      </c>
      <c r="J20" s="49">
        <f>'Avg Week Karuma-Kigumba'!J20+'Avg Week Kigumba-Karuma'!J20</f>
        <v>0.14285714285714285</v>
      </c>
      <c r="K20" s="49">
        <f>'Avg Week Karuma-Kigumba'!K20+'Avg Week Kigumba-Karuma'!K20</f>
        <v>0.14285714285714285</v>
      </c>
      <c r="L20" s="49">
        <f>'Avg Week Karuma-Kigumba'!L20+'Avg Week Kigumba-Karuma'!L20</f>
        <v>1.8571428571428572</v>
      </c>
      <c r="M20" s="49">
        <f>'Avg Week Karuma-Kigumba'!M20+'Avg Week Kigumba-Karuma'!M20</f>
        <v>5.2857142857142856</v>
      </c>
      <c r="N20" s="49">
        <f>'Avg Week Karuma-Kigumba'!N20+'Avg Week Kigumba-Karuma'!N20</f>
        <v>0</v>
      </c>
      <c r="O20" s="15">
        <f t="shared" si="0"/>
        <v>17.428571428571427</v>
      </c>
      <c r="P20" s="15">
        <f t="shared" si="1"/>
        <v>22.714285714285712</v>
      </c>
      <c r="R20" s="1" t="s">
        <v>16</v>
      </c>
      <c r="S20" s="17">
        <f t="shared" ref="S20:AF20" si="12">SUM(C50:C53)</f>
        <v>14.714285714285714</v>
      </c>
      <c r="T20" s="17">
        <f t="shared" si="12"/>
        <v>15.857142857142856</v>
      </c>
      <c r="U20" s="17">
        <f t="shared" si="12"/>
        <v>28</v>
      </c>
      <c r="V20" s="17">
        <f t="shared" si="12"/>
        <v>14.142857142857144</v>
      </c>
      <c r="W20" s="17">
        <f t="shared" si="12"/>
        <v>0.2857142857142857</v>
      </c>
      <c r="X20" s="17">
        <f t="shared" si="12"/>
        <v>10.142857142857142</v>
      </c>
      <c r="Y20" s="17">
        <f t="shared" si="12"/>
        <v>17.142857142857142</v>
      </c>
      <c r="Z20" s="17">
        <f t="shared" si="12"/>
        <v>3.7142857142857144</v>
      </c>
      <c r="AA20" s="17">
        <f t="shared" si="12"/>
        <v>2.2857142857142856</v>
      </c>
      <c r="AB20" s="17">
        <f t="shared" si="12"/>
        <v>11.428571428571427</v>
      </c>
      <c r="AC20" s="17">
        <f t="shared" si="12"/>
        <v>38.428571428571431</v>
      </c>
      <c r="AD20" s="17">
        <f t="shared" si="12"/>
        <v>0.42857142857142855</v>
      </c>
      <c r="AE20" s="31">
        <f t="shared" si="12"/>
        <v>118.14285714285715</v>
      </c>
      <c r="AF20" s="31">
        <f t="shared" si="12"/>
        <v>156.57142857142858</v>
      </c>
    </row>
    <row r="21" spans="2:32" ht="23.1" customHeight="1" x14ac:dyDescent="0.25">
      <c r="B21" s="23" t="s">
        <v>48</v>
      </c>
      <c r="C21" s="49">
        <f>'Avg Week Karuma-Kigumba'!C21+'Avg Week Kigumba-Karuma'!C21</f>
        <v>3.5714285714285712</v>
      </c>
      <c r="D21" s="49">
        <f>'Avg Week Karuma-Kigumba'!D21+'Avg Week Kigumba-Karuma'!D21</f>
        <v>2.1428571428571428</v>
      </c>
      <c r="E21" s="49">
        <f>'Avg Week Karuma-Kigumba'!E21+'Avg Week Kigumba-Karuma'!E21</f>
        <v>4.4285714285714288</v>
      </c>
      <c r="F21" s="49">
        <f>'Avg Week Karuma-Kigumba'!F21+'Avg Week Kigumba-Karuma'!F21</f>
        <v>4.4285714285714288</v>
      </c>
      <c r="G21" s="49">
        <f>'Avg Week Karuma-Kigumba'!G21+'Avg Week Kigumba-Karuma'!G21</f>
        <v>0.2857142857142857</v>
      </c>
      <c r="H21" s="49">
        <f>'Avg Week Karuma-Kigumba'!H21+'Avg Week Kigumba-Karuma'!H21</f>
        <v>1.7142857142857142</v>
      </c>
      <c r="I21" s="49">
        <f>'Avg Week Karuma-Kigumba'!I21+'Avg Week Kigumba-Karuma'!I21</f>
        <v>2</v>
      </c>
      <c r="J21" s="49">
        <f>'Avg Week Karuma-Kigumba'!J21+'Avg Week Kigumba-Karuma'!J21</f>
        <v>0.14285714285714285</v>
      </c>
      <c r="K21" s="49">
        <f>'Avg Week Karuma-Kigumba'!K21+'Avg Week Kigumba-Karuma'!K21</f>
        <v>0.2857142857142857</v>
      </c>
      <c r="L21" s="49">
        <f>'Avg Week Karuma-Kigumba'!L21+'Avg Week Kigumba-Karuma'!L21</f>
        <v>0.5714285714285714</v>
      </c>
      <c r="M21" s="49">
        <f>'Avg Week Karuma-Kigumba'!M21+'Avg Week Kigumba-Karuma'!M21</f>
        <v>5.7142857142857144</v>
      </c>
      <c r="N21" s="49">
        <f>'Avg Week Karuma-Kigumba'!N21+'Avg Week Kigumba-Karuma'!N21</f>
        <v>0.14285714285714285</v>
      </c>
      <c r="O21" s="15">
        <f t="shared" si="0"/>
        <v>19.714285714285715</v>
      </c>
      <c r="P21" s="15">
        <f t="shared" si="1"/>
        <v>25.428571428571431</v>
      </c>
      <c r="R21" s="36" t="s">
        <v>20</v>
      </c>
      <c r="S21" s="34">
        <f t="shared" ref="S21:AF21" si="13">SUM(C54:C57)</f>
        <v>16.285714285714285</v>
      </c>
      <c r="T21" s="17">
        <f t="shared" si="13"/>
        <v>14.142857142857144</v>
      </c>
      <c r="U21" s="17">
        <f t="shared" si="13"/>
        <v>26.857142857142854</v>
      </c>
      <c r="V21" s="17">
        <f t="shared" si="13"/>
        <v>13.857142857142856</v>
      </c>
      <c r="W21" s="17">
        <f t="shared" si="13"/>
        <v>0.2857142857142857</v>
      </c>
      <c r="X21" s="17">
        <f t="shared" si="13"/>
        <v>7.1428571428571423</v>
      </c>
      <c r="Y21" s="17">
        <f t="shared" si="13"/>
        <v>18</v>
      </c>
      <c r="Z21" s="17">
        <f t="shared" si="13"/>
        <v>3.9999999999999996</v>
      </c>
      <c r="AA21" s="17">
        <f t="shared" si="13"/>
        <v>1.5714285714285712</v>
      </c>
      <c r="AB21" s="17">
        <f t="shared" si="13"/>
        <v>14.428571428571431</v>
      </c>
      <c r="AC21" s="17">
        <f t="shared" si="13"/>
        <v>39</v>
      </c>
      <c r="AD21" s="17">
        <f t="shared" si="13"/>
        <v>0</v>
      </c>
      <c r="AE21" s="31">
        <f t="shared" si="13"/>
        <v>116.57142857142856</v>
      </c>
      <c r="AF21" s="31">
        <f t="shared" si="13"/>
        <v>155.57142857142856</v>
      </c>
    </row>
    <row r="22" spans="2:32" ht="23.1" customHeight="1" x14ac:dyDescent="0.25">
      <c r="B22" s="23" t="s">
        <v>49</v>
      </c>
      <c r="C22" s="49">
        <f>'Avg Week Karuma-Kigumba'!C22+'Avg Week Kigumba-Karuma'!C22</f>
        <v>1.7142857142857144</v>
      </c>
      <c r="D22" s="49">
        <f>'Avg Week Karuma-Kigumba'!D22+'Avg Week Kigumba-Karuma'!D22</f>
        <v>2.5714285714285712</v>
      </c>
      <c r="E22" s="49">
        <f>'Avg Week Karuma-Kigumba'!E22+'Avg Week Kigumba-Karuma'!E22</f>
        <v>5.4285714285714288</v>
      </c>
      <c r="F22" s="49">
        <f>'Avg Week Karuma-Kigumba'!F22+'Avg Week Kigumba-Karuma'!F22</f>
        <v>3.1428571428571428</v>
      </c>
      <c r="G22" s="49">
        <f>'Avg Week Karuma-Kigumba'!G22+'Avg Week Kigumba-Karuma'!G22</f>
        <v>0.14285714285714285</v>
      </c>
      <c r="H22" s="49">
        <f>'Avg Week Karuma-Kigumba'!H22+'Avg Week Kigumba-Karuma'!H22</f>
        <v>1.4285714285714286</v>
      </c>
      <c r="I22" s="49">
        <f>'Avg Week Karuma-Kigumba'!I22+'Avg Week Kigumba-Karuma'!I22</f>
        <v>1.2857142857142856</v>
      </c>
      <c r="J22" s="49">
        <f>'Avg Week Karuma-Kigumba'!J22+'Avg Week Kigumba-Karuma'!J22</f>
        <v>0.42857142857142855</v>
      </c>
      <c r="K22" s="49">
        <f>'Avg Week Karuma-Kigumba'!K22+'Avg Week Kigumba-Karuma'!K22</f>
        <v>0</v>
      </c>
      <c r="L22" s="49">
        <f>'Avg Week Karuma-Kigumba'!L22+'Avg Week Kigumba-Karuma'!L22</f>
        <v>1</v>
      </c>
      <c r="M22" s="49">
        <f>'Avg Week Karuma-Kigumba'!M22+'Avg Week Kigumba-Karuma'!M22</f>
        <v>8.1428571428571423</v>
      </c>
      <c r="N22" s="49">
        <f>'Avg Week Karuma-Kigumba'!N22+'Avg Week Kigumba-Karuma'!N22</f>
        <v>0</v>
      </c>
      <c r="O22" s="15">
        <f t="shared" si="0"/>
        <v>17.142857142857142</v>
      </c>
      <c r="P22" s="15">
        <f t="shared" si="1"/>
        <v>25.285714285714285</v>
      </c>
      <c r="R22" s="1" t="s">
        <v>146</v>
      </c>
      <c r="S22" s="34">
        <f>SUM(C58:C61)</f>
        <v>13.5</v>
      </c>
      <c r="T22" s="34">
        <f t="shared" ref="T22:AF22" si="14">SUM(D58:D61)</f>
        <v>6.5</v>
      </c>
      <c r="U22" s="34">
        <f t="shared" si="14"/>
        <v>22.5</v>
      </c>
      <c r="V22" s="34">
        <f t="shared" si="14"/>
        <v>9</v>
      </c>
      <c r="W22" s="34">
        <f t="shared" si="14"/>
        <v>0</v>
      </c>
      <c r="X22" s="34">
        <f t="shared" si="14"/>
        <v>3</v>
      </c>
      <c r="Y22" s="34">
        <f t="shared" si="14"/>
        <v>12</v>
      </c>
      <c r="Z22" s="34">
        <f t="shared" si="14"/>
        <v>3</v>
      </c>
      <c r="AA22" s="34">
        <f t="shared" si="14"/>
        <v>0</v>
      </c>
      <c r="AB22" s="34">
        <f t="shared" si="14"/>
        <v>15</v>
      </c>
      <c r="AC22" s="34">
        <f t="shared" si="14"/>
        <v>26</v>
      </c>
      <c r="AD22" s="34">
        <f t="shared" si="14"/>
        <v>0</v>
      </c>
      <c r="AE22" s="31">
        <f t="shared" si="14"/>
        <v>84.5</v>
      </c>
      <c r="AF22" s="31">
        <f t="shared" si="14"/>
        <v>110.5</v>
      </c>
    </row>
    <row r="23" spans="2:32" ht="23.1" customHeight="1" x14ac:dyDescent="0.25">
      <c r="B23" s="23" t="s">
        <v>50</v>
      </c>
      <c r="C23" s="49">
        <f>'Avg Week Karuma-Kigumba'!C23+'Avg Week Kigumba-Karuma'!C23</f>
        <v>2.1428571428571428</v>
      </c>
      <c r="D23" s="49">
        <f>'Avg Week Karuma-Kigumba'!D23+'Avg Week Kigumba-Karuma'!D23</f>
        <v>2.4285714285714288</v>
      </c>
      <c r="E23" s="49">
        <f>'Avg Week Karuma-Kigumba'!E23+'Avg Week Kigumba-Karuma'!E23</f>
        <v>4.5714285714285712</v>
      </c>
      <c r="F23" s="49">
        <f>'Avg Week Karuma-Kigumba'!F23+'Avg Week Kigumba-Karuma'!F23</f>
        <v>4.2857142857142856</v>
      </c>
      <c r="G23" s="49">
        <f>'Avg Week Karuma-Kigumba'!G23+'Avg Week Kigumba-Karuma'!G23</f>
        <v>0.14285714285714285</v>
      </c>
      <c r="H23" s="49">
        <f>'Avg Week Karuma-Kigumba'!H23+'Avg Week Kigumba-Karuma'!H23</f>
        <v>0.71428571428571419</v>
      </c>
      <c r="I23" s="49">
        <f>'Avg Week Karuma-Kigumba'!I23+'Avg Week Kigumba-Karuma'!I23</f>
        <v>3.2857142857142856</v>
      </c>
      <c r="J23" s="49">
        <f>'Avg Week Karuma-Kigumba'!J23+'Avg Week Kigumba-Karuma'!J23</f>
        <v>0.42857142857142855</v>
      </c>
      <c r="K23" s="49">
        <f>'Avg Week Karuma-Kigumba'!K23+'Avg Week Kigumba-Karuma'!K23</f>
        <v>0.14285714285714285</v>
      </c>
      <c r="L23" s="49">
        <f>'Avg Week Karuma-Kigumba'!L23+'Avg Week Kigumba-Karuma'!L23</f>
        <v>0.85714285714285721</v>
      </c>
      <c r="M23" s="49">
        <f>'Avg Week Karuma-Kigumba'!M23+'Avg Week Kigumba-Karuma'!M23</f>
        <v>6.7142857142857135</v>
      </c>
      <c r="N23" s="49">
        <f>'Avg Week Karuma-Kigumba'!N23+'Avg Week Kigumba-Karuma'!N23</f>
        <v>0</v>
      </c>
      <c r="O23" s="15">
        <f t="shared" si="0"/>
        <v>18.999999999999996</v>
      </c>
      <c r="P23" s="15">
        <f t="shared" si="1"/>
        <v>25.714285714285708</v>
      </c>
      <c r="R23" s="1" t="s">
        <v>147</v>
      </c>
      <c r="S23" s="34">
        <f>SUM(C62:C65)</f>
        <v>11</v>
      </c>
      <c r="T23" s="34">
        <f t="shared" ref="T23:AF23" si="15">SUM(D62:D65)</f>
        <v>7.5</v>
      </c>
      <c r="U23" s="34">
        <f t="shared" si="15"/>
        <v>22</v>
      </c>
      <c r="V23" s="34">
        <f t="shared" si="15"/>
        <v>9.5</v>
      </c>
      <c r="W23" s="34">
        <f t="shared" si="15"/>
        <v>0</v>
      </c>
      <c r="X23" s="34">
        <f t="shared" si="15"/>
        <v>3</v>
      </c>
      <c r="Y23" s="34">
        <f t="shared" si="15"/>
        <v>10.5</v>
      </c>
      <c r="Z23" s="34">
        <f t="shared" si="15"/>
        <v>2</v>
      </c>
      <c r="AA23" s="34">
        <f t="shared" si="15"/>
        <v>0</v>
      </c>
      <c r="AB23" s="34">
        <f t="shared" si="15"/>
        <v>7</v>
      </c>
      <c r="AC23" s="34">
        <f t="shared" si="15"/>
        <v>23.5</v>
      </c>
      <c r="AD23" s="34">
        <f t="shared" si="15"/>
        <v>0</v>
      </c>
      <c r="AE23" s="31">
        <f t="shared" si="15"/>
        <v>72.5</v>
      </c>
      <c r="AF23" s="31">
        <f t="shared" si="15"/>
        <v>96</v>
      </c>
    </row>
    <row r="24" spans="2:32" ht="23.1" customHeight="1" x14ac:dyDescent="0.25">
      <c r="B24" s="23" t="s">
        <v>51</v>
      </c>
      <c r="C24" s="49">
        <f>'Avg Week Karuma-Kigumba'!C24+'Avg Week Kigumba-Karuma'!C24</f>
        <v>3.5714285714285712</v>
      </c>
      <c r="D24" s="49">
        <f>'Avg Week Karuma-Kigumba'!D24+'Avg Week Kigumba-Karuma'!D24</f>
        <v>3.7142857142857144</v>
      </c>
      <c r="E24" s="49">
        <f>'Avg Week Karuma-Kigumba'!E24+'Avg Week Kigumba-Karuma'!E24</f>
        <v>7</v>
      </c>
      <c r="F24" s="49">
        <f>'Avg Week Karuma-Kigumba'!F24+'Avg Week Kigumba-Karuma'!F24</f>
        <v>3.5714285714285712</v>
      </c>
      <c r="G24" s="49">
        <f>'Avg Week Karuma-Kigumba'!G24+'Avg Week Kigumba-Karuma'!G24</f>
        <v>0</v>
      </c>
      <c r="H24" s="49">
        <f>'Avg Week Karuma-Kigumba'!H24+'Avg Week Kigumba-Karuma'!H24</f>
        <v>1.2857142857142856</v>
      </c>
      <c r="I24" s="49">
        <f>'Avg Week Karuma-Kigumba'!I24+'Avg Week Kigumba-Karuma'!I24</f>
        <v>2.2857142857142856</v>
      </c>
      <c r="J24" s="49">
        <f>'Avg Week Karuma-Kigumba'!J24+'Avg Week Kigumba-Karuma'!J24</f>
        <v>0.71428571428571419</v>
      </c>
      <c r="K24" s="49">
        <f>'Avg Week Karuma-Kigumba'!K24+'Avg Week Kigumba-Karuma'!K24</f>
        <v>0.14285714285714285</v>
      </c>
      <c r="L24" s="49">
        <f>'Avg Week Karuma-Kigumba'!L24+'Avg Week Kigumba-Karuma'!L24</f>
        <v>1.1428571428571428</v>
      </c>
      <c r="M24" s="49">
        <f>'Avg Week Karuma-Kigumba'!M24+'Avg Week Kigumba-Karuma'!M24</f>
        <v>8.5714285714285712</v>
      </c>
      <c r="N24" s="49">
        <f>'Avg Week Karuma-Kigumba'!N24+'Avg Week Kigumba-Karuma'!N24</f>
        <v>0.14285714285714285</v>
      </c>
      <c r="O24" s="15">
        <f t="shared" si="0"/>
        <v>23.571428571428566</v>
      </c>
      <c r="P24" s="15">
        <f t="shared" si="1"/>
        <v>32.142857142857139</v>
      </c>
      <c r="R24" s="1" t="s">
        <v>148</v>
      </c>
      <c r="S24" s="34">
        <f>SUM(C66:C69)</f>
        <v>11</v>
      </c>
      <c r="T24" s="34">
        <f t="shared" ref="T24:AF24" si="16">SUM(D66:D69)</f>
        <v>6.5</v>
      </c>
      <c r="U24" s="34">
        <f t="shared" si="16"/>
        <v>22</v>
      </c>
      <c r="V24" s="34">
        <f t="shared" si="16"/>
        <v>10</v>
      </c>
      <c r="W24" s="34">
        <f t="shared" si="16"/>
        <v>0</v>
      </c>
      <c r="X24" s="34">
        <f t="shared" si="16"/>
        <v>6.5</v>
      </c>
      <c r="Y24" s="34">
        <f t="shared" si="16"/>
        <v>8.5</v>
      </c>
      <c r="Z24" s="34">
        <f t="shared" si="16"/>
        <v>1</v>
      </c>
      <c r="AA24" s="34">
        <f t="shared" si="16"/>
        <v>0</v>
      </c>
      <c r="AB24" s="34">
        <f t="shared" si="16"/>
        <v>8.5</v>
      </c>
      <c r="AC24" s="34">
        <f t="shared" si="16"/>
        <v>21.5</v>
      </c>
      <c r="AD24" s="34">
        <f t="shared" si="16"/>
        <v>0</v>
      </c>
      <c r="AE24" s="31">
        <f t="shared" si="16"/>
        <v>74</v>
      </c>
      <c r="AF24" s="31">
        <f t="shared" si="16"/>
        <v>95.5</v>
      </c>
    </row>
    <row r="25" spans="2:32" ht="23.1" customHeight="1" x14ac:dyDescent="0.25">
      <c r="B25" s="23" t="s">
        <v>52</v>
      </c>
      <c r="C25" s="49">
        <f>'Avg Week Karuma-Kigumba'!C25+'Avg Week Kigumba-Karuma'!C25</f>
        <v>4</v>
      </c>
      <c r="D25" s="49">
        <f>'Avg Week Karuma-Kigumba'!D25+'Avg Week Kigumba-Karuma'!D25</f>
        <v>3.2857142857142856</v>
      </c>
      <c r="E25" s="49">
        <f>'Avg Week Karuma-Kigumba'!E25+'Avg Week Kigumba-Karuma'!E25</f>
        <v>6.1428571428571423</v>
      </c>
      <c r="F25" s="49">
        <f>'Avg Week Karuma-Kigumba'!F25+'Avg Week Kigumba-Karuma'!F25</f>
        <v>4.8571428571428568</v>
      </c>
      <c r="G25" s="49">
        <f>'Avg Week Karuma-Kigumba'!G25+'Avg Week Kigumba-Karuma'!G25</f>
        <v>0.14285714285714285</v>
      </c>
      <c r="H25" s="49">
        <f>'Avg Week Karuma-Kigumba'!H25+'Avg Week Kigumba-Karuma'!H25</f>
        <v>1.5714285714285714</v>
      </c>
      <c r="I25" s="49">
        <f>'Avg Week Karuma-Kigumba'!I25+'Avg Week Kigumba-Karuma'!I25</f>
        <v>2.5714285714285712</v>
      </c>
      <c r="J25" s="49">
        <f>'Avg Week Karuma-Kigumba'!J25+'Avg Week Kigumba-Karuma'!J25</f>
        <v>0.2857142857142857</v>
      </c>
      <c r="K25" s="49">
        <f>'Avg Week Karuma-Kigumba'!K25+'Avg Week Kigumba-Karuma'!K25</f>
        <v>0.14285714285714285</v>
      </c>
      <c r="L25" s="49">
        <f>'Avg Week Karuma-Kigumba'!L25+'Avg Week Kigumba-Karuma'!L25</f>
        <v>1.4285714285714286</v>
      </c>
      <c r="M25" s="49">
        <f>'Avg Week Karuma-Kigumba'!M25+'Avg Week Kigumba-Karuma'!M25</f>
        <v>6.7142857142857135</v>
      </c>
      <c r="N25" s="49">
        <f>'Avg Week Karuma-Kigumba'!N25+'Avg Week Kigumba-Karuma'!N25</f>
        <v>0</v>
      </c>
      <c r="O25" s="15">
        <f t="shared" si="0"/>
        <v>24.428571428571423</v>
      </c>
      <c r="P25" s="15">
        <f t="shared" si="1"/>
        <v>31.142857142857139</v>
      </c>
      <c r="R25" s="1" t="s">
        <v>149</v>
      </c>
      <c r="S25" s="34">
        <f>SUM(C70:C73)</f>
        <v>10</v>
      </c>
      <c r="T25" s="34">
        <f t="shared" ref="T25:AF25" si="17">SUM(D70:D73)</f>
        <v>8</v>
      </c>
      <c r="U25" s="34">
        <f t="shared" si="17"/>
        <v>20</v>
      </c>
      <c r="V25" s="34">
        <f t="shared" si="17"/>
        <v>10.5</v>
      </c>
      <c r="W25" s="34">
        <f t="shared" si="17"/>
        <v>0</v>
      </c>
      <c r="X25" s="34">
        <f t="shared" si="17"/>
        <v>5</v>
      </c>
      <c r="Y25" s="34">
        <f t="shared" si="17"/>
        <v>7.5</v>
      </c>
      <c r="Z25" s="34">
        <f t="shared" si="17"/>
        <v>1.5</v>
      </c>
      <c r="AA25" s="34">
        <f t="shared" si="17"/>
        <v>0</v>
      </c>
      <c r="AB25" s="34">
        <f t="shared" si="17"/>
        <v>5.5</v>
      </c>
      <c r="AC25" s="34">
        <f t="shared" si="17"/>
        <v>17</v>
      </c>
      <c r="AD25" s="34">
        <f t="shared" si="17"/>
        <v>0</v>
      </c>
      <c r="AE25" s="31">
        <f t="shared" si="17"/>
        <v>68</v>
      </c>
      <c r="AF25" s="31">
        <f t="shared" si="17"/>
        <v>85</v>
      </c>
    </row>
    <row r="26" spans="2:32" ht="23.1" customHeight="1" x14ac:dyDescent="0.25">
      <c r="B26" s="23" t="s">
        <v>53</v>
      </c>
      <c r="C26" s="49">
        <f>'Avg Week Karuma-Kigumba'!C26+'Avg Week Kigumba-Karuma'!C26</f>
        <v>3.7142857142857144</v>
      </c>
      <c r="D26" s="49">
        <f>'Avg Week Karuma-Kigumba'!D26+'Avg Week Kigumba-Karuma'!D26</f>
        <v>3.1428571428571428</v>
      </c>
      <c r="E26" s="49">
        <f>'Avg Week Karuma-Kigumba'!E26+'Avg Week Kigumba-Karuma'!E26</f>
        <v>7</v>
      </c>
      <c r="F26" s="49">
        <f>'Avg Week Karuma-Kigumba'!F26+'Avg Week Kigumba-Karuma'!F26</f>
        <v>3</v>
      </c>
      <c r="G26" s="49">
        <f>'Avg Week Karuma-Kigumba'!G26+'Avg Week Kigumba-Karuma'!G26</f>
        <v>0.14285714285714285</v>
      </c>
      <c r="H26" s="49">
        <f>'Avg Week Karuma-Kigumba'!H26+'Avg Week Kigumba-Karuma'!H26</f>
        <v>2.4285714285714288</v>
      </c>
      <c r="I26" s="49">
        <f>'Avg Week Karuma-Kigumba'!I26+'Avg Week Kigumba-Karuma'!I26</f>
        <v>2.8571428571428572</v>
      </c>
      <c r="J26" s="49">
        <f>'Avg Week Karuma-Kigumba'!J26+'Avg Week Kigumba-Karuma'!J26</f>
        <v>0.42857142857142855</v>
      </c>
      <c r="K26" s="49">
        <f>'Avg Week Karuma-Kigumba'!K26+'Avg Week Kigumba-Karuma'!K26</f>
        <v>0.2857142857142857</v>
      </c>
      <c r="L26" s="49">
        <f>'Avg Week Karuma-Kigumba'!L26+'Avg Week Kigumba-Karuma'!L26</f>
        <v>1.5714285714285714</v>
      </c>
      <c r="M26" s="49">
        <f>'Avg Week Karuma-Kigumba'!M26+'Avg Week Kigumba-Karuma'!M26</f>
        <v>8.1428571428571423</v>
      </c>
      <c r="N26" s="49">
        <f>'Avg Week Karuma-Kigumba'!N26+'Avg Week Kigumba-Karuma'!N26</f>
        <v>0.14285714285714285</v>
      </c>
      <c r="O26" s="15">
        <f t="shared" si="0"/>
        <v>24.714285714285715</v>
      </c>
      <c r="P26" s="15">
        <f t="shared" si="1"/>
        <v>32.857142857142861</v>
      </c>
      <c r="R26" s="1" t="s">
        <v>150</v>
      </c>
      <c r="S26" s="34">
        <f>SUM(C74:C77)</f>
        <v>9</v>
      </c>
      <c r="T26" s="34">
        <f t="shared" ref="T26:AF26" si="18">SUM(D74:D77)</f>
        <v>6.5</v>
      </c>
      <c r="U26" s="34">
        <f t="shared" si="18"/>
        <v>16.5</v>
      </c>
      <c r="V26" s="34">
        <f t="shared" si="18"/>
        <v>6.5</v>
      </c>
      <c r="W26" s="34">
        <f t="shared" si="18"/>
        <v>0</v>
      </c>
      <c r="X26" s="34">
        <f t="shared" si="18"/>
        <v>8.5</v>
      </c>
      <c r="Y26" s="34">
        <f t="shared" si="18"/>
        <v>5.5</v>
      </c>
      <c r="Z26" s="34">
        <f t="shared" si="18"/>
        <v>1</v>
      </c>
      <c r="AA26" s="34">
        <f t="shared" si="18"/>
        <v>0</v>
      </c>
      <c r="AB26" s="34">
        <f t="shared" si="18"/>
        <v>4.5</v>
      </c>
      <c r="AC26" s="34">
        <f t="shared" si="18"/>
        <v>12.5</v>
      </c>
      <c r="AD26" s="34">
        <f t="shared" si="18"/>
        <v>0</v>
      </c>
      <c r="AE26" s="31">
        <f t="shared" si="18"/>
        <v>58</v>
      </c>
      <c r="AF26" s="31">
        <f t="shared" si="18"/>
        <v>70.5</v>
      </c>
    </row>
    <row r="27" spans="2:32" ht="23.1" customHeight="1" x14ac:dyDescent="0.25">
      <c r="B27" s="23" t="s">
        <v>54</v>
      </c>
      <c r="C27" s="49">
        <f>'Avg Week Karuma-Kigumba'!C27+'Avg Week Kigumba-Karuma'!C27</f>
        <v>3.8571428571428568</v>
      </c>
      <c r="D27" s="49">
        <f>'Avg Week Karuma-Kigumba'!D27+'Avg Week Kigumba-Karuma'!D27</f>
        <v>2.7142857142857144</v>
      </c>
      <c r="E27" s="49">
        <f>'Avg Week Karuma-Kigumba'!E27+'Avg Week Kigumba-Karuma'!E27</f>
        <v>5.7142857142857135</v>
      </c>
      <c r="F27" s="49">
        <f>'Avg Week Karuma-Kigumba'!F27+'Avg Week Kigumba-Karuma'!F27</f>
        <v>2.5714285714285712</v>
      </c>
      <c r="G27" s="49">
        <f>'Avg Week Karuma-Kigumba'!G27+'Avg Week Kigumba-Karuma'!G27</f>
        <v>0.42857142857142855</v>
      </c>
      <c r="H27" s="49">
        <f>'Avg Week Karuma-Kigumba'!H27+'Avg Week Kigumba-Karuma'!H27</f>
        <v>1.4285714285714286</v>
      </c>
      <c r="I27" s="49">
        <f>'Avg Week Karuma-Kigumba'!I27+'Avg Week Kigumba-Karuma'!I27</f>
        <v>1.7142857142857142</v>
      </c>
      <c r="J27" s="49">
        <f>'Avg Week Karuma-Kigumba'!J27+'Avg Week Kigumba-Karuma'!J27</f>
        <v>0.14285714285714285</v>
      </c>
      <c r="K27" s="49">
        <f>'Avg Week Karuma-Kigumba'!K27+'Avg Week Kigumba-Karuma'!K27</f>
        <v>0.42857142857142855</v>
      </c>
      <c r="L27" s="49">
        <f>'Avg Week Karuma-Kigumba'!L27+'Avg Week Kigumba-Karuma'!L27</f>
        <v>1.7142857142857142</v>
      </c>
      <c r="M27" s="49">
        <f>'Avg Week Karuma-Kigumba'!M27+'Avg Week Kigumba-Karuma'!M27</f>
        <v>7</v>
      </c>
      <c r="N27" s="49">
        <f>'Avg Week Karuma-Kigumba'!N27+'Avg Week Kigumba-Karuma'!N27</f>
        <v>0.14285714285714285</v>
      </c>
      <c r="O27" s="15">
        <f t="shared" si="0"/>
        <v>20.857142857142854</v>
      </c>
      <c r="P27" s="15">
        <f t="shared" si="1"/>
        <v>27.857142857142854</v>
      </c>
      <c r="R27" s="1" t="s">
        <v>151</v>
      </c>
      <c r="S27" s="34">
        <f>SUM(C78:C81)</f>
        <v>6.5</v>
      </c>
      <c r="T27" s="34">
        <f t="shared" ref="T27:AF27" si="19">SUM(D78:D81)</f>
        <v>6</v>
      </c>
      <c r="U27" s="34">
        <f t="shared" si="19"/>
        <v>16</v>
      </c>
      <c r="V27" s="34">
        <f t="shared" si="19"/>
        <v>6</v>
      </c>
      <c r="W27" s="34">
        <f t="shared" si="19"/>
        <v>0</v>
      </c>
      <c r="X27" s="34">
        <f t="shared" si="19"/>
        <v>6</v>
      </c>
      <c r="Y27" s="34">
        <f t="shared" si="19"/>
        <v>6</v>
      </c>
      <c r="Z27" s="34">
        <f t="shared" si="19"/>
        <v>0</v>
      </c>
      <c r="AA27" s="34">
        <f t="shared" si="19"/>
        <v>0</v>
      </c>
      <c r="AB27" s="34">
        <f t="shared" si="19"/>
        <v>4.5</v>
      </c>
      <c r="AC27" s="34">
        <f t="shared" si="19"/>
        <v>10</v>
      </c>
      <c r="AD27" s="34">
        <f t="shared" si="19"/>
        <v>0</v>
      </c>
      <c r="AE27" s="31">
        <f t="shared" si="19"/>
        <v>51</v>
      </c>
      <c r="AF27" s="31">
        <f t="shared" si="19"/>
        <v>61</v>
      </c>
    </row>
    <row r="28" spans="2:32" ht="23.1" customHeight="1" x14ac:dyDescent="0.25">
      <c r="B28" s="23" t="s">
        <v>55</v>
      </c>
      <c r="C28" s="49">
        <f>'Avg Week Karuma-Kigumba'!C28+'Avg Week Kigumba-Karuma'!C28</f>
        <v>3.5714285714285712</v>
      </c>
      <c r="D28" s="49">
        <f>'Avg Week Karuma-Kigumba'!D28+'Avg Week Kigumba-Karuma'!D28</f>
        <v>3.2857142857142856</v>
      </c>
      <c r="E28" s="49">
        <f>'Avg Week Karuma-Kigumba'!E28+'Avg Week Kigumba-Karuma'!E28</f>
        <v>6.2857142857142856</v>
      </c>
      <c r="F28" s="49">
        <f>'Avg Week Karuma-Kigumba'!F28+'Avg Week Kigumba-Karuma'!F28</f>
        <v>3.1428571428571428</v>
      </c>
      <c r="G28" s="49">
        <f>'Avg Week Karuma-Kigumba'!G28+'Avg Week Kigumba-Karuma'!G28</f>
        <v>0.14285714285714285</v>
      </c>
      <c r="H28" s="49">
        <f>'Avg Week Karuma-Kigumba'!H28+'Avg Week Kigumba-Karuma'!H28</f>
        <v>2.1428571428571428</v>
      </c>
      <c r="I28" s="49">
        <f>'Avg Week Karuma-Kigumba'!I28+'Avg Week Kigumba-Karuma'!I28</f>
        <v>2.1428571428571428</v>
      </c>
      <c r="J28" s="49">
        <f>'Avg Week Karuma-Kigumba'!J28+'Avg Week Kigumba-Karuma'!J28</f>
        <v>0.8571428571428571</v>
      </c>
      <c r="K28" s="49">
        <f>'Avg Week Karuma-Kigumba'!K28+'Avg Week Kigumba-Karuma'!K28</f>
        <v>0</v>
      </c>
      <c r="L28" s="49">
        <f>'Avg Week Karuma-Kigumba'!L28+'Avg Week Kigumba-Karuma'!L28</f>
        <v>1.5714285714285714</v>
      </c>
      <c r="M28" s="49">
        <f>'Avg Week Karuma-Kigumba'!M28+'Avg Week Kigumba-Karuma'!M28</f>
        <v>6.7142857142857135</v>
      </c>
      <c r="N28" s="49">
        <f>'Avg Week Karuma-Kigumba'!N28+'Avg Week Kigumba-Karuma'!N28</f>
        <v>0</v>
      </c>
      <c r="O28" s="15">
        <f t="shared" si="0"/>
        <v>23.142857142857142</v>
      </c>
      <c r="P28" s="15">
        <f t="shared" si="1"/>
        <v>29.857142857142854</v>
      </c>
      <c r="R28" s="1" t="s">
        <v>152</v>
      </c>
      <c r="S28" s="34">
        <f>SUM(C82:C85)</f>
        <v>7.5</v>
      </c>
      <c r="T28" s="34">
        <f t="shared" ref="T28:AF28" si="20">SUM(D82:D85)</f>
        <v>5</v>
      </c>
      <c r="U28" s="34">
        <f t="shared" si="20"/>
        <v>14</v>
      </c>
      <c r="V28" s="34">
        <f t="shared" si="20"/>
        <v>5.5</v>
      </c>
      <c r="W28" s="34">
        <f t="shared" si="20"/>
        <v>0</v>
      </c>
      <c r="X28" s="34">
        <f t="shared" si="20"/>
        <v>4.5</v>
      </c>
      <c r="Y28" s="34">
        <f t="shared" si="20"/>
        <v>6.5</v>
      </c>
      <c r="Z28" s="34">
        <f t="shared" si="20"/>
        <v>0</v>
      </c>
      <c r="AA28" s="34">
        <f t="shared" si="20"/>
        <v>0.5</v>
      </c>
      <c r="AB28" s="34">
        <f t="shared" si="20"/>
        <v>2</v>
      </c>
      <c r="AC28" s="34">
        <f t="shared" si="20"/>
        <v>7</v>
      </c>
      <c r="AD28" s="34">
        <f t="shared" si="20"/>
        <v>0</v>
      </c>
      <c r="AE28" s="31">
        <f t="shared" si="20"/>
        <v>45.5</v>
      </c>
      <c r="AF28" s="31">
        <f t="shared" si="20"/>
        <v>52.5</v>
      </c>
    </row>
    <row r="29" spans="2:32" ht="23.1" customHeight="1" x14ac:dyDescent="0.25">
      <c r="B29" s="23" t="s">
        <v>56</v>
      </c>
      <c r="C29" s="49">
        <f>'Avg Week Karuma-Kigumba'!C29+'Avg Week Kigumba-Karuma'!C29</f>
        <v>3.2857142857142856</v>
      </c>
      <c r="D29" s="49">
        <f>'Avg Week Karuma-Kigumba'!D29+'Avg Week Kigumba-Karuma'!D29</f>
        <v>3</v>
      </c>
      <c r="E29" s="49">
        <f>'Avg Week Karuma-Kigumba'!E29+'Avg Week Kigumba-Karuma'!E29</f>
        <v>6.2857142857142856</v>
      </c>
      <c r="F29" s="49">
        <f>'Avg Week Karuma-Kigumba'!F29+'Avg Week Kigumba-Karuma'!F29</f>
        <v>2.7142857142857144</v>
      </c>
      <c r="G29" s="49">
        <f>'Avg Week Karuma-Kigumba'!G29+'Avg Week Kigumba-Karuma'!G29</f>
        <v>0.2857142857142857</v>
      </c>
      <c r="H29" s="49">
        <f>'Avg Week Karuma-Kigumba'!H29+'Avg Week Kigumba-Karuma'!H29</f>
        <v>2.1428571428571428</v>
      </c>
      <c r="I29" s="49">
        <f>'Avg Week Karuma-Kigumba'!I29+'Avg Week Kigumba-Karuma'!I29</f>
        <v>3.2857142857142856</v>
      </c>
      <c r="J29" s="49">
        <f>'Avg Week Karuma-Kigumba'!J29+'Avg Week Kigumba-Karuma'!J29</f>
        <v>0.5714285714285714</v>
      </c>
      <c r="K29" s="49">
        <f>'Avg Week Karuma-Kigumba'!K29+'Avg Week Kigumba-Karuma'!K29</f>
        <v>0.14285714285714285</v>
      </c>
      <c r="L29" s="49">
        <f>'Avg Week Karuma-Kigumba'!L29+'Avg Week Kigumba-Karuma'!L29</f>
        <v>1</v>
      </c>
      <c r="M29" s="49">
        <f>'Avg Week Karuma-Kigumba'!M29+'Avg Week Kigumba-Karuma'!M29</f>
        <v>6.8571428571428568</v>
      </c>
      <c r="N29" s="49">
        <f>'Avg Week Karuma-Kigumba'!N29+'Avg Week Kigumba-Karuma'!N29</f>
        <v>0</v>
      </c>
      <c r="O29" s="15">
        <f t="shared" si="0"/>
        <v>22.714285714285715</v>
      </c>
      <c r="P29" s="15">
        <f t="shared" si="1"/>
        <v>29.571428571428573</v>
      </c>
      <c r="R29" s="1" t="s">
        <v>153</v>
      </c>
      <c r="S29" s="34">
        <f>SUM(C86:C89)</f>
        <v>6.5</v>
      </c>
      <c r="T29" s="34">
        <f t="shared" ref="T29:AF29" si="21">SUM(D86:D89)</f>
        <v>4.5</v>
      </c>
      <c r="U29" s="34">
        <f t="shared" si="21"/>
        <v>12.5</v>
      </c>
      <c r="V29" s="34">
        <f t="shared" si="21"/>
        <v>4.5</v>
      </c>
      <c r="W29" s="34">
        <f t="shared" si="21"/>
        <v>0</v>
      </c>
      <c r="X29" s="34">
        <f t="shared" si="21"/>
        <v>4</v>
      </c>
      <c r="Y29" s="34">
        <f t="shared" si="21"/>
        <v>5.5</v>
      </c>
      <c r="Z29" s="34">
        <f t="shared" si="21"/>
        <v>0</v>
      </c>
      <c r="AA29" s="34">
        <f t="shared" si="21"/>
        <v>0</v>
      </c>
      <c r="AB29" s="34">
        <f t="shared" si="21"/>
        <v>3.5</v>
      </c>
      <c r="AC29" s="34">
        <f t="shared" si="21"/>
        <v>8</v>
      </c>
      <c r="AD29" s="34">
        <f t="shared" si="21"/>
        <v>0</v>
      </c>
      <c r="AE29" s="31">
        <f t="shared" si="21"/>
        <v>41</v>
      </c>
      <c r="AF29" s="31">
        <f t="shared" si="21"/>
        <v>49</v>
      </c>
    </row>
    <row r="30" spans="2:32" ht="23.1" customHeight="1" x14ac:dyDescent="0.25">
      <c r="B30" s="23" t="s">
        <v>57</v>
      </c>
      <c r="C30" s="49">
        <f>'Avg Week Karuma-Kigumba'!C30+'Avg Week Kigumba-Karuma'!C30</f>
        <v>3.4285714285714284</v>
      </c>
      <c r="D30" s="49">
        <f>'Avg Week Karuma-Kigumba'!D30+'Avg Week Kigumba-Karuma'!D30</f>
        <v>3</v>
      </c>
      <c r="E30" s="49">
        <f>'Avg Week Karuma-Kigumba'!E30+'Avg Week Kigumba-Karuma'!E30</f>
        <v>5.8571428571428577</v>
      </c>
      <c r="F30" s="49">
        <f>'Avg Week Karuma-Kigumba'!F30+'Avg Week Kigumba-Karuma'!F30</f>
        <v>4.2857142857142856</v>
      </c>
      <c r="G30" s="49">
        <f>'Avg Week Karuma-Kigumba'!G30+'Avg Week Kigumba-Karuma'!G30</f>
        <v>0</v>
      </c>
      <c r="H30" s="49">
        <f>'Avg Week Karuma-Kigumba'!H30+'Avg Week Kigumba-Karuma'!H30</f>
        <v>1.7142857142857144</v>
      </c>
      <c r="I30" s="49">
        <f>'Avg Week Karuma-Kigumba'!I30+'Avg Week Kigumba-Karuma'!I30</f>
        <v>3</v>
      </c>
      <c r="J30" s="49">
        <f>'Avg Week Karuma-Kigumba'!J30+'Avg Week Kigumba-Karuma'!J30</f>
        <v>0.2857142857142857</v>
      </c>
      <c r="K30" s="49">
        <f>'Avg Week Karuma-Kigumba'!K30+'Avg Week Kigumba-Karuma'!K30</f>
        <v>0.14285714285714285</v>
      </c>
      <c r="L30" s="49">
        <f>'Avg Week Karuma-Kigumba'!L30+'Avg Week Kigumba-Karuma'!L30</f>
        <v>1.4285714285714284</v>
      </c>
      <c r="M30" s="49">
        <f>'Avg Week Karuma-Kigumba'!M30+'Avg Week Kigumba-Karuma'!M30</f>
        <v>6</v>
      </c>
      <c r="N30" s="49">
        <f>'Avg Week Karuma-Kigumba'!N30+'Avg Week Kigumba-Karuma'!N30</f>
        <v>0</v>
      </c>
      <c r="O30" s="15">
        <f t="shared" si="0"/>
        <v>23.142857142857142</v>
      </c>
      <c r="P30" s="15">
        <f t="shared" si="1"/>
        <v>29.142857142857142</v>
      </c>
      <c r="R30" s="1" t="s">
        <v>154</v>
      </c>
      <c r="S30" s="34">
        <f>SUM(C90:C93)</f>
        <v>7</v>
      </c>
      <c r="T30" s="34">
        <f t="shared" ref="T30:AF30" si="22">SUM(D90:D93)</f>
        <v>5</v>
      </c>
      <c r="U30" s="34">
        <f t="shared" si="22"/>
        <v>12</v>
      </c>
      <c r="V30" s="34">
        <f t="shared" si="22"/>
        <v>4</v>
      </c>
      <c r="W30" s="34">
        <f t="shared" si="22"/>
        <v>0</v>
      </c>
      <c r="X30" s="34">
        <f t="shared" si="22"/>
        <v>7</v>
      </c>
      <c r="Y30" s="34">
        <f t="shared" si="22"/>
        <v>6</v>
      </c>
      <c r="Z30" s="34">
        <f t="shared" si="22"/>
        <v>0</v>
      </c>
      <c r="AA30" s="34">
        <f t="shared" si="22"/>
        <v>0</v>
      </c>
      <c r="AB30" s="34">
        <f t="shared" si="22"/>
        <v>4.5</v>
      </c>
      <c r="AC30" s="34">
        <f t="shared" si="22"/>
        <v>7.5</v>
      </c>
      <c r="AD30" s="34">
        <f t="shared" si="22"/>
        <v>0</v>
      </c>
      <c r="AE30" s="31">
        <f t="shared" si="22"/>
        <v>45.5</v>
      </c>
      <c r="AF30" s="31">
        <f t="shared" si="22"/>
        <v>53</v>
      </c>
    </row>
    <row r="31" spans="2:32" ht="23.1" customHeight="1" x14ac:dyDescent="0.25">
      <c r="B31" s="24" t="s">
        <v>58</v>
      </c>
      <c r="C31" s="49">
        <f>'Avg Week Karuma-Kigumba'!C31+'Avg Week Kigumba-Karuma'!C31</f>
        <v>4.5714285714285712</v>
      </c>
      <c r="D31" s="49">
        <f>'Avg Week Karuma-Kigumba'!D31+'Avg Week Kigumba-Karuma'!D31</f>
        <v>4.1428571428571423</v>
      </c>
      <c r="E31" s="49">
        <f>'Avg Week Karuma-Kigumba'!E31+'Avg Week Kigumba-Karuma'!E31</f>
        <v>7.5714285714285712</v>
      </c>
      <c r="F31" s="49">
        <f>'Avg Week Karuma-Kigumba'!F31+'Avg Week Kigumba-Karuma'!F31</f>
        <v>2.8571428571428572</v>
      </c>
      <c r="G31" s="49">
        <f>'Avg Week Karuma-Kigumba'!G31+'Avg Week Kigumba-Karuma'!G31</f>
        <v>0.2857142857142857</v>
      </c>
      <c r="H31" s="49">
        <f>'Avg Week Karuma-Kigumba'!H31+'Avg Week Kigumba-Karuma'!H31</f>
        <v>3.4285714285714288</v>
      </c>
      <c r="I31" s="49">
        <f>'Avg Week Karuma-Kigumba'!I31+'Avg Week Kigumba-Karuma'!I31</f>
        <v>3</v>
      </c>
      <c r="J31" s="49">
        <f>'Avg Week Karuma-Kigumba'!J31+'Avg Week Kigumba-Karuma'!J31</f>
        <v>0.42857142857142855</v>
      </c>
      <c r="K31" s="49">
        <f>'Avg Week Karuma-Kigumba'!K31+'Avg Week Kigumba-Karuma'!K31</f>
        <v>0.14285714285714285</v>
      </c>
      <c r="L31" s="49">
        <f>'Avg Week Karuma-Kigumba'!L31+'Avg Week Kigumba-Karuma'!L31</f>
        <v>1.5714285714285714</v>
      </c>
      <c r="M31" s="49">
        <f>'Avg Week Karuma-Kigumba'!M31+'Avg Week Kigumba-Karuma'!M31</f>
        <v>7.2857142857142865</v>
      </c>
      <c r="N31" s="49">
        <f>'Avg Week Karuma-Kigumba'!N31+'Avg Week Kigumba-Karuma'!N31</f>
        <v>0</v>
      </c>
      <c r="O31" s="15">
        <f t="shared" si="0"/>
        <v>27.999999999999996</v>
      </c>
      <c r="P31" s="15">
        <f t="shared" si="1"/>
        <v>35.285714285714285</v>
      </c>
      <c r="R31" s="1" t="s">
        <v>155</v>
      </c>
      <c r="S31" s="34">
        <f>SUM(C94:C97)</f>
        <v>7</v>
      </c>
      <c r="T31" s="34">
        <f t="shared" ref="T31:AF31" si="23">SUM(D94:D97)</f>
        <v>5.5</v>
      </c>
      <c r="U31" s="34">
        <f t="shared" si="23"/>
        <v>12</v>
      </c>
      <c r="V31" s="34">
        <f t="shared" si="23"/>
        <v>5</v>
      </c>
      <c r="W31" s="34">
        <f t="shared" si="23"/>
        <v>0</v>
      </c>
      <c r="X31" s="34">
        <f t="shared" si="23"/>
        <v>7</v>
      </c>
      <c r="Y31" s="34">
        <f t="shared" si="23"/>
        <v>6.5</v>
      </c>
      <c r="Z31" s="34">
        <f t="shared" si="23"/>
        <v>0.5</v>
      </c>
      <c r="AA31" s="34">
        <f t="shared" si="23"/>
        <v>0</v>
      </c>
      <c r="AB31" s="34">
        <f t="shared" si="23"/>
        <v>4</v>
      </c>
      <c r="AC31" s="34">
        <f t="shared" si="23"/>
        <v>7</v>
      </c>
      <c r="AD31" s="34">
        <f t="shared" si="23"/>
        <v>0</v>
      </c>
      <c r="AE31" s="31">
        <f t="shared" si="23"/>
        <v>47.5</v>
      </c>
      <c r="AF31" s="31">
        <f t="shared" si="23"/>
        <v>54.5</v>
      </c>
    </row>
    <row r="32" spans="2:32" ht="23.1" customHeight="1" x14ac:dyDescent="0.25">
      <c r="B32" s="24" t="s">
        <v>59</v>
      </c>
      <c r="C32" s="49">
        <f>'Avg Week Karuma-Kigumba'!C32+'Avg Week Kigumba-Karuma'!C32</f>
        <v>3.7142857142857144</v>
      </c>
      <c r="D32" s="49">
        <f>'Avg Week Karuma-Kigumba'!D32+'Avg Week Kigumba-Karuma'!D32</f>
        <v>3.1428571428571432</v>
      </c>
      <c r="E32" s="49">
        <f>'Avg Week Karuma-Kigumba'!E32+'Avg Week Kigumba-Karuma'!E32</f>
        <v>6.4285714285714288</v>
      </c>
      <c r="F32" s="49">
        <f>'Avg Week Karuma-Kigumba'!F32+'Avg Week Kigumba-Karuma'!F32</f>
        <v>3.4285714285714288</v>
      </c>
      <c r="G32" s="49">
        <f>'Avg Week Karuma-Kigumba'!G32+'Avg Week Kigumba-Karuma'!G32</f>
        <v>0.2857142857142857</v>
      </c>
      <c r="H32" s="49">
        <f>'Avg Week Karuma-Kigumba'!H32+'Avg Week Kigumba-Karuma'!H32</f>
        <v>1.5714285714285714</v>
      </c>
      <c r="I32" s="49">
        <f>'Avg Week Karuma-Kigumba'!I32+'Avg Week Kigumba-Karuma'!I32</f>
        <v>3.8571428571428568</v>
      </c>
      <c r="J32" s="49">
        <f>'Avg Week Karuma-Kigumba'!J32+'Avg Week Kigumba-Karuma'!J32</f>
        <v>0.2857142857142857</v>
      </c>
      <c r="K32" s="49">
        <f>'Avg Week Karuma-Kigumba'!K32+'Avg Week Kigumba-Karuma'!K32</f>
        <v>0.71428571428571419</v>
      </c>
      <c r="L32" s="49">
        <f>'Avg Week Karuma-Kigumba'!L32+'Avg Week Kigumba-Karuma'!L32</f>
        <v>1.5714285714285714</v>
      </c>
      <c r="M32" s="49">
        <f>'Avg Week Karuma-Kigumba'!M32+'Avg Week Kigumba-Karuma'!M32</f>
        <v>6.5714285714285712</v>
      </c>
      <c r="N32" s="49">
        <f>'Avg Week Karuma-Kigumba'!N32+'Avg Week Kigumba-Karuma'!N32</f>
        <v>0</v>
      </c>
      <c r="O32" s="15">
        <f t="shared" si="0"/>
        <v>25.000000000000004</v>
      </c>
      <c r="P32" s="15">
        <f t="shared" si="1"/>
        <v>31.571428571428577</v>
      </c>
      <c r="R32" s="1" t="s">
        <v>156</v>
      </c>
      <c r="S32" s="34">
        <f>SUM(C98:C101)</f>
        <v>6.5</v>
      </c>
      <c r="T32" s="34">
        <f t="shared" ref="T32:AF32" si="24">SUM(D98:D101)</f>
        <v>5.5</v>
      </c>
      <c r="U32" s="34">
        <f t="shared" si="24"/>
        <v>14</v>
      </c>
      <c r="V32" s="34">
        <f t="shared" si="24"/>
        <v>5.5</v>
      </c>
      <c r="W32" s="34">
        <f t="shared" si="24"/>
        <v>0</v>
      </c>
      <c r="X32" s="34">
        <f t="shared" si="24"/>
        <v>6</v>
      </c>
      <c r="Y32" s="34">
        <f t="shared" si="24"/>
        <v>7.5</v>
      </c>
      <c r="Z32" s="34">
        <f t="shared" si="24"/>
        <v>1</v>
      </c>
      <c r="AA32" s="34">
        <f t="shared" si="24"/>
        <v>0.5</v>
      </c>
      <c r="AB32" s="34">
        <f t="shared" si="24"/>
        <v>4.5</v>
      </c>
      <c r="AC32" s="34">
        <f t="shared" si="24"/>
        <v>20</v>
      </c>
      <c r="AD32" s="34">
        <f t="shared" si="24"/>
        <v>0</v>
      </c>
      <c r="AE32" s="31">
        <f t="shared" si="24"/>
        <v>51</v>
      </c>
      <c r="AF32" s="31">
        <f t="shared" si="24"/>
        <v>71</v>
      </c>
    </row>
    <row r="33" spans="2:32" ht="23.1" customHeight="1" x14ac:dyDescent="0.25">
      <c r="B33" s="23" t="s">
        <v>60</v>
      </c>
      <c r="C33" s="49">
        <f>'Avg Week Karuma-Kigumba'!C33+'Avg Week Kigumba-Karuma'!C33</f>
        <v>3.1428571428571428</v>
      </c>
      <c r="D33" s="49">
        <f>'Avg Week Karuma-Kigumba'!D33+'Avg Week Kigumba-Karuma'!D33</f>
        <v>4.1428571428571423</v>
      </c>
      <c r="E33" s="49">
        <f>'Avg Week Karuma-Kigumba'!E33+'Avg Week Kigumba-Karuma'!E33</f>
        <v>7.5714285714285712</v>
      </c>
      <c r="F33" s="49">
        <f>'Avg Week Karuma-Kigumba'!F33+'Avg Week Kigumba-Karuma'!F33</f>
        <v>3.5714285714285712</v>
      </c>
      <c r="G33" s="49">
        <f>'Avg Week Karuma-Kigumba'!G33+'Avg Week Kigumba-Karuma'!G33</f>
        <v>0.14285714285714285</v>
      </c>
      <c r="H33" s="49">
        <f>'Avg Week Karuma-Kigumba'!H33+'Avg Week Kigumba-Karuma'!H33</f>
        <v>2.5714285714285716</v>
      </c>
      <c r="I33" s="49">
        <f>'Avg Week Karuma-Kigumba'!I33+'Avg Week Kigumba-Karuma'!I33</f>
        <v>2.7142857142857144</v>
      </c>
      <c r="J33" s="49">
        <f>'Avg Week Karuma-Kigumba'!J33+'Avg Week Kigumba-Karuma'!J33</f>
        <v>0.14285714285714285</v>
      </c>
      <c r="K33" s="49">
        <f>'Avg Week Karuma-Kigumba'!K33+'Avg Week Kigumba-Karuma'!K33</f>
        <v>0</v>
      </c>
      <c r="L33" s="49">
        <f>'Avg Week Karuma-Kigumba'!L33+'Avg Week Kigumba-Karuma'!L33</f>
        <v>2.1428571428571428</v>
      </c>
      <c r="M33" s="49">
        <f>'Avg Week Karuma-Kigumba'!M33+'Avg Week Kigumba-Karuma'!M33</f>
        <v>5.1428571428571423</v>
      </c>
      <c r="N33" s="49">
        <f>'Avg Week Karuma-Kigumba'!N33+'Avg Week Kigumba-Karuma'!N33</f>
        <v>0</v>
      </c>
      <c r="O33" s="15">
        <f t="shared" si="0"/>
        <v>26.142857142857142</v>
      </c>
      <c r="P33" s="15">
        <f t="shared" si="1"/>
        <v>31.285714285714285</v>
      </c>
      <c r="R33" s="1" t="s">
        <v>157</v>
      </c>
      <c r="S33" s="34">
        <f>SUM(C102:C105)</f>
        <v>10</v>
      </c>
      <c r="T33" s="34">
        <f t="shared" ref="T33:AF33" si="25">SUM(D102:D105)</f>
        <v>7.5</v>
      </c>
      <c r="U33" s="34">
        <f t="shared" si="25"/>
        <v>16</v>
      </c>
      <c r="V33" s="34">
        <f t="shared" si="25"/>
        <v>7</v>
      </c>
      <c r="W33" s="34">
        <f t="shared" si="25"/>
        <v>0</v>
      </c>
      <c r="X33" s="34">
        <f t="shared" si="25"/>
        <v>4</v>
      </c>
      <c r="Y33" s="34">
        <f t="shared" si="25"/>
        <v>8.5</v>
      </c>
      <c r="Z33" s="34">
        <f t="shared" si="25"/>
        <v>1.5</v>
      </c>
      <c r="AA33" s="34">
        <f t="shared" si="25"/>
        <v>0</v>
      </c>
      <c r="AB33" s="34">
        <f t="shared" si="25"/>
        <v>9</v>
      </c>
      <c r="AC33" s="34">
        <f t="shared" si="25"/>
        <v>21</v>
      </c>
      <c r="AD33" s="34">
        <f t="shared" si="25"/>
        <v>0</v>
      </c>
      <c r="AE33" s="31">
        <f t="shared" si="25"/>
        <v>63.5</v>
      </c>
      <c r="AF33" s="31">
        <f t="shared" si="25"/>
        <v>84.5</v>
      </c>
    </row>
    <row r="34" spans="2:32" ht="23.1" customHeight="1" x14ac:dyDescent="0.25">
      <c r="B34" s="24" t="s">
        <v>61</v>
      </c>
      <c r="C34" s="49">
        <f>'Avg Week Karuma-Kigumba'!C34+'Avg Week Kigumba-Karuma'!C34</f>
        <v>3.4285714285714288</v>
      </c>
      <c r="D34" s="49">
        <f>'Avg Week Karuma-Kigumba'!D34+'Avg Week Kigumba-Karuma'!D34</f>
        <v>3.7142857142857144</v>
      </c>
      <c r="E34" s="49">
        <f>'Avg Week Karuma-Kigumba'!E34+'Avg Week Kigumba-Karuma'!E34</f>
        <v>6.5714285714285712</v>
      </c>
      <c r="F34" s="49">
        <f>'Avg Week Karuma-Kigumba'!F34+'Avg Week Kigumba-Karuma'!F34</f>
        <v>2.5714285714285716</v>
      </c>
      <c r="G34" s="49">
        <f>'Avg Week Karuma-Kigumba'!G34+'Avg Week Kigumba-Karuma'!G34</f>
        <v>0</v>
      </c>
      <c r="H34" s="49">
        <f>'Avg Week Karuma-Kigumba'!H34+'Avg Week Kigumba-Karuma'!H34</f>
        <v>1.2857142857142856</v>
      </c>
      <c r="I34" s="49">
        <f>'Avg Week Karuma-Kigumba'!I34+'Avg Week Kigumba-Karuma'!I34</f>
        <v>3.5714285714285712</v>
      </c>
      <c r="J34" s="49">
        <f>'Avg Week Karuma-Kigumba'!J34+'Avg Week Kigumba-Karuma'!J34</f>
        <v>0.5714285714285714</v>
      </c>
      <c r="K34" s="49">
        <f>'Avg Week Karuma-Kigumba'!K34+'Avg Week Kigumba-Karuma'!K34</f>
        <v>0.2857142857142857</v>
      </c>
      <c r="L34" s="49">
        <f>'Avg Week Karuma-Kigumba'!L34+'Avg Week Kigumba-Karuma'!L34</f>
        <v>1.857142857142857</v>
      </c>
      <c r="M34" s="49">
        <f>'Avg Week Karuma-Kigumba'!M34+'Avg Week Kigumba-Karuma'!M34</f>
        <v>8.7142857142857135</v>
      </c>
      <c r="N34" s="49">
        <f>'Avg Week Karuma-Kigumba'!N34+'Avg Week Kigumba-Karuma'!N34</f>
        <v>0</v>
      </c>
      <c r="O34" s="15">
        <f t="shared" si="0"/>
        <v>23.857142857142861</v>
      </c>
      <c r="P34" s="15">
        <f t="shared" si="1"/>
        <v>32.571428571428577</v>
      </c>
      <c r="R34" s="56" t="s">
        <v>90</v>
      </c>
      <c r="S34" s="57">
        <f t="shared" ref="S34:AF34" si="26">MAX(S10:S12)</f>
        <v>11.857142857142856</v>
      </c>
      <c r="T34" s="57">
        <f t="shared" si="26"/>
        <v>9.7142857142857135</v>
      </c>
      <c r="U34" s="57">
        <f t="shared" si="26"/>
        <v>20.142857142857146</v>
      </c>
      <c r="V34" s="57">
        <f t="shared" si="26"/>
        <v>11</v>
      </c>
      <c r="W34" s="57">
        <f t="shared" si="26"/>
        <v>0.71428571428571419</v>
      </c>
      <c r="X34" s="57">
        <f t="shared" si="26"/>
        <v>3.4285714285714284</v>
      </c>
      <c r="Y34" s="57">
        <f t="shared" si="26"/>
        <v>9.7142857142857135</v>
      </c>
      <c r="Z34" s="57">
        <f t="shared" si="26"/>
        <v>2.5714285714285712</v>
      </c>
      <c r="AA34" s="57">
        <f t="shared" si="26"/>
        <v>0.71428571428571419</v>
      </c>
      <c r="AB34" s="57">
        <f t="shared" si="26"/>
        <v>11.857142857142858</v>
      </c>
      <c r="AC34" s="57">
        <f t="shared" si="26"/>
        <v>23.857142857142858</v>
      </c>
      <c r="AD34" s="57">
        <f t="shared" si="26"/>
        <v>0.2857142857142857</v>
      </c>
      <c r="AE34" s="40">
        <f t="shared" si="26"/>
        <v>71</v>
      </c>
      <c r="AF34" s="40">
        <f t="shared" si="26"/>
        <v>94.857142857142861</v>
      </c>
    </row>
    <row r="35" spans="2:32" ht="23.1" customHeight="1" x14ac:dyDescent="0.25">
      <c r="B35" s="24" t="s">
        <v>62</v>
      </c>
      <c r="C35" s="49">
        <f>'Avg Week Karuma-Kigumba'!C35+'Avg Week Kigumba-Karuma'!C35</f>
        <v>3.8571428571428572</v>
      </c>
      <c r="D35" s="49">
        <f>'Avg Week Karuma-Kigumba'!D35+'Avg Week Kigumba-Karuma'!D35</f>
        <v>4.2857142857142856</v>
      </c>
      <c r="E35" s="49">
        <f>'Avg Week Karuma-Kigumba'!E35+'Avg Week Kigumba-Karuma'!E35</f>
        <v>7.4285714285714288</v>
      </c>
      <c r="F35" s="49">
        <f>'Avg Week Karuma-Kigumba'!F35+'Avg Week Kigumba-Karuma'!F35</f>
        <v>3.8571428571428577</v>
      </c>
      <c r="G35" s="49">
        <f>'Avg Week Karuma-Kigumba'!G35+'Avg Week Kigumba-Karuma'!G35</f>
        <v>0.14285714285714285</v>
      </c>
      <c r="H35" s="49">
        <f>'Avg Week Karuma-Kigumba'!H35+'Avg Week Kigumba-Karuma'!H35</f>
        <v>2.2857142857142856</v>
      </c>
      <c r="I35" s="49">
        <f>'Avg Week Karuma-Kigumba'!I35+'Avg Week Kigumba-Karuma'!I35</f>
        <v>3.8571428571428568</v>
      </c>
      <c r="J35" s="49">
        <f>'Avg Week Karuma-Kigumba'!J35+'Avg Week Kigumba-Karuma'!J35</f>
        <v>0.42857142857142855</v>
      </c>
      <c r="K35" s="49">
        <f>'Avg Week Karuma-Kigumba'!K35+'Avg Week Kigumba-Karuma'!K35</f>
        <v>0.14285714285714285</v>
      </c>
      <c r="L35" s="49">
        <f>'Avg Week Karuma-Kigumba'!L35+'Avg Week Kigumba-Karuma'!L35</f>
        <v>1.2857142857142856</v>
      </c>
      <c r="M35" s="49">
        <f>'Avg Week Karuma-Kigumba'!M35+'Avg Week Kigumba-Karuma'!M35</f>
        <v>6.2857142857142856</v>
      </c>
      <c r="N35" s="49">
        <f>'Avg Week Karuma-Kigumba'!N35+'Avg Week Kigumba-Karuma'!N35</f>
        <v>0</v>
      </c>
      <c r="O35" s="15">
        <f t="shared" si="0"/>
        <v>27.571428571428569</v>
      </c>
      <c r="P35" s="15">
        <f t="shared" si="1"/>
        <v>33.857142857142854</v>
      </c>
      <c r="R35" s="56" t="s">
        <v>91</v>
      </c>
      <c r="S35" s="57">
        <f t="shared" ref="S35:AF35" si="27">MAX(S13:S18)</f>
        <v>19.285714285714285</v>
      </c>
      <c r="T35" s="57">
        <f t="shared" si="27"/>
        <v>17.571428571428569</v>
      </c>
      <c r="U35" s="57">
        <f t="shared" si="27"/>
        <v>30</v>
      </c>
      <c r="V35" s="57">
        <f t="shared" si="27"/>
        <v>15.857142857142858</v>
      </c>
      <c r="W35" s="57">
        <f t="shared" si="27"/>
        <v>0.99999999999999989</v>
      </c>
      <c r="X35" s="57">
        <f t="shared" si="27"/>
        <v>10.428571428571429</v>
      </c>
      <c r="Y35" s="57">
        <f t="shared" si="27"/>
        <v>14.428571428571429</v>
      </c>
      <c r="Z35" s="57">
        <f t="shared" si="27"/>
        <v>2.4285714285714284</v>
      </c>
      <c r="AA35" s="57">
        <f t="shared" si="27"/>
        <v>1.8571428571428572</v>
      </c>
      <c r="AB35" s="57">
        <f t="shared" si="27"/>
        <v>8.1428571428571423</v>
      </c>
      <c r="AC35" s="57">
        <f t="shared" si="27"/>
        <v>35.571428571428569</v>
      </c>
      <c r="AD35" s="57">
        <f t="shared" si="27"/>
        <v>0.2857142857142857</v>
      </c>
      <c r="AE35" s="40">
        <f t="shared" si="27"/>
        <v>115.28571428571428</v>
      </c>
      <c r="AF35" s="40">
        <f t="shared" si="27"/>
        <v>150.85714285714283</v>
      </c>
    </row>
    <row r="36" spans="2:32" ht="23.1" customHeight="1" x14ac:dyDescent="0.25">
      <c r="B36" s="24" t="s">
        <v>63</v>
      </c>
      <c r="C36" s="49">
        <f>'Avg Week Karuma-Kigumba'!C36+'Avg Week Kigumba-Karuma'!C36</f>
        <v>4.7142857142857144</v>
      </c>
      <c r="D36" s="49">
        <f>'Avg Week Karuma-Kigumba'!D36+'Avg Week Kigumba-Karuma'!D36</f>
        <v>4.1428571428571423</v>
      </c>
      <c r="E36" s="49">
        <f>'Avg Week Karuma-Kigumba'!E36+'Avg Week Kigumba-Karuma'!E36</f>
        <v>7.2857142857142865</v>
      </c>
      <c r="F36" s="49">
        <f>'Avg Week Karuma-Kigumba'!F36+'Avg Week Kigumba-Karuma'!F36</f>
        <v>2</v>
      </c>
      <c r="G36" s="49">
        <f>'Avg Week Karuma-Kigumba'!G36+'Avg Week Kigumba-Karuma'!G36</f>
        <v>0</v>
      </c>
      <c r="H36" s="49">
        <f>'Avg Week Karuma-Kigumba'!H36+'Avg Week Kigumba-Karuma'!H36</f>
        <v>2.8571428571428572</v>
      </c>
      <c r="I36" s="49">
        <f>'Avg Week Karuma-Kigumba'!I36+'Avg Week Kigumba-Karuma'!I36</f>
        <v>3.2857142857142856</v>
      </c>
      <c r="J36" s="49">
        <f>'Avg Week Karuma-Kigumba'!J36+'Avg Week Kigumba-Karuma'!J36</f>
        <v>0.5714285714285714</v>
      </c>
      <c r="K36" s="49">
        <f>'Avg Week Karuma-Kigumba'!K36+'Avg Week Kigumba-Karuma'!K36</f>
        <v>0.71428571428571419</v>
      </c>
      <c r="L36" s="49">
        <f>'Avg Week Karuma-Kigumba'!L36+'Avg Week Kigumba-Karuma'!L36</f>
        <v>1.4285714285714284</v>
      </c>
      <c r="M36" s="49">
        <f>'Avg Week Karuma-Kigumba'!M36+'Avg Week Kigumba-Karuma'!M36</f>
        <v>6</v>
      </c>
      <c r="N36" s="49">
        <f>'Avg Week Karuma-Kigumba'!N36+'Avg Week Kigumba-Karuma'!N36</f>
        <v>0</v>
      </c>
      <c r="O36" s="15">
        <f t="shared" si="0"/>
        <v>27.000000000000004</v>
      </c>
      <c r="P36" s="15">
        <f t="shared" si="1"/>
        <v>33</v>
      </c>
      <c r="R36" s="56" t="s">
        <v>92</v>
      </c>
      <c r="S36" s="57">
        <f t="shared" ref="S36:AF36" si="28">MAX(S19:S21)</f>
        <v>19.285714285714285</v>
      </c>
      <c r="T36" s="57">
        <f t="shared" si="28"/>
        <v>17.142857142857142</v>
      </c>
      <c r="U36" s="57">
        <f t="shared" si="28"/>
        <v>31.285714285714285</v>
      </c>
      <c r="V36" s="57">
        <f t="shared" si="28"/>
        <v>15.285714285714286</v>
      </c>
      <c r="W36" s="57">
        <f t="shared" si="28"/>
        <v>0.85714285714285698</v>
      </c>
      <c r="X36" s="57">
        <f t="shared" si="28"/>
        <v>10.142857142857142</v>
      </c>
      <c r="Y36" s="57">
        <f t="shared" si="28"/>
        <v>18</v>
      </c>
      <c r="Z36" s="57">
        <f t="shared" si="28"/>
        <v>3.9999999999999996</v>
      </c>
      <c r="AA36" s="57">
        <f t="shared" si="28"/>
        <v>2.2857142857142856</v>
      </c>
      <c r="AB36" s="57">
        <f t="shared" si="28"/>
        <v>14.428571428571431</v>
      </c>
      <c r="AC36" s="57">
        <f t="shared" si="28"/>
        <v>39</v>
      </c>
      <c r="AD36" s="57">
        <f t="shared" si="28"/>
        <v>0.42857142857142855</v>
      </c>
      <c r="AE36" s="40">
        <f t="shared" si="28"/>
        <v>126.71428571428571</v>
      </c>
      <c r="AF36" s="40">
        <f t="shared" si="28"/>
        <v>163.85714285714286</v>
      </c>
    </row>
    <row r="37" spans="2:32" ht="23.1" customHeight="1" x14ac:dyDescent="0.25">
      <c r="B37" s="23" t="s">
        <v>64</v>
      </c>
      <c r="C37" s="49">
        <f>'Avg Week Karuma-Kigumba'!C37+'Avg Week Kigumba-Karuma'!C37</f>
        <v>6.2857142857142856</v>
      </c>
      <c r="D37" s="49">
        <f>'Avg Week Karuma-Kigumba'!D37+'Avg Week Kigumba-Karuma'!D37</f>
        <v>4</v>
      </c>
      <c r="E37" s="49">
        <f>'Avg Week Karuma-Kigumba'!E37+'Avg Week Kigumba-Karuma'!E37</f>
        <v>7.5714285714285712</v>
      </c>
      <c r="F37" s="49">
        <f>'Avg Week Karuma-Kigumba'!F37+'Avg Week Kigumba-Karuma'!F37</f>
        <v>2.7142857142857144</v>
      </c>
      <c r="G37" s="49">
        <f>'Avg Week Karuma-Kigumba'!G37+'Avg Week Kigumba-Karuma'!G37</f>
        <v>0.2857142857142857</v>
      </c>
      <c r="H37" s="49">
        <f>'Avg Week Karuma-Kigumba'!H37+'Avg Week Kigumba-Karuma'!H37</f>
        <v>1.7142857142857144</v>
      </c>
      <c r="I37" s="49">
        <f>'Avg Week Karuma-Kigumba'!I37+'Avg Week Kigumba-Karuma'!I37</f>
        <v>3.5714285714285712</v>
      </c>
      <c r="J37" s="49">
        <f>'Avg Week Karuma-Kigumba'!J37+'Avg Week Kigumba-Karuma'!J37</f>
        <v>0.42857142857142855</v>
      </c>
      <c r="K37" s="49">
        <f>'Avg Week Karuma-Kigumba'!K37+'Avg Week Kigumba-Karuma'!K37</f>
        <v>0.7142857142857143</v>
      </c>
      <c r="L37" s="49">
        <f>'Avg Week Karuma-Kigumba'!L37+'Avg Week Kigumba-Karuma'!L37</f>
        <v>1.857142857142857</v>
      </c>
      <c r="M37" s="49">
        <f>'Avg Week Karuma-Kigumba'!M37+'Avg Week Kigumba-Karuma'!M37</f>
        <v>6.5714285714285712</v>
      </c>
      <c r="N37" s="49">
        <f>'Avg Week Karuma-Kigumba'!N37+'Avg Week Kigumba-Karuma'!N37</f>
        <v>0</v>
      </c>
      <c r="O37" s="15">
        <f t="shared" si="0"/>
        <v>29.142857142857139</v>
      </c>
      <c r="P37" s="15">
        <f t="shared" si="1"/>
        <v>35.714285714285708</v>
      </c>
      <c r="R37" s="37" t="s">
        <v>85</v>
      </c>
      <c r="S37" s="58">
        <f t="shared" ref="S37:AF37" si="29">SUM(S10:S12)</f>
        <v>26.428571428571431</v>
      </c>
      <c r="T37" s="59">
        <f t="shared" si="29"/>
        <v>23.857142857142858</v>
      </c>
      <c r="U37" s="59">
        <f t="shared" si="29"/>
        <v>53.142857142857146</v>
      </c>
      <c r="V37" s="59">
        <f t="shared" si="29"/>
        <v>24.857142857142858</v>
      </c>
      <c r="W37" s="59">
        <f t="shared" si="29"/>
        <v>0.99999999999999989</v>
      </c>
      <c r="X37" s="59">
        <f t="shared" si="29"/>
        <v>4.8571428571428568</v>
      </c>
      <c r="Y37" s="59">
        <f t="shared" si="29"/>
        <v>26.571428571428569</v>
      </c>
      <c r="Z37" s="59">
        <f t="shared" si="29"/>
        <v>5.2857142857142856</v>
      </c>
      <c r="AA37" s="59">
        <f t="shared" si="29"/>
        <v>1.9999999999999998</v>
      </c>
      <c r="AB37" s="59">
        <f t="shared" si="29"/>
        <v>23.142857142857146</v>
      </c>
      <c r="AC37" s="59">
        <f t="shared" si="29"/>
        <v>66.142857142857139</v>
      </c>
      <c r="AD37" s="59">
        <f t="shared" si="29"/>
        <v>0.5714285714285714</v>
      </c>
      <c r="AE37" s="60">
        <f t="shared" si="29"/>
        <v>191.71428571428572</v>
      </c>
      <c r="AF37" s="60">
        <f t="shared" si="29"/>
        <v>257.85714285714289</v>
      </c>
    </row>
    <row r="38" spans="2:32" ht="23.1" customHeight="1" x14ac:dyDescent="0.25">
      <c r="B38" s="24" t="s">
        <v>65</v>
      </c>
      <c r="C38" s="49">
        <f>'Avg Week Karuma-Kigumba'!C38+'Avg Week Kigumba-Karuma'!C38</f>
        <v>3.4285714285714288</v>
      </c>
      <c r="D38" s="49">
        <f>'Avg Week Karuma-Kigumba'!D38+'Avg Week Kigumba-Karuma'!D38</f>
        <v>3.5714285714285712</v>
      </c>
      <c r="E38" s="49">
        <f>'Avg Week Karuma-Kigumba'!E38+'Avg Week Kigumba-Karuma'!E38</f>
        <v>5.8571428571428577</v>
      </c>
      <c r="F38" s="49">
        <f>'Avg Week Karuma-Kigumba'!F38+'Avg Week Kigumba-Karuma'!F38</f>
        <v>4.2857142857142856</v>
      </c>
      <c r="G38" s="49">
        <f>'Avg Week Karuma-Kigumba'!G38+'Avg Week Kigumba-Karuma'!G38</f>
        <v>0.14285714285714285</v>
      </c>
      <c r="H38" s="49">
        <f>'Avg Week Karuma-Kigumba'!H38+'Avg Week Kigumba-Karuma'!H38</f>
        <v>2</v>
      </c>
      <c r="I38" s="49">
        <f>'Avg Week Karuma-Kigumba'!I38+'Avg Week Kigumba-Karuma'!I38</f>
        <v>3.2857142857142856</v>
      </c>
      <c r="J38" s="49">
        <f>'Avg Week Karuma-Kigumba'!J38+'Avg Week Kigumba-Karuma'!J38</f>
        <v>0.42857142857142855</v>
      </c>
      <c r="K38" s="49">
        <f>'Avg Week Karuma-Kigumba'!K38+'Avg Week Kigumba-Karuma'!K38</f>
        <v>0.14285714285714285</v>
      </c>
      <c r="L38" s="49">
        <f>'Avg Week Karuma-Kigumba'!L38+'Avg Week Kigumba-Karuma'!L38</f>
        <v>1.1428571428571428</v>
      </c>
      <c r="M38" s="49">
        <f>'Avg Week Karuma-Kigumba'!M38+'Avg Week Kigumba-Karuma'!M38</f>
        <v>7.4285714285714288</v>
      </c>
      <c r="N38" s="49">
        <f>'Avg Week Karuma-Kigumba'!N38+'Avg Week Kigumba-Karuma'!N38</f>
        <v>0</v>
      </c>
      <c r="O38" s="15">
        <f t="shared" si="0"/>
        <v>24.285714285714281</v>
      </c>
      <c r="P38" s="15">
        <f t="shared" si="1"/>
        <v>31.714285714285708</v>
      </c>
      <c r="R38" s="28" t="s">
        <v>86</v>
      </c>
      <c r="S38" s="59">
        <f t="shared" ref="S38:AF38" si="30">SUM(S13:S18)</f>
        <v>94</v>
      </c>
      <c r="T38" s="59">
        <f t="shared" si="30"/>
        <v>87.857142857142847</v>
      </c>
      <c r="U38" s="59">
        <f t="shared" si="30"/>
        <v>162.14285714285714</v>
      </c>
      <c r="V38" s="59">
        <f t="shared" si="30"/>
        <v>76.714285714285722</v>
      </c>
      <c r="W38" s="59">
        <f t="shared" si="30"/>
        <v>3.8571428571428559</v>
      </c>
      <c r="X38" s="59">
        <f t="shared" si="30"/>
        <v>48.142857142857146</v>
      </c>
      <c r="Y38" s="59">
        <f t="shared" si="30"/>
        <v>75.142857142857139</v>
      </c>
      <c r="Z38" s="59">
        <f t="shared" si="30"/>
        <v>11.428571428571429</v>
      </c>
      <c r="AA38" s="59">
        <f t="shared" si="30"/>
        <v>5.7142857142857135</v>
      </c>
      <c r="AB38" s="59">
        <f t="shared" si="30"/>
        <v>38.571428571428569</v>
      </c>
      <c r="AC38" s="59">
        <f t="shared" si="30"/>
        <v>177.57142857142856</v>
      </c>
      <c r="AD38" s="59">
        <f t="shared" si="30"/>
        <v>0.5714285714285714</v>
      </c>
      <c r="AE38" s="60">
        <f t="shared" si="30"/>
        <v>604.14285714285711</v>
      </c>
      <c r="AF38" s="60">
        <f t="shared" si="30"/>
        <v>781.71428571428555</v>
      </c>
    </row>
    <row r="39" spans="2:32" ht="23.1" customHeight="1" x14ac:dyDescent="0.25">
      <c r="B39" s="24" t="s">
        <v>66</v>
      </c>
      <c r="C39" s="49">
        <f>'Avg Week Karuma-Kigumba'!C39+'Avg Week Kigumba-Karuma'!C39</f>
        <v>4.4285714285714288</v>
      </c>
      <c r="D39" s="49">
        <f>'Avg Week Karuma-Kigumba'!D39+'Avg Week Kigumba-Karuma'!D39</f>
        <v>4.2857142857142856</v>
      </c>
      <c r="E39" s="49">
        <f>'Avg Week Karuma-Kigumba'!E39+'Avg Week Kigumba-Karuma'!E39</f>
        <v>7.1428571428571432</v>
      </c>
      <c r="F39" s="49">
        <f>'Avg Week Karuma-Kigumba'!F39+'Avg Week Kigumba-Karuma'!F39</f>
        <v>1.7142857142857144</v>
      </c>
      <c r="G39" s="49">
        <f>'Avg Week Karuma-Kigumba'!G39+'Avg Week Kigumba-Karuma'!G39</f>
        <v>0</v>
      </c>
      <c r="H39" s="49">
        <f>'Avg Week Karuma-Kigumba'!H39+'Avg Week Kigumba-Karuma'!H39</f>
        <v>1.2857142857142856</v>
      </c>
      <c r="I39" s="49">
        <f>'Avg Week Karuma-Kigumba'!I39+'Avg Week Kigumba-Karuma'!I39</f>
        <v>3.8571428571428577</v>
      </c>
      <c r="J39" s="49">
        <f>'Avg Week Karuma-Kigumba'!J39+'Avg Week Kigumba-Karuma'!J39</f>
        <v>0.42857142857142855</v>
      </c>
      <c r="K39" s="49">
        <f>'Avg Week Karuma-Kigumba'!K39+'Avg Week Kigumba-Karuma'!K39</f>
        <v>0.42857142857142855</v>
      </c>
      <c r="L39" s="49">
        <f>'Avg Week Karuma-Kigumba'!L39+'Avg Week Kigumba-Karuma'!L39</f>
        <v>2.4285714285714284</v>
      </c>
      <c r="M39" s="49">
        <f>'Avg Week Karuma-Kigumba'!M39+'Avg Week Kigumba-Karuma'!M39</f>
        <v>8.7142857142857135</v>
      </c>
      <c r="N39" s="49">
        <f>'Avg Week Karuma-Kigumba'!N39+'Avg Week Kigumba-Karuma'!N39</f>
        <v>0</v>
      </c>
      <c r="O39" s="15">
        <f t="shared" si="0"/>
        <v>25.999999999999996</v>
      </c>
      <c r="P39" s="15">
        <f t="shared" si="1"/>
        <v>34.714285714285708</v>
      </c>
      <c r="R39" s="29" t="s">
        <v>87</v>
      </c>
      <c r="S39" s="59">
        <f t="shared" ref="S39:AF39" si="31">SUM(S19:S21)</f>
        <v>50.285714285714285</v>
      </c>
      <c r="T39" s="59">
        <f t="shared" si="31"/>
        <v>47.142857142857146</v>
      </c>
      <c r="U39" s="59">
        <f t="shared" si="31"/>
        <v>86.142857142857139</v>
      </c>
      <c r="V39" s="59">
        <f t="shared" si="31"/>
        <v>43.285714285714285</v>
      </c>
      <c r="W39" s="59">
        <f t="shared" si="31"/>
        <v>1.4285714285714284</v>
      </c>
      <c r="X39" s="59">
        <f t="shared" si="31"/>
        <v>27.428571428571427</v>
      </c>
      <c r="Y39" s="59">
        <f t="shared" si="31"/>
        <v>51.714285714285708</v>
      </c>
      <c r="Z39" s="59">
        <f t="shared" si="31"/>
        <v>10.285714285714285</v>
      </c>
      <c r="AA39" s="59">
        <f t="shared" si="31"/>
        <v>5.8571428571428559</v>
      </c>
      <c r="AB39" s="59">
        <f t="shared" si="31"/>
        <v>37.285714285714292</v>
      </c>
      <c r="AC39" s="59">
        <f t="shared" si="31"/>
        <v>114.57142857142857</v>
      </c>
      <c r="AD39" s="59">
        <f t="shared" si="31"/>
        <v>0.5714285714285714</v>
      </c>
      <c r="AE39" s="60">
        <f t="shared" si="31"/>
        <v>361.42857142857144</v>
      </c>
      <c r="AF39" s="60">
        <f t="shared" si="31"/>
        <v>476</v>
      </c>
    </row>
    <row r="40" spans="2:32" ht="23.1" customHeight="1" x14ac:dyDescent="0.25">
      <c r="B40" s="24" t="s">
        <v>67</v>
      </c>
      <c r="C40" s="49">
        <f>'Avg Week Karuma-Kigumba'!C40+'Avg Week Kigumba-Karuma'!C40</f>
        <v>4.1428571428571423</v>
      </c>
      <c r="D40" s="49">
        <f>'Avg Week Karuma-Kigumba'!D40+'Avg Week Kigumba-Karuma'!D40</f>
        <v>3.5714285714285712</v>
      </c>
      <c r="E40" s="49">
        <f>'Avg Week Karuma-Kigumba'!E40+'Avg Week Kigumba-Karuma'!E40</f>
        <v>6.1428571428571423</v>
      </c>
      <c r="F40" s="49">
        <f>'Avg Week Karuma-Kigumba'!F40+'Avg Week Kigumba-Karuma'!F40</f>
        <v>2.1428571428571428</v>
      </c>
      <c r="G40" s="49">
        <f>'Avg Week Karuma-Kigumba'!G40+'Avg Week Kigumba-Karuma'!G40</f>
        <v>0.2857142857142857</v>
      </c>
      <c r="H40" s="49">
        <f>'Avg Week Karuma-Kigumba'!H40+'Avg Week Kigumba-Karuma'!H40</f>
        <v>1.4285714285714284</v>
      </c>
      <c r="I40" s="49">
        <f>'Avg Week Karuma-Kigumba'!I40+'Avg Week Kigumba-Karuma'!I40</f>
        <v>3.7142857142857144</v>
      </c>
      <c r="J40" s="49">
        <f>'Avg Week Karuma-Kigumba'!J40+'Avg Week Kigumba-Karuma'!J40</f>
        <v>0.2857142857142857</v>
      </c>
      <c r="K40" s="49">
        <f>'Avg Week Karuma-Kigumba'!K40+'Avg Week Kigumba-Karuma'!K40</f>
        <v>0.14285714285714285</v>
      </c>
      <c r="L40" s="49">
        <f>'Avg Week Karuma-Kigumba'!L40+'Avg Week Kigumba-Karuma'!L40</f>
        <v>2.4285714285714288</v>
      </c>
      <c r="M40" s="49">
        <f>'Avg Week Karuma-Kigumba'!M40+'Avg Week Kigumba-Karuma'!M40</f>
        <v>7.8571428571428577</v>
      </c>
      <c r="N40" s="49">
        <f>'Avg Week Karuma-Kigumba'!N40+'Avg Week Kigumba-Karuma'!N40</f>
        <v>0</v>
      </c>
      <c r="O40" s="15">
        <f t="shared" si="0"/>
        <v>24.285714285714285</v>
      </c>
      <c r="P40" s="15">
        <f t="shared" si="1"/>
        <v>32.142857142857139</v>
      </c>
      <c r="R40" s="5" t="s">
        <v>17</v>
      </c>
      <c r="S40" s="59">
        <f t="shared" ref="S40:AF40" si="32">SUM(S10:S21)</f>
        <v>170.71428571428572</v>
      </c>
      <c r="T40" s="59">
        <f t="shared" si="32"/>
        <v>158.85714285714286</v>
      </c>
      <c r="U40" s="59">
        <f t="shared" si="32"/>
        <v>301.42857142857139</v>
      </c>
      <c r="V40" s="59">
        <f t="shared" si="32"/>
        <v>144.85714285714286</v>
      </c>
      <c r="W40" s="59">
        <f t="shared" si="32"/>
        <v>6.2857142857142838</v>
      </c>
      <c r="X40" s="59">
        <f t="shared" si="32"/>
        <v>80.428571428571416</v>
      </c>
      <c r="Y40" s="59">
        <f t="shared" si="32"/>
        <v>153.42857142857144</v>
      </c>
      <c r="Z40" s="59">
        <f t="shared" si="32"/>
        <v>27</v>
      </c>
      <c r="AA40" s="59">
        <f t="shared" si="32"/>
        <v>13.571428571428571</v>
      </c>
      <c r="AB40" s="59">
        <f t="shared" si="32"/>
        <v>99.000000000000014</v>
      </c>
      <c r="AC40" s="59">
        <f t="shared" si="32"/>
        <v>358.28571428571422</v>
      </c>
      <c r="AD40" s="59">
        <f t="shared" si="32"/>
        <v>1.7142857142857142</v>
      </c>
      <c r="AE40" s="60">
        <f t="shared" si="32"/>
        <v>1157.2857142857142</v>
      </c>
      <c r="AF40" s="60">
        <f t="shared" si="32"/>
        <v>1515.5714285714289</v>
      </c>
    </row>
    <row r="41" spans="2:32" ht="23.1" customHeight="1" x14ac:dyDescent="0.25">
      <c r="B41" s="23" t="s">
        <v>68</v>
      </c>
      <c r="C41" s="49">
        <f>'Avg Week Karuma-Kigumba'!C41+'Avg Week Kigumba-Karuma'!C41</f>
        <v>3.7142857142857144</v>
      </c>
      <c r="D41" s="49">
        <f>'Avg Week Karuma-Kigumba'!D41+'Avg Week Kigumba-Karuma'!D41</f>
        <v>4.1428571428571432</v>
      </c>
      <c r="E41" s="49">
        <f>'Avg Week Karuma-Kigumba'!E41+'Avg Week Kigumba-Karuma'!E41</f>
        <v>8.2857142857142847</v>
      </c>
      <c r="F41" s="49">
        <f>'Avg Week Karuma-Kigumba'!F41+'Avg Week Kigumba-Karuma'!F41</f>
        <v>3.7142857142857144</v>
      </c>
      <c r="G41" s="49">
        <f>'Avg Week Karuma-Kigumba'!G41+'Avg Week Kigumba-Karuma'!G41</f>
        <v>0</v>
      </c>
      <c r="H41" s="49">
        <f>'Avg Week Karuma-Kigumba'!H41+'Avg Week Kigumba-Karuma'!H41</f>
        <v>2.4285714285714288</v>
      </c>
      <c r="I41" s="49">
        <f>'Avg Week Karuma-Kigumba'!I41+'Avg Week Kigumba-Karuma'!I41</f>
        <v>3.5714285714285712</v>
      </c>
      <c r="J41" s="49">
        <f>'Avg Week Karuma-Kigumba'!J41+'Avg Week Kigumba-Karuma'!J41</f>
        <v>0.8571428571428571</v>
      </c>
      <c r="K41" s="49">
        <f>'Avg Week Karuma-Kigumba'!K41+'Avg Week Kigumba-Karuma'!K41</f>
        <v>0</v>
      </c>
      <c r="L41" s="49">
        <f>'Avg Week Karuma-Kigumba'!L41+'Avg Week Kigumba-Karuma'!L41</f>
        <v>2.1428571428571428</v>
      </c>
      <c r="M41" s="49">
        <f>'Avg Week Karuma-Kigumba'!M41+'Avg Week Kigumba-Karuma'!M41</f>
        <v>6.5714285714285712</v>
      </c>
      <c r="N41" s="49">
        <f>'Avg Week Karuma-Kigumba'!N41+'Avg Week Kigumba-Karuma'!N41</f>
        <v>0</v>
      </c>
      <c r="O41" s="15">
        <f t="shared" si="0"/>
        <v>28.857142857142854</v>
      </c>
      <c r="P41" s="15">
        <f t="shared" si="1"/>
        <v>35.428571428571423</v>
      </c>
      <c r="R41" s="5" t="s">
        <v>176</v>
      </c>
      <c r="S41" s="59">
        <f>SUM(S10:S33)</f>
        <v>276.21428571428572</v>
      </c>
      <c r="T41" s="59">
        <f t="shared" ref="T41:AD41" si="33">SUM(T10:T33)</f>
        <v>232.85714285714286</v>
      </c>
      <c r="U41" s="59">
        <f t="shared" si="33"/>
        <v>500.92857142857139</v>
      </c>
      <c r="V41" s="59">
        <f t="shared" si="33"/>
        <v>227.85714285714286</v>
      </c>
      <c r="W41" s="59">
        <f t="shared" si="33"/>
        <v>6.2857142857142838</v>
      </c>
      <c r="X41" s="59">
        <f t="shared" si="33"/>
        <v>144.92857142857142</v>
      </c>
      <c r="Y41" s="59">
        <f t="shared" si="33"/>
        <v>243.92857142857144</v>
      </c>
      <c r="Z41" s="59">
        <f t="shared" si="33"/>
        <v>38.5</v>
      </c>
      <c r="AA41" s="59">
        <f t="shared" si="33"/>
        <v>14.571428571428571</v>
      </c>
      <c r="AB41" s="59">
        <f t="shared" si="33"/>
        <v>171.5</v>
      </c>
      <c r="AC41" s="59">
        <f t="shared" si="33"/>
        <v>539.28571428571422</v>
      </c>
      <c r="AD41" s="59">
        <f t="shared" si="33"/>
        <v>1.7142857142857142</v>
      </c>
      <c r="AE41" s="60">
        <f>SUM(AE10:AE33)</f>
        <v>1859.2857142857142</v>
      </c>
      <c r="AF41" s="60">
        <f>SUM(AF10:AF33)</f>
        <v>2398.5714285714289</v>
      </c>
    </row>
    <row r="42" spans="2:32" ht="23.1" customHeight="1" x14ac:dyDescent="0.25">
      <c r="B42" s="24" t="s">
        <v>69</v>
      </c>
      <c r="C42" s="49">
        <f>'Avg Week Karuma-Kigumba'!C42+'Avg Week Kigumba-Karuma'!C42</f>
        <v>4.4285714285714288</v>
      </c>
      <c r="D42" s="49">
        <f>'Avg Week Karuma-Kigumba'!D42+'Avg Week Kigumba-Karuma'!D42</f>
        <v>4.1428571428571423</v>
      </c>
      <c r="E42" s="49">
        <f>'Avg Week Karuma-Kigumba'!E42+'Avg Week Kigumba-Karuma'!E42</f>
        <v>7.2857142857142865</v>
      </c>
      <c r="F42" s="49">
        <f>'Avg Week Karuma-Kigumba'!F42+'Avg Week Kigumba-Karuma'!F42</f>
        <v>3</v>
      </c>
      <c r="G42" s="49">
        <f>'Avg Week Karuma-Kigumba'!G42+'Avg Week Kigumba-Karuma'!G42</f>
        <v>0.2857142857142857</v>
      </c>
      <c r="H42" s="49">
        <f>'Avg Week Karuma-Kigumba'!H42+'Avg Week Kigumba-Karuma'!H42</f>
        <v>2</v>
      </c>
      <c r="I42" s="49">
        <f>'Avg Week Karuma-Kigumba'!I42+'Avg Week Kigumba-Karuma'!I42</f>
        <v>4.5714285714285712</v>
      </c>
      <c r="J42" s="49">
        <f>'Avg Week Karuma-Kigumba'!J42+'Avg Week Kigumba-Karuma'!J42</f>
        <v>0.5714285714285714</v>
      </c>
      <c r="K42" s="49">
        <f>'Avg Week Karuma-Kigumba'!K42+'Avg Week Kigumba-Karuma'!K42</f>
        <v>0.42857142857142855</v>
      </c>
      <c r="L42" s="49">
        <f>'Avg Week Karuma-Kigumba'!L42+'Avg Week Kigumba-Karuma'!L42</f>
        <v>1.2857142857142858</v>
      </c>
      <c r="M42" s="49">
        <f>'Avg Week Karuma-Kigumba'!M42+'Avg Week Kigumba-Karuma'!M42</f>
        <v>7.5714285714285712</v>
      </c>
      <c r="N42" s="49">
        <f>'Avg Week Karuma-Kigumba'!N42+'Avg Week Kigumba-Karuma'!N42</f>
        <v>0</v>
      </c>
      <c r="O42" s="15">
        <f t="shared" si="0"/>
        <v>28</v>
      </c>
      <c r="P42" s="15">
        <f t="shared" si="1"/>
        <v>35.571428571428569</v>
      </c>
      <c r="R42" s="5" t="s">
        <v>160</v>
      </c>
      <c r="S42" s="48">
        <f>S41/S40</f>
        <v>1.6179916317991632</v>
      </c>
      <c r="T42" s="48">
        <f t="shared" ref="T42:AF42" si="34">T41/T40</f>
        <v>1.4658273381294964</v>
      </c>
      <c r="U42" s="48">
        <f t="shared" si="34"/>
        <v>1.6618483412322276</v>
      </c>
      <c r="V42" s="48">
        <f t="shared" si="34"/>
        <v>1.5729783037475344</v>
      </c>
      <c r="W42" s="48">
        <f t="shared" si="34"/>
        <v>1</v>
      </c>
      <c r="X42" s="48">
        <f t="shared" si="34"/>
        <v>1.8019538188277089</v>
      </c>
      <c r="Y42" s="48">
        <f t="shared" si="34"/>
        <v>1.5898510242085659</v>
      </c>
      <c r="Z42" s="48">
        <f t="shared" si="34"/>
        <v>1.4259259259259258</v>
      </c>
      <c r="AA42" s="48">
        <f t="shared" si="34"/>
        <v>1.0736842105263158</v>
      </c>
      <c r="AB42" s="48">
        <f t="shared" si="34"/>
        <v>1.732323232323232</v>
      </c>
      <c r="AC42" s="48">
        <f t="shared" si="34"/>
        <v>1.5051834130781501</v>
      </c>
      <c r="AD42" s="48">
        <f t="shared" si="34"/>
        <v>1</v>
      </c>
      <c r="AE42" s="61">
        <f t="shared" si="34"/>
        <v>1.6065917787927417</v>
      </c>
      <c r="AF42" s="61">
        <f t="shared" si="34"/>
        <v>1.5826185314355734</v>
      </c>
    </row>
    <row r="43" spans="2:32" ht="23.1" customHeight="1" x14ac:dyDescent="0.25">
      <c r="B43" s="23" t="s">
        <v>70</v>
      </c>
      <c r="C43" s="49">
        <f>'Avg Week Karuma-Kigumba'!C43+'Avg Week Kigumba-Karuma'!C43</f>
        <v>5.5714285714285712</v>
      </c>
      <c r="D43" s="49">
        <f>'Avg Week Karuma-Kigumba'!D43+'Avg Week Kigumba-Karuma'!D43</f>
        <v>4.5714285714285712</v>
      </c>
      <c r="E43" s="49">
        <f>'Avg Week Karuma-Kigumba'!E43+'Avg Week Kigumba-Karuma'!E43</f>
        <v>7.5714285714285712</v>
      </c>
      <c r="F43" s="49">
        <f>'Avg Week Karuma-Kigumba'!F43+'Avg Week Kigumba-Karuma'!F43</f>
        <v>3.4285714285714288</v>
      </c>
      <c r="G43" s="49">
        <f>'Avg Week Karuma-Kigumba'!G43+'Avg Week Kigumba-Karuma'!G43</f>
        <v>0.2857142857142857</v>
      </c>
      <c r="H43" s="49">
        <f>'Avg Week Karuma-Kigumba'!H43+'Avg Week Kigumba-Karuma'!H43</f>
        <v>2.4285714285714288</v>
      </c>
      <c r="I43" s="49">
        <f>'Avg Week Karuma-Kigumba'!I43+'Avg Week Kigumba-Karuma'!I43</f>
        <v>2.8571428571428572</v>
      </c>
      <c r="J43" s="49">
        <f>'Avg Week Karuma-Kigumba'!J43+'Avg Week Kigumba-Karuma'!J43</f>
        <v>0.71428571428571419</v>
      </c>
      <c r="K43" s="49">
        <f>'Avg Week Karuma-Kigumba'!K43+'Avg Week Kigumba-Karuma'!K43</f>
        <v>0.14285714285714285</v>
      </c>
      <c r="L43" s="49">
        <f>'Avg Week Karuma-Kigumba'!L43+'Avg Week Kigumba-Karuma'!L43</f>
        <v>1.5714285714285716</v>
      </c>
      <c r="M43" s="49">
        <f>'Avg Week Karuma-Kigumba'!M43+'Avg Week Kigumba-Karuma'!M43</f>
        <v>7.2857142857142865</v>
      </c>
      <c r="N43" s="49">
        <f>'Avg Week Karuma-Kigumba'!N43+'Avg Week Kigumba-Karuma'!N43</f>
        <v>0</v>
      </c>
      <c r="O43" s="15">
        <f t="shared" si="0"/>
        <v>29.142857142857149</v>
      </c>
      <c r="P43" s="15">
        <f t="shared" si="1"/>
        <v>36.428571428571438</v>
      </c>
    </row>
    <row r="44" spans="2:32" ht="23.1" customHeight="1" x14ac:dyDescent="0.25">
      <c r="B44" s="25" t="s">
        <v>71</v>
      </c>
      <c r="C44" s="49">
        <f>'Avg Week Karuma-Kigumba'!C44+'Avg Week Kigumba-Karuma'!C44</f>
        <v>5</v>
      </c>
      <c r="D44" s="49">
        <f>'Avg Week Karuma-Kigumba'!D44+'Avg Week Kigumba-Karuma'!D44</f>
        <v>4.7142857142857144</v>
      </c>
      <c r="E44" s="49">
        <f>'Avg Week Karuma-Kigumba'!E44+'Avg Week Kigumba-Karuma'!E44</f>
        <v>7.7142857142857153</v>
      </c>
      <c r="F44" s="49">
        <f>'Avg Week Karuma-Kigumba'!F44+'Avg Week Kigumba-Karuma'!F44</f>
        <v>2.2857142857142856</v>
      </c>
      <c r="G44" s="49">
        <f>'Avg Week Karuma-Kigumba'!G44+'Avg Week Kigumba-Karuma'!G44</f>
        <v>0.14285714285714285</v>
      </c>
      <c r="H44" s="49">
        <f>'Avg Week Karuma-Kigumba'!H44+'Avg Week Kigumba-Karuma'!H44</f>
        <v>3.4285714285714288</v>
      </c>
      <c r="I44" s="49">
        <f>'Avg Week Karuma-Kigumba'!I44+'Avg Week Kigumba-Karuma'!I44</f>
        <v>2.7142857142857144</v>
      </c>
      <c r="J44" s="49">
        <f>'Avg Week Karuma-Kigumba'!J44+'Avg Week Kigumba-Karuma'!J44</f>
        <v>0.8571428571428571</v>
      </c>
      <c r="K44" s="49">
        <f>'Avg Week Karuma-Kigumba'!K44+'Avg Week Kigumba-Karuma'!K44</f>
        <v>0.14285714285714285</v>
      </c>
      <c r="L44" s="49">
        <f>'Avg Week Karuma-Kigumba'!L44+'Avg Week Kigumba-Karuma'!L44</f>
        <v>2.5714285714285712</v>
      </c>
      <c r="M44" s="49">
        <f>'Avg Week Karuma-Kigumba'!M44+'Avg Week Kigumba-Karuma'!M44</f>
        <v>10.428571428571427</v>
      </c>
      <c r="N44" s="49">
        <f>'Avg Week Karuma-Kigumba'!N44+'Avg Week Kigumba-Karuma'!N44</f>
        <v>0.14285714285714285</v>
      </c>
      <c r="O44" s="15">
        <f t="shared" si="0"/>
        <v>29.714285714285712</v>
      </c>
      <c r="P44" s="15">
        <f t="shared" si="1"/>
        <v>40.142857142857146</v>
      </c>
    </row>
    <row r="45" spans="2:32" ht="23.1" customHeight="1" x14ac:dyDescent="0.25">
      <c r="B45" s="23" t="s">
        <v>72</v>
      </c>
      <c r="C45" s="49">
        <f>'Avg Week Karuma-Kigumba'!C45+'Avg Week Kigumba-Karuma'!C45</f>
        <v>4.2857142857142856</v>
      </c>
      <c r="D45" s="49">
        <f>'Avg Week Karuma-Kigumba'!D45+'Avg Week Kigumba-Karuma'!D45</f>
        <v>4.1428571428571423</v>
      </c>
      <c r="E45" s="49">
        <f>'Avg Week Karuma-Kigumba'!E45+'Avg Week Kigumba-Karuma'!E45</f>
        <v>7.4285714285714288</v>
      </c>
      <c r="F45" s="49">
        <f>'Avg Week Karuma-Kigumba'!F45+'Avg Week Kigumba-Karuma'!F45</f>
        <v>3.5714285714285712</v>
      </c>
      <c r="G45" s="49">
        <f>'Avg Week Karuma-Kigumba'!G45+'Avg Week Kigumba-Karuma'!G45</f>
        <v>0.14285714285714285</v>
      </c>
      <c r="H45" s="49">
        <f>'Avg Week Karuma-Kigumba'!H45+'Avg Week Kigumba-Karuma'!H45</f>
        <v>2.5714285714285712</v>
      </c>
      <c r="I45" s="49">
        <f>'Avg Week Karuma-Kigumba'!I45+'Avg Week Kigumba-Karuma'!I45</f>
        <v>4.2857142857142856</v>
      </c>
      <c r="J45" s="49">
        <f>'Avg Week Karuma-Kigumba'!J45+'Avg Week Kigumba-Karuma'!J45</f>
        <v>0.2857142857142857</v>
      </c>
      <c r="K45" s="49">
        <f>'Avg Week Karuma-Kigumba'!K45+'Avg Week Kigumba-Karuma'!K45</f>
        <v>0.14285714285714285</v>
      </c>
      <c r="L45" s="49">
        <f>'Avg Week Karuma-Kigumba'!L45+'Avg Week Kigumba-Karuma'!L45</f>
        <v>1.5714285714285714</v>
      </c>
      <c r="M45" s="49">
        <f>'Avg Week Karuma-Kigumba'!M45+'Avg Week Kigumba-Karuma'!M45</f>
        <v>10.285714285714285</v>
      </c>
      <c r="N45" s="49">
        <f>'Avg Week Karuma-Kigumba'!N45+'Avg Week Kigumba-Karuma'!N45</f>
        <v>0</v>
      </c>
      <c r="O45" s="15">
        <f t="shared" si="0"/>
        <v>28.428571428571423</v>
      </c>
      <c r="P45" s="15">
        <f t="shared" si="1"/>
        <v>38.714285714285708</v>
      </c>
    </row>
    <row r="46" spans="2:32" ht="23.1" customHeight="1" x14ac:dyDescent="0.25">
      <c r="B46" s="24" t="s">
        <v>73</v>
      </c>
      <c r="C46" s="49">
        <f>'Avg Week Karuma-Kigumba'!C46+'Avg Week Kigumba-Karuma'!C46</f>
        <v>3.5714285714285712</v>
      </c>
      <c r="D46" s="49">
        <f>'Avg Week Karuma-Kigumba'!D46+'Avg Week Kigumba-Karuma'!D46</f>
        <v>3.4285714285714288</v>
      </c>
      <c r="E46" s="49">
        <f>'Avg Week Karuma-Kigumba'!E46+'Avg Week Kigumba-Karuma'!E46</f>
        <v>7.1428571428571423</v>
      </c>
      <c r="F46" s="49">
        <f>'Avg Week Karuma-Kigumba'!F46+'Avg Week Kigumba-Karuma'!F46</f>
        <v>3.5714285714285712</v>
      </c>
      <c r="G46" s="49">
        <f>'Avg Week Karuma-Kigumba'!G46+'Avg Week Kigumba-Karuma'!G46</f>
        <v>0.14285714285714285</v>
      </c>
      <c r="H46" s="49">
        <f>'Avg Week Karuma-Kigumba'!H46+'Avg Week Kigumba-Karuma'!H46</f>
        <v>2.8571428571428568</v>
      </c>
      <c r="I46" s="49">
        <f>'Avg Week Karuma-Kigumba'!I46+'Avg Week Kigumba-Karuma'!I46</f>
        <v>3.1428571428571432</v>
      </c>
      <c r="J46" s="49">
        <f>'Avg Week Karuma-Kigumba'!J46+'Avg Week Kigumba-Karuma'!J46</f>
        <v>1</v>
      </c>
      <c r="K46" s="49">
        <f>'Avg Week Karuma-Kigumba'!K46+'Avg Week Kigumba-Karuma'!K46</f>
        <v>0.8571428571428571</v>
      </c>
      <c r="L46" s="49">
        <f>'Avg Week Karuma-Kigumba'!L46+'Avg Week Kigumba-Karuma'!L46</f>
        <v>1.8571428571428572</v>
      </c>
      <c r="M46" s="49">
        <f>'Avg Week Karuma-Kigumba'!M46+'Avg Week Kigumba-Karuma'!M46</f>
        <v>9.2857142857142847</v>
      </c>
      <c r="N46" s="49">
        <f>'Avg Week Karuma-Kigumba'!N46+'Avg Week Kigumba-Karuma'!N46</f>
        <v>0</v>
      </c>
      <c r="O46" s="15">
        <f t="shared" si="0"/>
        <v>27.571428571428573</v>
      </c>
      <c r="P46" s="15">
        <f t="shared" si="1"/>
        <v>36.857142857142861</v>
      </c>
      <c r="R46" s="8"/>
      <c r="T46"/>
    </row>
    <row r="47" spans="2:32" ht="23.1" customHeight="1" x14ac:dyDescent="0.25">
      <c r="B47" s="24" t="s">
        <v>74</v>
      </c>
      <c r="C47" s="49">
        <f>'Avg Week Karuma-Kigumba'!C47+'Avg Week Kigumba-Karuma'!C47</f>
        <v>5.4285714285714288</v>
      </c>
      <c r="D47" s="49">
        <f>'Avg Week Karuma-Kigumba'!D47+'Avg Week Kigumba-Karuma'!D47</f>
        <v>3.7142857142857144</v>
      </c>
      <c r="E47" s="49">
        <f>'Avg Week Karuma-Kigumba'!E47+'Avg Week Kigumba-Karuma'!E47</f>
        <v>6.4285714285714288</v>
      </c>
      <c r="F47" s="49">
        <f>'Avg Week Karuma-Kigumba'!F47+'Avg Week Kigumba-Karuma'!F47</f>
        <v>5.2857142857142865</v>
      </c>
      <c r="G47" s="49">
        <f>'Avg Week Karuma-Kigumba'!G47+'Avg Week Kigumba-Karuma'!G47</f>
        <v>0.42857142857142855</v>
      </c>
      <c r="H47" s="49">
        <f>'Avg Week Karuma-Kigumba'!H47+'Avg Week Kigumba-Karuma'!H47</f>
        <v>2.4285714285714284</v>
      </c>
      <c r="I47" s="49">
        <f>'Avg Week Karuma-Kigumba'!I47+'Avg Week Kigumba-Karuma'!I47</f>
        <v>3.7142857142857144</v>
      </c>
      <c r="J47" s="49">
        <f>'Avg Week Karuma-Kigumba'!J47+'Avg Week Kigumba-Karuma'!J47</f>
        <v>0.5714285714285714</v>
      </c>
      <c r="K47" s="49">
        <f>'Avg Week Karuma-Kigumba'!K47+'Avg Week Kigumba-Karuma'!K47</f>
        <v>0.5714285714285714</v>
      </c>
      <c r="L47" s="49">
        <f>'Avg Week Karuma-Kigumba'!L47+'Avg Week Kigumba-Karuma'!L47</f>
        <v>3</v>
      </c>
      <c r="M47" s="49">
        <f>'Avg Week Karuma-Kigumba'!M47+'Avg Week Kigumba-Karuma'!M47</f>
        <v>9.1428571428571423</v>
      </c>
      <c r="N47" s="49">
        <f>'Avg Week Karuma-Kigumba'!N47+'Avg Week Kigumba-Karuma'!N47</f>
        <v>0.14285714285714285</v>
      </c>
      <c r="O47" s="15">
        <f t="shared" si="0"/>
        <v>31.714285714285715</v>
      </c>
      <c r="P47" s="15">
        <f t="shared" si="1"/>
        <v>40.857142857142861</v>
      </c>
      <c r="R47" s="8"/>
      <c r="T47"/>
    </row>
    <row r="48" spans="2:32" ht="23.1" customHeight="1" x14ac:dyDescent="0.25">
      <c r="B48" s="24" t="s">
        <v>75</v>
      </c>
      <c r="C48" s="49">
        <f>'Avg Week Karuma-Kigumba'!C48+'Avg Week Kigumba-Karuma'!C48</f>
        <v>5</v>
      </c>
      <c r="D48" s="49">
        <f>'Avg Week Karuma-Kigumba'!D48+'Avg Week Kigumba-Karuma'!D48</f>
        <v>4.7142857142857144</v>
      </c>
      <c r="E48" s="49">
        <f>'Avg Week Karuma-Kigumba'!E48+'Avg Week Kigumba-Karuma'!E48</f>
        <v>8.7142857142857153</v>
      </c>
      <c r="F48" s="49">
        <f>'Avg Week Karuma-Kigumba'!F48+'Avg Week Kigumba-Karuma'!F48</f>
        <v>3.8571428571428572</v>
      </c>
      <c r="G48" s="49">
        <f>'Avg Week Karuma-Kigumba'!G48+'Avg Week Kigumba-Karuma'!G48</f>
        <v>0.14285714285714285</v>
      </c>
      <c r="H48" s="49">
        <f>'Avg Week Karuma-Kigumba'!H48+'Avg Week Kigumba-Karuma'!H48</f>
        <v>2.4285714285714284</v>
      </c>
      <c r="I48" s="49">
        <f>'Avg Week Karuma-Kigumba'!I48+'Avg Week Kigumba-Karuma'!I48</f>
        <v>3.2857142857142856</v>
      </c>
      <c r="J48" s="49">
        <f>'Avg Week Karuma-Kigumba'!J48+'Avg Week Kigumba-Karuma'!J48</f>
        <v>0.5714285714285714</v>
      </c>
      <c r="K48" s="49">
        <f>'Avg Week Karuma-Kigumba'!K48+'Avg Week Kigumba-Karuma'!K48</f>
        <v>0.2857142857142857</v>
      </c>
      <c r="L48" s="49">
        <f>'Avg Week Karuma-Kigumba'!L48+'Avg Week Kigumba-Karuma'!L48</f>
        <v>3.7142857142857144</v>
      </c>
      <c r="M48" s="49">
        <f>'Avg Week Karuma-Kigumba'!M48+'Avg Week Kigumba-Karuma'!M48</f>
        <v>9.2857142857142847</v>
      </c>
      <c r="N48" s="49">
        <f>'Avg Week Karuma-Kigumba'!N48+'Avg Week Kigumba-Karuma'!N48</f>
        <v>0</v>
      </c>
      <c r="O48" s="15">
        <f t="shared" si="0"/>
        <v>32.714285714285715</v>
      </c>
      <c r="P48" s="15">
        <f t="shared" si="1"/>
        <v>42</v>
      </c>
      <c r="R48" s="8"/>
      <c r="T48"/>
    </row>
    <row r="49" spans="2:20" ht="23.1" customHeight="1" x14ac:dyDescent="0.25">
      <c r="B49" s="23" t="s">
        <v>76</v>
      </c>
      <c r="C49" s="49">
        <f>'Avg Week Karuma-Kigumba'!C49+'Avg Week Kigumba-Karuma'!C49</f>
        <v>5.2857142857142856</v>
      </c>
      <c r="D49" s="49">
        <f>'Avg Week Karuma-Kigumba'!D49+'Avg Week Kigumba-Karuma'!D49</f>
        <v>5.2857142857142856</v>
      </c>
      <c r="E49" s="49">
        <f>'Avg Week Karuma-Kigumba'!E49+'Avg Week Kigumba-Karuma'!E49</f>
        <v>9</v>
      </c>
      <c r="F49" s="49">
        <f>'Avg Week Karuma-Kigumba'!F49+'Avg Week Kigumba-Karuma'!F49</f>
        <v>2.5714285714285712</v>
      </c>
      <c r="G49" s="49">
        <f>'Avg Week Karuma-Kigumba'!G49+'Avg Week Kigumba-Karuma'!G49</f>
        <v>0.14285714285714285</v>
      </c>
      <c r="H49" s="49">
        <f>'Avg Week Karuma-Kigumba'!H49+'Avg Week Kigumba-Karuma'!H49</f>
        <v>2.4285714285714288</v>
      </c>
      <c r="I49" s="49">
        <f>'Avg Week Karuma-Kigumba'!I49+'Avg Week Kigumba-Karuma'!I49</f>
        <v>6.4285714285714288</v>
      </c>
      <c r="J49" s="49">
        <f>'Avg Week Karuma-Kigumba'!J49+'Avg Week Kigumba-Karuma'!J49</f>
        <v>0.42857142857142855</v>
      </c>
      <c r="K49" s="49">
        <f>'Avg Week Karuma-Kigumba'!K49+'Avg Week Kigumba-Karuma'!K49</f>
        <v>0.2857142857142857</v>
      </c>
      <c r="L49" s="49">
        <f>'Avg Week Karuma-Kigumba'!L49+'Avg Week Kigumba-Karuma'!L49</f>
        <v>2.8571428571428572</v>
      </c>
      <c r="M49" s="49">
        <f>'Avg Week Karuma-Kigumba'!M49+'Avg Week Kigumba-Karuma'!M49</f>
        <v>9.4285714285714288</v>
      </c>
      <c r="N49" s="49">
        <f>'Avg Week Karuma-Kigumba'!N49+'Avg Week Kigumba-Karuma'!N49</f>
        <v>0</v>
      </c>
      <c r="O49" s="15">
        <f t="shared" si="0"/>
        <v>34.714285714285708</v>
      </c>
      <c r="P49" s="15">
        <f t="shared" si="1"/>
        <v>44.142857142857139</v>
      </c>
      <c r="R49" s="8"/>
      <c r="T49"/>
    </row>
    <row r="50" spans="2:20" ht="23.1" customHeight="1" x14ac:dyDescent="0.25">
      <c r="B50" s="24" t="s">
        <v>77</v>
      </c>
      <c r="C50" s="49">
        <f>'Avg Week Karuma-Kigumba'!C50+'Avg Week Kigumba-Karuma'!C50</f>
        <v>3.5714285714285712</v>
      </c>
      <c r="D50" s="49">
        <f>'Avg Week Karuma-Kigumba'!D50+'Avg Week Kigumba-Karuma'!D50</f>
        <v>3.7142857142857144</v>
      </c>
      <c r="E50" s="49">
        <f>'Avg Week Karuma-Kigumba'!E50+'Avg Week Kigumba-Karuma'!E50</f>
        <v>6.4285714285714288</v>
      </c>
      <c r="F50" s="49">
        <f>'Avg Week Karuma-Kigumba'!F50+'Avg Week Kigumba-Karuma'!F50</f>
        <v>3.8571428571428572</v>
      </c>
      <c r="G50" s="49">
        <f>'Avg Week Karuma-Kigumba'!G50+'Avg Week Kigumba-Karuma'!G50</f>
        <v>0</v>
      </c>
      <c r="H50" s="49">
        <f>'Avg Week Karuma-Kigumba'!H50+'Avg Week Kigumba-Karuma'!H50</f>
        <v>3.8571428571428568</v>
      </c>
      <c r="I50" s="49">
        <f>'Avg Week Karuma-Kigumba'!I50+'Avg Week Kigumba-Karuma'!I50</f>
        <v>4.4285714285714288</v>
      </c>
      <c r="J50" s="49">
        <f>'Avg Week Karuma-Kigumba'!J50+'Avg Week Kigumba-Karuma'!J50</f>
        <v>0.8571428571428571</v>
      </c>
      <c r="K50" s="49">
        <f>'Avg Week Karuma-Kigumba'!K50+'Avg Week Kigumba-Karuma'!K50</f>
        <v>1</v>
      </c>
      <c r="L50" s="49">
        <f>'Avg Week Karuma-Kigumba'!L50+'Avg Week Kigumba-Karuma'!L50</f>
        <v>2.5714285714285712</v>
      </c>
      <c r="M50" s="49">
        <f>'Avg Week Karuma-Kigumba'!M50+'Avg Week Kigumba-Karuma'!M50</f>
        <v>9.7142857142857153</v>
      </c>
      <c r="N50" s="49">
        <f>'Avg Week Karuma-Kigumba'!N50+'Avg Week Kigumba-Karuma'!N50</f>
        <v>0</v>
      </c>
      <c r="O50" s="15">
        <f t="shared" si="0"/>
        <v>30.285714285714292</v>
      </c>
      <c r="P50" s="15">
        <f t="shared" si="1"/>
        <v>40.000000000000007</v>
      </c>
      <c r="R50" s="8"/>
      <c r="T50"/>
    </row>
    <row r="51" spans="2:20" ht="23.1" customHeight="1" x14ac:dyDescent="0.25">
      <c r="B51" s="24" t="s">
        <v>78</v>
      </c>
      <c r="C51" s="49">
        <f>'Avg Week Karuma-Kigumba'!C51+'Avg Week Kigumba-Karuma'!C51</f>
        <v>3.2857142857142856</v>
      </c>
      <c r="D51" s="49">
        <f>'Avg Week Karuma-Kigumba'!D51+'Avg Week Kigumba-Karuma'!D51</f>
        <v>3.8571428571428568</v>
      </c>
      <c r="E51" s="49">
        <f>'Avg Week Karuma-Kigumba'!E51+'Avg Week Kigumba-Karuma'!E51</f>
        <v>7.1428571428571432</v>
      </c>
      <c r="F51" s="49">
        <f>'Avg Week Karuma-Kigumba'!F51+'Avg Week Kigumba-Karuma'!F51</f>
        <v>3</v>
      </c>
      <c r="G51" s="49">
        <f>'Avg Week Karuma-Kigumba'!G51+'Avg Week Kigumba-Karuma'!G51</f>
        <v>0</v>
      </c>
      <c r="H51" s="49">
        <f>'Avg Week Karuma-Kigumba'!H51+'Avg Week Kigumba-Karuma'!H51</f>
        <v>1.7142857142857144</v>
      </c>
      <c r="I51" s="49">
        <f>'Avg Week Karuma-Kigumba'!I51+'Avg Week Kigumba-Karuma'!I51</f>
        <v>4</v>
      </c>
      <c r="J51" s="49">
        <f>'Avg Week Karuma-Kigumba'!J51+'Avg Week Kigumba-Karuma'!J51</f>
        <v>0.85714285714285721</v>
      </c>
      <c r="K51" s="49">
        <f>'Avg Week Karuma-Kigumba'!K51+'Avg Week Kigumba-Karuma'!K51</f>
        <v>0.2857142857142857</v>
      </c>
      <c r="L51" s="49">
        <f>'Avg Week Karuma-Kigumba'!L51+'Avg Week Kigumba-Karuma'!L51</f>
        <v>2.2857142857142856</v>
      </c>
      <c r="M51" s="49">
        <f>'Avg Week Karuma-Kigumba'!M51+'Avg Week Kigumba-Karuma'!M51</f>
        <v>9</v>
      </c>
      <c r="N51" s="49">
        <f>'Avg Week Karuma-Kigumba'!N51+'Avg Week Kigumba-Karuma'!N51</f>
        <v>0</v>
      </c>
      <c r="O51" s="15">
        <f t="shared" si="0"/>
        <v>26.428571428571427</v>
      </c>
      <c r="P51" s="15">
        <f t="shared" si="1"/>
        <v>35.428571428571431</v>
      </c>
      <c r="R51" s="8"/>
      <c r="T51"/>
    </row>
    <row r="52" spans="2:20" ht="23.1" customHeight="1" x14ac:dyDescent="0.25">
      <c r="B52" s="24" t="s">
        <v>79</v>
      </c>
      <c r="C52" s="49">
        <f>'Avg Week Karuma-Kigumba'!C52+'Avg Week Kigumba-Karuma'!C52</f>
        <v>4.2857142857142856</v>
      </c>
      <c r="D52" s="49">
        <f>'Avg Week Karuma-Kigumba'!D52+'Avg Week Kigumba-Karuma'!D52</f>
        <v>5.1428571428571423</v>
      </c>
      <c r="E52" s="49">
        <f>'Avg Week Karuma-Kigumba'!E52+'Avg Week Kigumba-Karuma'!E52</f>
        <v>8.8571428571428577</v>
      </c>
      <c r="F52" s="49">
        <f>'Avg Week Karuma-Kigumba'!F52+'Avg Week Kigumba-Karuma'!F52</f>
        <v>3.7142857142857144</v>
      </c>
      <c r="G52" s="49">
        <f>'Avg Week Karuma-Kigumba'!G52+'Avg Week Kigumba-Karuma'!G52</f>
        <v>0.2857142857142857</v>
      </c>
      <c r="H52" s="49">
        <f>'Avg Week Karuma-Kigumba'!H52+'Avg Week Kigumba-Karuma'!H52</f>
        <v>2.1428571428571428</v>
      </c>
      <c r="I52" s="49">
        <f>'Avg Week Karuma-Kigumba'!I52+'Avg Week Kigumba-Karuma'!I52</f>
        <v>4.7142857142857144</v>
      </c>
      <c r="J52" s="49">
        <f>'Avg Week Karuma-Kigumba'!J52+'Avg Week Kigumba-Karuma'!J52</f>
        <v>0.8571428571428571</v>
      </c>
      <c r="K52" s="49">
        <f>'Avg Week Karuma-Kigumba'!K52+'Avg Week Kigumba-Karuma'!K52</f>
        <v>0.5714285714285714</v>
      </c>
      <c r="L52" s="49">
        <f>'Avg Week Karuma-Kigumba'!L52+'Avg Week Kigumba-Karuma'!L52</f>
        <v>3.2857142857142856</v>
      </c>
      <c r="M52" s="49">
        <f>'Avg Week Karuma-Kigumba'!M52+'Avg Week Kigumba-Karuma'!M52</f>
        <v>10</v>
      </c>
      <c r="N52" s="49">
        <f>'Avg Week Karuma-Kigumba'!N52+'Avg Week Kigumba-Karuma'!N52</f>
        <v>0.42857142857142855</v>
      </c>
      <c r="O52" s="15">
        <f t="shared" si="0"/>
        <v>34.285714285714292</v>
      </c>
      <c r="P52" s="15">
        <f t="shared" si="1"/>
        <v>44.285714285714292</v>
      </c>
      <c r="R52" s="8"/>
      <c r="T52"/>
    </row>
    <row r="53" spans="2:20" ht="23.1" customHeight="1" x14ac:dyDescent="0.25">
      <c r="B53" s="23" t="s">
        <v>80</v>
      </c>
      <c r="C53" s="49">
        <f>'Avg Week Karuma-Kigumba'!C53+'Avg Week Kigumba-Karuma'!C53</f>
        <v>3.5714285714285712</v>
      </c>
      <c r="D53" s="49">
        <f>'Avg Week Karuma-Kigumba'!D53+'Avg Week Kigumba-Karuma'!D53</f>
        <v>3.1428571428571428</v>
      </c>
      <c r="E53" s="49">
        <f>'Avg Week Karuma-Kigumba'!E53+'Avg Week Kigumba-Karuma'!E53</f>
        <v>5.5714285714285712</v>
      </c>
      <c r="F53" s="49">
        <f>'Avg Week Karuma-Kigumba'!F53+'Avg Week Kigumba-Karuma'!F53</f>
        <v>3.5714285714285712</v>
      </c>
      <c r="G53" s="49">
        <f>'Avg Week Karuma-Kigumba'!G53+'Avg Week Kigumba-Karuma'!G53</f>
        <v>0</v>
      </c>
      <c r="H53" s="49">
        <f>'Avg Week Karuma-Kigumba'!H53+'Avg Week Kigumba-Karuma'!H53</f>
        <v>2.4285714285714288</v>
      </c>
      <c r="I53" s="49">
        <f>'Avg Week Karuma-Kigumba'!I53+'Avg Week Kigumba-Karuma'!I53</f>
        <v>4</v>
      </c>
      <c r="J53" s="49">
        <f>'Avg Week Karuma-Kigumba'!J53+'Avg Week Kigumba-Karuma'!J53</f>
        <v>1.1428571428571428</v>
      </c>
      <c r="K53" s="49">
        <f>'Avg Week Karuma-Kigumba'!K53+'Avg Week Kigumba-Karuma'!K53</f>
        <v>0.42857142857142855</v>
      </c>
      <c r="L53" s="49">
        <f>'Avg Week Karuma-Kigumba'!L53+'Avg Week Kigumba-Karuma'!L53</f>
        <v>3.2857142857142856</v>
      </c>
      <c r="M53" s="49">
        <f>'Avg Week Karuma-Kigumba'!M53+'Avg Week Kigumba-Karuma'!M53</f>
        <v>9.7142857142857135</v>
      </c>
      <c r="N53" s="49">
        <f>'Avg Week Karuma-Kigumba'!N53+'Avg Week Kigumba-Karuma'!N53</f>
        <v>0</v>
      </c>
      <c r="O53" s="15">
        <f t="shared" si="0"/>
        <v>27.142857142857139</v>
      </c>
      <c r="P53" s="15">
        <f t="shared" si="1"/>
        <v>36.857142857142854</v>
      </c>
      <c r="R53" s="8"/>
      <c r="T53"/>
    </row>
    <row r="54" spans="2:20" ht="23.1" customHeight="1" x14ac:dyDescent="0.25">
      <c r="B54" s="23" t="s">
        <v>81</v>
      </c>
      <c r="C54" s="49">
        <f>'Avg Week Karuma-Kigumba'!C54+'Avg Week Kigumba-Karuma'!C54</f>
        <v>3.7142857142857144</v>
      </c>
      <c r="D54" s="49">
        <f>'Avg Week Karuma-Kigumba'!D54+'Avg Week Kigumba-Karuma'!D54</f>
        <v>4.4285714285714288</v>
      </c>
      <c r="E54" s="49">
        <f>'Avg Week Karuma-Kigumba'!E54+'Avg Week Kigumba-Karuma'!E54</f>
        <v>8</v>
      </c>
      <c r="F54" s="49">
        <f>'Avg Week Karuma-Kigumba'!F54+'Avg Week Kigumba-Karuma'!F54</f>
        <v>3.2857142857142856</v>
      </c>
      <c r="G54" s="49">
        <f>'Avg Week Karuma-Kigumba'!G54+'Avg Week Kigumba-Karuma'!G54</f>
        <v>0</v>
      </c>
      <c r="H54" s="49">
        <f>'Avg Week Karuma-Kigumba'!H54+'Avg Week Kigumba-Karuma'!H54</f>
        <v>1.8571428571428572</v>
      </c>
      <c r="I54" s="49">
        <f>'Avg Week Karuma-Kigumba'!I54+'Avg Week Kigumba-Karuma'!I54</f>
        <v>4.7142857142857144</v>
      </c>
      <c r="J54" s="49">
        <f>'Avg Week Karuma-Kigumba'!J54+'Avg Week Kigumba-Karuma'!J54</f>
        <v>1.1428571428571428</v>
      </c>
      <c r="K54" s="49">
        <f>'Avg Week Karuma-Kigumba'!K54+'Avg Week Kigumba-Karuma'!K54</f>
        <v>0.14285714285714285</v>
      </c>
      <c r="L54" s="49">
        <f>'Avg Week Karuma-Kigumba'!L54+'Avg Week Kigumba-Karuma'!L54</f>
        <v>4</v>
      </c>
      <c r="M54" s="49">
        <f>'Avg Week Karuma-Kigumba'!M54+'Avg Week Kigumba-Karuma'!M54</f>
        <v>9.2857142857142847</v>
      </c>
      <c r="N54" s="49">
        <f>'Avg Week Karuma-Kigumba'!N54+'Avg Week Kigumba-Karuma'!N54</f>
        <v>0</v>
      </c>
      <c r="O54" s="15">
        <f t="shared" si="0"/>
        <v>31.285714285714285</v>
      </c>
      <c r="P54" s="15">
        <f t="shared" si="1"/>
        <v>40.571428571428569</v>
      </c>
      <c r="R54" s="8"/>
      <c r="T54"/>
    </row>
    <row r="55" spans="2:20" ht="23.1" customHeight="1" x14ac:dyDescent="0.25">
      <c r="B55" s="23" t="s">
        <v>82</v>
      </c>
      <c r="C55" s="49">
        <f>'Avg Week Karuma-Kigumba'!C55+'Avg Week Kigumba-Karuma'!C55</f>
        <v>4.2857142857142856</v>
      </c>
      <c r="D55" s="49">
        <f>'Avg Week Karuma-Kigumba'!D55+'Avg Week Kigumba-Karuma'!D55</f>
        <v>3.4285714285714288</v>
      </c>
      <c r="E55" s="49">
        <f>'Avg Week Karuma-Kigumba'!E55+'Avg Week Kigumba-Karuma'!E55</f>
        <v>6.2857142857142865</v>
      </c>
      <c r="F55" s="49">
        <f>'Avg Week Karuma-Kigumba'!F55+'Avg Week Kigumba-Karuma'!F55</f>
        <v>3.5714285714285712</v>
      </c>
      <c r="G55" s="49">
        <f>'Avg Week Karuma-Kigumba'!G55+'Avg Week Kigumba-Karuma'!G55</f>
        <v>0.2857142857142857</v>
      </c>
      <c r="H55" s="49">
        <f>'Avg Week Karuma-Kigumba'!H55+'Avg Week Kigumba-Karuma'!H55</f>
        <v>2</v>
      </c>
      <c r="I55" s="49">
        <f>'Avg Week Karuma-Kigumba'!I55+'Avg Week Kigumba-Karuma'!I55</f>
        <v>4.4285714285714288</v>
      </c>
      <c r="J55" s="49">
        <f>'Avg Week Karuma-Kigumba'!J55+'Avg Week Kigumba-Karuma'!J55</f>
        <v>0.5714285714285714</v>
      </c>
      <c r="K55" s="49">
        <f>'Avg Week Karuma-Kigumba'!K55+'Avg Week Kigumba-Karuma'!K55</f>
        <v>0.71428571428571419</v>
      </c>
      <c r="L55" s="49">
        <f>'Avg Week Karuma-Kigumba'!L55+'Avg Week Kigumba-Karuma'!L55</f>
        <v>3.2857142857142856</v>
      </c>
      <c r="M55" s="49">
        <f>'Avg Week Karuma-Kigumba'!M55+'Avg Week Kigumba-Karuma'!M55</f>
        <v>9.8571428571428577</v>
      </c>
      <c r="N55" s="49">
        <f>'Avg Week Karuma-Kigumba'!N55+'Avg Week Kigumba-Karuma'!N55</f>
        <v>0</v>
      </c>
      <c r="O55" s="15">
        <f t="shared" si="0"/>
        <v>28.857142857142858</v>
      </c>
      <c r="P55" s="15">
        <f t="shared" si="1"/>
        <v>38.714285714285715</v>
      </c>
      <c r="R55" s="8"/>
      <c r="T55"/>
    </row>
    <row r="56" spans="2:20" ht="23.1" customHeight="1" x14ac:dyDescent="0.25">
      <c r="B56" s="23" t="s">
        <v>83</v>
      </c>
      <c r="C56" s="49">
        <f>'Avg Week Karuma-Kigumba'!C56+'Avg Week Kigumba-Karuma'!C56</f>
        <v>5.2857142857142856</v>
      </c>
      <c r="D56" s="49">
        <f>'Avg Week Karuma-Kigumba'!D56+'Avg Week Kigumba-Karuma'!D56</f>
        <v>2.7142857142857144</v>
      </c>
      <c r="E56" s="49">
        <f>'Avg Week Karuma-Kigumba'!E56+'Avg Week Kigumba-Karuma'!E56</f>
        <v>6</v>
      </c>
      <c r="F56" s="49">
        <f>'Avg Week Karuma-Kigumba'!F56+'Avg Week Kigumba-Karuma'!F56</f>
        <v>3.4285714285714284</v>
      </c>
      <c r="G56" s="49">
        <f>'Avg Week Karuma-Kigumba'!G56+'Avg Week Kigumba-Karuma'!G56</f>
        <v>0</v>
      </c>
      <c r="H56" s="49">
        <f>'Avg Week Karuma-Kigumba'!H56+'Avg Week Kigumba-Karuma'!H56</f>
        <v>2.2857142857142856</v>
      </c>
      <c r="I56" s="49">
        <f>'Avg Week Karuma-Kigumba'!I56+'Avg Week Kigumba-Karuma'!I56</f>
        <v>4.5714285714285712</v>
      </c>
      <c r="J56" s="49">
        <f>'Avg Week Karuma-Kigumba'!J56+'Avg Week Kigumba-Karuma'!J56</f>
        <v>1.1428571428571428</v>
      </c>
      <c r="K56" s="49">
        <f>'Avg Week Karuma-Kigumba'!K56+'Avg Week Kigumba-Karuma'!K56</f>
        <v>0.42857142857142855</v>
      </c>
      <c r="L56" s="49">
        <f>'Avg Week Karuma-Kigumba'!L56+'Avg Week Kigumba-Karuma'!L56</f>
        <v>3.4285714285714288</v>
      </c>
      <c r="M56" s="49">
        <f>'Avg Week Karuma-Kigumba'!M56+'Avg Week Kigumba-Karuma'!M56</f>
        <v>9.2857142857142847</v>
      </c>
      <c r="N56" s="49">
        <f>'Avg Week Karuma-Kigumba'!N56+'Avg Week Kigumba-Karuma'!N56</f>
        <v>0</v>
      </c>
      <c r="O56" s="15">
        <f t="shared" si="0"/>
        <v>29.285714285714285</v>
      </c>
      <c r="P56" s="15">
        <f t="shared" si="1"/>
        <v>38.571428571428569</v>
      </c>
      <c r="R56" s="8"/>
      <c r="T56"/>
    </row>
    <row r="57" spans="2:20" ht="23.1" customHeight="1" x14ac:dyDescent="0.25">
      <c r="B57" s="23" t="s">
        <v>84</v>
      </c>
      <c r="C57" s="49">
        <f>'Avg Week Karuma-Kigumba'!C57+'Avg Week Kigumba-Karuma'!C57</f>
        <v>3</v>
      </c>
      <c r="D57" s="49">
        <f>'Avg Week Karuma-Kigumba'!D57+'Avg Week Kigumba-Karuma'!D57</f>
        <v>3.5714285714285716</v>
      </c>
      <c r="E57" s="49">
        <f>'Avg Week Karuma-Kigumba'!E57+'Avg Week Kigumba-Karuma'!E57</f>
        <v>6.5714285714285712</v>
      </c>
      <c r="F57" s="49">
        <f>'Avg Week Karuma-Kigumba'!F57+'Avg Week Kigumba-Karuma'!F57</f>
        <v>3.5714285714285712</v>
      </c>
      <c r="G57" s="49">
        <f>'Avg Week Karuma-Kigumba'!G57+'Avg Week Kigumba-Karuma'!G57</f>
        <v>0</v>
      </c>
      <c r="H57" s="49">
        <f>'Avg Week Karuma-Kigumba'!H57+'Avg Week Kigumba-Karuma'!H57</f>
        <v>1</v>
      </c>
      <c r="I57" s="49">
        <f>'Avg Week Karuma-Kigumba'!I57+'Avg Week Kigumba-Karuma'!I57</f>
        <v>4.2857142857142856</v>
      </c>
      <c r="J57" s="49">
        <f>'Avg Week Karuma-Kigumba'!J57+'Avg Week Kigumba-Karuma'!J57</f>
        <v>1.1428571428571428</v>
      </c>
      <c r="K57" s="49">
        <f>'Avg Week Karuma-Kigumba'!K57+'Avg Week Kigumba-Karuma'!K57</f>
        <v>0.2857142857142857</v>
      </c>
      <c r="L57" s="49">
        <f>'Avg Week Karuma-Kigumba'!L57+'Avg Week Kigumba-Karuma'!L57</f>
        <v>3.7142857142857144</v>
      </c>
      <c r="M57" s="49">
        <f>'Avg Week Karuma-Kigumba'!M57+'Avg Week Kigumba-Karuma'!M57</f>
        <v>10.571428571428571</v>
      </c>
      <c r="N57" s="49">
        <f>'Avg Week Karuma-Kigumba'!N57+'Avg Week Kigumba-Karuma'!N57</f>
        <v>0</v>
      </c>
      <c r="O57" s="15">
        <f t="shared" si="0"/>
        <v>27.142857142857142</v>
      </c>
      <c r="P57" s="15">
        <f t="shared" si="1"/>
        <v>37.714285714285715</v>
      </c>
      <c r="R57" s="8"/>
      <c r="T57"/>
    </row>
    <row r="58" spans="2:20" ht="23.1" customHeight="1" x14ac:dyDescent="0.25">
      <c r="B58" s="23" t="s">
        <v>99</v>
      </c>
      <c r="C58" s="49">
        <f>'Avg Week Karuma-Kigumba'!C58+'Avg Week Kigumba-Karuma'!C58</f>
        <v>4</v>
      </c>
      <c r="D58" s="49">
        <f>'Avg Week Karuma-Kigumba'!D58+'Avg Week Kigumba-Karuma'!D58</f>
        <v>2</v>
      </c>
      <c r="E58" s="49">
        <f>'Avg Week Karuma-Kigumba'!E58+'Avg Week Kigumba-Karuma'!E58</f>
        <v>6</v>
      </c>
      <c r="F58" s="49">
        <f>'Avg Week Karuma-Kigumba'!F58+'Avg Week Kigumba-Karuma'!F58</f>
        <v>2.5</v>
      </c>
      <c r="G58" s="49">
        <f>'Avg Week Karuma-Kigumba'!G58+'Avg Week Kigumba-Karuma'!G58</f>
        <v>0</v>
      </c>
      <c r="H58" s="49">
        <f>'Avg Week Karuma-Kigumba'!H58+'Avg Week Kigumba-Karuma'!H58</f>
        <v>1</v>
      </c>
      <c r="I58" s="49">
        <f>'Avg Week Karuma-Kigumba'!I58+'Avg Week Kigumba-Karuma'!I58</f>
        <v>3.5</v>
      </c>
      <c r="J58" s="49">
        <f>'Avg Week Karuma-Kigumba'!J58+'Avg Week Kigumba-Karuma'!J58</f>
        <v>1</v>
      </c>
      <c r="K58" s="49">
        <f>'Avg Week Karuma-Kigumba'!K58+'Avg Week Kigumba-Karuma'!K58</f>
        <v>0</v>
      </c>
      <c r="L58" s="49">
        <f>'Avg Week Karuma-Kigumba'!L58+'Avg Week Kigumba-Karuma'!L58</f>
        <v>6</v>
      </c>
      <c r="M58" s="49">
        <f>'Avg Week Karuma-Kigumba'!M58+'Avg Week Kigumba-Karuma'!M58</f>
        <v>7</v>
      </c>
      <c r="N58" s="49">
        <f>'Avg Week Karuma-Kigumba'!N58+'Avg Week Kigumba-Karuma'!N58</f>
        <v>0</v>
      </c>
      <c r="O58" s="15">
        <f t="shared" si="0"/>
        <v>26</v>
      </c>
      <c r="P58" s="15">
        <f t="shared" si="1"/>
        <v>33</v>
      </c>
      <c r="R58" s="8"/>
      <c r="T58"/>
    </row>
    <row r="59" spans="2:20" ht="23.1" customHeight="1" x14ac:dyDescent="0.25">
      <c r="B59" s="23" t="s">
        <v>100</v>
      </c>
      <c r="C59" s="49">
        <f>'Avg Week Karuma-Kigumba'!C59+'Avg Week Kigumba-Karuma'!C59</f>
        <v>3</v>
      </c>
      <c r="D59" s="49">
        <f>'Avg Week Karuma-Kigumba'!D59+'Avg Week Kigumba-Karuma'!D59</f>
        <v>1.5</v>
      </c>
      <c r="E59" s="49">
        <f>'Avg Week Karuma-Kigumba'!E59+'Avg Week Kigumba-Karuma'!E59</f>
        <v>4.5</v>
      </c>
      <c r="F59" s="49">
        <f>'Avg Week Karuma-Kigumba'!F59+'Avg Week Kigumba-Karuma'!F59</f>
        <v>2</v>
      </c>
      <c r="G59" s="49">
        <f>'Avg Week Karuma-Kigumba'!G59+'Avg Week Kigumba-Karuma'!G59</f>
        <v>0</v>
      </c>
      <c r="H59" s="49">
        <f>'Avg Week Karuma-Kigumba'!H59+'Avg Week Kigumba-Karuma'!H59</f>
        <v>0.5</v>
      </c>
      <c r="I59" s="49">
        <f>'Avg Week Karuma-Kigumba'!I59+'Avg Week Kigumba-Karuma'!I59</f>
        <v>2.5</v>
      </c>
      <c r="J59" s="49">
        <f>'Avg Week Karuma-Kigumba'!J59+'Avg Week Kigumba-Karuma'!J59</f>
        <v>1</v>
      </c>
      <c r="K59" s="49">
        <f>'Avg Week Karuma-Kigumba'!K59+'Avg Week Kigumba-Karuma'!K59</f>
        <v>0</v>
      </c>
      <c r="L59" s="49">
        <f>'Avg Week Karuma-Kigumba'!L59+'Avg Week Kigumba-Karuma'!L59</f>
        <v>3</v>
      </c>
      <c r="M59" s="49">
        <f>'Avg Week Karuma-Kigumba'!M59+'Avg Week Kigumba-Karuma'!M59</f>
        <v>5</v>
      </c>
      <c r="N59" s="49">
        <f>'Avg Week Karuma-Kigumba'!N59+'Avg Week Kigumba-Karuma'!N59</f>
        <v>0</v>
      </c>
      <c r="O59" s="15">
        <f t="shared" si="0"/>
        <v>18</v>
      </c>
      <c r="P59" s="15">
        <f t="shared" si="1"/>
        <v>23</v>
      </c>
      <c r="R59" s="8"/>
      <c r="T59"/>
    </row>
    <row r="60" spans="2:20" ht="23.1" customHeight="1" x14ac:dyDescent="0.25">
      <c r="B60" s="23" t="s">
        <v>101</v>
      </c>
      <c r="C60" s="49">
        <f>'Avg Week Karuma-Kigumba'!C60+'Avg Week Kigumba-Karuma'!C60</f>
        <v>2.5</v>
      </c>
      <c r="D60" s="49">
        <f>'Avg Week Karuma-Kigumba'!D60+'Avg Week Kigumba-Karuma'!D60</f>
        <v>0.5</v>
      </c>
      <c r="E60" s="49">
        <f>'Avg Week Karuma-Kigumba'!E60+'Avg Week Kigumba-Karuma'!E60</f>
        <v>5</v>
      </c>
      <c r="F60" s="49">
        <f>'Avg Week Karuma-Kigumba'!F60+'Avg Week Kigumba-Karuma'!F60</f>
        <v>2</v>
      </c>
      <c r="G60" s="49">
        <f>'Avg Week Karuma-Kigumba'!G60+'Avg Week Kigumba-Karuma'!G60</f>
        <v>0</v>
      </c>
      <c r="H60" s="49">
        <f>'Avg Week Karuma-Kigumba'!H60+'Avg Week Kigumba-Karuma'!H60</f>
        <v>0</v>
      </c>
      <c r="I60" s="49">
        <f>'Avg Week Karuma-Kigumba'!I60+'Avg Week Kigumba-Karuma'!I60</f>
        <v>2.5</v>
      </c>
      <c r="J60" s="49">
        <f>'Avg Week Karuma-Kigumba'!J60+'Avg Week Kigumba-Karuma'!J60</f>
        <v>0</v>
      </c>
      <c r="K60" s="49">
        <f>'Avg Week Karuma-Kigumba'!K60+'Avg Week Kigumba-Karuma'!K60</f>
        <v>0</v>
      </c>
      <c r="L60" s="49">
        <f>'Avg Week Karuma-Kigumba'!L60+'Avg Week Kigumba-Karuma'!L60</f>
        <v>2</v>
      </c>
      <c r="M60" s="49">
        <f>'Avg Week Karuma-Kigumba'!M60+'Avg Week Kigumba-Karuma'!M60</f>
        <v>5.5</v>
      </c>
      <c r="N60" s="49">
        <f>'Avg Week Karuma-Kigumba'!N60+'Avg Week Kigumba-Karuma'!N60</f>
        <v>0</v>
      </c>
      <c r="O60" s="15">
        <f t="shared" si="0"/>
        <v>14.5</v>
      </c>
      <c r="P60" s="15">
        <f t="shared" si="1"/>
        <v>20</v>
      </c>
      <c r="R60" s="8"/>
      <c r="T60"/>
    </row>
    <row r="61" spans="2:20" ht="23.1" customHeight="1" x14ac:dyDescent="0.25">
      <c r="B61" s="23" t="s">
        <v>102</v>
      </c>
      <c r="C61" s="49">
        <f>'Avg Week Karuma-Kigumba'!C61+'Avg Week Kigumba-Karuma'!C61</f>
        <v>4</v>
      </c>
      <c r="D61" s="49">
        <f>'Avg Week Karuma-Kigumba'!D61+'Avg Week Kigumba-Karuma'!D61</f>
        <v>2.5</v>
      </c>
      <c r="E61" s="49">
        <f>'Avg Week Karuma-Kigumba'!E61+'Avg Week Kigumba-Karuma'!E61</f>
        <v>7</v>
      </c>
      <c r="F61" s="49">
        <f>'Avg Week Karuma-Kigumba'!F61+'Avg Week Kigumba-Karuma'!F61</f>
        <v>2.5</v>
      </c>
      <c r="G61" s="49">
        <f>'Avg Week Karuma-Kigumba'!G61+'Avg Week Kigumba-Karuma'!G61</f>
        <v>0</v>
      </c>
      <c r="H61" s="49">
        <f>'Avg Week Karuma-Kigumba'!H61+'Avg Week Kigumba-Karuma'!H61</f>
        <v>1.5</v>
      </c>
      <c r="I61" s="49">
        <f>'Avg Week Karuma-Kigumba'!I61+'Avg Week Kigumba-Karuma'!I61</f>
        <v>3.5</v>
      </c>
      <c r="J61" s="49">
        <f>'Avg Week Karuma-Kigumba'!J61+'Avg Week Kigumba-Karuma'!J61</f>
        <v>1</v>
      </c>
      <c r="K61" s="49">
        <f>'Avg Week Karuma-Kigumba'!K61+'Avg Week Kigumba-Karuma'!K61</f>
        <v>0</v>
      </c>
      <c r="L61" s="49">
        <f>'Avg Week Karuma-Kigumba'!L61+'Avg Week Kigumba-Karuma'!L61</f>
        <v>4</v>
      </c>
      <c r="M61" s="49">
        <f>'Avg Week Karuma-Kigumba'!M61+'Avg Week Kigumba-Karuma'!M61</f>
        <v>8.5</v>
      </c>
      <c r="N61" s="49">
        <f>'Avg Week Karuma-Kigumba'!N61+'Avg Week Kigumba-Karuma'!N61</f>
        <v>0</v>
      </c>
      <c r="O61" s="15">
        <f t="shared" si="0"/>
        <v>26</v>
      </c>
      <c r="P61" s="15">
        <f t="shared" si="1"/>
        <v>34.5</v>
      </c>
      <c r="R61" s="8"/>
      <c r="T61"/>
    </row>
    <row r="62" spans="2:20" ht="23.1" customHeight="1" x14ac:dyDescent="0.25">
      <c r="B62" s="23" t="s">
        <v>107</v>
      </c>
      <c r="C62" s="49">
        <f>'Avg Week Karuma-Kigumba'!C62+'Avg Week Kigumba-Karuma'!C62</f>
        <v>3.5</v>
      </c>
      <c r="D62" s="49">
        <f>'Avg Week Karuma-Kigumba'!D62+'Avg Week Kigumba-Karuma'!D62</f>
        <v>2</v>
      </c>
      <c r="E62" s="49">
        <f>'Avg Week Karuma-Kigumba'!E62+'Avg Week Kigumba-Karuma'!E62</f>
        <v>6</v>
      </c>
      <c r="F62" s="49">
        <f>'Avg Week Karuma-Kigumba'!F62+'Avg Week Kigumba-Karuma'!F62</f>
        <v>2</v>
      </c>
      <c r="G62" s="49">
        <f>'Avg Week Karuma-Kigumba'!G62+'Avg Week Kigumba-Karuma'!G62</f>
        <v>0</v>
      </c>
      <c r="H62" s="49">
        <f>'Avg Week Karuma-Kigumba'!H62+'Avg Week Kigumba-Karuma'!H62</f>
        <v>0</v>
      </c>
      <c r="I62" s="49">
        <f>'Avg Week Karuma-Kigumba'!I62+'Avg Week Kigumba-Karuma'!I62</f>
        <v>3</v>
      </c>
      <c r="J62" s="49">
        <f>'Avg Week Karuma-Kigumba'!J62+'Avg Week Kigumba-Karuma'!J62</f>
        <v>0.5</v>
      </c>
      <c r="K62" s="49">
        <f>'Avg Week Karuma-Kigumba'!K62+'Avg Week Kigumba-Karuma'!K62</f>
        <v>0</v>
      </c>
      <c r="L62" s="49">
        <f>'Avg Week Karuma-Kigumba'!L62+'Avg Week Kigumba-Karuma'!L62</f>
        <v>2.5</v>
      </c>
      <c r="M62" s="49">
        <f>'Avg Week Karuma-Kigumba'!M62+'Avg Week Kigumba-Karuma'!M62</f>
        <v>7</v>
      </c>
      <c r="N62" s="49">
        <f>'Avg Week Karuma-Kigumba'!N62+'Avg Week Kigumba-Karuma'!N62</f>
        <v>0</v>
      </c>
      <c r="O62" s="15">
        <f t="shared" si="0"/>
        <v>19.5</v>
      </c>
      <c r="P62" s="15">
        <f t="shared" si="1"/>
        <v>26.5</v>
      </c>
      <c r="R62" s="8"/>
      <c r="T62"/>
    </row>
    <row r="63" spans="2:20" ht="23.1" customHeight="1" x14ac:dyDescent="0.25">
      <c r="B63" s="23" t="s">
        <v>108</v>
      </c>
      <c r="C63" s="49">
        <f>'Avg Week Karuma-Kigumba'!C63+'Avg Week Kigumba-Karuma'!C63</f>
        <v>2.5</v>
      </c>
      <c r="D63" s="49">
        <f>'Avg Week Karuma-Kigumba'!D63+'Avg Week Kigumba-Karuma'!D63</f>
        <v>2</v>
      </c>
      <c r="E63" s="49">
        <f>'Avg Week Karuma-Kigumba'!E63+'Avg Week Kigumba-Karuma'!E63</f>
        <v>5</v>
      </c>
      <c r="F63" s="49">
        <f>'Avg Week Karuma-Kigumba'!F63+'Avg Week Kigumba-Karuma'!F63</f>
        <v>2.5</v>
      </c>
      <c r="G63" s="49">
        <f>'Avg Week Karuma-Kigumba'!G63+'Avg Week Kigumba-Karuma'!G63</f>
        <v>0</v>
      </c>
      <c r="H63" s="49">
        <f>'Avg Week Karuma-Kigumba'!H63+'Avg Week Kigumba-Karuma'!H63</f>
        <v>1.5</v>
      </c>
      <c r="I63" s="49">
        <f>'Avg Week Karuma-Kigumba'!I63+'Avg Week Kigumba-Karuma'!I63</f>
        <v>3</v>
      </c>
      <c r="J63" s="49">
        <f>'Avg Week Karuma-Kigumba'!J63+'Avg Week Kigumba-Karuma'!J63</f>
        <v>0.5</v>
      </c>
      <c r="K63" s="49">
        <f>'Avg Week Karuma-Kigumba'!K63+'Avg Week Kigumba-Karuma'!K63</f>
        <v>0</v>
      </c>
      <c r="L63" s="49">
        <f>'Avg Week Karuma-Kigumba'!L63+'Avg Week Kigumba-Karuma'!L63</f>
        <v>1.5</v>
      </c>
      <c r="M63" s="49">
        <f>'Avg Week Karuma-Kigumba'!M63+'Avg Week Kigumba-Karuma'!M63</f>
        <v>6.5</v>
      </c>
      <c r="N63" s="49">
        <f>'Avg Week Karuma-Kigumba'!N63+'Avg Week Kigumba-Karuma'!N63</f>
        <v>0</v>
      </c>
      <c r="O63" s="15">
        <f t="shared" si="0"/>
        <v>18.5</v>
      </c>
      <c r="P63" s="15">
        <f t="shared" si="1"/>
        <v>25</v>
      </c>
      <c r="R63" s="8"/>
      <c r="T63"/>
    </row>
    <row r="64" spans="2:20" ht="23.1" customHeight="1" x14ac:dyDescent="0.25">
      <c r="B64" s="23" t="s">
        <v>109</v>
      </c>
      <c r="C64" s="49">
        <f>'Avg Week Karuma-Kigumba'!C64+'Avg Week Kigumba-Karuma'!C64</f>
        <v>2.5</v>
      </c>
      <c r="D64" s="49">
        <f>'Avg Week Karuma-Kigumba'!D64+'Avg Week Kigumba-Karuma'!D64</f>
        <v>1.5</v>
      </c>
      <c r="E64" s="49">
        <f>'Avg Week Karuma-Kigumba'!E64+'Avg Week Kigumba-Karuma'!E64</f>
        <v>5.5</v>
      </c>
      <c r="F64" s="49">
        <f>'Avg Week Karuma-Kigumba'!F64+'Avg Week Kigumba-Karuma'!F64</f>
        <v>2.5</v>
      </c>
      <c r="G64" s="49">
        <f>'Avg Week Karuma-Kigumba'!G64+'Avg Week Kigumba-Karuma'!G64</f>
        <v>0</v>
      </c>
      <c r="H64" s="49">
        <f>'Avg Week Karuma-Kigumba'!H64+'Avg Week Kigumba-Karuma'!H64</f>
        <v>1</v>
      </c>
      <c r="I64" s="49">
        <f>'Avg Week Karuma-Kigumba'!I64+'Avg Week Kigumba-Karuma'!I64</f>
        <v>2.5</v>
      </c>
      <c r="J64" s="49">
        <f>'Avg Week Karuma-Kigumba'!J64+'Avg Week Kigumba-Karuma'!J64</f>
        <v>1</v>
      </c>
      <c r="K64" s="49">
        <f>'Avg Week Karuma-Kigumba'!K64+'Avg Week Kigumba-Karuma'!K64</f>
        <v>0</v>
      </c>
      <c r="L64" s="49">
        <f>'Avg Week Karuma-Kigumba'!L64+'Avg Week Kigumba-Karuma'!L64</f>
        <v>1.5</v>
      </c>
      <c r="M64" s="49">
        <f>'Avg Week Karuma-Kigumba'!M64+'Avg Week Kigumba-Karuma'!M64</f>
        <v>5</v>
      </c>
      <c r="N64" s="49">
        <f>'Avg Week Karuma-Kigumba'!N64+'Avg Week Kigumba-Karuma'!N64</f>
        <v>0</v>
      </c>
      <c r="O64" s="15">
        <f t="shared" si="0"/>
        <v>18</v>
      </c>
      <c r="P64" s="15">
        <f t="shared" si="1"/>
        <v>23</v>
      </c>
      <c r="R64" s="8"/>
      <c r="T64"/>
    </row>
    <row r="65" spans="2:20" ht="23.1" customHeight="1" x14ac:dyDescent="0.25">
      <c r="B65" s="23" t="s">
        <v>158</v>
      </c>
      <c r="C65" s="49">
        <f>'Avg Week Karuma-Kigumba'!C65+'Avg Week Kigumba-Karuma'!C65</f>
        <v>2.5</v>
      </c>
      <c r="D65" s="49">
        <f>'Avg Week Karuma-Kigumba'!D65+'Avg Week Kigumba-Karuma'!D65</f>
        <v>2</v>
      </c>
      <c r="E65" s="49">
        <f>'Avg Week Karuma-Kigumba'!E65+'Avg Week Kigumba-Karuma'!E65</f>
        <v>5.5</v>
      </c>
      <c r="F65" s="49">
        <f>'Avg Week Karuma-Kigumba'!F65+'Avg Week Kigumba-Karuma'!F65</f>
        <v>2.5</v>
      </c>
      <c r="G65" s="49">
        <f>'Avg Week Karuma-Kigumba'!G65+'Avg Week Kigumba-Karuma'!G65</f>
        <v>0</v>
      </c>
      <c r="H65" s="49">
        <f>'Avg Week Karuma-Kigumba'!H65+'Avg Week Kigumba-Karuma'!H65</f>
        <v>0.5</v>
      </c>
      <c r="I65" s="49">
        <f>'Avg Week Karuma-Kigumba'!I65+'Avg Week Kigumba-Karuma'!I65</f>
        <v>2</v>
      </c>
      <c r="J65" s="49">
        <f>'Avg Week Karuma-Kigumba'!J65+'Avg Week Kigumba-Karuma'!J65</f>
        <v>0</v>
      </c>
      <c r="K65" s="49">
        <f>'Avg Week Karuma-Kigumba'!K65+'Avg Week Kigumba-Karuma'!K65</f>
        <v>0</v>
      </c>
      <c r="L65" s="49">
        <f>'Avg Week Karuma-Kigumba'!L65+'Avg Week Kigumba-Karuma'!L65</f>
        <v>1.5</v>
      </c>
      <c r="M65" s="49">
        <f>'Avg Week Karuma-Kigumba'!M65+'Avg Week Kigumba-Karuma'!M65</f>
        <v>5</v>
      </c>
      <c r="N65" s="49">
        <f>'Avg Week Karuma-Kigumba'!N65+'Avg Week Kigumba-Karuma'!N65</f>
        <v>0</v>
      </c>
      <c r="O65" s="15">
        <f t="shared" si="0"/>
        <v>16.5</v>
      </c>
      <c r="P65" s="15">
        <f t="shared" si="1"/>
        <v>21.5</v>
      </c>
      <c r="R65" s="8"/>
      <c r="T65"/>
    </row>
    <row r="66" spans="2:20" ht="23.1" customHeight="1" x14ac:dyDescent="0.25">
      <c r="B66" s="23" t="s">
        <v>103</v>
      </c>
      <c r="C66" s="49">
        <f>'Avg Week Karuma-Kigumba'!C66+'Avg Week Kigumba-Karuma'!C66</f>
        <v>2.5</v>
      </c>
      <c r="D66" s="49">
        <f>'Avg Week Karuma-Kigumba'!D66+'Avg Week Kigumba-Karuma'!D66</f>
        <v>2</v>
      </c>
      <c r="E66" s="49">
        <f>'Avg Week Karuma-Kigumba'!E66+'Avg Week Kigumba-Karuma'!E66</f>
        <v>6</v>
      </c>
      <c r="F66" s="49">
        <f>'Avg Week Karuma-Kigumba'!F66+'Avg Week Kigumba-Karuma'!F66</f>
        <v>2.5</v>
      </c>
      <c r="G66" s="49">
        <f>'Avg Week Karuma-Kigumba'!G66+'Avg Week Kigumba-Karuma'!G66</f>
        <v>0</v>
      </c>
      <c r="H66" s="49">
        <f>'Avg Week Karuma-Kigumba'!H66+'Avg Week Kigumba-Karuma'!H66</f>
        <v>2.5</v>
      </c>
      <c r="I66" s="49">
        <f>'Avg Week Karuma-Kigumba'!I66+'Avg Week Kigumba-Karuma'!I66</f>
        <v>2.5</v>
      </c>
      <c r="J66" s="49">
        <f>'Avg Week Karuma-Kigumba'!J66+'Avg Week Kigumba-Karuma'!J66</f>
        <v>0.5</v>
      </c>
      <c r="K66" s="49">
        <f>'Avg Week Karuma-Kigumba'!K66+'Avg Week Kigumba-Karuma'!K66</f>
        <v>0</v>
      </c>
      <c r="L66" s="49">
        <f>'Avg Week Karuma-Kigumba'!L66+'Avg Week Kigumba-Karuma'!L66</f>
        <v>2.5</v>
      </c>
      <c r="M66" s="49">
        <f>'Avg Week Karuma-Kigumba'!M66+'Avg Week Kigumba-Karuma'!M66</f>
        <v>6</v>
      </c>
      <c r="N66" s="49">
        <f>'Avg Week Karuma-Kigumba'!N66+'Avg Week Kigumba-Karuma'!N66</f>
        <v>0</v>
      </c>
      <c r="O66" s="15">
        <f t="shared" si="0"/>
        <v>21</v>
      </c>
      <c r="P66" s="15">
        <f t="shared" si="1"/>
        <v>27</v>
      </c>
      <c r="R66" s="8"/>
      <c r="T66"/>
    </row>
    <row r="67" spans="2:20" ht="23.1" customHeight="1" x14ac:dyDescent="0.25">
      <c r="B67" s="23" t="s">
        <v>104</v>
      </c>
      <c r="C67" s="49">
        <f>'Avg Week Karuma-Kigumba'!C67+'Avg Week Kigumba-Karuma'!C67</f>
        <v>2.5</v>
      </c>
      <c r="D67" s="49">
        <f>'Avg Week Karuma-Kigumba'!D67+'Avg Week Kigumba-Karuma'!D67</f>
        <v>1.5</v>
      </c>
      <c r="E67" s="49">
        <f>'Avg Week Karuma-Kigumba'!E67+'Avg Week Kigumba-Karuma'!E67</f>
        <v>5</v>
      </c>
      <c r="F67" s="49">
        <f>'Avg Week Karuma-Kigumba'!F67+'Avg Week Kigumba-Karuma'!F67</f>
        <v>2</v>
      </c>
      <c r="G67" s="49">
        <f>'Avg Week Karuma-Kigumba'!G67+'Avg Week Kigumba-Karuma'!G67</f>
        <v>0</v>
      </c>
      <c r="H67" s="49">
        <f>'Avg Week Karuma-Kigumba'!H67+'Avg Week Kigumba-Karuma'!H67</f>
        <v>0</v>
      </c>
      <c r="I67" s="49">
        <f>'Avg Week Karuma-Kigumba'!I67+'Avg Week Kigumba-Karuma'!I67</f>
        <v>1.5</v>
      </c>
      <c r="J67" s="49">
        <f>'Avg Week Karuma-Kigumba'!J67+'Avg Week Kigumba-Karuma'!J67</f>
        <v>0</v>
      </c>
      <c r="K67" s="49">
        <f>'Avg Week Karuma-Kigumba'!K67+'Avg Week Kigumba-Karuma'!K67</f>
        <v>0</v>
      </c>
      <c r="L67" s="49">
        <f>'Avg Week Karuma-Kigumba'!L67+'Avg Week Kigumba-Karuma'!L67</f>
        <v>3</v>
      </c>
      <c r="M67" s="49">
        <f>'Avg Week Karuma-Kigumba'!M67+'Avg Week Kigumba-Karuma'!M67</f>
        <v>5</v>
      </c>
      <c r="N67" s="49">
        <f>'Avg Week Karuma-Kigumba'!N67+'Avg Week Kigumba-Karuma'!N67</f>
        <v>0</v>
      </c>
      <c r="O67" s="15">
        <f t="shared" si="0"/>
        <v>15.5</v>
      </c>
      <c r="P67" s="15">
        <f t="shared" si="1"/>
        <v>20.5</v>
      </c>
      <c r="R67" s="8"/>
      <c r="T67"/>
    </row>
    <row r="68" spans="2:20" ht="23.1" customHeight="1" x14ac:dyDescent="0.25">
      <c r="B68" s="23" t="s">
        <v>105</v>
      </c>
      <c r="C68" s="49">
        <f>'Avg Week Karuma-Kigumba'!C68+'Avg Week Kigumba-Karuma'!C68</f>
        <v>2</v>
      </c>
      <c r="D68" s="49">
        <f>'Avg Week Karuma-Kigumba'!D68+'Avg Week Kigumba-Karuma'!D68</f>
        <v>1</v>
      </c>
      <c r="E68" s="49">
        <f>'Avg Week Karuma-Kigumba'!E68+'Avg Week Kigumba-Karuma'!E68</f>
        <v>4.5</v>
      </c>
      <c r="F68" s="49">
        <f>'Avg Week Karuma-Kigumba'!F68+'Avg Week Kigumba-Karuma'!F68</f>
        <v>1</v>
      </c>
      <c r="G68" s="49">
        <f>'Avg Week Karuma-Kigumba'!G68+'Avg Week Kigumba-Karuma'!G68</f>
        <v>0</v>
      </c>
      <c r="H68" s="49">
        <f>'Avg Week Karuma-Kigumba'!H68+'Avg Week Kigumba-Karuma'!H68</f>
        <v>2</v>
      </c>
      <c r="I68" s="49">
        <f>'Avg Week Karuma-Kigumba'!I68+'Avg Week Kigumba-Karuma'!I68</f>
        <v>1.5</v>
      </c>
      <c r="J68" s="49">
        <f>'Avg Week Karuma-Kigumba'!J68+'Avg Week Kigumba-Karuma'!J68</f>
        <v>0</v>
      </c>
      <c r="K68" s="49">
        <f>'Avg Week Karuma-Kigumba'!K68+'Avg Week Kigumba-Karuma'!K68</f>
        <v>0</v>
      </c>
      <c r="L68" s="49">
        <f>'Avg Week Karuma-Kigumba'!L68+'Avg Week Kigumba-Karuma'!L68</f>
        <v>2.5</v>
      </c>
      <c r="M68" s="49">
        <f>'Avg Week Karuma-Kigumba'!M68+'Avg Week Kigumba-Karuma'!M68</f>
        <v>4</v>
      </c>
      <c r="N68" s="49">
        <f>'Avg Week Karuma-Kigumba'!N68+'Avg Week Kigumba-Karuma'!N68</f>
        <v>0</v>
      </c>
      <c r="O68" s="15">
        <f t="shared" si="0"/>
        <v>14.5</v>
      </c>
      <c r="P68" s="15">
        <f t="shared" si="1"/>
        <v>18.5</v>
      </c>
      <c r="R68" s="8"/>
      <c r="T68"/>
    </row>
    <row r="69" spans="2:20" ht="23.1" customHeight="1" x14ac:dyDescent="0.25">
      <c r="B69" s="23" t="s">
        <v>106</v>
      </c>
      <c r="C69" s="49">
        <f>'Avg Week Karuma-Kigumba'!C69+'Avg Week Kigumba-Karuma'!C69</f>
        <v>4</v>
      </c>
      <c r="D69" s="49">
        <f>'Avg Week Karuma-Kigumba'!D69+'Avg Week Kigumba-Karuma'!D69</f>
        <v>2</v>
      </c>
      <c r="E69" s="49">
        <f>'Avg Week Karuma-Kigumba'!E69+'Avg Week Kigumba-Karuma'!E69</f>
        <v>6.5</v>
      </c>
      <c r="F69" s="49">
        <f>'Avg Week Karuma-Kigumba'!F69+'Avg Week Kigumba-Karuma'!F69</f>
        <v>4.5</v>
      </c>
      <c r="G69" s="49">
        <f>'Avg Week Karuma-Kigumba'!G69+'Avg Week Kigumba-Karuma'!G69</f>
        <v>0</v>
      </c>
      <c r="H69" s="49">
        <f>'Avg Week Karuma-Kigumba'!H69+'Avg Week Kigumba-Karuma'!H69</f>
        <v>2</v>
      </c>
      <c r="I69" s="49">
        <f>'Avg Week Karuma-Kigumba'!I69+'Avg Week Kigumba-Karuma'!I69</f>
        <v>3</v>
      </c>
      <c r="J69" s="49">
        <f>'Avg Week Karuma-Kigumba'!J69+'Avg Week Kigumba-Karuma'!J69</f>
        <v>0.5</v>
      </c>
      <c r="K69" s="49">
        <f>'Avg Week Karuma-Kigumba'!K69+'Avg Week Kigumba-Karuma'!K69</f>
        <v>0</v>
      </c>
      <c r="L69" s="49">
        <f>'Avg Week Karuma-Kigumba'!L69+'Avg Week Kigumba-Karuma'!L69</f>
        <v>0.5</v>
      </c>
      <c r="M69" s="49">
        <f>'Avg Week Karuma-Kigumba'!M69+'Avg Week Kigumba-Karuma'!M69</f>
        <v>6.5</v>
      </c>
      <c r="N69" s="49">
        <f>'Avg Week Karuma-Kigumba'!N69+'Avg Week Kigumba-Karuma'!N69</f>
        <v>0</v>
      </c>
      <c r="O69" s="15">
        <f t="shared" si="0"/>
        <v>23</v>
      </c>
      <c r="P69" s="15">
        <f t="shared" si="1"/>
        <v>29.5</v>
      </c>
      <c r="R69" s="8"/>
      <c r="T69"/>
    </row>
    <row r="70" spans="2:20" ht="23.1" customHeight="1" x14ac:dyDescent="0.25">
      <c r="B70" s="23" t="s">
        <v>110</v>
      </c>
      <c r="C70" s="49">
        <f>'Avg Week Karuma-Kigumba'!C70+'Avg Week Kigumba-Karuma'!C70</f>
        <v>2.5</v>
      </c>
      <c r="D70" s="49">
        <f>'Avg Week Karuma-Kigumba'!D70+'Avg Week Kigumba-Karuma'!D70</f>
        <v>2</v>
      </c>
      <c r="E70" s="49">
        <f>'Avg Week Karuma-Kigumba'!E70+'Avg Week Kigumba-Karuma'!E70</f>
        <v>5.5</v>
      </c>
      <c r="F70" s="49">
        <f>'Avg Week Karuma-Kigumba'!F70+'Avg Week Kigumba-Karuma'!F70</f>
        <v>2.5</v>
      </c>
      <c r="G70" s="49">
        <f>'Avg Week Karuma-Kigumba'!G70+'Avg Week Kigumba-Karuma'!G70</f>
        <v>0</v>
      </c>
      <c r="H70" s="49">
        <f>'Avg Week Karuma-Kigumba'!H70+'Avg Week Kigumba-Karuma'!H70</f>
        <v>1.5</v>
      </c>
      <c r="I70" s="49">
        <f>'Avg Week Karuma-Kigumba'!I70+'Avg Week Kigumba-Karuma'!I70</f>
        <v>2</v>
      </c>
      <c r="J70" s="49">
        <f>'Avg Week Karuma-Kigumba'!J70+'Avg Week Kigumba-Karuma'!J70</f>
        <v>0.5</v>
      </c>
      <c r="K70" s="49">
        <f>'Avg Week Karuma-Kigumba'!K70+'Avg Week Kigumba-Karuma'!K70</f>
        <v>0</v>
      </c>
      <c r="L70" s="49">
        <f>'Avg Week Karuma-Kigumba'!L70+'Avg Week Kigumba-Karuma'!L70</f>
        <v>1.5</v>
      </c>
      <c r="M70" s="49">
        <f>'Avg Week Karuma-Kigumba'!M70+'Avg Week Kigumba-Karuma'!M70</f>
        <v>5</v>
      </c>
      <c r="N70" s="49">
        <f>'Avg Week Karuma-Kigumba'!N70+'Avg Week Kigumba-Karuma'!N70</f>
        <v>0</v>
      </c>
      <c r="O70" s="15">
        <f t="shared" si="0"/>
        <v>18</v>
      </c>
      <c r="P70" s="15">
        <f t="shared" si="1"/>
        <v>23</v>
      </c>
      <c r="R70" s="8"/>
      <c r="T70"/>
    </row>
    <row r="71" spans="2:20" ht="23.1" customHeight="1" x14ac:dyDescent="0.25">
      <c r="B71" s="23" t="s">
        <v>111</v>
      </c>
      <c r="C71" s="49">
        <f>'Avg Week Karuma-Kigumba'!C71+'Avg Week Kigumba-Karuma'!C71</f>
        <v>1.5</v>
      </c>
      <c r="D71" s="49">
        <f>'Avg Week Karuma-Kigumba'!D71+'Avg Week Kigumba-Karuma'!D71</f>
        <v>1.5</v>
      </c>
      <c r="E71" s="49">
        <f>'Avg Week Karuma-Kigumba'!E71+'Avg Week Kigumba-Karuma'!E71</f>
        <v>4</v>
      </c>
      <c r="F71" s="49">
        <f>'Avg Week Karuma-Kigumba'!F71+'Avg Week Kigumba-Karuma'!F71</f>
        <v>2</v>
      </c>
      <c r="G71" s="49">
        <f>'Avg Week Karuma-Kigumba'!G71+'Avg Week Kigumba-Karuma'!G71</f>
        <v>0</v>
      </c>
      <c r="H71" s="49">
        <f>'Avg Week Karuma-Kigumba'!H71+'Avg Week Kigumba-Karuma'!H71</f>
        <v>1</v>
      </c>
      <c r="I71" s="49">
        <f>'Avg Week Karuma-Kigumba'!I71+'Avg Week Kigumba-Karuma'!I71</f>
        <v>2</v>
      </c>
      <c r="J71" s="49">
        <f>'Avg Week Karuma-Kigumba'!J71+'Avg Week Kigumba-Karuma'!J71</f>
        <v>0.5</v>
      </c>
      <c r="K71" s="49">
        <f>'Avg Week Karuma-Kigumba'!K71+'Avg Week Kigumba-Karuma'!K71</f>
        <v>0</v>
      </c>
      <c r="L71" s="49">
        <f>'Avg Week Karuma-Kigumba'!L71+'Avg Week Kigumba-Karuma'!L71</f>
        <v>1.5</v>
      </c>
      <c r="M71" s="49">
        <f>'Avg Week Karuma-Kigumba'!M71+'Avg Week Kigumba-Karuma'!M71</f>
        <v>4</v>
      </c>
      <c r="N71" s="49">
        <f>'Avg Week Karuma-Kigumba'!N71+'Avg Week Kigumba-Karuma'!N71</f>
        <v>0</v>
      </c>
      <c r="O71" s="15">
        <f t="shared" si="0"/>
        <v>14</v>
      </c>
      <c r="P71" s="15">
        <f t="shared" si="1"/>
        <v>18</v>
      </c>
      <c r="R71" s="8"/>
      <c r="T71"/>
    </row>
    <row r="72" spans="2:20" ht="23.1" customHeight="1" x14ac:dyDescent="0.25">
      <c r="B72" s="23" t="s">
        <v>112</v>
      </c>
      <c r="C72" s="49">
        <f>'Avg Week Karuma-Kigumba'!C72+'Avg Week Kigumba-Karuma'!C72</f>
        <v>3</v>
      </c>
      <c r="D72" s="49">
        <f>'Avg Week Karuma-Kigumba'!D72+'Avg Week Kigumba-Karuma'!D72</f>
        <v>2.5</v>
      </c>
      <c r="E72" s="49">
        <f>'Avg Week Karuma-Kigumba'!E72+'Avg Week Kigumba-Karuma'!E72</f>
        <v>6</v>
      </c>
      <c r="F72" s="49">
        <f>'Avg Week Karuma-Kigumba'!F72+'Avg Week Kigumba-Karuma'!F72</f>
        <v>2.5</v>
      </c>
      <c r="G72" s="49">
        <f>'Avg Week Karuma-Kigumba'!G72+'Avg Week Kigumba-Karuma'!G72</f>
        <v>0</v>
      </c>
      <c r="H72" s="49">
        <f>'Avg Week Karuma-Kigumba'!H72+'Avg Week Kigumba-Karuma'!H72</f>
        <v>1.5</v>
      </c>
      <c r="I72" s="49">
        <f>'Avg Week Karuma-Kigumba'!I72+'Avg Week Kigumba-Karuma'!I72</f>
        <v>1.5</v>
      </c>
      <c r="J72" s="49">
        <f>'Avg Week Karuma-Kigumba'!J72+'Avg Week Kigumba-Karuma'!J72</f>
        <v>0.5</v>
      </c>
      <c r="K72" s="49">
        <f>'Avg Week Karuma-Kigumba'!K72+'Avg Week Kigumba-Karuma'!K72</f>
        <v>0</v>
      </c>
      <c r="L72" s="49">
        <f>'Avg Week Karuma-Kigumba'!L72+'Avg Week Kigumba-Karuma'!L72</f>
        <v>1</v>
      </c>
      <c r="M72" s="49">
        <f>'Avg Week Karuma-Kigumba'!M72+'Avg Week Kigumba-Karuma'!M72</f>
        <v>4.5</v>
      </c>
      <c r="N72" s="49">
        <f>'Avg Week Karuma-Kigumba'!N72+'Avg Week Kigumba-Karuma'!N72</f>
        <v>0</v>
      </c>
      <c r="O72" s="15">
        <f t="shared" si="0"/>
        <v>18.5</v>
      </c>
      <c r="P72" s="15">
        <f t="shared" si="1"/>
        <v>23</v>
      </c>
      <c r="R72" s="8"/>
      <c r="T72"/>
    </row>
    <row r="73" spans="2:20" ht="23.1" customHeight="1" x14ac:dyDescent="0.25">
      <c r="B73" s="23" t="s">
        <v>113</v>
      </c>
      <c r="C73" s="49">
        <f>'Avg Week Karuma-Kigumba'!C73+'Avg Week Kigumba-Karuma'!C73</f>
        <v>3</v>
      </c>
      <c r="D73" s="49">
        <f>'Avg Week Karuma-Kigumba'!D73+'Avg Week Kigumba-Karuma'!D73</f>
        <v>2</v>
      </c>
      <c r="E73" s="49">
        <f>'Avg Week Karuma-Kigumba'!E73+'Avg Week Kigumba-Karuma'!E73</f>
        <v>4.5</v>
      </c>
      <c r="F73" s="49">
        <f>'Avg Week Karuma-Kigumba'!F73+'Avg Week Kigumba-Karuma'!F73</f>
        <v>3.5</v>
      </c>
      <c r="G73" s="49">
        <f>'Avg Week Karuma-Kigumba'!G73+'Avg Week Kigumba-Karuma'!G73</f>
        <v>0</v>
      </c>
      <c r="H73" s="49">
        <f>'Avg Week Karuma-Kigumba'!H73+'Avg Week Kigumba-Karuma'!H73</f>
        <v>1</v>
      </c>
      <c r="I73" s="49">
        <f>'Avg Week Karuma-Kigumba'!I73+'Avg Week Kigumba-Karuma'!I73</f>
        <v>2</v>
      </c>
      <c r="J73" s="49">
        <f>'Avg Week Karuma-Kigumba'!J73+'Avg Week Kigumba-Karuma'!J73</f>
        <v>0</v>
      </c>
      <c r="K73" s="49">
        <f>'Avg Week Karuma-Kigumba'!K73+'Avg Week Kigumba-Karuma'!K73</f>
        <v>0</v>
      </c>
      <c r="L73" s="49">
        <f>'Avg Week Karuma-Kigumba'!L73+'Avg Week Kigumba-Karuma'!L73</f>
        <v>1.5</v>
      </c>
      <c r="M73" s="49">
        <f>'Avg Week Karuma-Kigumba'!M73+'Avg Week Kigumba-Karuma'!M73</f>
        <v>3.5</v>
      </c>
      <c r="N73" s="49">
        <f>'Avg Week Karuma-Kigumba'!N73+'Avg Week Kigumba-Karuma'!N73</f>
        <v>0</v>
      </c>
      <c r="O73" s="15">
        <f t="shared" si="0"/>
        <v>17.5</v>
      </c>
      <c r="P73" s="15">
        <f t="shared" si="1"/>
        <v>21</v>
      </c>
      <c r="R73" s="8"/>
      <c r="T73"/>
    </row>
    <row r="74" spans="2:20" ht="23.1" customHeight="1" x14ac:dyDescent="0.25">
      <c r="B74" s="23" t="s">
        <v>114</v>
      </c>
      <c r="C74" s="49">
        <f>'Avg Week Karuma-Kigumba'!C74+'Avg Week Kigumba-Karuma'!C74</f>
        <v>2</v>
      </c>
      <c r="D74" s="49">
        <f>'Avg Week Karuma-Kigumba'!D74+'Avg Week Kigumba-Karuma'!D74</f>
        <v>2</v>
      </c>
      <c r="E74" s="49">
        <f>'Avg Week Karuma-Kigumba'!E74+'Avg Week Kigumba-Karuma'!E74</f>
        <v>4.5</v>
      </c>
      <c r="F74" s="49">
        <f>'Avg Week Karuma-Kigumba'!F74+'Avg Week Kigumba-Karuma'!F74</f>
        <v>1.5</v>
      </c>
      <c r="G74" s="49">
        <f>'Avg Week Karuma-Kigumba'!G74+'Avg Week Kigumba-Karuma'!G74</f>
        <v>0</v>
      </c>
      <c r="H74" s="49">
        <f>'Avg Week Karuma-Kigumba'!H74+'Avg Week Kigumba-Karuma'!H74</f>
        <v>2</v>
      </c>
      <c r="I74" s="49">
        <f>'Avg Week Karuma-Kigumba'!I74+'Avg Week Kigumba-Karuma'!I74</f>
        <v>1.5</v>
      </c>
      <c r="J74" s="49">
        <f>'Avg Week Karuma-Kigumba'!J74+'Avg Week Kigumba-Karuma'!J74</f>
        <v>0</v>
      </c>
      <c r="K74" s="49">
        <f>'Avg Week Karuma-Kigumba'!K74+'Avg Week Kigumba-Karuma'!K74</f>
        <v>0</v>
      </c>
      <c r="L74" s="49">
        <f>'Avg Week Karuma-Kigumba'!L74+'Avg Week Kigumba-Karuma'!L74</f>
        <v>1</v>
      </c>
      <c r="M74" s="49">
        <f>'Avg Week Karuma-Kigumba'!M74+'Avg Week Kigumba-Karuma'!M74</f>
        <v>3</v>
      </c>
      <c r="N74" s="49">
        <f>'Avg Week Karuma-Kigumba'!N74+'Avg Week Kigumba-Karuma'!N74</f>
        <v>0</v>
      </c>
      <c r="O74" s="15">
        <f t="shared" ref="O74:O105" si="35">SUM(C74:L74,N74)</f>
        <v>14.5</v>
      </c>
      <c r="P74" s="15">
        <f t="shared" ref="P74:P105" si="36">SUM(C74:N74)</f>
        <v>17.5</v>
      </c>
      <c r="R74" s="8"/>
      <c r="T74"/>
    </row>
    <row r="75" spans="2:20" ht="23.1" customHeight="1" x14ac:dyDescent="0.25">
      <c r="B75" s="23" t="s">
        <v>115</v>
      </c>
      <c r="C75" s="49">
        <f>'Avg Week Karuma-Kigumba'!C75+'Avg Week Kigumba-Karuma'!C75</f>
        <v>2</v>
      </c>
      <c r="D75" s="49">
        <f>'Avg Week Karuma-Kigumba'!D75+'Avg Week Kigumba-Karuma'!D75</f>
        <v>1.5</v>
      </c>
      <c r="E75" s="49">
        <f>'Avg Week Karuma-Kigumba'!E75+'Avg Week Kigumba-Karuma'!E75</f>
        <v>3.5</v>
      </c>
      <c r="F75" s="49">
        <f>'Avg Week Karuma-Kigumba'!F75+'Avg Week Kigumba-Karuma'!F75</f>
        <v>1.5</v>
      </c>
      <c r="G75" s="49">
        <f>'Avg Week Karuma-Kigumba'!G75+'Avg Week Kigumba-Karuma'!G75</f>
        <v>0</v>
      </c>
      <c r="H75" s="49">
        <f>'Avg Week Karuma-Kigumba'!H75+'Avg Week Kigumba-Karuma'!H75</f>
        <v>2.5</v>
      </c>
      <c r="I75" s="49">
        <f>'Avg Week Karuma-Kigumba'!I75+'Avg Week Kigumba-Karuma'!I75</f>
        <v>1</v>
      </c>
      <c r="J75" s="49">
        <f>'Avg Week Karuma-Kigumba'!J75+'Avg Week Kigumba-Karuma'!J75</f>
        <v>0</v>
      </c>
      <c r="K75" s="49">
        <f>'Avg Week Karuma-Kigumba'!K75+'Avg Week Kigumba-Karuma'!K75</f>
        <v>0</v>
      </c>
      <c r="L75" s="49">
        <f>'Avg Week Karuma-Kigumba'!L75+'Avg Week Kigumba-Karuma'!L75</f>
        <v>1</v>
      </c>
      <c r="M75" s="49">
        <f>'Avg Week Karuma-Kigumba'!M75+'Avg Week Kigumba-Karuma'!M75</f>
        <v>2.5</v>
      </c>
      <c r="N75" s="49">
        <f>'Avg Week Karuma-Kigumba'!N75+'Avg Week Kigumba-Karuma'!N75</f>
        <v>0</v>
      </c>
      <c r="O75" s="15">
        <f t="shared" si="35"/>
        <v>13</v>
      </c>
      <c r="P75" s="15">
        <f t="shared" si="36"/>
        <v>15.5</v>
      </c>
      <c r="R75" s="8"/>
      <c r="T75"/>
    </row>
    <row r="76" spans="2:20" ht="23.1" customHeight="1" x14ac:dyDescent="0.25">
      <c r="B76" s="23" t="s">
        <v>116</v>
      </c>
      <c r="C76" s="49">
        <f>'Avg Week Karuma-Kigumba'!C76+'Avg Week Kigumba-Karuma'!C76</f>
        <v>3</v>
      </c>
      <c r="D76" s="49">
        <f>'Avg Week Karuma-Kigumba'!D76+'Avg Week Kigumba-Karuma'!D76</f>
        <v>1.5</v>
      </c>
      <c r="E76" s="49">
        <f>'Avg Week Karuma-Kigumba'!E76+'Avg Week Kigumba-Karuma'!E76</f>
        <v>5</v>
      </c>
      <c r="F76" s="49">
        <f>'Avg Week Karuma-Kigumba'!F76+'Avg Week Kigumba-Karuma'!F76</f>
        <v>2</v>
      </c>
      <c r="G76" s="49">
        <f>'Avg Week Karuma-Kigumba'!G76+'Avg Week Kigumba-Karuma'!G76</f>
        <v>0</v>
      </c>
      <c r="H76" s="49">
        <f>'Avg Week Karuma-Kigumba'!H76+'Avg Week Kigumba-Karuma'!H76</f>
        <v>1.5</v>
      </c>
      <c r="I76" s="49">
        <f>'Avg Week Karuma-Kigumba'!I76+'Avg Week Kigumba-Karuma'!I76</f>
        <v>1.5</v>
      </c>
      <c r="J76" s="49">
        <f>'Avg Week Karuma-Kigumba'!J76+'Avg Week Kigumba-Karuma'!J76</f>
        <v>0.5</v>
      </c>
      <c r="K76" s="49">
        <f>'Avg Week Karuma-Kigumba'!K76+'Avg Week Kigumba-Karuma'!K76</f>
        <v>0</v>
      </c>
      <c r="L76" s="49">
        <f>'Avg Week Karuma-Kigumba'!L76+'Avg Week Kigumba-Karuma'!L76</f>
        <v>2</v>
      </c>
      <c r="M76" s="49">
        <f>'Avg Week Karuma-Kigumba'!M76+'Avg Week Kigumba-Karuma'!M76</f>
        <v>3.5</v>
      </c>
      <c r="N76" s="49">
        <f>'Avg Week Karuma-Kigumba'!N76+'Avg Week Kigumba-Karuma'!N76</f>
        <v>0</v>
      </c>
      <c r="O76" s="15">
        <f t="shared" si="35"/>
        <v>17</v>
      </c>
      <c r="P76" s="15">
        <f t="shared" si="36"/>
        <v>20.5</v>
      </c>
      <c r="R76" s="8"/>
      <c r="T76"/>
    </row>
    <row r="77" spans="2:20" ht="23.1" customHeight="1" x14ac:dyDescent="0.25">
      <c r="B77" s="23" t="s">
        <v>117</v>
      </c>
      <c r="C77" s="49">
        <f>'Avg Week Karuma-Kigumba'!C77+'Avg Week Kigumba-Karuma'!C77</f>
        <v>2</v>
      </c>
      <c r="D77" s="49">
        <f>'Avg Week Karuma-Kigumba'!D77+'Avg Week Kigumba-Karuma'!D77</f>
        <v>1.5</v>
      </c>
      <c r="E77" s="49">
        <f>'Avg Week Karuma-Kigumba'!E77+'Avg Week Kigumba-Karuma'!E77</f>
        <v>3.5</v>
      </c>
      <c r="F77" s="49">
        <f>'Avg Week Karuma-Kigumba'!F77+'Avg Week Kigumba-Karuma'!F77</f>
        <v>1.5</v>
      </c>
      <c r="G77" s="49">
        <f>'Avg Week Karuma-Kigumba'!G77+'Avg Week Kigumba-Karuma'!G77</f>
        <v>0</v>
      </c>
      <c r="H77" s="49">
        <f>'Avg Week Karuma-Kigumba'!H77+'Avg Week Kigumba-Karuma'!H77</f>
        <v>2.5</v>
      </c>
      <c r="I77" s="49">
        <f>'Avg Week Karuma-Kigumba'!I77+'Avg Week Kigumba-Karuma'!I77</f>
        <v>1.5</v>
      </c>
      <c r="J77" s="49">
        <f>'Avg Week Karuma-Kigumba'!J77+'Avg Week Kigumba-Karuma'!J77</f>
        <v>0.5</v>
      </c>
      <c r="K77" s="49">
        <f>'Avg Week Karuma-Kigumba'!K77+'Avg Week Kigumba-Karuma'!K77</f>
        <v>0</v>
      </c>
      <c r="L77" s="49">
        <f>'Avg Week Karuma-Kigumba'!L77+'Avg Week Kigumba-Karuma'!L77</f>
        <v>0.5</v>
      </c>
      <c r="M77" s="49">
        <f>'Avg Week Karuma-Kigumba'!M77+'Avg Week Kigumba-Karuma'!M77</f>
        <v>3.5</v>
      </c>
      <c r="N77" s="49">
        <f>'Avg Week Karuma-Kigumba'!N77+'Avg Week Kigumba-Karuma'!N77</f>
        <v>0</v>
      </c>
      <c r="O77" s="15">
        <f t="shared" si="35"/>
        <v>13.5</v>
      </c>
      <c r="P77" s="15">
        <f t="shared" si="36"/>
        <v>17</v>
      </c>
      <c r="R77" s="8"/>
      <c r="T77"/>
    </row>
    <row r="78" spans="2:20" ht="23.1" customHeight="1" x14ac:dyDescent="0.25">
      <c r="B78" s="24" t="s">
        <v>118</v>
      </c>
      <c r="C78" s="49">
        <f>'Avg Week Karuma-Kigumba'!C78+'Avg Week Kigumba-Karuma'!C78</f>
        <v>1.5</v>
      </c>
      <c r="D78" s="49">
        <f>'Avg Week Karuma-Kigumba'!D78+'Avg Week Kigumba-Karuma'!D78</f>
        <v>1</v>
      </c>
      <c r="E78" s="49">
        <f>'Avg Week Karuma-Kigumba'!E78+'Avg Week Kigumba-Karuma'!E78</f>
        <v>4</v>
      </c>
      <c r="F78" s="49">
        <f>'Avg Week Karuma-Kigumba'!F78+'Avg Week Kigumba-Karuma'!F78</f>
        <v>2</v>
      </c>
      <c r="G78" s="49">
        <f>'Avg Week Karuma-Kigumba'!G78+'Avg Week Kigumba-Karuma'!G78</f>
        <v>0</v>
      </c>
      <c r="H78" s="49">
        <f>'Avg Week Karuma-Kigumba'!H78+'Avg Week Kigumba-Karuma'!H78</f>
        <v>1</v>
      </c>
      <c r="I78" s="49">
        <f>'Avg Week Karuma-Kigumba'!I78+'Avg Week Kigumba-Karuma'!I78</f>
        <v>2</v>
      </c>
      <c r="J78" s="49">
        <f>'Avg Week Karuma-Kigumba'!J78+'Avg Week Kigumba-Karuma'!J78</f>
        <v>0</v>
      </c>
      <c r="K78" s="49">
        <f>'Avg Week Karuma-Kigumba'!K78+'Avg Week Kigumba-Karuma'!K78</f>
        <v>0</v>
      </c>
      <c r="L78" s="49">
        <f>'Avg Week Karuma-Kigumba'!L78+'Avg Week Kigumba-Karuma'!L78</f>
        <v>1</v>
      </c>
      <c r="M78" s="49">
        <f>'Avg Week Karuma-Kigumba'!M78+'Avg Week Kigumba-Karuma'!M78</f>
        <v>2.5</v>
      </c>
      <c r="N78" s="49">
        <f>'Avg Week Karuma-Kigumba'!N78+'Avg Week Kigumba-Karuma'!N78</f>
        <v>0</v>
      </c>
      <c r="O78" s="15">
        <f t="shared" si="35"/>
        <v>12.5</v>
      </c>
      <c r="P78" s="15">
        <f t="shared" si="36"/>
        <v>15</v>
      </c>
      <c r="R78" s="8"/>
      <c r="T78"/>
    </row>
    <row r="79" spans="2:20" ht="23.1" customHeight="1" x14ac:dyDescent="0.25">
      <c r="B79" s="23" t="s">
        <v>119</v>
      </c>
      <c r="C79" s="49">
        <f>'Avg Week Karuma-Kigumba'!C79+'Avg Week Kigumba-Karuma'!C79</f>
        <v>2</v>
      </c>
      <c r="D79" s="49">
        <f>'Avg Week Karuma-Kigumba'!D79+'Avg Week Kigumba-Karuma'!D79</f>
        <v>1.5</v>
      </c>
      <c r="E79" s="49">
        <f>'Avg Week Karuma-Kigumba'!E79+'Avg Week Kigumba-Karuma'!E79</f>
        <v>4.5</v>
      </c>
      <c r="F79" s="49">
        <f>'Avg Week Karuma-Kigumba'!F79+'Avg Week Kigumba-Karuma'!F79</f>
        <v>1</v>
      </c>
      <c r="G79" s="49">
        <f>'Avg Week Karuma-Kigumba'!G79+'Avg Week Kigumba-Karuma'!G79</f>
        <v>0</v>
      </c>
      <c r="H79" s="49">
        <f>'Avg Week Karuma-Kigumba'!H79+'Avg Week Kigumba-Karuma'!H79</f>
        <v>1.5</v>
      </c>
      <c r="I79" s="49">
        <f>'Avg Week Karuma-Kigumba'!I79+'Avg Week Kigumba-Karuma'!I79</f>
        <v>1.5</v>
      </c>
      <c r="J79" s="49">
        <f>'Avg Week Karuma-Kigumba'!J79+'Avg Week Kigumba-Karuma'!J79</f>
        <v>0</v>
      </c>
      <c r="K79" s="49">
        <f>'Avg Week Karuma-Kigumba'!K79+'Avg Week Kigumba-Karuma'!K79</f>
        <v>0</v>
      </c>
      <c r="L79" s="49">
        <f>'Avg Week Karuma-Kigumba'!L79+'Avg Week Kigumba-Karuma'!L79</f>
        <v>1.5</v>
      </c>
      <c r="M79" s="49">
        <f>'Avg Week Karuma-Kigumba'!M79+'Avg Week Kigumba-Karuma'!M79</f>
        <v>2.5</v>
      </c>
      <c r="N79" s="49">
        <f>'Avg Week Karuma-Kigumba'!N79+'Avg Week Kigumba-Karuma'!N79</f>
        <v>0</v>
      </c>
      <c r="O79" s="15">
        <f t="shared" si="35"/>
        <v>13.5</v>
      </c>
      <c r="P79" s="15">
        <f t="shared" si="36"/>
        <v>16</v>
      </c>
      <c r="R79" s="8"/>
      <c r="T79"/>
    </row>
    <row r="80" spans="2:20" ht="23.1" customHeight="1" x14ac:dyDescent="0.25">
      <c r="B80" s="25" t="s">
        <v>120</v>
      </c>
      <c r="C80" s="49">
        <f>'Avg Week Karuma-Kigumba'!C80+'Avg Week Kigumba-Karuma'!C80</f>
        <v>2</v>
      </c>
      <c r="D80" s="49">
        <f>'Avg Week Karuma-Kigumba'!D80+'Avg Week Kigumba-Karuma'!D80</f>
        <v>1.5</v>
      </c>
      <c r="E80" s="49">
        <f>'Avg Week Karuma-Kigumba'!E80+'Avg Week Kigumba-Karuma'!E80</f>
        <v>4</v>
      </c>
      <c r="F80" s="49">
        <f>'Avg Week Karuma-Kigumba'!F80+'Avg Week Kigumba-Karuma'!F80</f>
        <v>1.5</v>
      </c>
      <c r="G80" s="49">
        <f>'Avg Week Karuma-Kigumba'!G80+'Avg Week Kigumba-Karuma'!G80</f>
        <v>0</v>
      </c>
      <c r="H80" s="49">
        <f>'Avg Week Karuma-Kigumba'!H80+'Avg Week Kigumba-Karuma'!H80</f>
        <v>2.5</v>
      </c>
      <c r="I80" s="49">
        <f>'Avg Week Karuma-Kigumba'!I80+'Avg Week Kigumba-Karuma'!I80</f>
        <v>1.5</v>
      </c>
      <c r="J80" s="49">
        <f>'Avg Week Karuma-Kigumba'!J80+'Avg Week Kigumba-Karuma'!J80</f>
        <v>0</v>
      </c>
      <c r="K80" s="49">
        <f>'Avg Week Karuma-Kigumba'!K80+'Avg Week Kigumba-Karuma'!K80</f>
        <v>0</v>
      </c>
      <c r="L80" s="49">
        <f>'Avg Week Karuma-Kigumba'!L80+'Avg Week Kigumba-Karuma'!L80</f>
        <v>1</v>
      </c>
      <c r="M80" s="49">
        <f>'Avg Week Karuma-Kigumba'!M80+'Avg Week Kigumba-Karuma'!M80</f>
        <v>3</v>
      </c>
      <c r="N80" s="49">
        <f>'Avg Week Karuma-Kigumba'!N80+'Avg Week Kigumba-Karuma'!N80</f>
        <v>0</v>
      </c>
      <c r="O80" s="15">
        <f t="shared" si="35"/>
        <v>14</v>
      </c>
      <c r="P80" s="15">
        <f t="shared" si="36"/>
        <v>17</v>
      </c>
      <c r="R80" s="8"/>
      <c r="T80"/>
    </row>
    <row r="81" spans="2:20" ht="23.1" customHeight="1" x14ac:dyDescent="0.25">
      <c r="B81" s="23" t="s">
        <v>121</v>
      </c>
      <c r="C81" s="49">
        <f>'Avg Week Karuma-Kigumba'!C81+'Avg Week Kigumba-Karuma'!C81</f>
        <v>1</v>
      </c>
      <c r="D81" s="49">
        <f>'Avg Week Karuma-Kigumba'!D81+'Avg Week Kigumba-Karuma'!D81</f>
        <v>2</v>
      </c>
      <c r="E81" s="49">
        <f>'Avg Week Karuma-Kigumba'!E81+'Avg Week Kigumba-Karuma'!E81</f>
        <v>3.5</v>
      </c>
      <c r="F81" s="49">
        <f>'Avg Week Karuma-Kigumba'!F81+'Avg Week Kigumba-Karuma'!F81</f>
        <v>1.5</v>
      </c>
      <c r="G81" s="49">
        <f>'Avg Week Karuma-Kigumba'!G81+'Avg Week Kigumba-Karuma'!G81</f>
        <v>0</v>
      </c>
      <c r="H81" s="49">
        <f>'Avg Week Karuma-Kigumba'!H81+'Avg Week Kigumba-Karuma'!H81</f>
        <v>1</v>
      </c>
      <c r="I81" s="49">
        <f>'Avg Week Karuma-Kigumba'!I81+'Avg Week Kigumba-Karuma'!I81</f>
        <v>1</v>
      </c>
      <c r="J81" s="49">
        <f>'Avg Week Karuma-Kigumba'!J81+'Avg Week Kigumba-Karuma'!J81</f>
        <v>0</v>
      </c>
      <c r="K81" s="49">
        <f>'Avg Week Karuma-Kigumba'!K81+'Avg Week Kigumba-Karuma'!K81</f>
        <v>0</v>
      </c>
      <c r="L81" s="49">
        <f>'Avg Week Karuma-Kigumba'!L81+'Avg Week Kigumba-Karuma'!L81</f>
        <v>1</v>
      </c>
      <c r="M81" s="49">
        <f>'Avg Week Karuma-Kigumba'!M81+'Avg Week Kigumba-Karuma'!M81</f>
        <v>2</v>
      </c>
      <c r="N81" s="49">
        <f>'Avg Week Karuma-Kigumba'!N81+'Avg Week Kigumba-Karuma'!N81</f>
        <v>0</v>
      </c>
      <c r="O81" s="15">
        <f t="shared" si="35"/>
        <v>11</v>
      </c>
      <c r="P81" s="15">
        <f t="shared" si="36"/>
        <v>13</v>
      </c>
      <c r="R81" s="8"/>
      <c r="T81"/>
    </row>
    <row r="82" spans="2:20" ht="23.1" customHeight="1" x14ac:dyDescent="0.25">
      <c r="B82" s="24" t="s">
        <v>122</v>
      </c>
      <c r="C82" s="49">
        <f>'Avg Week Karuma-Kigumba'!C82+'Avg Week Kigumba-Karuma'!C82</f>
        <v>1.5</v>
      </c>
      <c r="D82" s="49">
        <f>'Avg Week Karuma-Kigumba'!D82+'Avg Week Kigumba-Karuma'!D82</f>
        <v>1</v>
      </c>
      <c r="E82" s="49">
        <f>'Avg Week Karuma-Kigumba'!E82+'Avg Week Kigumba-Karuma'!E82</f>
        <v>3.5</v>
      </c>
      <c r="F82" s="49">
        <f>'Avg Week Karuma-Kigumba'!F82+'Avg Week Kigumba-Karuma'!F82</f>
        <v>1.5</v>
      </c>
      <c r="G82" s="49">
        <f>'Avg Week Karuma-Kigumba'!G82+'Avg Week Kigumba-Karuma'!G82</f>
        <v>0</v>
      </c>
      <c r="H82" s="49">
        <f>'Avg Week Karuma-Kigumba'!H82+'Avg Week Kigumba-Karuma'!H82</f>
        <v>1</v>
      </c>
      <c r="I82" s="49">
        <f>'Avg Week Karuma-Kigumba'!I82+'Avg Week Kigumba-Karuma'!I82</f>
        <v>1.5</v>
      </c>
      <c r="J82" s="49">
        <f>'Avg Week Karuma-Kigumba'!J82+'Avg Week Kigumba-Karuma'!J82</f>
        <v>0</v>
      </c>
      <c r="K82" s="49">
        <f>'Avg Week Karuma-Kigumba'!K82+'Avg Week Kigumba-Karuma'!K82</f>
        <v>0</v>
      </c>
      <c r="L82" s="49">
        <f>'Avg Week Karuma-Kigumba'!L82+'Avg Week Kigumba-Karuma'!L82</f>
        <v>0.5</v>
      </c>
      <c r="M82" s="49">
        <f>'Avg Week Karuma-Kigumba'!M82+'Avg Week Kigumba-Karuma'!M82</f>
        <v>2</v>
      </c>
      <c r="N82" s="49">
        <f>'Avg Week Karuma-Kigumba'!N82+'Avg Week Kigumba-Karuma'!N82</f>
        <v>0</v>
      </c>
      <c r="O82" s="15">
        <f t="shared" si="35"/>
        <v>10.5</v>
      </c>
      <c r="P82" s="15">
        <f t="shared" si="36"/>
        <v>12.5</v>
      </c>
      <c r="R82" s="8"/>
      <c r="T82"/>
    </row>
    <row r="83" spans="2:20" ht="23.1" customHeight="1" x14ac:dyDescent="0.25">
      <c r="B83" s="23" t="s">
        <v>123</v>
      </c>
      <c r="C83" s="49">
        <f>'Avg Week Karuma-Kigumba'!C83+'Avg Week Kigumba-Karuma'!C83</f>
        <v>1.5</v>
      </c>
      <c r="D83" s="49">
        <f>'Avg Week Karuma-Kigumba'!D83+'Avg Week Kigumba-Karuma'!D83</f>
        <v>1.5</v>
      </c>
      <c r="E83" s="49">
        <f>'Avg Week Karuma-Kigumba'!E83+'Avg Week Kigumba-Karuma'!E83</f>
        <v>4</v>
      </c>
      <c r="F83" s="49">
        <f>'Avg Week Karuma-Kigumba'!F83+'Avg Week Kigumba-Karuma'!F83</f>
        <v>2</v>
      </c>
      <c r="G83" s="49">
        <f>'Avg Week Karuma-Kigumba'!G83+'Avg Week Kigumba-Karuma'!G83</f>
        <v>0</v>
      </c>
      <c r="H83" s="49">
        <f>'Avg Week Karuma-Kigumba'!H83+'Avg Week Kigumba-Karuma'!H83</f>
        <v>1.5</v>
      </c>
      <c r="I83" s="49">
        <f>'Avg Week Karuma-Kigumba'!I83+'Avg Week Kigumba-Karuma'!I83</f>
        <v>2</v>
      </c>
      <c r="J83" s="49">
        <f>'Avg Week Karuma-Kigumba'!J83+'Avg Week Kigumba-Karuma'!J83</f>
        <v>0</v>
      </c>
      <c r="K83" s="49">
        <f>'Avg Week Karuma-Kigumba'!K83+'Avg Week Kigumba-Karuma'!K83</f>
        <v>0</v>
      </c>
      <c r="L83" s="49">
        <f>'Avg Week Karuma-Kigumba'!L83+'Avg Week Kigumba-Karuma'!L83</f>
        <v>0.5</v>
      </c>
      <c r="M83" s="49">
        <f>'Avg Week Karuma-Kigumba'!M83+'Avg Week Kigumba-Karuma'!M83</f>
        <v>2</v>
      </c>
      <c r="N83" s="49">
        <f>'Avg Week Karuma-Kigumba'!N83+'Avg Week Kigumba-Karuma'!N83</f>
        <v>0</v>
      </c>
      <c r="O83" s="15">
        <f t="shared" si="35"/>
        <v>13</v>
      </c>
      <c r="P83" s="15">
        <f t="shared" si="36"/>
        <v>15</v>
      </c>
      <c r="R83" s="8"/>
      <c r="T83"/>
    </row>
    <row r="84" spans="2:20" ht="23.1" customHeight="1" x14ac:dyDescent="0.25">
      <c r="B84" s="25" t="s">
        <v>124</v>
      </c>
      <c r="C84" s="49">
        <f>'Avg Week Karuma-Kigumba'!C84+'Avg Week Kigumba-Karuma'!C84</f>
        <v>2</v>
      </c>
      <c r="D84" s="49">
        <f>'Avg Week Karuma-Kigumba'!D84+'Avg Week Kigumba-Karuma'!D84</f>
        <v>1</v>
      </c>
      <c r="E84" s="49">
        <f>'Avg Week Karuma-Kigumba'!E84+'Avg Week Kigumba-Karuma'!E84</f>
        <v>3</v>
      </c>
      <c r="F84" s="49">
        <f>'Avg Week Karuma-Kigumba'!F84+'Avg Week Kigumba-Karuma'!F84</f>
        <v>0.5</v>
      </c>
      <c r="G84" s="49">
        <f>'Avg Week Karuma-Kigumba'!G84+'Avg Week Kigumba-Karuma'!G84</f>
        <v>0</v>
      </c>
      <c r="H84" s="49">
        <f>'Avg Week Karuma-Kigumba'!H84+'Avg Week Kigumba-Karuma'!H84</f>
        <v>1</v>
      </c>
      <c r="I84" s="49">
        <f>'Avg Week Karuma-Kigumba'!I84+'Avg Week Kigumba-Karuma'!I84</f>
        <v>1</v>
      </c>
      <c r="J84" s="49">
        <f>'Avg Week Karuma-Kigumba'!J84+'Avg Week Kigumba-Karuma'!J84</f>
        <v>0</v>
      </c>
      <c r="K84" s="49">
        <f>'Avg Week Karuma-Kigumba'!K84+'Avg Week Kigumba-Karuma'!K84</f>
        <v>0</v>
      </c>
      <c r="L84" s="49">
        <f>'Avg Week Karuma-Kigumba'!L84+'Avg Week Kigumba-Karuma'!L84</f>
        <v>0.5</v>
      </c>
      <c r="M84" s="49">
        <f>'Avg Week Karuma-Kigumba'!M84+'Avg Week Kigumba-Karuma'!M84</f>
        <v>1</v>
      </c>
      <c r="N84" s="49">
        <f>'Avg Week Karuma-Kigumba'!N84+'Avg Week Kigumba-Karuma'!N84</f>
        <v>0</v>
      </c>
      <c r="O84" s="15">
        <f t="shared" si="35"/>
        <v>9</v>
      </c>
      <c r="P84" s="15">
        <f t="shared" si="36"/>
        <v>10</v>
      </c>
      <c r="R84" s="8"/>
      <c r="T84"/>
    </row>
    <row r="85" spans="2:20" ht="23.1" customHeight="1" x14ac:dyDescent="0.25">
      <c r="B85" s="23" t="s">
        <v>125</v>
      </c>
      <c r="C85" s="49">
        <f>'Avg Week Karuma-Kigumba'!C85+'Avg Week Kigumba-Karuma'!C85</f>
        <v>2.5</v>
      </c>
      <c r="D85" s="49">
        <f>'Avg Week Karuma-Kigumba'!D85+'Avg Week Kigumba-Karuma'!D85</f>
        <v>1.5</v>
      </c>
      <c r="E85" s="49">
        <f>'Avg Week Karuma-Kigumba'!E85+'Avg Week Kigumba-Karuma'!E85</f>
        <v>3.5</v>
      </c>
      <c r="F85" s="49">
        <f>'Avg Week Karuma-Kigumba'!F85+'Avg Week Kigumba-Karuma'!F85</f>
        <v>1.5</v>
      </c>
      <c r="G85" s="49">
        <f>'Avg Week Karuma-Kigumba'!G85+'Avg Week Kigumba-Karuma'!G85</f>
        <v>0</v>
      </c>
      <c r="H85" s="49">
        <f>'Avg Week Karuma-Kigumba'!H85+'Avg Week Kigumba-Karuma'!H85</f>
        <v>1</v>
      </c>
      <c r="I85" s="49">
        <f>'Avg Week Karuma-Kigumba'!I85+'Avg Week Kigumba-Karuma'!I85</f>
        <v>2</v>
      </c>
      <c r="J85" s="49">
        <f>'Avg Week Karuma-Kigumba'!J85+'Avg Week Kigumba-Karuma'!J85</f>
        <v>0</v>
      </c>
      <c r="K85" s="49">
        <f>'Avg Week Karuma-Kigumba'!K85+'Avg Week Kigumba-Karuma'!K85</f>
        <v>0.5</v>
      </c>
      <c r="L85" s="49">
        <f>'Avg Week Karuma-Kigumba'!L85+'Avg Week Kigumba-Karuma'!L85</f>
        <v>0.5</v>
      </c>
      <c r="M85" s="49">
        <f>'Avg Week Karuma-Kigumba'!M85+'Avg Week Kigumba-Karuma'!M85</f>
        <v>2</v>
      </c>
      <c r="N85" s="49">
        <f>'Avg Week Karuma-Kigumba'!N85+'Avg Week Kigumba-Karuma'!N85</f>
        <v>0</v>
      </c>
      <c r="O85" s="15">
        <f t="shared" si="35"/>
        <v>13</v>
      </c>
      <c r="P85" s="15">
        <f t="shared" si="36"/>
        <v>15</v>
      </c>
      <c r="R85" s="8"/>
      <c r="T85"/>
    </row>
    <row r="86" spans="2:20" ht="23.1" customHeight="1" x14ac:dyDescent="0.25">
      <c r="B86" s="24" t="s">
        <v>126</v>
      </c>
      <c r="C86" s="49">
        <f>'Avg Week Karuma-Kigumba'!C86+'Avg Week Kigumba-Karuma'!C86</f>
        <v>1.5</v>
      </c>
      <c r="D86" s="49">
        <f>'Avg Week Karuma-Kigumba'!D86+'Avg Week Kigumba-Karuma'!D86</f>
        <v>1</v>
      </c>
      <c r="E86" s="49">
        <f>'Avg Week Karuma-Kigumba'!E86+'Avg Week Kigumba-Karuma'!E86</f>
        <v>3</v>
      </c>
      <c r="F86" s="49">
        <f>'Avg Week Karuma-Kigumba'!F86+'Avg Week Kigumba-Karuma'!F86</f>
        <v>1.5</v>
      </c>
      <c r="G86" s="49">
        <f>'Avg Week Karuma-Kigumba'!G86+'Avg Week Kigumba-Karuma'!G86</f>
        <v>0</v>
      </c>
      <c r="H86" s="49">
        <f>'Avg Week Karuma-Kigumba'!H86+'Avg Week Kigumba-Karuma'!H86</f>
        <v>2</v>
      </c>
      <c r="I86" s="49">
        <f>'Avg Week Karuma-Kigumba'!I86+'Avg Week Kigumba-Karuma'!I86</f>
        <v>1.5</v>
      </c>
      <c r="J86" s="49">
        <f>'Avg Week Karuma-Kigumba'!J86+'Avg Week Kigumba-Karuma'!J86</f>
        <v>0</v>
      </c>
      <c r="K86" s="49">
        <f>'Avg Week Karuma-Kigumba'!K86+'Avg Week Kigumba-Karuma'!K86</f>
        <v>0</v>
      </c>
      <c r="L86" s="49">
        <f>'Avg Week Karuma-Kigumba'!L86+'Avg Week Kigumba-Karuma'!L86</f>
        <v>0.5</v>
      </c>
      <c r="M86" s="49">
        <f>'Avg Week Karuma-Kigumba'!M86+'Avg Week Kigumba-Karuma'!M86</f>
        <v>3</v>
      </c>
      <c r="N86" s="49">
        <f>'Avg Week Karuma-Kigumba'!N86+'Avg Week Kigumba-Karuma'!N86</f>
        <v>0</v>
      </c>
      <c r="O86" s="15">
        <f t="shared" si="35"/>
        <v>11</v>
      </c>
      <c r="P86" s="15">
        <f t="shared" si="36"/>
        <v>14</v>
      </c>
      <c r="R86" s="8"/>
      <c r="T86"/>
    </row>
    <row r="87" spans="2:20" ht="23.1" customHeight="1" x14ac:dyDescent="0.25">
      <c r="B87" s="23" t="s">
        <v>127</v>
      </c>
      <c r="C87" s="49">
        <f>'Avg Week Karuma-Kigumba'!C87+'Avg Week Kigumba-Karuma'!C87</f>
        <v>1.5</v>
      </c>
      <c r="D87" s="49">
        <f>'Avg Week Karuma-Kigumba'!D87+'Avg Week Kigumba-Karuma'!D87</f>
        <v>1.5</v>
      </c>
      <c r="E87" s="49">
        <f>'Avg Week Karuma-Kigumba'!E87+'Avg Week Kigumba-Karuma'!E87</f>
        <v>3</v>
      </c>
      <c r="F87" s="49">
        <f>'Avg Week Karuma-Kigumba'!F87+'Avg Week Kigumba-Karuma'!F87</f>
        <v>0.5</v>
      </c>
      <c r="G87" s="49">
        <f>'Avg Week Karuma-Kigumba'!G87+'Avg Week Kigumba-Karuma'!G87</f>
        <v>0</v>
      </c>
      <c r="H87" s="49">
        <f>'Avg Week Karuma-Kigumba'!H87+'Avg Week Kigumba-Karuma'!H87</f>
        <v>0.5</v>
      </c>
      <c r="I87" s="49">
        <f>'Avg Week Karuma-Kigumba'!I87+'Avg Week Kigumba-Karuma'!I87</f>
        <v>1.5</v>
      </c>
      <c r="J87" s="49">
        <f>'Avg Week Karuma-Kigumba'!J87+'Avg Week Kigumba-Karuma'!J87</f>
        <v>0</v>
      </c>
      <c r="K87" s="49">
        <f>'Avg Week Karuma-Kigumba'!K87+'Avg Week Kigumba-Karuma'!K87</f>
        <v>0</v>
      </c>
      <c r="L87" s="49">
        <f>'Avg Week Karuma-Kigumba'!L87+'Avg Week Kigumba-Karuma'!L87</f>
        <v>1</v>
      </c>
      <c r="M87" s="49">
        <f>'Avg Week Karuma-Kigumba'!M87+'Avg Week Kigumba-Karuma'!M87</f>
        <v>2</v>
      </c>
      <c r="N87" s="49">
        <f>'Avg Week Karuma-Kigumba'!N87+'Avg Week Kigumba-Karuma'!N87</f>
        <v>0</v>
      </c>
      <c r="O87" s="15">
        <f t="shared" si="35"/>
        <v>9.5</v>
      </c>
      <c r="P87" s="15">
        <f t="shared" si="36"/>
        <v>11.5</v>
      </c>
      <c r="R87" s="8"/>
      <c r="T87"/>
    </row>
    <row r="88" spans="2:20" ht="23.1" customHeight="1" x14ac:dyDescent="0.25">
      <c r="B88" s="25" t="s">
        <v>128</v>
      </c>
      <c r="C88" s="49">
        <f>'Avg Week Karuma-Kigumba'!C88+'Avg Week Kigumba-Karuma'!C88</f>
        <v>2</v>
      </c>
      <c r="D88" s="49">
        <f>'Avg Week Karuma-Kigumba'!D88+'Avg Week Kigumba-Karuma'!D88</f>
        <v>1</v>
      </c>
      <c r="E88" s="49">
        <f>'Avg Week Karuma-Kigumba'!E88+'Avg Week Kigumba-Karuma'!E88</f>
        <v>3</v>
      </c>
      <c r="F88" s="49">
        <f>'Avg Week Karuma-Kigumba'!F88+'Avg Week Kigumba-Karuma'!F88</f>
        <v>1</v>
      </c>
      <c r="G88" s="49">
        <f>'Avg Week Karuma-Kigumba'!G88+'Avg Week Kigumba-Karuma'!G88</f>
        <v>0</v>
      </c>
      <c r="H88" s="49">
        <f>'Avg Week Karuma-Kigumba'!H88+'Avg Week Kigumba-Karuma'!H88</f>
        <v>1</v>
      </c>
      <c r="I88" s="49">
        <f>'Avg Week Karuma-Kigumba'!I88+'Avg Week Kigumba-Karuma'!I88</f>
        <v>1.5</v>
      </c>
      <c r="J88" s="49">
        <f>'Avg Week Karuma-Kigumba'!J88+'Avg Week Kigumba-Karuma'!J88</f>
        <v>0</v>
      </c>
      <c r="K88" s="49">
        <f>'Avg Week Karuma-Kigumba'!K88+'Avg Week Kigumba-Karuma'!K88</f>
        <v>0</v>
      </c>
      <c r="L88" s="49">
        <f>'Avg Week Karuma-Kigumba'!L88+'Avg Week Kigumba-Karuma'!L88</f>
        <v>1</v>
      </c>
      <c r="M88" s="49">
        <f>'Avg Week Karuma-Kigumba'!M88+'Avg Week Kigumba-Karuma'!M88</f>
        <v>1.5</v>
      </c>
      <c r="N88" s="49">
        <f>'Avg Week Karuma-Kigumba'!N88+'Avg Week Kigumba-Karuma'!N88</f>
        <v>0</v>
      </c>
      <c r="O88" s="15">
        <f t="shared" si="35"/>
        <v>10.5</v>
      </c>
      <c r="P88" s="15">
        <f t="shared" si="36"/>
        <v>12</v>
      </c>
      <c r="R88" s="8"/>
      <c r="T88"/>
    </row>
    <row r="89" spans="2:20" ht="23.1" customHeight="1" x14ac:dyDescent="0.25">
      <c r="B89" s="23" t="s">
        <v>129</v>
      </c>
      <c r="C89" s="49">
        <f>'Avg Week Karuma-Kigumba'!C89+'Avg Week Kigumba-Karuma'!C89</f>
        <v>1.5</v>
      </c>
      <c r="D89" s="49">
        <f>'Avg Week Karuma-Kigumba'!D89+'Avg Week Kigumba-Karuma'!D89</f>
        <v>1</v>
      </c>
      <c r="E89" s="49">
        <f>'Avg Week Karuma-Kigumba'!E89+'Avg Week Kigumba-Karuma'!E89</f>
        <v>3.5</v>
      </c>
      <c r="F89" s="49">
        <f>'Avg Week Karuma-Kigumba'!F89+'Avg Week Kigumba-Karuma'!F89</f>
        <v>1.5</v>
      </c>
      <c r="G89" s="49">
        <f>'Avg Week Karuma-Kigumba'!G89+'Avg Week Kigumba-Karuma'!G89</f>
        <v>0</v>
      </c>
      <c r="H89" s="49">
        <f>'Avg Week Karuma-Kigumba'!H89+'Avg Week Kigumba-Karuma'!H89</f>
        <v>0.5</v>
      </c>
      <c r="I89" s="49">
        <f>'Avg Week Karuma-Kigumba'!I89+'Avg Week Kigumba-Karuma'!I89</f>
        <v>1</v>
      </c>
      <c r="J89" s="49">
        <f>'Avg Week Karuma-Kigumba'!J89+'Avg Week Kigumba-Karuma'!J89</f>
        <v>0</v>
      </c>
      <c r="K89" s="49">
        <f>'Avg Week Karuma-Kigumba'!K89+'Avg Week Kigumba-Karuma'!K89</f>
        <v>0</v>
      </c>
      <c r="L89" s="49">
        <f>'Avg Week Karuma-Kigumba'!L89+'Avg Week Kigumba-Karuma'!L89</f>
        <v>1</v>
      </c>
      <c r="M89" s="49">
        <f>'Avg Week Karuma-Kigumba'!M89+'Avg Week Kigumba-Karuma'!M89</f>
        <v>1.5</v>
      </c>
      <c r="N89" s="49">
        <f>'Avg Week Karuma-Kigumba'!N89+'Avg Week Kigumba-Karuma'!N89</f>
        <v>0</v>
      </c>
      <c r="O89" s="15">
        <f t="shared" si="35"/>
        <v>10</v>
      </c>
      <c r="P89" s="15">
        <f t="shared" si="36"/>
        <v>11.5</v>
      </c>
      <c r="R89" s="8"/>
      <c r="T89"/>
    </row>
    <row r="90" spans="2:20" ht="23.1" customHeight="1" x14ac:dyDescent="0.25">
      <c r="B90" s="24" t="s">
        <v>130</v>
      </c>
      <c r="C90" s="49">
        <f>'Avg Week Karuma-Kigumba'!C90+'Avg Week Kigumba-Karuma'!C90</f>
        <v>1.5</v>
      </c>
      <c r="D90" s="49">
        <f>'Avg Week Karuma-Kigumba'!D90+'Avg Week Kigumba-Karuma'!D90</f>
        <v>1</v>
      </c>
      <c r="E90" s="49">
        <f>'Avg Week Karuma-Kigumba'!E90+'Avg Week Kigumba-Karuma'!E90</f>
        <v>2.5</v>
      </c>
      <c r="F90" s="49">
        <f>'Avg Week Karuma-Kigumba'!F90+'Avg Week Kigumba-Karuma'!F90</f>
        <v>1</v>
      </c>
      <c r="G90" s="49">
        <f>'Avg Week Karuma-Kigumba'!G90+'Avg Week Kigumba-Karuma'!G90</f>
        <v>0</v>
      </c>
      <c r="H90" s="49">
        <f>'Avg Week Karuma-Kigumba'!H90+'Avg Week Kigumba-Karuma'!H90</f>
        <v>1</v>
      </c>
      <c r="I90" s="49">
        <f>'Avg Week Karuma-Kigumba'!I90+'Avg Week Kigumba-Karuma'!I90</f>
        <v>2</v>
      </c>
      <c r="J90" s="49">
        <f>'Avg Week Karuma-Kigumba'!J90+'Avg Week Kigumba-Karuma'!J90</f>
        <v>0</v>
      </c>
      <c r="K90" s="49">
        <f>'Avg Week Karuma-Kigumba'!K90+'Avg Week Kigumba-Karuma'!K90</f>
        <v>0</v>
      </c>
      <c r="L90" s="49">
        <f>'Avg Week Karuma-Kigumba'!L90+'Avg Week Kigumba-Karuma'!L90</f>
        <v>1</v>
      </c>
      <c r="M90" s="49">
        <f>'Avg Week Karuma-Kigumba'!M90+'Avg Week Kigumba-Karuma'!M90</f>
        <v>0.5</v>
      </c>
      <c r="N90" s="49">
        <f>'Avg Week Karuma-Kigumba'!N90+'Avg Week Kigumba-Karuma'!N90</f>
        <v>0</v>
      </c>
      <c r="O90" s="15">
        <f t="shared" si="35"/>
        <v>10</v>
      </c>
      <c r="P90" s="15">
        <f t="shared" si="36"/>
        <v>10.5</v>
      </c>
      <c r="R90" s="8"/>
      <c r="T90"/>
    </row>
    <row r="91" spans="2:20" ht="23.1" customHeight="1" x14ac:dyDescent="0.25">
      <c r="B91" s="23" t="s">
        <v>131</v>
      </c>
      <c r="C91" s="49">
        <f>'Avg Week Karuma-Kigumba'!C91+'Avg Week Kigumba-Karuma'!C91</f>
        <v>2</v>
      </c>
      <c r="D91" s="49">
        <f>'Avg Week Karuma-Kigumba'!D91+'Avg Week Kigumba-Karuma'!D91</f>
        <v>1.5</v>
      </c>
      <c r="E91" s="49">
        <f>'Avg Week Karuma-Kigumba'!E91+'Avg Week Kigumba-Karuma'!E91</f>
        <v>3.5</v>
      </c>
      <c r="F91" s="49">
        <f>'Avg Week Karuma-Kigumba'!F91+'Avg Week Kigumba-Karuma'!F91</f>
        <v>1</v>
      </c>
      <c r="G91" s="49">
        <f>'Avg Week Karuma-Kigumba'!G91+'Avg Week Kigumba-Karuma'!G91</f>
        <v>0</v>
      </c>
      <c r="H91" s="49">
        <f>'Avg Week Karuma-Kigumba'!H91+'Avg Week Kigumba-Karuma'!H91</f>
        <v>1</v>
      </c>
      <c r="I91" s="49">
        <f>'Avg Week Karuma-Kigumba'!I91+'Avg Week Kigumba-Karuma'!I91</f>
        <v>1</v>
      </c>
      <c r="J91" s="49">
        <f>'Avg Week Karuma-Kigumba'!J91+'Avg Week Kigumba-Karuma'!J91</f>
        <v>0</v>
      </c>
      <c r="K91" s="49">
        <f>'Avg Week Karuma-Kigumba'!K91+'Avg Week Kigumba-Karuma'!K91</f>
        <v>0</v>
      </c>
      <c r="L91" s="49">
        <f>'Avg Week Karuma-Kigumba'!L91+'Avg Week Kigumba-Karuma'!L91</f>
        <v>1</v>
      </c>
      <c r="M91" s="49">
        <f>'Avg Week Karuma-Kigumba'!M91+'Avg Week Kigumba-Karuma'!M91</f>
        <v>2</v>
      </c>
      <c r="N91" s="49">
        <f>'Avg Week Karuma-Kigumba'!N91+'Avg Week Kigumba-Karuma'!N91</f>
        <v>0</v>
      </c>
      <c r="O91" s="15">
        <f t="shared" si="35"/>
        <v>11</v>
      </c>
      <c r="P91" s="15">
        <f t="shared" si="36"/>
        <v>13</v>
      </c>
      <c r="R91" s="8"/>
      <c r="T91"/>
    </row>
    <row r="92" spans="2:20" ht="23.1" customHeight="1" x14ac:dyDescent="0.25">
      <c r="B92" s="25" t="s">
        <v>132</v>
      </c>
      <c r="C92" s="49">
        <f>'Avg Week Karuma-Kigumba'!C92+'Avg Week Kigumba-Karuma'!C92</f>
        <v>1.5</v>
      </c>
      <c r="D92" s="49">
        <f>'Avg Week Karuma-Kigumba'!D92+'Avg Week Kigumba-Karuma'!D92</f>
        <v>1</v>
      </c>
      <c r="E92" s="49">
        <f>'Avg Week Karuma-Kigumba'!E92+'Avg Week Kigumba-Karuma'!E92</f>
        <v>3</v>
      </c>
      <c r="F92" s="49">
        <f>'Avg Week Karuma-Kigumba'!F92+'Avg Week Kigumba-Karuma'!F92</f>
        <v>1</v>
      </c>
      <c r="G92" s="49">
        <f>'Avg Week Karuma-Kigumba'!G92+'Avg Week Kigumba-Karuma'!G92</f>
        <v>0</v>
      </c>
      <c r="H92" s="49">
        <f>'Avg Week Karuma-Kigumba'!H92+'Avg Week Kigumba-Karuma'!H92</f>
        <v>3</v>
      </c>
      <c r="I92" s="49">
        <f>'Avg Week Karuma-Kigumba'!I92+'Avg Week Kigumba-Karuma'!I92</f>
        <v>1.5</v>
      </c>
      <c r="J92" s="49">
        <f>'Avg Week Karuma-Kigumba'!J92+'Avg Week Kigumba-Karuma'!J92</f>
        <v>0</v>
      </c>
      <c r="K92" s="49">
        <f>'Avg Week Karuma-Kigumba'!K92+'Avg Week Kigumba-Karuma'!K92</f>
        <v>0</v>
      </c>
      <c r="L92" s="49">
        <f>'Avg Week Karuma-Kigumba'!L92+'Avg Week Kigumba-Karuma'!L92</f>
        <v>1.5</v>
      </c>
      <c r="M92" s="49">
        <f>'Avg Week Karuma-Kigumba'!M92+'Avg Week Kigumba-Karuma'!M92</f>
        <v>3</v>
      </c>
      <c r="N92" s="49">
        <f>'Avg Week Karuma-Kigumba'!N92+'Avg Week Kigumba-Karuma'!N92</f>
        <v>0</v>
      </c>
      <c r="O92" s="15">
        <f t="shared" si="35"/>
        <v>12.5</v>
      </c>
      <c r="P92" s="15">
        <f t="shared" si="36"/>
        <v>15.5</v>
      </c>
      <c r="R92" s="8"/>
      <c r="T92"/>
    </row>
    <row r="93" spans="2:20" ht="23.1" customHeight="1" x14ac:dyDescent="0.25">
      <c r="B93" s="23" t="s">
        <v>133</v>
      </c>
      <c r="C93" s="49">
        <f>'Avg Week Karuma-Kigumba'!C93+'Avg Week Kigumba-Karuma'!C93</f>
        <v>2</v>
      </c>
      <c r="D93" s="49">
        <f>'Avg Week Karuma-Kigumba'!D93+'Avg Week Kigumba-Karuma'!D93</f>
        <v>1.5</v>
      </c>
      <c r="E93" s="49">
        <f>'Avg Week Karuma-Kigumba'!E93+'Avg Week Kigumba-Karuma'!E93</f>
        <v>3</v>
      </c>
      <c r="F93" s="49">
        <f>'Avg Week Karuma-Kigumba'!F93+'Avg Week Kigumba-Karuma'!F93</f>
        <v>1</v>
      </c>
      <c r="G93" s="49">
        <f>'Avg Week Karuma-Kigumba'!G93+'Avg Week Kigumba-Karuma'!G93</f>
        <v>0</v>
      </c>
      <c r="H93" s="49">
        <f>'Avg Week Karuma-Kigumba'!H93+'Avg Week Kigumba-Karuma'!H93</f>
        <v>2</v>
      </c>
      <c r="I93" s="49">
        <f>'Avg Week Karuma-Kigumba'!I93+'Avg Week Kigumba-Karuma'!I93</f>
        <v>1.5</v>
      </c>
      <c r="J93" s="49">
        <f>'Avg Week Karuma-Kigumba'!J93+'Avg Week Kigumba-Karuma'!J93</f>
        <v>0</v>
      </c>
      <c r="K93" s="49">
        <f>'Avg Week Karuma-Kigumba'!K93+'Avg Week Kigumba-Karuma'!K93</f>
        <v>0</v>
      </c>
      <c r="L93" s="49">
        <f>'Avg Week Karuma-Kigumba'!L93+'Avg Week Kigumba-Karuma'!L93</f>
        <v>1</v>
      </c>
      <c r="M93" s="49">
        <f>'Avg Week Karuma-Kigumba'!M93+'Avg Week Kigumba-Karuma'!M93</f>
        <v>2</v>
      </c>
      <c r="N93" s="49">
        <f>'Avg Week Karuma-Kigumba'!N93+'Avg Week Kigumba-Karuma'!N93</f>
        <v>0</v>
      </c>
      <c r="O93" s="15">
        <f t="shared" si="35"/>
        <v>12</v>
      </c>
      <c r="P93" s="15">
        <f t="shared" si="36"/>
        <v>14</v>
      </c>
      <c r="R93" s="8"/>
      <c r="T93"/>
    </row>
    <row r="94" spans="2:20" ht="23.1" customHeight="1" x14ac:dyDescent="0.25">
      <c r="B94" s="24" t="s">
        <v>134</v>
      </c>
      <c r="C94" s="49">
        <f>'Avg Week Karuma-Kigumba'!C94+'Avg Week Kigumba-Karuma'!C94</f>
        <v>1.5</v>
      </c>
      <c r="D94" s="49">
        <f>'Avg Week Karuma-Kigumba'!D94+'Avg Week Kigumba-Karuma'!D94</f>
        <v>1</v>
      </c>
      <c r="E94" s="49">
        <f>'Avg Week Karuma-Kigumba'!E94+'Avg Week Kigumba-Karuma'!E94</f>
        <v>3</v>
      </c>
      <c r="F94" s="49">
        <f>'Avg Week Karuma-Kigumba'!F94+'Avg Week Kigumba-Karuma'!F94</f>
        <v>1</v>
      </c>
      <c r="G94" s="49">
        <f>'Avg Week Karuma-Kigumba'!G94+'Avg Week Kigumba-Karuma'!G94</f>
        <v>0</v>
      </c>
      <c r="H94" s="49">
        <f>'Avg Week Karuma-Kigumba'!H94+'Avg Week Kigumba-Karuma'!H94</f>
        <v>2</v>
      </c>
      <c r="I94" s="49">
        <f>'Avg Week Karuma-Kigumba'!I94+'Avg Week Kigumba-Karuma'!I94</f>
        <v>1</v>
      </c>
      <c r="J94" s="49">
        <f>'Avg Week Karuma-Kigumba'!J94+'Avg Week Kigumba-Karuma'!J94</f>
        <v>0.5</v>
      </c>
      <c r="K94" s="49">
        <f>'Avg Week Karuma-Kigumba'!K94+'Avg Week Kigumba-Karuma'!K94</f>
        <v>0</v>
      </c>
      <c r="L94" s="49">
        <f>'Avg Week Karuma-Kigumba'!L94+'Avg Week Kigumba-Karuma'!L94</f>
        <v>0.5</v>
      </c>
      <c r="M94" s="49">
        <f>'Avg Week Karuma-Kigumba'!M94+'Avg Week Kigumba-Karuma'!M94</f>
        <v>2</v>
      </c>
      <c r="N94" s="49">
        <f>'Avg Week Karuma-Kigumba'!N94+'Avg Week Kigumba-Karuma'!N94</f>
        <v>0</v>
      </c>
      <c r="O94" s="15">
        <f t="shared" si="35"/>
        <v>10.5</v>
      </c>
      <c r="P94" s="15">
        <f t="shared" si="36"/>
        <v>12.5</v>
      </c>
      <c r="R94" s="8"/>
      <c r="T94"/>
    </row>
    <row r="95" spans="2:20" ht="23.1" customHeight="1" x14ac:dyDescent="0.25">
      <c r="B95" s="23" t="s">
        <v>135</v>
      </c>
      <c r="C95" s="49">
        <f>'Avg Week Karuma-Kigumba'!C95+'Avg Week Kigumba-Karuma'!C95</f>
        <v>1.5</v>
      </c>
      <c r="D95" s="49">
        <f>'Avg Week Karuma-Kigumba'!D95+'Avg Week Kigumba-Karuma'!D95</f>
        <v>1</v>
      </c>
      <c r="E95" s="49">
        <f>'Avg Week Karuma-Kigumba'!E95+'Avg Week Kigumba-Karuma'!E95</f>
        <v>2</v>
      </c>
      <c r="F95" s="49">
        <f>'Avg Week Karuma-Kigumba'!F95+'Avg Week Kigumba-Karuma'!F95</f>
        <v>2</v>
      </c>
      <c r="G95" s="49">
        <f>'Avg Week Karuma-Kigumba'!G95+'Avg Week Kigumba-Karuma'!G95</f>
        <v>0</v>
      </c>
      <c r="H95" s="49">
        <f>'Avg Week Karuma-Kigumba'!H95+'Avg Week Kigumba-Karuma'!H95</f>
        <v>2</v>
      </c>
      <c r="I95" s="49">
        <f>'Avg Week Karuma-Kigumba'!I95+'Avg Week Kigumba-Karuma'!I95</f>
        <v>1</v>
      </c>
      <c r="J95" s="49">
        <f>'Avg Week Karuma-Kigumba'!J95+'Avg Week Kigumba-Karuma'!J95</f>
        <v>0</v>
      </c>
      <c r="K95" s="49">
        <f>'Avg Week Karuma-Kigumba'!K95+'Avg Week Kigumba-Karuma'!K95</f>
        <v>0</v>
      </c>
      <c r="L95" s="49">
        <f>'Avg Week Karuma-Kigumba'!L95+'Avg Week Kigumba-Karuma'!L95</f>
        <v>1</v>
      </c>
      <c r="M95" s="49">
        <f>'Avg Week Karuma-Kigumba'!M95+'Avg Week Kigumba-Karuma'!M95</f>
        <v>1.5</v>
      </c>
      <c r="N95" s="49">
        <f>'Avg Week Karuma-Kigumba'!N95+'Avg Week Kigumba-Karuma'!N95</f>
        <v>0</v>
      </c>
      <c r="O95" s="15">
        <f t="shared" si="35"/>
        <v>10.5</v>
      </c>
      <c r="P95" s="15">
        <f t="shared" si="36"/>
        <v>12</v>
      </c>
      <c r="R95" s="8"/>
      <c r="T95"/>
    </row>
    <row r="96" spans="2:20" ht="23.1" customHeight="1" x14ac:dyDescent="0.25">
      <c r="B96" s="25" t="s">
        <v>136</v>
      </c>
      <c r="C96" s="49">
        <f>'Avg Week Karuma-Kigumba'!C96+'Avg Week Kigumba-Karuma'!C96</f>
        <v>2</v>
      </c>
      <c r="D96" s="49">
        <f>'Avg Week Karuma-Kigumba'!D96+'Avg Week Kigumba-Karuma'!D96</f>
        <v>1.5</v>
      </c>
      <c r="E96" s="49">
        <f>'Avg Week Karuma-Kigumba'!E96+'Avg Week Kigumba-Karuma'!E96</f>
        <v>4</v>
      </c>
      <c r="F96" s="49">
        <f>'Avg Week Karuma-Kigumba'!F96+'Avg Week Kigumba-Karuma'!F96</f>
        <v>1</v>
      </c>
      <c r="G96" s="49">
        <f>'Avg Week Karuma-Kigumba'!G96+'Avg Week Kigumba-Karuma'!G96</f>
        <v>0</v>
      </c>
      <c r="H96" s="49">
        <f>'Avg Week Karuma-Kigumba'!H96+'Avg Week Kigumba-Karuma'!H96</f>
        <v>1.5</v>
      </c>
      <c r="I96" s="49">
        <f>'Avg Week Karuma-Kigumba'!I96+'Avg Week Kigumba-Karuma'!I96</f>
        <v>2</v>
      </c>
      <c r="J96" s="49">
        <f>'Avg Week Karuma-Kigumba'!J96+'Avg Week Kigumba-Karuma'!J96</f>
        <v>0</v>
      </c>
      <c r="K96" s="49">
        <f>'Avg Week Karuma-Kigumba'!K96+'Avg Week Kigumba-Karuma'!K96</f>
        <v>0</v>
      </c>
      <c r="L96" s="49">
        <f>'Avg Week Karuma-Kigumba'!L96+'Avg Week Kigumba-Karuma'!L96</f>
        <v>1.5</v>
      </c>
      <c r="M96" s="49">
        <f>'Avg Week Karuma-Kigumba'!M96+'Avg Week Kigumba-Karuma'!M96</f>
        <v>2.5</v>
      </c>
      <c r="N96" s="49">
        <f>'Avg Week Karuma-Kigumba'!N96+'Avg Week Kigumba-Karuma'!N96</f>
        <v>0</v>
      </c>
      <c r="O96" s="15">
        <f t="shared" si="35"/>
        <v>13.5</v>
      </c>
      <c r="P96" s="15">
        <f t="shared" si="36"/>
        <v>16</v>
      </c>
      <c r="R96" s="8"/>
      <c r="T96"/>
    </row>
    <row r="97" spans="2:20" ht="23.1" customHeight="1" x14ac:dyDescent="0.25">
      <c r="B97" s="23" t="s">
        <v>137</v>
      </c>
      <c r="C97" s="49">
        <f>'Avg Week Karuma-Kigumba'!C97+'Avg Week Kigumba-Karuma'!C97</f>
        <v>2</v>
      </c>
      <c r="D97" s="49">
        <f>'Avg Week Karuma-Kigumba'!D97+'Avg Week Kigumba-Karuma'!D97</f>
        <v>2</v>
      </c>
      <c r="E97" s="49">
        <f>'Avg Week Karuma-Kigumba'!E97+'Avg Week Kigumba-Karuma'!E97</f>
        <v>3</v>
      </c>
      <c r="F97" s="49">
        <f>'Avg Week Karuma-Kigumba'!F97+'Avg Week Kigumba-Karuma'!F97</f>
        <v>1</v>
      </c>
      <c r="G97" s="49">
        <f>'Avg Week Karuma-Kigumba'!G97+'Avg Week Kigumba-Karuma'!G97</f>
        <v>0</v>
      </c>
      <c r="H97" s="49">
        <f>'Avg Week Karuma-Kigumba'!H97+'Avg Week Kigumba-Karuma'!H97</f>
        <v>1.5</v>
      </c>
      <c r="I97" s="49">
        <f>'Avg Week Karuma-Kigumba'!I97+'Avg Week Kigumba-Karuma'!I97</f>
        <v>2.5</v>
      </c>
      <c r="J97" s="49">
        <f>'Avg Week Karuma-Kigumba'!J97+'Avg Week Kigumba-Karuma'!J97</f>
        <v>0</v>
      </c>
      <c r="K97" s="49">
        <f>'Avg Week Karuma-Kigumba'!K97+'Avg Week Kigumba-Karuma'!K97</f>
        <v>0</v>
      </c>
      <c r="L97" s="49">
        <f>'Avg Week Karuma-Kigumba'!L97+'Avg Week Kigumba-Karuma'!L97</f>
        <v>1</v>
      </c>
      <c r="M97" s="49">
        <f>'Avg Week Karuma-Kigumba'!M97+'Avg Week Kigumba-Karuma'!M97</f>
        <v>1</v>
      </c>
      <c r="N97" s="49">
        <f>'Avg Week Karuma-Kigumba'!N97+'Avg Week Kigumba-Karuma'!N97</f>
        <v>0</v>
      </c>
      <c r="O97" s="15">
        <f t="shared" si="35"/>
        <v>13</v>
      </c>
      <c r="P97" s="15">
        <f t="shared" si="36"/>
        <v>14</v>
      </c>
      <c r="R97" s="8"/>
      <c r="T97"/>
    </row>
    <row r="98" spans="2:20" ht="23.1" customHeight="1" x14ac:dyDescent="0.25">
      <c r="B98" s="24" t="s">
        <v>138</v>
      </c>
      <c r="C98" s="49">
        <f>'Avg Week Karuma-Kigumba'!C98+'Avg Week Kigumba-Karuma'!C98</f>
        <v>1</v>
      </c>
      <c r="D98" s="49">
        <f>'Avg Week Karuma-Kigumba'!D98+'Avg Week Kigumba-Karuma'!D98</f>
        <v>1</v>
      </c>
      <c r="E98" s="49">
        <f>'Avg Week Karuma-Kigumba'!E98+'Avg Week Kigumba-Karuma'!E98</f>
        <v>2.5</v>
      </c>
      <c r="F98" s="49">
        <f>'Avg Week Karuma-Kigumba'!F98+'Avg Week Kigumba-Karuma'!F98</f>
        <v>1</v>
      </c>
      <c r="G98" s="49">
        <f>'Avg Week Karuma-Kigumba'!G98+'Avg Week Kigumba-Karuma'!G98</f>
        <v>0</v>
      </c>
      <c r="H98" s="49">
        <f>'Avg Week Karuma-Kigumba'!H98+'Avg Week Kigumba-Karuma'!H98</f>
        <v>1.5</v>
      </c>
      <c r="I98" s="49">
        <f>'Avg Week Karuma-Kigumba'!I98+'Avg Week Kigumba-Karuma'!I98</f>
        <v>1.5</v>
      </c>
      <c r="J98" s="49">
        <f>'Avg Week Karuma-Kigumba'!J98+'Avg Week Kigumba-Karuma'!J98</f>
        <v>0</v>
      </c>
      <c r="K98" s="49">
        <f>'Avg Week Karuma-Kigumba'!K98+'Avg Week Kigumba-Karuma'!K98</f>
        <v>0.5</v>
      </c>
      <c r="L98" s="49">
        <f>'Avg Week Karuma-Kigumba'!L98+'Avg Week Kigumba-Karuma'!L98</f>
        <v>1</v>
      </c>
      <c r="M98" s="49">
        <f>'Avg Week Karuma-Kigumba'!M98+'Avg Week Kigumba-Karuma'!M98</f>
        <v>4.5</v>
      </c>
      <c r="N98" s="49">
        <f>'Avg Week Karuma-Kigumba'!N98+'Avg Week Kigumba-Karuma'!N98</f>
        <v>0</v>
      </c>
      <c r="O98" s="15">
        <f t="shared" si="35"/>
        <v>10</v>
      </c>
      <c r="P98" s="15">
        <f t="shared" si="36"/>
        <v>14.5</v>
      </c>
      <c r="R98" s="8"/>
      <c r="T98"/>
    </row>
    <row r="99" spans="2:20" ht="23.1" customHeight="1" x14ac:dyDescent="0.25">
      <c r="B99" s="23" t="s">
        <v>139</v>
      </c>
      <c r="C99" s="49">
        <f>'Avg Week Karuma-Kigumba'!C99+'Avg Week Kigumba-Karuma'!C99</f>
        <v>1.5</v>
      </c>
      <c r="D99" s="49">
        <f>'Avg Week Karuma-Kigumba'!D99+'Avg Week Kigumba-Karuma'!D99</f>
        <v>1</v>
      </c>
      <c r="E99" s="49">
        <f>'Avg Week Karuma-Kigumba'!E99+'Avg Week Kigumba-Karuma'!E99</f>
        <v>3</v>
      </c>
      <c r="F99" s="49">
        <f>'Avg Week Karuma-Kigumba'!F99+'Avg Week Kigumba-Karuma'!F99</f>
        <v>1</v>
      </c>
      <c r="G99" s="49">
        <f>'Avg Week Karuma-Kigumba'!G99+'Avg Week Kigumba-Karuma'!G99</f>
        <v>0</v>
      </c>
      <c r="H99" s="49">
        <f>'Avg Week Karuma-Kigumba'!H99+'Avg Week Kigumba-Karuma'!H99</f>
        <v>2.5</v>
      </c>
      <c r="I99" s="49">
        <f>'Avg Week Karuma-Kigumba'!I99+'Avg Week Kigumba-Karuma'!I99</f>
        <v>2</v>
      </c>
      <c r="J99" s="49">
        <f>'Avg Week Karuma-Kigumba'!J99+'Avg Week Kigumba-Karuma'!J99</f>
        <v>0</v>
      </c>
      <c r="K99" s="49">
        <f>'Avg Week Karuma-Kigumba'!K99+'Avg Week Kigumba-Karuma'!K99</f>
        <v>0</v>
      </c>
      <c r="L99" s="49">
        <f>'Avg Week Karuma-Kigumba'!L99+'Avg Week Kigumba-Karuma'!L99</f>
        <v>0.5</v>
      </c>
      <c r="M99" s="49">
        <f>'Avg Week Karuma-Kigumba'!M99+'Avg Week Kigumba-Karuma'!M99</f>
        <v>4</v>
      </c>
      <c r="N99" s="49">
        <f>'Avg Week Karuma-Kigumba'!N99+'Avg Week Kigumba-Karuma'!N99</f>
        <v>0</v>
      </c>
      <c r="O99" s="15">
        <f t="shared" si="35"/>
        <v>11.5</v>
      </c>
      <c r="P99" s="15">
        <f t="shared" si="36"/>
        <v>15.5</v>
      </c>
      <c r="R99" s="8"/>
      <c r="T99"/>
    </row>
    <row r="100" spans="2:20" ht="23.1" customHeight="1" x14ac:dyDescent="0.25">
      <c r="B100" s="25" t="s">
        <v>140</v>
      </c>
      <c r="C100" s="49">
        <f>'Avg Week Karuma-Kigumba'!C100+'Avg Week Kigumba-Karuma'!C100</f>
        <v>2</v>
      </c>
      <c r="D100" s="49">
        <f>'Avg Week Karuma-Kigumba'!D100+'Avg Week Kigumba-Karuma'!D100</f>
        <v>2</v>
      </c>
      <c r="E100" s="49">
        <f>'Avg Week Karuma-Kigumba'!E100+'Avg Week Kigumba-Karuma'!E100</f>
        <v>5</v>
      </c>
      <c r="F100" s="49">
        <f>'Avg Week Karuma-Kigumba'!F100+'Avg Week Kigumba-Karuma'!F100</f>
        <v>2</v>
      </c>
      <c r="G100" s="49">
        <f>'Avg Week Karuma-Kigumba'!G100+'Avg Week Kigumba-Karuma'!G100</f>
        <v>0</v>
      </c>
      <c r="H100" s="49">
        <f>'Avg Week Karuma-Kigumba'!H100+'Avg Week Kigumba-Karuma'!H100</f>
        <v>1</v>
      </c>
      <c r="I100" s="49">
        <f>'Avg Week Karuma-Kigumba'!I100+'Avg Week Kigumba-Karuma'!I100</f>
        <v>2</v>
      </c>
      <c r="J100" s="49">
        <f>'Avg Week Karuma-Kigumba'!J100+'Avg Week Kigumba-Karuma'!J100</f>
        <v>0</v>
      </c>
      <c r="K100" s="49">
        <f>'Avg Week Karuma-Kigumba'!K100+'Avg Week Kigumba-Karuma'!K100</f>
        <v>0</v>
      </c>
      <c r="L100" s="49">
        <f>'Avg Week Karuma-Kigumba'!L100+'Avg Week Kigumba-Karuma'!L100</f>
        <v>1</v>
      </c>
      <c r="M100" s="49">
        <f>'Avg Week Karuma-Kigumba'!M100+'Avg Week Kigumba-Karuma'!M100</f>
        <v>6</v>
      </c>
      <c r="N100" s="49">
        <f>'Avg Week Karuma-Kigumba'!N100+'Avg Week Kigumba-Karuma'!N100</f>
        <v>0</v>
      </c>
      <c r="O100" s="15">
        <f t="shared" si="35"/>
        <v>15</v>
      </c>
      <c r="P100" s="15">
        <f t="shared" si="36"/>
        <v>21</v>
      </c>
      <c r="R100" s="8"/>
      <c r="T100"/>
    </row>
    <row r="101" spans="2:20" ht="23.1" customHeight="1" x14ac:dyDescent="0.25">
      <c r="B101" s="23" t="s">
        <v>141</v>
      </c>
      <c r="C101" s="49">
        <f>'Avg Week Karuma-Kigumba'!C101+'Avg Week Kigumba-Karuma'!C101</f>
        <v>2</v>
      </c>
      <c r="D101" s="49">
        <f>'Avg Week Karuma-Kigumba'!D101+'Avg Week Kigumba-Karuma'!D101</f>
        <v>1.5</v>
      </c>
      <c r="E101" s="49">
        <f>'Avg Week Karuma-Kigumba'!E101+'Avg Week Kigumba-Karuma'!E101</f>
        <v>3.5</v>
      </c>
      <c r="F101" s="49">
        <f>'Avg Week Karuma-Kigumba'!F101+'Avg Week Kigumba-Karuma'!F101</f>
        <v>1.5</v>
      </c>
      <c r="G101" s="49">
        <f>'Avg Week Karuma-Kigumba'!G101+'Avg Week Kigumba-Karuma'!G101</f>
        <v>0</v>
      </c>
      <c r="H101" s="49">
        <f>'Avg Week Karuma-Kigumba'!H101+'Avg Week Kigumba-Karuma'!H101</f>
        <v>1</v>
      </c>
      <c r="I101" s="49">
        <f>'Avg Week Karuma-Kigumba'!I101+'Avg Week Kigumba-Karuma'!I101</f>
        <v>2</v>
      </c>
      <c r="J101" s="49">
        <f>'Avg Week Karuma-Kigumba'!J101+'Avg Week Kigumba-Karuma'!J101</f>
        <v>1</v>
      </c>
      <c r="K101" s="49">
        <f>'Avg Week Karuma-Kigumba'!K101+'Avg Week Kigumba-Karuma'!K101</f>
        <v>0</v>
      </c>
      <c r="L101" s="49">
        <f>'Avg Week Karuma-Kigumba'!L101+'Avg Week Kigumba-Karuma'!L101</f>
        <v>2</v>
      </c>
      <c r="M101" s="49">
        <f>'Avg Week Karuma-Kigumba'!M101+'Avg Week Kigumba-Karuma'!M101</f>
        <v>5.5</v>
      </c>
      <c r="N101" s="49">
        <f>'Avg Week Karuma-Kigumba'!N101+'Avg Week Kigumba-Karuma'!N101</f>
        <v>0</v>
      </c>
      <c r="O101" s="15">
        <f t="shared" si="35"/>
        <v>14.5</v>
      </c>
      <c r="P101" s="15">
        <f t="shared" si="36"/>
        <v>20</v>
      </c>
      <c r="R101" s="8"/>
      <c r="T101"/>
    </row>
    <row r="102" spans="2:20" ht="23.1" customHeight="1" x14ac:dyDescent="0.25">
      <c r="B102" s="24" t="s">
        <v>142</v>
      </c>
      <c r="C102" s="49">
        <f>'Avg Week Karuma-Kigumba'!C102+'Avg Week Kigumba-Karuma'!C102</f>
        <v>1</v>
      </c>
      <c r="D102" s="49">
        <f>'Avg Week Karuma-Kigumba'!D102+'Avg Week Kigumba-Karuma'!D102</f>
        <v>2</v>
      </c>
      <c r="E102" s="49">
        <f>'Avg Week Karuma-Kigumba'!E102+'Avg Week Kigumba-Karuma'!E102</f>
        <v>4.5</v>
      </c>
      <c r="F102" s="49">
        <f>'Avg Week Karuma-Kigumba'!F102+'Avg Week Kigumba-Karuma'!F102</f>
        <v>1</v>
      </c>
      <c r="G102" s="49">
        <f>'Avg Week Karuma-Kigumba'!G102+'Avg Week Kigumba-Karuma'!G102</f>
        <v>0</v>
      </c>
      <c r="H102" s="49">
        <f>'Avg Week Karuma-Kigumba'!H102+'Avg Week Kigumba-Karuma'!H102</f>
        <v>1.5</v>
      </c>
      <c r="I102" s="49">
        <f>'Avg Week Karuma-Kigumba'!I102+'Avg Week Kigumba-Karuma'!I102</f>
        <v>2</v>
      </c>
      <c r="J102" s="49">
        <f>'Avg Week Karuma-Kigumba'!J102+'Avg Week Kigumba-Karuma'!J102</f>
        <v>0.5</v>
      </c>
      <c r="K102" s="49">
        <f>'Avg Week Karuma-Kigumba'!K102+'Avg Week Kigumba-Karuma'!K102</f>
        <v>0</v>
      </c>
      <c r="L102" s="49">
        <f>'Avg Week Karuma-Kigumba'!L102+'Avg Week Kigumba-Karuma'!L102</f>
        <v>1.5</v>
      </c>
      <c r="M102" s="49">
        <f>'Avg Week Karuma-Kigumba'!M102+'Avg Week Kigumba-Karuma'!M102</f>
        <v>4.5</v>
      </c>
      <c r="N102" s="49">
        <f>'Avg Week Karuma-Kigumba'!N102+'Avg Week Kigumba-Karuma'!N102</f>
        <v>0</v>
      </c>
      <c r="O102" s="15">
        <f t="shared" si="35"/>
        <v>14</v>
      </c>
      <c r="P102" s="15">
        <f t="shared" si="36"/>
        <v>18.5</v>
      </c>
      <c r="R102" s="8"/>
      <c r="T102"/>
    </row>
    <row r="103" spans="2:20" ht="23.1" customHeight="1" x14ac:dyDescent="0.25">
      <c r="B103" s="23" t="s">
        <v>143</v>
      </c>
      <c r="C103" s="49">
        <f>'Avg Week Karuma-Kigumba'!C103+'Avg Week Kigumba-Karuma'!C103</f>
        <v>3</v>
      </c>
      <c r="D103" s="49">
        <f>'Avg Week Karuma-Kigumba'!D103+'Avg Week Kigumba-Karuma'!D103</f>
        <v>1.5</v>
      </c>
      <c r="E103" s="49">
        <f>'Avg Week Karuma-Kigumba'!E103+'Avg Week Kigumba-Karuma'!E103</f>
        <v>3</v>
      </c>
      <c r="F103" s="49">
        <f>'Avg Week Karuma-Kigumba'!F103+'Avg Week Kigumba-Karuma'!F103</f>
        <v>2</v>
      </c>
      <c r="G103" s="49">
        <f>'Avg Week Karuma-Kigumba'!G103+'Avg Week Kigumba-Karuma'!G103</f>
        <v>0</v>
      </c>
      <c r="H103" s="49">
        <f>'Avg Week Karuma-Kigumba'!H103+'Avg Week Kigumba-Karuma'!H103</f>
        <v>1</v>
      </c>
      <c r="I103" s="49">
        <f>'Avg Week Karuma-Kigumba'!I103+'Avg Week Kigumba-Karuma'!I103</f>
        <v>2</v>
      </c>
      <c r="J103" s="49">
        <f>'Avg Week Karuma-Kigumba'!J103+'Avg Week Kigumba-Karuma'!J103</f>
        <v>0</v>
      </c>
      <c r="K103" s="49">
        <f>'Avg Week Karuma-Kigumba'!K103+'Avg Week Kigumba-Karuma'!K103</f>
        <v>0</v>
      </c>
      <c r="L103" s="49">
        <f>'Avg Week Karuma-Kigumba'!L103+'Avg Week Kigumba-Karuma'!L103</f>
        <v>1.5</v>
      </c>
      <c r="M103" s="49">
        <f>'Avg Week Karuma-Kigumba'!M103+'Avg Week Kigumba-Karuma'!M103</f>
        <v>4.5</v>
      </c>
      <c r="N103" s="49">
        <f>'Avg Week Karuma-Kigumba'!N103+'Avg Week Kigumba-Karuma'!N103</f>
        <v>0</v>
      </c>
      <c r="O103" s="15">
        <f t="shared" si="35"/>
        <v>14</v>
      </c>
      <c r="P103" s="15">
        <f t="shared" si="36"/>
        <v>18.5</v>
      </c>
      <c r="R103" s="8"/>
      <c r="T103"/>
    </row>
    <row r="104" spans="2:20" ht="23.1" customHeight="1" x14ac:dyDescent="0.25">
      <c r="B104" s="25" t="s">
        <v>144</v>
      </c>
      <c r="C104" s="49">
        <f>'Avg Week Karuma-Kigumba'!C104+'Avg Week Kigumba-Karuma'!C104</f>
        <v>3.5</v>
      </c>
      <c r="D104" s="49">
        <f>'Avg Week Karuma-Kigumba'!D104+'Avg Week Kigumba-Karuma'!D104</f>
        <v>2</v>
      </c>
      <c r="E104" s="49">
        <f>'Avg Week Karuma-Kigumba'!E104+'Avg Week Kigumba-Karuma'!E104</f>
        <v>4</v>
      </c>
      <c r="F104" s="49">
        <f>'Avg Week Karuma-Kigumba'!F104+'Avg Week Kigumba-Karuma'!F104</f>
        <v>2</v>
      </c>
      <c r="G104" s="49">
        <f>'Avg Week Karuma-Kigumba'!G104+'Avg Week Kigumba-Karuma'!G104</f>
        <v>0</v>
      </c>
      <c r="H104" s="49">
        <f>'Avg Week Karuma-Kigumba'!H104+'Avg Week Kigumba-Karuma'!H104</f>
        <v>1.5</v>
      </c>
      <c r="I104" s="49">
        <f>'Avg Week Karuma-Kigumba'!I104+'Avg Week Kigumba-Karuma'!I104</f>
        <v>2.5</v>
      </c>
      <c r="J104" s="49">
        <f>'Avg Week Karuma-Kigumba'!J104+'Avg Week Kigumba-Karuma'!J104</f>
        <v>0.5</v>
      </c>
      <c r="K104" s="49">
        <f>'Avg Week Karuma-Kigumba'!K104+'Avg Week Kigumba-Karuma'!K104</f>
        <v>0</v>
      </c>
      <c r="L104" s="49">
        <f>'Avg Week Karuma-Kigumba'!L104+'Avg Week Kigumba-Karuma'!L104</f>
        <v>3.5</v>
      </c>
      <c r="M104" s="49">
        <f>'Avg Week Karuma-Kigumba'!M104+'Avg Week Kigumba-Karuma'!M104</f>
        <v>6</v>
      </c>
      <c r="N104" s="49">
        <f>'Avg Week Karuma-Kigumba'!N104+'Avg Week Kigumba-Karuma'!N104</f>
        <v>0</v>
      </c>
      <c r="O104" s="15">
        <f t="shared" si="35"/>
        <v>19.5</v>
      </c>
      <c r="P104" s="15">
        <f t="shared" si="36"/>
        <v>25.5</v>
      </c>
      <c r="R104" s="8"/>
      <c r="T104"/>
    </row>
    <row r="105" spans="2:20" ht="23.1" customHeight="1" x14ac:dyDescent="0.25">
      <c r="B105" s="23" t="s">
        <v>145</v>
      </c>
      <c r="C105" s="49">
        <f>'Avg Week Karuma-Kigumba'!C105+'Avg Week Kigumba-Karuma'!C105</f>
        <v>2.5</v>
      </c>
      <c r="D105" s="49">
        <f>'Avg Week Karuma-Kigumba'!D105+'Avg Week Kigumba-Karuma'!D105</f>
        <v>2</v>
      </c>
      <c r="E105" s="49">
        <f>'Avg Week Karuma-Kigumba'!E105+'Avg Week Kigumba-Karuma'!E105</f>
        <v>4.5</v>
      </c>
      <c r="F105" s="49">
        <f>'Avg Week Karuma-Kigumba'!F105+'Avg Week Kigumba-Karuma'!F105</f>
        <v>2</v>
      </c>
      <c r="G105" s="49">
        <f>'Avg Week Karuma-Kigumba'!G105+'Avg Week Kigumba-Karuma'!G105</f>
        <v>0</v>
      </c>
      <c r="H105" s="49">
        <f>'Avg Week Karuma-Kigumba'!H105+'Avg Week Kigumba-Karuma'!H105</f>
        <v>0</v>
      </c>
      <c r="I105" s="49">
        <f>'Avg Week Karuma-Kigumba'!I105+'Avg Week Kigumba-Karuma'!I105</f>
        <v>2</v>
      </c>
      <c r="J105" s="49">
        <f>'Avg Week Karuma-Kigumba'!J105+'Avg Week Kigumba-Karuma'!J105</f>
        <v>0.5</v>
      </c>
      <c r="K105" s="49">
        <f>'Avg Week Karuma-Kigumba'!K105+'Avg Week Kigumba-Karuma'!K105</f>
        <v>0</v>
      </c>
      <c r="L105" s="49">
        <f>'Avg Week Karuma-Kigumba'!L105+'Avg Week Kigumba-Karuma'!L105</f>
        <v>2.5</v>
      </c>
      <c r="M105" s="49">
        <f>'Avg Week Karuma-Kigumba'!M105+'Avg Week Kigumba-Karuma'!M105</f>
        <v>6</v>
      </c>
      <c r="N105" s="49">
        <f>'Avg Week Karuma-Kigumba'!N105+'Avg Week Kigumba-Karuma'!N105</f>
        <v>0</v>
      </c>
      <c r="O105" s="15">
        <f t="shared" si="35"/>
        <v>16</v>
      </c>
      <c r="P105" s="15">
        <f t="shared" si="36"/>
        <v>22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276.21428571428567</v>
      </c>
      <c r="D106" s="16">
        <f t="shared" ref="D106:P106" si="37">SUM(D10:D105)</f>
        <v>232.85714285714283</v>
      </c>
      <c r="E106" s="16">
        <f t="shared" si="37"/>
        <v>500.92857142857133</v>
      </c>
      <c r="F106" s="16">
        <f t="shared" si="37"/>
        <v>227.85714285714286</v>
      </c>
      <c r="G106" s="16">
        <f t="shared" si="37"/>
        <v>6.2857142857142865</v>
      </c>
      <c r="H106" s="16">
        <f t="shared" si="37"/>
        <v>144.92857142857144</v>
      </c>
      <c r="I106" s="16">
        <f t="shared" si="37"/>
        <v>243.92857142857142</v>
      </c>
      <c r="J106" s="16">
        <f t="shared" si="37"/>
        <v>38.5</v>
      </c>
      <c r="K106" s="16">
        <f t="shared" si="37"/>
        <v>14.571428571428575</v>
      </c>
      <c r="L106" s="16">
        <f t="shared" si="37"/>
        <v>171.50000000000003</v>
      </c>
      <c r="M106" s="16">
        <f t="shared" si="37"/>
        <v>539.28571428571422</v>
      </c>
      <c r="N106" s="16">
        <f t="shared" si="37"/>
        <v>1.714285714285714</v>
      </c>
      <c r="O106" s="16">
        <f t="shared" si="37"/>
        <v>1859.2857142857142</v>
      </c>
      <c r="P106" s="16">
        <f t="shared" si="37"/>
        <v>2398.5714285714284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0.11515783204288266</v>
      </c>
      <c r="D107" s="43">
        <f t="shared" si="38"/>
        <v>9.7081596188207261E-2</v>
      </c>
      <c r="E107" s="43">
        <f t="shared" si="38"/>
        <v>0.2088445503275759</v>
      </c>
      <c r="F107" s="43">
        <f t="shared" si="38"/>
        <v>9.4997022036926754E-2</v>
      </c>
      <c r="G107" s="43">
        <f t="shared" si="38"/>
        <v>2.6206075044669453E-3</v>
      </c>
      <c r="H107" s="43">
        <f t="shared" si="38"/>
        <v>6.0422870756402632E-2</v>
      </c>
      <c r="I107" s="43">
        <f t="shared" si="38"/>
        <v>0.10169743895175699</v>
      </c>
      <c r="J107" s="43">
        <f t="shared" si="38"/>
        <v>1.6051220964860037E-2</v>
      </c>
      <c r="K107" s="43">
        <f t="shared" si="38"/>
        <v>6.0750446694461009E-3</v>
      </c>
      <c r="L107" s="43">
        <f t="shared" si="38"/>
        <v>7.1500893388921988E-2</v>
      </c>
      <c r="M107" s="43">
        <f t="shared" si="38"/>
        <v>0.22483621203097079</v>
      </c>
      <c r="N107" s="43">
        <f t="shared" si="38"/>
        <v>7.1471113758189394E-4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0.14855935459085667</v>
      </c>
      <c r="D108" s="44">
        <f t="shared" ref="D108:N108" si="39">D106/$O$106</f>
        <v>0.12524010756819054</v>
      </c>
      <c r="E108" s="44">
        <f t="shared" si="39"/>
        <v>0.26941990011525158</v>
      </c>
      <c r="F108" s="44">
        <f t="shared" si="39"/>
        <v>0.12255090280445641</v>
      </c>
      <c r="G108" s="44">
        <f t="shared" si="39"/>
        <v>3.3807145601229354E-3</v>
      </c>
      <c r="H108" s="44">
        <f t="shared" si="39"/>
        <v>7.7948520937379959E-2</v>
      </c>
      <c r="I108" s="44">
        <f t="shared" si="39"/>
        <v>0.13119477525931617</v>
      </c>
      <c r="J108" s="44">
        <f t="shared" si="39"/>
        <v>2.0706876680752977E-2</v>
      </c>
      <c r="K108" s="44">
        <f t="shared" si="39"/>
        <v>7.8371110257395328E-3</v>
      </c>
      <c r="L108" s="44">
        <f t="shared" si="39"/>
        <v>9.2239723396081469E-2</v>
      </c>
      <c r="M108" s="44"/>
      <c r="N108" s="44">
        <f t="shared" si="39"/>
        <v>9.2201306185170947E-4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Karuma-Kigumba</vt:lpstr>
      <vt:lpstr>29.07 Kigumba-Karuma</vt:lpstr>
      <vt:lpstr>30.07 Karuma-Kigumba</vt:lpstr>
      <vt:lpstr>30.07 Kigumba-Karuma</vt:lpstr>
      <vt:lpstr>31.07 Karuma-Kigumba</vt:lpstr>
      <vt:lpstr>31.07 Kigumba-Karuma</vt:lpstr>
      <vt:lpstr>01.08 Karuma-Kigumba</vt:lpstr>
      <vt:lpstr>01.08 Kigumba-Karuma</vt:lpstr>
      <vt:lpstr>02.08 Karuma-Kigumba-24h</vt:lpstr>
      <vt:lpstr>02.08 Kigumba-Karuma-24h</vt:lpstr>
      <vt:lpstr>03.08 Karuma-Kigumba-24h</vt:lpstr>
      <vt:lpstr>03.08 Kigumba-Karuma-24h</vt:lpstr>
      <vt:lpstr>04.08 Karuma-Kigumba</vt:lpstr>
      <vt:lpstr>04.08 Kigumba-Karuma</vt:lpstr>
      <vt:lpstr>Avg Week Karuma-Kigumba</vt:lpstr>
      <vt:lpstr>Avg Week Kigumba-Karuma</vt:lpstr>
      <vt:lpstr>Avg Week Kigumba-Karuma-2Dir</vt:lpstr>
      <vt:lpstr>'01.08 Karuma-Kigumba'!Print_Area</vt:lpstr>
      <vt:lpstr>'01.08 Kigumba-Karuma'!Print_Area</vt:lpstr>
      <vt:lpstr>'02.08 Karuma-Kigumba-24h'!Print_Area</vt:lpstr>
      <vt:lpstr>'02.08 Kigumba-Karuma-24h'!Print_Area</vt:lpstr>
      <vt:lpstr>'03.08 Karuma-Kigumba-24h'!Print_Area</vt:lpstr>
      <vt:lpstr>'03.08 Kigumba-Karuma-24h'!Print_Area</vt:lpstr>
      <vt:lpstr>'04.08 Karuma-Kigumba'!Print_Area</vt:lpstr>
      <vt:lpstr>'04.08 Kigumba-Karuma'!Print_Area</vt:lpstr>
      <vt:lpstr>'29.07 Karuma-Kigumba'!Print_Area</vt:lpstr>
      <vt:lpstr>'29.07 Kigumba-Karuma'!Print_Area</vt:lpstr>
      <vt:lpstr>'30.07 Karuma-Kigumba'!Print_Area</vt:lpstr>
      <vt:lpstr>'30.07 Kigumba-Karuma'!Print_Area</vt:lpstr>
      <vt:lpstr>'31.07 Karuma-Kigumba'!Print_Area</vt:lpstr>
      <vt:lpstr>'31.07 Kigumba-Karuma'!Print_Area</vt:lpstr>
      <vt:lpstr>'Avg Week Karuma-Kigumba'!Print_Area</vt:lpstr>
      <vt:lpstr>'Avg Week Kigumba-Karuma'!Print_Area</vt:lpstr>
      <vt:lpstr>'Avg Week Kigumba-Karuma-2Dir'!Print_Area</vt:lpstr>
      <vt:lpstr>'01.08 Karuma-Kigumba'!Print_Titles</vt:lpstr>
      <vt:lpstr>'01.08 Kigumba-Karuma'!Print_Titles</vt:lpstr>
      <vt:lpstr>'02.08 Karuma-Kigumba-24h'!Print_Titles</vt:lpstr>
      <vt:lpstr>'02.08 Kigumba-Karuma-24h'!Print_Titles</vt:lpstr>
      <vt:lpstr>'03.08 Karuma-Kigumba-24h'!Print_Titles</vt:lpstr>
      <vt:lpstr>'03.08 Kigumba-Karuma-24h'!Print_Titles</vt:lpstr>
      <vt:lpstr>'04.08 Karuma-Kigumba'!Print_Titles</vt:lpstr>
      <vt:lpstr>'04.08 Kigumba-Karuma'!Print_Titles</vt:lpstr>
      <vt:lpstr>'29.07 Karuma-Kigumba'!Print_Titles</vt:lpstr>
      <vt:lpstr>'29.07 Kigumba-Karuma'!Print_Titles</vt:lpstr>
      <vt:lpstr>'30.07 Karuma-Kigumba'!Print_Titles</vt:lpstr>
      <vt:lpstr>'30.07 Kigumba-Karuma'!Print_Titles</vt:lpstr>
      <vt:lpstr>'31.07 Karuma-Kigumba'!Print_Titles</vt:lpstr>
      <vt:lpstr>'31.07 Kigumba-Karuma'!Print_Titles</vt:lpstr>
      <vt:lpstr>'Avg Week Karuma-Kigumba'!Print_Titles</vt:lpstr>
      <vt:lpstr>'Avg Week Kigumba-Karuma'!Print_Titles</vt:lpstr>
      <vt:lpstr>'Avg Week Kigumba-Karuma-2Dir'!Print_Titles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USER</cp:lastModifiedBy>
  <cp:lastPrinted>2019-09-11T22:47:53Z</cp:lastPrinted>
  <dcterms:created xsi:type="dcterms:W3CDTF">2010-07-06T07:39:49Z</dcterms:created>
  <dcterms:modified xsi:type="dcterms:W3CDTF">2020-04-06T17:23:47Z</dcterms:modified>
</cp:coreProperties>
</file>