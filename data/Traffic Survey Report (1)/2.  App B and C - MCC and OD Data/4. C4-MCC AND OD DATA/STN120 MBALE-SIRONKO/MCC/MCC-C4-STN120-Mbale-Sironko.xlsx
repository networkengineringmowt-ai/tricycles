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20 MBALE-SIRONKO\MCC\"/>
    </mc:Choice>
  </mc:AlternateContent>
  <xr:revisionPtr revIDLastSave="0" documentId="13_ncr:1_{0F6D5405-5AFA-4A12-BE41-3F317E04975F}" xr6:coauthVersionLast="45" xr6:coauthVersionMax="45" xr10:uidLastSave="{00000000-0000-0000-0000-000000000000}"/>
  <bookViews>
    <workbookView xWindow="-120" yWindow="-120" windowWidth="20730" windowHeight="11160" tabRatio="940" firstSheet="11" activeTab="16" xr2:uid="{00000000-000D-0000-FFFF-FFFF00000000}"/>
  </bookViews>
  <sheets>
    <sheet name="19.08 Sironko-Mbale" sheetId="93" r:id="rId1"/>
    <sheet name="19.08 Mbale-Sironko" sheetId="94" r:id="rId2"/>
    <sheet name="20.08 Sironko-Mbale" sheetId="95" r:id="rId3"/>
    <sheet name="20.08 Mbale-Sironko" sheetId="96" r:id="rId4"/>
    <sheet name="21.08 Sironko-Mbale" sheetId="97" r:id="rId5"/>
    <sheet name="21.08 Mbale-Sironko" sheetId="98" r:id="rId6"/>
    <sheet name="22.08 Sironko-Mbale-24h" sheetId="105" r:id="rId7"/>
    <sheet name="22.08 Mbale-Sironko-24h" sheetId="110" r:id="rId8"/>
    <sheet name="23.08 Sironko-Mbale" sheetId="99" r:id="rId9"/>
    <sheet name="23.08 Mbale-Sironko" sheetId="100" r:id="rId10"/>
    <sheet name="24.08 Sironko-Mbale-24h" sheetId="101" r:id="rId11"/>
    <sheet name="24.08 Mbale-Sironko-24h" sheetId="109" r:id="rId12"/>
    <sheet name="25.08 Sironko-Mbale" sheetId="103" r:id="rId13"/>
    <sheet name="25.08 Mbale-Sironko" sheetId="104" r:id="rId14"/>
    <sheet name="Avg Week Sironko-Mbale" sheetId="107" r:id="rId15"/>
    <sheet name="Avg Week Mbale- Sironko" sheetId="108" r:id="rId16"/>
    <sheet name="Avg Week Sironko-Mbale-2Dir" sheetId="111" r:id="rId17"/>
  </sheets>
  <externalReferences>
    <externalReference r:id="rId18"/>
  </externalReferences>
  <definedNames>
    <definedName name="_xlnm.Print_Area" localSheetId="1">'19.08 Mbale-Sironko'!$A$1:$AF$60</definedName>
    <definedName name="_xlnm.Print_Area" localSheetId="0">'19.08 Sironko-Mbale'!$A$1:$AF$60</definedName>
    <definedName name="_xlnm.Print_Area" localSheetId="3">'20.08 Mbale-Sironko'!$A$1:$AF$60</definedName>
    <definedName name="_xlnm.Print_Area" localSheetId="2">'20.08 Sironko-Mbale'!$A$1:$AF$60</definedName>
    <definedName name="_xlnm.Print_Area" localSheetId="5">'21.08 Mbale-Sironko'!$A$1:$AF$60</definedName>
    <definedName name="_xlnm.Print_Area" localSheetId="4">'21.08 Sironko-Mbale'!$A$1:$AF$60</definedName>
    <definedName name="_xlnm.Print_Area" localSheetId="7">'22.08 Mbale-Sironko-24h'!$A$1:$AF$108</definedName>
    <definedName name="_xlnm.Print_Area" localSheetId="6">'22.08 Sironko-Mbale-24h'!$A$1:$AF$108</definedName>
    <definedName name="_xlnm.Print_Area" localSheetId="9">'23.08 Mbale-Sironko'!$A$1:$AF$60</definedName>
    <definedName name="_xlnm.Print_Area" localSheetId="8">'23.08 Sironko-Mbale'!$A$1:$AF$60</definedName>
    <definedName name="_xlnm.Print_Area" localSheetId="11">'24.08 Mbale-Sironko-24h'!$A$1:$AF$108</definedName>
    <definedName name="_xlnm.Print_Area" localSheetId="10">'24.08 Sironko-Mbale-24h'!$A$1:$AF$108</definedName>
    <definedName name="_xlnm.Print_Area" localSheetId="13">'25.08 Mbale-Sironko'!$A$1:$AF$60</definedName>
    <definedName name="_xlnm.Print_Area" localSheetId="12">'25.08 Sironko-Mbale'!$A$1:$AF$60</definedName>
    <definedName name="_xlnm.Print_Area" localSheetId="15">'Avg Week Mbale- Sironko'!$A$1:$AF$108</definedName>
    <definedName name="_xlnm.Print_Area" localSheetId="14">'Avg Week Sironko-Mbale'!$A$1:$AF$108</definedName>
    <definedName name="_xlnm.Print_Area" localSheetId="16">'Avg Week Sironko-Mbale-2Dir'!$A$1:$AF$108</definedName>
    <definedName name="_xlnm.Print_Titles" localSheetId="1">'19.08 Mbale-Sironko'!$1:$8</definedName>
    <definedName name="_xlnm.Print_Titles" localSheetId="0">'19.08 Sironko-Mbale'!$1:$8</definedName>
    <definedName name="_xlnm.Print_Titles" localSheetId="3">'20.08 Mbale-Sironko'!$1:$8</definedName>
    <definedName name="_xlnm.Print_Titles" localSheetId="2">'20.08 Sironko-Mbale'!$1:$8</definedName>
    <definedName name="_xlnm.Print_Titles" localSheetId="5">'21.08 Mbale-Sironko'!$1:$8</definedName>
    <definedName name="_xlnm.Print_Titles" localSheetId="4">'21.08 Sironko-Mbale'!$1:$8</definedName>
    <definedName name="_xlnm.Print_Titles" localSheetId="7">'22.08 Mbale-Sironko-24h'!$1:$8</definedName>
    <definedName name="_xlnm.Print_Titles" localSheetId="6">'22.08 Sironko-Mbale-24h'!$1:$8</definedName>
    <definedName name="_xlnm.Print_Titles" localSheetId="9">'23.08 Mbale-Sironko'!$1:$8</definedName>
    <definedName name="_xlnm.Print_Titles" localSheetId="8">'23.08 Sironko-Mbale'!$1:$8</definedName>
    <definedName name="_xlnm.Print_Titles" localSheetId="11">'24.08 Mbale-Sironko-24h'!$1:$8</definedName>
    <definedName name="_xlnm.Print_Titles" localSheetId="10">'24.08 Sironko-Mbale-24h'!$1:$8</definedName>
    <definedName name="_xlnm.Print_Titles" localSheetId="13">'25.08 Mbale-Sironko'!$1:$8</definedName>
    <definedName name="_xlnm.Print_Titles" localSheetId="12">'25.08 Sironko-Mbale'!$1:$8</definedName>
    <definedName name="_xlnm.Print_Titles" localSheetId="15">'Avg Week Mbale- Sironko'!$1:$8</definedName>
    <definedName name="_xlnm.Print_Titles" localSheetId="14">'Avg Week Sironko-Mbale'!$1:$8</definedName>
    <definedName name="_xlnm.Print_Titles" localSheetId="16">'Avg Week Sironko-Mbale-2Dir'!$1:$8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07" l="1"/>
  <c r="P59" i="107"/>
  <c r="P60" i="107"/>
  <c r="P61" i="107"/>
  <c r="P62" i="107"/>
  <c r="P63" i="107"/>
  <c r="P64" i="107"/>
  <c r="P65" i="107"/>
  <c r="AF23" i="107" s="1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AF29" i="107" s="1"/>
  <c r="P90" i="107"/>
  <c r="P91" i="107"/>
  <c r="P92" i="107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P105" i="107"/>
  <c r="AF33" i="107" s="1"/>
  <c r="O58" i="107"/>
  <c r="O59" i="107"/>
  <c r="O60" i="107"/>
  <c r="O61" i="107"/>
  <c r="O62" i="107"/>
  <c r="O63" i="107"/>
  <c r="AE23" i="107" s="1"/>
  <c r="O64" i="107"/>
  <c r="O65" i="107"/>
  <c r="O66" i="107"/>
  <c r="O67" i="107"/>
  <c r="O68" i="107"/>
  <c r="O69" i="107"/>
  <c r="O70" i="107"/>
  <c r="O71" i="107"/>
  <c r="AE25" i="107" s="1"/>
  <c r="O72" i="107"/>
  <c r="O73" i="107"/>
  <c r="O74" i="107"/>
  <c r="O75" i="107"/>
  <c r="O76" i="107"/>
  <c r="O77" i="107"/>
  <c r="O78" i="107"/>
  <c r="O79" i="107"/>
  <c r="AE27" i="107" s="1"/>
  <c r="O80" i="107"/>
  <c r="O81" i="107"/>
  <c r="O82" i="107"/>
  <c r="O83" i="107"/>
  <c r="O84" i="107"/>
  <c r="O85" i="107"/>
  <c r="O86" i="107"/>
  <c r="O87" i="107"/>
  <c r="AE29" i="107" s="1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AE33" i="107" s="1"/>
  <c r="O104" i="107"/>
  <c r="O105" i="107"/>
  <c r="D58" i="107"/>
  <c r="E58" i="107"/>
  <c r="F58" i="107"/>
  <c r="G58" i="107"/>
  <c r="H58" i="107"/>
  <c r="I58" i="107"/>
  <c r="J58" i="107"/>
  <c r="K58" i="107"/>
  <c r="AA22" i="107" s="1"/>
  <c r="L58" i="107"/>
  <c r="M58" i="107"/>
  <c r="N58" i="107"/>
  <c r="D59" i="107"/>
  <c r="E59" i="107"/>
  <c r="F59" i="107"/>
  <c r="G59" i="107"/>
  <c r="H59" i="107"/>
  <c r="H106" i="107" s="1"/>
  <c r="I59" i="107"/>
  <c r="J59" i="107"/>
  <c r="K59" i="107"/>
  <c r="L59" i="107"/>
  <c r="M59" i="107"/>
  <c r="N59" i="107"/>
  <c r="D60" i="107"/>
  <c r="E60" i="107"/>
  <c r="E106" i="107" s="1"/>
  <c r="F60" i="107"/>
  <c r="G60" i="107"/>
  <c r="H60" i="107"/>
  <c r="I60" i="107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Z22" i="107" s="1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L62" i="107"/>
  <c r="M62" i="107"/>
  <c r="N62" i="107"/>
  <c r="D63" i="107"/>
  <c r="D106" i="107" s="1"/>
  <c r="E63" i="107"/>
  <c r="F63" i="107"/>
  <c r="G63" i="107"/>
  <c r="H63" i="107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Y23" i="107" s="1"/>
  <c r="J64" i="107"/>
  <c r="K64" i="107"/>
  <c r="L64" i="107"/>
  <c r="M64" i="107"/>
  <c r="N64" i="107"/>
  <c r="D65" i="107"/>
  <c r="E65" i="107"/>
  <c r="F65" i="107"/>
  <c r="V23" i="107" s="1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X24" i="107" s="1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G106" i="107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Y25" i="107" s="1"/>
  <c r="J72" i="107"/>
  <c r="K72" i="107"/>
  <c r="L72" i="107"/>
  <c r="M72" i="107"/>
  <c r="N72" i="107"/>
  <c r="D73" i="107"/>
  <c r="E73" i="107"/>
  <c r="F73" i="107"/>
  <c r="V25" i="107" s="1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H74" i="107"/>
  <c r="I74" i="107"/>
  <c r="J74" i="107"/>
  <c r="K74" i="107"/>
  <c r="AA26" i="107" s="1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U26" i="107" s="1"/>
  <c r="F76" i="107"/>
  <c r="G76" i="107"/>
  <c r="H76" i="107"/>
  <c r="I76" i="107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V27" i="107" s="1"/>
  <c r="G81" i="107"/>
  <c r="H81" i="107"/>
  <c r="I81" i="107"/>
  <c r="J81" i="107"/>
  <c r="K81" i="107"/>
  <c r="L81" i="107"/>
  <c r="M81" i="107"/>
  <c r="N81" i="107"/>
  <c r="AD27" i="107" s="1"/>
  <c r="D82" i="107"/>
  <c r="E82" i="107"/>
  <c r="F82" i="107"/>
  <c r="G82" i="107"/>
  <c r="H82" i="107"/>
  <c r="I82" i="107"/>
  <c r="Y28" i="107" s="1"/>
  <c r="J82" i="107"/>
  <c r="K82" i="107"/>
  <c r="AA28" i="107" s="1"/>
  <c r="L82" i="107"/>
  <c r="M82" i="107"/>
  <c r="N82" i="107"/>
  <c r="D83" i="107"/>
  <c r="E83" i="107"/>
  <c r="F83" i="107"/>
  <c r="G83" i="107"/>
  <c r="H83" i="107"/>
  <c r="X28" i="107" s="1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T29" i="107" s="1"/>
  <c r="E87" i="107"/>
  <c r="F87" i="107"/>
  <c r="G87" i="107"/>
  <c r="H87" i="107"/>
  <c r="I87" i="107"/>
  <c r="J87" i="107"/>
  <c r="K87" i="107"/>
  <c r="L87" i="107"/>
  <c r="AB29" i="107" s="1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V29" i="107" s="1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Y30" i="107" s="1"/>
  <c r="J90" i="107"/>
  <c r="K90" i="107"/>
  <c r="AA30" i="107" s="1"/>
  <c r="L90" i="107"/>
  <c r="M90" i="107"/>
  <c r="N90" i="107"/>
  <c r="AD30" i="107" s="1"/>
  <c r="D91" i="107"/>
  <c r="E91" i="107"/>
  <c r="F91" i="107"/>
  <c r="V30" i="107" s="1"/>
  <c r="G91" i="107"/>
  <c r="H91" i="107"/>
  <c r="X30" i="107" s="1"/>
  <c r="I91" i="107"/>
  <c r="J91" i="107"/>
  <c r="K91" i="107"/>
  <c r="L91" i="107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U31" i="107" s="1"/>
  <c r="F94" i="107"/>
  <c r="G94" i="107"/>
  <c r="W31" i="107" s="1"/>
  <c r="H94" i="107"/>
  <c r="I94" i="107"/>
  <c r="J94" i="107"/>
  <c r="K94" i="107"/>
  <c r="L94" i="107"/>
  <c r="M94" i="107"/>
  <c r="AC31" i="107" s="1"/>
  <c r="N94" i="107"/>
  <c r="D95" i="107"/>
  <c r="E95" i="107"/>
  <c r="F95" i="107"/>
  <c r="G95" i="107"/>
  <c r="H95" i="107"/>
  <c r="I95" i="107"/>
  <c r="J95" i="107"/>
  <c r="Z31" i="107" s="1"/>
  <c r="K95" i="107"/>
  <c r="L95" i="107"/>
  <c r="M95" i="107"/>
  <c r="N95" i="107"/>
  <c r="D96" i="107"/>
  <c r="E96" i="107"/>
  <c r="F96" i="107"/>
  <c r="G96" i="107"/>
  <c r="H96" i="107"/>
  <c r="I96" i="107"/>
  <c r="Y31" i="107" s="1"/>
  <c r="J96" i="107"/>
  <c r="K96" i="107"/>
  <c r="L96" i="107"/>
  <c r="M96" i="107"/>
  <c r="N96" i="107"/>
  <c r="D97" i="107"/>
  <c r="E97" i="107"/>
  <c r="F97" i="107"/>
  <c r="V31" i="107" s="1"/>
  <c r="G97" i="107"/>
  <c r="H97" i="107"/>
  <c r="I97" i="107"/>
  <c r="J97" i="107"/>
  <c r="K97" i="107"/>
  <c r="L97" i="107"/>
  <c r="M97" i="107"/>
  <c r="N97" i="107"/>
  <c r="AD31" i="107" s="1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E99" i="107"/>
  <c r="F99" i="107"/>
  <c r="V32" i="107" s="1"/>
  <c r="G99" i="107"/>
  <c r="H99" i="107"/>
  <c r="X32" i="107" s="1"/>
  <c r="I99" i="107"/>
  <c r="J99" i="107"/>
  <c r="K99" i="107"/>
  <c r="L99" i="107"/>
  <c r="M99" i="107"/>
  <c r="N99" i="107"/>
  <c r="AD32" i="107" s="1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Z32" i="107" s="1"/>
  <c r="K101" i="107"/>
  <c r="L101" i="107"/>
  <c r="M101" i="107"/>
  <c r="N101" i="107"/>
  <c r="D102" i="107"/>
  <c r="E102" i="107"/>
  <c r="U33" i="107" s="1"/>
  <c r="F102" i="107"/>
  <c r="G102" i="107"/>
  <c r="W33" i="107" s="1"/>
  <c r="H102" i="107"/>
  <c r="I102" i="107"/>
  <c r="J102" i="107"/>
  <c r="Z33" i="107" s="1"/>
  <c r="K102" i="107"/>
  <c r="L102" i="107"/>
  <c r="M102" i="107"/>
  <c r="AC33" i="107" s="1"/>
  <c r="N102" i="107"/>
  <c r="D103" i="107"/>
  <c r="T33" i="107" s="1"/>
  <c r="E103" i="107"/>
  <c r="F103" i="107"/>
  <c r="G103" i="107"/>
  <c r="H103" i="107"/>
  <c r="I103" i="107"/>
  <c r="J103" i="107"/>
  <c r="K103" i="107"/>
  <c r="L103" i="107"/>
  <c r="AB33" i="107" s="1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V33" i="107" s="1"/>
  <c r="G105" i="107"/>
  <c r="H105" i="107"/>
  <c r="I105" i="107"/>
  <c r="J105" i="107"/>
  <c r="K105" i="107"/>
  <c r="L105" i="107"/>
  <c r="M105" i="107"/>
  <c r="N105" i="107"/>
  <c r="AD33" i="107" s="1"/>
  <c r="C59" i="107"/>
  <c r="C60" i="107"/>
  <c r="C61" i="107"/>
  <c r="C62" i="107"/>
  <c r="C63" i="107"/>
  <c r="C64" i="107"/>
  <c r="C65" i="107"/>
  <c r="C66" i="107"/>
  <c r="C106" i="107" s="1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S28" i="107" s="1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S32" i="107" s="1"/>
  <c r="C99" i="107"/>
  <c r="C100" i="107"/>
  <c r="C101" i="107"/>
  <c r="C102" i="107"/>
  <c r="C103" i="107"/>
  <c r="C104" i="107"/>
  <c r="C105" i="107"/>
  <c r="C58" i="107"/>
  <c r="P58" i="108"/>
  <c r="P59" i="108"/>
  <c r="P60" i="108"/>
  <c r="P61" i="108"/>
  <c r="P62" i="108"/>
  <c r="P63" i="108"/>
  <c r="P64" i="108"/>
  <c r="P65" i="108"/>
  <c r="P106" i="108" s="1"/>
  <c r="P66" i="108"/>
  <c r="P67" i="108"/>
  <c r="P68" i="108"/>
  <c r="P69" i="108"/>
  <c r="P70" i="108"/>
  <c r="P71" i="108"/>
  <c r="P72" i="108"/>
  <c r="P73" i="108"/>
  <c r="AF25" i="108" s="1"/>
  <c r="P74" i="108"/>
  <c r="P75" i="108"/>
  <c r="P76" i="108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AE29" i="108" s="1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AE33" i="108" s="1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E60" i="111" s="1"/>
  <c r="F60" i="108"/>
  <c r="G60" i="108"/>
  <c r="H60" i="108"/>
  <c r="I60" i="108"/>
  <c r="J60" i="108"/>
  <c r="K60" i="108"/>
  <c r="L60" i="108"/>
  <c r="M60" i="108"/>
  <c r="M60" i="111" s="1"/>
  <c r="N60" i="108"/>
  <c r="D61" i="108"/>
  <c r="E61" i="108"/>
  <c r="F61" i="108"/>
  <c r="G61" i="108"/>
  <c r="H61" i="108"/>
  <c r="I61" i="108"/>
  <c r="J61" i="108"/>
  <c r="J61" i="111" s="1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I64" i="111" s="1"/>
  <c r="J64" i="108"/>
  <c r="K64" i="108"/>
  <c r="K64" i="111" s="1"/>
  <c r="L64" i="108"/>
  <c r="M64" i="108"/>
  <c r="N64" i="108"/>
  <c r="D65" i="108"/>
  <c r="E65" i="108"/>
  <c r="F65" i="108"/>
  <c r="F65" i="111" s="1"/>
  <c r="G65" i="108"/>
  <c r="H65" i="108"/>
  <c r="I65" i="108"/>
  <c r="J65" i="108"/>
  <c r="K65" i="108"/>
  <c r="L65" i="108"/>
  <c r="M65" i="108"/>
  <c r="N65" i="108"/>
  <c r="N65" i="111" s="1"/>
  <c r="D66" i="108"/>
  <c r="E66" i="108"/>
  <c r="E66" i="111" s="1"/>
  <c r="F66" i="108"/>
  <c r="G66" i="108"/>
  <c r="H66" i="108"/>
  <c r="I66" i="108"/>
  <c r="J66" i="108"/>
  <c r="K66" i="108"/>
  <c r="K66" i="111" s="1"/>
  <c r="L66" i="108"/>
  <c r="M66" i="108"/>
  <c r="M66" i="111" s="1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E68" i="111" s="1"/>
  <c r="F68" i="108"/>
  <c r="G68" i="108"/>
  <c r="H68" i="108"/>
  <c r="I68" i="108"/>
  <c r="J68" i="108"/>
  <c r="K68" i="108"/>
  <c r="L68" i="108"/>
  <c r="M68" i="108"/>
  <c r="M68" i="111" s="1"/>
  <c r="N68" i="108"/>
  <c r="D69" i="108"/>
  <c r="E69" i="108"/>
  <c r="F69" i="108"/>
  <c r="G69" i="108"/>
  <c r="H69" i="108"/>
  <c r="I69" i="108"/>
  <c r="J69" i="108"/>
  <c r="J69" i="111" s="1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F71" i="111" s="1"/>
  <c r="G71" i="108"/>
  <c r="H71" i="108"/>
  <c r="I71" i="108"/>
  <c r="J71" i="108"/>
  <c r="K71" i="108"/>
  <c r="L71" i="108"/>
  <c r="M71" i="108"/>
  <c r="N71" i="108"/>
  <c r="N71" i="111" s="1"/>
  <c r="D72" i="108"/>
  <c r="E72" i="108"/>
  <c r="F72" i="108"/>
  <c r="G72" i="108"/>
  <c r="H72" i="108"/>
  <c r="I72" i="108"/>
  <c r="I72" i="111" s="1"/>
  <c r="J72" i="108"/>
  <c r="K72" i="108"/>
  <c r="L72" i="108"/>
  <c r="M72" i="108"/>
  <c r="N72" i="108"/>
  <c r="D73" i="108"/>
  <c r="E73" i="108"/>
  <c r="F73" i="108"/>
  <c r="F73" i="111" s="1"/>
  <c r="G73" i="108"/>
  <c r="H73" i="108"/>
  <c r="H73" i="111" s="1"/>
  <c r="I73" i="108"/>
  <c r="J73" i="108"/>
  <c r="K73" i="108"/>
  <c r="L73" i="108"/>
  <c r="M73" i="108"/>
  <c r="N73" i="108"/>
  <c r="N73" i="111" s="1"/>
  <c r="D74" i="108"/>
  <c r="E74" i="108"/>
  <c r="F74" i="108"/>
  <c r="G74" i="108"/>
  <c r="H74" i="108"/>
  <c r="I74" i="108"/>
  <c r="J74" i="108"/>
  <c r="K74" i="108"/>
  <c r="K74" i="111" s="1"/>
  <c r="AA26" i="111" s="1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E76" i="111" s="1"/>
  <c r="F76" i="108"/>
  <c r="G76" i="108"/>
  <c r="H76" i="108"/>
  <c r="I76" i="108"/>
  <c r="J76" i="108"/>
  <c r="K76" i="108"/>
  <c r="L76" i="108"/>
  <c r="M76" i="108"/>
  <c r="M76" i="111" s="1"/>
  <c r="N76" i="108"/>
  <c r="D77" i="108"/>
  <c r="E77" i="108"/>
  <c r="F77" i="108"/>
  <c r="G77" i="108"/>
  <c r="H77" i="108"/>
  <c r="I77" i="108"/>
  <c r="J77" i="108"/>
  <c r="J77" i="111" s="1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I80" i="111" s="1"/>
  <c r="J80" i="108"/>
  <c r="K80" i="108"/>
  <c r="K80" i="111" s="1"/>
  <c r="L80" i="108"/>
  <c r="M80" i="108"/>
  <c r="N80" i="108"/>
  <c r="D81" i="108"/>
  <c r="E81" i="108"/>
  <c r="F81" i="108"/>
  <c r="F81" i="111" s="1"/>
  <c r="G81" i="108"/>
  <c r="H81" i="108"/>
  <c r="I81" i="108"/>
  <c r="J81" i="108"/>
  <c r="K81" i="108"/>
  <c r="L81" i="108"/>
  <c r="M81" i="108"/>
  <c r="N81" i="108"/>
  <c r="N81" i="111" s="1"/>
  <c r="D82" i="108"/>
  <c r="E82" i="108"/>
  <c r="E82" i="111" s="1"/>
  <c r="F82" i="108"/>
  <c r="G82" i="108"/>
  <c r="H82" i="108"/>
  <c r="I82" i="108"/>
  <c r="J82" i="108"/>
  <c r="K82" i="108"/>
  <c r="L82" i="108"/>
  <c r="M82" i="108"/>
  <c r="AC28" i="108" s="1"/>
  <c r="N82" i="108"/>
  <c r="D83" i="108"/>
  <c r="E83" i="108"/>
  <c r="F83" i="108"/>
  <c r="G83" i="108"/>
  <c r="H83" i="108"/>
  <c r="I83" i="108"/>
  <c r="J83" i="108"/>
  <c r="J83" i="111" s="1"/>
  <c r="K83" i="108"/>
  <c r="L83" i="108"/>
  <c r="M83" i="108"/>
  <c r="N83" i="108"/>
  <c r="D84" i="108"/>
  <c r="E84" i="108"/>
  <c r="E84" i="111" s="1"/>
  <c r="F84" i="108"/>
  <c r="G84" i="108"/>
  <c r="W28" i="108" s="1"/>
  <c r="H84" i="108"/>
  <c r="I84" i="108"/>
  <c r="J84" i="108"/>
  <c r="K84" i="108"/>
  <c r="L84" i="108"/>
  <c r="M84" i="108"/>
  <c r="M84" i="111" s="1"/>
  <c r="N84" i="108"/>
  <c r="D85" i="108"/>
  <c r="T28" i="108" s="1"/>
  <c r="E85" i="108"/>
  <c r="F85" i="108"/>
  <c r="G85" i="108"/>
  <c r="H85" i="108"/>
  <c r="I85" i="108"/>
  <c r="J85" i="108"/>
  <c r="J85" i="111" s="1"/>
  <c r="K85" i="108"/>
  <c r="L85" i="108"/>
  <c r="AB28" i="108" s="1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F87" i="111" s="1"/>
  <c r="G87" i="108"/>
  <c r="H87" i="108"/>
  <c r="I87" i="108"/>
  <c r="J87" i="108"/>
  <c r="K87" i="108"/>
  <c r="L87" i="108"/>
  <c r="M87" i="108"/>
  <c r="N87" i="108"/>
  <c r="N87" i="111" s="1"/>
  <c r="D88" i="108"/>
  <c r="E88" i="108"/>
  <c r="F88" i="108"/>
  <c r="G88" i="108"/>
  <c r="H88" i="108"/>
  <c r="I88" i="108"/>
  <c r="I88" i="111" s="1"/>
  <c r="J88" i="108"/>
  <c r="K88" i="108"/>
  <c r="AA29" i="108" s="1"/>
  <c r="L88" i="108"/>
  <c r="M88" i="108"/>
  <c r="N88" i="108"/>
  <c r="D89" i="108"/>
  <c r="E89" i="108"/>
  <c r="F89" i="108"/>
  <c r="F89" i="111" s="1"/>
  <c r="G89" i="108"/>
  <c r="H89" i="108"/>
  <c r="X29" i="108" s="1"/>
  <c r="I89" i="108"/>
  <c r="J89" i="108"/>
  <c r="K89" i="108"/>
  <c r="L89" i="108"/>
  <c r="M89" i="108"/>
  <c r="N89" i="108"/>
  <c r="N89" i="111" s="1"/>
  <c r="D90" i="108"/>
  <c r="E90" i="108"/>
  <c r="E90" i="111" s="1"/>
  <c r="F90" i="108"/>
  <c r="G90" i="108"/>
  <c r="H90" i="108"/>
  <c r="I90" i="108"/>
  <c r="J90" i="108"/>
  <c r="K90" i="108"/>
  <c r="K90" i="111" s="1"/>
  <c r="L90" i="108"/>
  <c r="M90" i="108"/>
  <c r="AC30" i="108" s="1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E92" i="111" s="1"/>
  <c r="F92" i="108"/>
  <c r="G92" i="108"/>
  <c r="W30" i="108" s="1"/>
  <c r="H92" i="108"/>
  <c r="I92" i="108"/>
  <c r="J92" i="108"/>
  <c r="K92" i="108"/>
  <c r="L92" i="108"/>
  <c r="M92" i="108"/>
  <c r="M92" i="111" s="1"/>
  <c r="N92" i="108"/>
  <c r="D93" i="108"/>
  <c r="T30" i="108" s="1"/>
  <c r="E93" i="108"/>
  <c r="F93" i="108"/>
  <c r="G93" i="108"/>
  <c r="H93" i="108"/>
  <c r="I93" i="108"/>
  <c r="J93" i="108"/>
  <c r="J93" i="111" s="1"/>
  <c r="K93" i="108"/>
  <c r="L93" i="108"/>
  <c r="AB30" i="108" s="1"/>
  <c r="M93" i="108"/>
  <c r="N93" i="108"/>
  <c r="D94" i="108"/>
  <c r="E94" i="108"/>
  <c r="F94" i="108"/>
  <c r="G94" i="108"/>
  <c r="G94" i="111" s="1"/>
  <c r="H94" i="108"/>
  <c r="I94" i="108"/>
  <c r="I94" i="111" s="1"/>
  <c r="J94" i="108"/>
  <c r="K94" i="108"/>
  <c r="L94" i="108"/>
  <c r="M94" i="108"/>
  <c r="N94" i="108"/>
  <c r="D95" i="108"/>
  <c r="T31" i="108" s="1"/>
  <c r="E95" i="108"/>
  <c r="F95" i="108"/>
  <c r="F95" i="111" s="1"/>
  <c r="G95" i="108"/>
  <c r="H95" i="108"/>
  <c r="I95" i="108"/>
  <c r="J95" i="108"/>
  <c r="K95" i="108"/>
  <c r="L95" i="108"/>
  <c r="AB31" i="108" s="1"/>
  <c r="M95" i="108"/>
  <c r="N95" i="108"/>
  <c r="N95" i="111" s="1"/>
  <c r="D96" i="108"/>
  <c r="E96" i="108"/>
  <c r="F96" i="108"/>
  <c r="G96" i="108"/>
  <c r="H96" i="108"/>
  <c r="I96" i="108"/>
  <c r="I96" i="111" s="1"/>
  <c r="J96" i="108"/>
  <c r="K96" i="108"/>
  <c r="AA31" i="108" s="1"/>
  <c r="L96" i="108"/>
  <c r="M96" i="108"/>
  <c r="N96" i="108"/>
  <c r="D97" i="108"/>
  <c r="E97" i="108"/>
  <c r="F97" i="108"/>
  <c r="F97" i="111" s="1"/>
  <c r="G97" i="108"/>
  <c r="H97" i="108"/>
  <c r="X31" i="108" s="1"/>
  <c r="I97" i="108"/>
  <c r="J97" i="108"/>
  <c r="K97" i="108"/>
  <c r="L97" i="108"/>
  <c r="M97" i="108"/>
  <c r="N97" i="108"/>
  <c r="N97" i="111" s="1"/>
  <c r="D98" i="108"/>
  <c r="E98" i="108"/>
  <c r="E98" i="111" s="1"/>
  <c r="F98" i="108"/>
  <c r="G98" i="108"/>
  <c r="H98" i="108"/>
  <c r="I98" i="108"/>
  <c r="J98" i="108"/>
  <c r="K98" i="108"/>
  <c r="AA32" i="108" s="1"/>
  <c r="L98" i="108"/>
  <c r="M98" i="108"/>
  <c r="M98" i="111" s="1"/>
  <c r="N98" i="108"/>
  <c r="AD32" i="108" s="1"/>
  <c r="D99" i="108"/>
  <c r="E99" i="108"/>
  <c r="F99" i="108"/>
  <c r="G99" i="108"/>
  <c r="H99" i="108"/>
  <c r="H99" i="111" s="1"/>
  <c r="I99" i="108"/>
  <c r="J99" i="108"/>
  <c r="Z32" i="108" s="1"/>
  <c r="K99" i="108"/>
  <c r="L99" i="108"/>
  <c r="M99" i="108"/>
  <c r="N99" i="108"/>
  <c r="D100" i="108"/>
  <c r="E100" i="108"/>
  <c r="E100" i="111" s="1"/>
  <c r="F100" i="108"/>
  <c r="G100" i="108"/>
  <c r="W32" i="108" s="1"/>
  <c r="H100" i="108"/>
  <c r="I100" i="108"/>
  <c r="J100" i="108"/>
  <c r="K100" i="108"/>
  <c r="L100" i="108"/>
  <c r="M100" i="108"/>
  <c r="M100" i="111" s="1"/>
  <c r="N100" i="108"/>
  <c r="D101" i="108"/>
  <c r="T32" i="108" s="1"/>
  <c r="E101" i="108"/>
  <c r="F101" i="108"/>
  <c r="G101" i="108"/>
  <c r="H101" i="108"/>
  <c r="I101" i="108"/>
  <c r="J101" i="108"/>
  <c r="J101" i="111" s="1"/>
  <c r="K101" i="108"/>
  <c r="L101" i="108"/>
  <c r="AB32" i="108" s="1"/>
  <c r="M101" i="108"/>
  <c r="N101" i="108"/>
  <c r="D102" i="108"/>
  <c r="E102" i="108"/>
  <c r="F102" i="108"/>
  <c r="G102" i="108"/>
  <c r="W33" i="108" s="1"/>
  <c r="H102" i="108"/>
  <c r="I102" i="108"/>
  <c r="I102" i="111" s="1"/>
  <c r="J102" i="108"/>
  <c r="K102" i="108"/>
  <c r="L102" i="108"/>
  <c r="M102" i="108"/>
  <c r="N102" i="108"/>
  <c r="D103" i="108"/>
  <c r="T33" i="108" s="1"/>
  <c r="E103" i="108"/>
  <c r="F103" i="108"/>
  <c r="F103" i="111" s="1"/>
  <c r="G103" i="108"/>
  <c r="H103" i="108"/>
  <c r="I103" i="108"/>
  <c r="J103" i="108"/>
  <c r="K103" i="108"/>
  <c r="L103" i="108"/>
  <c r="AB33" i="108" s="1"/>
  <c r="M103" i="108"/>
  <c r="N103" i="108"/>
  <c r="N103" i="111" s="1"/>
  <c r="D104" i="108"/>
  <c r="E104" i="108"/>
  <c r="F104" i="108"/>
  <c r="G104" i="108"/>
  <c r="H104" i="108"/>
  <c r="I104" i="108"/>
  <c r="I104" i="111" s="1"/>
  <c r="J104" i="108"/>
  <c r="K104" i="108"/>
  <c r="K104" i="111" s="1"/>
  <c r="L104" i="108"/>
  <c r="M104" i="108"/>
  <c r="N104" i="108"/>
  <c r="D105" i="108"/>
  <c r="E105" i="108"/>
  <c r="F105" i="108"/>
  <c r="F105" i="111" s="1"/>
  <c r="G105" i="108"/>
  <c r="H105" i="108"/>
  <c r="H105" i="111" s="1"/>
  <c r="I105" i="108"/>
  <c r="J105" i="108"/>
  <c r="K105" i="108"/>
  <c r="L105" i="108"/>
  <c r="M105" i="108"/>
  <c r="N105" i="108"/>
  <c r="N105" i="111" s="1"/>
  <c r="C59" i="108"/>
  <c r="C60" i="108"/>
  <c r="C61" i="108"/>
  <c r="C61" i="111" s="1"/>
  <c r="C62" i="108"/>
  <c r="C63" i="108"/>
  <c r="C64" i="108"/>
  <c r="C64" i="111" s="1"/>
  <c r="C65" i="108"/>
  <c r="C66" i="108"/>
  <c r="C66" i="111" s="1"/>
  <c r="C67" i="108"/>
  <c r="C68" i="108"/>
  <c r="C69" i="108"/>
  <c r="C69" i="111" s="1"/>
  <c r="C70" i="108"/>
  <c r="C71" i="108"/>
  <c r="S25" i="108" s="1"/>
  <c r="C72" i="108"/>
  <c r="C72" i="111" s="1"/>
  <c r="C73" i="108"/>
  <c r="C74" i="108"/>
  <c r="C74" i="111" s="1"/>
  <c r="C75" i="108"/>
  <c r="C76" i="108"/>
  <c r="C77" i="108"/>
  <c r="C77" i="111" s="1"/>
  <c r="C78" i="108"/>
  <c r="C79" i="108"/>
  <c r="C80" i="108"/>
  <c r="C80" i="111" s="1"/>
  <c r="C81" i="108"/>
  <c r="C82" i="108"/>
  <c r="C82" i="111" s="1"/>
  <c r="C83" i="108"/>
  <c r="C84" i="108"/>
  <c r="C85" i="108"/>
  <c r="C85" i="111" s="1"/>
  <c r="C86" i="108"/>
  <c r="C87" i="108"/>
  <c r="S29" i="108" s="1"/>
  <c r="C88" i="108"/>
  <c r="C88" i="111" s="1"/>
  <c r="C89" i="108"/>
  <c r="C90" i="108"/>
  <c r="C90" i="111" s="1"/>
  <c r="C91" i="108"/>
  <c r="C92" i="108"/>
  <c r="C93" i="108"/>
  <c r="C93" i="111" s="1"/>
  <c r="C94" i="108"/>
  <c r="C95" i="108"/>
  <c r="C96" i="108"/>
  <c r="C96" i="111" s="1"/>
  <c r="C97" i="108"/>
  <c r="C98" i="108"/>
  <c r="C98" i="111" s="1"/>
  <c r="C99" i="108"/>
  <c r="C100" i="108"/>
  <c r="C101" i="108"/>
  <c r="C101" i="111" s="1"/>
  <c r="C102" i="108"/>
  <c r="C103" i="108"/>
  <c r="S33" i="108" s="1"/>
  <c r="C104" i="108"/>
  <c r="C104" i="111" s="1"/>
  <c r="C105" i="108"/>
  <c r="C58" i="108"/>
  <c r="S22" i="108" s="1"/>
  <c r="AA33" i="107"/>
  <c r="Y33" i="107"/>
  <c r="X33" i="107"/>
  <c r="S33" i="107"/>
  <c r="AF32" i="107"/>
  <c r="AE32" i="107"/>
  <c r="AB32" i="107"/>
  <c r="Y32" i="107"/>
  <c r="W32" i="107"/>
  <c r="T32" i="107"/>
  <c r="AE31" i="107"/>
  <c r="AB31" i="107"/>
  <c r="AA31" i="107"/>
  <c r="X31" i="107"/>
  <c r="T31" i="107"/>
  <c r="S31" i="107"/>
  <c r="AF30" i="107"/>
  <c r="AE30" i="107"/>
  <c r="AB30" i="107"/>
  <c r="Z30" i="107"/>
  <c r="W30" i="107"/>
  <c r="T30" i="107"/>
  <c r="S30" i="107"/>
  <c r="AC29" i="107"/>
  <c r="AA29" i="107"/>
  <c r="Z29" i="107"/>
  <c r="X29" i="107"/>
  <c r="U29" i="107"/>
  <c r="S29" i="107"/>
  <c r="AF28" i="107"/>
  <c r="AE28" i="107"/>
  <c r="AD28" i="107"/>
  <c r="AB28" i="107"/>
  <c r="W28" i="107"/>
  <c r="V28" i="107"/>
  <c r="T28" i="107"/>
  <c r="AF27" i="107"/>
  <c r="AC27" i="107"/>
  <c r="AA27" i="107"/>
  <c r="Z27" i="107"/>
  <c r="X27" i="107"/>
  <c r="U27" i="107"/>
  <c r="S27" i="107"/>
  <c r="AF26" i="107"/>
  <c r="AE26" i="107"/>
  <c r="AD26" i="107"/>
  <c r="AB26" i="107"/>
  <c r="Y26" i="107"/>
  <c r="W26" i="107"/>
  <c r="V26" i="107"/>
  <c r="T26" i="107"/>
  <c r="S26" i="107"/>
  <c r="AF25" i="107"/>
  <c r="AC25" i="107"/>
  <c r="AA25" i="107"/>
  <c r="Z25" i="107"/>
  <c r="X25" i="107"/>
  <c r="W25" i="107"/>
  <c r="U25" i="107"/>
  <c r="S25" i="107"/>
  <c r="AF24" i="107"/>
  <c r="AE24" i="107"/>
  <c r="AD24" i="107"/>
  <c r="AC24" i="107"/>
  <c r="AB24" i="107"/>
  <c r="Y24" i="107"/>
  <c r="W24" i="107"/>
  <c r="V24" i="107"/>
  <c r="U24" i="107"/>
  <c r="T24" i="107"/>
  <c r="AC23" i="107"/>
  <c r="AA23" i="107"/>
  <c r="Z23" i="107"/>
  <c r="X23" i="107"/>
  <c r="U23" i="107"/>
  <c r="S23" i="107"/>
  <c r="AF22" i="107"/>
  <c r="AE22" i="107"/>
  <c r="AD22" i="107"/>
  <c r="AB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E36" i="107" s="1"/>
  <c r="AD20" i="107"/>
  <c r="AC20" i="107"/>
  <c r="AB20" i="107"/>
  <c r="AA20" i="107"/>
  <c r="Z20" i="107"/>
  <c r="Y20" i="107"/>
  <c r="X20" i="107"/>
  <c r="W20" i="107"/>
  <c r="W36" i="107" s="1"/>
  <c r="V20" i="107"/>
  <c r="U20" i="107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C35" i="107" s="1"/>
  <c r="AB15" i="107"/>
  <c r="AA15" i="107"/>
  <c r="Z15" i="107"/>
  <c r="Y15" i="107"/>
  <c r="X15" i="107"/>
  <c r="W15" i="107"/>
  <c r="V15" i="107"/>
  <c r="U15" i="107"/>
  <c r="U35" i="107" s="1"/>
  <c r="T15" i="107"/>
  <c r="S15" i="107"/>
  <c r="AF14" i="107"/>
  <c r="AE14" i="107"/>
  <c r="AD14" i="107"/>
  <c r="AC14" i="107"/>
  <c r="AB14" i="107"/>
  <c r="AA14" i="107"/>
  <c r="AA38" i="107" s="1"/>
  <c r="Z14" i="107"/>
  <c r="Y14" i="107"/>
  <c r="X14" i="107"/>
  <c r="W14" i="107"/>
  <c r="V14" i="107"/>
  <c r="U14" i="107"/>
  <c r="T14" i="107"/>
  <c r="S14" i="107"/>
  <c r="S38" i="107" s="1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AF12" i="107"/>
  <c r="AE12" i="107"/>
  <c r="AE40" i="107" s="1"/>
  <c r="AD12" i="107"/>
  <c r="AC12" i="107"/>
  <c r="AB12" i="107"/>
  <c r="AA12" i="107"/>
  <c r="Z12" i="107"/>
  <c r="Y12" i="107"/>
  <c r="X12" i="107"/>
  <c r="W12" i="107"/>
  <c r="W40" i="107" s="1"/>
  <c r="V12" i="107"/>
  <c r="U12" i="107"/>
  <c r="T12" i="107"/>
  <c r="S12" i="107"/>
  <c r="AF11" i="107"/>
  <c r="AE11" i="107"/>
  <c r="AD11" i="107"/>
  <c r="AC11" i="107"/>
  <c r="AC40" i="107" s="1"/>
  <c r="AB11" i="107"/>
  <c r="AA11" i="107"/>
  <c r="Z11" i="107"/>
  <c r="Y11" i="107"/>
  <c r="X11" i="107"/>
  <c r="W11" i="107"/>
  <c r="V11" i="107"/>
  <c r="U11" i="107"/>
  <c r="U40" i="107" s="1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F37" i="108"/>
  <c r="AE37" i="108"/>
  <c r="X37" i="108"/>
  <c r="W37" i="108"/>
  <c r="AC33" i="108"/>
  <c r="AA33" i="108"/>
  <c r="Z33" i="108"/>
  <c r="U33" i="108"/>
  <c r="AF32" i="108"/>
  <c r="AE32" i="108"/>
  <c r="Y32" i="108"/>
  <c r="V32" i="108"/>
  <c r="AE31" i="108"/>
  <c r="AC31" i="108"/>
  <c r="Z31" i="108"/>
  <c r="U31" i="108"/>
  <c r="S31" i="108"/>
  <c r="AF30" i="108"/>
  <c r="AE30" i="108"/>
  <c r="AD30" i="108"/>
  <c r="Y30" i="108"/>
  <c r="V30" i="108"/>
  <c r="AC29" i="108"/>
  <c r="Z29" i="108"/>
  <c r="U29" i="108"/>
  <c r="AF28" i="108"/>
  <c r="AE28" i="108"/>
  <c r="AD28" i="108"/>
  <c r="Y28" i="108"/>
  <c r="V28" i="108"/>
  <c r="S28" i="108"/>
  <c r="AC27" i="108"/>
  <c r="AA27" i="108"/>
  <c r="Z27" i="108"/>
  <c r="U27" i="108"/>
  <c r="S27" i="108"/>
  <c r="AF26" i="108"/>
  <c r="AE26" i="108"/>
  <c r="AD26" i="108"/>
  <c r="Y26" i="108"/>
  <c r="V26" i="108"/>
  <c r="AC25" i="108"/>
  <c r="Z25" i="108"/>
  <c r="V25" i="108"/>
  <c r="U25" i="108"/>
  <c r="AF24" i="108"/>
  <c r="AE24" i="108"/>
  <c r="AD24" i="108"/>
  <c r="AA24" i="108"/>
  <c r="Y24" i="108"/>
  <c r="V24" i="108"/>
  <c r="S24" i="108"/>
  <c r="AC23" i="108"/>
  <c r="AA23" i="108"/>
  <c r="Z23" i="108"/>
  <c r="Y23" i="108"/>
  <c r="U23" i="108"/>
  <c r="S23" i="108"/>
  <c r="AF22" i="108"/>
  <c r="AE22" i="108"/>
  <c r="AD22" i="108"/>
  <c r="Y22" i="108"/>
  <c r="W22" i="108"/>
  <c r="V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Y20" i="108"/>
  <c r="X20" i="108"/>
  <c r="W20" i="108"/>
  <c r="V20" i="108"/>
  <c r="V36" i="108" s="1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B35" i="108" s="1"/>
  <c r="AA15" i="108"/>
  <c r="AA35" i="108" s="1"/>
  <c r="Z15" i="108"/>
  <c r="Y15" i="108"/>
  <c r="X15" i="108"/>
  <c r="W15" i="108"/>
  <c r="V15" i="108"/>
  <c r="U15" i="108"/>
  <c r="T15" i="108"/>
  <c r="T35" i="108" s="1"/>
  <c r="S15" i="108"/>
  <c r="S35" i="108" s="1"/>
  <c r="AF14" i="108"/>
  <c r="AE14" i="108"/>
  <c r="AD14" i="108"/>
  <c r="AC14" i="108"/>
  <c r="AB14" i="108"/>
  <c r="AA14" i="108"/>
  <c r="Z14" i="108"/>
  <c r="Z38" i="108" s="1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D40" i="108" s="1"/>
  <c r="AC12" i="108"/>
  <c r="AC40" i="108" s="1"/>
  <c r="AB12" i="108"/>
  <c r="AA12" i="108"/>
  <c r="Z12" i="108"/>
  <c r="Y12" i="108"/>
  <c r="X12" i="108"/>
  <c r="W12" i="108"/>
  <c r="V12" i="108"/>
  <c r="V40" i="108" s="1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34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AD37" i="111"/>
  <c r="AC37" i="111"/>
  <c r="V37" i="111"/>
  <c r="U37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E36" i="111" s="1"/>
  <c r="AD20" i="111"/>
  <c r="AC20" i="111"/>
  <c r="AB20" i="111"/>
  <c r="AB36" i="111" s="1"/>
  <c r="AA20" i="111"/>
  <c r="AA36" i="111" s="1"/>
  <c r="Z20" i="111"/>
  <c r="Y20" i="111"/>
  <c r="X20" i="111"/>
  <c r="W20" i="111"/>
  <c r="W36" i="111" s="1"/>
  <c r="V20" i="111"/>
  <c r="U20" i="111"/>
  <c r="T20" i="111"/>
  <c r="T36" i="111" s="1"/>
  <c r="S20" i="111"/>
  <c r="S36" i="111" s="1"/>
  <c r="AF19" i="111"/>
  <c r="AF39" i="111" s="1"/>
  <c r="AE19" i="111"/>
  <c r="AE39" i="111" s="1"/>
  <c r="AD19" i="111"/>
  <c r="AD39" i="111" s="1"/>
  <c r="AC19" i="111"/>
  <c r="AC39" i="111" s="1"/>
  <c r="AB19" i="111"/>
  <c r="AB39" i="111" s="1"/>
  <c r="AA19" i="111"/>
  <c r="AA39" i="111" s="1"/>
  <c r="Z19" i="111"/>
  <c r="Z36" i="111" s="1"/>
  <c r="Y19" i="111"/>
  <c r="Y36" i="111" s="1"/>
  <c r="X19" i="111"/>
  <c r="X39" i="111" s="1"/>
  <c r="W19" i="111"/>
  <c r="W39" i="111" s="1"/>
  <c r="V19" i="111"/>
  <c r="V39" i="111" s="1"/>
  <c r="U19" i="111"/>
  <c r="U39" i="111" s="1"/>
  <c r="T19" i="111"/>
  <c r="T39" i="111" s="1"/>
  <c r="S19" i="111"/>
  <c r="S39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B15" i="111"/>
  <c r="AA15" i="111"/>
  <c r="Z15" i="111"/>
  <c r="Z35" i="111" s="1"/>
  <c r="Y15" i="111"/>
  <c r="Y35" i="111" s="1"/>
  <c r="X15" i="111"/>
  <c r="W15" i="111"/>
  <c r="V15" i="111"/>
  <c r="U15" i="111"/>
  <c r="T15" i="111"/>
  <c r="S15" i="111"/>
  <c r="AF14" i="111"/>
  <c r="AF38" i="111" s="1"/>
  <c r="AE14" i="111"/>
  <c r="AE38" i="111" s="1"/>
  <c r="AD14" i="111"/>
  <c r="AC14" i="111"/>
  <c r="AB14" i="111"/>
  <c r="AA14" i="111"/>
  <c r="Z14" i="111"/>
  <c r="Y14" i="111"/>
  <c r="X14" i="111"/>
  <c r="X38" i="111" s="1"/>
  <c r="W14" i="111"/>
  <c r="W38" i="111" s="1"/>
  <c r="V14" i="111"/>
  <c r="U14" i="111"/>
  <c r="T14" i="111"/>
  <c r="S14" i="111"/>
  <c r="AF13" i="111"/>
  <c r="AF35" i="111" s="1"/>
  <c r="AE13" i="111"/>
  <c r="AE35" i="111" s="1"/>
  <c r="AD13" i="111"/>
  <c r="AD38" i="111" s="1"/>
  <c r="AC13" i="111"/>
  <c r="AC38" i="111" s="1"/>
  <c r="AB13" i="111"/>
  <c r="AB38" i="111" s="1"/>
  <c r="AA13" i="111"/>
  <c r="AA38" i="111" s="1"/>
  <c r="Z13" i="111"/>
  <c r="Z38" i="111" s="1"/>
  <c r="Y13" i="111"/>
  <c r="Y38" i="111" s="1"/>
  <c r="X13" i="111"/>
  <c r="X35" i="111" s="1"/>
  <c r="W13" i="111"/>
  <c r="W35" i="111" s="1"/>
  <c r="V13" i="111"/>
  <c r="V38" i="111" s="1"/>
  <c r="U13" i="111"/>
  <c r="U38" i="111" s="1"/>
  <c r="T13" i="111"/>
  <c r="T38" i="111" s="1"/>
  <c r="S13" i="111"/>
  <c r="S38" i="111" s="1"/>
  <c r="AF12" i="111"/>
  <c r="AE12" i="111"/>
  <c r="AD12" i="111"/>
  <c r="AC12" i="111"/>
  <c r="AB12" i="111"/>
  <c r="AB40" i="111" s="1"/>
  <c r="AA12" i="111"/>
  <c r="AA40" i="111" s="1"/>
  <c r="Z12" i="111"/>
  <c r="Y12" i="111"/>
  <c r="X12" i="111"/>
  <c r="W12" i="111"/>
  <c r="V12" i="111"/>
  <c r="U12" i="111"/>
  <c r="T12" i="111"/>
  <c r="T40" i="111" s="1"/>
  <c r="S12" i="111"/>
  <c r="S40" i="111" s="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40" i="111" s="1"/>
  <c r="AE10" i="111"/>
  <c r="AE40" i="111" s="1"/>
  <c r="AD10" i="111"/>
  <c r="AD34" i="111" s="1"/>
  <c r="AC10" i="111"/>
  <c r="AC34" i="111" s="1"/>
  <c r="AB10" i="111"/>
  <c r="AA10" i="111"/>
  <c r="Z10" i="111"/>
  <c r="Z40" i="111" s="1"/>
  <c r="Y10" i="111"/>
  <c r="Y40" i="111" s="1"/>
  <c r="X10" i="111"/>
  <c r="X40" i="111" s="1"/>
  <c r="W10" i="111"/>
  <c r="W40" i="111" s="1"/>
  <c r="V10" i="111"/>
  <c r="V34" i="111" s="1"/>
  <c r="U10" i="111"/>
  <c r="U34" i="111" s="1"/>
  <c r="T10" i="111"/>
  <c r="S10" i="111"/>
  <c r="P106" i="107"/>
  <c r="O106" i="107"/>
  <c r="J106" i="107"/>
  <c r="L106" i="108"/>
  <c r="D106" i="108"/>
  <c r="D58" i="111"/>
  <c r="F58" i="111"/>
  <c r="G58" i="111"/>
  <c r="H58" i="111"/>
  <c r="I58" i="111"/>
  <c r="J58" i="111"/>
  <c r="L58" i="111"/>
  <c r="N58" i="111"/>
  <c r="D59" i="111"/>
  <c r="E59" i="111"/>
  <c r="F59" i="111"/>
  <c r="G59" i="111"/>
  <c r="I59" i="111"/>
  <c r="K59" i="111"/>
  <c r="L59" i="111"/>
  <c r="M59" i="111"/>
  <c r="N59" i="111"/>
  <c r="D60" i="111"/>
  <c r="F60" i="111"/>
  <c r="H60" i="111"/>
  <c r="I60" i="111"/>
  <c r="J60" i="111"/>
  <c r="K60" i="111"/>
  <c r="L60" i="111"/>
  <c r="N60" i="111"/>
  <c r="E61" i="111"/>
  <c r="F61" i="111"/>
  <c r="G61" i="111"/>
  <c r="H61" i="111"/>
  <c r="I61" i="111"/>
  <c r="K61" i="111"/>
  <c r="M61" i="111"/>
  <c r="N61" i="111"/>
  <c r="D62" i="111"/>
  <c r="E62" i="111"/>
  <c r="F62" i="111"/>
  <c r="H62" i="111"/>
  <c r="J62" i="111"/>
  <c r="Z23" i="111" s="1"/>
  <c r="K62" i="111"/>
  <c r="L62" i="111"/>
  <c r="M62" i="111"/>
  <c r="N62" i="111"/>
  <c r="E63" i="111"/>
  <c r="G63" i="111"/>
  <c r="H63" i="111"/>
  <c r="I63" i="111"/>
  <c r="J63" i="111"/>
  <c r="K63" i="111"/>
  <c r="M63" i="111"/>
  <c r="D64" i="111"/>
  <c r="E64" i="111"/>
  <c r="F64" i="111"/>
  <c r="G64" i="111"/>
  <c r="H64" i="111"/>
  <c r="J64" i="111"/>
  <c r="L64" i="111"/>
  <c r="M64" i="111"/>
  <c r="N64" i="111"/>
  <c r="D65" i="111"/>
  <c r="E65" i="111"/>
  <c r="G65" i="111"/>
  <c r="I65" i="111"/>
  <c r="J65" i="111"/>
  <c r="K65" i="111"/>
  <c r="L65" i="111"/>
  <c r="M65" i="111"/>
  <c r="D66" i="111"/>
  <c r="F66" i="111"/>
  <c r="G66" i="111"/>
  <c r="H66" i="111"/>
  <c r="I66" i="111"/>
  <c r="J66" i="111"/>
  <c r="L66" i="111"/>
  <c r="N66" i="111"/>
  <c r="D67" i="111"/>
  <c r="E67" i="111"/>
  <c r="F67" i="111"/>
  <c r="G67" i="111"/>
  <c r="I67" i="111"/>
  <c r="K67" i="111"/>
  <c r="L67" i="111"/>
  <c r="M67" i="111"/>
  <c r="N67" i="111"/>
  <c r="D68" i="111"/>
  <c r="F68" i="111"/>
  <c r="H68" i="111"/>
  <c r="I68" i="111"/>
  <c r="J68" i="111"/>
  <c r="K68" i="111"/>
  <c r="L68" i="111"/>
  <c r="N68" i="111"/>
  <c r="E69" i="111"/>
  <c r="F69" i="111"/>
  <c r="G69" i="111"/>
  <c r="H69" i="111"/>
  <c r="I69" i="111"/>
  <c r="K69" i="111"/>
  <c r="M69" i="111"/>
  <c r="N69" i="111"/>
  <c r="D70" i="111"/>
  <c r="E70" i="111"/>
  <c r="F70" i="111"/>
  <c r="H70" i="111"/>
  <c r="J70" i="111"/>
  <c r="K70" i="111"/>
  <c r="L70" i="111"/>
  <c r="M70" i="111"/>
  <c r="N70" i="111"/>
  <c r="E71" i="111"/>
  <c r="G71" i="111"/>
  <c r="H71" i="111"/>
  <c r="I71" i="111"/>
  <c r="J71" i="111"/>
  <c r="K71" i="111"/>
  <c r="M71" i="111"/>
  <c r="D72" i="111"/>
  <c r="E72" i="111"/>
  <c r="F72" i="111"/>
  <c r="G72" i="111"/>
  <c r="H72" i="111"/>
  <c r="J72" i="111"/>
  <c r="L72" i="111"/>
  <c r="M72" i="111"/>
  <c r="N72" i="111"/>
  <c r="D73" i="111"/>
  <c r="E73" i="111"/>
  <c r="G73" i="111"/>
  <c r="I73" i="111"/>
  <c r="J73" i="111"/>
  <c r="K73" i="111"/>
  <c r="L73" i="111"/>
  <c r="M73" i="111"/>
  <c r="D74" i="111"/>
  <c r="F74" i="111"/>
  <c r="V26" i="111" s="1"/>
  <c r="G74" i="111"/>
  <c r="H74" i="111"/>
  <c r="I74" i="111"/>
  <c r="J74" i="111"/>
  <c r="L74" i="111"/>
  <c r="N74" i="111"/>
  <c r="D75" i="111"/>
  <c r="E75" i="111"/>
  <c r="F75" i="111"/>
  <c r="G75" i="111"/>
  <c r="I75" i="111"/>
  <c r="K75" i="111"/>
  <c r="L75" i="111"/>
  <c r="M75" i="111"/>
  <c r="N75" i="111"/>
  <c r="D76" i="111"/>
  <c r="F76" i="111"/>
  <c r="H76" i="111"/>
  <c r="I76" i="111"/>
  <c r="J76" i="111"/>
  <c r="K76" i="111"/>
  <c r="L76" i="111"/>
  <c r="N76" i="111"/>
  <c r="E77" i="111"/>
  <c r="F77" i="111"/>
  <c r="G77" i="111"/>
  <c r="H77" i="111"/>
  <c r="I77" i="111"/>
  <c r="K77" i="111"/>
  <c r="M77" i="111"/>
  <c r="N77" i="111"/>
  <c r="D78" i="111"/>
  <c r="E78" i="111"/>
  <c r="F78" i="111"/>
  <c r="H78" i="111"/>
  <c r="J78" i="111"/>
  <c r="K78" i="111"/>
  <c r="AA27" i="111" s="1"/>
  <c r="L78" i="111"/>
  <c r="M78" i="111"/>
  <c r="N78" i="111"/>
  <c r="E79" i="111"/>
  <c r="G79" i="111"/>
  <c r="H79" i="111"/>
  <c r="I79" i="111"/>
  <c r="J79" i="111"/>
  <c r="K79" i="111"/>
  <c r="M79" i="111"/>
  <c r="D80" i="111"/>
  <c r="E80" i="111"/>
  <c r="F80" i="111"/>
  <c r="G80" i="111"/>
  <c r="H80" i="111"/>
  <c r="J80" i="111"/>
  <c r="L80" i="111"/>
  <c r="M80" i="111"/>
  <c r="N80" i="111"/>
  <c r="D81" i="111"/>
  <c r="E81" i="111"/>
  <c r="G81" i="111"/>
  <c r="I81" i="111"/>
  <c r="J81" i="111"/>
  <c r="K81" i="111"/>
  <c r="L81" i="111"/>
  <c r="M81" i="111"/>
  <c r="D82" i="111"/>
  <c r="F82" i="111"/>
  <c r="G82" i="111"/>
  <c r="H82" i="111"/>
  <c r="I82" i="111"/>
  <c r="J82" i="111"/>
  <c r="L82" i="111"/>
  <c r="N82" i="111"/>
  <c r="D83" i="111"/>
  <c r="E83" i="111"/>
  <c r="F83" i="111"/>
  <c r="G83" i="111"/>
  <c r="I83" i="111"/>
  <c r="K83" i="111"/>
  <c r="L83" i="111"/>
  <c r="M83" i="111"/>
  <c r="N83" i="111"/>
  <c r="D84" i="111"/>
  <c r="F84" i="111"/>
  <c r="H84" i="111"/>
  <c r="I84" i="111"/>
  <c r="J84" i="111"/>
  <c r="K84" i="111"/>
  <c r="L84" i="111"/>
  <c r="N84" i="111"/>
  <c r="D85" i="111"/>
  <c r="E85" i="111"/>
  <c r="F85" i="111"/>
  <c r="G85" i="111"/>
  <c r="H85" i="111"/>
  <c r="I85" i="111"/>
  <c r="K85" i="111"/>
  <c r="M85" i="111"/>
  <c r="N85" i="111"/>
  <c r="D86" i="111"/>
  <c r="E86" i="111"/>
  <c r="F86" i="111"/>
  <c r="H86" i="111"/>
  <c r="I86" i="111"/>
  <c r="J86" i="111"/>
  <c r="Z29" i="111" s="1"/>
  <c r="K86" i="111"/>
  <c r="L86" i="111"/>
  <c r="M86" i="111"/>
  <c r="N86" i="111"/>
  <c r="E87" i="111"/>
  <c r="G87" i="111"/>
  <c r="H87" i="111"/>
  <c r="I87" i="111"/>
  <c r="J87" i="111"/>
  <c r="K87" i="111"/>
  <c r="M87" i="111"/>
  <c r="D88" i="111"/>
  <c r="E88" i="111"/>
  <c r="F88" i="111"/>
  <c r="G88" i="111"/>
  <c r="H88" i="111"/>
  <c r="J88" i="111"/>
  <c r="L88" i="111"/>
  <c r="M88" i="111"/>
  <c r="N88" i="111"/>
  <c r="D89" i="111"/>
  <c r="E89" i="111"/>
  <c r="G89" i="111"/>
  <c r="I89" i="111"/>
  <c r="J89" i="111"/>
  <c r="K89" i="111"/>
  <c r="L89" i="111"/>
  <c r="M89" i="111"/>
  <c r="D90" i="111"/>
  <c r="F90" i="111"/>
  <c r="G90" i="111"/>
  <c r="H90" i="111"/>
  <c r="I90" i="111"/>
  <c r="J90" i="111"/>
  <c r="L90" i="111"/>
  <c r="M90" i="111"/>
  <c r="N90" i="111"/>
  <c r="D91" i="111"/>
  <c r="E91" i="111"/>
  <c r="F91" i="111"/>
  <c r="G91" i="111"/>
  <c r="I91" i="111"/>
  <c r="Y30" i="111" s="1"/>
  <c r="K91" i="111"/>
  <c r="L91" i="111"/>
  <c r="M91" i="111"/>
  <c r="N91" i="111"/>
  <c r="D92" i="111"/>
  <c r="F92" i="111"/>
  <c r="G92" i="111"/>
  <c r="H92" i="111"/>
  <c r="I92" i="111"/>
  <c r="J92" i="111"/>
  <c r="K92" i="111"/>
  <c r="L92" i="111"/>
  <c r="N92" i="111"/>
  <c r="E93" i="111"/>
  <c r="F93" i="111"/>
  <c r="G93" i="111"/>
  <c r="H93" i="111"/>
  <c r="I93" i="111"/>
  <c r="K93" i="111"/>
  <c r="M93" i="111"/>
  <c r="N93" i="111"/>
  <c r="D94" i="111"/>
  <c r="E94" i="111"/>
  <c r="F94" i="111"/>
  <c r="H94" i="111"/>
  <c r="J94" i="111"/>
  <c r="K94" i="111"/>
  <c r="L94" i="111"/>
  <c r="M94" i="111"/>
  <c r="N94" i="111"/>
  <c r="E95" i="111"/>
  <c r="G95" i="111"/>
  <c r="H95" i="111"/>
  <c r="I95" i="111"/>
  <c r="J95" i="111"/>
  <c r="K95" i="111"/>
  <c r="M95" i="111"/>
  <c r="D96" i="111"/>
  <c r="E96" i="111"/>
  <c r="F96" i="111"/>
  <c r="G96" i="111"/>
  <c r="H96" i="111"/>
  <c r="J96" i="111"/>
  <c r="L96" i="111"/>
  <c r="M96" i="111"/>
  <c r="N96" i="111"/>
  <c r="D97" i="111"/>
  <c r="E97" i="111"/>
  <c r="G97" i="111"/>
  <c r="I97" i="111"/>
  <c r="J97" i="111"/>
  <c r="K97" i="111"/>
  <c r="L97" i="111"/>
  <c r="M97" i="111"/>
  <c r="D98" i="111"/>
  <c r="F98" i="111"/>
  <c r="G98" i="111"/>
  <c r="H98" i="111"/>
  <c r="I98" i="111"/>
  <c r="J98" i="111"/>
  <c r="L98" i="111"/>
  <c r="N98" i="111"/>
  <c r="D99" i="111"/>
  <c r="E99" i="111"/>
  <c r="F99" i="111"/>
  <c r="G99" i="111"/>
  <c r="I99" i="111"/>
  <c r="K99" i="111"/>
  <c r="L99" i="111"/>
  <c r="M99" i="111"/>
  <c r="N99" i="111"/>
  <c r="D100" i="111"/>
  <c r="F100" i="111"/>
  <c r="H100" i="111"/>
  <c r="I100" i="111"/>
  <c r="J100" i="111"/>
  <c r="K100" i="111"/>
  <c r="L100" i="111"/>
  <c r="N100" i="111"/>
  <c r="E101" i="111"/>
  <c r="F101" i="111"/>
  <c r="G101" i="111"/>
  <c r="H101" i="111"/>
  <c r="I101" i="111"/>
  <c r="K101" i="111"/>
  <c r="M101" i="111"/>
  <c r="N101" i="111"/>
  <c r="D102" i="111"/>
  <c r="E102" i="111"/>
  <c r="F102" i="111"/>
  <c r="H102" i="111"/>
  <c r="J102" i="111"/>
  <c r="K102" i="111"/>
  <c r="L102" i="111"/>
  <c r="M102" i="111"/>
  <c r="N102" i="111"/>
  <c r="E103" i="111"/>
  <c r="G103" i="111"/>
  <c r="H103" i="111"/>
  <c r="I103" i="111"/>
  <c r="J103" i="111"/>
  <c r="K103" i="111"/>
  <c r="M103" i="111"/>
  <c r="D104" i="111"/>
  <c r="E104" i="111"/>
  <c r="F104" i="111"/>
  <c r="G104" i="111"/>
  <c r="H104" i="111"/>
  <c r="J104" i="111"/>
  <c r="L104" i="111"/>
  <c r="M104" i="111"/>
  <c r="N104" i="111"/>
  <c r="D105" i="111"/>
  <c r="E105" i="111"/>
  <c r="G105" i="111"/>
  <c r="I105" i="111"/>
  <c r="J105" i="111"/>
  <c r="K105" i="111"/>
  <c r="L105" i="111"/>
  <c r="M105" i="111"/>
  <c r="C59" i="111"/>
  <c r="C60" i="111"/>
  <c r="C62" i="111"/>
  <c r="C63" i="111"/>
  <c r="C65" i="111"/>
  <c r="C67" i="111"/>
  <c r="C68" i="111"/>
  <c r="C70" i="111"/>
  <c r="S25" i="111" s="1"/>
  <c r="C71" i="111"/>
  <c r="C73" i="111"/>
  <c r="C75" i="111"/>
  <c r="C76" i="111"/>
  <c r="C78" i="111"/>
  <c r="C79" i="111"/>
  <c r="C81" i="111"/>
  <c r="C83" i="111"/>
  <c r="C84" i="111"/>
  <c r="C86" i="111"/>
  <c r="C87" i="111"/>
  <c r="C89" i="111"/>
  <c r="C91" i="111"/>
  <c r="C92" i="111"/>
  <c r="C94" i="111"/>
  <c r="C95" i="111"/>
  <c r="C97" i="111"/>
  <c r="C99" i="111"/>
  <c r="C100" i="111"/>
  <c r="C102" i="111"/>
  <c r="S33" i="111" s="1"/>
  <c r="C103" i="111"/>
  <c r="C105" i="111"/>
  <c r="C58" i="111"/>
  <c r="AC33" i="111" l="1"/>
  <c r="U31" i="111"/>
  <c r="X25" i="111"/>
  <c r="Y24" i="111"/>
  <c r="AA23" i="111"/>
  <c r="K106" i="107"/>
  <c r="L106" i="107"/>
  <c r="T23" i="107"/>
  <c r="O92" i="111"/>
  <c r="AC31" i="111"/>
  <c r="W30" i="111"/>
  <c r="Y29" i="111"/>
  <c r="Y22" i="111"/>
  <c r="M106" i="107"/>
  <c r="W31" i="111"/>
  <c r="V30" i="111"/>
  <c r="F106" i="107"/>
  <c r="N106" i="107"/>
  <c r="Y28" i="111"/>
  <c r="AC41" i="107"/>
  <c r="AC42" i="107" s="1"/>
  <c r="AC30" i="111"/>
  <c r="V41" i="107"/>
  <c r="AD41" i="107"/>
  <c r="Y33" i="111"/>
  <c r="AC32" i="111"/>
  <c r="U32" i="111"/>
  <c r="U30" i="111"/>
  <c r="U28" i="111"/>
  <c r="AD25" i="111"/>
  <c r="V25" i="111"/>
  <c r="Y32" i="111"/>
  <c r="Z27" i="111"/>
  <c r="U41" i="107"/>
  <c r="U42" i="107" s="1"/>
  <c r="U33" i="111"/>
  <c r="AA24" i="111"/>
  <c r="I106" i="107"/>
  <c r="S23" i="111"/>
  <c r="S29" i="111"/>
  <c r="S24" i="107"/>
  <c r="S41" i="107" s="1"/>
  <c r="S42" i="107" s="1"/>
  <c r="S31" i="111"/>
  <c r="S27" i="111"/>
  <c r="AF23" i="108"/>
  <c r="O106" i="108"/>
  <c r="AD31" i="111"/>
  <c r="X33" i="111"/>
  <c r="V33" i="111"/>
  <c r="Y31" i="111"/>
  <c r="AD33" i="111"/>
  <c r="V31" i="111"/>
  <c r="O105" i="111"/>
  <c r="AC23" i="111"/>
  <c r="AA30" i="111"/>
  <c r="T29" i="108"/>
  <c r="D87" i="111"/>
  <c r="T29" i="111" s="1"/>
  <c r="W29" i="108"/>
  <c r="G86" i="111"/>
  <c r="W29" i="111" s="1"/>
  <c r="X28" i="108"/>
  <c r="H83" i="111"/>
  <c r="O83" i="111" s="1"/>
  <c r="AB27" i="108"/>
  <c r="L79" i="111"/>
  <c r="T27" i="108"/>
  <c r="D79" i="111"/>
  <c r="W27" i="108"/>
  <c r="G78" i="111"/>
  <c r="W27" i="111" s="1"/>
  <c r="X26" i="108"/>
  <c r="H75" i="111"/>
  <c r="O75" i="111" s="1"/>
  <c r="AB25" i="108"/>
  <c r="L71" i="111"/>
  <c r="O71" i="111" s="1"/>
  <c r="T25" i="108"/>
  <c r="D71" i="111"/>
  <c r="W25" i="108"/>
  <c r="G70" i="111"/>
  <c r="W25" i="111" s="1"/>
  <c r="X24" i="108"/>
  <c r="H67" i="111"/>
  <c r="X24" i="111" s="1"/>
  <c r="AB23" i="108"/>
  <c r="L63" i="111"/>
  <c r="AB23" i="111" s="1"/>
  <c r="T23" i="108"/>
  <c r="D63" i="111"/>
  <c r="T23" i="111" s="1"/>
  <c r="W23" i="108"/>
  <c r="G62" i="111"/>
  <c r="W23" i="111" s="1"/>
  <c r="X22" i="108"/>
  <c r="H106" i="108"/>
  <c r="H59" i="111"/>
  <c r="K106" i="108"/>
  <c r="AA22" i="108"/>
  <c r="K58" i="111"/>
  <c r="Z33" i="111"/>
  <c r="AD32" i="111"/>
  <c r="V32" i="111"/>
  <c r="Z31" i="111"/>
  <c r="D93" i="111"/>
  <c r="V28" i="111"/>
  <c r="Z25" i="111"/>
  <c r="AD22" i="111"/>
  <c r="AC24" i="108"/>
  <c r="U30" i="108"/>
  <c r="X32" i="108"/>
  <c r="AB29" i="108"/>
  <c r="L87" i="111"/>
  <c r="AB29" i="111" s="1"/>
  <c r="O73" i="111"/>
  <c r="L101" i="111"/>
  <c r="D101" i="111"/>
  <c r="T32" i="111" s="1"/>
  <c r="G100" i="111"/>
  <c r="P100" i="111" s="1"/>
  <c r="J99" i="111"/>
  <c r="P99" i="111" s="1"/>
  <c r="H97" i="111"/>
  <c r="O97" i="111" s="1"/>
  <c r="K96" i="111"/>
  <c r="L93" i="111"/>
  <c r="V29" i="111"/>
  <c r="AD28" i="111"/>
  <c r="T28" i="111"/>
  <c r="U27" i="111"/>
  <c r="AD25" i="108"/>
  <c r="AA28" i="108"/>
  <c r="K82" i="111"/>
  <c r="AA28" i="111" s="1"/>
  <c r="AB32" i="111"/>
  <c r="X31" i="111"/>
  <c r="K88" i="111"/>
  <c r="AA29" i="111" s="1"/>
  <c r="AD29" i="111"/>
  <c r="U29" i="111"/>
  <c r="M82" i="111"/>
  <c r="AC28" i="111" s="1"/>
  <c r="U28" i="108"/>
  <c r="W31" i="108"/>
  <c r="T30" i="111"/>
  <c r="AA33" i="111"/>
  <c r="O99" i="111"/>
  <c r="X30" i="108"/>
  <c r="H91" i="111"/>
  <c r="X30" i="111" s="1"/>
  <c r="L103" i="111"/>
  <c r="D103" i="111"/>
  <c r="O103" i="111" s="1"/>
  <c r="G102" i="111"/>
  <c r="W33" i="111" s="1"/>
  <c r="K98" i="111"/>
  <c r="AA32" i="111" s="1"/>
  <c r="L95" i="111"/>
  <c r="AB31" i="111" s="1"/>
  <c r="D95" i="111"/>
  <c r="T31" i="111" s="1"/>
  <c r="H89" i="111"/>
  <c r="O89" i="111" s="1"/>
  <c r="AC29" i="111"/>
  <c r="AC27" i="111"/>
  <c r="U25" i="111"/>
  <c r="AA30" i="108"/>
  <c r="AA31" i="111"/>
  <c r="Y26" i="111"/>
  <c r="Y41" i="111" s="1"/>
  <c r="Y42" i="111" s="1"/>
  <c r="Z32" i="111"/>
  <c r="AD30" i="111"/>
  <c r="G84" i="111"/>
  <c r="W28" i="111" s="1"/>
  <c r="Z28" i="111"/>
  <c r="AB27" i="111"/>
  <c r="AD26" i="111"/>
  <c r="T25" i="111"/>
  <c r="V24" i="111"/>
  <c r="X22" i="111"/>
  <c r="U24" i="108"/>
  <c r="AD33" i="108"/>
  <c r="Y33" i="108"/>
  <c r="AC32" i="108"/>
  <c r="U32" i="108"/>
  <c r="AD31" i="108"/>
  <c r="V31" i="108"/>
  <c r="Y31" i="108"/>
  <c r="Z30" i="108"/>
  <c r="AD29" i="108"/>
  <c r="V29" i="108"/>
  <c r="Y29" i="108"/>
  <c r="Z28" i="108"/>
  <c r="H81" i="111"/>
  <c r="O81" i="111" s="1"/>
  <c r="X27" i="108"/>
  <c r="N79" i="111"/>
  <c r="AD27" i="111" s="1"/>
  <c r="AD27" i="108"/>
  <c r="F79" i="111"/>
  <c r="V27" i="111" s="1"/>
  <c r="V27" i="108"/>
  <c r="I78" i="111"/>
  <c r="Y27" i="111" s="1"/>
  <c r="Y27" i="108"/>
  <c r="L77" i="111"/>
  <c r="AB26" i="111" s="1"/>
  <c r="AB26" i="108"/>
  <c r="AB41" i="108" s="1"/>
  <c r="AB42" i="108" s="1"/>
  <c r="D77" i="111"/>
  <c r="T26" i="111" s="1"/>
  <c r="T26" i="108"/>
  <c r="G76" i="111"/>
  <c r="O76" i="111" s="1"/>
  <c r="W26" i="108"/>
  <c r="Z26" i="108"/>
  <c r="J75" i="111"/>
  <c r="Z26" i="111" s="1"/>
  <c r="M74" i="111"/>
  <c r="AC26" i="111" s="1"/>
  <c r="AC26" i="108"/>
  <c r="E74" i="111"/>
  <c r="U26" i="111" s="1"/>
  <c r="U26" i="108"/>
  <c r="K72" i="111"/>
  <c r="AA25" i="111" s="1"/>
  <c r="AA25" i="108"/>
  <c r="I70" i="111"/>
  <c r="Y25" i="111" s="1"/>
  <c r="Y25" i="108"/>
  <c r="AB24" i="108"/>
  <c r="L69" i="111"/>
  <c r="AB24" i="111" s="1"/>
  <c r="T24" i="108"/>
  <c r="D69" i="111"/>
  <c r="G68" i="111"/>
  <c r="W24" i="111" s="1"/>
  <c r="W24" i="108"/>
  <c r="J67" i="111"/>
  <c r="Z24" i="111" s="1"/>
  <c r="Z24" i="108"/>
  <c r="AC24" i="111"/>
  <c r="U24" i="111"/>
  <c r="H65" i="111"/>
  <c r="P65" i="111" s="1"/>
  <c r="X23" i="108"/>
  <c r="N63" i="111"/>
  <c r="AD23" i="111" s="1"/>
  <c r="AD23" i="108"/>
  <c r="AD41" i="108" s="1"/>
  <c r="AD42" i="108" s="1"/>
  <c r="N106" i="108"/>
  <c r="F63" i="111"/>
  <c r="V23" i="111" s="1"/>
  <c r="V23" i="108"/>
  <c r="V41" i="108" s="1"/>
  <c r="V42" i="108" s="1"/>
  <c r="F106" i="108"/>
  <c r="I62" i="111"/>
  <c r="Y23" i="111" s="1"/>
  <c r="I106" i="108"/>
  <c r="L61" i="111"/>
  <c r="AB22" i="108"/>
  <c r="D61" i="111"/>
  <c r="O61" i="111" s="1"/>
  <c r="T22" i="108"/>
  <c r="G60" i="111"/>
  <c r="W22" i="111" s="1"/>
  <c r="G106" i="108"/>
  <c r="J59" i="111"/>
  <c r="Z22" i="111" s="1"/>
  <c r="Z22" i="108"/>
  <c r="M58" i="111"/>
  <c r="AC22" i="108"/>
  <c r="M106" i="108"/>
  <c r="E58" i="111"/>
  <c r="U22" i="108"/>
  <c r="U41" i="108" s="1"/>
  <c r="U42" i="108" s="1"/>
  <c r="E106" i="108"/>
  <c r="O79" i="111"/>
  <c r="AC25" i="111"/>
  <c r="T24" i="111"/>
  <c r="U23" i="111"/>
  <c r="V33" i="108"/>
  <c r="AB33" i="111"/>
  <c r="O102" i="111"/>
  <c r="X32" i="111"/>
  <c r="O94" i="111"/>
  <c r="J91" i="111"/>
  <c r="Z30" i="111" s="1"/>
  <c r="AB30" i="111"/>
  <c r="L85" i="111"/>
  <c r="AB28" i="111" s="1"/>
  <c r="X28" i="111"/>
  <c r="AB25" i="111"/>
  <c r="AD24" i="111"/>
  <c r="V22" i="111"/>
  <c r="F106" i="111"/>
  <c r="J106" i="108"/>
  <c r="X25" i="108"/>
  <c r="X41" i="108" s="1"/>
  <c r="AA26" i="108"/>
  <c r="X33" i="108"/>
  <c r="W41" i="108"/>
  <c r="W42" i="108" s="1"/>
  <c r="T27" i="111"/>
  <c r="AC41" i="108"/>
  <c r="P98" i="111"/>
  <c r="O98" i="111"/>
  <c r="S32" i="111"/>
  <c r="O90" i="111"/>
  <c r="P90" i="111"/>
  <c r="S30" i="111"/>
  <c r="P82" i="111"/>
  <c r="O82" i="111"/>
  <c r="S28" i="111"/>
  <c r="S26" i="111"/>
  <c r="S24" i="111"/>
  <c r="P66" i="111"/>
  <c r="O66" i="111"/>
  <c r="P104" i="111"/>
  <c r="O104" i="111"/>
  <c r="P96" i="111"/>
  <c r="O96" i="111"/>
  <c r="P88" i="111"/>
  <c r="O88" i="111"/>
  <c r="P80" i="111"/>
  <c r="O80" i="111"/>
  <c r="P72" i="111"/>
  <c r="O72" i="111"/>
  <c r="P64" i="111"/>
  <c r="O64" i="111"/>
  <c r="O101" i="111"/>
  <c r="P101" i="111"/>
  <c r="O93" i="111"/>
  <c r="P93" i="111"/>
  <c r="P85" i="111"/>
  <c r="O85" i="111"/>
  <c r="P69" i="111"/>
  <c r="P61" i="111"/>
  <c r="P87" i="111"/>
  <c r="P71" i="111"/>
  <c r="P63" i="111"/>
  <c r="C106" i="108"/>
  <c r="S32" i="108"/>
  <c r="P102" i="111"/>
  <c r="P94" i="111"/>
  <c r="P86" i="111"/>
  <c r="P70" i="111"/>
  <c r="P62" i="111"/>
  <c r="P92" i="111"/>
  <c r="P84" i="111"/>
  <c r="P76" i="111"/>
  <c r="P68" i="111"/>
  <c r="S26" i="108"/>
  <c r="S30" i="108"/>
  <c r="P105" i="111"/>
  <c r="P97" i="111"/>
  <c r="P89" i="111"/>
  <c r="P73" i="111"/>
  <c r="S22" i="111"/>
  <c r="O58" i="111"/>
  <c r="P58" i="111"/>
  <c r="C106" i="111"/>
  <c r="V42" i="107"/>
  <c r="Y34" i="107"/>
  <c r="S35" i="107"/>
  <c r="AA35" i="107"/>
  <c r="U36" i="107"/>
  <c r="AC36" i="107"/>
  <c r="W37" i="107"/>
  <c r="AE37" i="107"/>
  <c r="Y38" i="107"/>
  <c r="S39" i="107"/>
  <c r="AA39" i="107"/>
  <c r="W41" i="107"/>
  <c r="W42" i="107" s="1"/>
  <c r="AE41" i="107"/>
  <c r="AE42" i="107" s="1"/>
  <c r="Z34" i="107"/>
  <c r="T35" i="107"/>
  <c r="AB35" i="107"/>
  <c r="V36" i="107"/>
  <c r="AD36" i="107"/>
  <c r="X37" i="107"/>
  <c r="AF37" i="107"/>
  <c r="Z38" i="107"/>
  <c r="T39" i="107"/>
  <c r="AB39" i="107"/>
  <c r="V40" i="107"/>
  <c r="AD40" i="107"/>
  <c r="AD42" i="107" s="1"/>
  <c r="X41" i="107"/>
  <c r="X42" i="107" s="1"/>
  <c r="AF41" i="107"/>
  <c r="AA34" i="107"/>
  <c r="T34" i="107"/>
  <c r="AB34" i="107"/>
  <c r="V35" i="107"/>
  <c r="AD35" i="107"/>
  <c r="X36" i="107"/>
  <c r="AF36" i="107"/>
  <c r="Z37" i="107"/>
  <c r="X40" i="107"/>
  <c r="AF40" i="107"/>
  <c r="Z41" i="107"/>
  <c r="Z42" i="107" s="1"/>
  <c r="S34" i="107"/>
  <c r="Y37" i="107"/>
  <c r="Y41" i="107"/>
  <c r="Y42" i="107" s="1"/>
  <c r="U34" i="107"/>
  <c r="AC34" i="107"/>
  <c r="W35" i="107"/>
  <c r="AE35" i="107"/>
  <c r="Y36" i="107"/>
  <c r="S37" i="107"/>
  <c r="AA37" i="107"/>
  <c r="AA41" i="107"/>
  <c r="AA42" i="107" s="1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U37" i="107"/>
  <c r="AC37" i="107"/>
  <c r="V37" i="107"/>
  <c r="AD37" i="107"/>
  <c r="AC42" i="108"/>
  <c r="Z34" i="108"/>
  <c r="T39" i="108"/>
  <c r="S34" i="108"/>
  <c r="AA34" i="108"/>
  <c r="U35" i="108"/>
  <c r="AC35" i="108"/>
  <c r="W36" i="108"/>
  <c r="AE36" i="108"/>
  <c r="Y37" i="108"/>
  <c r="W40" i="108"/>
  <c r="AE40" i="108"/>
  <c r="Y41" i="108"/>
  <c r="S39" i="108"/>
  <c r="AF41" i="108"/>
  <c r="T34" i="108"/>
  <c r="AB34" i="108"/>
  <c r="V35" i="108"/>
  <c r="AD35" i="108"/>
  <c r="X36" i="108"/>
  <c r="AF36" i="108"/>
  <c r="Z37" i="108"/>
  <c r="X40" i="108"/>
  <c r="AF40" i="108"/>
  <c r="Z41" i="108"/>
  <c r="Z42" i="108" s="1"/>
  <c r="AE41" i="108"/>
  <c r="U34" i="108"/>
  <c r="AC34" i="108"/>
  <c r="W35" i="108"/>
  <c r="AE35" i="108"/>
  <c r="Y36" i="108"/>
  <c r="S37" i="108"/>
  <c r="AA37" i="108"/>
  <c r="Y40" i="108"/>
  <c r="S41" i="108"/>
  <c r="S42" i="108" s="1"/>
  <c r="AA41" i="108"/>
  <c r="AA42" i="108" s="1"/>
  <c r="AB39" i="108"/>
  <c r="V34" i="108"/>
  <c r="AD34" i="108"/>
  <c r="X35" i="108"/>
  <c r="AF35" i="108"/>
  <c r="Z36" i="108"/>
  <c r="T37" i="108"/>
  <c r="AB37" i="108"/>
  <c r="T41" i="108"/>
  <c r="T42" i="108" s="1"/>
  <c r="AA39" i="108"/>
  <c r="U37" i="108"/>
  <c r="AC37" i="108"/>
  <c r="W38" i="108"/>
  <c r="V37" i="108"/>
  <c r="AD37" i="108"/>
  <c r="AF34" i="111"/>
  <c r="Z39" i="111"/>
  <c r="Y34" i="111"/>
  <c r="S35" i="111"/>
  <c r="AA35" i="111"/>
  <c r="U36" i="111"/>
  <c r="AC36" i="111"/>
  <c r="W37" i="111"/>
  <c r="AE37" i="111"/>
  <c r="U40" i="111"/>
  <c r="AC40" i="111"/>
  <c r="W34" i="111"/>
  <c r="AE34" i="111"/>
  <c r="Y39" i="111"/>
  <c r="X34" i="111"/>
  <c r="Z34" i="111"/>
  <c r="T35" i="111"/>
  <c r="AB35" i="111"/>
  <c r="V36" i="111"/>
  <c r="AD36" i="111"/>
  <c r="X37" i="111"/>
  <c r="AF37" i="111"/>
  <c r="V40" i="111"/>
  <c r="AD40" i="111"/>
  <c r="S34" i="111"/>
  <c r="AA34" i="111"/>
  <c r="U35" i="111"/>
  <c r="AC35" i="111"/>
  <c r="Y37" i="111"/>
  <c r="T34" i="111"/>
  <c r="AB34" i="111"/>
  <c r="V35" i="111"/>
  <c r="AD35" i="111"/>
  <c r="X36" i="111"/>
  <c r="AF36" i="111"/>
  <c r="Z37" i="111"/>
  <c r="S37" i="111"/>
  <c r="AA37" i="111"/>
  <c r="T37" i="111"/>
  <c r="AB37" i="111"/>
  <c r="D11" i="110"/>
  <c r="D12" i="110"/>
  <c r="D13" i="110"/>
  <c r="D14" i="110"/>
  <c r="D15" i="110"/>
  <c r="D16" i="110"/>
  <c r="D17" i="110"/>
  <c r="D18" i="110"/>
  <c r="D19" i="110"/>
  <c r="D20" i="110"/>
  <c r="D21" i="110"/>
  <c r="D22" i="110"/>
  <c r="D23" i="110"/>
  <c r="D24" i="110"/>
  <c r="D25" i="110"/>
  <c r="D26" i="110"/>
  <c r="D27" i="110"/>
  <c r="D28" i="110"/>
  <c r="D29" i="110"/>
  <c r="D30" i="110"/>
  <c r="D31" i="110"/>
  <c r="D32" i="110"/>
  <c r="D33" i="110"/>
  <c r="D34" i="110"/>
  <c r="D35" i="110"/>
  <c r="D36" i="110"/>
  <c r="D37" i="110"/>
  <c r="D38" i="110"/>
  <c r="D39" i="110"/>
  <c r="D40" i="110"/>
  <c r="D41" i="110"/>
  <c r="D42" i="110"/>
  <c r="D43" i="110"/>
  <c r="D44" i="110"/>
  <c r="D45" i="110"/>
  <c r="D46" i="110"/>
  <c r="D47" i="110"/>
  <c r="D48" i="110"/>
  <c r="D49" i="110"/>
  <c r="D50" i="110"/>
  <c r="D51" i="110"/>
  <c r="D52" i="110"/>
  <c r="D53" i="110"/>
  <c r="D54" i="110"/>
  <c r="D55" i="110"/>
  <c r="D56" i="110"/>
  <c r="D57" i="110"/>
  <c r="D58" i="110"/>
  <c r="D59" i="110"/>
  <c r="D60" i="110"/>
  <c r="D61" i="110"/>
  <c r="D62" i="110"/>
  <c r="D63" i="110"/>
  <c r="D64" i="110"/>
  <c r="D65" i="110"/>
  <c r="D66" i="110"/>
  <c r="D67" i="110"/>
  <c r="D68" i="110"/>
  <c r="D69" i="110"/>
  <c r="D70" i="110"/>
  <c r="D71" i="110"/>
  <c r="D72" i="110"/>
  <c r="D73" i="110"/>
  <c r="D74" i="110"/>
  <c r="D75" i="110"/>
  <c r="D76" i="110"/>
  <c r="D77" i="110"/>
  <c r="D78" i="110"/>
  <c r="D79" i="110"/>
  <c r="D80" i="110"/>
  <c r="D81" i="110"/>
  <c r="D82" i="110"/>
  <c r="D83" i="110"/>
  <c r="D84" i="110"/>
  <c r="D85" i="110"/>
  <c r="D86" i="110"/>
  <c r="D87" i="110"/>
  <c r="D88" i="110"/>
  <c r="D89" i="110"/>
  <c r="D90" i="110"/>
  <c r="D91" i="110"/>
  <c r="D92" i="110"/>
  <c r="D93" i="110"/>
  <c r="D94" i="110"/>
  <c r="D95" i="110"/>
  <c r="D96" i="110"/>
  <c r="D97" i="110"/>
  <c r="D98" i="110"/>
  <c r="D99" i="110"/>
  <c r="D100" i="110"/>
  <c r="D101" i="110"/>
  <c r="D102" i="110"/>
  <c r="D103" i="110"/>
  <c r="D104" i="110"/>
  <c r="D105" i="110"/>
  <c r="D10" i="110"/>
  <c r="D11" i="94"/>
  <c r="D12" i="94"/>
  <c r="D13" i="94"/>
  <c r="D14" i="94"/>
  <c r="D15" i="94"/>
  <c r="D16" i="94"/>
  <c r="D17" i="94"/>
  <c r="D18" i="94"/>
  <c r="D19" i="94"/>
  <c r="D20" i="94"/>
  <c r="D21" i="94"/>
  <c r="D22" i="94"/>
  <c r="D23" i="94"/>
  <c r="D24" i="94"/>
  <c r="D25" i="94"/>
  <c r="D26" i="94"/>
  <c r="D27" i="94"/>
  <c r="D28" i="94"/>
  <c r="D29" i="94"/>
  <c r="D30" i="94"/>
  <c r="D31" i="94"/>
  <c r="D32" i="94"/>
  <c r="D33" i="94"/>
  <c r="D34" i="94"/>
  <c r="D35" i="94"/>
  <c r="D36" i="94"/>
  <c r="D37" i="94"/>
  <c r="D38" i="94"/>
  <c r="D39" i="94"/>
  <c r="D40" i="94"/>
  <c r="D41" i="94"/>
  <c r="D42" i="94"/>
  <c r="D43" i="94"/>
  <c r="D44" i="94"/>
  <c r="D45" i="94"/>
  <c r="D46" i="94"/>
  <c r="D47" i="94"/>
  <c r="D48" i="94"/>
  <c r="D49" i="94"/>
  <c r="D50" i="94"/>
  <c r="D51" i="94"/>
  <c r="D52" i="94"/>
  <c r="D53" i="94"/>
  <c r="D54" i="94"/>
  <c r="D55" i="94"/>
  <c r="D56" i="94"/>
  <c r="D57" i="94"/>
  <c r="D10" i="94"/>
  <c r="AE33" i="111" l="1"/>
  <c r="W32" i="111"/>
  <c r="P95" i="111"/>
  <c r="L106" i="111"/>
  <c r="V41" i="111"/>
  <c r="O100" i="111"/>
  <c r="AE32" i="111" s="1"/>
  <c r="X26" i="111"/>
  <c r="P103" i="111"/>
  <c r="P83" i="111"/>
  <c r="Z41" i="111"/>
  <c r="Z42" i="111" s="1"/>
  <c r="AD41" i="111"/>
  <c r="AD42" i="111" s="1"/>
  <c r="P81" i="111"/>
  <c r="T33" i="111"/>
  <c r="O68" i="111"/>
  <c r="P59" i="111"/>
  <c r="O77" i="111"/>
  <c r="P74" i="111"/>
  <c r="P75" i="111"/>
  <c r="AF26" i="111" s="1"/>
  <c r="P77" i="111"/>
  <c r="D106" i="111"/>
  <c r="S41" i="111"/>
  <c r="S42" i="111" s="1"/>
  <c r="AE25" i="111"/>
  <c r="O74" i="111"/>
  <c r="AE26" i="111" s="1"/>
  <c r="H106" i="111"/>
  <c r="O65" i="111"/>
  <c r="O63" i="111"/>
  <c r="O59" i="111"/>
  <c r="O78" i="111"/>
  <c r="AE27" i="111" s="1"/>
  <c r="AB22" i="111"/>
  <c r="AB41" i="111" s="1"/>
  <c r="AB42" i="111" s="1"/>
  <c r="O67" i="111"/>
  <c r="AE24" i="111" s="1"/>
  <c r="AA22" i="111"/>
  <c r="AA41" i="111" s="1"/>
  <c r="AA42" i="111" s="1"/>
  <c r="K106" i="111"/>
  <c r="X27" i="111"/>
  <c r="P91" i="111"/>
  <c r="P67" i="111"/>
  <c r="AF24" i="111" s="1"/>
  <c r="I106" i="111"/>
  <c r="W26" i="111"/>
  <c r="W41" i="111" s="1"/>
  <c r="W42" i="111" s="1"/>
  <c r="AF23" i="111"/>
  <c r="J106" i="111"/>
  <c r="O62" i="111"/>
  <c r="X23" i="111"/>
  <c r="O91" i="111"/>
  <c r="AE30" i="111" s="1"/>
  <c r="O95" i="111"/>
  <c r="AE31" i="111" s="1"/>
  <c r="P60" i="111"/>
  <c r="P78" i="111"/>
  <c r="P79" i="111"/>
  <c r="O69" i="111"/>
  <c r="O70" i="111"/>
  <c r="G106" i="111"/>
  <c r="U22" i="111"/>
  <c r="U41" i="111" s="1"/>
  <c r="E106" i="111"/>
  <c r="T22" i="111"/>
  <c r="T41" i="111" s="1"/>
  <c r="T42" i="111" s="1"/>
  <c r="O86" i="111"/>
  <c r="AE29" i="111" s="1"/>
  <c r="O84" i="111"/>
  <c r="AE28" i="111" s="1"/>
  <c r="O87" i="111"/>
  <c r="X29" i="111"/>
  <c r="AF33" i="111"/>
  <c r="AC22" i="111"/>
  <c r="AC41" i="111" s="1"/>
  <c r="AC42" i="111" s="1"/>
  <c r="M106" i="111"/>
  <c r="O60" i="111"/>
  <c r="AE22" i="111" s="1"/>
  <c r="N106" i="111"/>
  <c r="AF25" i="111"/>
  <c r="AF29" i="111"/>
  <c r="AF31" i="111"/>
  <c r="AF28" i="111"/>
  <c r="AF30" i="111"/>
  <c r="AF32" i="111"/>
  <c r="O106" i="111"/>
  <c r="AF42" i="107"/>
  <c r="Y42" i="108"/>
  <c r="X42" i="108"/>
  <c r="AE42" i="108"/>
  <c r="AF42" i="108"/>
  <c r="U42" i="111"/>
  <c r="V42" i="111"/>
  <c r="L11" i="110"/>
  <c r="L12" i="110"/>
  <c r="L13" i="110"/>
  <c r="L14" i="110"/>
  <c r="L15" i="110"/>
  <c r="L16" i="110"/>
  <c r="L17" i="110"/>
  <c r="L18" i="110"/>
  <c r="L19" i="110"/>
  <c r="L20" i="110"/>
  <c r="L21" i="110"/>
  <c r="L22" i="110"/>
  <c r="L23" i="110"/>
  <c r="L24" i="110"/>
  <c r="L25" i="110"/>
  <c r="L26" i="110"/>
  <c r="L27" i="110"/>
  <c r="L28" i="110"/>
  <c r="L29" i="110"/>
  <c r="L30" i="110"/>
  <c r="L31" i="110"/>
  <c r="L32" i="110"/>
  <c r="L33" i="110"/>
  <c r="L34" i="110"/>
  <c r="L35" i="110"/>
  <c r="L36" i="110"/>
  <c r="L37" i="110"/>
  <c r="L38" i="110"/>
  <c r="L39" i="110"/>
  <c r="L40" i="110"/>
  <c r="L41" i="110"/>
  <c r="L42" i="110"/>
  <c r="L43" i="110"/>
  <c r="L44" i="110"/>
  <c r="L45" i="110"/>
  <c r="L46" i="110"/>
  <c r="L47" i="110"/>
  <c r="L48" i="110"/>
  <c r="L49" i="110"/>
  <c r="L50" i="110"/>
  <c r="L51" i="110"/>
  <c r="L52" i="110"/>
  <c r="L53" i="110"/>
  <c r="L54" i="110"/>
  <c r="L55" i="110"/>
  <c r="L56" i="110"/>
  <c r="L57" i="110"/>
  <c r="L58" i="110"/>
  <c r="L59" i="110"/>
  <c r="L60" i="110"/>
  <c r="L61" i="110"/>
  <c r="L62" i="110"/>
  <c r="L63" i="110"/>
  <c r="L64" i="110"/>
  <c r="L65" i="110"/>
  <c r="L66" i="110"/>
  <c r="L67" i="110"/>
  <c r="L68" i="110"/>
  <c r="L69" i="110"/>
  <c r="L70" i="110"/>
  <c r="L71" i="110"/>
  <c r="L72" i="110"/>
  <c r="L73" i="110"/>
  <c r="L74" i="110"/>
  <c r="L75" i="110"/>
  <c r="L76" i="110"/>
  <c r="L77" i="110"/>
  <c r="L78" i="110"/>
  <c r="L79" i="110"/>
  <c r="L80" i="110"/>
  <c r="L81" i="110"/>
  <c r="L82" i="110"/>
  <c r="L83" i="110"/>
  <c r="L84" i="110"/>
  <c r="L85" i="110"/>
  <c r="L86" i="110"/>
  <c r="L87" i="110"/>
  <c r="L88" i="110"/>
  <c r="L89" i="110"/>
  <c r="L90" i="110"/>
  <c r="L91" i="110"/>
  <c r="L92" i="110"/>
  <c r="L93" i="110"/>
  <c r="L94" i="110"/>
  <c r="L95" i="110"/>
  <c r="L96" i="110"/>
  <c r="L97" i="110"/>
  <c r="L98" i="110"/>
  <c r="L99" i="110"/>
  <c r="L100" i="110"/>
  <c r="L101" i="110"/>
  <c r="L102" i="110"/>
  <c r="L103" i="110"/>
  <c r="L104" i="110"/>
  <c r="L105" i="110"/>
  <c r="L10" i="110"/>
  <c r="C58" i="99"/>
  <c r="E58" i="99"/>
  <c r="F58" i="99"/>
  <c r="G58" i="99"/>
  <c r="H58" i="99"/>
  <c r="M58" i="99"/>
  <c r="N58" i="99"/>
  <c r="I58" i="99"/>
  <c r="J58" i="99"/>
  <c r="K58" i="99"/>
  <c r="C58" i="100"/>
  <c r="E58" i="100"/>
  <c r="F58" i="100"/>
  <c r="G58" i="100"/>
  <c r="H58" i="100"/>
  <c r="M58" i="100"/>
  <c r="I58" i="100"/>
  <c r="J58" i="100"/>
  <c r="K58" i="100"/>
  <c r="N58" i="100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10" i="94"/>
  <c r="AF27" i="111" l="1"/>
  <c r="AF22" i="111"/>
  <c r="AF41" i="111" s="1"/>
  <c r="AF42" i="111" s="1"/>
  <c r="P106" i="111"/>
  <c r="AE23" i="111"/>
  <c r="AE41" i="111" s="1"/>
  <c r="AE42" i="111" s="1"/>
  <c r="X41" i="111"/>
  <c r="X42" i="111" s="1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4" l="1"/>
  <c r="K5" i="108" s="1"/>
  <c r="K5" i="111" s="1"/>
  <c r="K5" i="107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V27" i="103" l="1"/>
  <c r="AD27" i="103"/>
  <c r="Z39" i="105"/>
  <c r="Y39" i="109"/>
  <c r="AA39" i="101"/>
  <c r="X39" i="105"/>
  <c r="AD38" i="101"/>
  <c r="AA27" i="99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W38" i="110" s="1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X26" i="103" s="1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AB13" i="103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U10" i="103"/>
  <c r="Y10" i="103"/>
  <c r="AC10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P38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L58" i="99"/>
  <c r="U24" i="99"/>
  <c r="U27" i="99"/>
  <c r="T14" i="99"/>
  <c r="X14" i="99"/>
  <c r="AB14" i="99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B26" i="103" l="1"/>
  <c r="V39" i="109"/>
  <c r="X23" i="103"/>
  <c r="T26" i="103"/>
  <c r="S35" i="110"/>
  <c r="T36" i="105"/>
  <c r="X26" i="96"/>
  <c r="AF25" i="101"/>
  <c r="S38" i="105"/>
  <c r="Y38" i="105"/>
  <c r="S38" i="110"/>
  <c r="U38" i="109"/>
  <c r="AF32" i="101"/>
  <c r="AF33" i="101"/>
  <c r="AB26" i="98"/>
  <c r="AF28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C60" i="100" s="1"/>
  <c r="AE10" i="100"/>
  <c r="AF10" i="100"/>
  <c r="P58" i="100"/>
  <c r="C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C59" i="99" s="1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A42" i="110" l="1"/>
  <c r="E59" i="99"/>
  <c r="F59" i="99"/>
  <c r="G59" i="99"/>
  <c r="H59" i="99"/>
  <c r="N60" i="99"/>
  <c r="E60" i="99"/>
  <c r="F60" i="99"/>
  <c r="G60" i="99"/>
  <c r="H60" i="99"/>
  <c r="N59" i="99"/>
  <c r="M59" i="99"/>
  <c r="J59" i="99"/>
  <c r="I59" i="99"/>
  <c r="K59" i="99"/>
  <c r="I60" i="99"/>
  <c r="J60" i="99"/>
  <c r="K60" i="99"/>
  <c r="M59" i="100"/>
  <c r="E59" i="100"/>
  <c r="F59" i="100"/>
  <c r="G59" i="100"/>
  <c r="H59" i="100"/>
  <c r="E60" i="100"/>
  <c r="F60" i="100"/>
  <c r="G60" i="100"/>
  <c r="H60" i="100"/>
  <c r="N59" i="100"/>
  <c r="J59" i="100"/>
  <c r="K59" i="100"/>
  <c r="I59" i="100"/>
  <c r="N60" i="100"/>
  <c r="K60" i="100"/>
  <c r="I60" i="100"/>
  <c r="J60" i="100"/>
  <c r="AE24" i="98"/>
  <c r="V22" i="93"/>
  <c r="S42" i="110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AE26" i="100"/>
  <c r="AE23" i="100"/>
  <c r="D60" i="99"/>
  <c r="L60" i="99"/>
  <c r="L60" i="100"/>
  <c r="D59" i="99"/>
  <c r="L59" i="99"/>
  <c r="AE28" i="100"/>
  <c r="AE25" i="100"/>
  <c r="AE22" i="100"/>
  <c r="D60" i="100"/>
  <c r="AE28" i="99"/>
  <c r="AE25" i="99"/>
  <c r="AE22" i="99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<sst xmlns="http://schemas.openxmlformats.org/spreadsheetml/2006/main" count="2324" uniqueCount="175">
  <si>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</si>
  <si>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</si>
  <si>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</si>
  <si>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</si>
  <si>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</si>
  <si>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</si>
  <si>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</si>
  <si>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</si>
  <si>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</si>
  <si>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</si>
  <si>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</si>
  <si>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</si>
  <si>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</si>
  <si>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</si>
  <si>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</si>
  <si>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</si>
  <si>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</si>
  <si>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</si>
  <si>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</si>
  <si>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</si>
  <si>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</si>
  <si>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</si>
  <si>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</si>
  <si>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</si>
  <si>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</si>
  <si>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</si>
  <si>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</si>
  <si>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</si>
  <si>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</si>
  <si>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</si>
  <si>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</si>
  <si>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</si>
  <si>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</si>
  <si>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</si>
  <si>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</si>
  <si>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</si>
  <si>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</si>
  <si>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</si>
  <si>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</si>
  <si>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</si>
  <si>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</si>
  <si>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</si>
  <si>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</si>
  <si>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</si>
  <si>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</si>
  <si>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</si>
  <si>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</si>
  <si>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</si>
  <si>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</si>
  <si>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</si>
  <si>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</si>
  <si>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</si>
  <si>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</si>
  <si>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</si>
  <si>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</si>
  <si>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</si>
  <si>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</si>
  <si>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</si>
  <si>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</si>
  <si>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</si>
  <si>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</si>
  <si>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</si>
  <si>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</si>
  <si>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</si>
  <si>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</si>
  <si>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</si>
  <si>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</si>
  <si>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</si>
  <si>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</si>
  <si>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</si>
  <si>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</si>
  <si>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</si>
  <si>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</si>
  <si>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</si>
  <si>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</si>
  <si>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</si>
  <si>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</si>
  <si>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</si>
  <si>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</si>
  <si>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</si>
  <si>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</si>
  <si>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</si>
  <si>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</si>
  <si>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</si>
  <si>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</si>
  <si>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</si>
  <si>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</si>
  <si>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</si>
  <si>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</si>
  <si>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</si>
  <si>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</si>
  <si>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</si>
  <si>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</si>
  <si>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</si>
  <si>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</si>
  <si>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</si>
  <si>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</si>
  <si>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</si>
  <si>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</si>
  <si>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</si>
  <si>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</si>
  <si>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</si>
  <si>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</si>
  <si>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</si>
  <si>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</si>
  <si>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</si>
  <si>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</si>
  <si>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</si>
  <si>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</si>
  <si>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</si>
  <si>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</si>
  <si>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</si>
  <si>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</si>
  <si>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</si>
  <si>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</si>
  <si>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</si>
  <si>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</si>
  <si>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</si>
  <si>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</si>
  <si>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</si>
  <si>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</si>
  <si>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</si>
  <si>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</si>
  <si>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</si>
  <si>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</si>
  <si>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</si>
  <si>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</si>
  <si>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</si>
  <si>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</si>
  <si>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</si>
  <si>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</si>
  <si>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</si>
  <si>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</si>
  <si>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</si>
  <si>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</si>
  <si>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</si>
  <si>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</si>
  <si>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</si>
  <si>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</si>
  <si>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</si>
  <si>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</si>
  <si>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</si>
  <si>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</si>
  <si>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</si>
  <si>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</si>
  <si>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</si>
  <si>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</si>
  <si>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</si>
  <si>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</si>
  <si>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</si>
  <si>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</si>
  <si>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</si>
  <si>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</si>
  <si>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</si>
  <si>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</si>
  <si>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</si>
  <si>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</si>
  <si>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</si>
  <si>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</si>
  <si>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</si>
  <si>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</si>
  <si>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</si>
  <si>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</si>
  <si>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</si>
  <si>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Sironko</t>
  </si>
  <si>
    <t>Mbale</t>
  </si>
  <si>
    <t>19.08.19</t>
  </si>
  <si>
    <t>20.08.19</t>
  </si>
  <si>
    <t>21.08.19</t>
  </si>
  <si>
    <t>22.08.19</t>
  </si>
  <si>
    <t>23.08.19</t>
  </si>
  <si>
    <t>24.08.19</t>
  </si>
  <si>
    <t>25.08.19</t>
  </si>
  <si>
    <t>MCC - C4 - STN120 - MBALE-SIRONKO ROAD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</si>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</sst>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Sironko-Mbale'!$AE$10:$AE$21</c:f>
              <c:numCache>
                <c:formatCode>0</c:formatCode>
                <c:ptCount val="12"/>
                <c:pt idx="0">
                  <c:v>31</c:v>
                </c:pt>
                <c:pt idx="1">
                  <c:v>71</c:v>
                </c:pt>
                <c:pt idx="2">
                  <c:v>67</c:v>
                </c:pt>
                <c:pt idx="3">
                  <c:v>76</c:v>
                </c:pt>
                <c:pt idx="4">
                  <c:v>59</c:v>
                </c:pt>
                <c:pt idx="5">
                  <c:v>58</c:v>
                </c:pt>
                <c:pt idx="6">
                  <c:v>70</c:v>
                </c:pt>
                <c:pt idx="7">
                  <c:v>63</c:v>
                </c:pt>
                <c:pt idx="8">
                  <c:v>72</c:v>
                </c:pt>
                <c:pt idx="9">
                  <c:v>75</c:v>
                </c:pt>
                <c:pt idx="10">
                  <c:v>108</c:v>
                </c:pt>
                <c:pt idx="11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'19.08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Sironko-Mbale'!$AF$10:$AF$21</c:f>
              <c:numCache>
                <c:formatCode>0</c:formatCode>
                <c:ptCount val="12"/>
                <c:pt idx="0">
                  <c:v>74</c:v>
                </c:pt>
                <c:pt idx="1">
                  <c:v>184</c:v>
                </c:pt>
                <c:pt idx="2">
                  <c:v>195</c:v>
                </c:pt>
                <c:pt idx="3">
                  <c:v>199</c:v>
                </c:pt>
                <c:pt idx="4">
                  <c:v>183</c:v>
                </c:pt>
                <c:pt idx="5">
                  <c:v>181</c:v>
                </c:pt>
                <c:pt idx="6">
                  <c:v>205</c:v>
                </c:pt>
                <c:pt idx="7">
                  <c:v>156</c:v>
                </c:pt>
                <c:pt idx="8">
                  <c:v>182</c:v>
                </c:pt>
                <c:pt idx="9">
                  <c:v>210</c:v>
                </c:pt>
                <c:pt idx="10">
                  <c:v>258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48288"/>
        <c:axId val="85949824"/>
      </c:lineChart>
      <c:catAx>
        <c:axId val="85948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9824"/>
        <c:crosses val="autoZero"/>
        <c:auto val="1"/>
        <c:lblAlgn val="ctr"/>
        <c:lblOffset val="100"/>
        <c:noMultiLvlLbl val="0"/>
      </c:catAx>
      <c:valAx>
        <c:axId val="85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59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Sironko-Mbale'!$C$59:$N$59</c:f>
              <c:numCache>
                <c:formatCode>0.0%</c:formatCode>
                <c:ptCount val="12"/>
                <c:pt idx="0">
                  <c:v>8.1930912311780332E-2</c:v>
                </c:pt>
                <c:pt idx="1">
                  <c:v>2.7900797165633304E-2</c:v>
                </c:pt>
                <c:pt idx="2">
                  <c:v>0.1275465013286094</c:v>
                </c:pt>
                <c:pt idx="3">
                  <c:v>7.661647475642161E-2</c:v>
                </c:pt>
                <c:pt idx="4">
                  <c:v>1.7714791851195749E-3</c:v>
                </c:pt>
                <c:pt idx="5">
                  <c:v>0</c:v>
                </c:pt>
                <c:pt idx="6">
                  <c:v>5.7130203720106291E-2</c:v>
                </c:pt>
                <c:pt idx="7">
                  <c:v>1.7714791851195749E-3</c:v>
                </c:pt>
                <c:pt idx="8">
                  <c:v>0</c:v>
                </c:pt>
                <c:pt idx="9">
                  <c:v>0</c:v>
                </c:pt>
                <c:pt idx="10">
                  <c:v>0.62533215234720996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Sironko-Mbale'!$C$60:$N$60</c:f>
              <c:numCache>
                <c:formatCode>0.00%</c:formatCode>
                <c:ptCount val="12"/>
                <c:pt idx="0">
                  <c:v>0.21867612293144209</c:v>
                </c:pt>
                <c:pt idx="1">
                  <c:v>7.4468085106382975E-2</c:v>
                </c:pt>
                <c:pt idx="2">
                  <c:v>0.34042553191489361</c:v>
                </c:pt>
                <c:pt idx="3">
                  <c:v>0.2044917257683215</c:v>
                </c:pt>
                <c:pt idx="4">
                  <c:v>4.7281323877068557E-3</c:v>
                </c:pt>
                <c:pt idx="5">
                  <c:v>0</c:v>
                </c:pt>
                <c:pt idx="6">
                  <c:v>0.1524822695035461</c:v>
                </c:pt>
                <c:pt idx="7">
                  <c:v>4.7281323877068557E-3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Mbale-Sironko'!$AE$9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Mbale-Sironko'!$AE$10:$AE$21</c:f>
              <c:numCache>
                <c:formatCode>0</c:formatCode>
                <c:ptCount val="12"/>
                <c:pt idx="0">
                  <c:v>25</c:v>
                </c:pt>
                <c:pt idx="1">
                  <c:v>59</c:v>
                </c:pt>
                <c:pt idx="2">
                  <c:v>73</c:v>
                </c:pt>
                <c:pt idx="3">
                  <c:v>85</c:v>
                </c:pt>
                <c:pt idx="4">
                  <c:v>82</c:v>
                </c:pt>
                <c:pt idx="5">
                  <c:v>86</c:v>
                </c:pt>
                <c:pt idx="6">
                  <c:v>90</c:v>
                </c:pt>
                <c:pt idx="7">
                  <c:v>97</c:v>
                </c:pt>
                <c:pt idx="8">
                  <c:v>84</c:v>
                </c:pt>
                <c:pt idx="9">
                  <c:v>57</c:v>
                </c:pt>
                <c:pt idx="10">
                  <c:v>82</c:v>
                </c:pt>
                <c:pt idx="11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'19.08 Mbale-Sironko'!$AF$9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Mbale-Sironko'!$AF$10:$AF$21</c:f>
              <c:numCache>
                <c:formatCode>0</c:formatCode>
                <c:ptCount val="12"/>
                <c:pt idx="0">
                  <c:v>68</c:v>
                </c:pt>
                <c:pt idx="1">
                  <c:v>141</c:v>
                </c:pt>
                <c:pt idx="2">
                  <c:v>171</c:v>
                </c:pt>
                <c:pt idx="3">
                  <c:v>209</c:v>
                </c:pt>
                <c:pt idx="4">
                  <c:v>210</c:v>
                </c:pt>
                <c:pt idx="5">
                  <c:v>190</c:v>
                </c:pt>
                <c:pt idx="6">
                  <c:v>204</c:v>
                </c:pt>
                <c:pt idx="7">
                  <c:v>204</c:v>
                </c:pt>
                <c:pt idx="8">
                  <c:v>187</c:v>
                </c:pt>
                <c:pt idx="9">
                  <c:v>177</c:v>
                </c:pt>
                <c:pt idx="10">
                  <c:v>236</c:v>
                </c:pt>
                <c:pt idx="11">
                  <c:v>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68320"/>
        <c:axId val="86590592"/>
      </c:lineChart>
      <c:catAx>
        <c:axId val="86568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90592"/>
        <c:crosses val="autoZero"/>
        <c:auto val="1"/>
        <c:lblAlgn val="ctr"/>
        <c:lblOffset val="100"/>
        <c:noMultiLvlLbl val="0"/>
      </c:catAx>
      <c:valAx>
        <c:axId val="86590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56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Mbale-Sironko'!$C$59:$N$59</c:f>
              <c:numCache>
                <c:formatCode>0.0%</c:formatCode>
                <c:ptCount val="12"/>
                <c:pt idx="0">
                  <c:v>8.3891120035698347E-2</c:v>
                </c:pt>
                <c:pt idx="1">
                  <c:v>3.1682284694332888E-2</c:v>
                </c:pt>
                <c:pt idx="2">
                  <c:v>0.13788487282463185</c:v>
                </c:pt>
                <c:pt idx="3">
                  <c:v>7.9428826416778217E-2</c:v>
                </c:pt>
                <c:pt idx="4">
                  <c:v>1.3386880856760374E-3</c:v>
                </c:pt>
                <c:pt idx="5">
                  <c:v>0</c:v>
                </c:pt>
                <c:pt idx="6">
                  <c:v>7.3627844712182061E-2</c:v>
                </c:pt>
                <c:pt idx="7">
                  <c:v>4.9085229808121375E-3</c:v>
                </c:pt>
                <c:pt idx="8">
                  <c:v>2.2311468094600626E-3</c:v>
                </c:pt>
                <c:pt idx="9">
                  <c:v>0</c:v>
                </c:pt>
                <c:pt idx="10">
                  <c:v>0.58500669344042833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'19.08 Mbale-Sironko'!$S$9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'19.08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Mbale-Sironko'!$S$10:$S$21</c:f>
              <c:numCache>
                <c:formatCode>0</c:formatCode>
                <c:ptCount val="12"/>
                <c:pt idx="0">
                  <c:v>7</c:v>
                </c:pt>
                <c:pt idx="1">
                  <c:v>18</c:v>
                </c:pt>
                <c:pt idx="2">
                  <c:v>13</c:v>
                </c:pt>
                <c:pt idx="3">
                  <c:v>20</c:v>
                </c:pt>
                <c:pt idx="4">
                  <c:v>13</c:v>
                </c:pt>
                <c:pt idx="5">
                  <c:v>12</c:v>
                </c:pt>
                <c:pt idx="6">
                  <c:v>14</c:v>
                </c:pt>
                <c:pt idx="7">
                  <c:v>18</c:v>
                </c:pt>
                <c:pt idx="8">
                  <c:v>15</c:v>
                </c:pt>
                <c:pt idx="9">
                  <c:v>18</c:v>
                </c:pt>
                <c:pt idx="10">
                  <c:v>14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'19.08 Mbale-Sironko'!$T$9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'19.08 Mbale-Sironko'!$T$10:$T$21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6</c:v>
                </c:pt>
                <c:pt idx="9">
                  <c:v>0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'19.08 Mbale-Sironko'!$U$9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Mbale-Sironko'!$U$10:$U$21</c:f>
              <c:numCache>
                <c:formatCode>0</c:formatCode>
                <c:ptCount val="12"/>
                <c:pt idx="0">
                  <c:v>10</c:v>
                </c:pt>
                <c:pt idx="1">
                  <c:v>22</c:v>
                </c:pt>
                <c:pt idx="2">
                  <c:v>25</c:v>
                </c:pt>
                <c:pt idx="3">
                  <c:v>29</c:v>
                </c:pt>
                <c:pt idx="4">
                  <c:v>25</c:v>
                </c:pt>
                <c:pt idx="5">
                  <c:v>29</c:v>
                </c:pt>
                <c:pt idx="6">
                  <c:v>34</c:v>
                </c:pt>
                <c:pt idx="7">
                  <c:v>31</c:v>
                </c:pt>
                <c:pt idx="8">
                  <c:v>29</c:v>
                </c:pt>
                <c:pt idx="9">
                  <c:v>10</c:v>
                </c:pt>
                <c:pt idx="10">
                  <c:v>30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'19.08 Mbale-Sironko'!$V$9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Mbale-Sironko'!$V$10:$V$21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21</c:v>
                </c:pt>
                <c:pt idx="5">
                  <c:v>17</c:v>
                </c:pt>
                <c:pt idx="6">
                  <c:v>18</c:v>
                </c:pt>
                <c:pt idx="7">
                  <c:v>17</c:v>
                </c:pt>
                <c:pt idx="8">
                  <c:v>18</c:v>
                </c:pt>
                <c:pt idx="9">
                  <c:v>20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'19.08 Mbale-Sironko'!$W$9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'19.08 Mbale-Sironko'!$X$9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'19.08 Mbale-Sironko'!$Y$9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Mbale-Sironko'!$Y$10:$Y$21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15</c:v>
                </c:pt>
                <c:pt idx="3">
                  <c:v>16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  <c:pt idx="7">
                  <c:v>21</c:v>
                </c:pt>
                <c:pt idx="8">
                  <c:v>12</c:v>
                </c:pt>
                <c:pt idx="9">
                  <c:v>7</c:v>
                </c:pt>
                <c:pt idx="10">
                  <c:v>12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'19.08 Mbale-Sironko'!$Z$9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'19.08 Mbale-Sironko'!$AA$9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'19.08 Mbale-Sironko'!$AB$9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'19.08 Mbale-Sironko'!$AC$9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Mbale-Sironko'!$AC$10:$AC$21</c:f>
              <c:numCache>
                <c:formatCode>0</c:formatCode>
                <c:ptCount val="12"/>
                <c:pt idx="0">
                  <c:v>43</c:v>
                </c:pt>
                <c:pt idx="1">
                  <c:v>82</c:v>
                </c:pt>
                <c:pt idx="2">
                  <c:v>98</c:v>
                </c:pt>
                <c:pt idx="3">
                  <c:v>124</c:v>
                </c:pt>
                <c:pt idx="4">
                  <c:v>128</c:v>
                </c:pt>
                <c:pt idx="5">
                  <c:v>104</c:v>
                </c:pt>
                <c:pt idx="6">
                  <c:v>114</c:v>
                </c:pt>
                <c:pt idx="7">
                  <c:v>107</c:v>
                </c:pt>
                <c:pt idx="8">
                  <c:v>103</c:v>
                </c:pt>
                <c:pt idx="9">
                  <c:v>120</c:v>
                </c:pt>
                <c:pt idx="10">
                  <c:v>154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'19.08 Mbale-Sironko'!$AD$9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'19.08 Mbale-Sironko'!$AD$10:$AD$21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5664"/>
        <c:axId val="86707200"/>
      </c:lineChart>
      <c:catAx>
        <c:axId val="867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7200"/>
        <c:crosses val="autoZero"/>
        <c:auto val="1"/>
        <c:lblAlgn val="ctr"/>
        <c:lblOffset val="100"/>
        <c:noMultiLvlLbl val="0"/>
      </c:catAx>
      <c:valAx>
        <c:axId val="867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670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'19.08 Mbale-Sironko'!$C$60:$N$60</c:f>
              <c:numCache>
                <c:formatCode>0.00%</c:formatCode>
                <c:ptCount val="12"/>
                <c:pt idx="0">
                  <c:v>0.2021505376344086</c:v>
                </c:pt>
                <c:pt idx="1">
                  <c:v>7.6344086021505372E-2</c:v>
                </c:pt>
                <c:pt idx="2">
                  <c:v>0.33225806451612905</c:v>
                </c:pt>
                <c:pt idx="3">
                  <c:v>0.1913978494623656</c:v>
                </c:pt>
                <c:pt idx="4">
                  <c:v>3.2258064516129032E-3</c:v>
                </c:pt>
                <c:pt idx="5">
                  <c:v>0</c:v>
                </c:pt>
                <c:pt idx="6">
                  <c:v>0.17741935483870969</c:v>
                </c:pt>
                <c:pt idx="7">
                  <c:v>1.1827956989247311E-2</c:v>
                </c:pt>
                <c:pt idx="8">
                  <c:v>5.3763440860215058E-3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Sironko-Mbale'!$AE$10:$AE$21</c:f>
              <c:numCache>
                <c:formatCode>0</c:formatCode>
                <c:ptCount val="12"/>
                <c:pt idx="0">
                  <c:v>27</c:v>
                </c:pt>
                <c:pt idx="1">
                  <c:v>48</c:v>
                </c:pt>
                <c:pt idx="2">
                  <c:v>41</c:v>
                </c:pt>
                <c:pt idx="3">
                  <c:v>52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  <c:pt idx="7">
                  <c:v>75</c:v>
                </c:pt>
                <c:pt idx="8">
                  <c:v>76</c:v>
                </c:pt>
                <c:pt idx="9">
                  <c:v>66</c:v>
                </c:pt>
                <c:pt idx="10">
                  <c:v>88</c:v>
                </c:pt>
                <c:pt idx="11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'20.08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Sironko-Mbale'!$AF$10:$AF$21</c:f>
              <c:numCache>
                <c:formatCode>0</c:formatCode>
                <c:ptCount val="12"/>
                <c:pt idx="0">
                  <c:v>152</c:v>
                </c:pt>
                <c:pt idx="1">
                  <c:v>173</c:v>
                </c:pt>
                <c:pt idx="2">
                  <c:v>160</c:v>
                </c:pt>
                <c:pt idx="3">
                  <c:v>180</c:v>
                </c:pt>
                <c:pt idx="4">
                  <c:v>157</c:v>
                </c:pt>
                <c:pt idx="5">
                  <c:v>174</c:v>
                </c:pt>
                <c:pt idx="6">
                  <c:v>169</c:v>
                </c:pt>
                <c:pt idx="7">
                  <c:v>206</c:v>
                </c:pt>
                <c:pt idx="8">
                  <c:v>202</c:v>
                </c:pt>
                <c:pt idx="9">
                  <c:v>201</c:v>
                </c:pt>
                <c:pt idx="10">
                  <c:v>248</c:v>
                </c:pt>
                <c:pt idx="11">
                  <c:v>194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03456"/>
        <c:axId val="89204992"/>
      </c:lineChart>
      <c:catAx>
        <c:axId val="892034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4992"/>
        <c:crosses val="autoZero"/>
        <c:auto val="1"/>
        <c:lblAlgn val="ctr"/>
        <c:lblOffset val="100"/>
        <c:noMultiLvlLbl val="0"/>
      </c:catAx>
      <c:valAx>
        <c:axId val="892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Sironko-Mbale'!$C$59:$N$59</c:f>
              <c:numCache>
                <c:formatCode>0.0%</c:formatCode>
                <c:ptCount val="12"/>
                <c:pt idx="0">
                  <c:v>6.4981949458483748E-2</c:v>
                </c:pt>
                <c:pt idx="1">
                  <c:v>2.4368231046931407E-2</c:v>
                </c:pt>
                <c:pt idx="2">
                  <c:v>0.11462093862815885</c:v>
                </c:pt>
                <c:pt idx="3">
                  <c:v>5.6859205776173288E-2</c:v>
                </c:pt>
                <c:pt idx="4">
                  <c:v>1.8050541516245488E-3</c:v>
                </c:pt>
                <c:pt idx="5">
                  <c:v>1.3537906137184115E-3</c:v>
                </c:pt>
                <c:pt idx="6">
                  <c:v>6.1823104693140792E-2</c:v>
                </c:pt>
                <c:pt idx="7">
                  <c:v>4.0613718411552343E-3</c:v>
                </c:pt>
                <c:pt idx="8">
                  <c:v>0</c:v>
                </c:pt>
                <c:pt idx="9">
                  <c:v>0</c:v>
                </c:pt>
                <c:pt idx="10">
                  <c:v>0.67012635379061369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Sironko-Mbale'!$S$9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Sironko-Mbale'!$S$10:$S$21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14</c:v>
                </c:pt>
                <c:pt idx="3">
                  <c:v>15</c:v>
                </c:pt>
                <c:pt idx="4">
                  <c:v>11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17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'20.08 Sironko-Mbale'!$T$9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Sironko-Mbale'!$T$10:$T$21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'20.08 Sironko-Mbale'!$U$9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Sironko-Mbale'!$U$10:$U$21</c:f>
              <c:numCache>
                <c:formatCode>0</c:formatCode>
                <c:ptCount val="12"/>
                <c:pt idx="0">
                  <c:v>8</c:v>
                </c:pt>
                <c:pt idx="1">
                  <c:v>21</c:v>
                </c:pt>
                <c:pt idx="2">
                  <c:v>14</c:v>
                </c:pt>
                <c:pt idx="3">
                  <c:v>10</c:v>
                </c:pt>
                <c:pt idx="4">
                  <c:v>22</c:v>
                </c:pt>
                <c:pt idx="5">
                  <c:v>19</c:v>
                </c:pt>
                <c:pt idx="6">
                  <c:v>18</c:v>
                </c:pt>
                <c:pt idx="7">
                  <c:v>28</c:v>
                </c:pt>
                <c:pt idx="8">
                  <c:v>28</c:v>
                </c:pt>
                <c:pt idx="9">
                  <c:v>20</c:v>
                </c:pt>
                <c:pt idx="10">
                  <c:v>33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'20.08 Sironko-Mbale'!$V$9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Sironko-Mbale'!$V$10:$V$21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7</c:v>
                </c:pt>
                <c:pt idx="6">
                  <c:v>12</c:v>
                </c:pt>
                <c:pt idx="7">
                  <c:v>9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'20.08 Sironko-Mbale'!$W$9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'20.08 Sironko-Mbale'!$X$9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'20.08 Sironko-Mbale'!$Y$9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15</c:v>
                </c:pt>
                <c:pt idx="4">
                  <c:v>2</c:v>
                </c:pt>
                <c:pt idx="5">
                  <c:v>11</c:v>
                </c:pt>
                <c:pt idx="6">
                  <c:v>18</c:v>
                </c:pt>
                <c:pt idx="7">
                  <c:v>20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'20.08 Sironko-Mbale'!$Z$9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'20.08 Sironko-Mbale'!$AA$9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'20.08 Sironko-Mbale'!$AB$9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'20.08 Sironko-Mbale'!$AC$9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Sironko-Mbale'!$AC$10:$AC$21</c:f>
              <c:numCache>
                <c:formatCode>0</c:formatCode>
                <c:ptCount val="12"/>
                <c:pt idx="0">
                  <c:v>125</c:v>
                </c:pt>
                <c:pt idx="1">
                  <c:v>125</c:v>
                </c:pt>
                <c:pt idx="2">
                  <c:v>119</c:v>
                </c:pt>
                <c:pt idx="3">
                  <c:v>128</c:v>
                </c:pt>
                <c:pt idx="4">
                  <c:v>99</c:v>
                </c:pt>
                <c:pt idx="5">
                  <c:v>126</c:v>
                </c:pt>
                <c:pt idx="6">
                  <c:v>107</c:v>
                </c:pt>
                <c:pt idx="7">
                  <c:v>131</c:v>
                </c:pt>
                <c:pt idx="8">
                  <c:v>126</c:v>
                </c:pt>
                <c:pt idx="9">
                  <c:v>135</c:v>
                </c:pt>
                <c:pt idx="10">
                  <c:v>160</c:v>
                </c:pt>
                <c:pt idx="11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'20.08 Sironko-Mbale'!$AD$9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Sironko-Mbale'!$AD$10:$AD$21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7296"/>
        <c:axId val="89297280"/>
      </c:lineChart>
      <c:catAx>
        <c:axId val="892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97280"/>
        <c:crosses val="autoZero"/>
        <c:auto val="1"/>
        <c:lblAlgn val="ctr"/>
        <c:lblOffset val="100"/>
        <c:noMultiLvlLbl val="0"/>
      </c:catAx>
      <c:valAx>
        <c:axId val="89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928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Sironko-Mbale'!$C$60:$N$60</c:f>
              <c:numCache>
                <c:formatCode>0.00%</c:formatCode>
                <c:ptCount val="12"/>
                <c:pt idx="0">
                  <c:v>0.19699042407660738</c:v>
                </c:pt>
                <c:pt idx="1">
                  <c:v>7.3871409028727769E-2</c:v>
                </c:pt>
                <c:pt idx="2">
                  <c:v>0.34746922024623805</c:v>
                </c:pt>
                <c:pt idx="3">
                  <c:v>0.17236662106703146</c:v>
                </c:pt>
                <c:pt idx="4">
                  <c:v>5.4719562243502051E-3</c:v>
                </c:pt>
                <c:pt idx="5">
                  <c:v>4.1039671682626538E-3</c:v>
                </c:pt>
                <c:pt idx="6">
                  <c:v>0.18741450068399454</c:v>
                </c:pt>
                <c:pt idx="7">
                  <c:v>1.2311901504787962E-2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Mbale-Sironko'!$AE$9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Mbale-Sironko'!$AE$10:$AE$21</c:f>
              <c:numCache>
                <c:formatCode>0</c:formatCode>
                <c:ptCount val="12"/>
                <c:pt idx="0">
                  <c:v>29</c:v>
                </c:pt>
                <c:pt idx="1">
                  <c:v>59</c:v>
                </c:pt>
                <c:pt idx="2">
                  <c:v>63</c:v>
                </c:pt>
                <c:pt idx="3">
                  <c:v>68</c:v>
                </c:pt>
                <c:pt idx="4">
                  <c:v>52</c:v>
                </c:pt>
                <c:pt idx="5">
                  <c:v>71</c:v>
                </c:pt>
                <c:pt idx="6">
                  <c:v>63</c:v>
                </c:pt>
                <c:pt idx="7">
                  <c:v>60</c:v>
                </c:pt>
                <c:pt idx="8">
                  <c:v>63</c:v>
                </c:pt>
                <c:pt idx="9">
                  <c:v>60</c:v>
                </c:pt>
                <c:pt idx="10">
                  <c:v>71</c:v>
                </c:pt>
                <c:pt idx="11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'20.08 Mbale-Sironko'!$AF$9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Mbale-Sironko'!$AF$10:$AF$21</c:f>
              <c:numCache>
                <c:formatCode>0</c:formatCode>
                <c:ptCount val="12"/>
                <c:pt idx="0">
                  <c:v>82</c:v>
                </c:pt>
                <c:pt idx="1">
                  <c:v>155</c:v>
                </c:pt>
                <c:pt idx="2">
                  <c:v>189</c:v>
                </c:pt>
                <c:pt idx="3">
                  <c:v>209</c:v>
                </c:pt>
                <c:pt idx="4">
                  <c:v>179</c:v>
                </c:pt>
                <c:pt idx="5">
                  <c:v>195</c:v>
                </c:pt>
                <c:pt idx="6">
                  <c:v>186</c:v>
                </c:pt>
                <c:pt idx="7">
                  <c:v>174</c:v>
                </c:pt>
                <c:pt idx="8">
                  <c:v>165</c:v>
                </c:pt>
                <c:pt idx="9">
                  <c:v>193</c:v>
                </c:pt>
                <c:pt idx="10">
                  <c:v>211</c:v>
                </c:pt>
                <c:pt idx="11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8832"/>
        <c:axId val="110890368"/>
      </c:lineChart>
      <c:catAx>
        <c:axId val="110888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90368"/>
        <c:crosses val="autoZero"/>
        <c:auto val="1"/>
        <c:lblAlgn val="ctr"/>
        <c:lblOffset val="100"/>
        <c:noMultiLvlLbl val="0"/>
      </c:catAx>
      <c:valAx>
        <c:axId val="11089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08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Mbale-Sironko'!$C$59:$N$59</c:f>
              <c:numCache>
                <c:formatCode>0.0%</c:formatCode>
                <c:ptCount val="12"/>
                <c:pt idx="0">
                  <c:v>7.3694029850746273E-2</c:v>
                </c:pt>
                <c:pt idx="1">
                  <c:v>2.8451492537313432E-2</c:v>
                </c:pt>
                <c:pt idx="2">
                  <c:v>0.12639925373134328</c:v>
                </c:pt>
                <c:pt idx="3">
                  <c:v>4.617537313432836E-2</c:v>
                </c:pt>
                <c:pt idx="4">
                  <c:v>2.798507462686567E-3</c:v>
                </c:pt>
                <c:pt idx="5">
                  <c:v>1.3992537313432835E-3</c:v>
                </c:pt>
                <c:pt idx="6">
                  <c:v>5.7835820895522388E-2</c:v>
                </c:pt>
                <c:pt idx="7">
                  <c:v>4.1977611940298507E-3</c:v>
                </c:pt>
                <c:pt idx="8">
                  <c:v>1.8656716417910447E-3</c:v>
                </c:pt>
                <c:pt idx="9">
                  <c:v>0</c:v>
                </c:pt>
                <c:pt idx="10">
                  <c:v>0.65718283582089554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'20.08 Mbale-Sironko'!$S$9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Mbale-Sironko'!$S$10:$S$21</c:f>
              <c:numCache>
                <c:formatCode>0</c:formatCode>
                <c:ptCount val="12"/>
                <c:pt idx="0">
                  <c:v>4</c:v>
                </c:pt>
                <c:pt idx="1">
                  <c:v>13</c:v>
                </c:pt>
                <c:pt idx="2">
                  <c:v>15</c:v>
                </c:pt>
                <c:pt idx="3">
                  <c:v>22</c:v>
                </c:pt>
                <c:pt idx="4">
                  <c:v>13</c:v>
                </c:pt>
                <c:pt idx="5">
                  <c:v>17</c:v>
                </c:pt>
                <c:pt idx="6">
                  <c:v>12</c:v>
                </c:pt>
                <c:pt idx="7">
                  <c:v>5</c:v>
                </c:pt>
                <c:pt idx="8">
                  <c:v>7</c:v>
                </c:pt>
                <c:pt idx="9">
                  <c:v>21</c:v>
                </c:pt>
                <c:pt idx="10">
                  <c:v>14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'20.08 Mbale-Sironko'!$T$9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'20.08 Mbale-Sironko'!$T$10:$T$21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'20.08 Mbale-Sironko'!$U$9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Mbale-Sironko'!$U$10:$U$21</c:f>
              <c:numCache>
                <c:formatCode>0</c:formatCode>
                <c:ptCount val="12"/>
                <c:pt idx="0">
                  <c:v>9</c:v>
                </c:pt>
                <c:pt idx="1">
                  <c:v>20</c:v>
                </c:pt>
                <c:pt idx="2">
                  <c:v>25</c:v>
                </c:pt>
                <c:pt idx="3">
                  <c:v>25</c:v>
                </c:pt>
                <c:pt idx="4">
                  <c:v>21</c:v>
                </c:pt>
                <c:pt idx="5">
                  <c:v>23</c:v>
                </c:pt>
                <c:pt idx="6">
                  <c:v>25</c:v>
                </c:pt>
                <c:pt idx="7">
                  <c:v>29</c:v>
                </c:pt>
                <c:pt idx="8">
                  <c:v>28</c:v>
                </c:pt>
                <c:pt idx="9">
                  <c:v>13</c:v>
                </c:pt>
                <c:pt idx="10">
                  <c:v>24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'20.08 Mbale-Sironko'!$V$9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Mbale-Sironko'!$V$10:$V$21</c:f>
              <c:numCache>
                <c:formatCode>0</c:formatCode>
                <c:ptCount val="12"/>
                <c:pt idx="0">
                  <c:v>3</c:v>
                </c:pt>
                <c:pt idx="1">
                  <c:v>13</c:v>
                </c:pt>
                <c:pt idx="2">
                  <c:v>7</c:v>
                </c:pt>
                <c:pt idx="3">
                  <c:v>2</c:v>
                </c:pt>
                <c:pt idx="4">
                  <c:v>7</c:v>
                </c:pt>
                <c:pt idx="5">
                  <c:v>12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'20.08 Mbale-Sironko'!$W$9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'20.08 Mbale-Sironko'!$X$9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'20.08 Mbale-Sironko'!$Y$9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Mbale-Sironko'!$Y$10:$Y$21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5</c:v>
                </c:pt>
                <c:pt idx="5">
                  <c:v>10</c:v>
                </c:pt>
                <c:pt idx="6">
                  <c:v>12</c:v>
                </c:pt>
                <c:pt idx="7">
                  <c:v>9</c:v>
                </c:pt>
                <c:pt idx="8">
                  <c:v>9</c:v>
                </c:pt>
                <c:pt idx="9">
                  <c:v>14</c:v>
                </c:pt>
                <c:pt idx="10">
                  <c:v>13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'20.08 Mbale-Sironko'!$Z$9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'20.08 Mbale-Sironko'!$AA$9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'20.08 Mbale-Sironko'!$AB$9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'20.08 Mbale-Sironko'!$AC$9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Mbale-Sironko'!$AC$10:$AC$21</c:f>
              <c:numCache>
                <c:formatCode>0</c:formatCode>
                <c:ptCount val="12"/>
                <c:pt idx="0">
                  <c:v>53</c:v>
                </c:pt>
                <c:pt idx="1">
                  <c:v>96</c:v>
                </c:pt>
                <c:pt idx="2">
                  <c:v>126</c:v>
                </c:pt>
                <c:pt idx="3">
                  <c:v>141</c:v>
                </c:pt>
                <c:pt idx="4">
                  <c:v>127</c:v>
                </c:pt>
                <c:pt idx="5">
                  <c:v>124</c:v>
                </c:pt>
                <c:pt idx="6">
                  <c:v>123</c:v>
                </c:pt>
                <c:pt idx="7">
                  <c:v>114</c:v>
                </c:pt>
                <c:pt idx="8">
                  <c:v>102</c:v>
                </c:pt>
                <c:pt idx="9">
                  <c:v>133</c:v>
                </c:pt>
                <c:pt idx="10">
                  <c:v>140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'20.08 Mbale-Sironko'!$AD$9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'20.08 Mbale-Sironko'!$AD$10:$AD$21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40864"/>
        <c:axId val="111142400"/>
      </c:lineChart>
      <c:catAx>
        <c:axId val="1111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2400"/>
        <c:crosses val="autoZero"/>
        <c:auto val="1"/>
        <c:lblAlgn val="ctr"/>
        <c:lblOffset val="100"/>
        <c:noMultiLvlLbl val="0"/>
      </c:catAx>
      <c:valAx>
        <c:axId val="1111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1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'20.08 Mbale-Sironko'!$C$60:$N$60</c:f>
              <c:numCache>
                <c:formatCode>0.00%</c:formatCode>
                <c:ptCount val="12"/>
                <c:pt idx="0">
                  <c:v>0.21496598639455783</c:v>
                </c:pt>
                <c:pt idx="1">
                  <c:v>8.2993197278911565E-2</c:v>
                </c:pt>
                <c:pt idx="2">
                  <c:v>0.36870748299319728</c:v>
                </c:pt>
                <c:pt idx="3">
                  <c:v>0.13469387755102041</c:v>
                </c:pt>
                <c:pt idx="4">
                  <c:v>8.1632653061224497E-3</c:v>
                </c:pt>
                <c:pt idx="5">
                  <c:v>4.0816326530612249E-3</c:v>
                </c:pt>
                <c:pt idx="6">
                  <c:v>0.16870748299319727</c:v>
                </c:pt>
                <c:pt idx="7">
                  <c:v>1.2244897959183673E-2</c:v>
                </c:pt>
                <c:pt idx="8">
                  <c:v>5.4421768707482989E-3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Sironko-Mbale'!$AE$10:$AE$21</c:f>
              <c:numCache>
                <c:formatCode>0</c:formatCode>
                <c:ptCount val="12"/>
                <c:pt idx="0">
                  <c:v>31</c:v>
                </c:pt>
                <c:pt idx="1">
                  <c:v>66</c:v>
                </c:pt>
                <c:pt idx="2">
                  <c:v>65</c:v>
                </c:pt>
                <c:pt idx="3">
                  <c:v>66</c:v>
                </c:pt>
                <c:pt idx="4">
                  <c:v>56</c:v>
                </c:pt>
                <c:pt idx="5">
                  <c:v>89</c:v>
                </c:pt>
                <c:pt idx="6">
                  <c:v>69</c:v>
                </c:pt>
                <c:pt idx="7">
                  <c:v>84</c:v>
                </c:pt>
                <c:pt idx="8">
                  <c:v>84</c:v>
                </c:pt>
                <c:pt idx="9">
                  <c:v>104</c:v>
                </c:pt>
                <c:pt idx="10">
                  <c:v>168</c:v>
                </c:pt>
                <c:pt idx="11">
                  <c:v>115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'21.08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Sironko-Mbale'!$AF$10:$AF$21</c:f>
              <c:numCache>
                <c:formatCode>0</c:formatCode>
                <c:ptCount val="12"/>
                <c:pt idx="0">
                  <c:v>127</c:v>
                </c:pt>
                <c:pt idx="1">
                  <c:v>175</c:v>
                </c:pt>
                <c:pt idx="2">
                  <c:v>176</c:v>
                </c:pt>
                <c:pt idx="3">
                  <c:v>182</c:v>
                </c:pt>
                <c:pt idx="4">
                  <c:v>165</c:v>
                </c:pt>
                <c:pt idx="5">
                  <c:v>199</c:v>
                </c:pt>
                <c:pt idx="6">
                  <c:v>172</c:v>
                </c:pt>
                <c:pt idx="7">
                  <c:v>177</c:v>
                </c:pt>
                <c:pt idx="8">
                  <c:v>174</c:v>
                </c:pt>
                <c:pt idx="9">
                  <c:v>242</c:v>
                </c:pt>
                <c:pt idx="10">
                  <c:v>315</c:v>
                </c:pt>
                <c:pt idx="11">
                  <c:v>243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52832"/>
        <c:axId val="111403776"/>
      </c:lineChart>
      <c:catAx>
        <c:axId val="111352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403776"/>
        <c:crosses val="autoZero"/>
        <c:auto val="1"/>
        <c:lblAlgn val="ctr"/>
        <c:lblOffset val="100"/>
        <c:noMultiLvlLbl val="0"/>
      </c:catAx>
      <c:valAx>
        <c:axId val="111403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35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Sironko-Mbale'!$C$59:$N$59</c:f>
              <c:numCache>
                <c:formatCode>0.0%</c:formatCode>
                <c:ptCount val="12"/>
                <c:pt idx="0">
                  <c:v>8.5215168299957386E-2</c:v>
                </c:pt>
                <c:pt idx="1">
                  <c:v>3.7068598210481467E-2</c:v>
                </c:pt>
                <c:pt idx="2">
                  <c:v>0.15296122709842352</c:v>
                </c:pt>
                <c:pt idx="3">
                  <c:v>7.7545803152961224E-2</c:v>
                </c:pt>
                <c:pt idx="4">
                  <c:v>3.4086067319982955E-3</c:v>
                </c:pt>
                <c:pt idx="5">
                  <c:v>2.1303792074989347E-3</c:v>
                </c:pt>
                <c:pt idx="6">
                  <c:v>6.0076693651469962E-2</c:v>
                </c:pt>
                <c:pt idx="7">
                  <c:v>6.3911376224968048E-3</c:v>
                </c:pt>
                <c:pt idx="8">
                  <c:v>0</c:v>
                </c:pt>
                <c:pt idx="9">
                  <c:v>0</c:v>
                </c:pt>
                <c:pt idx="10">
                  <c:v>0.57520238602471241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Sironko-Mbale'!$S$9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'21.08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Sironko-Mbale'!$S$10:$S$21</c:f>
              <c:numCache>
                <c:formatCode>0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13</c:v>
                </c:pt>
                <c:pt idx="3">
                  <c:v>15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17</c:v>
                </c:pt>
                <c:pt idx="9">
                  <c:v>24</c:v>
                </c:pt>
                <c:pt idx="10">
                  <c:v>33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'21.08 Sironko-Mbale'!$T$9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'21.08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Sironko-Mbale'!$T$10:$T$21</c:f>
              <c:numCache>
                <c:formatCode>0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17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'21.08 Sironko-Mbale'!$U$9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Sironko-Mbale'!$U$10:$U$21</c:f>
              <c:numCache>
                <c:formatCode>0</c:formatCode>
                <c:ptCount val="12"/>
                <c:pt idx="0">
                  <c:v>9</c:v>
                </c:pt>
                <c:pt idx="1">
                  <c:v>25</c:v>
                </c:pt>
                <c:pt idx="2">
                  <c:v>31</c:v>
                </c:pt>
                <c:pt idx="3">
                  <c:v>25</c:v>
                </c:pt>
                <c:pt idx="4">
                  <c:v>21</c:v>
                </c:pt>
                <c:pt idx="5">
                  <c:v>34</c:v>
                </c:pt>
                <c:pt idx="6">
                  <c:v>24</c:v>
                </c:pt>
                <c:pt idx="7">
                  <c:v>36</c:v>
                </c:pt>
                <c:pt idx="8">
                  <c:v>22</c:v>
                </c:pt>
                <c:pt idx="9">
                  <c:v>27</c:v>
                </c:pt>
                <c:pt idx="10">
                  <c:v>65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'21.08 Sironko-Mbale'!$V$9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Sironko-Mbale'!$V$10:$V$21</c:f>
              <c:numCache>
                <c:formatCode>0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8</c:v>
                </c:pt>
                <c:pt idx="3">
                  <c:v>14</c:v>
                </c:pt>
                <c:pt idx="4">
                  <c:v>11</c:v>
                </c:pt>
                <c:pt idx="5">
                  <c:v>15</c:v>
                </c:pt>
                <c:pt idx="6">
                  <c:v>14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24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'21.08 Sironko-Mbale'!$W$9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'21.08 Sironko-Mbale'!$X$9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'21.08 Sironko-Mbale'!$Y$9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Sironko-Mbale'!$Y$10:$Y$21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17</c:v>
                </c:pt>
                <c:pt idx="6">
                  <c:v>14</c:v>
                </c:pt>
                <c:pt idx="7">
                  <c:v>12</c:v>
                </c:pt>
                <c:pt idx="8">
                  <c:v>16</c:v>
                </c:pt>
                <c:pt idx="9">
                  <c:v>17</c:v>
                </c:pt>
                <c:pt idx="10">
                  <c:v>23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'21.08 Sironko-Mbale'!$Z$9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'21.08 Sironko-Mbale'!$AA$9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'21.08 Sironko-Mbale'!$AB$9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'21.08 Sironko-Mbale'!$AC$9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Sironko-Mbale'!$AC$10:$AC$21</c:f>
              <c:numCache>
                <c:formatCode>0</c:formatCode>
                <c:ptCount val="12"/>
                <c:pt idx="0">
                  <c:v>96</c:v>
                </c:pt>
                <c:pt idx="1">
                  <c:v>109</c:v>
                </c:pt>
                <c:pt idx="2">
                  <c:v>111</c:v>
                </c:pt>
                <c:pt idx="3">
                  <c:v>116</c:v>
                </c:pt>
                <c:pt idx="4">
                  <c:v>109</c:v>
                </c:pt>
                <c:pt idx="5">
                  <c:v>110</c:v>
                </c:pt>
                <c:pt idx="6">
                  <c:v>103</c:v>
                </c:pt>
                <c:pt idx="7">
                  <c:v>93</c:v>
                </c:pt>
                <c:pt idx="8">
                  <c:v>90</c:v>
                </c:pt>
                <c:pt idx="9">
                  <c:v>138</c:v>
                </c:pt>
                <c:pt idx="10">
                  <c:v>147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'21.08 Sironko-Mbale'!$AD$9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'21.08 Sironko-Mbale'!$AD$10:$AD$21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52320"/>
        <c:axId val="111753856"/>
      </c:lineChart>
      <c:catAx>
        <c:axId val="1117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3856"/>
        <c:crosses val="autoZero"/>
        <c:auto val="1"/>
        <c:lblAlgn val="ctr"/>
        <c:lblOffset val="100"/>
        <c:noMultiLvlLbl val="0"/>
      </c:catAx>
      <c:valAx>
        <c:axId val="11175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75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Sironko-Mbale'!$C$60:$N$60</c:f>
              <c:numCache>
                <c:formatCode>0.00%</c:formatCode>
                <c:ptCount val="12"/>
                <c:pt idx="0">
                  <c:v>0.20060180541624875</c:v>
                </c:pt>
                <c:pt idx="1">
                  <c:v>8.7261785356068211E-2</c:v>
                </c:pt>
                <c:pt idx="2">
                  <c:v>0.36008024072216649</c:v>
                </c:pt>
                <c:pt idx="3">
                  <c:v>0.18254764292878636</c:v>
                </c:pt>
                <c:pt idx="4">
                  <c:v>8.0240722166499499E-3</c:v>
                </c:pt>
                <c:pt idx="5">
                  <c:v>5.0150451354062184E-3</c:v>
                </c:pt>
                <c:pt idx="6">
                  <c:v>0.14142427281845538</c:v>
                </c:pt>
                <c:pt idx="7">
                  <c:v>1.5045135406218655E-2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'21.08 Mbale-Sironko'!$AE$9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Mbale-Sironko'!$AE$10:$AE$21</c:f>
              <c:numCache>
                <c:formatCode>0</c:formatCode>
                <c:ptCount val="12"/>
                <c:pt idx="0">
                  <c:v>39</c:v>
                </c:pt>
                <c:pt idx="1">
                  <c:v>63</c:v>
                </c:pt>
                <c:pt idx="2">
                  <c:v>87</c:v>
                </c:pt>
                <c:pt idx="3">
                  <c:v>117</c:v>
                </c:pt>
                <c:pt idx="4">
                  <c:v>116</c:v>
                </c:pt>
                <c:pt idx="5">
                  <c:v>102</c:v>
                </c:pt>
                <c:pt idx="6">
                  <c:v>121</c:v>
                </c:pt>
                <c:pt idx="7">
                  <c:v>109</c:v>
                </c:pt>
                <c:pt idx="8">
                  <c:v>95</c:v>
                </c:pt>
                <c:pt idx="9">
                  <c:v>85</c:v>
                </c:pt>
                <c:pt idx="10">
                  <c:v>87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'21.08 Mbale-Sironko'!$AF$9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'21.08 Mbale-Sironko'!$AF$10:$AF$21</c:f>
              <c:numCache>
                <c:formatCode>0</c:formatCode>
                <c:ptCount val="12"/>
                <c:pt idx="0">
                  <c:v>87</c:v>
                </c:pt>
                <c:pt idx="1">
                  <c:v>145</c:v>
                </c:pt>
                <c:pt idx="2">
                  <c:v>203</c:v>
                </c:pt>
                <c:pt idx="3">
                  <c:v>252</c:v>
                </c:pt>
                <c:pt idx="4">
                  <c:v>268</c:v>
                </c:pt>
                <c:pt idx="5">
                  <c:v>230</c:v>
                </c:pt>
                <c:pt idx="6">
                  <c:v>259</c:v>
                </c:pt>
                <c:pt idx="7">
                  <c:v>182</c:v>
                </c:pt>
                <c:pt idx="8">
                  <c:v>220</c:v>
                </c:pt>
                <c:pt idx="9">
                  <c:v>193</c:v>
                </c:pt>
                <c:pt idx="10">
                  <c:v>239</c:v>
                </c:pt>
                <c:pt idx="11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41664"/>
        <c:axId val="111843200"/>
      </c:lineChart>
      <c:catAx>
        <c:axId val="111841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3200"/>
        <c:crosses val="autoZero"/>
        <c:auto val="1"/>
        <c:lblAlgn val="ctr"/>
        <c:lblOffset val="100"/>
        <c:noMultiLvlLbl val="0"/>
      </c:catAx>
      <c:valAx>
        <c:axId val="1118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1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Mbale-Sironko'!$C$59:$N$59</c:f>
              <c:numCache>
                <c:formatCode>0.0%</c:formatCode>
                <c:ptCount val="12"/>
                <c:pt idx="0">
                  <c:v>8.4867894315452358E-2</c:v>
                </c:pt>
                <c:pt idx="1">
                  <c:v>3.8831064851881508E-2</c:v>
                </c:pt>
                <c:pt idx="2">
                  <c:v>0.16012810248198558</c:v>
                </c:pt>
                <c:pt idx="3">
                  <c:v>7.7662129703763016E-2</c:v>
                </c:pt>
                <c:pt idx="4">
                  <c:v>3.2025620496397116E-3</c:v>
                </c:pt>
                <c:pt idx="5">
                  <c:v>3.2025620496397116E-3</c:v>
                </c:pt>
                <c:pt idx="6">
                  <c:v>6.8454763811048841E-2</c:v>
                </c:pt>
                <c:pt idx="7">
                  <c:v>4.0032025620496394E-3</c:v>
                </c:pt>
                <c:pt idx="8">
                  <c:v>4.0032025620496394E-4</c:v>
                </c:pt>
                <c:pt idx="9">
                  <c:v>0</c:v>
                </c:pt>
                <c:pt idx="10">
                  <c:v>0.55924739791833467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'21.08 Mbale-Sironko'!$C$60:$N$60</c:f>
              <c:numCache>
                <c:formatCode>0.00%</c:formatCode>
                <c:ptCount val="12"/>
                <c:pt idx="0">
                  <c:v>0.19255222524977295</c:v>
                </c:pt>
                <c:pt idx="1">
                  <c:v>8.8101725703905537E-2</c:v>
                </c:pt>
                <c:pt idx="2">
                  <c:v>0.36330608537693004</c:v>
                </c:pt>
                <c:pt idx="3">
                  <c:v>0.17620345140781107</c:v>
                </c:pt>
                <c:pt idx="4">
                  <c:v>7.266121707538601E-3</c:v>
                </c:pt>
                <c:pt idx="5">
                  <c:v>7.266121707538601E-3</c:v>
                </c:pt>
                <c:pt idx="6">
                  <c:v>0.15531335149863759</c:v>
                </c:pt>
                <c:pt idx="7">
                  <c:v>9.0826521344232521E-3</c:v>
                </c:pt>
                <c:pt idx="8">
                  <c:v>9.0826521344232513E-4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Sironko-Mbale-24h'!$AE$9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Sironko-Mbale-24h'!$R$10:$R$33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'22.08 Sironko-Mbale-24h'!$AE$10:$AE$33</c:f>
              <c:numCache>
                <c:formatCode>0</c:formatCode>
                <c:ptCount val="24"/>
                <c:pt idx="0">
                  <c:v>34</c:v>
                </c:pt>
                <c:pt idx="1">
                  <c:v>53</c:v>
                </c:pt>
                <c:pt idx="2">
                  <c:v>64</c:v>
                </c:pt>
                <c:pt idx="3">
                  <c:v>49</c:v>
                </c:pt>
                <c:pt idx="4">
                  <c:v>58</c:v>
                </c:pt>
                <c:pt idx="5">
                  <c:v>62</c:v>
                </c:pt>
                <c:pt idx="6">
                  <c:v>46</c:v>
                </c:pt>
                <c:pt idx="7">
                  <c:v>69</c:v>
                </c:pt>
                <c:pt idx="8">
                  <c:v>76</c:v>
                </c:pt>
                <c:pt idx="9">
                  <c:v>75</c:v>
                </c:pt>
                <c:pt idx="10">
                  <c:v>89</c:v>
                </c:pt>
                <c:pt idx="11">
                  <c:v>82</c:v>
                </c:pt>
                <c:pt idx="12">
                  <c:v>83</c:v>
                </c:pt>
                <c:pt idx="13">
                  <c:v>104</c:v>
                </c:pt>
                <c:pt idx="14">
                  <c:v>27</c:v>
                </c:pt>
                <c:pt idx="15">
                  <c:v>23</c:v>
                </c:pt>
                <c:pt idx="16">
                  <c:v>15</c:v>
                </c:pt>
                <c:pt idx="17">
                  <c:v>8</c:v>
                </c:pt>
                <c:pt idx="18">
                  <c:v>11</c:v>
                </c:pt>
                <c:pt idx="19">
                  <c:v>8</c:v>
                </c:pt>
                <c:pt idx="20">
                  <c:v>6</c:v>
                </c:pt>
                <c:pt idx="21">
                  <c:v>11</c:v>
                </c:pt>
                <c:pt idx="22">
                  <c:v>11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'22.08 Sironko-Mbale-24h'!$AF$9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Sironko-Mbale-24h'!$R$10:$R$33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'22.08 Sironko-Mbale-24h'!$AF$10:$AF$33</c:f>
              <c:numCache>
                <c:formatCode>0</c:formatCode>
                <c:ptCount val="24"/>
                <c:pt idx="0">
                  <c:v>176</c:v>
                </c:pt>
                <c:pt idx="1">
                  <c:v>178</c:v>
                </c:pt>
                <c:pt idx="2">
                  <c:v>179</c:v>
                </c:pt>
                <c:pt idx="3">
                  <c:v>171</c:v>
                </c:pt>
                <c:pt idx="4">
                  <c:v>165</c:v>
                </c:pt>
                <c:pt idx="5">
                  <c:v>169</c:v>
                </c:pt>
                <c:pt idx="6">
                  <c:v>144</c:v>
                </c:pt>
                <c:pt idx="7">
                  <c:v>164</c:v>
                </c:pt>
                <c:pt idx="8">
                  <c:v>176</c:v>
                </c:pt>
                <c:pt idx="9">
                  <c:v>208</c:v>
                </c:pt>
                <c:pt idx="10">
                  <c:v>203</c:v>
                </c:pt>
                <c:pt idx="11">
                  <c:v>177</c:v>
                </c:pt>
                <c:pt idx="12">
                  <c:v>173</c:v>
                </c:pt>
                <c:pt idx="13">
                  <c:v>167</c:v>
                </c:pt>
                <c:pt idx="14">
                  <c:v>51</c:v>
                </c:pt>
                <c:pt idx="15">
                  <c:v>37</c:v>
                </c:pt>
                <c:pt idx="16">
                  <c:v>20</c:v>
                </c:pt>
                <c:pt idx="17">
                  <c:v>15</c:v>
                </c:pt>
                <c:pt idx="18">
                  <c:v>13</c:v>
                </c:pt>
                <c:pt idx="19">
                  <c:v>12</c:v>
                </c:pt>
                <c:pt idx="20">
                  <c:v>7</c:v>
                </c:pt>
                <c:pt idx="21">
                  <c:v>16</c:v>
                </c:pt>
                <c:pt idx="22">
                  <c:v>20</c:v>
                </c:pt>
                <c:pt idx="23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10240"/>
        <c:axId val="114411776"/>
      </c:lineChart>
      <c:catAx>
        <c:axId val="114410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1776"/>
        <c:crosses val="autoZero"/>
        <c:auto val="1"/>
        <c:lblAlgn val="ctr"/>
        <c:lblOffset val="100"/>
        <c:noMultiLvlLbl val="0"/>
      </c:catAx>
      <c:valAx>
        <c:axId val="114411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44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Sironko-Mbale-24h'!$C$9:$N$9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Sironko-Mbale-24h'!$C$107:$N$107</c:f>
              <c:numCache>
                <c:formatCode>0.0%</c:formatCode>
                <c:ptCount val="12"/>
                <c:pt idx="0">
                  <c:v>6.5482796892341849E-2</c:v>
                </c:pt>
                <c:pt idx="1">
                  <c:v>2.0717721050684423E-2</c:v>
                </c:pt>
                <c:pt idx="2">
                  <c:v>0.12282648908620052</c:v>
                </c:pt>
                <c:pt idx="3">
                  <c:v>8.2870884202737694E-2</c:v>
                </c:pt>
                <c:pt idx="4">
                  <c:v>3.6995930447650759E-3</c:v>
                </c:pt>
                <c:pt idx="5">
                  <c:v>7.3991860895301518E-4</c:v>
                </c:pt>
                <c:pt idx="6">
                  <c:v>0.10543840177580466</c:v>
                </c:pt>
                <c:pt idx="7">
                  <c:v>1.849796522382538E-3</c:v>
                </c:pt>
                <c:pt idx="8">
                  <c:v>3.6995930447650759E-4</c:v>
                </c:pt>
                <c:pt idx="9">
                  <c:v>0</c:v>
                </c:pt>
                <c:pt idx="10">
                  <c:v>0.59563448020717724</c:v>
                </c:pt>
                <c:pt idx="11">
                  <c:v>3.6995930447650759E-4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Sironko-Mbale-24h'!$C$9:$N$9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Sironko-Mbale-24h'!$C$108:$N$108</c:f>
              <c:numCache>
                <c:formatCode>0.00%</c:formatCode>
                <c:ptCount val="12"/>
                <c:pt idx="0">
                  <c:v>0.16193961573650503</c:v>
                </c:pt>
                <c:pt idx="1">
                  <c:v>5.123513266239707E-2</c:v>
                </c:pt>
                <c:pt idx="2">
                  <c:v>0.30375114364135408</c:v>
                </c:pt>
                <c:pt idx="3">
                  <c:v>0.20494053064958828</c:v>
                </c:pt>
                <c:pt idx="4">
                  <c:v>9.1491308325709064E-3</c:v>
                </c:pt>
                <c:pt idx="5">
                  <c:v>1.8298261665141812E-3</c:v>
                </c:pt>
                <c:pt idx="6">
                  <c:v>0.26075022872827081</c:v>
                </c:pt>
                <c:pt idx="7">
                  <c:v>4.5745654162854532E-3</c:v>
                </c:pt>
                <c:pt idx="8">
                  <c:v>9.1491308325709062E-4</c:v>
                </c:pt>
                <c:pt idx="9">
                  <c:v>0</c:v>
                </c:pt>
                <c:pt idx="11">
                  <c:v>9.1491308325709062E-4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'22.08 Mbale-Sironko-24h'!$AE$9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'22.08 Mbale-Sironko-24h'!$R$10:$R$33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'22.08 Mbale-Sironko-24h'!$AE$10:$AE$33</c:f>
              <c:numCache>
                <c:formatCode>0</c:formatCode>
                <c:ptCount val="24"/>
                <c:pt idx="0">
                  <c:v>57</c:v>
                </c:pt>
                <c:pt idx="1">
                  <c:v>83</c:v>
                </c:pt>
                <c:pt idx="2">
                  <c:v>94</c:v>
                </c:pt>
                <c:pt idx="3">
                  <c:v>72</c:v>
                </c:pt>
                <c:pt idx="4">
                  <c:v>78</c:v>
                </c:pt>
                <c:pt idx="5">
                  <c:v>68</c:v>
                </c:pt>
                <c:pt idx="6">
                  <c:v>72</c:v>
                </c:pt>
                <c:pt idx="7">
                  <c:v>59</c:v>
                </c:pt>
                <c:pt idx="8">
                  <c:v>59</c:v>
                </c:pt>
                <c:pt idx="9">
                  <c:v>69</c:v>
                </c:pt>
                <c:pt idx="10">
                  <c:v>82</c:v>
                </c:pt>
                <c:pt idx="11">
                  <c:v>68</c:v>
                </c:pt>
                <c:pt idx="12">
                  <c:v>59</c:v>
                </c:pt>
                <c:pt idx="13">
                  <c:v>45</c:v>
                </c:pt>
                <c:pt idx="14">
                  <c:v>40</c:v>
                </c:pt>
                <c:pt idx="15">
                  <c:v>15</c:v>
                </c:pt>
                <c:pt idx="16">
                  <c:v>20</c:v>
                </c:pt>
                <c:pt idx="17">
                  <c:v>10</c:v>
                </c:pt>
                <c:pt idx="18">
                  <c:v>8</c:v>
                </c:pt>
                <c:pt idx="19">
                  <c:v>7</c:v>
                </c:pt>
                <c:pt idx="20">
                  <c:v>5</c:v>
                </c:pt>
                <c:pt idx="21">
                  <c:v>8</c:v>
                </c:pt>
                <c:pt idx="22">
                  <c:v>12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'22.08 Mbale-Sironko-24h'!$AF$9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'22.08 Mbale-Sironko-24h'!$R$10:$R$33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'22.08 Mbale-Sironko-24h'!$AF$10:$AF$33</c:f>
              <c:numCache>
                <c:formatCode>0</c:formatCode>
                <c:ptCount val="24"/>
                <c:pt idx="0">
                  <c:v>131</c:v>
                </c:pt>
                <c:pt idx="1">
                  <c:v>183</c:v>
                </c:pt>
                <c:pt idx="2">
                  <c:v>208</c:v>
                </c:pt>
                <c:pt idx="3">
                  <c:v>181</c:v>
                </c:pt>
                <c:pt idx="4">
                  <c:v>183</c:v>
                </c:pt>
                <c:pt idx="5">
                  <c:v>200</c:v>
                </c:pt>
                <c:pt idx="6">
                  <c:v>170</c:v>
                </c:pt>
                <c:pt idx="7">
                  <c:v>142</c:v>
                </c:pt>
                <c:pt idx="8">
                  <c:v>167</c:v>
                </c:pt>
                <c:pt idx="9">
                  <c:v>146</c:v>
                </c:pt>
                <c:pt idx="10">
                  <c:v>207</c:v>
                </c:pt>
                <c:pt idx="11">
                  <c:v>163</c:v>
                </c:pt>
                <c:pt idx="12">
                  <c:v>162</c:v>
                </c:pt>
                <c:pt idx="13">
                  <c:v>122</c:v>
                </c:pt>
                <c:pt idx="14">
                  <c:v>103</c:v>
                </c:pt>
                <c:pt idx="15">
                  <c:v>51</c:v>
                </c:pt>
                <c:pt idx="16">
                  <c:v>33</c:v>
                </c:pt>
                <c:pt idx="17">
                  <c:v>19</c:v>
                </c:pt>
                <c:pt idx="18">
                  <c:v>11</c:v>
                </c:pt>
                <c:pt idx="19">
                  <c:v>11</c:v>
                </c:pt>
                <c:pt idx="20">
                  <c:v>6</c:v>
                </c:pt>
                <c:pt idx="21">
                  <c:v>11</c:v>
                </c:pt>
                <c:pt idx="22">
                  <c:v>17</c:v>
                </c:pt>
                <c:pt idx="23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6240"/>
        <c:axId val="115888512"/>
      </c:lineChart>
      <c:catAx>
        <c:axId val="115866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88512"/>
        <c:crosses val="autoZero"/>
        <c:auto val="1"/>
        <c:lblAlgn val="ctr"/>
        <c:lblOffset val="100"/>
        <c:noMultiLvlLbl val="0"/>
      </c:catAx>
      <c:valAx>
        <c:axId val="115888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58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Mbale-Sironko-24h'!$C$9:$N$9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Mbale-Sironko-24h'!$C$107:$N$107</c:f>
              <c:numCache>
                <c:formatCode>0.0%</c:formatCode>
                <c:ptCount val="12"/>
                <c:pt idx="0">
                  <c:v>6.8836513280957731E-2</c:v>
                </c:pt>
                <c:pt idx="1">
                  <c:v>2.4691358024691357E-2</c:v>
                </c:pt>
                <c:pt idx="2">
                  <c:v>0.12383090160867939</c:v>
                </c:pt>
                <c:pt idx="3">
                  <c:v>8.3800972689861572E-2</c:v>
                </c:pt>
                <c:pt idx="4">
                  <c:v>4.4893378226711564E-3</c:v>
                </c:pt>
                <c:pt idx="5">
                  <c:v>7.4822297044519262E-4</c:v>
                </c:pt>
                <c:pt idx="6">
                  <c:v>0.10662177328843996</c:v>
                </c:pt>
                <c:pt idx="7">
                  <c:v>5.6116722783389446E-3</c:v>
                </c:pt>
                <c:pt idx="8">
                  <c:v>2.2446689113355782E-3</c:v>
                </c:pt>
                <c:pt idx="9">
                  <c:v>0</c:v>
                </c:pt>
                <c:pt idx="10">
                  <c:v>0.57912457912457915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'22.08 Mbale-Sironko-24h'!$C$9:$N$9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'22.08 Mbale-Sironko-24h'!$C$108:$N$108</c:f>
              <c:numCache>
                <c:formatCode>0.00%</c:formatCode>
                <c:ptCount val="12"/>
                <c:pt idx="0">
                  <c:v>0.16355555555555557</c:v>
                </c:pt>
                <c:pt idx="1">
                  <c:v>5.8666666666666666E-2</c:v>
                </c:pt>
                <c:pt idx="2">
                  <c:v>0.29422222222222222</c:v>
                </c:pt>
                <c:pt idx="3">
                  <c:v>0.1991111111111111</c:v>
                </c:pt>
                <c:pt idx="4">
                  <c:v>1.0666666666666666E-2</c:v>
                </c:pt>
                <c:pt idx="5">
                  <c:v>1.7777777777777779E-3</c:v>
                </c:pt>
                <c:pt idx="6">
                  <c:v>0.25333333333333335</c:v>
                </c:pt>
                <c:pt idx="7">
                  <c:v>1.3333333333333334E-2</c:v>
                </c:pt>
                <c:pt idx="8">
                  <c:v>5.3333333333333332E-3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Sironko-Mbale'!$AE$10:$AE$21</c:f>
              <c:numCache>
                <c:formatCode>0</c:formatCode>
                <c:ptCount val="12"/>
                <c:pt idx="0">
                  <c:v>43</c:v>
                </c:pt>
                <c:pt idx="1">
                  <c:v>29</c:v>
                </c:pt>
                <c:pt idx="2">
                  <c:v>57</c:v>
                </c:pt>
                <c:pt idx="3">
                  <c:v>59</c:v>
                </c:pt>
                <c:pt idx="4">
                  <c:v>55</c:v>
                </c:pt>
                <c:pt idx="5">
                  <c:v>69</c:v>
                </c:pt>
                <c:pt idx="6">
                  <c:v>55</c:v>
                </c:pt>
                <c:pt idx="7">
                  <c:v>65</c:v>
                </c:pt>
                <c:pt idx="8">
                  <c:v>64</c:v>
                </c:pt>
                <c:pt idx="9">
                  <c:v>59</c:v>
                </c:pt>
                <c:pt idx="10">
                  <c:v>65</c:v>
                </c:pt>
                <c:pt idx="11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'23.08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Sironko-Mbale'!$AF$10:$AF$21</c:f>
              <c:numCache>
                <c:formatCode>0</c:formatCode>
                <c:ptCount val="12"/>
                <c:pt idx="0">
                  <c:v>144</c:v>
                </c:pt>
                <c:pt idx="1">
                  <c:v>113</c:v>
                </c:pt>
                <c:pt idx="2">
                  <c:v>169</c:v>
                </c:pt>
                <c:pt idx="3">
                  <c:v>184</c:v>
                </c:pt>
                <c:pt idx="4">
                  <c:v>178</c:v>
                </c:pt>
                <c:pt idx="5">
                  <c:v>188</c:v>
                </c:pt>
                <c:pt idx="6">
                  <c:v>169</c:v>
                </c:pt>
                <c:pt idx="7">
                  <c:v>182</c:v>
                </c:pt>
                <c:pt idx="8">
                  <c:v>180</c:v>
                </c:pt>
                <c:pt idx="9">
                  <c:v>176</c:v>
                </c:pt>
                <c:pt idx="10">
                  <c:v>230</c:v>
                </c:pt>
                <c:pt idx="11">
                  <c:v>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30944"/>
        <c:axId val="112532480"/>
      </c:lineChart>
      <c:catAx>
        <c:axId val="1125309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2480"/>
        <c:crosses val="autoZero"/>
        <c:auto val="1"/>
        <c:lblAlgn val="ctr"/>
        <c:lblOffset val="100"/>
        <c:noMultiLvlLbl val="0"/>
      </c:catAx>
      <c:valAx>
        <c:axId val="11253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53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Sironko-Mbale'!$C$59:$N$59</c:f>
              <c:numCache>
                <c:formatCode>0.0%</c:formatCode>
                <c:ptCount val="12"/>
                <c:pt idx="0">
                  <c:v>7.8000934142923861E-2</c:v>
                </c:pt>
                <c:pt idx="1">
                  <c:v>2.3353573096683792E-2</c:v>
                </c:pt>
                <c:pt idx="2">
                  <c:v>0.11536665109761794</c:v>
                </c:pt>
                <c:pt idx="3">
                  <c:v>8.1270434376459602E-2</c:v>
                </c:pt>
                <c:pt idx="4">
                  <c:v>2.8024287716020553E-3</c:v>
                </c:pt>
                <c:pt idx="5">
                  <c:v>2.3353573096683792E-3</c:v>
                </c:pt>
                <c:pt idx="6">
                  <c:v>1.5880429705744978E-2</c:v>
                </c:pt>
                <c:pt idx="7">
                  <c:v>1.8682858477347033E-3</c:v>
                </c:pt>
                <c:pt idx="8">
                  <c:v>9.3414292386735165E-4</c:v>
                </c:pt>
                <c:pt idx="9">
                  <c:v>0</c:v>
                </c:pt>
                <c:pt idx="10">
                  <c:v>0.67725361980383003</c:v>
                </c:pt>
                <c:pt idx="11">
                  <c:v>9.3414292386735165E-4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Sironko-Mbale'!$S$9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Sironko-Mbale'!$S$10:$S$21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23</c:v>
                </c:pt>
                <c:pt idx="8">
                  <c:v>11</c:v>
                </c:pt>
                <c:pt idx="9">
                  <c:v>13</c:v>
                </c:pt>
                <c:pt idx="10">
                  <c:v>21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'23.08 Sironko-Mbale'!$T$9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Sironko-Mbale'!$T$10:$T$21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'23.08 Sironko-Mbale'!$U$9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Sironko-Mbale'!$U$10:$U$21</c:f>
              <c:numCache>
                <c:formatCode>0</c:formatCode>
                <c:ptCount val="12"/>
                <c:pt idx="0">
                  <c:v>17</c:v>
                </c:pt>
                <c:pt idx="1">
                  <c:v>11</c:v>
                </c:pt>
                <c:pt idx="2">
                  <c:v>19</c:v>
                </c:pt>
                <c:pt idx="3">
                  <c:v>22</c:v>
                </c:pt>
                <c:pt idx="4">
                  <c:v>21</c:v>
                </c:pt>
                <c:pt idx="5">
                  <c:v>21</c:v>
                </c:pt>
                <c:pt idx="6">
                  <c:v>18</c:v>
                </c:pt>
                <c:pt idx="7">
                  <c:v>22</c:v>
                </c:pt>
                <c:pt idx="8">
                  <c:v>24</c:v>
                </c:pt>
                <c:pt idx="9">
                  <c:v>17</c:v>
                </c:pt>
                <c:pt idx="10">
                  <c:v>29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'23.08 Sironko-Mbale'!$V$9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Sironko-Mbale'!$V$10:$V$21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18</c:v>
                </c:pt>
                <c:pt idx="3">
                  <c:v>19</c:v>
                </c:pt>
                <c:pt idx="4">
                  <c:v>12</c:v>
                </c:pt>
                <c:pt idx="5">
                  <c:v>22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20</c:v>
                </c:pt>
                <c:pt idx="10">
                  <c:v>8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'23.08 Sironko-Mbale'!$W$9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'23.08 Sironko-Mbale'!$X$9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'23.08 Sironko-Mbale'!$Y$9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Sironko-Mbale'!$Y$10:$Y$21</c:f>
              <c:numCache>
                <c:formatCode>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7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'23.08 Sironko-Mbale'!$Z$9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'23.08 Sironko-Mbale'!$AA$9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'23.08 Sironko-Mbale'!$AB$9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'23.08 Sironko-Mbale'!$AC$9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Sironko-Mbale'!$AC$10:$AC$21</c:f>
              <c:numCache>
                <c:formatCode>0</c:formatCode>
                <c:ptCount val="12"/>
                <c:pt idx="0">
                  <c:v>101</c:v>
                </c:pt>
                <c:pt idx="1">
                  <c:v>84</c:v>
                </c:pt>
                <c:pt idx="2">
                  <c:v>112</c:v>
                </c:pt>
                <c:pt idx="3">
                  <c:v>125</c:v>
                </c:pt>
                <c:pt idx="4">
                  <c:v>123</c:v>
                </c:pt>
                <c:pt idx="5">
                  <c:v>119</c:v>
                </c:pt>
                <c:pt idx="6">
                  <c:v>114</c:v>
                </c:pt>
                <c:pt idx="7">
                  <c:v>117</c:v>
                </c:pt>
                <c:pt idx="8">
                  <c:v>116</c:v>
                </c:pt>
                <c:pt idx="9">
                  <c:v>117</c:v>
                </c:pt>
                <c:pt idx="10">
                  <c:v>165</c:v>
                </c:pt>
                <c:pt idx="11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'23.08 Sironko-Mbale'!$AD$9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Sironko-Mbale'!$AD$10:$AD$21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0320"/>
        <c:axId val="112702592"/>
      </c:lineChart>
      <c:catAx>
        <c:axId val="11268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702592"/>
        <c:crosses val="autoZero"/>
        <c:auto val="1"/>
        <c:lblAlgn val="ctr"/>
        <c:lblOffset val="100"/>
        <c:noMultiLvlLbl val="0"/>
      </c:catAx>
      <c:valAx>
        <c:axId val="11270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6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Sironko-Mbale'!$C$60:$N$60</c:f>
              <c:numCache>
                <c:formatCode>0.00%</c:formatCode>
                <c:ptCount val="12"/>
                <c:pt idx="0">
                  <c:v>0.24167872648335745</c:v>
                </c:pt>
                <c:pt idx="1">
                  <c:v>7.2358900144717797E-2</c:v>
                </c:pt>
                <c:pt idx="2">
                  <c:v>0.35745296671490595</c:v>
                </c:pt>
                <c:pt idx="3">
                  <c:v>0.25180897250361794</c:v>
                </c:pt>
                <c:pt idx="4">
                  <c:v>8.6830680173661367E-3</c:v>
                </c:pt>
                <c:pt idx="5">
                  <c:v>7.2358900144717797E-3</c:v>
                </c:pt>
                <c:pt idx="6">
                  <c:v>4.9204052098408106E-2</c:v>
                </c:pt>
                <c:pt idx="7">
                  <c:v>5.7887120115774236E-3</c:v>
                </c:pt>
                <c:pt idx="8">
                  <c:v>2.8943560057887118E-3</c:v>
                </c:pt>
                <c:pt idx="9">
                  <c:v>0</c:v>
                </c:pt>
                <c:pt idx="11">
                  <c:v>2.8943560057887118E-3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Mbale-Sironko'!$AE$9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Mbale-Sironko'!$AE$10:$AE$21</c:f>
              <c:numCache>
                <c:formatCode>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82</c:v>
                </c:pt>
                <c:pt idx="3">
                  <c:v>78</c:v>
                </c:pt>
                <c:pt idx="4">
                  <c:v>86</c:v>
                </c:pt>
                <c:pt idx="5">
                  <c:v>86</c:v>
                </c:pt>
                <c:pt idx="6">
                  <c:v>89</c:v>
                </c:pt>
                <c:pt idx="7">
                  <c:v>101</c:v>
                </c:pt>
                <c:pt idx="8">
                  <c:v>74</c:v>
                </c:pt>
                <c:pt idx="9">
                  <c:v>97</c:v>
                </c:pt>
                <c:pt idx="10">
                  <c:v>90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'23.08 Mbale-Sironko'!$AF$9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Mbale-Sironko'!$AF$10:$AF$21</c:f>
              <c:numCache>
                <c:formatCode>0</c:formatCode>
                <c:ptCount val="12"/>
                <c:pt idx="0">
                  <c:v>103</c:v>
                </c:pt>
                <c:pt idx="1">
                  <c:v>107</c:v>
                </c:pt>
                <c:pt idx="2">
                  <c:v>164</c:v>
                </c:pt>
                <c:pt idx="3">
                  <c:v>208</c:v>
                </c:pt>
                <c:pt idx="4">
                  <c:v>227</c:v>
                </c:pt>
                <c:pt idx="5">
                  <c:v>237</c:v>
                </c:pt>
                <c:pt idx="6">
                  <c:v>221</c:v>
                </c:pt>
                <c:pt idx="7">
                  <c:v>221</c:v>
                </c:pt>
                <c:pt idx="8">
                  <c:v>217</c:v>
                </c:pt>
                <c:pt idx="9">
                  <c:v>192</c:v>
                </c:pt>
                <c:pt idx="10">
                  <c:v>155</c:v>
                </c:pt>
                <c:pt idx="11">
                  <c:v>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21216"/>
        <c:axId val="112931200"/>
      </c:lineChart>
      <c:catAx>
        <c:axId val="112921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31200"/>
        <c:crosses val="autoZero"/>
        <c:auto val="1"/>
        <c:lblAlgn val="ctr"/>
        <c:lblOffset val="100"/>
        <c:noMultiLvlLbl val="0"/>
      </c:catAx>
      <c:valAx>
        <c:axId val="11293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2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Mbale-Sironko'!$C$59:$N$59</c:f>
              <c:numCache>
                <c:formatCode>0.0%</c:formatCode>
                <c:ptCount val="12"/>
                <c:pt idx="0">
                  <c:v>7.9470198675496692E-2</c:v>
                </c:pt>
                <c:pt idx="1">
                  <c:v>3.6423841059602648E-2</c:v>
                </c:pt>
                <c:pt idx="2">
                  <c:v>0.15421002838221382</c:v>
                </c:pt>
                <c:pt idx="3">
                  <c:v>8.0889309366130563E-2</c:v>
                </c:pt>
                <c:pt idx="4">
                  <c:v>2.3651844843897824E-3</c:v>
                </c:pt>
                <c:pt idx="5">
                  <c:v>9.4607379375591296E-4</c:v>
                </c:pt>
                <c:pt idx="6">
                  <c:v>8.2308420056764434E-2</c:v>
                </c:pt>
                <c:pt idx="7">
                  <c:v>1.4191106906338694E-3</c:v>
                </c:pt>
                <c:pt idx="8">
                  <c:v>0</c:v>
                </c:pt>
                <c:pt idx="9">
                  <c:v>0</c:v>
                </c:pt>
                <c:pt idx="10">
                  <c:v>0.56149479659413437</c:v>
                </c:pt>
                <c:pt idx="11">
                  <c:v>4.7303689687795648E-4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Mbale-Sironko'!$S$9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Mbale-Sironko'!$S$10:$S$21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17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26</c:v>
                </c:pt>
                <c:pt idx="7">
                  <c:v>21</c:v>
                </c:pt>
                <c:pt idx="8">
                  <c:v>17</c:v>
                </c:pt>
                <c:pt idx="9">
                  <c:v>17</c:v>
                </c:pt>
                <c:pt idx="10">
                  <c:v>8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'23.08 Mbale-Sironko'!$T$9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Mbale-Sironko'!$T$10:$T$21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  <c:pt idx="9">
                  <c:v>10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'23.08 Mbale-Sironko'!$U$9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Mbale-Sironko'!$U$10:$U$21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35</c:v>
                </c:pt>
                <c:pt idx="3">
                  <c:v>32</c:v>
                </c:pt>
                <c:pt idx="4">
                  <c:v>27</c:v>
                </c:pt>
                <c:pt idx="5">
                  <c:v>36</c:v>
                </c:pt>
                <c:pt idx="6">
                  <c:v>29</c:v>
                </c:pt>
                <c:pt idx="7">
                  <c:v>29</c:v>
                </c:pt>
                <c:pt idx="8">
                  <c:v>19</c:v>
                </c:pt>
                <c:pt idx="9">
                  <c:v>38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'23.08 Mbale-Sironko'!$V$9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Mbale-Sironko'!$V$10:$V$21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21</c:v>
                </c:pt>
                <c:pt idx="8">
                  <c:v>19</c:v>
                </c:pt>
                <c:pt idx="9">
                  <c:v>15</c:v>
                </c:pt>
                <c:pt idx="10">
                  <c:v>23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'23.08 Mbale-Sironko'!$W$9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'23.08 Mbale-Sironko'!$X$9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Mbale-Sironko'!$X$10:$X$21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'23.08 Mbale-Sironko'!$Y$9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Mbale-Sironko'!$Y$10:$Y$21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13</c:v>
                </c:pt>
                <c:pt idx="3">
                  <c:v>13</c:v>
                </c:pt>
                <c:pt idx="4">
                  <c:v>23</c:v>
                </c:pt>
                <c:pt idx="5">
                  <c:v>10</c:v>
                </c:pt>
                <c:pt idx="6">
                  <c:v>10</c:v>
                </c:pt>
                <c:pt idx="7">
                  <c:v>22</c:v>
                </c:pt>
                <c:pt idx="8">
                  <c:v>15</c:v>
                </c:pt>
                <c:pt idx="9">
                  <c:v>16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'23.08 Mbale-Sironko'!$Z$9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'23.08 Mbale-Sironko'!$AA$9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'23.08 Mbale-Sironko'!$AB$9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'23.08 Mbale-Sironko'!$AC$9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Mbale-Sironko'!$AC$10:$AC$21</c:f>
              <c:numCache>
                <c:formatCode>0</c:formatCode>
                <c:ptCount val="12"/>
                <c:pt idx="0">
                  <c:v>62</c:v>
                </c:pt>
                <c:pt idx="1">
                  <c:v>66</c:v>
                </c:pt>
                <c:pt idx="2">
                  <c:v>82</c:v>
                </c:pt>
                <c:pt idx="3">
                  <c:v>130</c:v>
                </c:pt>
                <c:pt idx="4">
                  <c:v>141</c:v>
                </c:pt>
                <c:pt idx="5">
                  <c:v>151</c:v>
                </c:pt>
                <c:pt idx="6">
                  <c:v>132</c:v>
                </c:pt>
                <c:pt idx="7">
                  <c:v>120</c:v>
                </c:pt>
                <c:pt idx="8">
                  <c:v>143</c:v>
                </c:pt>
                <c:pt idx="9">
                  <c:v>95</c:v>
                </c:pt>
                <c:pt idx="10">
                  <c:v>65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'23.08 Mbale-Sironko'!$AD$9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Mbale-Sironko'!$AD$10:$AD$21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18304"/>
        <c:axId val="113219840"/>
      </c:lineChart>
      <c:catAx>
        <c:axId val="1132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9840"/>
        <c:crosses val="autoZero"/>
        <c:auto val="1"/>
        <c:lblAlgn val="ctr"/>
        <c:lblOffset val="100"/>
        <c:noMultiLvlLbl val="0"/>
      </c:catAx>
      <c:valAx>
        <c:axId val="1132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2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Mbale-Sironko'!$C$60:$N$60</c:f>
              <c:numCache>
                <c:formatCode>0.00%</c:formatCode>
                <c:ptCount val="12"/>
                <c:pt idx="0">
                  <c:v>0.18122977346278318</c:v>
                </c:pt>
                <c:pt idx="1">
                  <c:v>8.306364617044229E-2</c:v>
                </c:pt>
                <c:pt idx="2">
                  <c:v>0.35167206040992449</c:v>
                </c:pt>
                <c:pt idx="3">
                  <c:v>0.18446601941747573</c:v>
                </c:pt>
                <c:pt idx="4">
                  <c:v>5.3937432578209281E-3</c:v>
                </c:pt>
                <c:pt idx="5">
                  <c:v>2.1574973031283709E-3</c:v>
                </c:pt>
                <c:pt idx="6">
                  <c:v>0.18770226537216828</c:v>
                </c:pt>
                <c:pt idx="7">
                  <c:v>3.2362459546925568E-3</c:v>
                </c:pt>
                <c:pt idx="8">
                  <c:v>0</c:v>
                </c:pt>
                <c:pt idx="9">
                  <c:v>0</c:v>
                </c:pt>
                <c:pt idx="11">
                  <c:v>1.0787486515641855E-3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Sironko-Mbale-24h'!$AE$9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Sironko-Mbale-24h'!$R$10:$R$33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Sironko-Mbale-24h'!$AE$10:$AE$33</c:f>
              <c:numCache>
                <c:formatCode>0</c:formatCode>
                <c:ptCount val="24"/>
                <c:pt idx="0">
                  <c:v>31</c:v>
                </c:pt>
                <c:pt idx="1">
                  <c:v>48</c:v>
                </c:pt>
                <c:pt idx="2">
                  <c:v>92</c:v>
                </c:pt>
                <c:pt idx="3">
                  <c:v>70</c:v>
                </c:pt>
                <c:pt idx="4">
                  <c:v>79</c:v>
                </c:pt>
                <c:pt idx="5">
                  <c:v>85</c:v>
                </c:pt>
                <c:pt idx="6">
                  <c:v>103</c:v>
                </c:pt>
                <c:pt idx="7">
                  <c:v>74</c:v>
                </c:pt>
                <c:pt idx="8">
                  <c:v>63</c:v>
                </c:pt>
                <c:pt idx="9">
                  <c:v>60</c:v>
                </c:pt>
                <c:pt idx="10">
                  <c:v>72</c:v>
                </c:pt>
                <c:pt idx="11">
                  <c:v>66</c:v>
                </c:pt>
                <c:pt idx="12">
                  <c:v>70</c:v>
                </c:pt>
                <c:pt idx="13">
                  <c:v>65</c:v>
                </c:pt>
                <c:pt idx="14">
                  <c:v>35</c:v>
                </c:pt>
                <c:pt idx="15">
                  <c:v>25</c:v>
                </c:pt>
                <c:pt idx="16">
                  <c:v>7</c:v>
                </c:pt>
                <c:pt idx="17">
                  <c:v>10</c:v>
                </c:pt>
                <c:pt idx="18">
                  <c:v>7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9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'24.08 Sironko-Mbale-24h'!$AF$9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Sironko-Mbale-24h'!$R$10:$R$33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Sironko-Mbale-24h'!$AF$10:$AF$33</c:f>
              <c:numCache>
                <c:formatCode>0</c:formatCode>
                <c:ptCount val="24"/>
                <c:pt idx="0">
                  <c:v>74</c:v>
                </c:pt>
                <c:pt idx="1">
                  <c:v>154</c:v>
                </c:pt>
                <c:pt idx="2">
                  <c:v>197</c:v>
                </c:pt>
                <c:pt idx="3">
                  <c:v>150</c:v>
                </c:pt>
                <c:pt idx="4">
                  <c:v>172</c:v>
                </c:pt>
                <c:pt idx="5">
                  <c:v>225</c:v>
                </c:pt>
                <c:pt idx="6">
                  <c:v>225</c:v>
                </c:pt>
                <c:pt idx="7">
                  <c:v>191</c:v>
                </c:pt>
                <c:pt idx="8">
                  <c:v>129</c:v>
                </c:pt>
                <c:pt idx="9">
                  <c:v>167</c:v>
                </c:pt>
                <c:pt idx="10">
                  <c:v>194</c:v>
                </c:pt>
                <c:pt idx="11">
                  <c:v>146</c:v>
                </c:pt>
                <c:pt idx="12">
                  <c:v>201</c:v>
                </c:pt>
                <c:pt idx="13">
                  <c:v>143</c:v>
                </c:pt>
                <c:pt idx="14">
                  <c:v>94</c:v>
                </c:pt>
                <c:pt idx="15">
                  <c:v>61</c:v>
                </c:pt>
                <c:pt idx="16">
                  <c:v>30</c:v>
                </c:pt>
                <c:pt idx="17">
                  <c:v>17</c:v>
                </c:pt>
                <c:pt idx="18">
                  <c:v>13</c:v>
                </c:pt>
                <c:pt idx="19">
                  <c:v>11</c:v>
                </c:pt>
                <c:pt idx="20">
                  <c:v>5</c:v>
                </c:pt>
                <c:pt idx="21">
                  <c:v>12</c:v>
                </c:pt>
                <c:pt idx="22">
                  <c:v>13</c:v>
                </c:pt>
                <c:pt idx="23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21792"/>
        <c:axId val="113522944"/>
      </c:lineChart>
      <c:catAx>
        <c:axId val="11352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2944"/>
        <c:crosses val="autoZero"/>
        <c:auto val="1"/>
        <c:lblAlgn val="ctr"/>
        <c:lblOffset val="100"/>
        <c:noMultiLvlLbl val="0"/>
      </c:catAx>
      <c:valAx>
        <c:axId val="113522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5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Sironko-Mbale-24h'!$C$9:$N$9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Sironko-Mbale-24h'!$C$107:$N$107</c:f>
              <c:numCache>
                <c:formatCode>0.0%</c:formatCode>
                <c:ptCount val="12"/>
                <c:pt idx="0">
                  <c:v>8.7233245975290155E-2</c:v>
                </c:pt>
                <c:pt idx="1">
                  <c:v>2.6581804567577687E-2</c:v>
                </c:pt>
                <c:pt idx="2">
                  <c:v>0.134032197678772</c:v>
                </c:pt>
                <c:pt idx="3">
                  <c:v>8.1991763384500191E-2</c:v>
                </c:pt>
                <c:pt idx="4">
                  <c:v>1.1231748408835642E-3</c:v>
                </c:pt>
                <c:pt idx="5">
                  <c:v>3.7439161362785476E-4</c:v>
                </c:pt>
                <c:pt idx="6">
                  <c:v>7.5627105952826651E-2</c:v>
                </c:pt>
                <c:pt idx="7">
                  <c:v>3.7439161362785474E-3</c:v>
                </c:pt>
                <c:pt idx="8">
                  <c:v>3.3695245226506927E-3</c:v>
                </c:pt>
                <c:pt idx="9">
                  <c:v>0</c:v>
                </c:pt>
                <c:pt idx="10">
                  <c:v>0.58592287532759268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Sironko-Mbale-24h'!$C$9:$N$9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Sironko-Mbale-24h'!$C$108:$N$108</c:f>
              <c:numCache>
                <c:formatCode>0.00%</c:formatCode>
                <c:ptCount val="12"/>
                <c:pt idx="0">
                  <c:v>0.21066907775768534</c:v>
                </c:pt>
                <c:pt idx="1">
                  <c:v>6.419529837251356E-2</c:v>
                </c:pt>
                <c:pt idx="2">
                  <c:v>0.32368896925858953</c:v>
                </c:pt>
                <c:pt idx="3">
                  <c:v>0.19801084990958409</c:v>
                </c:pt>
                <c:pt idx="4">
                  <c:v>2.7124773960216998E-3</c:v>
                </c:pt>
                <c:pt idx="5">
                  <c:v>9.0415913200723324E-4</c:v>
                </c:pt>
                <c:pt idx="6">
                  <c:v>0.18264014466546113</c:v>
                </c:pt>
                <c:pt idx="7">
                  <c:v>9.0415913200723331E-3</c:v>
                </c:pt>
                <c:pt idx="8">
                  <c:v>8.1374321880651E-3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Mbale-Sironko-24h'!$AE$9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Mbale-Sironko-24h'!$R$10:$R$33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Mbale-Sironko-24h'!$AE$10:$AE$33</c:f>
              <c:numCache>
                <c:formatCode>0</c:formatCode>
                <c:ptCount val="24"/>
                <c:pt idx="0">
                  <c:v>27</c:v>
                </c:pt>
                <c:pt idx="1">
                  <c:v>52</c:v>
                </c:pt>
                <c:pt idx="2">
                  <c:v>49</c:v>
                </c:pt>
                <c:pt idx="3">
                  <c:v>50</c:v>
                </c:pt>
                <c:pt idx="4">
                  <c:v>78</c:v>
                </c:pt>
                <c:pt idx="5">
                  <c:v>52</c:v>
                </c:pt>
                <c:pt idx="6">
                  <c:v>78</c:v>
                </c:pt>
                <c:pt idx="7">
                  <c:v>61</c:v>
                </c:pt>
                <c:pt idx="8">
                  <c:v>68</c:v>
                </c:pt>
                <c:pt idx="9">
                  <c:v>91</c:v>
                </c:pt>
                <c:pt idx="10">
                  <c:v>80</c:v>
                </c:pt>
                <c:pt idx="11">
                  <c:v>63</c:v>
                </c:pt>
                <c:pt idx="12">
                  <c:v>78</c:v>
                </c:pt>
                <c:pt idx="13">
                  <c:v>76</c:v>
                </c:pt>
                <c:pt idx="14">
                  <c:v>58</c:v>
                </c:pt>
                <c:pt idx="15">
                  <c:v>29</c:v>
                </c:pt>
                <c:pt idx="16">
                  <c:v>13</c:v>
                </c:pt>
                <c:pt idx="17">
                  <c:v>10</c:v>
                </c:pt>
                <c:pt idx="18">
                  <c:v>4</c:v>
                </c:pt>
                <c:pt idx="19">
                  <c:v>8</c:v>
                </c:pt>
                <c:pt idx="20">
                  <c:v>7</c:v>
                </c:pt>
                <c:pt idx="21">
                  <c:v>6</c:v>
                </c:pt>
                <c:pt idx="22">
                  <c:v>13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'24.08 Mbale-Sironko-24h'!$AF$9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Mbale-Sironko-24h'!$R$10:$R$33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Mbale-Sironko-24h'!$AF$10:$AF$33</c:f>
              <c:numCache>
                <c:formatCode>0</c:formatCode>
                <c:ptCount val="24"/>
                <c:pt idx="0">
                  <c:v>110</c:v>
                </c:pt>
                <c:pt idx="1">
                  <c:v>165</c:v>
                </c:pt>
                <c:pt idx="2">
                  <c:v>148</c:v>
                </c:pt>
                <c:pt idx="3">
                  <c:v>173</c:v>
                </c:pt>
                <c:pt idx="4">
                  <c:v>180</c:v>
                </c:pt>
                <c:pt idx="5">
                  <c:v>158</c:v>
                </c:pt>
                <c:pt idx="6">
                  <c:v>168</c:v>
                </c:pt>
                <c:pt idx="7">
                  <c:v>171</c:v>
                </c:pt>
                <c:pt idx="8">
                  <c:v>175</c:v>
                </c:pt>
                <c:pt idx="9">
                  <c:v>224</c:v>
                </c:pt>
                <c:pt idx="10">
                  <c:v>222</c:v>
                </c:pt>
                <c:pt idx="11">
                  <c:v>165</c:v>
                </c:pt>
                <c:pt idx="12">
                  <c:v>179</c:v>
                </c:pt>
                <c:pt idx="13">
                  <c:v>139</c:v>
                </c:pt>
                <c:pt idx="14">
                  <c:v>93</c:v>
                </c:pt>
                <c:pt idx="15">
                  <c:v>60</c:v>
                </c:pt>
                <c:pt idx="16">
                  <c:v>25</c:v>
                </c:pt>
                <c:pt idx="17">
                  <c:v>17</c:v>
                </c:pt>
                <c:pt idx="18">
                  <c:v>12</c:v>
                </c:pt>
                <c:pt idx="19">
                  <c:v>14</c:v>
                </c:pt>
                <c:pt idx="20">
                  <c:v>11</c:v>
                </c:pt>
                <c:pt idx="21">
                  <c:v>11</c:v>
                </c:pt>
                <c:pt idx="22">
                  <c:v>31</c:v>
                </c:pt>
                <c:pt idx="23">
                  <c:v>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89952"/>
        <c:axId val="113820032"/>
      </c:lineChart>
      <c:catAx>
        <c:axId val="113789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820032"/>
        <c:crosses val="autoZero"/>
        <c:auto val="1"/>
        <c:lblAlgn val="ctr"/>
        <c:lblOffset val="100"/>
        <c:noMultiLvlLbl val="0"/>
      </c:catAx>
      <c:valAx>
        <c:axId val="113820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37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Mbale-Sironko-24h'!$C$9:$N$9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Mbale-Sironko-24h'!$C$107:$N$107</c:f>
              <c:numCache>
                <c:formatCode>0.0%</c:formatCode>
                <c:ptCount val="12"/>
                <c:pt idx="0">
                  <c:v>8.7964666912035333E-2</c:v>
                </c:pt>
                <c:pt idx="1">
                  <c:v>0</c:v>
                </c:pt>
                <c:pt idx="2">
                  <c:v>0.13838792786161208</c:v>
                </c:pt>
                <c:pt idx="3">
                  <c:v>7.4714758925285243E-2</c:v>
                </c:pt>
                <c:pt idx="4">
                  <c:v>1.1041589988958411E-3</c:v>
                </c:pt>
                <c:pt idx="5">
                  <c:v>7.3610599926389399E-4</c:v>
                </c:pt>
                <c:pt idx="6">
                  <c:v>8.6492454913507544E-2</c:v>
                </c:pt>
                <c:pt idx="7">
                  <c:v>4.7846889952153108E-3</c:v>
                </c:pt>
                <c:pt idx="8">
                  <c:v>1.472211998527788E-3</c:v>
                </c:pt>
                <c:pt idx="9">
                  <c:v>0</c:v>
                </c:pt>
                <c:pt idx="10">
                  <c:v>0.60434302539565699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Mbale-Sironko-24h'!$C$9:$N$9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Mbale-Sironko-24h'!$C$108:$N$108</c:f>
              <c:numCache>
                <c:formatCode>0.00%</c:formatCode>
                <c:ptCount val="12"/>
                <c:pt idx="0">
                  <c:v>0.22232558139534883</c:v>
                </c:pt>
                <c:pt idx="1">
                  <c:v>0</c:v>
                </c:pt>
                <c:pt idx="2">
                  <c:v>0.3497674418604651</c:v>
                </c:pt>
                <c:pt idx="3">
                  <c:v>0.18883720930232559</c:v>
                </c:pt>
                <c:pt idx="4">
                  <c:v>2.7906976744186047E-3</c:v>
                </c:pt>
                <c:pt idx="5">
                  <c:v>1.8604651162790699E-3</c:v>
                </c:pt>
                <c:pt idx="6">
                  <c:v>0.21860465116279071</c:v>
                </c:pt>
                <c:pt idx="7">
                  <c:v>1.2093023255813953E-2</c:v>
                </c:pt>
                <c:pt idx="8">
                  <c:v>3.7209302325581397E-3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Sironko-Mbale'!$AE$10:$AE$21</c:f>
              <c:numCache>
                <c:formatCode>0</c:formatCode>
                <c:ptCount val="12"/>
                <c:pt idx="0">
                  <c:v>49</c:v>
                </c:pt>
                <c:pt idx="1">
                  <c:v>49</c:v>
                </c:pt>
                <c:pt idx="2">
                  <c:v>34</c:v>
                </c:pt>
                <c:pt idx="3">
                  <c:v>42</c:v>
                </c:pt>
                <c:pt idx="4">
                  <c:v>62</c:v>
                </c:pt>
                <c:pt idx="5">
                  <c:v>80</c:v>
                </c:pt>
                <c:pt idx="6">
                  <c:v>77</c:v>
                </c:pt>
                <c:pt idx="7">
                  <c:v>54</c:v>
                </c:pt>
                <c:pt idx="8">
                  <c:v>74</c:v>
                </c:pt>
                <c:pt idx="9">
                  <c:v>70</c:v>
                </c:pt>
                <c:pt idx="10">
                  <c:v>75</c:v>
                </c:pt>
                <c:pt idx="11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'25.08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Sironko-Mbale'!$AF$10:$AF$21</c:f>
              <c:numCache>
                <c:formatCode>0</c:formatCode>
                <c:ptCount val="12"/>
                <c:pt idx="0">
                  <c:v>152</c:v>
                </c:pt>
                <c:pt idx="1">
                  <c:v>150</c:v>
                </c:pt>
                <c:pt idx="2">
                  <c:v>149</c:v>
                </c:pt>
                <c:pt idx="3">
                  <c:v>155</c:v>
                </c:pt>
                <c:pt idx="4">
                  <c:v>191</c:v>
                </c:pt>
                <c:pt idx="5">
                  <c:v>214</c:v>
                </c:pt>
                <c:pt idx="6">
                  <c:v>211</c:v>
                </c:pt>
                <c:pt idx="7">
                  <c:v>172</c:v>
                </c:pt>
                <c:pt idx="8">
                  <c:v>171</c:v>
                </c:pt>
                <c:pt idx="9">
                  <c:v>192</c:v>
                </c:pt>
                <c:pt idx="10">
                  <c:v>254</c:v>
                </c:pt>
                <c:pt idx="11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14112"/>
        <c:axId val="116315648"/>
      </c:lineChart>
      <c:catAx>
        <c:axId val="116314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15648"/>
        <c:crosses val="autoZero"/>
        <c:auto val="1"/>
        <c:lblAlgn val="ctr"/>
        <c:lblOffset val="100"/>
        <c:noMultiLvlLbl val="0"/>
      </c:catAx>
      <c:valAx>
        <c:axId val="116315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Sironko-Mbale'!$C$59:$N$59</c:f>
              <c:numCache>
                <c:formatCode>0.0%</c:formatCode>
                <c:ptCount val="12"/>
                <c:pt idx="0">
                  <c:v>7.9779917469050887E-2</c:v>
                </c:pt>
                <c:pt idx="1">
                  <c:v>1.6964695093993582E-2</c:v>
                </c:pt>
                <c:pt idx="2">
                  <c:v>9.7661623108665746E-2</c:v>
                </c:pt>
                <c:pt idx="3">
                  <c:v>6.9234296194406242E-2</c:v>
                </c:pt>
                <c:pt idx="4">
                  <c:v>3.6680421824850985E-3</c:v>
                </c:pt>
                <c:pt idx="5">
                  <c:v>9.1701054562127462E-4</c:v>
                </c:pt>
                <c:pt idx="6">
                  <c:v>5.6396148555708389E-2</c:v>
                </c:pt>
                <c:pt idx="7">
                  <c:v>4.1265474552957355E-3</c:v>
                </c:pt>
                <c:pt idx="8">
                  <c:v>0</c:v>
                </c:pt>
                <c:pt idx="9">
                  <c:v>0</c:v>
                </c:pt>
                <c:pt idx="10">
                  <c:v>0.67079321412196236</c:v>
                </c:pt>
                <c:pt idx="11">
                  <c:v>4.5850527281063731E-4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Sironko-Mbale'!$S$9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Sironko-Mbale'!$S$10:$S$21</c:f>
              <c:numCache>
                <c:formatCode>0</c:formatCode>
                <c:ptCount val="12"/>
                <c:pt idx="0">
                  <c:v>8</c:v>
                </c:pt>
                <c:pt idx="1">
                  <c:v>13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17</c:v>
                </c:pt>
                <c:pt idx="6">
                  <c:v>13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26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'25.08 Sironko-Mbale'!$T$9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Sironko-Mbale'!$R$10:$R$21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Sironko-Mbale'!$T$10:$T$21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'25.08 Sironko-Mbale'!$U$9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Sironko-Mbale'!$U$10:$U$21</c:f>
              <c:numCache>
                <c:formatCode>0</c:formatCode>
                <c:ptCount val="12"/>
                <c:pt idx="0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9</c:v>
                </c:pt>
                <c:pt idx="4">
                  <c:v>15</c:v>
                </c:pt>
                <c:pt idx="5">
                  <c:v>21</c:v>
                </c:pt>
                <c:pt idx="6">
                  <c:v>36</c:v>
                </c:pt>
                <c:pt idx="7">
                  <c:v>17</c:v>
                </c:pt>
                <c:pt idx="8">
                  <c:v>24</c:v>
                </c:pt>
                <c:pt idx="9">
                  <c:v>20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'25.08 Sironko-Mbale'!$V$9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Sironko-Mbale'!$V$10:$V$21</c:f>
              <c:numCache>
                <c:formatCode>0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6</c:v>
                </c:pt>
                <c:pt idx="3">
                  <c:v>14</c:v>
                </c:pt>
                <c:pt idx="4">
                  <c:v>19</c:v>
                </c:pt>
                <c:pt idx="5">
                  <c:v>19</c:v>
                </c:pt>
                <c:pt idx="6">
                  <c:v>10</c:v>
                </c:pt>
                <c:pt idx="7">
                  <c:v>9</c:v>
                </c:pt>
                <c:pt idx="8">
                  <c:v>16</c:v>
                </c:pt>
                <c:pt idx="9">
                  <c:v>10</c:v>
                </c:pt>
                <c:pt idx="10">
                  <c:v>11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'25.08 Sironko-Mbale'!$W$9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Sironko-Mbale'!$W$10:$W$21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'25.08 Sironko-Mbale'!$X$9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'25.08 Sironko-Mbale'!$Y$9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Sironko-Mbale'!$Y$10:$Y$21</c:f>
              <c:numCache>
                <c:formatCode>0</c:formatCode>
                <c:ptCount val="12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11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11</c:v>
                </c:pt>
                <c:pt idx="9">
                  <c:v>16</c:v>
                </c:pt>
                <c:pt idx="10">
                  <c:v>19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'25.08 Sironko-Mbale'!$Z$9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'25.08 Sironko-Mbale'!$AA$9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'25.08 Sironko-Mbale'!$AB$9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'25.08 Sironko-Mbale'!$AC$9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Sironko-Mbale'!$AC$10:$AC$21</c:f>
              <c:numCache>
                <c:formatCode>0</c:formatCode>
                <c:ptCount val="12"/>
                <c:pt idx="0">
                  <c:v>103</c:v>
                </c:pt>
                <c:pt idx="1">
                  <c:v>101</c:v>
                </c:pt>
                <c:pt idx="2">
                  <c:v>115</c:v>
                </c:pt>
                <c:pt idx="3">
                  <c:v>113</c:v>
                </c:pt>
                <c:pt idx="4">
                  <c:v>129</c:v>
                </c:pt>
                <c:pt idx="5">
                  <c:v>134</c:v>
                </c:pt>
                <c:pt idx="6">
                  <c:v>134</c:v>
                </c:pt>
                <c:pt idx="7">
                  <c:v>118</c:v>
                </c:pt>
                <c:pt idx="8">
                  <c:v>97</c:v>
                </c:pt>
                <c:pt idx="9">
                  <c:v>122</c:v>
                </c:pt>
                <c:pt idx="10">
                  <c:v>179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'25.08 Sironko-Mbale'!$AD$9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Sironko-Mbale'!$AD$10:$AD$21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97952"/>
        <c:axId val="116399488"/>
      </c:lineChart>
      <c:catAx>
        <c:axId val="11639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99488"/>
        <c:crosses val="autoZero"/>
        <c:auto val="1"/>
        <c:lblAlgn val="ctr"/>
        <c:lblOffset val="100"/>
        <c:noMultiLvlLbl val="0"/>
      </c:catAx>
      <c:valAx>
        <c:axId val="1163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Sironko-Mbale'!$C$60:$N$60</c:f>
              <c:numCache>
                <c:formatCode>0.00%</c:formatCode>
                <c:ptCount val="12"/>
                <c:pt idx="0">
                  <c:v>0.24233983286908078</c:v>
                </c:pt>
                <c:pt idx="1">
                  <c:v>5.1532033426183843E-2</c:v>
                </c:pt>
                <c:pt idx="2">
                  <c:v>0.2966573816155989</c:v>
                </c:pt>
                <c:pt idx="3">
                  <c:v>0.21030640668523676</c:v>
                </c:pt>
                <c:pt idx="4">
                  <c:v>1.1142061281337047E-2</c:v>
                </c:pt>
                <c:pt idx="5">
                  <c:v>2.7855153203342618E-3</c:v>
                </c:pt>
                <c:pt idx="6">
                  <c:v>0.1713091922005571</c:v>
                </c:pt>
                <c:pt idx="7">
                  <c:v>1.2534818941504178E-2</c:v>
                </c:pt>
                <c:pt idx="8">
                  <c:v>0</c:v>
                </c:pt>
                <c:pt idx="9">
                  <c:v>0</c:v>
                </c:pt>
                <c:pt idx="11">
                  <c:v>1.3927576601671309E-3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Mbale-Sironko'!$AE$9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Mbale-Sironko'!$AE$10:$AE$21</c:f>
              <c:numCache>
                <c:formatCode>0</c:formatCode>
                <c:ptCount val="12"/>
                <c:pt idx="0">
                  <c:v>46</c:v>
                </c:pt>
                <c:pt idx="1">
                  <c:v>42</c:v>
                </c:pt>
                <c:pt idx="2">
                  <c:v>53</c:v>
                </c:pt>
                <c:pt idx="3">
                  <c:v>90</c:v>
                </c:pt>
                <c:pt idx="4">
                  <c:v>74</c:v>
                </c:pt>
                <c:pt idx="5">
                  <c:v>86</c:v>
                </c:pt>
                <c:pt idx="6">
                  <c:v>81</c:v>
                </c:pt>
                <c:pt idx="7">
                  <c:v>83</c:v>
                </c:pt>
                <c:pt idx="8">
                  <c:v>67</c:v>
                </c:pt>
                <c:pt idx="9">
                  <c:v>87</c:v>
                </c:pt>
                <c:pt idx="10">
                  <c:v>66</c:v>
                </c:pt>
                <c:pt idx="1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'25.08 Mbale-Sironko'!$AF$9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Mbale-Sironko'!$AF$10:$AF$21</c:f>
              <c:numCache>
                <c:formatCode>0</c:formatCode>
                <c:ptCount val="12"/>
                <c:pt idx="0">
                  <c:v>95</c:v>
                </c:pt>
                <c:pt idx="1">
                  <c:v>117</c:v>
                </c:pt>
                <c:pt idx="2">
                  <c:v>157</c:v>
                </c:pt>
                <c:pt idx="3">
                  <c:v>227</c:v>
                </c:pt>
                <c:pt idx="4">
                  <c:v>219</c:v>
                </c:pt>
                <c:pt idx="5">
                  <c:v>217</c:v>
                </c:pt>
                <c:pt idx="6">
                  <c:v>193</c:v>
                </c:pt>
                <c:pt idx="7">
                  <c:v>209</c:v>
                </c:pt>
                <c:pt idx="8">
                  <c:v>166</c:v>
                </c:pt>
                <c:pt idx="9">
                  <c:v>196</c:v>
                </c:pt>
                <c:pt idx="10">
                  <c:v>201</c:v>
                </c:pt>
                <c:pt idx="11">
                  <c:v>171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8848"/>
        <c:axId val="116640384"/>
      </c:lineChart>
      <c:catAx>
        <c:axId val="1166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640384"/>
        <c:crosses val="autoZero"/>
        <c:auto val="1"/>
        <c:lblAlgn val="ctr"/>
        <c:lblOffset val="100"/>
        <c:noMultiLvlLbl val="0"/>
      </c:catAx>
      <c:valAx>
        <c:axId val="11664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6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Mbale-Sironko'!$C$59:$N$59</c:f>
              <c:numCache>
                <c:formatCode>0.0%</c:formatCode>
                <c:ptCount val="12"/>
                <c:pt idx="0">
                  <c:v>6.7343173431734321E-2</c:v>
                </c:pt>
                <c:pt idx="1">
                  <c:v>2.1217712177121772E-2</c:v>
                </c:pt>
                <c:pt idx="2">
                  <c:v>0.10793357933579335</c:v>
                </c:pt>
                <c:pt idx="3">
                  <c:v>7.0571955719557197E-2</c:v>
                </c:pt>
                <c:pt idx="4">
                  <c:v>4.6125461254612545E-4</c:v>
                </c:pt>
                <c:pt idx="5">
                  <c:v>9.225092250922509E-4</c:v>
                </c:pt>
                <c:pt idx="6">
                  <c:v>6.9649446494464945E-2</c:v>
                </c:pt>
                <c:pt idx="7">
                  <c:v>4.1512915129151293E-3</c:v>
                </c:pt>
                <c:pt idx="8">
                  <c:v>9.225092250922509E-4</c:v>
                </c:pt>
                <c:pt idx="9">
                  <c:v>3.9206642066420667E-2</c:v>
                </c:pt>
                <c:pt idx="10">
                  <c:v>0.61761992619926198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Mbale-Sironko'!$S$9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Mbale-Sironko'!$S$10:$S$21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14</c:v>
                </c:pt>
                <c:pt idx="4">
                  <c:v>19</c:v>
                </c:pt>
                <c:pt idx="5">
                  <c:v>16</c:v>
                </c:pt>
                <c:pt idx="6">
                  <c:v>10</c:v>
                </c:pt>
                <c:pt idx="7">
                  <c:v>13</c:v>
                </c:pt>
                <c:pt idx="8">
                  <c:v>12</c:v>
                </c:pt>
                <c:pt idx="9">
                  <c:v>17</c:v>
                </c:pt>
                <c:pt idx="10">
                  <c:v>14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'25.08 Mbale-Sironko'!$T$9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Mbale-Sironko'!$R$10:$R$21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Mbale-Sironko'!$T$10:$T$21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'25.08 Mbale-Sironko'!$U$9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Mbale-Sironko'!$U$10:$U$21</c:f>
              <c:numCache>
                <c:formatCode>0</c:formatCode>
                <c:ptCount val="12"/>
                <c:pt idx="0">
                  <c:v>13</c:v>
                </c:pt>
                <c:pt idx="1">
                  <c:v>8</c:v>
                </c:pt>
                <c:pt idx="2">
                  <c:v>14</c:v>
                </c:pt>
                <c:pt idx="3">
                  <c:v>25</c:v>
                </c:pt>
                <c:pt idx="4">
                  <c:v>22</c:v>
                </c:pt>
                <c:pt idx="5">
                  <c:v>24</c:v>
                </c:pt>
                <c:pt idx="6">
                  <c:v>27</c:v>
                </c:pt>
                <c:pt idx="7">
                  <c:v>26</c:v>
                </c:pt>
                <c:pt idx="8">
                  <c:v>18</c:v>
                </c:pt>
                <c:pt idx="9">
                  <c:v>26</c:v>
                </c:pt>
                <c:pt idx="10">
                  <c:v>15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'25.08 Mbale-Sironko'!$V$9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Mbale-Sironko'!$V$10:$V$21</c:f>
              <c:numCache>
                <c:formatCode>0</c:formatCode>
                <c:ptCount val="12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17</c:v>
                </c:pt>
                <c:pt idx="4">
                  <c:v>10</c:v>
                </c:pt>
                <c:pt idx="5">
                  <c:v>16</c:v>
                </c:pt>
                <c:pt idx="6">
                  <c:v>15</c:v>
                </c:pt>
                <c:pt idx="7">
                  <c:v>19</c:v>
                </c:pt>
                <c:pt idx="8">
                  <c:v>16</c:v>
                </c:pt>
                <c:pt idx="9">
                  <c:v>15</c:v>
                </c:pt>
                <c:pt idx="10">
                  <c:v>14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'25.08 Mbale-Sironko'!$W$9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'25.08 Mbale-Sironko'!$X$9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'25.08 Mbale-Sironko'!$Y$9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Mbale-Sironko'!$Y$10:$Y$21</c:f>
              <c:numCache>
                <c:formatCode>0</c:formatCode>
                <c:ptCount val="12"/>
                <c:pt idx="0">
                  <c:v>10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  <c:pt idx="4">
                  <c:v>8</c:v>
                </c:pt>
                <c:pt idx="5">
                  <c:v>12</c:v>
                </c:pt>
                <c:pt idx="6">
                  <c:v>18</c:v>
                </c:pt>
                <c:pt idx="7">
                  <c:v>15</c:v>
                </c:pt>
                <c:pt idx="8">
                  <c:v>12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'25.08 Mbale-Sironko'!$Z$9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'25.08 Mbale-Sironko'!$AA$9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'25.08 Mbale-Sironko'!$AB$9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Mbale-Sironko'!$AB$10:$AB$21</c:f>
              <c:numCache>
                <c:formatCode>0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5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'25.08 Mbale-Sironko'!$AC$9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Mbale-Sironko'!$AC$10:$AC$21</c:f>
              <c:numCache>
                <c:formatCode>0</c:formatCode>
                <c:ptCount val="12"/>
                <c:pt idx="0">
                  <c:v>49</c:v>
                </c:pt>
                <c:pt idx="1">
                  <c:v>75</c:v>
                </c:pt>
                <c:pt idx="2">
                  <c:v>104</c:v>
                </c:pt>
                <c:pt idx="3">
                  <c:v>137</c:v>
                </c:pt>
                <c:pt idx="4">
                  <c:v>145</c:v>
                </c:pt>
                <c:pt idx="5">
                  <c:v>131</c:v>
                </c:pt>
                <c:pt idx="6">
                  <c:v>112</c:v>
                </c:pt>
                <c:pt idx="7">
                  <c:v>126</c:v>
                </c:pt>
                <c:pt idx="8">
                  <c:v>99</c:v>
                </c:pt>
                <c:pt idx="9">
                  <c:v>109</c:v>
                </c:pt>
                <c:pt idx="10">
                  <c:v>135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'25.08 Mbale-Sironko'!$AD$9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Mbale-Sironko'!$AD$10:$AD$21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6048"/>
        <c:axId val="116880128"/>
      </c:lineChart>
      <c:catAx>
        <c:axId val="1168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880128"/>
        <c:crosses val="autoZero"/>
        <c:auto val="1"/>
        <c:lblAlgn val="ctr"/>
        <c:lblOffset val="100"/>
        <c:noMultiLvlLbl val="0"/>
      </c:catAx>
      <c:valAx>
        <c:axId val="11688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68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Mbale-Sironko'!$C$9:$N$9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Mbale-Sironko'!$C$60:$N$60</c:f>
              <c:numCache>
                <c:formatCode>0.00%</c:formatCode>
                <c:ptCount val="12"/>
                <c:pt idx="0">
                  <c:v>0.17611580217129072</c:v>
                </c:pt>
                <c:pt idx="1">
                  <c:v>5.5488540410132688E-2</c:v>
                </c:pt>
                <c:pt idx="2">
                  <c:v>0.28226779252110978</c:v>
                </c:pt>
                <c:pt idx="3">
                  <c:v>0.18455971049457176</c:v>
                </c:pt>
                <c:pt idx="4">
                  <c:v>1.2062726176115801E-3</c:v>
                </c:pt>
                <c:pt idx="5">
                  <c:v>2.4125452352231603E-3</c:v>
                </c:pt>
                <c:pt idx="6">
                  <c:v>0.18214716525934863</c:v>
                </c:pt>
                <c:pt idx="7">
                  <c:v>1.0856453558504222E-2</c:v>
                </c:pt>
                <c:pt idx="8">
                  <c:v>2.4125452352231603E-3</c:v>
                </c:pt>
                <c:pt idx="9">
                  <c:v>0.10253317249698432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Sironko-Mbale'!$AE$9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Sironko-Mbale'!$R$10:$R$33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Sironko-Mbale'!$AE$10:$AE$33</c:f>
              <c:numCache>
                <c:formatCode>0</c:formatCode>
                <c:ptCount val="24"/>
                <c:pt idx="0">
                  <c:v>35.142857142857146</c:v>
                </c:pt>
                <c:pt idx="1">
                  <c:v>52</c:v>
                </c:pt>
                <c:pt idx="2">
                  <c:v>60</c:v>
                </c:pt>
                <c:pt idx="3">
                  <c:v>59.142857142857139</c:v>
                </c:pt>
                <c:pt idx="4">
                  <c:v>61</c:v>
                </c:pt>
                <c:pt idx="5">
                  <c:v>70.142857142857153</c:v>
                </c:pt>
                <c:pt idx="6">
                  <c:v>68.857142857142861</c:v>
                </c:pt>
                <c:pt idx="7">
                  <c:v>69.142857142857139</c:v>
                </c:pt>
                <c:pt idx="8">
                  <c:v>72.714285714285708</c:v>
                </c:pt>
                <c:pt idx="9">
                  <c:v>72.714285714285708</c:v>
                </c:pt>
                <c:pt idx="10">
                  <c:v>95</c:v>
                </c:pt>
                <c:pt idx="11">
                  <c:v>81.714285714285708</c:v>
                </c:pt>
                <c:pt idx="12">
                  <c:v>76.5</c:v>
                </c:pt>
                <c:pt idx="13">
                  <c:v>84.5</c:v>
                </c:pt>
                <c:pt idx="14">
                  <c:v>31</c:v>
                </c:pt>
                <c:pt idx="15">
                  <c:v>24</c:v>
                </c:pt>
                <c:pt idx="16">
                  <c:v>11</c:v>
                </c:pt>
                <c:pt idx="17">
                  <c:v>9</c:v>
                </c:pt>
                <c:pt idx="18">
                  <c:v>9</c:v>
                </c:pt>
                <c:pt idx="19">
                  <c:v>6.5</c:v>
                </c:pt>
                <c:pt idx="20">
                  <c:v>4</c:v>
                </c:pt>
                <c:pt idx="21">
                  <c:v>8</c:v>
                </c:pt>
                <c:pt idx="22">
                  <c:v>10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Sironko-Mbale'!$AF$9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Sironko-Mbale'!$R$10:$R$33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Sironko-Mbale'!$AF$10:$AF$33</c:f>
              <c:numCache>
                <c:formatCode>0</c:formatCode>
                <c:ptCount val="24"/>
                <c:pt idx="0">
                  <c:v>128.42857142857142</c:v>
                </c:pt>
                <c:pt idx="1">
                  <c:v>161</c:v>
                </c:pt>
                <c:pt idx="2">
                  <c:v>175</c:v>
                </c:pt>
                <c:pt idx="3">
                  <c:v>174.42857142857144</c:v>
                </c:pt>
                <c:pt idx="4">
                  <c:v>173</c:v>
                </c:pt>
                <c:pt idx="5">
                  <c:v>192.85714285714289</c:v>
                </c:pt>
                <c:pt idx="6">
                  <c:v>185</c:v>
                </c:pt>
                <c:pt idx="7">
                  <c:v>178.28571428571431</c:v>
                </c:pt>
                <c:pt idx="8">
                  <c:v>173.42857142857144</c:v>
                </c:pt>
                <c:pt idx="9">
                  <c:v>199.42857142857144</c:v>
                </c:pt>
                <c:pt idx="10">
                  <c:v>243.14285714285711</c:v>
                </c:pt>
                <c:pt idx="11">
                  <c:v>198.42857142857144</c:v>
                </c:pt>
                <c:pt idx="12">
                  <c:v>187</c:v>
                </c:pt>
                <c:pt idx="13">
                  <c:v>155</c:v>
                </c:pt>
                <c:pt idx="14">
                  <c:v>72.5</c:v>
                </c:pt>
                <c:pt idx="15">
                  <c:v>49</c:v>
                </c:pt>
                <c:pt idx="16">
                  <c:v>25</c:v>
                </c:pt>
                <c:pt idx="17">
                  <c:v>16</c:v>
                </c:pt>
                <c:pt idx="18">
                  <c:v>13</c:v>
                </c:pt>
                <c:pt idx="19">
                  <c:v>11.5</c:v>
                </c:pt>
                <c:pt idx="20">
                  <c:v>6</c:v>
                </c:pt>
                <c:pt idx="21">
                  <c:v>14</c:v>
                </c:pt>
                <c:pt idx="22">
                  <c:v>16.5</c:v>
                </c:pt>
                <c:pt idx="23">
                  <c:v>54.5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94656"/>
        <c:axId val="117243904"/>
      </c:lineChart>
      <c:catAx>
        <c:axId val="117094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243904"/>
        <c:crosses val="autoZero"/>
        <c:auto val="1"/>
        <c:lblAlgn val="ctr"/>
        <c:lblOffset val="100"/>
        <c:noMultiLvlLbl val="0"/>
      </c:catAx>
      <c:valAx>
        <c:axId val="117243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0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Sironko-Mbale'!$C$107:$N$107</c:f>
              <c:numCache>
                <c:formatCode>0.0%</c:formatCode>
                <c:ptCount val="12"/>
                <c:pt idx="0">
                  <c:v>7.7228934087781004E-2</c:v>
                </c:pt>
                <c:pt idx="1">
                  <c:v>2.4621501758678697E-2</c:v>
                </c:pt>
                <c:pt idx="2">
                  <c:v>0.12851098536983227</c:v>
                </c:pt>
                <c:pt idx="3">
                  <c:v>7.3482183820155977E-2</c:v>
                </c:pt>
                <c:pt idx="4">
                  <c:v>2.4468573176326652E-3</c:v>
                </c:pt>
                <c:pt idx="5">
                  <c:v>9.1757149411224933E-4</c:v>
                </c:pt>
                <c:pt idx="6">
                  <c:v>7.9828719987765709E-2</c:v>
                </c:pt>
                <c:pt idx="7">
                  <c:v>3.1095478411581794E-3</c:v>
                </c:pt>
                <c:pt idx="8">
                  <c:v>1.1214762705816382E-3</c:v>
                </c:pt>
                <c:pt idx="9">
                  <c:v>0</c:v>
                </c:pt>
                <c:pt idx="10">
                  <c:v>0.60852831727583212</c:v>
                </c:pt>
                <c:pt idx="11">
                  <c:v>2.0390477646938876E-4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Sironko-Mbale'!$C$9:$N$9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Sironko-Mbale'!$C$108:$N$108</c:f>
              <c:numCache>
                <c:formatCode>0.00%</c:formatCode>
                <c:ptCount val="12"/>
                <c:pt idx="0">
                  <c:v>0.1972784686503028</c:v>
                </c:pt>
                <c:pt idx="1">
                  <c:v>6.2894719708314353E-2</c:v>
                </c:pt>
                <c:pt idx="2">
                  <c:v>0.3282765805065434</c:v>
                </c:pt>
                <c:pt idx="3">
                  <c:v>0.18770753304251581</c:v>
                </c:pt>
                <c:pt idx="4">
                  <c:v>6.2504069275343454E-3</c:v>
                </c:pt>
                <c:pt idx="5">
                  <c:v>2.3439025978253787E-3</c:v>
                </c:pt>
                <c:pt idx="6">
                  <c:v>0.20391952601080804</c:v>
                </c:pt>
                <c:pt idx="7">
                  <c:v>7.9432254704082314E-3</c:v>
                </c:pt>
                <c:pt idx="8">
                  <c:v>2.864769841786575E-3</c:v>
                </c:pt>
                <c:pt idx="9">
                  <c:v>0</c:v>
                </c:pt>
                <c:pt idx="11">
                  <c:v>5.2086724396119537E-4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Mbale- Sironko'!$AE$9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Mbale- Sironko'!$R$10:$R$33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Mbale- Sironko'!$AE$10:$AE$33</c:f>
              <c:numCache>
                <c:formatCode>0</c:formatCode>
                <c:ptCount val="24"/>
                <c:pt idx="0">
                  <c:v>37.714285714285715</c:v>
                </c:pt>
                <c:pt idx="1">
                  <c:v>56.999999999999993</c:v>
                </c:pt>
                <c:pt idx="2">
                  <c:v>71.571428571428569</c:v>
                </c:pt>
                <c:pt idx="3">
                  <c:v>80</c:v>
                </c:pt>
                <c:pt idx="4">
                  <c:v>80.857142857142861</c:v>
                </c:pt>
                <c:pt idx="5">
                  <c:v>78.714285714285708</c:v>
                </c:pt>
                <c:pt idx="6">
                  <c:v>84.857142857142861</c:v>
                </c:pt>
                <c:pt idx="7">
                  <c:v>81.428571428571431</c:v>
                </c:pt>
                <c:pt idx="8">
                  <c:v>72.857142857142847</c:v>
                </c:pt>
                <c:pt idx="9">
                  <c:v>77.999999999999986</c:v>
                </c:pt>
                <c:pt idx="10">
                  <c:v>79.714285714285708</c:v>
                </c:pt>
                <c:pt idx="11">
                  <c:v>73.285714285714278</c:v>
                </c:pt>
                <c:pt idx="12">
                  <c:v>68.5</c:v>
                </c:pt>
                <c:pt idx="13">
                  <c:v>60.5</c:v>
                </c:pt>
                <c:pt idx="14">
                  <c:v>49</c:v>
                </c:pt>
                <c:pt idx="15">
                  <c:v>22</c:v>
                </c:pt>
                <c:pt idx="16">
                  <c:v>16.5</c:v>
                </c:pt>
                <c:pt idx="17">
                  <c:v>10</c:v>
                </c:pt>
                <c:pt idx="18">
                  <c:v>6</c:v>
                </c:pt>
                <c:pt idx="19">
                  <c:v>7.5</c:v>
                </c:pt>
                <c:pt idx="20">
                  <c:v>6</c:v>
                </c:pt>
                <c:pt idx="21">
                  <c:v>7</c:v>
                </c:pt>
                <c:pt idx="22">
                  <c:v>12.5</c:v>
                </c:pt>
                <c:pt idx="23">
                  <c:v>29.5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Mbale- Sironko'!$AF$9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Mbale- Sironko'!$R$10:$R$33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Mbale- Sironko'!$AF$10:$AF$33</c:f>
              <c:numCache>
                <c:formatCode>0</c:formatCode>
                <c:ptCount val="24"/>
                <c:pt idx="0">
                  <c:v>96.571428571428584</c:v>
                </c:pt>
                <c:pt idx="1">
                  <c:v>144.71428571428572</c:v>
                </c:pt>
                <c:pt idx="2">
                  <c:v>177.14285714285717</c:v>
                </c:pt>
                <c:pt idx="3">
                  <c:v>208.42857142857142</c:v>
                </c:pt>
                <c:pt idx="4">
                  <c:v>209.42857142857142</c:v>
                </c:pt>
                <c:pt idx="5">
                  <c:v>203.85714285714286</c:v>
                </c:pt>
                <c:pt idx="6">
                  <c:v>200.14285714285714</c:v>
                </c:pt>
                <c:pt idx="7">
                  <c:v>186.14285714285714</c:v>
                </c:pt>
                <c:pt idx="8">
                  <c:v>185.28571428571431</c:v>
                </c:pt>
                <c:pt idx="9">
                  <c:v>188.71428571428572</c:v>
                </c:pt>
                <c:pt idx="10">
                  <c:v>210.14285714285711</c:v>
                </c:pt>
                <c:pt idx="11">
                  <c:v>175.85714285714283</c:v>
                </c:pt>
                <c:pt idx="12">
                  <c:v>170.5</c:v>
                </c:pt>
                <c:pt idx="13">
                  <c:v>130.5</c:v>
                </c:pt>
                <c:pt idx="14">
                  <c:v>98</c:v>
                </c:pt>
                <c:pt idx="15">
                  <c:v>55.5</c:v>
                </c:pt>
                <c:pt idx="16">
                  <c:v>29</c:v>
                </c:pt>
                <c:pt idx="17">
                  <c:v>18</c:v>
                </c:pt>
                <c:pt idx="18">
                  <c:v>11.5</c:v>
                </c:pt>
                <c:pt idx="19">
                  <c:v>12.5</c:v>
                </c:pt>
                <c:pt idx="20">
                  <c:v>8.5</c:v>
                </c:pt>
                <c:pt idx="21">
                  <c:v>11</c:v>
                </c:pt>
                <c:pt idx="22">
                  <c:v>24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8736"/>
        <c:axId val="117998720"/>
      </c:lineChart>
      <c:catAx>
        <c:axId val="117988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98720"/>
        <c:crosses val="autoZero"/>
        <c:auto val="1"/>
        <c:lblAlgn val="ctr"/>
        <c:lblOffset val="100"/>
        <c:noMultiLvlLbl val="0"/>
      </c:catAx>
      <c:valAx>
        <c:axId val="11799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79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Mbale- 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Mbale- Sironko'!$C$107:$N$107</c:f>
              <c:numCache>
                <c:formatCode>0.0%</c:formatCode>
                <c:ptCount val="12"/>
                <c:pt idx="0">
                  <c:v>7.9903455284552866E-2</c:v>
                </c:pt>
                <c:pt idx="1">
                  <c:v>2.2256097560975609E-2</c:v>
                </c:pt>
                <c:pt idx="2">
                  <c:v>0.13488313008130082</c:v>
                </c:pt>
                <c:pt idx="3">
                  <c:v>7.1747967479674796E-2</c:v>
                </c:pt>
                <c:pt idx="4">
                  <c:v>1.9308943089430897E-3</c:v>
                </c:pt>
                <c:pt idx="5">
                  <c:v>1.2195121951219512E-3</c:v>
                </c:pt>
                <c:pt idx="6">
                  <c:v>9.375E-2</c:v>
                </c:pt>
                <c:pt idx="7">
                  <c:v>4.8272357723577238E-3</c:v>
                </c:pt>
                <c:pt idx="8">
                  <c:v>1.6260162601626016E-3</c:v>
                </c:pt>
                <c:pt idx="9">
                  <c:v>4.3191056910569124E-3</c:v>
                </c:pt>
                <c:pt idx="10">
                  <c:v>0.5834857723577237</c:v>
                </c:pt>
                <c:pt idx="11">
                  <c:v>5.0813008130081301E-5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Mbale- Sironko'!$C$9:$N$9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Mbale- Sironko'!$C$108:$N$108</c:f>
              <c:numCache>
                <c:formatCode>0.00%</c:formatCode>
                <c:ptCount val="12"/>
                <c:pt idx="0">
                  <c:v>0.1918384774917653</c:v>
                </c:pt>
                <c:pt idx="1">
                  <c:v>5.3434183237769911E-2</c:v>
                </c:pt>
                <c:pt idx="2">
                  <c:v>0.32383798950835668</c:v>
                </c:pt>
                <c:pt idx="3">
                  <c:v>0.17225814322313041</c:v>
                </c:pt>
                <c:pt idx="4">
                  <c:v>4.635842381359034E-3</c:v>
                </c:pt>
                <c:pt idx="5">
                  <c:v>2.927900451384653E-3</c:v>
                </c:pt>
                <c:pt idx="6">
                  <c:v>0.22508234720019518</c:v>
                </c:pt>
                <c:pt idx="7">
                  <c:v>1.1589605953397584E-2</c:v>
                </c:pt>
                <c:pt idx="8">
                  <c:v>3.9038672685128705E-3</c:v>
                </c:pt>
                <c:pt idx="9">
                  <c:v>1.0369647431987315E-2</c:v>
                </c:pt>
                <c:pt idx="11">
                  <c:v>1.219958521410272E-4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Sironko-Mbale-2Dir'!$C$9:$N$9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Sironko-Mbale-2Dir'!$C$107:$N$107</c:f>
              <c:numCache>
                <c:formatCode>0.0%</c:formatCode>
                <c:ptCount val="12"/>
                <c:pt idx="0">
                  <c:v>7.856833855001652E-2</c:v>
                </c:pt>
                <c:pt idx="1">
                  <c:v>2.3436903580425984E-2</c:v>
                </c:pt>
                <c:pt idx="2">
                  <c:v>0.13170216555971193</c:v>
                </c:pt>
                <c:pt idx="3">
                  <c:v>7.261368552306792E-2</c:v>
                </c:pt>
                <c:pt idx="4">
                  <c:v>2.188462223579408E-3</c:v>
                </c:pt>
                <c:pt idx="5">
                  <c:v>1.0687838766318036E-3</c:v>
                </c:pt>
                <c:pt idx="6">
                  <c:v>8.6800519123597208E-2</c:v>
                </c:pt>
                <c:pt idx="7">
                  <c:v>3.9697686846324144E-3</c:v>
                </c:pt>
                <c:pt idx="8">
                  <c:v>1.3741506985266048E-3</c:v>
                </c:pt>
                <c:pt idx="9">
                  <c:v>2.1630149884215083E-3</c:v>
                </c:pt>
                <c:pt idx="10">
                  <c:v>0.59598697101559905</c:v>
                </c:pt>
                <c:pt idx="11">
                  <c:v>1.2723617578950044E-4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Sironko-Mbale-2Dir'!$C$9:$N$9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Sironko-Mbale-2Dir'!$C$108:$N$108</c:f>
              <c:numCache>
                <c:formatCode>0.00%</c:formatCode>
                <c:ptCount val="12"/>
                <c:pt idx="0">
                  <c:v>0.19446981387585424</c:v>
                </c:pt>
                <c:pt idx="1">
                  <c:v>5.801026674644915E-2</c:v>
                </c:pt>
                <c:pt idx="2">
                  <c:v>0.3259849463042862</c:v>
                </c:pt>
                <c:pt idx="3">
                  <c:v>0.17973104903473688</c:v>
                </c:pt>
                <c:pt idx="4">
                  <c:v>5.416811009983309E-3</c:v>
                </c:pt>
                <c:pt idx="5">
                  <c:v>2.6454193304569639E-3</c:v>
                </c:pt>
                <c:pt idx="6">
                  <c:v>0.21484584133782633</c:v>
                </c:pt>
                <c:pt idx="7">
                  <c:v>9.8258432274115834E-3</c:v>
                </c:pt>
                <c:pt idx="8">
                  <c:v>3.4012534248732402E-3</c:v>
                </c:pt>
                <c:pt idx="9">
                  <c:v>5.353824835448621E-3</c:v>
                </c:pt>
                <c:pt idx="11">
                  <c:v>3.1493087267344815E-4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Sironko-Mbale-2Dir'!$AE$9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Sironko-Mbale-2Dir'!$R$10:$R$33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Sironko-Mbale-2Dir'!$AE$10:$AE$33</c:f>
              <c:numCache>
                <c:formatCode>0</c:formatCode>
                <c:ptCount val="24"/>
                <c:pt idx="0">
                  <c:v>72.857142857142847</c:v>
                </c:pt>
                <c:pt idx="1">
                  <c:v>109</c:v>
                </c:pt>
                <c:pt idx="2">
                  <c:v>131.57142857142858</c:v>
                </c:pt>
                <c:pt idx="3">
                  <c:v>139.14285714285714</c:v>
                </c:pt>
                <c:pt idx="4">
                  <c:v>141.85714285714286</c:v>
                </c:pt>
                <c:pt idx="5">
                  <c:v>148.85714285714289</c:v>
                </c:pt>
                <c:pt idx="6">
                  <c:v>153.71428571428572</c:v>
                </c:pt>
                <c:pt idx="7">
                  <c:v>150.57142857142856</c:v>
                </c:pt>
                <c:pt idx="8">
                  <c:v>145.57142857142858</c:v>
                </c:pt>
                <c:pt idx="9">
                  <c:v>150.71428571428572</c:v>
                </c:pt>
                <c:pt idx="10">
                  <c:v>174.71428571428569</c:v>
                </c:pt>
                <c:pt idx="11">
                  <c:v>155</c:v>
                </c:pt>
                <c:pt idx="12">
                  <c:v>145</c:v>
                </c:pt>
                <c:pt idx="13">
                  <c:v>145</c:v>
                </c:pt>
                <c:pt idx="14">
                  <c:v>80</c:v>
                </c:pt>
                <c:pt idx="15">
                  <c:v>46</c:v>
                </c:pt>
                <c:pt idx="16">
                  <c:v>27.5</c:v>
                </c:pt>
                <c:pt idx="17">
                  <c:v>19</c:v>
                </c:pt>
                <c:pt idx="18">
                  <c:v>15</c:v>
                </c:pt>
                <c:pt idx="19">
                  <c:v>14</c:v>
                </c:pt>
                <c:pt idx="20">
                  <c:v>10</c:v>
                </c:pt>
                <c:pt idx="21">
                  <c:v>15</c:v>
                </c:pt>
                <c:pt idx="22">
                  <c:v>22.5</c:v>
                </c:pt>
                <c:pt idx="23">
                  <c:v>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99-4F4E-B73A-960B60AAD6A9}"/>
            </c:ext>
          </c:extLst>
        </c:ser>
        <c:ser>
          <c:idx val="1"/>
          <c:order val="1"/>
          <c:tx>
            <c:strRef>
              <c:f>'Avg Week Sironko-Mbale-2Dir'!$AF$9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Sironko-Mbale-2Dir'!$R$10:$R$33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Sironko-Mbale-2Dir'!$AF$10:$AF$33</c:f>
              <c:numCache>
                <c:formatCode>0</c:formatCode>
                <c:ptCount val="24"/>
                <c:pt idx="0">
                  <c:v>225</c:v>
                </c:pt>
                <c:pt idx="1">
                  <c:v>305.71428571428567</c:v>
                </c:pt>
                <c:pt idx="2">
                  <c:v>352.14285714285711</c:v>
                </c:pt>
                <c:pt idx="3">
                  <c:v>382.85714285714283</c:v>
                </c:pt>
                <c:pt idx="4">
                  <c:v>382.42857142857144</c:v>
                </c:pt>
                <c:pt idx="5">
                  <c:v>396.71428571428572</c:v>
                </c:pt>
                <c:pt idx="6">
                  <c:v>385.14285714285717</c:v>
                </c:pt>
                <c:pt idx="7">
                  <c:v>364.42857142857144</c:v>
                </c:pt>
                <c:pt idx="8">
                  <c:v>358.71428571428578</c:v>
                </c:pt>
                <c:pt idx="9">
                  <c:v>388.14285714285717</c:v>
                </c:pt>
                <c:pt idx="10">
                  <c:v>453.28571428571428</c:v>
                </c:pt>
                <c:pt idx="11">
                  <c:v>374.28571428571428</c:v>
                </c:pt>
                <c:pt idx="12">
                  <c:v>357.5</c:v>
                </c:pt>
                <c:pt idx="13">
                  <c:v>285.5</c:v>
                </c:pt>
                <c:pt idx="14">
                  <c:v>170.5</c:v>
                </c:pt>
                <c:pt idx="15">
                  <c:v>104.5</c:v>
                </c:pt>
                <c:pt idx="16">
                  <c:v>54</c:v>
                </c:pt>
                <c:pt idx="17">
                  <c:v>34</c:v>
                </c:pt>
                <c:pt idx="18">
                  <c:v>24.5</c:v>
                </c:pt>
                <c:pt idx="19">
                  <c:v>24</c:v>
                </c:pt>
                <c:pt idx="20">
                  <c:v>14.5</c:v>
                </c:pt>
                <c:pt idx="21">
                  <c:v>25</c:v>
                </c:pt>
                <c:pt idx="22">
                  <c:v>40.5</c:v>
                </c:pt>
                <c:pt idx="23">
                  <c:v>110.5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99-4F4E-B73A-960B60AAD6A9}"/>
            </c:ext>
          </c:extLst>
        </c:ser>
        <c:ser>
          <c:idx val="5"/>
          <c:order val="2"/>
          <c:tx>
            <c:strRef>
              <c:f>'Avg Week Sironko-Mbale-2Dir'!$AC$9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Sironko-Mbale-2Dir'!$R$10:$R$33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Sironko-Mbale-2Dir'!$AC$10:$AC$33</c:f>
              <c:numCache>
                <c:formatCode>0</c:formatCode>
                <c:ptCount val="24"/>
                <c:pt idx="0">
                  <c:v>152.14285714285717</c:v>
                </c:pt>
                <c:pt idx="1">
                  <c:v>196.71428571428569</c:v>
                </c:pt>
                <c:pt idx="2">
                  <c:v>220.57142857142856</c:v>
                </c:pt>
                <c:pt idx="3">
                  <c:v>243.71428571428572</c:v>
                </c:pt>
                <c:pt idx="4">
                  <c:v>240.57142857142856</c:v>
                </c:pt>
                <c:pt idx="5">
                  <c:v>247.85714285714283</c:v>
                </c:pt>
                <c:pt idx="6">
                  <c:v>231.42857142857144</c:v>
                </c:pt>
                <c:pt idx="7">
                  <c:v>213.85714285714286</c:v>
                </c:pt>
                <c:pt idx="8">
                  <c:v>213.14285714285714</c:v>
                </c:pt>
                <c:pt idx="9">
                  <c:v>237.42857142857144</c:v>
                </c:pt>
                <c:pt idx="10">
                  <c:v>278.57142857142856</c:v>
                </c:pt>
                <c:pt idx="11">
                  <c:v>219.28571428571428</c:v>
                </c:pt>
                <c:pt idx="12">
                  <c:v>212.5</c:v>
                </c:pt>
                <c:pt idx="13">
                  <c:v>140.5</c:v>
                </c:pt>
                <c:pt idx="14">
                  <c:v>90.5</c:v>
                </c:pt>
                <c:pt idx="15">
                  <c:v>58.5</c:v>
                </c:pt>
                <c:pt idx="16">
                  <c:v>26.5</c:v>
                </c:pt>
                <c:pt idx="17">
                  <c:v>15</c:v>
                </c:pt>
                <c:pt idx="18">
                  <c:v>9.5</c:v>
                </c:pt>
                <c:pt idx="19">
                  <c:v>10</c:v>
                </c:pt>
                <c:pt idx="20">
                  <c:v>4.5</c:v>
                </c:pt>
                <c:pt idx="21">
                  <c:v>10</c:v>
                </c:pt>
                <c:pt idx="22">
                  <c:v>18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9-4F4E-B73A-960B60AA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Sironko-Mbale-2Dir'!$S$9:$AF$9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Sironko-Mbale-2Dir'!$S$42:$AF$42</c:f>
              <c:numCache>
                <c:formatCode>0.000</c:formatCode>
                <c:ptCount val="14"/>
                <c:pt idx="0">
                  <c:v>1.3027426160337552</c:v>
                </c:pt>
                <c:pt idx="1">
                  <c:v>1.1483790523690771</c:v>
                </c:pt>
                <c:pt idx="2">
                  <c:v>1.311249049911325</c:v>
                </c:pt>
                <c:pt idx="3">
                  <c:v>1.2310181190681622</c:v>
                </c:pt>
                <c:pt idx="4">
                  <c:v>1.0886075949367089</c:v>
                </c:pt>
                <c:pt idx="5">
                  <c:v>1.2</c:v>
                </c:pt>
                <c:pt idx="6">
                  <c:v>1.763702171664943</c:v>
                </c:pt>
                <c:pt idx="7">
                  <c:v>1.368421052631579</c:v>
                </c:pt>
                <c:pt idx="8">
                  <c:v>2.0769230769230771</c:v>
                </c:pt>
                <c:pt idx="9">
                  <c:v>1</c:v>
                </c:pt>
                <c:pt idx="10">
                  <c:v>1.2413473260189749</c:v>
                </c:pt>
                <c:pt idx="11">
                  <c:v>1</c:v>
                </c:pt>
                <c:pt idx="12">
                  <c:v>1.3552283397353819</c:v>
                </c:pt>
                <c:pt idx="13">
                  <c:v>1.2849715518932705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88B-A074-D1E5FE4BB3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Sironko-Mbale-2Dir'!$S$9:$AF$9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Sironko-Mbale-2Dir'!$S$41:$AF$41</c:f>
              <c:numCache>
                <c:formatCode>_(* #,##0_);_(* \(#,##0\);_(* "-"_);_(@_)</c:formatCode>
                <c:ptCount val="14"/>
                <c:pt idx="0">
                  <c:v>441.07142857142861</c:v>
                </c:pt>
                <c:pt idx="1">
                  <c:v>131.57142857142856</c:v>
                </c:pt>
                <c:pt idx="2">
                  <c:v>739.35714285714289</c:v>
                </c:pt>
                <c:pt idx="3">
                  <c:v>407.64285714285722</c:v>
                </c:pt>
                <c:pt idx="4">
                  <c:v>12.285714285714283</c:v>
                </c:pt>
                <c:pt idx="5">
                  <c:v>5.9999999999999991</c:v>
                </c:pt>
                <c:pt idx="6">
                  <c:v>487.28571428571433</c:v>
                </c:pt>
                <c:pt idx="7">
                  <c:v>22.285714285714288</c:v>
                </c:pt>
                <c:pt idx="8">
                  <c:v>7.7142857142857144</c:v>
                </c:pt>
                <c:pt idx="9">
                  <c:v>12.142857142857141</c:v>
                </c:pt>
                <c:pt idx="10">
                  <c:v>3345.7857142857142</c:v>
                </c:pt>
                <c:pt idx="11">
                  <c:v>0.71428571428571419</c:v>
                </c:pt>
                <c:pt idx="12">
                  <c:v>2268.0714285714284</c:v>
                </c:pt>
                <c:pt idx="13">
                  <c:v>5613.8571428571431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0-4B9C-B142-FE89E30A90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222250</xdr:colOff>
      <xdr:row>37</xdr:row>
      <xdr:rowOff>222250</xdr:rowOff>
    </xdr:from>
    <xdr:to>
      <xdr:col>31</xdr:col>
      <xdr:colOff>396874</xdr:colOff>
      <xdr:row>52</xdr:row>
      <xdr:rowOff>22225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42</xdr:row>
      <xdr:rowOff>276224</xdr:rowOff>
    </xdr:from>
    <xdr:to>
      <xdr:col>27</xdr:col>
      <xdr:colOff>698499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698501</xdr:colOff>
      <xdr:row>58</xdr:row>
      <xdr:rowOff>279400</xdr:rowOff>
    </xdr:from>
    <xdr:to>
      <xdr:col>30</xdr:col>
      <xdr:colOff>15876</xdr:colOff>
      <xdr:row>73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15876</xdr:colOff>
      <xdr:row>58</xdr:row>
      <xdr:rowOff>269875</xdr:rowOff>
    </xdr:from>
    <xdr:to>
      <xdr:col>24</xdr:col>
      <xdr:colOff>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22224</xdr:rowOff>
    </xdr:from>
    <xdr:to>
      <xdr:col>27</xdr:col>
      <xdr:colOff>682625</xdr:colOff>
      <xdr:row>58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59</xdr:row>
      <xdr:rowOff>9525</xdr:rowOff>
    </xdr:from>
    <xdr:to>
      <xdr:col>30</xdr:col>
      <xdr:colOff>31750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15875</xdr:rowOff>
    </xdr:from>
    <xdr:to>
      <xdr:col>24</xdr:col>
      <xdr:colOff>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73</xdr:row>
      <xdr:rowOff>279400</xdr:rowOff>
    </xdr:from>
    <xdr:to>
      <xdr:col>24</xdr:col>
      <xdr:colOff>238125</xdr:colOff>
      <xdr:row>88</xdr:row>
      <xdr:rowOff>254000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59</xdr:row>
      <xdr:rowOff>0</xdr:rowOff>
    </xdr:from>
    <xdr:to>
      <xdr:col>24</xdr:col>
      <xdr:colOff>190500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42</xdr:row>
      <xdr:rowOff>269875</xdr:rowOff>
    </xdr:from>
    <xdr:to>
      <xdr:col>30</xdr:col>
      <xdr:colOff>698500</xdr:colOff>
      <xdr:row>57</xdr:row>
      <xdr:rowOff>269875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F6C6BF6-5C19-41ED-89BD-B781E815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238125</xdr:colOff>
      <xdr:row>73</xdr:row>
      <xdr:rowOff>269876</xdr:rowOff>
    </xdr:from>
    <xdr:to>
      <xdr:col>31</xdr:col>
      <xdr:colOff>47625</xdr:colOff>
      <xdr:row>88</xdr:row>
      <xdr:rowOff>269876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25D33A5-1EDB-4996-B21D-0EAF6CCE3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206374</xdr:colOff>
      <xdr:row>59</xdr:row>
      <xdr:rowOff>15874</xdr:rowOff>
    </xdr:from>
    <xdr:to>
      <xdr:col>31</xdr:col>
      <xdr:colOff>15874</xdr:colOff>
      <xdr:row>73</xdr:row>
      <xdr:rowOff>269875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5118A8D-AFF5-4B50-9E87-B72C81882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EDMP-N&amp;E-DATA\EASTERN%20REGION%20C-3\STN120%20MBALE-SIRONKO\MCC-Needs%20to%20be%20coverted\17.%20Mbale%20-%20Sironk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"/>
      <sheetName val="RD4 MCC"/>
      <sheetName val="Axle Loads"/>
      <sheetName val="Chart1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/>
      <sheetData sheetId="1">
        <row r="822">
          <cell r="R822">
            <v>1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G13" sqref="G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173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57" t="s">
        <v>162</v>
      </c>
      <c r="H5" s="58"/>
      <c r="I5" s="14"/>
      <c r="J5" s="2" t="s">
        <v>5</v>
      </c>
      <c r="K5" s="57" t="s">
        <v>162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164</v>
      </c>
      <c r="E6" s="58"/>
      <c r="F6" s="2" t="s">
        <v>2</v>
      </c>
      <c r="G6" s="57" t="s">
        <v>165</v>
      </c>
      <c r="H6" s="58"/>
      <c r="J6" s="2" t="s">
        <v>21</v>
      </c>
      <c r="K6" s="57" t="s">
        <v>162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10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31</v>
      </c>
      <c r="AF10" s="31">
        <f t="shared" si="2"/>
        <v>74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3</v>
      </c>
      <c r="P11" s="15">
        <f t="shared" si="1"/>
        <v>7</v>
      </c>
      <c r="R11" s="1" t="s">
        <v>7</v>
      </c>
      <c r="S11" s="17">
        <f t="shared" ref="S11:AF11" si="3">SUM(C14:C17)</f>
        <v>18</v>
      </c>
      <c r="T11" s="17">
        <f t="shared" si="3"/>
        <v>6</v>
      </c>
      <c r="U11" s="17">
        <f t="shared" si="3"/>
        <v>28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113</v>
      </c>
      <c r="AD11" s="17">
        <f t="shared" si="3"/>
        <v>0</v>
      </c>
      <c r="AE11" s="31">
        <f t="shared" si="3"/>
        <v>71</v>
      </c>
      <c r="AF11" s="31">
        <f t="shared" si="3"/>
        <v>184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3</v>
      </c>
      <c r="F12" s="50">
        <v>0</v>
      </c>
      <c r="G12" s="50">
        <v>0</v>
      </c>
      <c r="H12" s="50">
        <v>0</v>
      </c>
      <c r="I12" s="50">
        <v>7</v>
      </c>
      <c r="J12" s="50">
        <v>1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15</v>
      </c>
      <c r="P12" s="15">
        <f t="shared" si="1"/>
        <v>20</v>
      </c>
      <c r="R12" s="1" t="s">
        <v>8</v>
      </c>
      <c r="S12" s="17">
        <f t="shared" ref="S12:AF12" si="4">SUM(C18:C21)</f>
        <v>14</v>
      </c>
      <c r="T12" s="17">
        <f t="shared" si="4"/>
        <v>4</v>
      </c>
      <c r="U12" s="17">
        <f t="shared" si="4"/>
        <v>22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128</v>
      </c>
      <c r="AD12" s="17">
        <f t="shared" si="4"/>
        <v>0</v>
      </c>
      <c r="AE12" s="31">
        <f t="shared" si="4"/>
        <v>67</v>
      </c>
      <c r="AF12" s="31">
        <f t="shared" si="4"/>
        <v>195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6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34</v>
      </c>
      <c r="N13" s="50">
        <v>0</v>
      </c>
      <c r="O13" s="15">
        <f t="shared" si="0"/>
        <v>13</v>
      </c>
      <c r="P13" s="15">
        <f t="shared" si="1"/>
        <v>47</v>
      </c>
      <c r="R13" s="1" t="s">
        <v>9</v>
      </c>
      <c r="S13" s="17">
        <f t="shared" ref="S13:AF13" si="5">SUM(C22:C25)</f>
        <v>17</v>
      </c>
      <c r="T13" s="17">
        <f t="shared" si="5"/>
        <v>6</v>
      </c>
      <c r="U13" s="17">
        <f t="shared" si="5"/>
        <v>26</v>
      </c>
      <c r="V13" s="17">
        <f t="shared" si="5"/>
        <v>16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123</v>
      </c>
      <c r="AD13" s="17">
        <f t="shared" si="5"/>
        <v>0</v>
      </c>
      <c r="AE13" s="31">
        <f t="shared" si="5"/>
        <v>76</v>
      </c>
      <c r="AF13" s="31">
        <f t="shared" si="5"/>
        <v>199</v>
      </c>
    </row>
    <row r="14" spans="2:32" ht="23.1" customHeight="1" x14ac:dyDescent="0.25">
      <c r="B14" s="23" t="s">
        <v>41</v>
      </c>
      <c r="C14" s="50">
        <v>8</v>
      </c>
      <c r="D14" s="50">
        <v>1</v>
      </c>
      <c r="E14" s="50">
        <v>6</v>
      </c>
      <c r="F14" s="50">
        <v>4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20</v>
      </c>
      <c r="P14" s="15">
        <f t="shared" si="1"/>
        <v>50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21</v>
      </c>
      <c r="V14" s="17">
        <f t="shared" si="6"/>
        <v>16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124</v>
      </c>
      <c r="AD14" s="17">
        <f t="shared" si="6"/>
        <v>0</v>
      </c>
      <c r="AE14" s="31">
        <f t="shared" si="6"/>
        <v>59</v>
      </c>
      <c r="AF14" s="31">
        <f t="shared" si="6"/>
        <v>183</v>
      </c>
    </row>
    <row r="15" spans="2:32" ht="23.1" customHeight="1" x14ac:dyDescent="0.25">
      <c r="B15" s="23" t="s">
        <v>42</v>
      </c>
      <c r="C15" s="50">
        <v>2</v>
      </c>
      <c r="D15" s="50">
        <v>3</v>
      </c>
      <c r="E15" s="50">
        <v>10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40</v>
      </c>
      <c r="N15" s="50">
        <v>0</v>
      </c>
      <c r="O15" s="15">
        <f t="shared" si="0"/>
        <v>17</v>
      </c>
      <c r="P15" s="15">
        <f t="shared" si="1"/>
        <v>57</v>
      </c>
      <c r="R15" s="1" t="s">
        <v>11</v>
      </c>
      <c r="S15" s="17">
        <f t="shared" ref="S15:AF15" si="7">SUM(C30:C33)</f>
        <v>11</v>
      </c>
      <c r="T15" s="17">
        <f t="shared" si="7"/>
        <v>3</v>
      </c>
      <c r="U15" s="17">
        <f t="shared" si="7"/>
        <v>15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123</v>
      </c>
      <c r="AD15" s="17">
        <f t="shared" si="7"/>
        <v>0</v>
      </c>
      <c r="AE15" s="31">
        <f t="shared" si="7"/>
        <v>58</v>
      </c>
      <c r="AF15" s="31">
        <f t="shared" si="7"/>
        <v>181</v>
      </c>
    </row>
    <row r="16" spans="2:32" ht="23.1" customHeight="1" x14ac:dyDescent="0.25">
      <c r="B16" s="23" t="s">
        <v>43</v>
      </c>
      <c r="C16" s="50">
        <v>5</v>
      </c>
      <c r="D16" s="50">
        <v>2</v>
      </c>
      <c r="E16" s="50">
        <v>9</v>
      </c>
      <c r="F16" s="50">
        <v>2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19</v>
      </c>
      <c r="N16" s="50">
        <v>0</v>
      </c>
      <c r="O16" s="15">
        <f t="shared" si="0"/>
        <v>22</v>
      </c>
      <c r="P16" s="15">
        <f t="shared" si="1"/>
        <v>41</v>
      </c>
      <c r="R16" s="1" t="s">
        <v>12</v>
      </c>
      <c r="S16" s="17">
        <f t="shared" ref="S16:AF16" si="8">SUM(C34:C37)</f>
        <v>17</v>
      </c>
      <c r="T16" s="17">
        <f t="shared" si="8"/>
        <v>4</v>
      </c>
      <c r="U16" s="17">
        <f t="shared" si="8"/>
        <v>21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135</v>
      </c>
      <c r="AD16" s="17">
        <f t="shared" si="8"/>
        <v>0</v>
      </c>
      <c r="AE16" s="31">
        <f t="shared" si="8"/>
        <v>70</v>
      </c>
      <c r="AF16" s="31">
        <f t="shared" si="8"/>
        <v>205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3</v>
      </c>
      <c r="F17" s="50">
        <v>4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24</v>
      </c>
      <c r="N17" s="50">
        <v>0</v>
      </c>
      <c r="O17" s="15">
        <f t="shared" si="0"/>
        <v>12</v>
      </c>
      <c r="P17" s="15">
        <f t="shared" si="1"/>
        <v>36</v>
      </c>
      <c r="R17" s="1" t="s">
        <v>13</v>
      </c>
      <c r="S17" s="17">
        <f t="shared" ref="S17:AF17" si="9">SUM(C38:C41)</f>
        <v>10</v>
      </c>
      <c r="T17" s="17">
        <f t="shared" si="9"/>
        <v>4</v>
      </c>
      <c r="U17" s="17">
        <f t="shared" si="9"/>
        <v>21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13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93</v>
      </c>
      <c r="AD17" s="17">
        <f t="shared" si="9"/>
        <v>0</v>
      </c>
      <c r="AE17" s="31">
        <f t="shared" si="9"/>
        <v>63</v>
      </c>
      <c r="AF17" s="31">
        <f t="shared" si="9"/>
        <v>156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3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9</v>
      </c>
      <c r="P18" s="15">
        <f t="shared" si="1"/>
        <v>35</v>
      </c>
      <c r="R18" s="1" t="s">
        <v>14</v>
      </c>
      <c r="S18" s="17">
        <f t="shared" ref="S18:AF18" si="10">SUM(C42:C45)</f>
        <v>18</v>
      </c>
      <c r="T18" s="17">
        <f t="shared" si="10"/>
        <v>5</v>
      </c>
      <c r="U18" s="17">
        <f t="shared" si="10"/>
        <v>24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110</v>
      </c>
      <c r="AD18" s="17">
        <f t="shared" si="10"/>
        <v>0</v>
      </c>
      <c r="AE18" s="31">
        <f t="shared" si="10"/>
        <v>72</v>
      </c>
      <c r="AF18" s="31">
        <f t="shared" si="10"/>
        <v>182</v>
      </c>
    </row>
    <row r="19" spans="2:32" ht="23.1" customHeight="1" x14ac:dyDescent="0.25">
      <c r="B19" s="23" t="s">
        <v>46</v>
      </c>
      <c r="C19" s="50">
        <v>6</v>
      </c>
      <c r="D19" s="50">
        <v>1</v>
      </c>
      <c r="E19" s="50">
        <v>5</v>
      </c>
      <c r="F19" s="50">
        <v>6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36</v>
      </c>
      <c r="N19" s="50">
        <v>0</v>
      </c>
      <c r="O19" s="15">
        <f t="shared" si="0"/>
        <v>18</v>
      </c>
      <c r="P19" s="15">
        <f t="shared" si="1"/>
        <v>54</v>
      </c>
      <c r="R19" s="1" t="s">
        <v>15</v>
      </c>
      <c r="S19" s="17">
        <f t="shared" ref="S19:AF19" si="11">SUM(C46:C49)</f>
        <v>18</v>
      </c>
      <c r="T19" s="17">
        <f t="shared" si="11"/>
        <v>7</v>
      </c>
      <c r="U19" s="17">
        <f t="shared" si="11"/>
        <v>29</v>
      </c>
      <c r="V19" s="17">
        <f t="shared" si="11"/>
        <v>7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135</v>
      </c>
      <c r="AD19" s="17">
        <f t="shared" si="11"/>
        <v>0</v>
      </c>
      <c r="AE19" s="31">
        <f t="shared" si="11"/>
        <v>75</v>
      </c>
      <c r="AF19" s="31">
        <f t="shared" si="11"/>
        <v>210</v>
      </c>
    </row>
    <row r="20" spans="2:32" ht="23.1" customHeight="1" x14ac:dyDescent="0.25">
      <c r="B20" s="23" t="s">
        <v>47</v>
      </c>
      <c r="C20" s="50">
        <v>3</v>
      </c>
      <c r="D20" s="50">
        <v>2</v>
      </c>
      <c r="E20" s="50">
        <v>8</v>
      </c>
      <c r="F20" s="50">
        <v>5</v>
      </c>
      <c r="G20" s="50">
        <v>0</v>
      </c>
      <c r="H20" s="50">
        <v>0</v>
      </c>
      <c r="I20" s="50">
        <v>6</v>
      </c>
      <c r="J20" s="50">
        <v>0</v>
      </c>
      <c r="K20" s="50">
        <v>0</v>
      </c>
      <c r="L20" s="50">
        <v>0</v>
      </c>
      <c r="M20" s="50">
        <v>31</v>
      </c>
      <c r="N20" s="50">
        <v>0</v>
      </c>
      <c r="O20" s="15">
        <f t="shared" si="0"/>
        <v>24</v>
      </c>
      <c r="P20" s="15">
        <f t="shared" si="1"/>
        <v>55</v>
      </c>
      <c r="R20" s="1" t="s">
        <v>16</v>
      </c>
      <c r="S20" s="17">
        <f t="shared" ref="S20:AF20" si="12">SUM(C50:C53)</f>
        <v>23</v>
      </c>
      <c r="T20" s="17">
        <f t="shared" si="12"/>
        <v>11</v>
      </c>
      <c r="U20" s="17">
        <f t="shared" si="12"/>
        <v>42</v>
      </c>
      <c r="V20" s="17">
        <f t="shared" si="12"/>
        <v>20</v>
      </c>
      <c r="W20" s="17">
        <f t="shared" si="12"/>
        <v>3</v>
      </c>
      <c r="X20" s="17">
        <f t="shared" si="12"/>
        <v>0</v>
      </c>
      <c r="Y20" s="17">
        <f t="shared" si="12"/>
        <v>9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150</v>
      </c>
      <c r="AD20" s="17">
        <f t="shared" si="12"/>
        <v>0</v>
      </c>
      <c r="AE20" s="31">
        <f t="shared" si="12"/>
        <v>108</v>
      </c>
      <c r="AF20" s="31">
        <f t="shared" si="12"/>
        <v>258</v>
      </c>
    </row>
    <row r="21" spans="2:32" ht="23.1" customHeight="1" x14ac:dyDescent="0.25">
      <c r="B21" s="23" t="s">
        <v>48</v>
      </c>
      <c r="C21" s="50">
        <v>2</v>
      </c>
      <c r="D21" s="50">
        <v>1</v>
      </c>
      <c r="E21" s="50">
        <v>6</v>
      </c>
      <c r="F21" s="50">
        <v>6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35</v>
      </c>
      <c r="N21" s="50">
        <v>0</v>
      </c>
      <c r="O21" s="15">
        <f t="shared" si="0"/>
        <v>16</v>
      </c>
      <c r="P21" s="15">
        <f t="shared" si="1"/>
        <v>51</v>
      </c>
      <c r="R21" s="36" t="s">
        <v>20</v>
      </c>
      <c r="S21" s="34">
        <f t="shared" ref="S21:AF21" si="13">SUM(C54:C57)</f>
        <v>20</v>
      </c>
      <c r="T21" s="17">
        <f t="shared" si="13"/>
        <v>7</v>
      </c>
      <c r="U21" s="17">
        <f t="shared" si="13"/>
        <v>29</v>
      </c>
      <c r="V21" s="17">
        <f t="shared" si="13"/>
        <v>23</v>
      </c>
      <c r="W21" s="17">
        <f t="shared" si="13"/>
        <v>0</v>
      </c>
      <c r="X21" s="17">
        <f t="shared" si="13"/>
        <v>0</v>
      </c>
      <c r="Y21" s="17">
        <f t="shared" si="13"/>
        <v>16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135</v>
      </c>
      <c r="AD21" s="17">
        <f t="shared" si="13"/>
        <v>0</v>
      </c>
      <c r="AE21" s="31">
        <f t="shared" si="13"/>
        <v>96</v>
      </c>
      <c r="AF21" s="31">
        <f t="shared" si="13"/>
        <v>231</v>
      </c>
    </row>
    <row r="22" spans="2:32" ht="23.1" customHeight="1" x14ac:dyDescent="0.25">
      <c r="B22" s="23" t="s">
        <v>49</v>
      </c>
      <c r="C22" s="50">
        <v>7</v>
      </c>
      <c r="D22" s="50">
        <v>1</v>
      </c>
      <c r="E22" s="50">
        <v>4</v>
      </c>
      <c r="F22" s="50">
        <v>4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36</v>
      </c>
      <c r="N22" s="50">
        <v>0</v>
      </c>
      <c r="O22" s="15">
        <f t="shared" si="0"/>
        <v>19</v>
      </c>
      <c r="P22" s="15">
        <f t="shared" si="1"/>
        <v>55</v>
      </c>
      <c r="R22" s="38" t="s">
        <v>90</v>
      </c>
      <c r="S22" s="39">
        <f>MAX(S10:S12)</f>
        <v>18</v>
      </c>
      <c r="T22" s="39">
        <f t="shared" ref="T22:AF22" si="14">MAX(T10:T12)</f>
        <v>6</v>
      </c>
      <c r="U22" s="39">
        <f t="shared" si="14"/>
        <v>28</v>
      </c>
      <c r="V22" s="39">
        <f t="shared" si="14"/>
        <v>17</v>
      </c>
      <c r="W22" s="39">
        <f t="shared" si="14"/>
        <v>0</v>
      </c>
      <c r="X22" s="39">
        <f t="shared" si="14"/>
        <v>0</v>
      </c>
      <c r="Y22" s="39">
        <f t="shared" si="14"/>
        <v>10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128</v>
      </c>
      <c r="AD22" s="39">
        <f t="shared" si="14"/>
        <v>0</v>
      </c>
      <c r="AE22" s="40">
        <f t="shared" si="14"/>
        <v>71</v>
      </c>
      <c r="AF22" s="40">
        <f t="shared" si="14"/>
        <v>195</v>
      </c>
    </row>
    <row r="23" spans="2:32" ht="23.1" customHeight="1" x14ac:dyDescent="0.25">
      <c r="B23" s="23" t="s">
        <v>50</v>
      </c>
      <c r="C23" s="50">
        <v>5</v>
      </c>
      <c r="D23" s="50">
        <v>2</v>
      </c>
      <c r="E23" s="50">
        <v>9</v>
      </c>
      <c r="F23" s="50">
        <v>4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23</v>
      </c>
      <c r="P23" s="15">
        <f t="shared" si="1"/>
        <v>42</v>
      </c>
      <c r="R23" s="38" t="s">
        <v>91</v>
      </c>
      <c r="S23" s="39">
        <f>MAX(S13:S18)</f>
        <v>18</v>
      </c>
      <c r="T23" s="39">
        <f t="shared" ref="T23:AF23" si="15">MAX(T13:T18)</f>
        <v>6</v>
      </c>
      <c r="U23" s="39">
        <f t="shared" si="15"/>
        <v>26</v>
      </c>
      <c r="V23" s="39">
        <f t="shared" si="15"/>
        <v>16</v>
      </c>
      <c r="W23" s="39">
        <f t="shared" si="15"/>
        <v>0</v>
      </c>
      <c r="X23" s="39">
        <f t="shared" si="15"/>
        <v>0</v>
      </c>
      <c r="Y23" s="39">
        <f t="shared" si="15"/>
        <v>13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135</v>
      </c>
      <c r="AD23" s="39">
        <f t="shared" si="15"/>
        <v>0</v>
      </c>
      <c r="AE23" s="40">
        <f t="shared" si="15"/>
        <v>76</v>
      </c>
      <c r="AF23" s="40">
        <f t="shared" si="15"/>
        <v>205</v>
      </c>
    </row>
    <row r="24" spans="2:32" ht="23.1" customHeight="1" x14ac:dyDescent="0.25">
      <c r="B24" s="23" t="s">
        <v>51</v>
      </c>
      <c r="C24" s="50">
        <v>3</v>
      </c>
      <c r="D24" s="50">
        <v>2</v>
      </c>
      <c r="E24" s="50">
        <v>8</v>
      </c>
      <c r="F24" s="50">
        <v>3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39</v>
      </c>
      <c r="N24" s="50">
        <v>0</v>
      </c>
      <c r="O24" s="15">
        <f t="shared" si="0"/>
        <v>21</v>
      </c>
      <c r="P24" s="15">
        <f t="shared" si="1"/>
        <v>60</v>
      </c>
      <c r="R24" s="38" t="s">
        <v>92</v>
      </c>
      <c r="S24" s="39">
        <f>MAX(S19:S21)</f>
        <v>23</v>
      </c>
      <c r="T24" s="39">
        <f t="shared" ref="T24:AF24" si="16">MAX(T19:T21)</f>
        <v>11</v>
      </c>
      <c r="U24" s="39">
        <f t="shared" si="16"/>
        <v>42</v>
      </c>
      <c r="V24" s="39">
        <f t="shared" si="16"/>
        <v>23</v>
      </c>
      <c r="W24" s="39">
        <f t="shared" si="16"/>
        <v>3</v>
      </c>
      <c r="X24" s="39">
        <f t="shared" si="16"/>
        <v>0</v>
      </c>
      <c r="Y24" s="39">
        <f t="shared" si="16"/>
        <v>16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150</v>
      </c>
      <c r="AD24" s="39">
        <f t="shared" si="16"/>
        <v>0</v>
      </c>
      <c r="AE24" s="40">
        <f t="shared" si="16"/>
        <v>108</v>
      </c>
      <c r="AF24" s="40">
        <f t="shared" si="16"/>
        <v>258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5</v>
      </c>
      <c r="F25" s="50">
        <v>5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29</v>
      </c>
      <c r="N25" s="50">
        <v>0</v>
      </c>
      <c r="O25" s="15">
        <f t="shared" si="0"/>
        <v>13</v>
      </c>
      <c r="P25" s="15">
        <f t="shared" si="1"/>
        <v>42</v>
      </c>
      <c r="R25" s="37" t="s">
        <v>85</v>
      </c>
      <c r="S25" s="35">
        <f t="shared" ref="S25:AF25" si="17">SUM(S10:S12)</f>
        <v>39</v>
      </c>
      <c r="T25" s="16">
        <f t="shared" si="17"/>
        <v>11</v>
      </c>
      <c r="U25" s="16">
        <f t="shared" si="17"/>
        <v>60</v>
      </c>
      <c r="V25" s="16">
        <f t="shared" si="17"/>
        <v>31</v>
      </c>
      <c r="W25" s="16">
        <f t="shared" si="17"/>
        <v>0</v>
      </c>
      <c r="X25" s="16">
        <f t="shared" si="17"/>
        <v>0</v>
      </c>
      <c r="Y25" s="16">
        <f t="shared" si="17"/>
        <v>27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284</v>
      </c>
      <c r="AD25" s="16">
        <f t="shared" si="17"/>
        <v>0</v>
      </c>
      <c r="AE25" s="32">
        <f t="shared" si="17"/>
        <v>169</v>
      </c>
      <c r="AF25" s="32">
        <f t="shared" si="17"/>
        <v>453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8</v>
      </c>
      <c r="F26" s="50">
        <v>4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29</v>
      </c>
      <c r="N26" s="50">
        <v>0</v>
      </c>
      <c r="O26" s="15">
        <f t="shared" si="0"/>
        <v>17</v>
      </c>
      <c r="P26" s="15">
        <f t="shared" si="1"/>
        <v>46</v>
      </c>
      <c r="R26" s="28" t="s">
        <v>86</v>
      </c>
      <c r="S26" s="16">
        <f t="shared" ref="S26:AF26" si="18">SUM(S13:S18)</f>
        <v>85</v>
      </c>
      <c r="T26" s="16">
        <f t="shared" si="18"/>
        <v>27</v>
      </c>
      <c r="U26" s="16">
        <f t="shared" si="18"/>
        <v>128</v>
      </c>
      <c r="V26" s="16">
        <f t="shared" si="18"/>
        <v>92</v>
      </c>
      <c r="W26" s="16">
        <f t="shared" si="18"/>
        <v>0</v>
      </c>
      <c r="X26" s="16">
        <f t="shared" si="18"/>
        <v>0</v>
      </c>
      <c r="Y26" s="16">
        <f t="shared" si="18"/>
        <v>64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708</v>
      </c>
      <c r="AD26" s="16">
        <f t="shared" si="18"/>
        <v>0</v>
      </c>
      <c r="AE26" s="32">
        <f t="shared" si="18"/>
        <v>398</v>
      </c>
      <c r="AF26" s="32">
        <f t="shared" si="18"/>
        <v>1106</v>
      </c>
    </row>
    <row r="27" spans="2:32" ht="23.1" customHeight="1" x14ac:dyDescent="0.25">
      <c r="B27" s="23" t="s">
        <v>54</v>
      </c>
      <c r="C27" s="50">
        <v>8</v>
      </c>
      <c r="D27" s="50">
        <v>1</v>
      </c>
      <c r="E27" s="50">
        <v>4</v>
      </c>
      <c r="F27" s="50">
        <v>2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16</v>
      </c>
      <c r="P27" s="15">
        <f t="shared" si="1"/>
        <v>46</v>
      </c>
      <c r="R27" s="29" t="s">
        <v>87</v>
      </c>
      <c r="S27" s="16">
        <f t="shared" ref="S27:AF27" si="19">SUM(S19:S21)</f>
        <v>61</v>
      </c>
      <c r="T27" s="16">
        <f t="shared" si="19"/>
        <v>25</v>
      </c>
      <c r="U27" s="16">
        <f t="shared" si="19"/>
        <v>100</v>
      </c>
      <c r="V27" s="16">
        <f t="shared" si="19"/>
        <v>50</v>
      </c>
      <c r="W27" s="16">
        <f t="shared" si="19"/>
        <v>4</v>
      </c>
      <c r="X27" s="16">
        <f t="shared" si="19"/>
        <v>0</v>
      </c>
      <c r="Y27" s="16">
        <f t="shared" si="19"/>
        <v>38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420</v>
      </c>
      <c r="AD27" s="16">
        <f t="shared" si="19"/>
        <v>0</v>
      </c>
      <c r="AE27" s="32">
        <f t="shared" si="19"/>
        <v>279</v>
      </c>
      <c r="AF27" s="32">
        <f t="shared" si="19"/>
        <v>699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4</v>
      </c>
      <c r="F28" s="50">
        <v>8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33</v>
      </c>
      <c r="N28" s="50">
        <v>0</v>
      </c>
      <c r="O28" s="15">
        <f t="shared" si="0"/>
        <v>15</v>
      </c>
      <c r="P28" s="15">
        <f t="shared" si="1"/>
        <v>48</v>
      </c>
      <c r="R28" s="5" t="s">
        <v>17</v>
      </c>
      <c r="S28" s="16">
        <f t="shared" ref="S28:AF28" si="20">SUM(S10:S21)</f>
        <v>185</v>
      </c>
      <c r="T28" s="16">
        <f t="shared" si="20"/>
        <v>63</v>
      </c>
      <c r="U28" s="16">
        <f t="shared" si="20"/>
        <v>288</v>
      </c>
      <c r="V28" s="16">
        <f t="shared" si="20"/>
        <v>173</v>
      </c>
      <c r="W28" s="16">
        <f t="shared" si="20"/>
        <v>4</v>
      </c>
      <c r="X28" s="16">
        <f t="shared" si="20"/>
        <v>0</v>
      </c>
      <c r="Y28" s="16">
        <f t="shared" si="20"/>
        <v>129</v>
      </c>
      <c r="Z28" s="16">
        <f t="shared" si="20"/>
        <v>4</v>
      </c>
      <c r="AA28" s="16">
        <f t="shared" si="20"/>
        <v>0</v>
      </c>
      <c r="AB28" s="16">
        <f t="shared" si="20"/>
        <v>0</v>
      </c>
      <c r="AC28" s="16">
        <f t="shared" si="20"/>
        <v>1412</v>
      </c>
      <c r="AD28" s="16">
        <f t="shared" si="20"/>
        <v>0</v>
      </c>
      <c r="AE28" s="32">
        <f t="shared" si="20"/>
        <v>846</v>
      </c>
      <c r="AF28" s="32">
        <f t="shared" si="20"/>
        <v>2258</v>
      </c>
    </row>
    <row r="29" spans="2:32" ht="23.1" customHeight="1" x14ac:dyDescent="0.25">
      <c r="B29" s="23" t="s">
        <v>56</v>
      </c>
      <c r="C29" s="50">
        <v>2</v>
      </c>
      <c r="D29" s="50">
        <v>1</v>
      </c>
      <c r="E29" s="50">
        <v>5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32</v>
      </c>
      <c r="N29" s="50">
        <v>0</v>
      </c>
      <c r="O29" s="15">
        <f t="shared" si="0"/>
        <v>11</v>
      </c>
      <c r="P29" s="15">
        <f t="shared" si="1"/>
        <v>43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5</v>
      </c>
      <c r="F30" s="50">
        <v>8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21</v>
      </c>
      <c r="P30" s="15">
        <f t="shared" si="1"/>
        <v>63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2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33</v>
      </c>
      <c r="N31" s="50">
        <v>0</v>
      </c>
      <c r="O31" s="15">
        <f t="shared" si="0"/>
        <v>7</v>
      </c>
      <c r="P31" s="15">
        <f t="shared" si="1"/>
        <v>40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1</v>
      </c>
      <c r="F32" s="50">
        <v>4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v>0</v>
      </c>
      <c r="M32" s="50">
        <v>34</v>
      </c>
      <c r="N32" s="50">
        <v>0</v>
      </c>
      <c r="O32" s="15">
        <f t="shared" si="0"/>
        <v>14</v>
      </c>
      <c r="P32" s="15">
        <f t="shared" si="1"/>
        <v>48</v>
      </c>
    </row>
    <row r="33" spans="2:20" ht="23.1" customHeight="1" x14ac:dyDescent="0.25">
      <c r="B33" s="23" t="s">
        <v>60</v>
      </c>
      <c r="C33" s="50">
        <v>3</v>
      </c>
      <c r="D33" s="50">
        <v>2</v>
      </c>
      <c r="E33" s="50">
        <v>7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16</v>
      </c>
      <c r="P33" s="15">
        <f t="shared" si="1"/>
        <v>30</v>
      </c>
    </row>
    <row r="34" spans="2:20" ht="23.1" customHeight="1" x14ac:dyDescent="0.25">
      <c r="B34" s="24" t="s">
        <v>61</v>
      </c>
      <c r="C34" s="50">
        <v>2</v>
      </c>
      <c r="D34" s="50">
        <v>2</v>
      </c>
      <c r="E34" s="50">
        <v>8</v>
      </c>
      <c r="F34" s="50">
        <v>3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39</v>
      </c>
      <c r="N34" s="50">
        <v>0</v>
      </c>
      <c r="O34" s="15">
        <f t="shared" si="0"/>
        <v>17</v>
      </c>
      <c r="P34" s="15">
        <f t="shared" si="1"/>
        <v>56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5</v>
      </c>
      <c r="F35" s="50">
        <v>5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19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6</v>
      </c>
      <c r="D36" s="50">
        <v>1</v>
      </c>
      <c r="E36" s="50">
        <v>6</v>
      </c>
      <c r="F36" s="50">
        <v>6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35</v>
      </c>
      <c r="N36" s="50">
        <v>0</v>
      </c>
      <c r="O36" s="15">
        <f t="shared" si="0"/>
        <v>22</v>
      </c>
      <c r="P36" s="15">
        <f t="shared" si="1"/>
        <v>57</v>
      </c>
    </row>
    <row r="37" spans="2:20" ht="23.1" customHeight="1" x14ac:dyDescent="0.25">
      <c r="B37" s="23" t="s">
        <v>64</v>
      </c>
      <c r="C37" s="50">
        <v>6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29</v>
      </c>
      <c r="N37" s="50">
        <v>0</v>
      </c>
      <c r="O37" s="15">
        <f t="shared" si="0"/>
        <v>12</v>
      </c>
      <c r="P37" s="15">
        <f t="shared" si="1"/>
        <v>41</v>
      </c>
    </row>
    <row r="38" spans="2:20" ht="23.1" customHeight="1" x14ac:dyDescent="0.25">
      <c r="B38" s="24" t="s">
        <v>65</v>
      </c>
      <c r="C38" s="50">
        <v>1</v>
      </c>
      <c r="D38" s="50">
        <v>1</v>
      </c>
      <c r="E38" s="50">
        <v>5</v>
      </c>
      <c r="F38" s="50">
        <v>5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16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2</v>
      </c>
      <c r="D39" s="50">
        <v>1</v>
      </c>
      <c r="E39" s="50">
        <v>4</v>
      </c>
      <c r="F39" s="50">
        <v>2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24</v>
      </c>
      <c r="N39" s="50">
        <v>0</v>
      </c>
      <c r="O39" s="15">
        <f t="shared" si="0"/>
        <v>10</v>
      </c>
      <c r="P39" s="15">
        <f t="shared" si="1"/>
        <v>34</v>
      </c>
    </row>
    <row r="40" spans="2:20" ht="23.1" customHeight="1" x14ac:dyDescent="0.25">
      <c r="B40" s="24" t="s">
        <v>67</v>
      </c>
      <c r="C40" s="50">
        <v>6</v>
      </c>
      <c r="D40" s="50">
        <v>1</v>
      </c>
      <c r="E40" s="50">
        <v>6</v>
      </c>
      <c r="F40" s="50">
        <v>5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25</v>
      </c>
      <c r="N40" s="50">
        <v>0</v>
      </c>
      <c r="O40" s="15">
        <f t="shared" si="0"/>
        <v>23</v>
      </c>
      <c r="P40" s="15">
        <f t="shared" si="1"/>
        <v>48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6</v>
      </c>
      <c r="F41" s="50">
        <v>3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14</v>
      </c>
      <c r="P41" s="15">
        <f t="shared" si="1"/>
        <v>34</v>
      </c>
    </row>
    <row r="42" spans="2:20" ht="23.1" customHeight="1" x14ac:dyDescent="0.25">
      <c r="B42" s="24" t="s">
        <v>69</v>
      </c>
      <c r="C42" s="50">
        <v>7</v>
      </c>
      <c r="D42" s="50">
        <v>1</v>
      </c>
      <c r="E42" s="50">
        <v>6</v>
      </c>
      <c r="F42" s="50">
        <v>2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20</v>
      </c>
      <c r="P42" s="15">
        <f t="shared" si="1"/>
        <v>40</v>
      </c>
    </row>
    <row r="43" spans="2:20" ht="23.1" customHeight="1" x14ac:dyDescent="0.25">
      <c r="B43" s="23" t="s">
        <v>70</v>
      </c>
      <c r="C43" s="50">
        <v>4</v>
      </c>
      <c r="D43" s="50">
        <v>2</v>
      </c>
      <c r="E43" s="50">
        <v>8</v>
      </c>
      <c r="F43" s="50">
        <v>2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20</v>
      </c>
      <c r="N43" s="50">
        <v>0</v>
      </c>
      <c r="O43" s="15">
        <f t="shared" si="0"/>
        <v>19</v>
      </c>
      <c r="P43" s="15">
        <f t="shared" si="1"/>
        <v>39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6</v>
      </c>
      <c r="F44" s="50">
        <v>7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43</v>
      </c>
      <c r="N44" s="50">
        <v>0</v>
      </c>
      <c r="O44" s="15">
        <f t="shared" si="0"/>
        <v>20</v>
      </c>
      <c r="P44" s="15">
        <f t="shared" si="1"/>
        <v>63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4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27</v>
      </c>
      <c r="N45" s="50">
        <v>0</v>
      </c>
      <c r="O45" s="15">
        <f t="shared" si="0"/>
        <v>13</v>
      </c>
      <c r="P45" s="15">
        <f t="shared" si="1"/>
        <v>40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6</v>
      </c>
      <c r="F46" s="50">
        <v>1</v>
      </c>
      <c r="G46" s="50">
        <v>0</v>
      </c>
      <c r="H46" s="50">
        <v>0</v>
      </c>
      <c r="I46" s="50">
        <v>4</v>
      </c>
      <c r="J46" s="50">
        <v>0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16</v>
      </c>
      <c r="P46" s="15">
        <f t="shared" si="1"/>
        <v>48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2</v>
      </c>
      <c r="E47" s="50">
        <v>8</v>
      </c>
      <c r="F47" s="50">
        <v>1</v>
      </c>
      <c r="G47" s="50">
        <v>1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38</v>
      </c>
      <c r="N47" s="50">
        <v>0</v>
      </c>
      <c r="O47" s="15">
        <f t="shared" si="0"/>
        <v>20</v>
      </c>
      <c r="P47" s="15">
        <f t="shared" si="1"/>
        <v>58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3</v>
      </c>
      <c r="E48" s="50">
        <v>11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35</v>
      </c>
      <c r="N48" s="50">
        <v>0</v>
      </c>
      <c r="O48" s="15">
        <f t="shared" si="0"/>
        <v>27</v>
      </c>
      <c r="P48" s="15">
        <f t="shared" si="1"/>
        <v>62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1</v>
      </c>
      <c r="E49" s="50">
        <v>4</v>
      </c>
      <c r="F49" s="50">
        <v>1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12</v>
      </c>
      <c r="P49" s="15">
        <f t="shared" si="1"/>
        <v>42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2</v>
      </c>
      <c r="E50" s="50">
        <v>7</v>
      </c>
      <c r="F50" s="50">
        <v>4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33</v>
      </c>
      <c r="N50" s="50">
        <v>0</v>
      </c>
      <c r="O50" s="15">
        <f t="shared" si="0"/>
        <v>25</v>
      </c>
      <c r="P50" s="15">
        <f t="shared" si="1"/>
        <v>58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4</v>
      </c>
      <c r="E51" s="50">
        <v>14</v>
      </c>
      <c r="F51" s="50">
        <v>3</v>
      </c>
      <c r="G51" s="50">
        <v>2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40</v>
      </c>
      <c r="N51" s="50">
        <v>0</v>
      </c>
      <c r="O51" s="15">
        <f t="shared" si="0"/>
        <v>31</v>
      </c>
      <c r="P51" s="15">
        <f t="shared" si="1"/>
        <v>71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3</v>
      </c>
      <c r="E52" s="50">
        <v>12</v>
      </c>
      <c r="F52" s="50">
        <v>6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37</v>
      </c>
      <c r="N52" s="50">
        <v>0</v>
      </c>
      <c r="O52" s="15">
        <f t="shared" si="0"/>
        <v>27</v>
      </c>
      <c r="P52" s="15">
        <f t="shared" si="1"/>
        <v>64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2</v>
      </c>
      <c r="E53" s="50">
        <v>9</v>
      </c>
      <c r="F53" s="50">
        <v>7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40</v>
      </c>
      <c r="N53" s="50">
        <v>0</v>
      </c>
      <c r="O53" s="15">
        <f t="shared" si="0"/>
        <v>25</v>
      </c>
      <c r="P53" s="15">
        <f t="shared" si="1"/>
        <v>65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2</v>
      </c>
      <c r="E54" s="50">
        <v>7</v>
      </c>
      <c r="F54" s="50">
        <v>9</v>
      </c>
      <c r="G54" s="50">
        <v>0</v>
      </c>
      <c r="H54" s="50">
        <v>0</v>
      </c>
      <c r="I54" s="50">
        <v>6</v>
      </c>
      <c r="J54" s="50">
        <v>1</v>
      </c>
      <c r="K54" s="50">
        <v>0</v>
      </c>
      <c r="L54" s="50">
        <v>0</v>
      </c>
      <c r="M54" s="50">
        <v>38</v>
      </c>
      <c r="N54" s="50">
        <v>0</v>
      </c>
      <c r="O54" s="15">
        <f t="shared" si="0"/>
        <v>27</v>
      </c>
      <c r="P54" s="15">
        <f t="shared" si="1"/>
        <v>65</v>
      </c>
      <c r="R54" s="8"/>
      <c r="T54"/>
    </row>
    <row r="55" spans="2:20" ht="23.1" customHeight="1" x14ac:dyDescent="0.25">
      <c r="B55" s="23" t="s">
        <v>82</v>
      </c>
      <c r="C55" s="50">
        <v>6</v>
      </c>
      <c r="D55" s="50">
        <v>3</v>
      </c>
      <c r="E55" s="50">
        <v>13</v>
      </c>
      <c r="F55" s="50">
        <v>5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29</v>
      </c>
      <c r="N55" s="50">
        <v>0</v>
      </c>
      <c r="O55" s="15">
        <f t="shared" si="0"/>
        <v>29</v>
      </c>
      <c r="P55" s="15">
        <f t="shared" si="1"/>
        <v>58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2</v>
      </c>
      <c r="E56" s="50">
        <v>7</v>
      </c>
      <c r="F56" s="50">
        <v>3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40</v>
      </c>
      <c r="N56" s="50">
        <v>0</v>
      </c>
      <c r="O56" s="15">
        <f t="shared" si="0"/>
        <v>25</v>
      </c>
      <c r="P56" s="15">
        <f t="shared" si="1"/>
        <v>65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2</v>
      </c>
      <c r="F57" s="50">
        <v>6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15</v>
      </c>
      <c r="P57" s="15">
        <f t="shared" si="1"/>
        <v>43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185</v>
      </c>
      <c r="D58" s="16">
        <f t="shared" si="21"/>
        <v>63</v>
      </c>
      <c r="E58" s="16">
        <f t="shared" si="21"/>
        <v>288</v>
      </c>
      <c r="F58" s="16">
        <f t="shared" si="21"/>
        <v>173</v>
      </c>
      <c r="G58" s="16">
        <f t="shared" si="21"/>
        <v>4</v>
      </c>
      <c r="H58" s="16">
        <f t="shared" si="21"/>
        <v>0</v>
      </c>
      <c r="I58" s="16">
        <f t="shared" si="21"/>
        <v>129</v>
      </c>
      <c r="J58" s="16">
        <f t="shared" si="21"/>
        <v>4</v>
      </c>
      <c r="K58" s="16">
        <f t="shared" si="21"/>
        <v>0</v>
      </c>
      <c r="L58" s="16">
        <f t="shared" si="21"/>
        <v>0</v>
      </c>
      <c r="M58" s="16">
        <f t="shared" si="21"/>
        <v>1412</v>
      </c>
      <c r="N58" s="16">
        <f t="shared" si="21"/>
        <v>0</v>
      </c>
      <c r="O58" s="16">
        <f t="shared" si="21"/>
        <v>846</v>
      </c>
      <c r="P58" s="16">
        <f t="shared" si="21"/>
        <v>2258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8.1930912311780332E-2</v>
      </c>
      <c r="D59" s="43">
        <f t="shared" si="22"/>
        <v>2.7900797165633304E-2</v>
      </c>
      <c r="E59" s="43">
        <f t="shared" si="22"/>
        <v>0.1275465013286094</v>
      </c>
      <c r="F59" s="43">
        <f t="shared" si="22"/>
        <v>7.661647475642161E-2</v>
      </c>
      <c r="G59" s="43">
        <f t="shared" si="22"/>
        <v>1.7714791851195749E-3</v>
      </c>
      <c r="H59" s="43">
        <f t="shared" si="22"/>
        <v>0</v>
      </c>
      <c r="I59" s="43">
        <f t="shared" si="22"/>
        <v>5.7130203720106291E-2</v>
      </c>
      <c r="J59" s="43">
        <f t="shared" si="22"/>
        <v>1.7714791851195749E-3</v>
      </c>
      <c r="K59" s="43">
        <f t="shared" si="22"/>
        <v>0</v>
      </c>
      <c r="L59" s="43">
        <f t="shared" si="22"/>
        <v>0</v>
      </c>
      <c r="M59" s="43">
        <f t="shared" si="22"/>
        <v>0.62533215234720996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0.21867612293144209</v>
      </c>
      <c r="D60" s="44">
        <f t="shared" ref="D60:N60" si="23">D58/$O$58</f>
        <v>7.4468085106382975E-2</v>
      </c>
      <c r="E60" s="44">
        <f t="shared" si="23"/>
        <v>0.34042553191489361</v>
      </c>
      <c r="F60" s="44">
        <f t="shared" si="23"/>
        <v>0.2044917257683215</v>
      </c>
      <c r="G60" s="44">
        <f t="shared" si="23"/>
        <v>4.7281323877068557E-3</v>
      </c>
      <c r="H60" s="44">
        <f t="shared" si="23"/>
        <v>0</v>
      </c>
      <c r="I60" s="44">
        <f t="shared" si="23"/>
        <v>0.1524822695035461</v>
      </c>
      <c r="J60" s="44">
        <f t="shared" si="23"/>
        <v>4.7281323877068557E-3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'19.08 Sironko-Mbale'!D5</f>
        <v>19.08.19</v>
      </c>
      <c r="E5" s="3"/>
      <c r="F5" s="41" t="s">
        <v>1</v>
      </c>
      <c r="G5" s="63" t="str">
        <f>'19.08 Sironko-Mbale'!G5:H5</f>
        <v>xxx</v>
      </c>
      <c r="H5" s="64"/>
      <c r="I5" s="14"/>
      <c r="J5" s="2" t="s">
        <v>5</v>
      </c>
      <c r="K5" s="63" t="str">
        <f>'19.08 Sironko-Mbale'!K5:L5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165</v>
      </c>
      <c r="E6" s="58"/>
      <c r="F6" s="2" t="s">
        <v>2</v>
      </c>
      <c r="G6" s="57" t="s">
        <v>164</v>
      </c>
      <c r="H6" s="58"/>
      <c r="J6" s="2" t="s">
        <v>21</v>
      </c>
      <c r="K6" s="63" t="str">
        <f>'19.08 Sironko-Mbale'!K6:L6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f>ROUNDDOWN((0.3*E10),0)</f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f>SUM('[1]RD4 MCC'!R54:U54)</f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10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25</v>
      </c>
      <c r="AF10" s="31">
        <f t="shared" si="2"/>
        <v>68</v>
      </c>
    </row>
    <row r="11" spans="2:32" s="6" customFormat="1" ht="23.1" customHeight="1" x14ac:dyDescent="0.25">
      <c r="B11" s="23" t="s">
        <v>38</v>
      </c>
      <c r="C11" s="50">
        <v>1</v>
      </c>
      <c r="D11" s="50">
        <f t="shared" ref="D11:D57" si="3">ROUNDDOWN((0.3*E11),0)</f>
        <v>0</v>
      </c>
      <c r="E11" s="50">
        <v>1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f>SUM('[1]RD4 MCC'!R55:U55)</f>
        <v>0</v>
      </c>
      <c r="M11" s="50">
        <v>4</v>
      </c>
      <c r="N11" s="50">
        <v>0</v>
      </c>
      <c r="O11" s="15">
        <f t="shared" si="0"/>
        <v>4</v>
      </c>
      <c r="P11" s="15">
        <f t="shared" si="1"/>
        <v>8</v>
      </c>
      <c r="R11" s="1" t="s">
        <v>7</v>
      </c>
      <c r="S11" s="17">
        <f t="shared" ref="S11:AF11" si="4">SUM(C14:C17)</f>
        <v>18</v>
      </c>
      <c r="T11" s="17">
        <f t="shared" si="4"/>
        <v>4</v>
      </c>
      <c r="U11" s="17">
        <f t="shared" si="4"/>
        <v>22</v>
      </c>
      <c r="V11" s="17">
        <f t="shared" si="4"/>
        <v>11</v>
      </c>
      <c r="W11" s="17">
        <f t="shared" si="4"/>
        <v>1</v>
      </c>
      <c r="X11" s="17">
        <f t="shared" si="4"/>
        <v>0</v>
      </c>
      <c r="Y11" s="17">
        <f t="shared" si="4"/>
        <v>3</v>
      </c>
      <c r="Z11" s="17">
        <f t="shared" si="4"/>
        <v>0</v>
      </c>
      <c r="AA11" s="17">
        <f t="shared" si="4"/>
        <v>0</v>
      </c>
      <c r="AB11" s="17">
        <f t="shared" si="4"/>
        <v>0</v>
      </c>
      <c r="AC11" s="17">
        <f t="shared" si="4"/>
        <v>82</v>
      </c>
      <c r="AD11" s="17">
        <f t="shared" si="4"/>
        <v>0</v>
      </c>
      <c r="AE11" s="31">
        <f t="shared" si="4"/>
        <v>59</v>
      </c>
      <c r="AF11" s="31">
        <f t="shared" si="4"/>
        <v>141</v>
      </c>
    </row>
    <row r="12" spans="2:32" ht="23.1" customHeight="1" x14ac:dyDescent="0.25">
      <c r="B12" s="23" t="s">
        <v>39</v>
      </c>
      <c r="C12" s="50">
        <v>4</v>
      </c>
      <c r="D12" s="50">
        <f t="shared" si="3"/>
        <v>0</v>
      </c>
      <c r="E12" s="50">
        <v>3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f>SUM('[1]RD4 MCC'!R56:U56)</f>
        <v>0</v>
      </c>
      <c r="M12" s="50">
        <v>5</v>
      </c>
      <c r="N12" s="50">
        <v>0</v>
      </c>
      <c r="O12" s="15">
        <f t="shared" si="0"/>
        <v>7</v>
      </c>
      <c r="P12" s="15">
        <f t="shared" si="1"/>
        <v>12</v>
      </c>
      <c r="R12" s="1" t="s">
        <v>8</v>
      </c>
      <c r="S12" s="17">
        <f t="shared" ref="S12:AF12" si="5">SUM(C18:C21)</f>
        <v>13</v>
      </c>
      <c r="T12" s="17">
        <f t="shared" si="5"/>
        <v>6</v>
      </c>
      <c r="U12" s="17">
        <f t="shared" si="5"/>
        <v>25</v>
      </c>
      <c r="V12" s="17">
        <f t="shared" si="5"/>
        <v>13</v>
      </c>
      <c r="W12" s="17">
        <f t="shared" si="5"/>
        <v>1</v>
      </c>
      <c r="X12" s="17">
        <f t="shared" si="5"/>
        <v>0</v>
      </c>
      <c r="Y12" s="17">
        <f t="shared" si="5"/>
        <v>15</v>
      </c>
      <c r="Z12" s="17">
        <f t="shared" si="5"/>
        <v>0</v>
      </c>
      <c r="AA12" s="17">
        <f t="shared" si="5"/>
        <v>0</v>
      </c>
      <c r="AB12" s="17">
        <f t="shared" si="5"/>
        <v>0</v>
      </c>
      <c r="AC12" s="17">
        <f t="shared" si="5"/>
        <v>98</v>
      </c>
      <c r="AD12" s="17">
        <f t="shared" si="5"/>
        <v>0</v>
      </c>
      <c r="AE12" s="31">
        <f t="shared" si="5"/>
        <v>73</v>
      </c>
      <c r="AF12" s="31">
        <f t="shared" si="5"/>
        <v>171</v>
      </c>
    </row>
    <row r="13" spans="2:32" ht="23.1" customHeight="1" x14ac:dyDescent="0.25">
      <c r="B13" s="23" t="s">
        <v>40</v>
      </c>
      <c r="C13" s="50">
        <v>2</v>
      </c>
      <c r="D13" s="50">
        <f t="shared" si="3"/>
        <v>1</v>
      </c>
      <c r="E13" s="50">
        <v>6</v>
      </c>
      <c r="F13" s="50">
        <v>2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f>SUM('[1]RD4 MCC'!R57:U57)</f>
        <v>0</v>
      </c>
      <c r="M13" s="50">
        <v>34</v>
      </c>
      <c r="N13" s="50">
        <v>0</v>
      </c>
      <c r="O13" s="15">
        <f t="shared" si="0"/>
        <v>14</v>
      </c>
      <c r="P13" s="15">
        <f t="shared" si="1"/>
        <v>48</v>
      </c>
      <c r="R13" s="1" t="s">
        <v>9</v>
      </c>
      <c r="S13" s="17">
        <f t="shared" ref="S13:AF13" si="6">SUM(C22:C25)</f>
        <v>20</v>
      </c>
      <c r="T13" s="17">
        <f t="shared" si="6"/>
        <v>8</v>
      </c>
      <c r="U13" s="17">
        <f t="shared" si="6"/>
        <v>29</v>
      </c>
      <c r="V13" s="17">
        <f t="shared" si="6"/>
        <v>10</v>
      </c>
      <c r="W13" s="17">
        <f t="shared" si="6"/>
        <v>1</v>
      </c>
      <c r="X13" s="17">
        <f t="shared" si="6"/>
        <v>0</v>
      </c>
      <c r="Y13" s="17">
        <f t="shared" si="6"/>
        <v>16</v>
      </c>
      <c r="Z13" s="17">
        <f t="shared" si="6"/>
        <v>1</v>
      </c>
      <c r="AA13" s="17">
        <f t="shared" si="6"/>
        <v>0</v>
      </c>
      <c r="AB13" s="17">
        <f t="shared" si="6"/>
        <v>0</v>
      </c>
      <c r="AC13" s="17">
        <f t="shared" si="6"/>
        <v>124</v>
      </c>
      <c r="AD13" s="17">
        <f t="shared" si="6"/>
        <v>0</v>
      </c>
      <c r="AE13" s="31">
        <f t="shared" si="6"/>
        <v>85</v>
      </c>
      <c r="AF13" s="31">
        <f t="shared" si="6"/>
        <v>209</v>
      </c>
    </row>
    <row r="14" spans="2:32" ht="23.1" customHeight="1" x14ac:dyDescent="0.25">
      <c r="B14" s="23" t="s">
        <v>41</v>
      </c>
      <c r="C14" s="50">
        <v>5</v>
      </c>
      <c r="D14" s="50">
        <f t="shared" si="3"/>
        <v>0</v>
      </c>
      <c r="E14" s="50">
        <v>3</v>
      </c>
      <c r="F14" s="50">
        <v>3</v>
      </c>
      <c r="G14" s="50">
        <v>1</v>
      </c>
      <c r="H14" s="50">
        <v>0</v>
      </c>
      <c r="I14" s="50">
        <v>0</v>
      </c>
      <c r="J14" s="50">
        <v>0</v>
      </c>
      <c r="K14" s="50">
        <v>0</v>
      </c>
      <c r="L14" s="50">
        <f>SUM('[1]RD4 MCC'!R58:U58)</f>
        <v>0</v>
      </c>
      <c r="M14" s="50">
        <v>16</v>
      </c>
      <c r="N14" s="50">
        <v>0</v>
      </c>
      <c r="O14" s="15">
        <f t="shared" si="0"/>
        <v>12</v>
      </c>
      <c r="P14" s="15">
        <f t="shared" si="1"/>
        <v>28</v>
      </c>
      <c r="R14" s="1" t="s">
        <v>10</v>
      </c>
      <c r="S14" s="17">
        <f t="shared" ref="S14:AF14" si="7">SUM(C26:C29)</f>
        <v>13</v>
      </c>
      <c r="T14" s="17">
        <f t="shared" si="7"/>
        <v>6</v>
      </c>
      <c r="U14" s="17">
        <f t="shared" si="7"/>
        <v>25</v>
      </c>
      <c r="V14" s="17">
        <f t="shared" si="7"/>
        <v>21</v>
      </c>
      <c r="W14" s="17">
        <f t="shared" si="7"/>
        <v>0</v>
      </c>
      <c r="X14" s="17">
        <f t="shared" si="7"/>
        <v>0</v>
      </c>
      <c r="Y14" s="17">
        <f t="shared" si="7"/>
        <v>15</v>
      </c>
      <c r="Z14" s="17">
        <f t="shared" si="7"/>
        <v>2</v>
      </c>
      <c r="AA14" s="17">
        <f t="shared" si="7"/>
        <v>0</v>
      </c>
      <c r="AB14" s="17">
        <f t="shared" si="7"/>
        <v>0</v>
      </c>
      <c r="AC14" s="17">
        <f t="shared" si="7"/>
        <v>128</v>
      </c>
      <c r="AD14" s="17">
        <f t="shared" si="7"/>
        <v>0</v>
      </c>
      <c r="AE14" s="31">
        <f t="shared" si="7"/>
        <v>82</v>
      </c>
      <c r="AF14" s="31">
        <f t="shared" si="7"/>
        <v>210</v>
      </c>
    </row>
    <row r="15" spans="2:32" ht="23.1" customHeight="1" x14ac:dyDescent="0.25">
      <c r="B15" s="23" t="s">
        <v>42</v>
      </c>
      <c r="C15" s="50">
        <v>3</v>
      </c>
      <c r="D15" s="50">
        <f t="shared" si="3"/>
        <v>2</v>
      </c>
      <c r="E15" s="50">
        <v>8</v>
      </c>
      <c r="F15" s="50">
        <v>2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f>SUM('[1]RD4 MCC'!R59:U59)</f>
        <v>0</v>
      </c>
      <c r="M15" s="50">
        <v>27</v>
      </c>
      <c r="N15" s="50">
        <v>0</v>
      </c>
      <c r="O15" s="15">
        <f t="shared" si="0"/>
        <v>18</v>
      </c>
      <c r="P15" s="15">
        <f t="shared" si="1"/>
        <v>45</v>
      </c>
      <c r="R15" s="1" t="s">
        <v>11</v>
      </c>
      <c r="S15" s="17">
        <f t="shared" ref="S15:AF15" si="8">SUM(C30:C33)</f>
        <v>12</v>
      </c>
      <c r="T15" s="17">
        <f t="shared" si="8"/>
        <v>7</v>
      </c>
      <c r="U15" s="17">
        <f t="shared" si="8"/>
        <v>29</v>
      </c>
      <c r="V15" s="17">
        <f t="shared" si="8"/>
        <v>17</v>
      </c>
      <c r="W15" s="17">
        <f t="shared" si="8"/>
        <v>0</v>
      </c>
      <c r="X15" s="17">
        <f t="shared" si="8"/>
        <v>0</v>
      </c>
      <c r="Y15" s="17">
        <f t="shared" si="8"/>
        <v>20</v>
      </c>
      <c r="Z15" s="17">
        <f t="shared" si="8"/>
        <v>0</v>
      </c>
      <c r="AA15" s="17">
        <f t="shared" si="8"/>
        <v>1</v>
      </c>
      <c r="AB15" s="17">
        <f t="shared" si="8"/>
        <v>0</v>
      </c>
      <c r="AC15" s="17">
        <f t="shared" si="8"/>
        <v>104</v>
      </c>
      <c r="AD15" s="17">
        <f t="shared" si="8"/>
        <v>0</v>
      </c>
      <c r="AE15" s="31">
        <f t="shared" si="8"/>
        <v>86</v>
      </c>
      <c r="AF15" s="31">
        <f t="shared" si="8"/>
        <v>190</v>
      </c>
    </row>
    <row r="16" spans="2:32" ht="23.1" customHeight="1" x14ac:dyDescent="0.25">
      <c r="B16" s="23" t="s">
        <v>43</v>
      </c>
      <c r="C16" s="50">
        <v>5</v>
      </c>
      <c r="D16" s="50">
        <f t="shared" si="3"/>
        <v>1</v>
      </c>
      <c r="E16" s="50">
        <v>5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f>SUM('[1]RD4 MCC'!R60:U60)</f>
        <v>0</v>
      </c>
      <c r="M16" s="50">
        <v>28</v>
      </c>
      <c r="N16" s="50">
        <v>0</v>
      </c>
      <c r="O16" s="15">
        <f t="shared" si="0"/>
        <v>13</v>
      </c>
      <c r="P16" s="15">
        <f t="shared" si="1"/>
        <v>41</v>
      </c>
      <c r="R16" s="1" t="s">
        <v>12</v>
      </c>
      <c r="S16" s="17">
        <f t="shared" ref="S16:AF16" si="9">SUM(C34:C37)</f>
        <v>14</v>
      </c>
      <c r="T16" s="17">
        <f t="shared" si="9"/>
        <v>9</v>
      </c>
      <c r="U16" s="17">
        <f t="shared" si="9"/>
        <v>34</v>
      </c>
      <c r="V16" s="17">
        <f t="shared" si="9"/>
        <v>18</v>
      </c>
      <c r="W16" s="17">
        <f t="shared" si="9"/>
        <v>0</v>
      </c>
      <c r="X16" s="17">
        <f t="shared" si="9"/>
        <v>0</v>
      </c>
      <c r="Y16" s="17">
        <f t="shared" si="9"/>
        <v>15</v>
      </c>
      <c r="Z16" s="17">
        <f t="shared" si="9"/>
        <v>0</v>
      </c>
      <c r="AA16" s="17">
        <f t="shared" si="9"/>
        <v>0</v>
      </c>
      <c r="AB16" s="17">
        <f t="shared" si="9"/>
        <v>0</v>
      </c>
      <c r="AC16" s="17">
        <f t="shared" si="9"/>
        <v>114</v>
      </c>
      <c r="AD16" s="17">
        <f t="shared" si="9"/>
        <v>0</v>
      </c>
      <c r="AE16" s="31">
        <f t="shared" si="9"/>
        <v>90</v>
      </c>
      <c r="AF16" s="31">
        <f t="shared" si="9"/>
        <v>204</v>
      </c>
    </row>
    <row r="17" spans="2:32" ht="23.1" customHeight="1" x14ac:dyDescent="0.25">
      <c r="B17" s="23" t="s">
        <v>44</v>
      </c>
      <c r="C17" s="50">
        <v>5</v>
      </c>
      <c r="D17" s="50">
        <f t="shared" si="3"/>
        <v>1</v>
      </c>
      <c r="E17" s="50">
        <v>6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f>SUM('[1]RD4 MCC'!R61:U61)</f>
        <v>0</v>
      </c>
      <c r="M17" s="50">
        <v>11</v>
      </c>
      <c r="N17" s="50">
        <v>0</v>
      </c>
      <c r="O17" s="15">
        <f t="shared" si="0"/>
        <v>16</v>
      </c>
      <c r="P17" s="15">
        <f t="shared" si="1"/>
        <v>27</v>
      </c>
      <c r="R17" s="1" t="s">
        <v>13</v>
      </c>
      <c r="S17" s="17">
        <f t="shared" ref="S17:AF17" si="10">SUM(C38:C41)</f>
        <v>18</v>
      </c>
      <c r="T17" s="17">
        <f t="shared" si="10"/>
        <v>8</v>
      </c>
      <c r="U17" s="17">
        <f t="shared" si="10"/>
        <v>31</v>
      </c>
      <c r="V17" s="17">
        <f t="shared" si="10"/>
        <v>17</v>
      </c>
      <c r="W17" s="17">
        <f t="shared" si="10"/>
        <v>0</v>
      </c>
      <c r="X17" s="17">
        <f t="shared" si="10"/>
        <v>0</v>
      </c>
      <c r="Y17" s="17">
        <f t="shared" si="10"/>
        <v>21</v>
      </c>
      <c r="Z17" s="17">
        <f t="shared" si="10"/>
        <v>2</v>
      </c>
      <c r="AA17" s="17">
        <f t="shared" si="10"/>
        <v>0</v>
      </c>
      <c r="AB17" s="17">
        <f t="shared" si="10"/>
        <v>0</v>
      </c>
      <c r="AC17" s="17">
        <f t="shared" si="10"/>
        <v>107</v>
      </c>
      <c r="AD17" s="17">
        <f t="shared" si="10"/>
        <v>0</v>
      </c>
      <c r="AE17" s="31">
        <f t="shared" si="10"/>
        <v>97</v>
      </c>
      <c r="AF17" s="31">
        <f t="shared" si="10"/>
        <v>204</v>
      </c>
    </row>
    <row r="18" spans="2:32" ht="23.1" customHeight="1" x14ac:dyDescent="0.25">
      <c r="B18" s="23" t="s">
        <v>45</v>
      </c>
      <c r="C18" s="50">
        <v>2</v>
      </c>
      <c r="D18" s="50">
        <f t="shared" si="3"/>
        <v>1</v>
      </c>
      <c r="E18" s="50">
        <v>4</v>
      </c>
      <c r="F18" s="50">
        <v>0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f>SUM('[1]RD4 MCC'!R62:U62)</f>
        <v>0</v>
      </c>
      <c r="M18" s="50">
        <v>26</v>
      </c>
      <c r="N18" s="50">
        <v>0</v>
      </c>
      <c r="O18" s="15">
        <f t="shared" si="0"/>
        <v>12</v>
      </c>
      <c r="P18" s="15">
        <f t="shared" si="1"/>
        <v>38</v>
      </c>
      <c r="R18" s="1" t="s">
        <v>14</v>
      </c>
      <c r="S18" s="17">
        <f t="shared" ref="S18:AF18" si="11">SUM(C42:C45)</f>
        <v>15</v>
      </c>
      <c r="T18" s="17">
        <f t="shared" si="11"/>
        <v>6</v>
      </c>
      <c r="U18" s="17">
        <f t="shared" si="11"/>
        <v>29</v>
      </c>
      <c r="V18" s="17">
        <f t="shared" si="11"/>
        <v>18</v>
      </c>
      <c r="W18" s="17">
        <f t="shared" si="11"/>
        <v>0</v>
      </c>
      <c r="X18" s="17">
        <f t="shared" si="11"/>
        <v>0</v>
      </c>
      <c r="Y18" s="17">
        <f t="shared" si="11"/>
        <v>12</v>
      </c>
      <c r="Z18" s="17">
        <f t="shared" si="11"/>
        <v>1</v>
      </c>
      <c r="AA18" s="17">
        <f t="shared" si="11"/>
        <v>3</v>
      </c>
      <c r="AB18" s="17">
        <f t="shared" si="11"/>
        <v>0</v>
      </c>
      <c r="AC18" s="17">
        <f t="shared" si="11"/>
        <v>103</v>
      </c>
      <c r="AD18" s="17">
        <f t="shared" si="11"/>
        <v>0</v>
      </c>
      <c r="AE18" s="31">
        <f t="shared" si="11"/>
        <v>84</v>
      </c>
      <c r="AF18" s="31">
        <f t="shared" si="11"/>
        <v>187</v>
      </c>
    </row>
    <row r="19" spans="2:32" ht="23.1" customHeight="1" x14ac:dyDescent="0.25">
      <c r="B19" s="23" t="s">
        <v>46</v>
      </c>
      <c r="C19" s="50">
        <v>6</v>
      </c>
      <c r="D19" s="50">
        <f t="shared" si="3"/>
        <v>2</v>
      </c>
      <c r="E19" s="50">
        <v>7</v>
      </c>
      <c r="F19" s="50">
        <v>5</v>
      </c>
      <c r="G19" s="50">
        <v>1</v>
      </c>
      <c r="H19" s="50">
        <v>0</v>
      </c>
      <c r="I19" s="50">
        <v>4</v>
      </c>
      <c r="J19" s="50">
        <v>0</v>
      </c>
      <c r="K19" s="50">
        <v>0</v>
      </c>
      <c r="L19" s="50">
        <f>SUM('[1]RD4 MCC'!R63:U63)</f>
        <v>0</v>
      </c>
      <c r="M19" s="50">
        <v>20</v>
      </c>
      <c r="N19" s="50">
        <v>0</v>
      </c>
      <c r="O19" s="15">
        <f t="shared" si="0"/>
        <v>25</v>
      </c>
      <c r="P19" s="15">
        <f t="shared" si="1"/>
        <v>45</v>
      </c>
      <c r="R19" s="1" t="s">
        <v>15</v>
      </c>
      <c r="S19" s="17">
        <f t="shared" ref="S19:AF19" si="12">SUM(C46:C49)</f>
        <v>18</v>
      </c>
      <c r="T19" s="17">
        <f t="shared" si="12"/>
        <v>0</v>
      </c>
      <c r="U19" s="17">
        <f t="shared" si="12"/>
        <v>10</v>
      </c>
      <c r="V19" s="17">
        <f t="shared" si="12"/>
        <v>20</v>
      </c>
      <c r="W19" s="17">
        <f t="shared" si="12"/>
        <v>0</v>
      </c>
      <c r="X19" s="17">
        <f t="shared" si="12"/>
        <v>0</v>
      </c>
      <c r="Y19" s="17">
        <f t="shared" si="12"/>
        <v>7</v>
      </c>
      <c r="Z19" s="17">
        <f t="shared" si="12"/>
        <v>1</v>
      </c>
      <c r="AA19" s="17">
        <f t="shared" si="12"/>
        <v>1</v>
      </c>
      <c r="AB19" s="17">
        <f t="shared" si="12"/>
        <v>0</v>
      </c>
      <c r="AC19" s="17">
        <f t="shared" si="12"/>
        <v>120</v>
      </c>
      <c r="AD19" s="17">
        <f t="shared" si="12"/>
        <v>0</v>
      </c>
      <c r="AE19" s="31">
        <f t="shared" si="12"/>
        <v>57</v>
      </c>
      <c r="AF19" s="31">
        <f t="shared" si="12"/>
        <v>177</v>
      </c>
    </row>
    <row r="20" spans="2:32" ht="23.1" customHeight="1" x14ac:dyDescent="0.25">
      <c r="B20" s="23" t="s">
        <v>47</v>
      </c>
      <c r="C20" s="50">
        <v>3</v>
      </c>
      <c r="D20" s="50">
        <f t="shared" si="3"/>
        <v>1</v>
      </c>
      <c r="E20" s="50">
        <v>6</v>
      </c>
      <c r="F20" s="50">
        <v>3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f>SUM('[1]RD4 MCC'!R64:U64)</f>
        <v>0</v>
      </c>
      <c r="M20" s="50">
        <v>25</v>
      </c>
      <c r="N20" s="50">
        <v>0</v>
      </c>
      <c r="O20" s="15">
        <f t="shared" si="0"/>
        <v>17</v>
      </c>
      <c r="P20" s="15">
        <f t="shared" si="1"/>
        <v>42</v>
      </c>
      <c r="R20" s="1" t="s">
        <v>16</v>
      </c>
      <c r="S20" s="17">
        <f t="shared" ref="S20:AF20" si="13">SUM(C50:C53)</f>
        <v>14</v>
      </c>
      <c r="T20" s="17">
        <f t="shared" si="13"/>
        <v>8</v>
      </c>
      <c r="U20" s="17">
        <f t="shared" si="13"/>
        <v>30</v>
      </c>
      <c r="V20" s="17">
        <f t="shared" si="13"/>
        <v>16</v>
      </c>
      <c r="W20" s="17">
        <f t="shared" si="13"/>
        <v>0</v>
      </c>
      <c r="X20" s="17">
        <f t="shared" si="13"/>
        <v>0</v>
      </c>
      <c r="Y20" s="17">
        <f t="shared" si="13"/>
        <v>12</v>
      </c>
      <c r="Z20" s="17">
        <f t="shared" si="13"/>
        <v>2</v>
      </c>
      <c r="AA20" s="17">
        <f t="shared" si="13"/>
        <v>0</v>
      </c>
      <c r="AB20" s="17">
        <f t="shared" si="13"/>
        <v>0</v>
      </c>
      <c r="AC20" s="17">
        <f t="shared" si="13"/>
        <v>154</v>
      </c>
      <c r="AD20" s="17">
        <f t="shared" si="13"/>
        <v>0</v>
      </c>
      <c r="AE20" s="31">
        <f t="shared" si="13"/>
        <v>82</v>
      </c>
      <c r="AF20" s="31">
        <f t="shared" si="13"/>
        <v>236</v>
      </c>
    </row>
    <row r="21" spans="2:32" ht="23.1" customHeight="1" x14ac:dyDescent="0.25">
      <c r="B21" s="23" t="s">
        <v>48</v>
      </c>
      <c r="C21" s="50">
        <v>2</v>
      </c>
      <c r="D21" s="50">
        <f t="shared" si="3"/>
        <v>2</v>
      </c>
      <c r="E21" s="50">
        <v>8</v>
      </c>
      <c r="F21" s="50">
        <v>5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f>SUM('[1]RD4 MCC'!R65:U65)</f>
        <v>0</v>
      </c>
      <c r="M21" s="50">
        <v>27</v>
      </c>
      <c r="N21" s="50">
        <v>0</v>
      </c>
      <c r="O21" s="15">
        <f t="shared" si="0"/>
        <v>19</v>
      </c>
      <c r="P21" s="15">
        <f t="shared" si="1"/>
        <v>46</v>
      </c>
      <c r="R21" s="36" t="s">
        <v>20</v>
      </c>
      <c r="S21" s="34">
        <f t="shared" ref="S21:AF21" si="14">SUM(C54:C57)</f>
        <v>26</v>
      </c>
      <c r="T21" s="17">
        <f t="shared" si="14"/>
        <v>8</v>
      </c>
      <c r="U21" s="17">
        <f t="shared" si="14"/>
        <v>35</v>
      </c>
      <c r="V21" s="17">
        <f t="shared" si="14"/>
        <v>13</v>
      </c>
      <c r="W21" s="17">
        <f t="shared" si="14"/>
        <v>0</v>
      </c>
      <c r="X21" s="17">
        <f t="shared" si="14"/>
        <v>0</v>
      </c>
      <c r="Y21" s="17">
        <f t="shared" si="14"/>
        <v>26</v>
      </c>
      <c r="Z21" s="17">
        <f t="shared" si="14"/>
        <v>2</v>
      </c>
      <c r="AA21" s="17">
        <f t="shared" si="14"/>
        <v>0</v>
      </c>
      <c r="AB21" s="17">
        <f t="shared" si="14"/>
        <v>0</v>
      </c>
      <c r="AC21" s="17">
        <f t="shared" si="14"/>
        <v>134</v>
      </c>
      <c r="AD21" s="17">
        <f t="shared" si="14"/>
        <v>0</v>
      </c>
      <c r="AE21" s="31">
        <f t="shared" si="14"/>
        <v>110</v>
      </c>
      <c r="AF21" s="31">
        <f t="shared" si="14"/>
        <v>244</v>
      </c>
    </row>
    <row r="22" spans="2:32" ht="23.1" customHeight="1" x14ac:dyDescent="0.25">
      <c r="B22" s="23" t="s">
        <v>49</v>
      </c>
      <c r="C22" s="50">
        <v>2</v>
      </c>
      <c r="D22" s="50">
        <f t="shared" si="3"/>
        <v>2</v>
      </c>
      <c r="E22" s="50">
        <v>8</v>
      </c>
      <c r="F22" s="50">
        <v>3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f>SUM('[1]RD4 MCC'!R66:U66)</f>
        <v>0</v>
      </c>
      <c r="M22" s="50">
        <v>32</v>
      </c>
      <c r="N22" s="50">
        <v>0</v>
      </c>
      <c r="O22" s="15">
        <f t="shared" si="0"/>
        <v>19</v>
      </c>
      <c r="P22" s="15">
        <f t="shared" si="1"/>
        <v>51</v>
      </c>
      <c r="R22" s="38" t="s">
        <v>90</v>
      </c>
      <c r="S22" s="39">
        <f>MAX(S10:S12)</f>
        <v>18</v>
      </c>
      <c r="T22" s="39">
        <f t="shared" ref="T22:AF22" si="15">MAX(T10:T12)</f>
        <v>6</v>
      </c>
      <c r="U22" s="39">
        <f t="shared" si="15"/>
        <v>25</v>
      </c>
      <c r="V22" s="39">
        <f t="shared" si="15"/>
        <v>13</v>
      </c>
      <c r="W22" s="39">
        <f t="shared" si="15"/>
        <v>1</v>
      </c>
      <c r="X22" s="39">
        <f t="shared" si="15"/>
        <v>0</v>
      </c>
      <c r="Y22" s="39">
        <f t="shared" si="15"/>
        <v>15</v>
      </c>
      <c r="Z22" s="39">
        <f t="shared" si="15"/>
        <v>0</v>
      </c>
      <c r="AA22" s="39">
        <f t="shared" si="15"/>
        <v>0</v>
      </c>
      <c r="AB22" s="39">
        <f t="shared" si="15"/>
        <v>0</v>
      </c>
      <c r="AC22" s="39">
        <f t="shared" si="15"/>
        <v>98</v>
      </c>
      <c r="AD22" s="39">
        <f t="shared" si="15"/>
        <v>0</v>
      </c>
      <c r="AE22" s="40">
        <f t="shared" si="15"/>
        <v>73</v>
      </c>
      <c r="AF22" s="40">
        <f t="shared" si="15"/>
        <v>171</v>
      </c>
    </row>
    <row r="23" spans="2:32" ht="23.1" customHeight="1" x14ac:dyDescent="0.25">
      <c r="B23" s="23" t="s">
        <v>50</v>
      </c>
      <c r="C23" s="50">
        <v>7</v>
      </c>
      <c r="D23" s="50">
        <f t="shared" si="3"/>
        <v>2</v>
      </c>
      <c r="E23" s="50">
        <v>7</v>
      </c>
      <c r="F23" s="50">
        <v>4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f>SUM('[1]RD4 MCC'!R67:U67)</f>
        <v>0</v>
      </c>
      <c r="M23" s="50">
        <v>40</v>
      </c>
      <c r="N23" s="50">
        <v>0</v>
      </c>
      <c r="O23" s="15">
        <f t="shared" si="0"/>
        <v>23</v>
      </c>
      <c r="P23" s="15">
        <f t="shared" si="1"/>
        <v>63</v>
      </c>
      <c r="R23" s="38" t="s">
        <v>91</v>
      </c>
      <c r="S23" s="39">
        <f>MAX(S13:S18)</f>
        <v>20</v>
      </c>
      <c r="T23" s="39">
        <f t="shared" ref="T23:AF23" si="16">MAX(T13:T18)</f>
        <v>9</v>
      </c>
      <c r="U23" s="39">
        <f t="shared" si="16"/>
        <v>34</v>
      </c>
      <c r="V23" s="39">
        <f t="shared" si="16"/>
        <v>21</v>
      </c>
      <c r="W23" s="39">
        <f t="shared" si="16"/>
        <v>1</v>
      </c>
      <c r="X23" s="39">
        <f t="shared" si="16"/>
        <v>0</v>
      </c>
      <c r="Y23" s="39">
        <f t="shared" si="16"/>
        <v>21</v>
      </c>
      <c r="Z23" s="39">
        <f t="shared" si="16"/>
        <v>2</v>
      </c>
      <c r="AA23" s="39">
        <f t="shared" si="16"/>
        <v>3</v>
      </c>
      <c r="AB23" s="39">
        <f t="shared" si="16"/>
        <v>0</v>
      </c>
      <c r="AC23" s="39">
        <f t="shared" si="16"/>
        <v>128</v>
      </c>
      <c r="AD23" s="39">
        <f t="shared" si="16"/>
        <v>0</v>
      </c>
      <c r="AE23" s="40">
        <f t="shared" si="16"/>
        <v>97</v>
      </c>
      <c r="AF23" s="40">
        <f t="shared" si="16"/>
        <v>210</v>
      </c>
    </row>
    <row r="24" spans="2:32" ht="23.1" customHeight="1" x14ac:dyDescent="0.25">
      <c r="B24" s="23" t="s">
        <v>51</v>
      </c>
      <c r="C24" s="50">
        <v>4</v>
      </c>
      <c r="D24" s="50">
        <f t="shared" si="3"/>
        <v>2</v>
      </c>
      <c r="E24" s="50">
        <v>7</v>
      </c>
      <c r="F24" s="50">
        <v>2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f>SUM('[1]RD4 MCC'!R68:U68)</f>
        <v>0</v>
      </c>
      <c r="M24" s="50">
        <v>19</v>
      </c>
      <c r="N24" s="50">
        <v>0</v>
      </c>
      <c r="O24" s="15">
        <f t="shared" si="0"/>
        <v>18</v>
      </c>
      <c r="P24" s="15">
        <f t="shared" si="1"/>
        <v>37</v>
      </c>
      <c r="R24" s="38" t="s">
        <v>92</v>
      </c>
      <c r="S24" s="39">
        <f>MAX(S19:S21)</f>
        <v>26</v>
      </c>
      <c r="T24" s="39">
        <f t="shared" ref="T24:AF24" si="17">MAX(T19:T21)</f>
        <v>8</v>
      </c>
      <c r="U24" s="39">
        <f t="shared" si="17"/>
        <v>35</v>
      </c>
      <c r="V24" s="39">
        <f t="shared" si="17"/>
        <v>20</v>
      </c>
      <c r="W24" s="39">
        <f t="shared" si="17"/>
        <v>0</v>
      </c>
      <c r="X24" s="39">
        <f t="shared" si="17"/>
        <v>0</v>
      </c>
      <c r="Y24" s="39">
        <f t="shared" si="17"/>
        <v>26</v>
      </c>
      <c r="Z24" s="39">
        <f t="shared" si="17"/>
        <v>2</v>
      </c>
      <c r="AA24" s="39">
        <f t="shared" si="17"/>
        <v>1</v>
      </c>
      <c r="AB24" s="39">
        <f t="shared" si="17"/>
        <v>0</v>
      </c>
      <c r="AC24" s="39">
        <f t="shared" si="17"/>
        <v>154</v>
      </c>
      <c r="AD24" s="39">
        <f t="shared" si="17"/>
        <v>0</v>
      </c>
      <c r="AE24" s="40">
        <f t="shared" si="17"/>
        <v>110</v>
      </c>
      <c r="AF24" s="40">
        <f t="shared" si="17"/>
        <v>244</v>
      </c>
    </row>
    <row r="25" spans="2:32" ht="23.1" customHeight="1" x14ac:dyDescent="0.25">
      <c r="B25" s="23" t="s">
        <v>52</v>
      </c>
      <c r="C25" s="50">
        <v>7</v>
      </c>
      <c r="D25" s="50">
        <f t="shared" si="3"/>
        <v>2</v>
      </c>
      <c r="E25" s="50">
        <v>7</v>
      </c>
      <c r="F25" s="50">
        <v>1</v>
      </c>
      <c r="G25" s="50">
        <v>1</v>
      </c>
      <c r="H25" s="50">
        <v>0</v>
      </c>
      <c r="I25" s="50">
        <v>7</v>
      </c>
      <c r="J25" s="50">
        <v>0</v>
      </c>
      <c r="K25" s="50">
        <v>0</v>
      </c>
      <c r="L25" s="50">
        <f>SUM('[1]RD4 MCC'!R69:U69)</f>
        <v>0</v>
      </c>
      <c r="M25" s="50">
        <v>33</v>
      </c>
      <c r="N25" s="50">
        <v>0</v>
      </c>
      <c r="O25" s="15">
        <f t="shared" si="0"/>
        <v>25</v>
      </c>
      <c r="P25" s="15">
        <f t="shared" si="1"/>
        <v>58</v>
      </c>
      <c r="R25" s="37" t="s">
        <v>85</v>
      </c>
      <c r="S25" s="35">
        <f t="shared" ref="S25:AF25" si="18">SUM(S10:S12)</f>
        <v>38</v>
      </c>
      <c r="T25" s="16">
        <f t="shared" si="18"/>
        <v>11</v>
      </c>
      <c r="U25" s="16">
        <f t="shared" si="18"/>
        <v>57</v>
      </c>
      <c r="V25" s="16">
        <f t="shared" si="18"/>
        <v>28</v>
      </c>
      <c r="W25" s="16">
        <f t="shared" si="18"/>
        <v>2</v>
      </c>
      <c r="X25" s="16">
        <f t="shared" si="18"/>
        <v>0</v>
      </c>
      <c r="Y25" s="16">
        <f t="shared" si="18"/>
        <v>21</v>
      </c>
      <c r="Z25" s="16">
        <f t="shared" si="18"/>
        <v>0</v>
      </c>
      <c r="AA25" s="16">
        <f t="shared" si="18"/>
        <v>0</v>
      </c>
      <c r="AB25" s="16">
        <f t="shared" si="18"/>
        <v>0</v>
      </c>
      <c r="AC25" s="16">
        <f t="shared" si="18"/>
        <v>223</v>
      </c>
      <c r="AD25" s="16">
        <f t="shared" si="18"/>
        <v>0</v>
      </c>
      <c r="AE25" s="32">
        <f t="shared" si="18"/>
        <v>157</v>
      </c>
      <c r="AF25" s="32">
        <f t="shared" si="18"/>
        <v>380</v>
      </c>
    </row>
    <row r="26" spans="2:32" ht="23.1" customHeight="1" x14ac:dyDescent="0.25">
      <c r="B26" s="23" t="s">
        <v>53</v>
      </c>
      <c r="C26" s="50">
        <v>4</v>
      </c>
      <c r="D26" s="50">
        <f t="shared" si="3"/>
        <v>3</v>
      </c>
      <c r="E26" s="50">
        <v>11</v>
      </c>
      <c r="F26" s="50">
        <v>6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f>SUM('[1]RD4 MCC'!R70:U70)</f>
        <v>0</v>
      </c>
      <c r="M26" s="50">
        <v>37</v>
      </c>
      <c r="N26" s="50">
        <v>0</v>
      </c>
      <c r="O26" s="15">
        <f t="shared" si="0"/>
        <v>27</v>
      </c>
      <c r="P26" s="15">
        <f t="shared" si="1"/>
        <v>64</v>
      </c>
      <c r="R26" s="28" t="s">
        <v>86</v>
      </c>
      <c r="S26" s="16">
        <f t="shared" ref="S26:AF26" si="19">SUM(S13:S18)</f>
        <v>92</v>
      </c>
      <c r="T26" s="16">
        <f t="shared" si="19"/>
        <v>44</v>
      </c>
      <c r="U26" s="16">
        <f t="shared" si="19"/>
        <v>177</v>
      </c>
      <c r="V26" s="16">
        <f t="shared" si="19"/>
        <v>101</v>
      </c>
      <c r="W26" s="16">
        <f t="shared" si="19"/>
        <v>1</v>
      </c>
      <c r="X26" s="16">
        <f t="shared" si="19"/>
        <v>0</v>
      </c>
      <c r="Y26" s="16">
        <f t="shared" si="19"/>
        <v>99</v>
      </c>
      <c r="Z26" s="16">
        <f t="shared" si="19"/>
        <v>6</v>
      </c>
      <c r="AA26" s="16">
        <f t="shared" si="19"/>
        <v>4</v>
      </c>
      <c r="AB26" s="16">
        <f t="shared" si="19"/>
        <v>0</v>
      </c>
      <c r="AC26" s="16">
        <f t="shared" si="19"/>
        <v>680</v>
      </c>
      <c r="AD26" s="16">
        <f t="shared" si="19"/>
        <v>0</v>
      </c>
      <c r="AE26" s="32">
        <f t="shared" si="19"/>
        <v>524</v>
      </c>
      <c r="AF26" s="32">
        <f t="shared" si="19"/>
        <v>1204</v>
      </c>
    </row>
    <row r="27" spans="2:32" ht="23.1" customHeight="1" x14ac:dyDescent="0.25">
      <c r="B27" s="23" t="s">
        <v>54</v>
      </c>
      <c r="C27" s="50">
        <v>3</v>
      </c>
      <c r="D27" s="50">
        <f t="shared" si="3"/>
        <v>2</v>
      </c>
      <c r="E27" s="50">
        <v>8</v>
      </c>
      <c r="F27" s="50">
        <v>4</v>
      </c>
      <c r="G27" s="50">
        <v>0</v>
      </c>
      <c r="H27" s="50">
        <v>0</v>
      </c>
      <c r="I27" s="50">
        <v>4</v>
      </c>
      <c r="J27" s="50">
        <v>0</v>
      </c>
      <c r="K27" s="50">
        <v>0</v>
      </c>
      <c r="L27" s="50">
        <f>SUM('[1]RD4 MCC'!R71:U71)</f>
        <v>0</v>
      </c>
      <c r="M27" s="50">
        <v>30</v>
      </c>
      <c r="N27" s="50">
        <v>0</v>
      </c>
      <c r="O27" s="15">
        <f t="shared" si="0"/>
        <v>21</v>
      </c>
      <c r="P27" s="15">
        <f t="shared" si="1"/>
        <v>51</v>
      </c>
      <c r="R27" s="29" t="s">
        <v>87</v>
      </c>
      <c r="S27" s="16">
        <f t="shared" ref="S27:AF27" si="20">SUM(S19:S21)</f>
        <v>58</v>
      </c>
      <c r="T27" s="16">
        <f t="shared" si="20"/>
        <v>16</v>
      </c>
      <c r="U27" s="16">
        <f t="shared" si="20"/>
        <v>75</v>
      </c>
      <c r="V27" s="16">
        <f t="shared" si="20"/>
        <v>49</v>
      </c>
      <c r="W27" s="16">
        <f t="shared" si="20"/>
        <v>0</v>
      </c>
      <c r="X27" s="16">
        <f t="shared" si="20"/>
        <v>0</v>
      </c>
      <c r="Y27" s="16">
        <f t="shared" si="20"/>
        <v>45</v>
      </c>
      <c r="Z27" s="16">
        <f t="shared" si="20"/>
        <v>5</v>
      </c>
      <c r="AA27" s="16">
        <f t="shared" si="20"/>
        <v>1</v>
      </c>
      <c r="AB27" s="16">
        <f t="shared" si="20"/>
        <v>0</v>
      </c>
      <c r="AC27" s="16">
        <f t="shared" si="20"/>
        <v>408</v>
      </c>
      <c r="AD27" s="16">
        <f t="shared" si="20"/>
        <v>0</v>
      </c>
      <c r="AE27" s="32">
        <f t="shared" si="20"/>
        <v>249</v>
      </c>
      <c r="AF27" s="32">
        <f t="shared" si="20"/>
        <v>657</v>
      </c>
    </row>
    <row r="28" spans="2:32" ht="23.1" customHeight="1" x14ac:dyDescent="0.25">
      <c r="B28" s="23" t="s">
        <v>55</v>
      </c>
      <c r="C28" s="50">
        <v>2</v>
      </c>
      <c r="D28" s="50">
        <f t="shared" si="3"/>
        <v>0</v>
      </c>
      <c r="E28" s="50">
        <v>2</v>
      </c>
      <c r="F28" s="50">
        <v>3</v>
      </c>
      <c r="G28" s="50">
        <v>0</v>
      </c>
      <c r="H28" s="50">
        <v>0</v>
      </c>
      <c r="I28" s="50">
        <v>5</v>
      </c>
      <c r="J28" s="50">
        <v>0</v>
      </c>
      <c r="K28" s="50">
        <v>0</v>
      </c>
      <c r="L28" s="50">
        <f>SUM('[1]RD4 MCC'!R72:U72)</f>
        <v>0</v>
      </c>
      <c r="M28" s="50">
        <v>26</v>
      </c>
      <c r="N28" s="50">
        <v>0</v>
      </c>
      <c r="O28" s="15">
        <f t="shared" si="0"/>
        <v>12</v>
      </c>
      <c r="P28" s="15">
        <f t="shared" si="1"/>
        <v>38</v>
      </c>
      <c r="R28" s="5" t="s">
        <v>17</v>
      </c>
      <c r="S28" s="16">
        <f t="shared" ref="S28:AF28" si="21">SUM(S10:S21)</f>
        <v>188</v>
      </c>
      <c r="T28" s="16">
        <f t="shared" si="21"/>
        <v>71</v>
      </c>
      <c r="U28" s="16">
        <f t="shared" si="21"/>
        <v>309</v>
      </c>
      <c r="V28" s="16">
        <f t="shared" si="21"/>
        <v>178</v>
      </c>
      <c r="W28" s="16">
        <f t="shared" si="21"/>
        <v>3</v>
      </c>
      <c r="X28" s="16">
        <f t="shared" si="21"/>
        <v>0</v>
      </c>
      <c r="Y28" s="16">
        <f t="shared" si="21"/>
        <v>165</v>
      </c>
      <c r="Z28" s="16">
        <f t="shared" si="21"/>
        <v>11</v>
      </c>
      <c r="AA28" s="16">
        <f t="shared" si="21"/>
        <v>5</v>
      </c>
      <c r="AB28" s="16">
        <f t="shared" si="21"/>
        <v>0</v>
      </c>
      <c r="AC28" s="16">
        <f t="shared" si="21"/>
        <v>1311</v>
      </c>
      <c r="AD28" s="16">
        <f t="shared" si="21"/>
        <v>0</v>
      </c>
      <c r="AE28" s="32">
        <f t="shared" si="21"/>
        <v>930</v>
      </c>
      <c r="AF28" s="32">
        <f t="shared" si="21"/>
        <v>2241</v>
      </c>
    </row>
    <row r="29" spans="2:32" ht="23.1" customHeight="1" x14ac:dyDescent="0.25">
      <c r="B29" s="23" t="s">
        <v>56</v>
      </c>
      <c r="C29" s="50">
        <v>4</v>
      </c>
      <c r="D29" s="50">
        <f t="shared" si="3"/>
        <v>1</v>
      </c>
      <c r="E29" s="50">
        <v>4</v>
      </c>
      <c r="F29" s="50">
        <v>8</v>
      </c>
      <c r="G29" s="50">
        <v>0</v>
      </c>
      <c r="H29" s="50">
        <v>0</v>
      </c>
      <c r="I29" s="50">
        <v>4</v>
      </c>
      <c r="J29" s="50">
        <v>1</v>
      </c>
      <c r="K29" s="50">
        <v>0</v>
      </c>
      <c r="L29" s="50">
        <f>SUM('[1]RD4 MCC'!R73:U73)</f>
        <v>0</v>
      </c>
      <c r="M29" s="50">
        <v>35</v>
      </c>
      <c r="N29" s="50">
        <v>0</v>
      </c>
      <c r="O29" s="15">
        <f t="shared" si="0"/>
        <v>22</v>
      </c>
      <c r="P29" s="15">
        <f t="shared" si="1"/>
        <v>57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f t="shared" si="3"/>
        <v>2</v>
      </c>
      <c r="E30" s="50">
        <v>7</v>
      </c>
      <c r="F30" s="50">
        <v>5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f>SUM('[1]RD4 MCC'!R74:U74)</f>
        <v>0</v>
      </c>
      <c r="M30" s="50">
        <v>34</v>
      </c>
      <c r="N30" s="50">
        <v>0</v>
      </c>
      <c r="O30" s="15">
        <f t="shared" si="0"/>
        <v>20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5</v>
      </c>
      <c r="D31" s="50">
        <f t="shared" si="3"/>
        <v>1</v>
      </c>
      <c r="E31" s="50">
        <v>6</v>
      </c>
      <c r="F31" s="50">
        <v>7</v>
      </c>
      <c r="G31" s="50">
        <v>0</v>
      </c>
      <c r="H31" s="50">
        <v>0</v>
      </c>
      <c r="I31" s="50">
        <v>10</v>
      </c>
      <c r="J31" s="50">
        <v>0</v>
      </c>
      <c r="K31" s="50">
        <v>0</v>
      </c>
      <c r="L31" s="50">
        <f>SUM('[1]RD4 MCC'!R75:U75)</f>
        <v>0</v>
      </c>
      <c r="M31" s="50">
        <v>27</v>
      </c>
      <c r="N31" s="50">
        <v>0</v>
      </c>
      <c r="O31" s="15">
        <f t="shared" si="0"/>
        <v>29</v>
      </c>
      <c r="P31" s="15">
        <f t="shared" si="1"/>
        <v>56</v>
      </c>
    </row>
    <row r="32" spans="2:32" ht="23.1" customHeight="1" x14ac:dyDescent="0.25">
      <c r="B32" s="24" t="s">
        <v>59</v>
      </c>
      <c r="C32" s="50">
        <v>3</v>
      </c>
      <c r="D32" s="50">
        <f t="shared" si="3"/>
        <v>2</v>
      </c>
      <c r="E32" s="50">
        <v>7</v>
      </c>
      <c r="F32" s="50">
        <v>1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f>SUM('[1]RD4 MCC'!R76:U76)</f>
        <v>0</v>
      </c>
      <c r="M32" s="50">
        <v>14</v>
      </c>
      <c r="N32" s="50">
        <v>0</v>
      </c>
      <c r="O32" s="15">
        <f t="shared" si="0"/>
        <v>16</v>
      </c>
      <c r="P32" s="15">
        <f t="shared" si="1"/>
        <v>30</v>
      </c>
    </row>
    <row r="33" spans="2:20" ht="23.1" customHeight="1" x14ac:dyDescent="0.25">
      <c r="B33" s="23" t="s">
        <v>60</v>
      </c>
      <c r="C33" s="50">
        <v>2</v>
      </c>
      <c r="D33" s="50">
        <f t="shared" si="3"/>
        <v>2</v>
      </c>
      <c r="E33" s="50">
        <v>9</v>
      </c>
      <c r="F33" s="50">
        <v>4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f>SUM('[1]RD4 MCC'!R77:U77)</f>
        <v>0</v>
      </c>
      <c r="M33" s="50">
        <v>29</v>
      </c>
      <c r="N33" s="50">
        <v>0</v>
      </c>
      <c r="O33" s="15">
        <f t="shared" si="0"/>
        <v>21</v>
      </c>
      <c r="P33" s="15">
        <f t="shared" si="1"/>
        <v>50</v>
      </c>
    </row>
    <row r="34" spans="2:20" ht="23.1" customHeight="1" x14ac:dyDescent="0.25">
      <c r="B34" s="24" t="s">
        <v>61</v>
      </c>
      <c r="C34" s="50">
        <v>3</v>
      </c>
      <c r="D34" s="50">
        <f t="shared" si="3"/>
        <v>3</v>
      </c>
      <c r="E34" s="50">
        <v>12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f>SUM('[1]RD4 MCC'!R78:U78)</f>
        <v>0</v>
      </c>
      <c r="M34" s="50">
        <v>29</v>
      </c>
      <c r="N34" s="50">
        <v>0</v>
      </c>
      <c r="O34" s="15">
        <f t="shared" si="0"/>
        <v>23</v>
      </c>
      <c r="P34" s="15">
        <f t="shared" si="1"/>
        <v>52</v>
      </c>
    </row>
    <row r="35" spans="2:20" ht="23.1" customHeight="1" x14ac:dyDescent="0.25">
      <c r="B35" s="24" t="s">
        <v>62</v>
      </c>
      <c r="C35" s="50">
        <v>1</v>
      </c>
      <c r="D35" s="50">
        <f t="shared" si="3"/>
        <v>2</v>
      </c>
      <c r="E35" s="50">
        <v>8</v>
      </c>
      <c r="F35" s="50">
        <v>7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f>SUM('[1]RD4 MCC'!R79:U79)</f>
        <v>0</v>
      </c>
      <c r="M35" s="50">
        <v>30</v>
      </c>
      <c r="N35" s="50">
        <v>0</v>
      </c>
      <c r="O35" s="15">
        <f t="shared" si="0"/>
        <v>21</v>
      </c>
      <c r="P35" s="15">
        <f t="shared" si="1"/>
        <v>51</v>
      </c>
    </row>
    <row r="36" spans="2:20" ht="23.1" customHeight="1" x14ac:dyDescent="0.25">
      <c r="B36" s="24" t="s">
        <v>63</v>
      </c>
      <c r="C36" s="50">
        <v>6</v>
      </c>
      <c r="D36" s="50">
        <f t="shared" si="3"/>
        <v>2</v>
      </c>
      <c r="E36" s="50">
        <v>7</v>
      </c>
      <c r="F36" s="50">
        <v>5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f>SUM('[1]RD4 MCC'!R80:U80)</f>
        <v>0</v>
      </c>
      <c r="M36" s="50">
        <v>26</v>
      </c>
      <c r="N36" s="50">
        <v>0</v>
      </c>
      <c r="O36" s="15">
        <f t="shared" si="0"/>
        <v>21</v>
      </c>
      <c r="P36" s="15">
        <f t="shared" si="1"/>
        <v>47</v>
      </c>
    </row>
    <row r="37" spans="2:20" ht="23.1" customHeight="1" x14ac:dyDescent="0.25">
      <c r="B37" s="23" t="s">
        <v>64</v>
      </c>
      <c r="C37" s="50">
        <v>4</v>
      </c>
      <c r="D37" s="50">
        <f t="shared" si="3"/>
        <v>2</v>
      </c>
      <c r="E37" s="50">
        <v>7</v>
      </c>
      <c r="F37" s="50">
        <v>4</v>
      </c>
      <c r="G37" s="50">
        <v>0</v>
      </c>
      <c r="H37" s="50">
        <v>0</v>
      </c>
      <c r="I37" s="50">
        <v>8</v>
      </c>
      <c r="J37" s="50">
        <v>0</v>
      </c>
      <c r="K37" s="50">
        <v>0</v>
      </c>
      <c r="L37" s="50">
        <f>SUM('[1]RD4 MCC'!R81:U81)</f>
        <v>0</v>
      </c>
      <c r="M37" s="50">
        <v>29</v>
      </c>
      <c r="N37" s="50">
        <v>0</v>
      </c>
      <c r="O37" s="15">
        <f t="shared" si="0"/>
        <v>25</v>
      </c>
      <c r="P37" s="15">
        <f t="shared" si="1"/>
        <v>54</v>
      </c>
    </row>
    <row r="38" spans="2:20" ht="23.1" customHeight="1" x14ac:dyDescent="0.25">
      <c r="B38" s="24" t="s">
        <v>65</v>
      </c>
      <c r="C38" s="50">
        <v>7</v>
      </c>
      <c r="D38" s="50">
        <f t="shared" si="3"/>
        <v>2</v>
      </c>
      <c r="E38" s="50">
        <v>7</v>
      </c>
      <c r="F38" s="50">
        <v>6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f>SUM('[1]RD4 MCC'!R82:U82)</f>
        <v>0</v>
      </c>
      <c r="M38" s="50">
        <v>24</v>
      </c>
      <c r="N38" s="50">
        <v>0</v>
      </c>
      <c r="O38" s="15">
        <f t="shared" si="0"/>
        <v>24</v>
      </c>
      <c r="P38" s="15">
        <f t="shared" si="1"/>
        <v>48</v>
      </c>
    </row>
    <row r="39" spans="2:20" ht="23.1" customHeight="1" x14ac:dyDescent="0.25">
      <c r="B39" s="24" t="s">
        <v>66</v>
      </c>
      <c r="C39" s="50">
        <v>1</v>
      </c>
      <c r="D39" s="50">
        <f t="shared" si="3"/>
        <v>2</v>
      </c>
      <c r="E39" s="50">
        <v>8</v>
      </c>
      <c r="F39" s="50">
        <v>3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f>SUM('[1]RD4 MCC'!R83:U83)</f>
        <v>0</v>
      </c>
      <c r="M39" s="50">
        <v>25</v>
      </c>
      <c r="N39" s="50">
        <v>0</v>
      </c>
      <c r="O39" s="15">
        <f t="shared" si="0"/>
        <v>16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7</v>
      </c>
      <c r="D40" s="50">
        <f t="shared" si="3"/>
        <v>2</v>
      </c>
      <c r="E40" s="50">
        <v>9</v>
      </c>
      <c r="F40" s="50">
        <v>3</v>
      </c>
      <c r="G40" s="50">
        <v>0</v>
      </c>
      <c r="H40" s="50">
        <v>0</v>
      </c>
      <c r="I40" s="50">
        <v>11</v>
      </c>
      <c r="J40" s="50">
        <v>1</v>
      </c>
      <c r="K40" s="50">
        <v>0</v>
      </c>
      <c r="L40" s="50">
        <f>SUM('[1]RD4 MCC'!R84:U84)</f>
        <v>0</v>
      </c>
      <c r="M40" s="50">
        <v>28</v>
      </c>
      <c r="N40" s="50">
        <v>0</v>
      </c>
      <c r="O40" s="15">
        <f t="shared" si="0"/>
        <v>33</v>
      </c>
      <c r="P40" s="15">
        <f t="shared" si="1"/>
        <v>61</v>
      </c>
    </row>
    <row r="41" spans="2:20" ht="23.1" customHeight="1" x14ac:dyDescent="0.25">
      <c r="B41" s="23" t="s">
        <v>68</v>
      </c>
      <c r="C41" s="50">
        <v>3</v>
      </c>
      <c r="D41" s="50">
        <f t="shared" si="3"/>
        <v>2</v>
      </c>
      <c r="E41" s="50">
        <v>7</v>
      </c>
      <c r="F41" s="50">
        <v>5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f>SUM('[1]RD4 MCC'!R85:U85)</f>
        <v>0</v>
      </c>
      <c r="M41" s="50">
        <v>30</v>
      </c>
      <c r="N41" s="50">
        <v>0</v>
      </c>
      <c r="O41" s="15">
        <f t="shared" si="0"/>
        <v>24</v>
      </c>
      <c r="P41" s="15">
        <f t="shared" si="1"/>
        <v>54</v>
      </c>
    </row>
    <row r="42" spans="2:20" ht="23.1" customHeight="1" x14ac:dyDescent="0.25">
      <c r="B42" s="24" t="s">
        <v>69</v>
      </c>
      <c r="C42" s="50">
        <v>3</v>
      </c>
      <c r="D42" s="50">
        <f t="shared" si="3"/>
        <v>1</v>
      </c>
      <c r="E42" s="50">
        <v>6</v>
      </c>
      <c r="F42" s="50">
        <v>3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f>SUM('[1]RD4 MCC'!R86:U86)</f>
        <v>0</v>
      </c>
      <c r="M42" s="50">
        <v>30</v>
      </c>
      <c r="N42" s="50">
        <v>0</v>
      </c>
      <c r="O42" s="15">
        <f t="shared" si="0"/>
        <v>17</v>
      </c>
      <c r="P42" s="15">
        <f t="shared" si="1"/>
        <v>47</v>
      </c>
    </row>
    <row r="43" spans="2:20" ht="23.1" customHeight="1" x14ac:dyDescent="0.25">
      <c r="B43" s="23" t="s">
        <v>70</v>
      </c>
      <c r="C43" s="50">
        <v>2</v>
      </c>
      <c r="D43" s="50">
        <f t="shared" si="3"/>
        <v>2</v>
      </c>
      <c r="E43" s="50">
        <v>8</v>
      </c>
      <c r="F43" s="50">
        <v>7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f>SUM('[1]RD4 MCC'!R87:U87)</f>
        <v>0</v>
      </c>
      <c r="M43" s="50">
        <v>19</v>
      </c>
      <c r="N43" s="50">
        <v>0</v>
      </c>
      <c r="O43" s="15">
        <f t="shared" si="0"/>
        <v>22</v>
      </c>
      <c r="P43" s="15">
        <f t="shared" si="1"/>
        <v>41</v>
      </c>
    </row>
    <row r="44" spans="2:20" ht="23.1" customHeight="1" x14ac:dyDescent="0.25">
      <c r="B44" s="25" t="s">
        <v>71</v>
      </c>
      <c r="C44" s="50">
        <v>7</v>
      </c>
      <c r="D44" s="50">
        <f t="shared" si="3"/>
        <v>2</v>
      </c>
      <c r="E44" s="50">
        <v>9</v>
      </c>
      <c r="F44" s="50">
        <v>5</v>
      </c>
      <c r="G44" s="50">
        <v>0</v>
      </c>
      <c r="H44" s="50">
        <v>0</v>
      </c>
      <c r="I44" s="50">
        <v>1</v>
      </c>
      <c r="J44" s="50">
        <v>1</v>
      </c>
      <c r="K44" s="50">
        <v>3</v>
      </c>
      <c r="L44" s="50">
        <f>SUM('[1]RD4 MCC'!R88:U88)</f>
        <v>0</v>
      </c>
      <c r="M44" s="50">
        <v>31</v>
      </c>
      <c r="N44" s="50">
        <v>0</v>
      </c>
      <c r="O44" s="15">
        <f t="shared" si="0"/>
        <v>28</v>
      </c>
      <c r="P44" s="15">
        <f t="shared" si="1"/>
        <v>59</v>
      </c>
    </row>
    <row r="45" spans="2:20" ht="23.1" customHeight="1" x14ac:dyDescent="0.25">
      <c r="B45" s="23" t="s">
        <v>72</v>
      </c>
      <c r="C45" s="50">
        <v>3</v>
      </c>
      <c r="D45" s="50">
        <f t="shared" si="3"/>
        <v>1</v>
      </c>
      <c r="E45" s="50">
        <v>6</v>
      </c>
      <c r="F45" s="50">
        <v>3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f>SUM('[1]RD4 MCC'!R89:U89)</f>
        <v>0</v>
      </c>
      <c r="M45" s="50">
        <v>23</v>
      </c>
      <c r="N45" s="50">
        <v>0</v>
      </c>
      <c r="O45" s="15">
        <f t="shared" si="0"/>
        <v>17</v>
      </c>
      <c r="P45" s="15">
        <f t="shared" si="1"/>
        <v>40</v>
      </c>
    </row>
    <row r="46" spans="2:20" ht="23.1" customHeight="1" x14ac:dyDescent="0.25">
      <c r="B46" s="24" t="s">
        <v>73</v>
      </c>
      <c r="C46" s="50">
        <v>3</v>
      </c>
      <c r="D46" s="50">
        <f t="shared" si="3"/>
        <v>0</v>
      </c>
      <c r="E46" s="50">
        <v>2</v>
      </c>
      <c r="F46" s="50">
        <v>7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f>SUM('[1]RD4 MCC'!R90:U90)</f>
        <v>0</v>
      </c>
      <c r="M46" s="50">
        <v>25</v>
      </c>
      <c r="N46" s="50">
        <v>0</v>
      </c>
      <c r="O46" s="15">
        <f t="shared" si="0"/>
        <v>14</v>
      </c>
      <c r="P46" s="15">
        <f t="shared" si="1"/>
        <v>39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f t="shared" si="3"/>
        <v>0</v>
      </c>
      <c r="E47" s="50">
        <v>3</v>
      </c>
      <c r="F47" s="50">
        <v>3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f>SUM('[1]RD4 MCC'!R91:U91)</f>
        <v>0</v>
      </c>
      <c r="M47" s="50">
        <v>41</v>
      </c>
      <c r="N47" s="50">
        <v>0</v>
      </c>
      <c r="O47" s="15">
        <f t="shared" si="0"/>
        <v>15</v>
      </c>
      <c r="P47" s="15">
        <f t="shared" si="1"/>
        <v>56</v>
      </c>
      <c r="R47" s="8"/>
      <c r="T47"/>
    </row>
    <row r="48" spans="2:20" ht="23.1" customHeight="1" x14ac:dyDescent="0.25">
      <c r="B48" s="24" t="s">
        <v>75</v>
      </c>
      <c r="C48" s="50">
        <v>8</v>
      </c>
      <c r="D48" s="50">
        <f t="shared" si="3"/>
        <v>0</v>
      </c>
      <c r="E48" s="50">
        <v>3</v>
      </c>
      <c r="F48" s="50">
        <v>3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f>SUM('[1]RD4 MCC'!R92:U92)</f>
        <v>0</v>
      </c>
      <c r="M48" s="50">
        <v>27</v>
      </c>
      <c r="N48" s="50">
        <v>0</v>
      </c>
      <c r="O48" s="15">
        <f t="shared" si="0"/>
        <v>15</v>
      </c>
      <c r="P48" s="15">
        <f t="shared" si="1"/>
        <v>42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f t="shared" si="3"/>
        <v>0</v>
      </c>
      <c r="E49" s="50">
        <v>2</v>
      </c>
      <c r="F49" s="50">
        <v>7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f>SUM('[1]RD4 MCC'!R93:U93)</f>
        <v>0</v>
      </c>
      <c r="M49" s="50">
        <v>27</v>
      </c>
      <c r="N49" s="50">
        <v>0</v>
      </c>
      <c r="O49" s="15">
        <f t="shared" si="0"/>
        <v>13</v>
      </c>
      <c r="P49" s="15">
        <f t="shared" si="1"/>
        <v>40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f t="shared" si="3"/>
        <v>1</v>
      </c>
      <c r="E50" s="50">
        <v>5</v>
      </c>
      <c r="F50" s="50">
        <v>6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f>SUM('[1]RD4 MCC'!R94:U94)</f>
        <v>0</v>
      </c>
      <c r="M50" s="50">
        <v>39</v>
      </c>
      <c r="N50" s="50">
        <v>0</v>
      </c>
      <c r="O50" s="15">
        <f t="shared" si="0"/>
        <v>14</v>
      </c>
      <c r="P50" s="15">
        <f t="shared" si="1"/>
        <v>53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f t="shared" si="3"/>
        <v>2</v>
      </c>
      <c r="E51" s="50">
        <v>7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f>SUM('[1]RD4 MCC'!R95:U95)</f>
        <v>0</v>
      </c>
      <c r="M51" s="50">
        <v>30</v>
      </c>
      <c r="N51" s="50">
        <v>0</v>
      </c>
      <c r="O51" s="15">
        <f t="shared" si="0"/>
        <v>19</v>
      </c>
      <c r="P51" s="15">
        <f t="shared" si="1"/>
        <v>49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f t="shared" si="3"/>
        <v>2</v>
      </c>
      <c r="E52" s="50">
        <v>7</v>
      </c>
      <c r="F52" s="50">
        <v>3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f>SUM('[1]RD4 MCC'!R96:U96)</f>
        <v>0</v>
      </c>
      <c r="M52" s="50">
        <v>41</v>
      </c>
      <c r="N52" s="50">
        <v>0</v>
      </c>
      <c r="O52" s="15">
        <f t="shared" si="0"/>
        <v>22</v>
      </c>
      <c r="P52" s="15">
        <f t="shared" si="1"/>
        <v>63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f t="shared" si="3"/>
        <v>3</v>
      </c>
      <c r="E53" s="50">
        <v>11</v>
      </c>
      <c r="F53" s="50">
        <v>3</v>
      </c>
      <c r="G53" s="50">
        <v>0</v>
      </c>
      <c r="H53" s="50">
        <v>0</v>
      </c>
      <c r="I53" s="50">
        <v>5</v>
      </c>
      <c r="J53" s="50">
        <v>2</v>
      </c>
      <c r="K53" s="50">
        <v>0</v>
      </c>
      <c r="L53" s="50">
        <f>SUM('[1]RD4 MCC'!R97:U97)</f>
        <v>0</v>
      </c>
      <c r="M53" s="50">
        <v>44</v>
      </c>
      <c r="N53" s="50">
        <v>0</v>
      </c>
      <c r="O53" s="15">
        <f t="shared" si="0"/>
        <v>27</v>
      </c>
      <c r="P53" s="15">
        <f t="shared" si="1"/>
        <v>71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f t="shared" si="3"/>
        <v>1</v>
      </c>
      <c r="E54" s="50">
        <v>5</v>
      </c>
      <c r="F54" s="50">
        <v>2</v>
      </c>
      <c r="G54" s="50">
        <v>0</v>
      </c>
      <c r="H54" s="50">
        <v>0</v>
      </c>
      <c r="I54" s="50">
        <v>7</v>
      </c>
      <c r="J54" s="50">
        <v>0</v>
      </c>
      <c r="K54" s="50">
        <v>0</v>
      </c>
      <c r="L54" s="50">
        <f>SUM('[1]RD4 MCC'!R98:U98)</f>
        <v>0</v>
      </c>
      <c r="M54" s="50">
        <v>24</v>
      </c>
      <c r="N54" s="50">
        <v>0</v>
      </c>
      <c r="O54" s="15">
        <f t="shared" si="0"/>
        <v>23</v>
      </c>
      <c r="P54" s="15">
        <f t="shared" si="1"/>
        <v>47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f t="shared" si="3"/>
        <v>1</v>
      </c>
      <c r="E55" s="50">
        <v>4</v>
      </c>
      <c r="F55" s="50">
        <v>4</v>
      </c>
      <c r="G55" s="50">
        <v>0</v>
      </c>
      <c r="H55" s="50">
        <v>0</v>
      </c>
      <c r="I55" s="50">
        <v>7</v>
      </c>
      <c r="J55" s="50">
        <v>1</v>
      </c>
      <c r="K55" s="50">
        <v>0</v>
      </c>
      <c r="L55" s="50">
        <f>SUM('[1]RD4 MCC'!R99:U99)</f>
        <v>0</v>
      </c>
      <c r="M55" s="50">
        <v>29</v>
      </c>
      <c r="N55" s="50">
        <v>0</v>
      </c>
      <c r="O55" s="15">
        <f t="shared" si="0"/>
        <v>22</v>
      </c>
      <c r="P55" s="15">
        <f t="shared" si="1"/>
        <v>51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f t="shared" si="3"/>
        <v>3</v>
      </c>
      <c r="E56" s="50">
        <v>13</v>
      </c>
      <c r="F56" s="50">
        <v>3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f>SUM('[1]RD4 MCC'!R100:U100)</f>
        <v>0</v>
      </c>
      <c r="M56" s="50">
        <v>36</v>
      </c>
      <c r="N56" s="50">
        <v>0</v>
      </c>
      <c r="O56" s="15">
        <f t="shared" si="0"/>
        <v>29</v>
      </c>
      <c r="P56" s="15">
        <f t="shared" si="1"/>
        <v>65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f t="shared" si="3"/>
        <v>3</v>
      </c>
      <c r="E57" s="50">
        <v>13</v>
      </c>
      <c r="F57" s="50">
        <v>4</v>
      </c>
      <c r="G57" s="50">
        <v>0</v>
      </c>
      <c r="H57" s="50">
        <v>0</v>
      </c>
      <c r="I57" s="50">
        <v>9</v>
      </c>
      <c r="J57" s="50">
        <v>0</v>
      </c>
      <c r="K57" s="50">
        <v>0</v>
      </c>
      <c r="L57" s="50">
        <f>SUM('[1]RD4 MCC'!R101:U101)</f>
        <v>0</v>
      </c>
      <c r="M57" s="50">
        <v>45</v>
      </c>
      <c r="N57" s="50">
        <v>0</v>
      </c>
      <c r="O57" s="15">
        <f t="shared" si="0"/>
        <v>36</v>
      </c>
      <c r="P57" s="15">
        <f t="shared" si="1"/>
        <v>81</v>
      </c>
      <c r="R57" s="8"/>
      <c r="T57"/>
    </row>
    <row r="58" spans="2:20" ht="23.1" customHeight="1" x14ac:dyDescent="0.25">
      <c r="B58" s="26" t="s">
        <v>18</v>
      </c>
      <c r="C58" s="16">
        <f t="shared" ref="C58:P58" si="22">SUM(C10:C57)</f>
        <v>188</v>
      </c>
      <c r="D58" s="16">
        <f t="shared" si="22"/>
        <v>71</v>
      </c>
      <c r="E58" s="16">
        <f t="shared" si="22"/>
        <v>309</v>
      </c>
      <c r="F58" s="16">
        <f t="shared" si="22"/>
        <v>178</v>
      </c>
      <c r="G58" s="16">
        <f t="shared" si="22"/>
        <v>3</v>
      </c>
      <c r="H58" s="16">
        <f t="shared" si="22"/>
        <v>0</v>
      </c>
      <c r="I58" s="16">
        <f t="shared" si="22"/>
        <v>165</v>
      </c>
      <c r="J58" s="16">
        <f t="shared" si="22"/>
        <v>11</v>
      </c>
      <c r="K58" s="16">
        <f t="shared" si="22"/>
        <v>5</v>
      </c>
      <c r="L58" s="16">
        <f t="shared" si="22"/>
        <v>0</v>
      </c>
      <c r="M58" s="16">
        <f t="shared" si="22"/>
        <v>1311</v>
      </c>
      <c r="N58" s="16">
        <f t="shared" si="22"/>
        <v>0</v>
      </c>
      <c r="O58" s="16">
        <f t="shared" si="22"/>
        <v>930</v>
      </c>
      <c r="P58" s="16">
        <f t="shared" si="22"/>
        <v>2241</v>
      </c>
      <c r="R58" s="8"/>
      <c r="T58"/>
    </row>
    <row r="59" spans="2:20" ht="23.1" customHeight="1" x14ac:dyDescent="0.25">
      <c r="B59" s="26" t="s">
        <v>93</v>
      </c>
      <c r="C59" s="43">
        <f t="shared" ref="C59:N59" si="23">C58/$P$58</f>
        <v>8.3891120035698347E-2</v>
      </c>
      <c r="D59" s="43">
        <f t="shared" si="23"/>
        <v>3.1682284694332888E-2</v>
      </c>
      <c r="E59" s="43">
        <f t="shared" si="23"/>
        <v>0.13788487282463185</v>
      </c>
      <c r="F59" s="43">
        <f t="shared" si="23"/>
        <v>7.9428826416778217E-2</v>
      </c>
      <c r="G59" s="43">
        <f t="shared" si="23"/>
        <v>1.3386880856760374E-3</v>
      </c>
      <c r="H59" s="43">
        <f t="shared" si="23"/>
        <v>0</v>
      </c>
      <c r="I59" s="43">
        <f t="shared" si="23"/>
        <v>7.3627844712182061E-2</v>
      </c>
      <c r="J59" s="43">
        <f t="shared" si="23"/>
        <v>4.9085229808121375E-3</v>
      </c>
      <c r="K59" s="43">
        <f t="shared" si="23"/>
        <v>2.2311468094600626E-3</v>
      </c>
      <c r="L59" s="43">
        <f t="shared" si="23"/>
        <v>0</v>
      </c>
      <c r="M59" s="43">
        <f t="shared" si="23"/>
        <v>0.58500669344042833</v>
      </c>
      <c r="N59" s="43">
        <f t="shared" si="23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0.2021505376344086</v>
      </c>
      <c r="D60" s="44">
        <f t="shared" ref="D60:N60" si="24">D58/$O$58</f>
        <v>7.6344086021505372E-2</v>
      </c>
      <c r="E60" s="44">
        <f t="shared" si="24"/>
        <v>0.33225806451612905</v>
      </c>
      <c r="F60" s="44">
        <f t="shared" si="24"/>
        <v>0.1913978494623656</v>
      </c>
      <c r="G60" s="44">
        <f t="shared" si="24"/>
        <v>3.2258064516129032E-3</v>
      </c>
      <c r="H60" s="44">
        <f t="shared" si="24"/>
        <v>0</v>
      </c>
      <c r="I60" s="44">
        <f t="shared" si="24"/>
        <v>0.17741935483870969</v>
      </c>
      <c r="J60" s="44">
        <f t="shared" si="24"/>
        <v>1.1827956989247311E-2</v>
      </c>
      <c r="K60" s="44">
        <f t="shared" si="24"/>
        <v>5.3763440860215058E-3</v>
      </c>
      <c r="L60" s="44">
        <f t="shared" si="24"/>
        <v>0</v>
      </c>
      <c r="M60" s="44"/>
      <c r="N60" s="44">
        <f t="shared" si="24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44" zoomScale="60" workbookViewId="0">
      <selection activeCell="I51" sqref="I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6" t="str">
        <f>'19.08 Sironko-Mbale'!G5:H5</f>
        <v>xxx</v>
      </c>
      <c r="H5" s="67"/>
      <c r="I5" s="14"/>
      <c r="J5" s="2" t="s">
        <v>5</v>
      </c>
      <c r="K5" s="66" t="str">
        <f>'19.08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'19.08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6</v>
      </c>
      <c r="R10" s="1" t="s">
        <v>6</v>
      </c>
      <c r="S10" s="17">
        <f t="shared" ref="S10:AF10" si="2">SUM(C10:C13)</f>
        <v>4</v>
      </c>
      <c r="T10" s="17">
        <f t="shared" si="2"/>
        <v>1</v>
      </c>
      <c r="U10" s="17">
        <f t="shared" si="2"/>
        <v>8</v>
      </c>
      <c r="V10" s="17">
        <f t="shared" si="2"/>
        <v>10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125</v>
      </c>
      <c r="AD10" s="17">
        <f t="shared" si="2"/>
        <v>0</v>
      </c>
      <c r="AE10" s="31">
        <f t="shared" si="2"/>
        <v>27</v>
      </c>
      <c r="AF10" s="31">
        <f t="shared" si="2"/>
        <v>152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3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34</v>
      </c>
      <c r="N11" s="50">
        <v>0</v>
      </c>
      <c r="O11" s="15">
        <f t="shared" si="0"/>
        <v>8</v>
      </c>
      <c r="P11" s="15">
        <f t="shared" si="1"/>
        <v>42</v>
      </c>
      <c r="R11" s="1" t="s">
        <v>7</v>
      </c>
      <c r="S11" s="17">
        <f t="shared" ref="S11:AF11" si="3">SUM(C14:C17)</f>
        <v>6</v>
      </c>
      <c r="T11" s="17">
        <f t="shared" si="3"/>
        <v>5</v>
      </c>
      <c r="U11" s="17">
        <f t="shared" si="3"/>
        <v>21</v>
      </c>
      <c r="V11" s="17">
        <f t="shared" si="3"/>
        <v>12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125</v>
      </c>
      <c r="AD11" s="17">
        <f t="shared" si="3"/>
        <v>0</v>
      </c>
      <c r="AE11" s="31">
        <f t="shared" si="3"/>
        <v>48</v>
      </c>
      <c r="AF11" s="31">
        <f t="shared" si="3"/>
        <v>173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2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44</v>
      </c>
      <c r="N12" s="50">
        <v>0</v>
      </c>
      <c r="O12" s="15">
        <f t="shared" si="0"/>
        <v>4</v>
      </c>
      <c r="P12" s="15">
        <f t="shared" si="1"/>
        <v>48</v>
      </c>
      <c r="R12" s="1" t="s">
        <v>8</v>
      </c>
      <c r="S12" s="17">
        <f t="shared" ref="S12:AF12" si="4">SUM(C18:C21)</f>
        <v>14</v>
      </c>
      <c r="T12" s="17">
        <f t="shared" si="4"/>
        <v>2</v>
      </c>
      <c r="U12" s="17">
        <f t="shared" si="4"/>
        <v>14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119</v>
      </c>
      <c r="AD12" s="17">
        <f t="shared" si="4"/>
        <v>0</v>
      </c>
      <c r="AE12" s="31">
        <f t="shared" si="4"/>
        <v>41</v>
      </c>
      <c r="AF12" s="31">
        <f t="shared" si="4"/>
        <v>160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5</v>
      </c>
      <c r="F13" s="50">
        <v>5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41</v>
      </c>
      <c r="N13" s="50">
        <v>0</v>
      </c>
      <c r="O13" s="15">
        <f t="shared" si="0"/>
        <v>15</v>
      </c>
      <c r="P13" s="15">
        <f t="shared" si="1"/>
        <v>56</v>
      </c>
      <c r="R13" s="1" t="s">
        <v>9</v>
      </c>
      <c r="S13" s="17">
        <f t="shared" ref="S13:AF13" si="5">SUM(C22:C25)</f>
        <v>15</v>
      </c>
      <c r="T13" s="17">
        <f t="shared" si="5"/>
        <v>1</v>
      </c>
      <c r="U13" s="17">
        <f t="shared" si="5"/>
        <v>10</v>
      </c>
      <c r="V13" s="17">
        <f t="shared" si="5"/>
        <v>11</v>
      </c>
      <c r="W13" s="17">
        <f t="shared" si="5"/>
        <v>0</v>
      </c>
      <c r="X13" s="17">
        <f t="shared" si="5"/>
        <v>0</v>
      </c>
      <c r="Y13" s="17">
        <f t="shared" si="5"/>
        <v>15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128</v>
      </c>
      <c r="AD13" s="17">
        <f t="shared" si="5"/>
        <v>0</v>
      </c>
      <c r="AE13" s="31">
        <f t="shared" si="5"/>
        <v>52</v>
      </c>
      <c r="AF13" s="31">
        <f t="shared" si="5"/>
        <v>180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4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24</v>
      </c>
      <c r="N14" s="50">
        <v>0</v>
      </c>
      <c r="O14" s="15">
        <f t="shared" si="0"/>
        <v>9</v>
      </c>
      <c r="P14" s="15">
        <f t="shared" si="1"/>
        <v>33</v>
      </c>
      <c r="R14" s="1" t="s">
        <v>10</v>
      </c>
      <c r="S14" s="17">
        <f t="shared" ref="S14:AF14" si="6">SUM(C26:C29)</f>
        <v>11</v>
      </c>
      <c r="T14" s="17">
        <f t="shared" si="6"/>
        <v>6</v>
      </c>
      <c r="U14" s="17">
        <f t="shared" si="6"/>
        <v>22</v>
      </c>
      <c r="V14" s="17">
        <f t="shared" si="6"/>
        <v>13</v>
      </c>
      <c r="W14" s="17">
        <f t="shared" si="6"/>
        <v>2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99</v>
      </c>
      <c r="AD14" s="17">
        <f t="shared" si="6"/>
        <v>0</v>
      </c>
      <c r="AE14" s="31">
        <f t="shared" si="6"/>
        <v>58</v>
      </c>
      <c r="AF14" s="31">
        <f t="shared" si="6"/>
        <v>157</v>
      </c>
    </row>
    <row r="15" spans="2:32" ht="23.1" customHeight="1" x14ac:dyDescent="0.25">
      <c r="B15" s="23" t="s">
        <v>42</v>
      </c>
      <c r="C15" s="50">
        <v>0</v>
      </c>
      <c r="D15" s="50">
        <v>2</v>
      </c>
      <c r="E15" s="50">
        <v>7</v>
      </c>
      <c r="F15" s="50">
        <v>3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32</v>
      </c>
      <c r="N15" s="50">
        <v>0</v>
      </c>
      <c r="O15" s="15">
        <f t="shared" si="0"/>
        <v>14</v>
      </c>
      <c r="P15" s="15">
        <f t="shared" si="1"/>
        <v>46</v>
      </c>
      <c r="R15" s="1" t="s">
        <v>11</v>
      </c>
      <c r="S15" s="17">
        <f t="shared" ref="S15:AF15" si="7">SUM(C30:C33)</f>
        <v>7</v>
      </c>
      <c r="T15" s="17">
        <f t="shared" si="7"/>
        <v>3</v>
      </c>
      <c r="U15" s="17">
        <f t="shared" si="7"/>
        <v>19</v>
      </c>
      <c r="V15" s="17">
        <f t="shared" si="7"/>
        <v>7</v>
      </c>
      <c r="W15" s="17">
        <f t="shared" si="7"/>
        <v>0</v>
      </c>
      <c r="X15" s="17">
        <f t="shared" si="7"/>
        <v>1</v>
      </c>
      <c r="Y15" s="17">
        <f t="shared" si="7"/>
        <v>11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126</v>
      </c>
      <c r="AD15" s="17">
        <f t="shared" si="7"/>
        <v>0</v>
      </c>
      <c r="AE15" s="31">
        <f t="shared" si="7"/>
        <v>48</v>
      </c>
      <c r="AF15" s="31">
        <f t="shared" si="7"/>
        <v>174</v>
      </c>
    </row>
    <row r="16" spans="2:32" ht="23.1" customHeight="1" x14ac:dyDescent="0.25">
      <c r="B16" s="23" t="s">
        <v>43</v>
      </c>
      <c r="C16" s="50">
        <v>4</v>
      </c>
      <c r="D16" s="50">
        <v>1</v>
      </c>
      <c r="E16" s="50">
        <v>6</v>
      </c>
      <c r="F16" s="50">
        <v>3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28</v>
      </c>
      <c r="N16" s="50">
        <v>0</v>
      </c>
      <c r="O16" s="15">
        <f t="shared" si="0"/>
        <v>16</v>
      </c>
      <c r="P16" s="15">
        <f t="shared" si="1"/>
        <v>44</v>
      </c>
      <c r="R16" s="1" t="s">
        <v>12</v>
      </c>
      <c r="S16" s="17">
        <f t="shared" ref="S16:AF16" si="8">SUM(C34:C37)</f>
        <v>10</v>
      </c>
      <c r="T16" s="17">
        <f t="shared" si="8"/>
        <v>3</v>
      </c>
      <c r="U16" s="17">
        <f t="shared" si="8"/>
        <v>18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107</v>
      </c>
      <c r="AD16" s="17">
        <f t="shared" si="8"/>
        <v>0</v>
      </c>
      <c r="AE16" s="31">
        <f t="shared" si="8"/>
        <v>62</v>
      </c>
      <c r="AF16" s="31">
        <f t="shared" si="8"/>
        <v>169</v>
      </c>
    </row>
    <row r="17" spans="2:32" ht="23.1" customHeight="1" x14ac:dyDescent="0.25">
      <c r="B17" s="23" t="s">
        <v>44</v>
      </c>
      <c r="C17" s="50">
        <v>1</v>
      </c>
      <c r="D17" s="50">
        <v>1</v>
      </c>
      <c r="E17" s="50">
        <v>4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41</v>
      </c>
      <c r="N17" s="50">
        <v>0</v>
      </c>
      <c r="O17" s="15">
        <f t="shared" si="0"/>
        <v>9</v>
      </c>
      <c r="P17" s="15">
        <f t="shared" si="1"/>
        <v>50</v>
      </c>
      <c r="R17" s="1" t="s">
        <v>13</v>
      </c>
      <c r="S17" s="17">
        <f t="shared" ref="S17:AF17" si="9">SUM(C38:C41)</f>
        <v>11</v>
      </c>
      <c r="T17" s="17">
        <f t="shared" si="9"/>
        <v>6</v>
      </c>
      <c r="U17" s="17">
        <f t="shared" si="9"/>
        <v>28</v>
      </c>
      <c r="V17" s="17">
        <f t="shared" si="9"/>
        <v>9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131</v>
      </c>
      <c r="AD17" s="17">
        <f t="shared" si="9"/>
        <v>0</v>
      </c>
      <c r="AE17" s="31">
        <f t="shared" si="9"/>
        <v>75</v>
      </c>
      <c r="AF17" s="31">
        <f t="shared" si="9"/>
        <v>206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2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25</v>
      </c>
      <c r="N18" s="50">
        <v>0</v>
      </c>
      <c r="O18" s="15">
        <f t="shared" si="0"/>
        <v>6</v>
      </c>
      <c r="P18" s="15">
        <f t="shared" si="1"/>
        <v>31</v>
      </c>
      <c r="R18" s="1" t="s">
        <v>14</v>
      </c>
      <c r="S18" s="17">
        <f t="shared" ref="S18:AF18" si="10">SUM(C42:C45)</f>
        <v>13</v>
      </c>
      <c r="T18" s="17">
        <f t="shared" si="10"/>
        <v>7</v>
      </c>
      <c r="U18" s="17">
        <f t="shared" si="10"/>
        <v>28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126</v>
      </c>
      <c r="AD18" s="17">
        <f t="shared" si="10"/>
        <v>0</v>
      </c>
      <c r="AE18" s="31">
        <f t="shared" si="10"/>
        <v>76</v>
      </c>
      <c r="AF18" s="31">
        <f t="shared" si="10"/>
        <v>202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5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10</v>
      </c>
      <c r="P19" s="15">
        <f t="shared" si="1"/>
        <v>45</v>
      </c>
      <c r="R19" s="1" t="s">
        <v>15</v>
      </c>
      <c r="S19" s="17">
        <f t="shared" ref="S19:AF19" si="11">SUM(C46:C49)</f>
        <v>17</v>
      </c>
      <c r="T19" s="17">
        <f t="shared" si="11"/>
        <v>4</v>
      </c>
      <c r="U19" s="17">
        <f t="shared" si="11"/>
        <v>20</v>
      </c>
      <c r="V19" s="17">
        <f t="shared" si="11"/>
        <v>9</v>
      </c>
      <c r="W19" s="17">
        <f t="shared" si="11"/>
        <v>0</v>
      </c>
      <c r="X19" s="17">
        <f t="shared" si="11"/>
        <v>1</v>
      </c>
      <c r="Y19" s="17">
        <f t="shared" si="11"/>
        <v>15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135</v>
      </c>
      <c r="AD19" s="17">
        <f t="shared" si="11"/>
        <v>0</v>
      </c>
      <c r="AE19" s="31">
        <f t="shared" si="11"/>
        <v>66</v>
      </c>
      <c r="AF19" s="31">
        <f t="shared" si="11"/>
        <v>201</v>
      </c>
    </row>
    <row r="20" spans="2:32" ht="23.1" customHeight="1" x14ac:dyDescent="0.25">
      <c r="B20" s="23" t="s">
        <v>47</v>
      </c>
      <c r="C20" s="50">
        <v>6</v>
      </c>
      <c r="D20" s="50">
        <v>1</v>
      </c>
      <c r="E20" s="50">
        <v>5</v>
      </c>
      <c r="F20" s="50">
        <v>3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15</v>
      </c>
      <c r="P20" s="15">
        <f t="shared" si="1"/>
        <v>39</v>
      </c>
      <c r="R20" s="1" t="s">
        <v>16</v>
      </c>
      <c r="S20" s="17">
        <f t="shared" ref="S20:AF20" si="12">SUM(C50:C53)</f>
        <v>17</v>
      </c>
      <c r="T20" s="17">
        <f t="shared" si="12"/>
        <v>8</v>
      </c>
      <c r="U20" s="17">
        <f t="shared" si="12"/>
        <v>33</v>
      </c>
      <c r="V20" s="17">
        <f t="shared" si="12"/>
        <v>10</v>
      </c>
      <c r="W20" s="17">
        <f t="shared" si="12"/>
        <v>2</v>
      </c>
      <c r="X20" s="17">
        <f t="shared" si="12"/>
        <v>1</v>
      </c>
      <c r="Y20" s="17">
        <f t="shared" si="12"/>
        <v>16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160</v>
      </c>
      <c r="AD20" s="17">
        <f t="shared" si="12"/>
        <v>0</v>
      </c>
      <c r="AE20" s="31">
        <f t="shared" si="12"/>
        <v>88</v>
      </c>
      <c r="AF20" s="31">
        <f t="shared" si="12"/>
        <v>248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2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35</v>
      </c>
      <c r="N21" s="50">
        <v>0</v>
      </c>
      <c r="O21" s="15">
        <f t="shared" si="0"/>
        <v>10</v>
      </c>
      <c r="P21" s="15">
        <f t="shared" si="1"/>
        <v>45</v>
      </c>
      <c r="R21" s="36" t="s">
        <v>20</v>
      </c>
      <c r="S21" s="34">
        <f t="shared" ref="S21:AF21" si="13">SUM(C54:C57)</f>
        <v>19</v>
      </c>
      <c r="T21" s="17">
        <f t="shared" si="13"/>
        <v>8</v>
      </c>
      <c r="U21" s="17">
        <f t="shared" si="13"/>
        <v>33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17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104</v>
      </c>
      <c r="AD21" s="17">
        <f t="shared" si="13"/>
        <v>0</v>
      </c>
      <c r="AE21" s="31">
        <f t="shared" si="13"/>
        <v>90</v>
      </c>
      <c r="AF21" s="31">
        <f t="shared" si="13"/>
        <v>194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8</v>
      </c>
      <c r="P22" s="15">
        <f t="shared" si="1"/>
        <v>43</v>
      </c>
      <c r="R22" s="38" t="s">
        <v>90</v>
      </c>
      <c r="S22" s="39">
        <f>MAX(S10:S12)</f>
        <v>14</v>
      </c>
      <c r="T22" s="39">
        <f t="shared" ref="T22:AF22" si="14">MAX(T10:T12)</f>
        <v>5</v>
      </c>
      <c r="U22" s="39">
        <f t="shared" si="14"/>
        <v>21</v>
      </c>
      <c r="V22" s="39">
        <f t="shared" si="14"/>
        <v>12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125</v>
      </c>
      <c r="AD22" s="39">
        <f t="shared" si="14"/>
        <v>0</v>
      </c>
      <c r="AE22" s="40">
        <f t="shared" si="14"/>
        <v>48</v>
      </c>
      <c r="AF22" s="40">
        <f t="shared" si="14"/>
        <v>173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2</v>
      </c>
      <c r="F23" s="50">
        <v>2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16</v>
      </c>
      <c r="P23" s="15">
        <f t="shared" si="1"/>
        <v>46</v>
      </c>
      <c r="R23" s="38" t="s">
        <v>91</v>
      </c>
      <c r="S23" s="39">
        <f>MAX(S13:S18)</f>
        <v>15</v>
      </c>
      <c r="T23" s="39">
        <f t="shared" ref="T23:AF23" si="15">MAX(T13:T18)</f>
        <v>7</v>
      </c>
      <c r="U23" s="39">
        <f t="shared" si="15"/>
        <v>28</v>
      </c>
      <c r="V23" s="39">
        <f t="shared" si="15"/>
        <v>13</v>
      </c>
      <c r="W23" s="39">
        <f t="shared" si="15"/>
        <v>2</v>
      </c>
      <c r="X23" s="39">
        <f t="shared" si="15"/>
        <v>1</v>
      </c>
      <c r="Y23" s="39">
        <f t="shared" si="15"/>
        <v>20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131</v>
      </c>
      <c r="AD23" s="39">
        <f t="shared" si="15"/>
        <v>0</v>
      </c>
      <c r="AE23" s="40">
        <f t="shared" si="15"/>
        <v>76</v>
      </c>
      <c r="AF23" s="40">
        <f t="shared" si="15"/>
        <v>206</v>
      </c>
    </row>
    <row r="24" spans="2:32" ht="23.1" customHeight="1" x14ac:dyDescent="0.25">
      <c r="B24" s="23" t="s">
        <v>51</v>
      </c>
      <c r="C24" s="50">
        <v>6</v>
      </c>
      <c r="D24" s="50">
        <v>1</v>
      </c>
      <c r="E24" s="50">
        <v>5</v>
      </c>
      <c r="F24" s="50">
        <v>5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41</v>
      </c>
      <c r="N24" s="50">
        <v>0</v>
      </c>
      <c r="O24" s="15">
        <f t="shared" si="0"/>
        <v>19</v>
      </c>
      <c r="P24" s="15">
        <f t="shared" si="1"/>
        <v>60</v>
      </c>
      <c r="R24" s="38" t="s">
        <v>92</v>
      </c>
      <c r="S24" s="39">
        <f>MAX(S19:S21)</f>
        <v>19</v>
      </c>
      <c r="T24" s="39">
        <f t="shared" ref="T24:AF24" si="16">MAX(T19:T21)</f>
        <v>8</v>
      </c>
      <c r="U24" s="39">
        <f t="shared" si="16"/>
        <v>33</v>
      </c>
      <c r="V24" s="39">
        <f t="shared" si="16"/>
        <v>11</v>
      </c>
      <c r="W24" s="39">
        <f t="shared" si="16"/>
        <v>2</v>
      </c>
      <c r="X24" s="39">
        <f t="shared" si="16"/>
        <v>1</v>
      </c>
      <c r="Y24" s="39">
        <f t="shared" si="16"/>
        <v>17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160</v>
      </c>
      <c r="AD24" s="39">
        <f t="shared" si="16"/>
        <v>0</v>
      </c>
      <c r="AE24" s="40">
        <f t="shared" si="16"/>
        <v>90</v>
      </c>
      <c r="AF24" s="40">
        <f t="shared" si="16"/>
        <v>248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2</v>
      </c>
      <c r="F25" s="50">
        <v>3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9</v>
      </c>
      <c r="P25" s="15">
        <f t="shared" si="1"/>
        <v>31</v>
      </c>
      <c r="R25" s="37" t="s">
        <v>85</v>
      </c>
      <c r="S25" s="35">
        <f t="shared" ref="S25:AF25" si="17">SUM(S10:S12)</f>
        <v>24</v>
      </c>
      <c r="T25" s="16">
        <f t="shared" si="17"/>
        <v>8</v>
      </c>
      <c r="U25" s="16">
        <f t="shared" si="17"/>
        <v>43</v>
      </c>
      <c r="V25" s="16">
        <f t="shared" si="17"/>
        <v>32</v>
      </c>
      <c r="W25" s="16">
        <f t="shared" si="17"/>
        <v>0</v>
      </c>
      <c r="X25" s="16">
        <f t="shared" si="17"/>
        <v>0</v>
      </c>
      <c r="Y25" s="16">
        <f t="shared" si="17"/>
        <v>8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369</v>
      </c>
      <c r="AD25" s="16">
        <f t="shared" si="17"/>
        <v>0</v>
      </c>
      <c r="AE25" s="32">
        <f t="shared" si="17"/>
        <v>116</v>
      </c>
      <c r="AF25" s="32">
        <f t="shared" si="17"/>
        <v>485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7</v>
      </c>
      <c r="G26" s="50">
        <v>2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23</v>
      </c>
      <c r="N26" s="50">
        <v>0</v>
      </c>
      <c r="O26" s="15">
        <f t="shared" si="0"/>
        <v>13</v>
      </c>
      <c r="P26" s="15">
        <f t="shared" si="1"/>
        <v>36</v>
      </c>
      <c r="R26" s="28" t="s">
        <v>86</v>
      </c>
      <c r="S26" s="16">
        <f t="shared" ref="S26:AF26" si="18">SUM(S13:S18)</f>
        <v>67</v>
      </c>
      <c r="T26" s="16">
        <f t="shared" si="18"/>
        <v>26</v>
      </c>
      <c r="U26" s="16">
        <f t="shared" si="18"/>
        <v>125</v>
      </c>
      <c r="V26" s="16">
        <f t="shared" si="18"/>
        <v>64</v>
      </c>
      <c r="W26" s="16">
        <f t="shared" si="18"/>
        <v>2</v>
      </c>
      <c r="X26" s="16">
        <f t="shared" si="18"/>
        <v>1</v>
      </c>
      <c r="Y26" s="16">
        <f t="shared" si="18"/>
        <v>81</v>
      </c>
      <c r="Z26" s="16">
        <f t="shared" si="18"/>
        <v>5</v>
      </c>
      <c r="AA26" s="16">
        <f t="shared" si="18"/>
        <v>0</v>
      </c>
      <c r="AB26" s="16">
        <f t="shared" si="18"/>
        <v>0</v>
      </c>
      <c r="AC26" s="16">
        <f t="shared" si="18"/>
        <v>717</v>
      </c>
      <c r="AD26" s="16">
        <f t="shared" si="18"/>
        <v>0</v>
      </c>
      <c r="AE26" s="32">
        <f t="shared" si="18"/>
        <v>371</v>
      </c>
      <c r="AF26" s="32">
        <f t="shared" si="18"/>
        <v>1088</v>
      </c>
    </row>
    <row r="27" spans="2:32" ht="23.1" customHeight="1" x14ac:dyDescent="0.25">
      <c r="B27" s="23" t="s">
        <v>54</v>
      </c>
      <c r="C27" s="50">
        <v>2</v>
      </c>
      <c r="D27" s="50">
        <v>3</v>
      </c>
      <c r="E27" s="50">
        <v>10</v>
      </c>
      <c r="F27" s="50">
        <v>5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25</v>
      </c>
      <c r="N27" s="50">
        <v>0</v>
      </c>
      <c r="O27" s="15">
        <f t="shared" si="0"/>
        <v>21</v>
      </c>
      <c r="P27" s="15">
        <f t="shared" si="1"/>
        <v>46</v>
      </c>
      <c r="R27" s="29" t="s">
        <v>87</v>
      </c>
      <c r="S27" s="16">
        <f t="shared" ref="S27:AF27" si="19">SUM(S19:S21)</f>
        <v>53</v>
      </c>
      <c r="T27" s="16">
        <f t="shared" si="19"/>
        <v>20</v>
      </c>
      <c r="U27" s="16">
        <f t="shared" si="19"/>
        <v>86</v>
      </c>
      <c r="V27" s="16">
        <f t="shared" si="19"/>
        <v>30</v>
      </c>
      <c r="W27" s="16">
        <f t="shared" si="19"/>
        <v>2</v>
      </c>
      <c r="X27" s="16">
        <f t="shared" si="19"/>
        <v>2</v>
      </c>
      <c r="Y27" s="16">
        <f t="shared" si="19"/>
        <v>48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399</v>
      </c>
      <c r="AD27" s="16">
        <f t="shared" si="19"/>
        <v>0</v>
      </c>
      <c r="AE27" s="32">
        <f t="shared" si="19"/>
        <v>244</v>
      </c>
      <c r="AF27" s="32">
        <f t="shared" si="19"/>
        <v>643</v>
      </c>
    </row>
    <row r="28" spans="2:32" ht="23.1" customHeight="1" x14ac:dyDescent="0.25">
      <c r="B28" s="23" t="s">
        <v>55</v>
      </c>
      <c r="C28" s="50">
        <v>2</v>
      </c>
      <c r="D28" s="50">
        <v>2</v>
      </c>
      <c r="E28" s="50">
        <v>7</v>
      </c>
      <c r="F28" s="50">
        <v>1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25</v>
      </c>
      <c r="N28" s="50">
        <v>0</v>
      </c>
      <c r="O28" s="15">
        <f t="shared" si="0"/>
        <v>13</v>
      </c>
      <c r="P28" s="15">
        <f t="shared" si="1"/>
        <v>38</v>
      </c>
      <c r="R28" s="5" t="s">
        <v>17</v>
      </c>
      <c r="S28" s="16">
        <f t="shared" ref="S28:AF28" si="20">SUM(S10:S21)</f>
        <v>144</v>
      </c>
      <c r="T28" s="16">
        <f t="shared" si="20"/>
        <v>54</v>
      </c>
      <c r="U28" s="16">
        <f t="shared" si="20"/>
        <v>254</v>
      </c>
      <c r="V28" s="16">
        <f t="shared" si="20"/>
        <v>126</v>
      </c>
      <c r="W28" s="16">
        <f t="shared" si="20"/>
        <v>4</v>
      </c>
      <c r="X28" s="16">
        <f t="shared" si="20"/>
        <v>3</v>
      </c>
      <c r="Y28" s="16">
        <f t="shared" si="20"/>
        <v>137</v>
      </c>
      <c r="Z28" s="16">
        <f t="shared" si="20"/>
        <v>9</v>
      </c>
      <c r="AA28" s="16">
        <f t="shared" si="20"/>
        <v>0</v>
      </c>
      <c r="AB28" s="16">
        <f t="shared" si="20"/>
        <v>0</v>
      </c>
      <c r="AC28" s="16">
        <f t="shared" si="20"/>
        <v>1485</v>
      </c>
      <c r="AD28" s="16">
        <f t="shared" si="20"/>
        <v>0</v>
      </c>
      <c r="AE28" s="32">
        <f t="shared" si="20"/>
        <v>731</v>
      </c>
      <c r="AF28" s="32">
        <f t="shared" si="20"/>
        <v>2216</v>
      </c>
    </row>
    <row r="29" spans="2:32" ht="23.1" customHeight="1" x14ac:dyDescent="0.25">
      <c r="B29" s="23" t="s">
        <v>56</v>
      </c>
      <c r="C29" s="50">
        <v>5</v>
      </c>
      <c r="D29" s="50">
        <v>1</v>
      </c>
      <c r="E29" s="50">
        <v>5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11</v>
      </c>
      <c r="P29" s="15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2</v>
      </c>
      <c r="E30" s="50">
        <v>9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33</v>
      </c>
      <c r="N30" s="50">
        <v>0</v>
      </c>
      <c r="O30" s="15">
        <f t="shared" si="0"/>
        <v>19</v>
      </c>
      <c r="P30" s="15">
        <f t="shared" si="1"/>
        <v>52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3</v>
      </c>
      <c r="F31" s="50">
        <v>2</v>
      </c>
      <c r="G31" s="50">
        <v>0</v>
      </c>
      <c r="H31" s="50">
        <v>1</v>
      </c>
      <c r="I31" s="50">
        <v>1</v>
      </c>
      <c r="J31" s="50">
        <v>0</v>
      </c>
      <c r="K31" s="50">
        <v>0</v>
      </c>
      <c r="L31" s="50">
        <v>0</v>
      </c>
      <c r="M31" s="50">
        <v>39</v>
      </c>
      <c r="N31" s="50">
        <v>0</v>
      </c>
      <c r="O31" s="15">
        <f t="shared" si="0"/>
        <v>8</v>
      </c>
      <c r="P31" s="15">
        <f t="shared" si="1"/>
        <v>47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2</v>
      </c>
      <c r="G32" s="50">
        <v>0</v>
      </c>
      <c r="H32" s="50">
        <v>0</v>
      </c>
      <c r="I32" s="50">
        <v>6</v>
      </c>
      <c r="J32" s="50">
        <v>0</v>
      </c>
      <c r="K32" s="50">
        <v>0</v>
      </c>
      <c r="L32" s="50">
        <v>0</v>
      </c>
      <c r="M32" s="50">
        <v>24</v>
      </c>
      <c r="N32" s="50">
        <v>0</v>
      </c>
      <c r="O32" s="15">
        <f t="shared" si="0"/>
        <v>11</v>
      </c>
      <c r="P32" s="15">
        <f t="shared" si="1"/>
        <v>35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6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10</v>
      </c>
      <c r="P33" s="15">
        <f t="shared" si="1"/>
        <v>40</v>
      </c>
    </row>
    <row r="34" spans="2:20" ht="23.1" customHeight="1" x14ac:dyDescent="0.25">
      <c r="B34" s="24" t="s">
        <v>61</v>
      </c>
      <c r="C34" s="50">
        <v>2</v>
      </c>
      <c r="D34" s="50">
        <v>2</v>
      </c>
      <c r="E34" s="50">
        <v>8</v>
      </c>
      <c r="F34" s="50">
        <v>3</v>
      </c>
      <c r="G34" s="50">
        <v>0</v>
      </c>
      <c r="H34" s="50">
        <v>0</v>
      </c>
      <c r="I34" s="50">
        <v>7</v>
      </c>
      <c r="J34" s="50">
        <v>0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22</v>
      </c>
      <c r="P34" s="15">
        <f t="shared" si="1"/>
        <v>51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3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26</v>
      </c>
      <c r="N35" s="50">
        <v>0</v>
      </c>
      <c r="O35" s="15">
        <f t="shared" si="0"/>
        <v>10</v>
      </c>
      <c r="P35" s="15">
        <f t="shared" si="1"/>
        <v>36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5</v>
      </c>
      <c r="F36" s="50">
        <v>3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18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4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12</v>
      </c>
      <c r="P37" s="15">
        <f t="shared" si="1"/>
        <v>37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5</v>
      </c>
      <c r="F38" s="50">
        <v>1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32</v>
      </c>
      <c r="N38" s="50">
        <v>0</v>
      </c>
      <c r="O38" s="15">
        <f t="shared" si="0"/>
        <v>13</v>
      </c>
      <c r="P38" s="15">
        <f t="shared" si="1"/>
        <v>45</v>
      </c>
    </row>
    <row r="39" spans="2:20" ht="23.1" customHeight="1" x14ac:dyDescent="0.25">
      <c r="B39" s="24" t="s">
        <v>66</v>
      </c>
      <c r="C39" s="50">
        <v>2</v>
      </c>
      <c r="D39" s="50">
        <v>2</v>
      </c>
      <c r="E39" s="50">
        <v>9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44</v>
      </c>
      <c r="N39" s="50">
        <v>0</v>
      </c>
      <c r="O39" s="15">
        <f t="shared" si="0"/>
        <v>17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3</v>
      </c>
      <c r="D40" s="50">
        <v>3</v>
      </c>
      <c r="E40" s="50">
        <v>11</v>
      </c>
      <c r="F40" s="50">
        <v>4</v>
      </c>
      <c r="G40" s="50">
        <v>0</v>
      </c>
      <c r="H40" s="50">
        <v>0</v>
      </c>
      <c r="I40" s="50">
        <v>7</v>
      </c>
      <c r="J40" s="50">
        <v>1</v>
      </c>
      <c r="K40" s="50">
        <v>0</v>
      </c>
      <c r="L40" s="50">
        <v>0</v>
      </c>
      <c r="M40" s="50">
        <v>34</v>
      </c>
      <c r="N40" s="50">
        <v>0</v>
      </c>
      <c r="O40" s="15">
        <f t="shared" si="0"/>
        <v>29</v>
      </c>
      <c r="P40" s="15">
        <f t="shared" si="1"/>
        <v>63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3</v>
      </c>
      <c r="F41" s="50">
        <v>3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16</v>
      </c>
      <c r="P41" s="15">
        <f t="shared" si="1"/>
        <v>37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7</v>
      </c>
      <c r="F42" s="50">
        <v>2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18</v>
      </c>
      <c r="P42" s="15">
        <f t="shared" si="1"/>
        <v>50</v>
      </c>
    </row>
    <row r="43" spans="2:20" ht="23.1" customHeight="1" x14ac:dyDescent="0.25">
      <c r="B43" s="23" t="s">
        <v>70</v>
      </c>
      <c r="C43" s="50">
        <v>4</v>
      </c>
      <c r="D43" s="50">
        <v>3</v>
      </c>
      <c r="E43" s="50">
        <v>11</v>
      </c>
      <c r="F43" s="50">
        <v>1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19</v>
      </c>
      <c r="N43" s="50">
        <v>0</v>
      </c>
      <c r="O43" s="15">
        <f t="shared" si="0"/>
        <v>23</v>
      </c>
      <c r="P43" s="15">
        <f t="shared" si="1"/>
        <v>42</v>
      </c>
    </row>
    <row r="44" spans="2:20" ht="23.1" customHeight="1" x14ac:dyDescent="0.25">
      <c r="B44" s="25" t="s">
        <v>71</v>
      </c>
      <c r="C44" s="50">
        <v>3</v>
      </c>
      <c r="D44" s="50">
        <v>1</v>
      </c>
      <c r="E44" s="50">
        <v>6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39</v>
      </c>
      <c r="N44" s="50">
        <v>0</v>
      </c>
      <c r="O44" s="15">
        <f t="shared" si="0"/>
        <v>14</v>
      </c>
      <c r="P44" s="15">
        <f t="shared" si="1"/>
        <v>53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4</v>
      </c>
      <c r="F45" s="50">
        <v>6</v>
      </c>
      <c r="G45" s="50">
        <v>0</v>
      </c>
      <c r="H45" s="50">
        <v>0</v>
      </c>
      <c r="I45" s="50">
        <v>7</v>
      </c>
      <c r="J45" s="50">
        <v>1</v>
      </c>
      <c r="K45" s="50">
        <v>0</v>
      </c>
      <c r="L45" s="50">
        <v>0</v>
      </c>
      <c r="M45" s="50">
        <v>36</v>
      </c>
      <c r="N45" s="50">
        <v>0</v>
      </c>
      <c r="O45" s="15">
        <f t="shared" si="0"/>
        <v>21</v>
      </c>
      <c r="P45" s="15">
        <f t="shared" si="1"/>
        <v>57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5</v>
      </c>
      <c r="F46" s="50">
        <v>2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40</v>
      </c>
      <c r="N46" s="50">
        <v>0</v>
      </c>
      <c r="O46" s="15">
        <f t="shared" si="0"/>
        <v>13</v>
      </c>
      <c r="P46" s="15">
        <f t="shared" si="1"/>
        <v>53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4</v>
      </c>
      <c r="F47" s="50">
        <v>1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9</v>
      </c>
      <c r="P47" s="15">
        <f t="shared" si="1"/>
        <v>29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6</v>
      </c>
      <c r="F48" s="50">
        <v>1</v>
      </c>
      <c r="G48" s="50">
        <v>0</v>
      </c>
      <c r="H48" s="50">
        <v>0</v>
      </c>
      <c r="I48" s="50">
        <v>7</v>
      </c>
      <c r="J48" s="50">
        <v>0</v>
      </c>
      <c r="K48" s="50">
        <v>0</v>
      </c>
      <c r="L48" s="50">
        <v>0</v>
      </c>
      <c r="M48" s="50">
        <v>43</v>
      </c>
      <c r="N48" s="50">
        <v>0</v>
      </c>
      <c r="O48" s="15">
        <f t="shared" si="0"/>
        <v>20</v>
      </c>
      <c r="P48" s="15">
        <f t="shared" si="1"/>
        <v>63</v>
      </c>
      <c r="R48" s="8"/>
      <c r="T48"/>
    </row>
    <row r="49" spans="2:20" ht="23.1" customHeight="1" x14ac:dyDescent="0.25">
      <c r="B49" s="23" t="s">
        <v>76</v>
      </c>
      <c r="C49" s="50">
        <v>8</v>
      </c>
      <c r="D49" s="50">
        <v>1</v>
      </c>
      <c r="E49" s="50">
        <v>5</v>
      </c>
      <c r="F49" s="50">
        <v>5</v>
      </c>
      <c r="G49" s="50">
        <v>0</v>
      </c>
      <c r="H49" s="50">
        <v>1</v>
      </c>
      <c r="I49" s="50">
        <v>4</v>
      </c>
      <c r="J49" s="50">
        <v>0</v>
      </c>
      <c r="K49" s="50">
        <v>0</v>
      </c>
      <c r="L49" s="50">
        <v>0</v>
      </c>
      <c r="M49" s="50">
        <v>32</v>
      </c>
      <c r="N49" s="50">
        <v>0</v>
      </c>
      <c r="O49" s="15">
        <f t="shared" si="0"/>
        <v>24</v>
      </c>
      <c r="P49" s="15">
        <f t="shared" si="1"/>
        <v>56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2</v>
      </c>
      <c r="E50" s="50">
        <v>8</v>
      </c>
      <c r="F50" s="50">
        <v>5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52</v>
      </c>
      <c r="N50" s="50">
        <v>0</v>
      </c>
      <c r="O50" s="15">
        <f t="shared" si="0"/>
        <v>20</v>
      </c>
      <c r="P50" s="15">
        <f t="shared" si="1"/>
        <v>72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2</v>
      </c>
      <c r="E51" s="50">
        <v>9</v>
      </c>
      <c r="F51" s="50">
        <v>1</v>
      </c>
      <c r="G51" s="50">
        <v>1</v>
      </c>
      <c r="H51" s="50">
        <v>0</v>
      </c>
      <c r="I51" s="50">
        <v>4</v>
      </c>
      <c r="J51" s="50">
        <v>1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25</v>
      </c>
      <c r="P51" s="15">
        <f t="shared" si="1"/>
        <v>64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2</v>
      </c>
      <c r="E52" s="50">
        <v>9</v>
      </c>
      <c r="F52" s="50">
        <v>3</v>
      </c>
      <c r="G52" s="50">
        <v>0</v>
      </c>
      <c r="H52" s="50">
        <v>1</v>
      </c>
      <c r="I52" s="50">
        <v>7</v>
      </c>
      <c r="J52" s="50">
        <v>0</v>
      </c>
      <c r="K52" s="50">
        <v>0</v>
      </c>
      <c r="L52" s="50">
        <v>0</v>
      </c>
      <c r="M52" s="50">
        <v>40</v>
      </c>
      <c r="N52" s="50">
        <v>0</v>
      </c>
      <c r="O52" s="15">
        <f t="shared" si="0"/>
        <v>25</v>
      </c>
      <c r="P52" s="15">
        <f t="shared" si="1"/>
        <v>65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2</v>
      </c>
      <c r="E53" s="50">
        <v>7</v>
      </c>
      <c r="F53" s="50">
        <v>1</v>
      </c>
      <c r="G53" s="50">
        <v>1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29</v>
      </c>
      <c r="N53" s="50">
        <v>0</v>
      </c>
      <c r="O53" s="15">
        <f t="shared" si="0"/>
        <v>18</v>
      </c>
      <c r="P53" s="15">
        <f t="shared" si="1"/>
        <v>47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2</v>
      </c>
      <c r="E54" s="50">
        <v>7</v>
      </c>
      <c r="F54" s="50">
        <v>4</v>
      </c>
      <c r="G54" s="50">
        <v>0</v>
      </c>
      <c r="H54" s="50">
        <v>0</v>
      </c>
      <c r="I54" s="50">
        <v>5</v>
      </c>
      <c r="J54" s="50">
        <v>1</v>
      </c>
      <c r="K54" s="50">
        <v>0</v>
      </c>
      <c r="L54" s="50">
        <v>0</v>
      </c>
      <c r="M54" s="50">
        <v>32</v>
      </c>
      <c r="N54" s="50">
        <v>0</v>
      </c>
      <c r="O54" s="15">
        <f t="shared" si="0"/>
        <v>23</v>
      </c>
      <c r="P54" s="15">
        <f t="shared" si="1"/>
        <v>55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3</v>
      </c>
      <c r="E55" s="50">
        <v>13</v>
      </c>
      <c r="F55" s="50">
        <v>3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27</v>
      </c>
      <c r="N55" s="50">
        <v>0</v>
      </c>
      <c r="O55" s="15">
        <f t="shared" si="0"/>
        <v>29</v>
      </c>
      <c r="P55" s="15">
        <f t="shared" si="1"/>
        <v>56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2</v>
      </c>
      <c r="E56" s="50">
        <v>9</v>
      </c>
      <c r="F56" s="50">
        <v>2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26</v>
      </c>
      <c r="N56" s="50">
        <v>0</v>
      </c>
      <c r="O56" s="15">
        <f t="shared" si="0"/>
        <v>23</v>
      </c>
      <c r="P56" s="15">
        <f t="shared" si="1"/>
        <v>49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4</v>
      </c>
      <c r="F57" s="50">
        <v>2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15</v>
      </c>
      <c r="P57" s="15">
        <f t="shared" si="1"/>
        <v>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144</v>
      </c>
      <c r="D58" s="16">
        <f t="shared" si="21"/>
        <v>54</v>
      </c>
      <c r="E58" s="16">
        <f t="shared" si="21"/>
        <v>254</v>
      </c>
      <c r="F58" s="16">
        <f t="shared" si="21"/>
        <v>126</v>
      </c>
      <c r="G58" s="16">
        <f t="shared" si="21"/>
        <v>4</v>
      </c>
      <c r="H58" s="16">
        <f t="shared" si="21"/>
        <v>3</v>
      </c>
      <c r="I58" s="16">
        <f t="shared" si="21"/>
        <v>137</v>
      </c>
      <c r="J58" s="16">
        <f t="shared" si="21"/>
        <v>9</v>
      </c>
      <c r="K58" s="16">
        <f t="shared" si="21"/>
        <v>0</v>
      </c>
      <c r="L58" s="16">
        <f t="shared" si="21"/>
        <v>0</v>
      </c>
      <c r="M58" s="16">
        <f t="shared" si="21"/>
        <v>1485</v>
      </c>
      <c r="N58" s="16">
        <f t="shared" si="21"/>
        <v>0</v>
      </c>
      <c r="O58" s="16">
        <f t="shared" si="21"/>
        <v>731</v>
      </c>
      <c r="P58" s="16">
        <f t="shared" si="21"/>
        <v>2216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6.4981949458483748E-2</v>
      </c>
      <c r="D59" s="43">
        <f t="shared" si="22"/>
        <v>2.4368231046931407E-2</v>
      </c>
      <c r="E59" s="43">
        <f t="shared" si="22"/>
        <v>0.11462093862815885</v>
      </c>
      <c r="F59" s="43">
        <f t="shared" si="22"/>
        <v>5.6859205776173288E-2</v>
      </c>
      <c r="G59" s="43">
        <f t="shared" si="22"/>
        <v>1.8050541516245488E-3</v>
      </c>
      <c r="H59" s="43">
        <f t="shared" si="22"/>
        <v>1.3537906137184115E-3</v>
      </c>
      <c r="I59" s="43">
        <f t="shared" si="22"/>
        <v>6.1823104693140792E-2</v>
      </c>
      <c r="J59" s="43">
        <f t="shared" si="22"/>
        <v>4.0613718411552343E-3</v>
      </c>
      <c r="K59" s="43">
        <f t="shared" si="22"/>
        <v>0</v>
      </c>
      <c r="L59" s="43">
        <f t="shared" si="22"/>
        <v>0</v>
      </c>
      <c r="M59" s="43">
        <f t="shared" si="22"/>
        <v>0.67012635379061369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0.19699042407660738</v>
      </c>
      <c r="D60" s="44">
        <f t="shared" ref="D60:N60" si="23">D58/$O$58</f>
        <v>7.3871409028727769E-2</v>
      </c>
      <c r="E60" s="44">
        <f t="shared" si="23"/>
        <v>0.34746922024623805</v>
      </c>
      <c r="F60" s="44">
        <f t="shared" si="23"/>
        <v>0.17236662106703146</v>
      </c>
      <c r="G60" s="44">
        <f t="shared" si="23"/>
        <v>5.4719562243502051E-3</v>
      </c>
      <c r="H60" s="44">
        <f t="shared" si="23"/>
        <v>4.1039671682626538E-3</v>
      </c>
      <c r="I60" s="44">
        <f t="shared" si="23"/>
        <v>0.18741450068399454</v>
      </c>
      <c r="J60" s="44">
        <f t="shared" si="23"/>
        <v>1.2311901504787962E-2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10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'20.08 Sironko-Mbale'!D5</f>
        <v>20.08.19</v>
      </c>
      <c r="E5" s="3"/>
      <c r="F5" s="41" t="s">
        <v>1</v>
      </c>
      <c r="G5" s="66" t="str">
        <f>'19.08 Sironko-Mbale'!G5:H5</f>
        <v>xxx</v>
      </c>
      <c r="H5" s="67"/>
      <c r="I5" s="14"/>
      <c r="J5" s="2" t="s">
        <v>5</v>
      </c>
      <c r="K5" s="66" t="str">
        <f>'19.08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'19.08 Mbale-Sironko'!G6:H6</f>
        <v>Sironko</v>
      </c>
      <c r="H6" s="67"/>
      <c r="J6" s="2" t="s">
        <v>21</v>
      </c>
      <c r="K6" s="66" t="str">
        <f>'19.08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9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53</v>
      </c>
      <c r="AD10" s="17">
        <f t="shared" si="2"/>
        <v>0</v>
      </c>
      <c r="AE10" s="31">
        <f t="shared" si="2"/>
        <v>29</v>
      </c>
      <c r="AF10" s="31">
        <f t="shared" si="2"/>
        <v>82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5</v>
      </c>
      <c r="P11" s="15">
        <f t="shared" si="1"/>
        <v>18</v>
      </c>
      <c r="R11" s="1" t="s">
        <v>7</v>
      </c>
      <c r="S11" s="17">
        <f t="shared" ref="S11:AF11" si="3">SUM(C14:C17)</f>
        <v>13</v>
      </c>
      <c r="T11" s="17">
        <f t="shared" si="3"/>
        <v>4</v>
      </c>
      <c r="U11" s="17">
        <f t="shared" si="3"/>
        <v>20</v>
      </c>
      <c r="V11" s="17">
        <f t="shared" si="3"/>
        <v>13</v>
      </c>
      <c r="W11" s="17">
        <f t="shared" si="3"/>
        <v>0</v>
      </c>
      <c r="X11" s="17">
        <f t="shared" si="3"/>
        <v>2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96</v>
      </c>
      <c r="AD11" s="17">
        <f t="shared" si="3"/>
        <v>0</v>
      </c>
      <c r="AE11" s="31">
        <f t="shared" si="3"/>
        <v>59</v>
      </c>
      <c r="AF11" s="31">
        <f t="shared" si="3"/>
        <v>155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2</v>
      </c>
      <c r="F12" s="50">
        <v>0</v>
      </c>
      <c r="G12" s="50">
        <v>1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7</v>
      </c>
      <c r="P12" s="15">
        <f t="shared" si="1"/>
        <v>22</v>
      </c>
      <c r="R12" s="1" t="s">
        <v>8</v>
      </c>
      <c r="S12" s="17">
        <f t="shared" ref="S12:AF12" si="4">SUM(C18:C21)</f>
        <v>15</v>
      </c>
      <c r="T12" s="17">
        <f t="shared" si="4"/>
        <v>6</v>
      </c>
      <c r="U12" s="17">
        <f t="shared" si="4"/>
        <v>25</v>
      </c>
      <c r="V12" s="17">
        <f t="shared" si="4"/>
        <v>7</v>
      </c>
      <c r="W12" s="17">
        <f t="shared" si="4"/>
        <v>1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126</v>
      </c>
      <c r="AD12" s="17">
        <f t="shared" si="4"/>
        <v>0</v>
      </c>
      <c r="AE12" s="31">
        <f t="shared" si="4"/>
        <v>63</v>
      </c>
      <c r="AF12" s="31">
        <f t="shared" si="4"/>
        <v>189</v>
      </c>
    </row>
    <row r="13" spans="2:32" ht="23.1" customHeight="1" x14ac:dyDescent="0.25">
      <c r="B13" s="23" t="s">
        <v>40</v>
      </c>
      <c r="C13" s="50">
        <v>1</v>
      </c>
      <c r="D13" s="50">
        <v>2</v>
      </c>
      <c r="E13" s="50">
        <v>7</v>
      </c>
      <c r="F13" s="50">
        <v>1</v>
      </c>
      <c r="G13" s="50">
        <v>0</v>
      </c>
      <c r="H13" s="50">
        <v>0</v>
      </c>
      <c r="I13" s="50">
        <v>3</v>
      </c>
      <c r="J13" s="50">
        <v>1</v>
      </c>
      <c r="K13" s="50">
        <v>0</v>
      </c>
      <c r="L13" s="50">
        <v>0</v>
      </c>
      <c r="M13" s="50">
        <v>23</v>
      </c>
      <c r="N13" s="50">
        <v>0</v>
      </c>
      <c r="O13" s="15">
        <f t="shared" si="0"/>
        <v>15</v>
      </c>
      <c r="P13" s="15">
        <f t="shared" si="1"/>
        <v>38</v>
      </c>
      <c r="R13" s="1" t="s">
        <v>9</v>
      </c>
      <c r="S13" s="17">
        <f t="shared" ref="S13:AF13" si="5">SUM(C22:C25)</f>
        <v>22</v>
      </c>
      <c r="T13" s="17">
        <f t="shared" si="5"/>
        <v>6</v>
      </c>
      <c r="U13" s="17">
        <f t="shared" si="5"/>
        <v>25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141</v>
      </c>
      <c r="AD13" s="17">
        <f t="shared" si="5"/>
        <v>0</v>
      </c>
      <c r="AE13" s="31">
        <f t="shared" si="5"/>
        <v>68</v>
      </c>
      <c r="AF13" s="31">
        <f t="shared" si="5"/>
        <v>209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6</v>
      </c>
      <c r="F14" s="50">
        <v>2</v>
      </c>
      <c r="G14" s="50">
        <v>0</v>
      </c>
      <c r="H14" s="50">
        <v>1</v>
      </c>
      <c r="I14" s="50">
        <v>2</v>
      </c>
      <c r="J14" s="50">
        <v>0</v>
      </c>
      <c r="K14" s="50">
        <v>0</v>
      </c>
      <c r="L14" s="50">
        <v>0</v>
      </c>
      <c r="M14" s="50">
        <v>20</v>
      </c>
      <c r="N14" s="50">
        <v>0</v>
      </c>
      <c r="O14" s="15">
        <f t="shared" si="0"/>
        <v>13</v>
      </c>
      <c r="P14" s="15">
        <f t="shared" si="1"/>
        <v>33</v>
      </c>
      <c r="R14" s="1" t="s">
        <v>10</v>
      </c>
      <c r="S14" s="17">
        <f t="shared" ref="S14:AF14" si="6">SUM(C26:C29)</f>
        <v>13</v>
      </c>
      <c r="T14" s="17">
        <f t="shared" si="6"/>
        <v>3</v>
      </c>
      <c r="U14" s="17">
        <f t="shared" si="6"/>
        <v>21</v>
      </c>
      <c r="V14" s="17">
        <f t="shared" si="6"/>
        <v>7</v>
      </c>
      <c r="W14" s="17">
        <f t="shared" si="6"/>
        <v>1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127</v>
      </c>
      <c r="AD14" s="17">
        <f t="shared" si="6"/>
        <v>0</v>
      </c>
      <c r="AE14" s="31">
        <f t="shared" si="6"/>
        <v>52</v>
      </c>
      <c r="AF14" s="31">
        <f t="shared" si="6"/>
        <v>179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4</v>
      </c>
      <c r="F15" s="50">
        <v>3</v>
      </c>
      <c r="G15" s="50">
        <v>0</v>
      </c>
      <c r="H15" s="50">
        <v>1</v>
      </c>
      <c r="I15" s="50">
        <v>2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13</v>
      </c>
      <c r="P15" s="15">
        <f t="shared" si="1"/>
        <v>37</v>
      </c>
      <c r="R15" s="1" t="s">
        <v>11</v>
      </c>
      <c r="S15" s="17">
        <f t="shared" ref="S15:AF15" si="7">SUM(C30:C33)</f>
        <v>17</v>
      </c>
      <c r="T15" s="17">
        <f t="shared" si="7"/>
        <v>5</v>
      </c>
      <c r="U15" s="17">
        <f t="shared" si="7"/>
        <v>23</v>
      </c>
      <c r="V15" s="17">
        <f t="shared" si="7"/>
        <v>12</v>
      </c>
      <c r="W15" s="17">
        <f t="shared" si="7"/>
        <v>1</v>
      </c>
      <c r="X15" s="17">
        <f t="shared" si="7"/>
        <v>1</v>
      </c>
      <c r="Y15" s="17">
        <f t="shared" si="7"/>
        <v>10</v>
      </c>
      <c r="Z15" s="17">
        <f t="shared" si="7"/>
        <v>0</v>
      </c>
      <c r="AA15" s="17">
        <f t="shared" si="7"/>
        <v>2</v>
      </c>
      <c r="AB15" s="17">
        <f t="shared" si="7"/>
        <v>0</v>
      </c>
      <c r="AC15" s="17">
        <f t="shared" si="7"/>
        <v>124</v>
      </c>
      <c r="AD15" s="17">
        <f t="shared" si="7"/>
        <v>0</v>
      </c>
      <c r="AE15" s="31">
        <f t="shared" si="7"/>
        <v>71</v>
      </c>
      <c r="AF15" s="31">
        <f t="shared" si="7"/>
        <v>195</v>
      </c>
    </row>
    <row r="16" spans="2:32" ht="23.1" customHeight="1" x14ac:dyDescent="0.25">
      <c r="B16" s="23" t="s">
        <v>43</v>
      </c>
      <c r="C16" s="50">
        <v>7</v>
      </c>
      <c r="D16" s="50">
        <v>1</v>
      </c>
      <c r="E16" s="50">
        <v>5</v>
      </c>
      <c r="F16" s="50">
        <v>5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26</v>
      </c>
      <c r="N16" s="50">
        <v>0</v>
      </c>
      <c r="O16" s="15">
        <f t="shared" si="0"/>
        <v>19</v>
      </c>
      <c r="P16" s="15">
        <f t="shared" si="1"/>
        <v>45</v>
      </c>
      <c r="R16" s="1" t="s">
        <v>12</v>
      </c>
      <c r="S16" s="17">
        <f t="shared" ref="S16:AF16" si="8">SUM(C34:C37)</f>
        <v>12</v>
      </c>
      <c r="T16" s="17">
        <f t="shared" si="8"/>
        <v>5</v>
      </c>
      <c r="U16" s="17">
        <f t="shared" si="8"/>
        <v>25</v>
      </c>
      <c r="V16" s="17">
        <f t="shared" si="8"/>
        <v>7</v>
      </c>
      <c r="W16" s="17">
        <f t="shared" si="8"/>
        <v>2</v>
      </c>
      <c r="X16" s="17">
        <f t="shared" si="8"/>
        <v>0</v>
      </c>
      <c r="Y16" s="17">
        <f t="shared" si="8"/>
        <v>12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123</v>
      </c>
      <c r="AD16" s="17">
        <f t="shared" si="8"/>
        <v>0</v>
      </c>
      <c r="AE16" s="31">
        <f t="shared" si="8"/>
        <v>63</v>
      </c>
      <c r="AF16" s="31">
        <f t="shared" si="8"/>
        <v>186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5</v>
      </c>
      <c r="F17" s="50">
        <v>3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26</v>
      </c>
      <c r="N17" s="50">
        <v>0</v>
      </c>
      <c r="O17" s="15">
        <f t="shared" si="0"/>
        <v>14</v>
      </c>
      <c r="P17" s="15">
        <f t="shared" si="1"/>
        <v>40</v>
      </c>
      <c r="R17" s="1" t="s">
        <v>13</v>
      </c>
      <c r="S17" s="17">
        <f t="shared" ref="S17:AF17" si="9">SUM(C38:C41)</f>
        <v>5</v>
      </c>
      <c r="T17" s="17">
        <f t="shared" si="9"/>
        <v>8</v>
      </c>
      <c r="U17" s="17">
        <f t="shared" si="9"/>
        <v>29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114</v>
      </c>
      <c r="AD17" s="17">
        <f t="shared" si="9"/>
        <v>0</v>
      </c>
      <c r="AE17" s="31">
        <f t="shared" si="9"/>
        <v>60</v>
      </c>
      <c r="AF17" s="31">
        <f t="shared" si="9"/>
        <v>174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8</v>
      </c>
      <c r="F18" s="50">
        <v>3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36</v>
      </c>
      <c r="N18" s="50">
        <v>0</v>
      </c>
      <c r="O18" s="15">
        <f t="shared" si="0"/>
        <v>19</v>
      </c>
      <c r="P18" s="15">
        <f t="shared" si="1"/>
        <v>55</v>
      </c>
      <c r="R18" s="1" t="s">
        <v>14</v>
      </c>
      <c r="S18" s="17">
        <f t="shared" ref="S18:AF18" si="10">SUM(C42:C45)</f>
        <v>7</v>
      </c>
      <c r="T18" s="17">
        <f t="shared" si="10"/>
        <v>7</v>
      </c>
      <c r="U18" s="17">
        <f t="shared" si="10"/>
        <v>28</v>
      </c>
      <c r="V18" s="17">
        <f t="shared" si="10"/>
        <v>10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102</v>
      </c>
      <c r="AD18" s="17">
        <f t="shared" si="10"/>
        <v>0</v>
      </c>
      <c r="AE18" s="31">
        <f t="shared" si="10"/>
        <v>63</v>
      </c>
      <c r="AF18" s="31">
        <f t="shared" si="10"/>
        <v>165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4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9</v>
      </c>
      <c r="P19" s="15">
        <f t="shared" si="1"/>
        <v>32</v>
      </c>
      <c r="R19" s="1" t="s">
        <v>15</v>
      </c>
      <c r="S19" s="17">
        <f t="shared" ref="S19:AF19" si="11">SUM(C46:C49)</f>
        <v>21</v>
      </c>
      <c r="T19" s="17">
        <f t="shared" si="11"/>
        <v>2</v>
      </c>
      <c r="U19" s="17">
        <f t="shared" si="11"/>
        <v>13</v>
      </c>
      <c r="V19" s="17">
        <f t="shared" si="11"/>
        <v>8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1</v>
      </c>
      <c r="AA19" s="17">
        <f t="shared" si="11"/>
        <v>1</v>
      </c>
      <c r="AB19" s="17">
        <f t="shared" si="11"/>
        <v>0</v>
      </c>
      <c r="AC19" s="17">
        <f t="shared" si="11"/>
        <v>133</v>
      </c>
      <c r="AD19" s="17">
        <f t="shared" si="11"/>
        <v>0</v>
      </c>
      <c r="AE19" s="31">
        <f t="shared" si="11"/>
        <v>60</v>
      </c>
      <c r="AF19" s="31">
        <f t="shared" si="11"/>
        <v>193</v>
      </c>
    </row>
    <row r="20" spans="2:32" ht="23.1" customHeight="1" x14ac:dyDescent="0.25">
      <c r="B20" s="23" t="s">
        <v>47</v>
      </c>
      <c r="C20" s="50">
        <v>6</v>
      </c>
      <c r="D20" s="50">
        <v>1</v>
      </c>
      <c r="E20" s="50">
        <v>4</v>
      </c>
      <c r="F20" s="50">
        <v>2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39</v>
      </c>
      <c r="N20" s="50">
        <v>0</v>
      </c>
      <c r="O20" s="15">
        <f t="shared" si="0"/>
        <v>16</v>
      </c>
      <c r="P20" s="15">
        <f t="shared" si="1"/>
        <v>55</v>
      </c>
      <c r="R20" s="1" t="s">
        <v>16</v>
      </c>
      <c r="S20" s="17">
        <f t="shared" ref="S20:AF20" si="12">SUM(C50:C53)</f>
        <v>14</v>
      </c>
      <c r="T20" s="17">
        <f t="shared" si="12"/>
        <v>6</v>
      </c>
      <c r="U20" s="17">
        <f t="shared" si="12"/>
        <v>24</v>
      </c>
      <c r="V20" s="17">
        <f t="shared" si="12"/>
        <v>12</v>
      </c>
      <c r="W20" s="17">
        <f t="shared" si="12"/>
        <v>0</v>
      </c>
      <c r="X20" s="17">
        <f t="shared" si="12"/>
        <v>0</v>
      </c>
      <c r="Y20" s="17">
        <f t="shared" si="12"/>
        <v>13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140</v>
      </c>
      <c r="AD20" s="17">
        <f t="shared" si="12"/>
        <v>0</v>
      </c>
      <c r="AE20" s="31">
        <f t="shared" si="12"/>
        <v>71</v>
      </c>
      <c r="AF20" s="31">
        <f t="shared" si="12"/>
        <v>211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9</v>
      </c>
      <c r="F21" s="50">
        <v>1</v>
      </c>
      <c r="G21" s="50">
        <v>1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28</v>
      </c>
      <c r="N21" s="50">
        <v>0</v>
      </c>
      <c r="O21" s="15">
        <f t="shared" si="0"/>
        <v>19</v>
      </c>
      <c r="P21" s="15">
        <f t="shared" si="1"/>
        <v>47</v>
      </c>
      <c r="R21" s="36" t="s">
        <v>20</v>
      </c>
      <c r="S21" s="34">
        <f t="shared" ref="S21:AF21" si="13">SUM(C54:C57)</f>
        <v>15</v>
      </c>
      <c r="T21" s="17">
        <f t="shared" si="13"/>
        <v>7</v>
      </c>
      <c r="U21" s="17">
        <f t="shared" si="13"/>
        <v>29</v>
      </c>
      <c r="V21" s="17">
        <f t="shared" si="13"/>
        <v>10</v>
      </c>
      <c r="W21" s="17">
        <f t="shared" si="13"/>
        <v>0</v>
      </c>
      <c r="X21" s="17">
        <f t="shared" si="13"/>
        <v>0</v>
      </c>
      <c r="Y21" s="17">
        <f t="shared" si="13"/>
        <v>14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130</v>
      </c>
      <c r="AD21" s="17">
        <f t="shared" si="13"/>
        <v>0</v>
      </c>
      <c r="AE21" s="31">
        <f t="shared" si="13"/>
        <v>76</v>
      </c>
      <c r="AF21" s="31">
        <f t="shared" si="13"/>
        <v>206</v>
      </c>
    </row>
    <row r="22" spans="2:32" ht="23.1" customHeight="1" x14ac:dyDescent="0.25">
      <c r="B22" s="23" t="s">
        <v>49</v>
      </c>
      <c r="C22" s="50">
        <v>5</v>
      </c>
      <c r="D22" s="50">
        <v>2</v>
      </c>
      <c r="E22" s="50">
        <v>8</v>
      </c>
      <c r="F22" s="50">
        <v>0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31</v>
      </c>
      <c r="N22" s="50">
        <v>0</v>
      </c>
      <c r="O22" s="15">
        <f t="shared" si="0"/>
        <v>19</v>
      </c>
      <c r="P22" s="15">
        <f t="shared" si="1"/>
        <v>50</v>
      </c>
      <c r="R22" s="38" t="s">
        <v>90</v>
      </c>
      <c r="S22" s="39">
        <f>MAX(S10:S12)</f>
        <v>15</v>
      </c>
      <c r="T22" s="39">
        <f t="shared" ref="T22:AF22" si="14">MAX(T10:T12)</f>
        <v>6</v>
      </c>
      <c r="U22" s="39">
        <f t="shared" si="14"/>
        <v>25</v>
      </c>
      <c r="V22" s="39">
        <f t="shared" si="14"/>
        <v>13</v>
      </c>
      <c r="W22" s="39">
        <f t="shared" si="14"/>
        <v>1</v>
      </c>
      <c r="X22" s="39">
        <f t="shared" si="14"/>
        <v>2</v>
      </c>
      <c r="Y22" s="39">
        <f t="shared" si="14"/>
        <v>9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126</v>
      </c>
      <c r="AD22" s="39">
        <f t="shared" si="14"/>
        <v>0</v>
      </c>
      <c r="AE22" s="40">
        <f t="shared" si="14"/>
        <v>63</v>
      </c>
      <c r="AF22" s="40">
        <f t="shared" si="14"/>
        <v>189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6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34</v>
      </c>
      <c r="N23" s="50">
        <v>0</v>
      </c>
      <c r="O23" s="15">
        <f t="shared" si="0"/>
        <v>12</v>
      </c>
      <c r="P23" s="15">
        <f t="shared" si="1"/>
        <v>46</v>
      </c>
      <c r="R23" s="38" t="s">
        <v>91</v>
      </c>
      <c r="S23" s="39">
        <f>MAX(S13:S18)</f>
        <v>22</v>
      </c>
      <c r="T23" s="39">
        <f t="shared" ref="T23:AF23" si="15">MAX(T13:T18)</f>
        <v>8</v>
      </c>
      <c r="U23" s="39">
        <f t="shared" si="15"/>
        <v>29</v>
      </c>
      <c r="V23" s="39">
        <f t="shared" si="15"/>
        <v>12</v>
      </c>
      <c r="W23" s="39">
        <f t="shared" si="15"/>
        <v>2</v>
      </c>
      <c r="X23" s="39">
        <f t="shared" si="15"/>
        <v>1</v>
      </c>
      <c r="Y23" s="39">
        <f t="shared" si="15"/>
        <v>13</v>
      </c>
      <c r="Z23" s="39">
        <f t="shared" si="15"/>
        <v>2</v>
      </c>
      <c r="AA23" s="39">
        <f t="shared" si="15"/>
        <v>2</v>
      </c>
      <c r="AB23" s="39">
        <f t="shared" si="15"/>
        <v>0</v>
      </c>
      <c r="AC23" s="39">
        <f t="shared" si="15"/>
        <v>141</v>
      </c>
      <c r="AD23" s="39">
        <f t="shared" si="15"/>
        <v>0</v>
      </c>
      <c r="AE23" s="40">
        <f t="shared" si="15"/>
        <v>71</v>
      </c>
      <c r="AF23" s="40">
        <f t="shared" si="15"/>
        <v>209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7</v>
      </c>
      <c r="F24" s="50">
        <v>0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50</v>
      </c>
      <c r="N24" s="50">
        <v>0</v>
      </c>
      <c r="O24" s="15">
        <f t="shared" si="0"/>
        <v>17</v>
      </c>
      <c r="P24" s="15">
        <f t="shared" si="1"/>
        <v>67</v>
      </c>
      <c r="R24" s="38" t="s">
        <v>92</v>
      </c>
      <c r="S24" s="39">
        <f>MAX(S19:S21)</f>
        <v>21</v>
      </c>
      <c r="T24" s="39">
        <f t="shared" ref="T24:AF24" si="16">MAX(T19:T21)</f>
        <v>7</v>
      </c>
      <c r="U24" s="39">
        <f t="shared" si="16"/>
        <v>29</v>
      </c>
      <c r="V24" s="39">
        <f t="shared" si="16"/>
        <v>12</v>
      </c>
      <c r="W24" s="39">
        <f t="shared" si="16"/>
        <v>0</v>
      </c>
      <c r="X24" s="39">
        <f t="shared" si="16"/>
        <v>0</v>
      </c>
      <c r="Y24" s="39">
        <f t="shared" si="16"/>
        <v>14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140</v>
      </c>
      <c r="AD24" s="39">
        <f t="shared" si="16"/>
        <v>0</v>
      </c>
      <c r="AE24" s="40">
        <f t="shared" si="16"/>
        <v>76</v>
      </c>
      <c r="AF24" s="40">
        <f t="shared" si="16"/>
        <v>211</v>
      </c>
    </row>
    <row r="25" spans="2:32" ht="23.1" customHeight="1" x14ac:dyDescent="0.25">
      <c r="B25" s="23" t="s">
        <v>52</v>
      </c>
      <c r="C25" s="50">
        <v>11</v>
      </c>
      <c r="D25" s="50">
        <v>1</v>
      </c>
      <c r="E25" s="50">
        <v>4</v>
      </c>
      <c r="F25" s="50">
        <v>0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20</v>
      </c>
      <c r="P25" s="15">
        <f t="shared" si="1"/>
        <v>46</v>
      </c>
      <c r="R25" s="37" t="s">
        <v>85</v>
      </c>
      <c r="S25" s="35">
        <f t="shared" ref="S25:AF25" si="17">SUM(S10:S12)</f>
        <v>32</v>
      </c>
      <c r="T25" s="16">
        <f t="shared" si="17"/>
        <v>12</v>
      </c>
      <c r="U25" s="16">
        <f t="shared" si="17"/>
        <v>54</v>
      </c>
      <c r="V25" s="16">
        <f t="shared" si="17"/>
        <v>23</v>
      </c>
      <c r="W25" s="16">
        <f t="shared" si="17"/>
        <v>2</v>
      </c>
      <c r="X25" s="16">
        <f t="shared" si="17"/>
        <v>2</v>
      </c>
      <c r="Y25" s="16">
        <f t="shared" si="17"/>
        <v>25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275</v>
      </c>
      <c r="AD25" s="16">
        <f t="shared" si="17"/>
        <v>0</v>
      </c>
      <c r="AE25" s="32">
        <f t="shared" si="17"/>
        <v>151</v>
      </c>
      <c r="AF25" s="32">
        <f t="shared" si="17"/>
        <v>426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6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32</v>
      </c>
      <c r="N26" s="50">
        <v>0</v>
      </c>
      <c r="O26" s="15">
        <f t="shared" si="0"/>
        <v>12</v>
      </c>
      <c r="P26" s="15">
        <f t="shared" si="1"/>
        <v>44</v>
      </c>
      <c r="R26" s="28" t="s">
        <v>86</v>
      </c>
      <c r="S26" s="16">
        <f t="shared" ref="S26:AF26" si="18">SUM(S13:S18)</f>
        <v>76</v>
      </c>
      <c r="T26" s="16">
        <f t="shared" si="18"/>
        <v>34</v>
      </c>
      <c r="U26" s="16">
        <f t="shared" si="18"/>
        <v>151</v>
      </c>
      <c r="V26" s="16">
        <f t="shared" si="18"/>
        <v>46</v>
      </c>
      <c r="W26" s="16">
        <f t="shared" si="18"/>
        <v>4</v>
      </c>
      <c r="X26" s="16">
        <f t="shared" si="18"/>
        <v>1</v>
      </c>
      <c r="Y26" s="16">
        <f t="shared" si="18"/>
        <v>58</v>
      </c>
      <c r="Z26" s="16">
        <f t="shared" si="18"/>
        <v>5</v>
      </c>
      <c r="AA26" s="16">
        <f t="shared" si="18"/>
        <v>2</v>
      </c>
      <c r="AB26" s="16">
        <f t="shared" si="18"/>
        <v>0</v>
      </c>
      <c r="AC26" s="16">
        <f t="shared" si="18"/>
        <v>731</v>
      </c>
      <c r="AD26" s="16">
        <f t="shared" si="18"/>
        <v>0</v>
      </c>
      <c r="AE26" s="32">
        <f t="shared" si="18"/>
        <v>377</v>
      </c>
      <c r="AF26" s="32">
        <f t="shared" si="18"/>
        <v>1108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6</v>
      </c>
      <c r="F27" s="50">
        <v>4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19</v>
      </c>
      <c r="P27" s="15">
        <f t="shared" si="1"/>
        <v>46</v>
      </c>
      <c r="R27" s="29" t="s">
        <v>87</v>
      </c>
      <c r="S27" s="16">
        <f t="shared" ref="S27:AF27" si="19">SUM(S19:S21)</f>
        <v>50</v>
      </c>
      <c r="T27" s="16">
        <f t="shared" si="19"/>
        <v>15</v>
      </c>
      <c r="U27" s="16">
        <f t="shared" si="19"/>
        <v>66</v>
      </c>
      <c r="V27" s="16">
        <f t="shared" si="19"/>
        <v>30</v>
      </c>
      <c r="W27" s="16">
        <f t="shared" si="19"/>
        <v>0</v>
      </c>
      <c r="X27" s="16">
        <f t="shared" si="19"/>
        <v>0</v>
      </c>
      <c r="Y27" s="16">
        <f t="shared" si="19"/>
        <v>41</v>
      </c>
      <c r="Z27" s="16">
        <f t="shared" si="19"/>
        <v>3</v>
      </c>
      <c r="AA27" s="16">
        <f t="shared" si="19"/>
        <v>2</v>
      </c>
      <c r="AB27" s="16">
        <f t="shared" si="19"/>
        <v>0</v>
      </c>
      <c r="AC27" s="16">
        <f t="shared" si="19"/>
        <v>403</v>
      </c>
      <c r="AD27" s="16">
        <f t="shared" si="19"/>
        <v>0</v>
      </c>
      <c r="AE27" s="32">
        <f t="shared" si="19"/>
        <v>207</v>
      </c>
      <c r="AF27" s="32">
        <f t="shared" si="19"/>
        <v>610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6</v>
      </c>
      <c r="F28" s="50">
        <v>3</v>
      </c>
      <c r="G28" s="50">
        <v>0</v>
      </c>
      <c r="H28" s="50">
        <v>0</v>
      </c>
      <c r="I28" s="50">
        <v>1</v>
      </c>
      <c r="J28" s="50">
        <v>2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14</v>
      </c>
      <c r="P28" s="15">
        <f t="shared" si="1"/>
        <v>52</v>
      </c>
      <c r="R28" s="5" t="s">
        <v>17</v>
      </c>
      <c r="S28" s="16">
        <f t="shared" ref="S28:AF28" si="20">SUM(S10:S21)</f>
        <v>158</v>
      </c>
      <c r="T28" s="16">
        <f t="shared" si="20"/>
        <v>61</v>
      </c>
      <c r="U28" s="16">
        <f t="shared" si="20"/>
        <v>271</v>
      </c>
      <c r="V28" s="16">
        <f t="shared" si="20"/>
        <v>99</v>
      </c>
      <c r="W28" s="16">
        <f t="shared" si="20"/>
        <v>6</v>
      </c>
      <c r="X28" s="16">
        <f t="shared" si="20"/>
        <v>3</v>
      </c>
      <c r="Y28" s="16">
        <f t="shared" si="20"/>
        <v>124</v>
      </c>
      <c r="Z28" s="16">
        <f t="shared" si="20"/>
        <v>9</v>
      </c>
      <c r="AA28" s="16">
        <f t="shared" si="20"/>
        <v>4</v>
      </c>
      <c r="AB28" s="16">
        <f t="shared" si="20"/>
        <v>0</v>
      </c>
      <c r="AC28" s="16">
        <f t="shared" si="20"/>
        <v>1409</v>
      </c>
      <c r="AD28" s="16">
        <f t="shared" si="20"/>
        <v>0</v>
      </c>
      <c r="AE28" s="32">
        <f t="shared" si="20"/>
        <v>735</v>
      </c>
      <c r="AF28" s="32">
        <f t="shared" si="20"/>
        <v>2144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3</v>
      </c>
      <c r="F29" s="50">
        <v>0</v>
      </c>
      <c r="G29" s="50">
        <v>1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7</v>
      </c>
      <c r="P29" s="15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2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22</v>
      </c>
      <c r="N30" s="50">
        <v>0</v>
      </c>
      <c r="O30" s="15">
        <f t="shared" si="0"/>
        <v>11</v>
      </c>
      <c r="P30" s="15">
        <f t="shared" si="1"/>
        <v>33</v>
      </c>
    </row>
    <row r="31" spans="2:32" ht="23.1" customHeight="1" x14ac:dyDescent="0.25">
      <c r="B31" s="24" t="s">
        <v>58</v>
      </c>
      <c r="C31" s="50">
        <v>5</v>
      </c>
      <c r="D31" s="50">
        <v>1</v>
      </c>
      <c r="E31" s="50">
        <v>5</v>
      </c>
      <c r="F31" s="50">
        <v>3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16</v>
      </c>
      <c r="P31" s="15">
        <f t="shared" si="1"/>
        <v>50</v>
      </c>
    </row>
    <row r="32" spans="2:32" ht="23.1" customHeight="1" x14ac:dyDescent="0.25">
      <c r="B32" s="24" t="s">
        <v>59</v>
      </c>
      <c r="C32" s="50">
        <v>5</v>
      </c>
      <c r="D32" s="50">
        <v>3</v>
      </c>
      <c r="E32" s="50">
        <v>10</v>
      </c>
      <c r="F32" s="50">
        <v>4</v>
      </c>
      <c r="G32" s="50">
        <v>1</v>
      </c>
      <c r="H32" s="50">
        <v>1</v>
      </c>
      <c r="I32" s="50">
        <v>5</v>
      </c>
      <c r="J32" s="50">
        <v>0</v>
      </c>
      <c r="K32" s="50">
        <v>1</v>
      </c>
      <c r="L32" s="50">
        <v>0</v>
      </c>
      <c r="M32" s="50">
        <v>31</v>
      </c>
      <c r="N32" s="50">
        <v>0</v>
      </c>
      <c r="O32" s="15">
        <f t="shared" si="0"/>
        <v>30</v>
      </c>
      <c r="P32" s="15">
        <f t="shared" si="1"/>
        <v>61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6</v>
      </c>
      <c r="F33" s="50">
        <v>2</v>
      </c>
      <c r="G33" s="50">
        <v>0</v>
      </c>
      <c r="H33" s="50">
        <v>0</v>
      </c>
      <c r="I33" s="50">
        <v>2</v>
      </c>
      <c r="J33" s="50">
        <v>0</v>
      </c>
      <c r="K33" s="50">
        <v>1</v>
      </c>
      <c r="L33" s="50">
        <v>0</v>
      </c>
      <c r="M33" s="50">
        <v>37</v>
      </c>
      <c r="N33" s="50">
        <v>0</v>
      </c>
      <c r="O33" s="15">
        <f t="shared" si="0"/>
        <v>14</v>
      </c>
      <c r="P33" s="15">
        <f t="shared" si="1"/>
        <v>51</v>
      </c>
    </row>
    <row r="34" spans="2:20" ht="23.1" customHeight="1" x14ac:dyDescent="0.25">
      <c r="B34" s="24" t="s">
        <v>61</v>
      </c>
      <c r="C34" s="50">
        <v>4</v>
      </c>
      <c r="D34" s="50">
        <v>3</v>
      </c>
      <c r="E34" s="50">
        <v>13</v>
      </c>
      <c r="F34" s="50">
        <v>1</v>
      </c>
      <c r="G34" s="50">
        <v>1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30</v>
      </c>
      <c r="N34" s="50">
        <v>0</v>
      </c>
      <c r="O34" s="15">
        <f t="shared" si="0"/>
        <v>25</v>
      </c>
      <c r="P34" s="15">
        <f t="shared" si="1"/>
        <v>55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1</v>
      </c>
      <c r="G35" s="50">
        <v>1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28</v>
      </c>
      <c r="N35" s="50">
        <v>0</v>
      </c>
      <c r="O35" s="15">
        <f t="shared" si="0"/>
        <v>6</v>
      </c>
      <c r="P35" s="15">
        <f t="shared" si="1"/>
        <v>34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5</v>
      </c>
      <c r="F36" s="50">
        <v>1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40</v>
      </c>
      <c r="N36" s="50">
        <v>0</v>
      </c>
      <c r="O36" s="15">
        <f t="shared" si="0"/>
        <v>12</v>
      </c>
      <c r="P36" s="15">
        <f t="shared" si="1"/>
        <v>52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6</v>
      </c>
      <c r="F37" s="50">
        <v>4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20</v>
      </c>
      <c r="P37" s="15">
        <f t="shared" si="1"/>
        <v>45</v>
      </c>
    </row>
    <row r="38" spans="2:20" ht="23.1" customHeight="1" x14ac:dyDescent="0.25">
      <c r="B38" s="24" t="s">
        <v>65</v>
      </c>
      <c r="C38" s="50">
        <v>3</v>
      </c>
      <c r="D38" s="50">
        <v>2</v>
      </c>
      <c r="E38" s="50">
        <v>7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35</v>
      </c>
      <c r="N38" s="50">
        <v>0</v>
      </c>
      <c r="O38" s="15">
        <f t="shared" si="0"/>
        <v>14</v>
      </c>
      <c r="P38" s="15">
        <f t="shared" si="1"/>
        <v>49</v>
      </c>
    </row>
    <row r="39" spans="2:20" ht="23.1" customHeight="1" x14ac:dyDescent="0.25">
      <c r="B39" s="24" t="s">
        <v>66</v>
      </c>
      <c r="C39" s="50">
        <v>0</v>
      </c>
      <c r="D39" s="50">
        <v>2</v>
      </c>
      <c r="E39" s="50">
        <v>7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25</v>
      </c>
      <c r="N39" s="50">
        <v>0</v>
      </c>
      <c r="O39" s="15">
        <f t="shared" si="0"/>
        <v>13</v>
      </c>
      <c r="P39" s="15">
        <f t="shared" si="1"/>
        <v>38</v>
      </c>
    </row>
    <row r="40" spans="2:20" ht="23.1" customHeight="1" x14ac:dyDescent="0.25">
      <c r="B40" s="24" t="s">
        <v>67</v>
      </c>
      <c r="C40" s="50">
        <v>1</v>
      </c>
      <c r="D40" s="50">
        <v>2</v>
      </c>
      <c r="E40" s="50">
        <v>7</v>
      </c>
      <c r="F40" s="50">
        <v>2</v>
      </c>
      <c r="G40" s="50">
        <v>0</v>
      </c>
      <c r="H40" s="50">
        <v>0</v>
      </c>
      <c r="I40" s="50">
        <v>4</v>
      </c>
      <c r="J40" s="50">
        <v>1</v>
      </c>
      <c r="K40" s="50">
        <v>0</v>
      </c>
      <c r="L40" s="50">
        <v>0</v>
      </c>
      <c r="M40" s="50">
        <v>29</v>
      </c>
      <c r="N40" s="50">
        <v>0</v>
      </c>
      <c r="O40" s="15">
        <f t="shared" si="0"/>
        <v>17</v>
      </c>
      <c r="P40" s="15">
        <f t="shared" si="1"/>
        <v>46</v>
      </c>
    </row>
    <row r="41" spans="2:20" ht="23.1" customHeight="1" x14ac:dyDescent="0.25">
      <c r="B41" s="23" t="s">
        <v>68</v>
      </c>
      <c r="C41" s="50">
        <v>1</v>
      </c>
      <c r="D41" s="50">
        <v>2</v>
      </c>
      <c r="E41" s="50">
        <v>8</v>
      </c>
      <c r="F41" s="50">
        <v>3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25</v>
      </c>
      <c r="N41" s="50">
        <v>0</v>
      </c>
      <c r="O41" s="15">
        <f t="shared" si="0"/>
        <v>16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6</v>
      </c>
      <c r="F42" s="50">
        <v>3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14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1</v>
      </c>
      <c r="D43" s="50">
        <v>2</v>
      </c>
      <c r="E43" s="50">
        <v>7</v>
      </c>
      <c r="F43" s="50">
        <v>4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30</v>
      </c>
      <c r="N43" s="50">
        <v>0</v>
      </c>
      <c r="O43" s="15">
        <f t="shared" si="0"/>
        <v>20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2</v>
      </c>
      <c r="D44" s="50">
        <v>2</v>
      </c>
      <c r="E44" s="50">
        <v>8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31</v>
      </c>
      <c r="N44" s="50">
        <v>0</v>
      </c>
      <c r="O44" s="15">
        <f t="shared" si="0"/>
        <v>15</v>
      </c>
      <c r="P44" s="15">
        <f t="shared" si="1"/>
        <v>46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7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28</v>
      </c>
      <c r="N45" s="50">
        <v>0</v>
      </c>
      <c r="O45" s="15">
        <f t="shared" si="0"/>
        <v>14</v>
      </c>
      <c r="P45" s="15">
        <f t="shared" si="1"/>
        <v>42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2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10</v>
      </c>
      <c r="P46" s="15">
        <f t="shared" si="1"/>
        <v>45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1</v>
      </c>
      <c r="E47" s="50">
        <v>5</v>
      </c>
      <c r="F47" s="50">
        <v>2</v>
      </c>
      <c r="G47" s="50">
        <v>0</v>
      </c>
      <c r="H47" s="50">
        <v>0</v>
      </c>
      <c r="I47" s="50">
        <v>4</v>
      </c>
      <c r="J47" s="50">
        <v>0</v>
      </c>
      <c r="K47" s="50">
        <v>1</v>
      </c>
      <c r="L47" s="50">
        <v>0</v>
      </c>
      <c r="M47" s="50">
        <v>23</v>
      </c>
      <c r="N47" s="50">
        <v>0</v>
      </c>
      <c r="O47" s="15">
        <f t="shared" si="0"/>
        <v>19</v>
      </c>
      <c r="P47" s="15">
        <f t="shared" si="1"/>
        <v>42</v>
      </c>
      <c r="R47" s="8"/>
      <c r="T47"/>
    </row>
    <row r="48" spans="2:20" ht="23.1" customHeight="1" x14ac:dyDescent="0.25">
      <c r="B48" s="24" t="s">
        <v>75</v>
      </c>
      <c r="C48" s="50">
        <v>7</v>
      </c>
      <c r="D48" s="50">
        <v>0</v>
      </c>
      <c r="E48" s="50">
        <v>1</v>
      </c>
      <c r="F48" s="50">
        <v>2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45</v>
      </c>
      <c r="N48" s="50">
        <v>0</v>
      </c>
      <c r="O48" s="15">
        <f t="shared" si="0"/>
        <v>14</v>
      </c>
      <c r="P48" s="15">
        <f t="shared" si="1"/>
        <v>59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5</v>
      </c>
      <c r="F49" s="50">
        <v>2</v>
      </c>
      <c r="G49" s="50">
        <v>0</v>
      </c>
      <c r="H49" s="50">
        <v>0</v>
      </c>
      <c r="I49" s="50">
        <v>3</v>
      </c>
      <c r="J49" s="50">
        <v>1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17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1</v>
      </c>
      <c r="E50" s="50">
        <v>4</v>
      </c>
      <c r="F50" s="50">
        <v>4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35</v>
      </c>
      <c r="N50" s="50">
        <v>0</v>
      </c>
      <c r="O50" s="15">
        <f t="shared" si="0"/>
        <v>14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2</v>
      </c>
      <c r="E51" s="50">
        <v>8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35</v>
      </c>
      <c r="N51" s="50">
        <v>0</v>
      </c>
      <c r="O51" s="15">
        <f t="shared" si="0"/>
        <v>17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2</v>
      </c>
      <c r="E52" s="50">
        <v>7</v>
      </c>
      <c r="F52" s="50">
        <v>4</v>
      </c>
      <c r="G52" s="50">
        <v>0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37</v>
      </c>
      <c r="N52" s="50">
        <v>0</v>
      </c>
      <c r="O52" s="15">
        <f t="shared" si="0"/>
        <v>22</v>
      </c>
      <c r="P52" s="15">
        <f t="shared" si="1"/>
        <v>59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5</v>
      </c>
      <c r="F53" s="50">
        <v>2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33</v>
      </c>
      <c r="N53" s="50">
        <v>0</v>
      </c>
      <c r="O53" s="15">
        <f t="shared" si="0"/>
        <v>18</v>
      </c>
      <c r="P53" s="15">
        <f t="shared" si="1"/>
        <v>51</v>
      </c>
      <c r="R53" s="8"/>
      <c r="T53"/>
    </row>
    <row r="54" spans="2:20" ht="23.1" customHeight="1" x14ac:dyDescent="0.25">
      <c r="B54" s="23" t="s">
        <v>81</v>
      </c>
      <c r="C54" s="50">
        <v>6</v>
      </c>
      <c r="D54" s="50">
        <v>2</v>
      </c>
      <c r="E54" s="50">
        <v>9</v>
      </c>
      <c r="F54" s="50">
        <v>5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42</v>
      </c>
      <c r="N54" s="50">
        <v>0</v>
      </c>
      <c r="O54" s="15">
        <f t="shared" si="0"/>
        <v>25</v>
      </c>
      <c r="P54" s="15">
        <f t="shared" si="1"/>
        <v>67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3</v>
      </c>
      <c r="E55" s="50">
        <v>11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23</v>
      </c>
      <c r="P55" s="15">
        <f t="shared" si="1"/>
        <v>65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2</v>
      </c>
      <c r="E56" s="50">
        <v>8</v>
      </c>
      <c r="F56" s="50">
        <v>2</v>
      </c>
      <c r="G56" s="50">
        <v>0</v>
      </c>
      <c r="H56" s="50">
        <v>0</v>
      </c>
      <c r="I56" s="50">
        <v>8</v>
      </c>
      <c r="J56" s="50">
        <v>0</v>
      </c>
      <c r="K56" s="50">
        <v>0</v>
      </c>
      <c r="L56" s="50">
        <v>0</v>
      </c>
      <c r="M56" s="50">
        <v>34</v>
      </c>
      <c r="N56" s="50">
        <v>0</v>
      </c>
      <c r="O56" s="15">
        <f t="shared" si="0"/>
        <v>22</v>
      </c>
      <c r="P56" s="15">
        <f t="shared" si="1"/>
        <v>56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6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158</v>
      </c>
      <c r="D58" s="16">
        <f t="shared" si="21"/>
        <v>61</v>
      </c>
      <c r="E58" s="16">
        <f t="shared" si="21"/>
        <v>271</v>
      </c>
      <c r="F58" s="16">
        <f t="shared" si="21"/>
        <v>99</v>
      </c>
      <c r="G58" s="16">
        <f t="shared" si="21"/>
        <v>6</v>
      </c>
      <c r="H58" s="16">
        <f t="shared" si="21"/>
        <v>3</v>
      </c>
      <c r="I58" s="16">
        <f t="shared" si="21"/>
        <v>124</v>
      </c>
      <c r="J58" s="16">
        <f t="shared" si="21"/>
        <v>9</v>
      </c>
      <c r="K58" s="16">
        <f t="shared" si="21"/>
        <v>4</v>
      </c>
      <c r="L58" s="16">
        <f t="shared" si="21"/>
        <v>0</v>
      </c>
      <c r="M58" s="16">
        <f t="shared" si="21"/>
        <v>1409</v>
      </c>
      <c r="N58" s="16">
        <f t="shared" si="21"/>
        <v>0</v>
      </c>
      <c r="O58" s="16">
        <f t="shared" si="21"/>
        <v>735</v>
      </c>
      <c r="P58" s="16">
        <f t="shared" si="21"/>
        <v>2144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7.3694029850746273E-2</v>
      </c>
      <c r="D59" s="43">
        <f t="shared" si="22"/>
        <v>2.8451492537313432E-2</v>
      </c>
      <c r="E59" s="43">
        <f t="shared" si="22"/>
        <v>0.12639925373134328</v>
      </c>
      <c r="F59" s="43">
        <f t="shared" si="22"/>
        <v>4.617537313432836E-2</v>
      </c>
      <c r="G59" s="43">
        <f t="shared" si="22"/>
        <v>2.798507462686567E-3</v>
      </c>
      <c r="H59" s="43">
        <f t="shared" si="22"/>
        <v>1.3992537313432835E-3</v>
      </c>
      <c r="I59" s="43">
        <f t="shared" si="22"/>
        <v>5.7835820895522388E-2</v>
      </c>
      <c r="J59" s="43">
        <f t="shared" si="22"/>
        <v>4.1977611940298507E-3</v>
      </c>
      <c r="K59" s="43">
        <f t="shared" si="22"/>
        <v>1.8656716417910447E-3</v>
      </c>
      <c r="L59" s="43">
        <f t="shared" si="22"/>
        <v>0</v>
      </c>
      <c r="M59" s="43">
        <f t="shared" si="22"/>
        <v>0.65718283582089554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0.21496598639455783</v>
      </c>
      <c r="D60" s="44">
        <f t="shared" ref="D60:N60" si="23">D58/$O$58</f>
        <v>8.2993197278911565E-2</v>
      </c>
      <c r="E60" s="44">
        <f t="shared" si="23"/>
        <v>0.36870748299319728</v>
      </c>
      <c r="F60" s="44">
        <f t="shared" si="23"/>
        <v>0.13469387755102041</v>
      </c>
      <c r="G60" s="44">
        <f t="shared" si="23"/>
        <v>8.1632653061224497E-3</v>
      </c>
      <c r="H60" s="44">
        <f t="shared" si="23"/>
        <v>4.0816326530612249E-3</v>
      </c>
      <c r="I60" s="44">
        <f t="shared" si="23"/>
        <v>0.16870748299319727</v>
      </c>
      <c r="J60" s="44">
        <f t="shared" si="23"/>
        <v>1.2244897959183673E-2</v>
      </c>
      <c r="K60" s="44">
        <f t="shared" si="23"/>
        <v>5.4421768707482989E-3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2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6" t="str">
        <f>'19.08 Sironko-Mbale'!G5:H5</f>
        <v>xxx</v>
      </c>
      <c r="H5" s="67"/>
      <c r="I5" s="14"/>
      <c r="J5" s="2" t="s">
        <v>5</v>
      </c>
      <c r="K5" s="66" t="str">
        <f>'19.08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'19.08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7</v>
      </c>
      <c r="T10" s="17">
        <f t="shared" si="2"/>
        <v>1</v>
      </c>
      <c r="U10" s="17">
        <f t="shared" si="2"/>
        <v>9</v>
      </c>
      <c r="V10" s="17">
        <f t="shared" si="2"/>
        <v>10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96</v>
      </c>
      <c r="AD10" s="17">
        <f t="shared" si="2"/>
        <v>0</v>
      </c>
      <c r="AE10" s="31">
        <f t="shared" si="2"/>
        <v>31</v>
      </c>
      <c r="AF10" s="31">
        <f t="shared" si="2"/>
        <v>127</v>
      </c>
    </row>
    <row r="11" spans="2:32" s="6" customFormat="1" ht="23.1" customHeight="1" x14ac:dyDescent="0.25">
      <c r="B11" s="23" t="s">
        <v>38</v>
      </c>
      <c r="C11" s="50">
        <v>3</v>
      </c>
      <c r="D11" s="50">
        <v>1</v>
      </c>
      <c r="E11" s="50">
        <v>6</v>
      </c>
      <c r="F11" s="50">
        <v>7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18</v>
      </c>
      <c r="P11" s="15">
        <f t="shared" si="1"/>
        <v>30</v>
      </c>
      <c r="R11" s="1" t="s">
        <v>7</v>
      </c>
      <c r="S11" s="17">
        <f t="shared" ref="S11:AF11" si="3">SUM(C14:C17)</f>
        <v>15</v>
      </c>
      <c r="T11" s="17">
        <f t="shared" si="3"/>
        <v>6</v>
      </c>
      <c r="U11" s="17">
        <f t="shared" si="3"/>
        <v>25</v>
      </c>
      <c r="V11" s="17">
        <f t="shared" si="3"/>
        <v>13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109</v>
      </c>
      <c r="AD11" s="17">
        <f t="shared" si="3"/>
        <v>0</v>
      </c>
      <c r="AE11" s="31">
        <f t="shared" si="3"/>
        <v>66</v>
      </c>
      <c r="AF11" s="31">
        <f t="shared" si="3"/>
        <v>175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1</v>
      </c>
      <c r="P12" s="15">
        <f t="shared" si="1"/>
        <v>34</v>
      </c>
      <c r="R12" s="1" t="s">
        <v>8</v>
      </c>
      <c r="S12" s="17">
        <f t="shared" ref="S12:AF12" si="4">SUM(C18:C21)</f>
        <v>13</v>
      </c>
      <c r="T12" s="17">
        <f t="shared" si="4"/>
        <v>7</v>
      </c>
      <c r="U12" s="17">
        <f t="shared" si="4"/>
        <v>31</v>
      </c>
      <c r="V12" s="17">
        <f t="shared" si="4"/>
        <v>8</v>
      </c>
      <c r="W12" s="17">
        <f t="shared" si="4"/>
        <v>0</v>
      </c>
      <c r="X12" s="17">
        <f t="shared" si="4"/>
        <v>1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111</v>
      </c>
      <c r="AD12" s="17">
        <f t="shared" si="4"/>
        <v>0</v>
      </c>
      <c r="AE12" s="31">
        <f t="shared" si="4"/>
        <v>65</v>
      </c>
      <c r="AF12" s="31">
        <f t="shared" si="4"/>
        <v>176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2</v>
      </c>
      <c r="F13" s="50">
        <v>3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38</v>
      </c>
      <c r="N13" s="50">
        <v>0</v>
      </c>
      <c r="O13" s="15">
        <f t="shared" si="0"/>
        <v>7</v>
      </c>
      <c r="P13" s="15">
        <f t="shared" si="1"/>
        <v>45</v>
      </c>
      <c r="R13" s="1" t="s">
        <v>9</v>
      </c>
      <c r="S13" s="17">
        <f t="shared" ref="S13:AF13" si="5">SUM(C22:C25)</f>
        <v>15</v>
      </c>
      <c r="T13" s="17">
        <f t="shared" si="5"/>
        <v>6</v>
      </c>
      <c r="U13" s="17">
        <f t="shared" si="5"/>
        <v>25</v>
      </c>
      <c r="V13" s="17">
        <f t="shared" si="5"/>
        <v>14</v>
      </c>
      <c r="W13" s="17">
        <f t="shared" si="5"/>
        <v>1</v>
      </c>
      <c r="X13" s="17">
        <f t="shared" si="5"/>
        <v>0</v>
      </c>
      <c r="Y13" s="17">
        <f t="shared" si="5"/>
        <v>5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116</v>
      </c>
      <c r="AD13" s="17">
        <f t="shared" si="5"/>
        <v>0</v>
      </c>
      <c r="AE13" s="31">
        <f t="shared" si="5"/>
        <v>66</v>
      </c>
      <c r="AF13" s="31">
        <f t="shared" si="5"/>
        <v>182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38</v>
      </c>
      <c r="N14" s="50">
        <v>0</v>
      </c>
      <c r="O14" s="15">
        <f t="shared" si="0"/>
        <v>6</v>
      </c>
      <c r="P14" s="15">
        <f t="shared" si="1"/>
        <v>44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21</v>
      </c>
      <c r="V14" s="17">
        <f t="shared" si="6"/>
        <v>11</v>
      </c>
      <c r="W14" s="17">
        <f t="shared" si="6"/>
        <v>2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109</v>
      </c>
      <c r="AD14" s="17">
        <f t="shared" si="6"/>
        <v>0</v>
      </c>
      <c r="AE14" s="31">
        <f t="shared" si="6"/>
        <v>56</v>
      </c>
      <c r="AF14" s="31">
        <f t="shared" si="6"/>
        <v>165</v>
      </c>
    </row>
    <row r="15" spans="2:32" ht="23.1" customHeight="1" x14ac:dyDescent="0.25">
      <c r="B15" s="23" t="s">
        <v>42</v>
      </c>
      <c r="C15" s="50">
        <v>7</v>
      </c>
      <c r="D15" s="50">
        <v>1</v>
      </c>
      <c r="E15" s="50">
        <v>6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24</v>
      </c>
      <c r="N15" s="50">
        <v>0</v>
      </c>
      <c r="O15" s="15">
        <f t="shared" si="0"/>
        <v>16</v>
      </c>
      <c r="P15" s="15">
        <f t="shared" si="1"/>
        <v>40</v>
      </c>
      <c r="R15" s="1" t="s">
        <v>11</v>
      </c>
      <c r="S15" s="17">
        <f t="shared" ref="S15:AF15" si="7">SUM(C30:C33)</f>
        <v>13</v>
      </c>
      <c r="T15" s="17">
        <f t="shared" si="7"/>
        <v>9</v>
      </c>
      <c r="U15" s="17">
        <f t="shared" si="7"/>
        <v>34</v>
      </c>
      <c r="V15" s="17">
        <f t="shared" si="7"/>
        <v>15</v>
      </c>
      <c r="W15" s="17">
        <f t="shared" si="7"/>
        <v>0</v>
      </c>
      <c r="X15" s="17">
        <f t="shared" si="7"/>
        <v>1</v>
      </c>
      <c r="Y15" s="17">
        <f t="shared" si="7"/>
        <v>17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110</v>
      </c>
      <c r="AD15" s="17">
        <f t="shared" si="7"/>
        <v>0</v>
      </c>
      <c r="AE15" s="31">
        <f t="shared" si="7"/>
        <v>89</v>
      </c>
      <c r="AF15" s="31">
        <f t="shared" si="7"/>
        <v>199</v>
      </c>
    </row>
    <row r="16" spans="2:32" ht="23.1" customHeight="1" x14ac:dyDescent="0.25">
      <c r="B16" s="23" t="s">
        <v>43</v>
      </c>
      <c r="C16" s="50">
        <v>2</v>
      </c>
      <c r="D16" s="50">
        <v>3</v>
      </c>
      <c r="E16" s="50">
        <v>11</v>
      </c>
      <c r="F16" s="50">
        <v>5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27</v>
      </c>
      <c r="N16" s="50">
        <v>0</v>
      </c>
      <c r="O16" s="15">
        <f t="shared" si="0"/>
        <v>23</v>
      </c>
      <c r="P16" s="15">
        <f t="shared" si="1"/>
        <v>50</v>
      </c>
      <c r="R16" s="1" t="s">
        <v>12</v>
      </c>
      <c r="S16" s="17">
        <f t="shared" ref="S16:AF16" si="8">SUM(C34:C37)</f>
        <v>11</v>
      </c>
      <c r="T16" s="17">
        <f t="shared" si="8"/>
        <v>5</v>
      </c>
      <c r="U16" s="17">
        <f t="shared" si="8"/>
        <v>24</v>
      </c>
      <c r="V16" s="17">
        <f t="shared" si="8"/>
        <v>14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103</v>
      </c>
      <c r="AD16" s="17">
        <f t="shared" si="8"/>
        <v>0</v>
      </c>
      <c r="AE16" s="31">
        <f t="shared" si="8"/>
        <v>69</v>
      </c>
      <c r="AF16" s="31">
        <f t="shared" si="8"/>
        <v>172</v>
      </c>
    </row>
    <row r="17" spans="2:32" ht="23.1" customHeight="1" x14ac:dyDescent="0.25">
      <c r="B17" s="23" t="s">
        <v>44</v>
      </c>
      <c r="C17" s="50">
        <v>4</v>
      </c>
      <c r="D17" s="50">
        <v>2</v>
      </c>
      <c r="E17" s="50">
        <v>7</v>
      </c>
      <c r="F17" s="50">
        <v>5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21</v>
      </c>
      <c r="P17" s="15">
        <f t="shared" si="1"/>
        <v>41</v>
      </c>
      <c r="R17" s="1" t="s">
        <v>13</v>
      </c>
      <c r="S17" s="17">
        <f t="shared" ref="S17:AF17" si="9">SUM(C38:C41)</f>
        <v>10</v>
      </c>
      <c r="T17" s="17">
        <f t="shared" si="9"/>
        <v>9</v>
      </c>
      <c r="U17" s="17">
        <f t="shared" si="9"/>
        <v>36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93</v>
      </c>
      <c r="AD17" s="17">
        <f t="shared" si="9"/>
        <v>0</v>
      </c>
      <c r="AE17" s="31">
        <f t="shared" si="9"/>
        <v>84</v>
      </c>
      <c r="AF17" s="31">
        <f t="shared" si="9"/>
        <v>177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3</v>
      </c>
      <c r="F18" s="50">
        <v>2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11</v>
      </c>
      <c r="P18" s="15">
        <f t="shared" si="1"/>
        <v>35</v>
      </c>
      <c r="R18" s="1" t="s">
        <v>14</v>
      </c>
      <c r="S18" s="17">
        <f t="shared" ref="S18:AF18" si="10">SUM(C42:C45)</f>
        <v>17</v>
      </c>
      <c r="T18" s="17">
        <f t="shared" si="10"/>
        <v>6</v>
      </c>
      <c r="U18" s="17">
        <f t="shared" si="10"/>
        <v>22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90</v>
      </c>
      <c r="AD18" s="17">
        <f t="shared" si="10"/>
        <v>0</v>
      </c>
      <c r="AE18" s="31">
        <f t="shared" si="10"/>
        <v>84</v>
      </c>
      <c r="AF18" s="31">
        <f t="shared" si="10"/>
        <v>174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6</v>
      </c>
      <c r="F19" s="50">
        <v>2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38</v>
      </c>
      <c r="N19" s="50">
        <v>0</v>
      </c>
      <c r="O19" s="15">
        <f t="shared" si="0"/>
        <v>12</v>
      </c>
      <c r="P19" s="15">
        <f t="shared" si="1"/>
        <v>50</v>
      </c>
      <c r="R19" s="1" t="s">
        <v>15</v>
      </c>
      <c r="S19" s="17">
        <f t="shared" ref="S19:AF19" si="11">SUM(C46:C49)</f>
        <v>24</v>
      </c>
      <c r="T19" s="17">
        <f t="shared" si="11"/>
        <v>6</v>
      </c>
      <c r="U19" s="17">
        <f t="shared" si="11"/>
        <v>27</v>
      </c>
      <c r="V19" s="17">
        <f t="shared" si="11"/>
        <v>22</v>
      </c>
      <c r="W19" s="17">
        <f t="shared" si="11"/>
        <v>4</v>
      </c>
      <c r="X19" s="17">
        <f t="shared" si="11"/>
        <v>0</v>
      </c>
      <c r="Y19" s="17">
        <f t="shared" si="11"/>
        <v>17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138</v>
      </c>
      <c r="AD19" s="17">
        <f t="shared" si="11"/>
        <v>0</v>
      </c>
      <c r="AE19" s="31">
        <f t="shared" si="11"/>
        <v>104</v>
      </c>
      <c r="AF19" s="31">
        <f t="shared" si="11"/>
        <v>242</v>
      </c>
    </row>
    <row r="20" spans="2:32" ht="23.1" customHeight="1" x14ac:dyDescent="0.25">
      <c r="B20" s="23" t="s">
        <v>47</v>
      </c>
      <c r="C20" s="50">
        <v>2</v>
      </c>
      <c r="D20" s="50">
        <v>4</v>
      </c>
      <c r="E20" s="50">
        <v>14</v>
      </c>
      <c r="F20" s="50">
        <v>1</v>
      </c>
      <c r="G20" s="50">
        <v>0</v>
      </c>
      <c r="H20" s="50">
        <v>1</v>
      </c>
      <c r="I20" s="50">
        <v>1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23</v>
      </c>
      <c r="P20" s="15">
        <f t="shared" si="1"/>
        <v>40</v>
      </c>
      <c r="R20" s="1" t="s">
        <v>16</v>
      </c>
      <c r="S20" s="17">
        <f t="shared" ref="S20:AF20" si="12">SUM(C50:C53)</f>
        <v>33</v>
      </c>
      <c r="T20" s="17">
        <f t="shared" si="12"/>
        <v>17</v>
      </c>
      <c r="U20" s="17">
        <f t="shared" si="12"/>
        <v>65</v>
      </c>
      <c r="V20" s="17">
        <f t="shared" si="12"/>
        <v>24</v>
      </c>
      <c r="W20" s="17">
        <f t="shared" si="12"/>
        <v>1</v>
      </c>
      <c r="X20" s="17">
        <f t="shared" si="12"/>
        <v>3</v>
      </c>
      <c r="Y20" s="17">
        <f t="shared" si="12"/>
        <v>23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147</v>
      </c>
      <c r="AD20" s="17">
        <f t="shared" si="12"/>
        <v>0</v>
      </c>
      <c r="AE20" s="31">
        <f t="shared" si="12"/>
        <v>168</v>
      </c>
      <c r="AF20" s="31">
        <f t="shared" si="12"/>
        <v>315</v>
      </c>
    </row>
    <row r="21" spans="2:32" ht="23.1" customHeight="1" x14ac:dyDescent="0.25">
      <c r="B21" s="23" t="s">
        <v>48</v>
      </c>
      <c r="C21" s="50">
        <v>5</v>
      </c>
      <c r="D21" s="50">
        <v>2</v>
      </c>
      <c r="E21" s="50">
        <v>8</v>
      </c>
      <c r="F21" s="50">
        <v>3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32</v>
      </c>
      <c r="N21" s="50">
        <v>0</v>
      </c>
      <c r="O21" s="15">
        <f t="shared" si="0"/>
        <v>19</v>
      </c>
      <c r="P21" s="15">
        <f t="shared" si="1"/>
        <v>51</v>
      </c>
      <c r="R21" s="36" t="s">
        <v>20</v>
      </c>
      <c r="S21" s="34">
        <f t="shared" ref="S21:AF21" si="13">SUM(C54:C57)</f>
        <v>30</v>
      </c>
      <c r="T21" s="17">
        <f t="shared" si="13"/>
        <v>10</v>
      </c>
      <c r="U21" s="17">
        <f t="shared" si="13"/>
        <v>40</v>
      </c>
      <c r="V21" s="17">
        <f t="shared" si="13"/>
        <v>14</v>
      </c>
      <c r="W21" s="17">
        <f t="shared" si="13"/>
        <v>0</v>
      </c>
      <c r="X21" s="17">
        <f t="shared" si="13"/>
        <v>0</v>
      </c>
      <c r="Y21" s="17">
        <f t="shared" si="13"/>
        <v>17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128</v>
      </c>
      <c r="AD21" s="17">
        <f t="shared" si="13"/>
        <v>0</v>
      </c>
      <c r="AE21" s="31">
        <f t="shared" si="13"/>
        <v>115</v>
      </c>
      <c r="AF21" s="31">
        <f t="shared" si="13"/>
        <v>243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5</v>
      </c>
      <c r="F22" s="50">
        <v>1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11</v>
      </c>
      <c r="P22" s="15">
        <f t="shared" si="1"/>
        <v>25</v>
      </c>
      <c r="R22" s="38" t="s">
        <v>90</v>
      </c>
      <c r="S22" s="39">
        <f>MAX(S10:S12)</f>
        <v>15</v>
      </c>
      <c r="T22" s="39">
        <f t="shared" ref="T22:AF22" si="14">MAX(T10:T12)</f>
        <v>7</v>
      </c>
      <c r="U22" s="39">
        <f t="shared" si="14"/>
        <v>31</v>
      </c>
      <c r="V22" s="39">
        <f t="shared" si="14"/>
        <v>13</v>
      </c>
      <c r="W22" s="39">
        <f t="shared" si="14"/>
        <v>0</v>
      </c>
      <c r="X22" s="39">
        <f t="shared" si="14"/>
        <v>1</v>
      </c>
      <c r="Y22" s="39">
        <f t="shared" si="14"/>
        <v>7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111</v>
      </c>
      <c r="AD22" s="39">
        <f t="shared" si="14"/>
        <v>0</v>
      </c>
      <c r="AE22" s="40">
        <f t="shared" si="14"/>
        <v>66</v>
      </c>
      <c r="AF22" s="40">
        <f t="shared" si="14"/>
        <v>176</v>
      </c>
    </row>
    <row r="23" spans="2:32" ht="23.1" customHeight="1" x14ac:dyDescent="0.25">
      <c r="B23" s="23" t="s">
        <v>50</v>
      </c>
      <c r="C23" s="50">
        <v>4</v>
      </c>
      <c r="D23" s="50">
        <v>3</v>
      </c>
      <c r="E23" s="50">
        <v>11</v>
      </c>
      <c r="F23" s="50">
        <v>3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39</v>
      </c>
      <c r="N23" s="50">
        <v>0</v>
      </c>
      <c r="O23" s="15">
        <f t="shared" si="0"/>
        <v>23</v>
      </c>
      <c r="P23" s="15">
        <f t="shared" si="1"/>
        <v>62</v>
      </c>
      <c r="R23" s="38" t="s">
        <v>91</v>
      </c>
      <c r="S23" s="39">
        <f>MAX(S13:S18)</f>
        <v>17</v>
      </c>
      <c r="T23" s="39">
        <f t="shared" ref="T23:AF23" si="15">MAX(T13:T18)</f>
        <v>9</v>
      </c>
      <c r="U23" s="39">
        <f t="shared" si="15"/>
        <v>36</v>
      </c>
      <c r="V23" s="39">
        <f t="shared" si="15"/>
        <v>22</v>
      </c>
      <c r="W23" s="39">
        <f t="shared" si="15"/>
        <v>2</v>
      </c>
      <c r="X23" s="39">
        <f t="shared" si="15"/>
        <v>1</v>
      </c>
      <c r="Y23" s="39">
        <f t="shared" si="15"/>
        <v>17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116</v>
      </c>
      <c r="AD23" s="39">
        <f t="shared" si="15"/>
        <v>0</v>
      </c>
      <c r="AE23" s="40">
        <f t="shared" si="15"/>
        <v>89</v>
      </c>
      <c r="AF23" s="40">
        <f t="shared" si="15"/>
        <v>199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5</v>
      </c>
      <c r="F24" s="50">
        <v>4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14</v>
      </c>
      <c r="P24" s="15">
        <f t="shared" si="1"/>
        <v>48</v>
      </c>
      <c r="R24" s="38" t="s">
        <v>92</v>
      </c>
      <c r="S24" s="39">
        <f>MAX(S19:S21)</f>
        <v>33</v>
      </c>
      <c r="T24" s="39">
        <f t="shared" ref="T24:AF24" si="16">MAX(T19:T21)</f>
        <v>17</v>
      </c>
      <c r="U24" s="39">
        <f t="shared" si="16"/>
        <v>65</v>
      </c>
      <c r="V24" s="39">
        <f t="shared" si="16"/>
        <v>24</v>
      </c>
      <c r="W24" s="39">
        <f t="shared" si="16"/>
        <v>4</v>
      </c>
      <c r="X24" s="39">
        <f t="shared" si="16"/>
        <v>3</v>
      </c>
      <c r="Y24" s="39">
        <f t="shared" si="16"/>
        <v>23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147</v>
      </c>
      <c r="AD24" s="39">
        <f t="shared" si="16"/>
        <v>0</v>
      </c>
      <c r="AE24" s="40">
        <f t="shared" si="16"/>
        <v>168</v>
      </c>
      <c r="AF24" s="40">
        <f t="shared" si="16"/>
        <v>315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4</v>
      </c>
      <c r="F25" s="50">
        <v>6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29</v>
      </c>
      <c r="N25" s="50">
        <v>0</v>
      </c>
      <c r="O25" s="15">
        <f t="shared" si="0"/>
        <v>18</v>
      </c>
      <c r="P25" s="15">
        <f t="shared" si="1"/>
        <v>47</v>
      </c>
      <c r="R25" s="37" t="s">
        <v>85</v>
      </c>
      <c r="S25" s="35">
        <f t="shared" ref="S25:AF25" si="17">SUM(S10:S12)</f>
        <v>35</v>
      </c>
      <c r="T25" s="16">
        <f t="shared" si="17"/>
        <v>14</v>
      </c>
      <c r="U25" s="16">
        <f t="shared" si="17"/>
        <v>65</v>
      </c>
      <c r="V25" s="16">
        <f t="shared" si="17"/>
        <v>31</v>
      </c>
      <c r="W25" s="16">
        <f t="shared" si="17"/>
        <v>0</v>
      </c>
      <c r="X25" s="16">
        <f t="shared" si="17"/>
        <v>1</v>
      </c>
      <c r="Y25" s="16">
        <f t="shared" si="17"/>
        <v>15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316</v>
      </c>
      <c r="AD25" s="16">
        <f t="shared" si="17"/>
        <v>0</v>
      </c>
      <c r="AE25" s="32">
        <f t="shared" si="17"/>
        <v>162</v>
      </c>
      <c r="AF25" s="32">
        <f t="shared" si="17"/>
        <v>478</v>
      </c>
    </row>
    <row r="26" spans="2:32" ht="23.1" customHeight="1" x14ac:dyDescent="0.25">
      <c r="B26" s="23" t="s">
        <v>53</v>
      </c>
      <c r="C26" s="50">
        <v>1</v>
      </c>
      <c r="D26" s="50">
        <v>1</v>
      </c>
      <c r="E26" s="50">
        <v>4</v>
      </c>
      <c r="F26" s="50">
        <v>1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36</v>
      </c>
      <c r="N26" s="50">
        <v>0</v>
      </c>
      <c r="O26" s="15">
        <f t="shared" si="0"/>
        <v>7</v>
      </c>
      <c r="P26" s="15">
        <f t="shared" si="1"/>
        <v>43</v>
      </c>
      <c r="R26" s="28" t="s">
        <v>86</v>
      </c>
      <c r="S26" s="16">
        <f t="shared" ref="S26:AF26" si="18">SUM(S13:S18)</f>
        <v>78</v>
      </c>
      <c r="T26" s="16">
        <f t="shared" si="18"/>
        <v>40</v>
      </c>
      <c r="U26" s="16">
        <f t="shared" si="18"/>
        <v>162</v>
      </c>
      <c r="V26" s="16">
        <f t="shared" si="18"/>
        <v>91</v>
      </c>
      <c r="W26" s="16">
        <f t="shared" si="18"/>
        <v>3</v>
      </c>
      <c r="X26" s="16">
        <f t="shared" si="18"/>
        <v>1</v>
      </c>
      <c r="Y26" s="16">
        <f t="shared" si="18"/>
        <v>69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621</v>
      </c>
      <c r="AD26" s="16">
        <f t="shared" si="18"/>
        <v>0</v>
      </c>
      <c r="AE26" s="32">
        <f t="shared" si="18"/>
        <v>448</v>
      </c>
      <c r="AF26" s="32">
        <f t="shared" si="18"/>
        <v>1069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4</v>
      </c>
      <c r="F27" s="50">
        <v>1</v>
      </c>
      <c r="G27" s="50">
        <v>1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19</v>
      </c>
      <c r="N27" s="50">
        <v>0</v>
      </c>
      <c r="O27" s="15">
        <f t="shared" si="0"/>
        <v>10</v>
      </c>
      <c r="P27" s="15">
        <f t="shared" si="1"/>
        <v>29</v>
      </c>
      <c r="R27" s="29" t="s">
        <v>87</v>
      </c>
      <c r="S27" s="16">
        <f t="shared" ref="S27:AF27" si="19">SUM(S19:S21)</f>
        <v>87</v>
      </c>
      <c r="T27" s="16">
        <f t="shared" si="19"/>
        <v>33</v>
      </c>
      <c r="U27" s="16">
        <f t="shared" si="19"/>
        <v>132</v>
      </c>
      <c r="V27" s="16">
        <f t="shared" si="19"/>
        <v>60</v>
      </c>
      <c r="W27" s="16">
        <f t="shared" si="19"/>
        <v>5</v>
      </c>
      <c r="X27" s="16">
        <f t="shared" si="19"/>
        <v>3</v>
      </c>
      <c r="Y27" s="16">
        <f t="shared" si="19"/>
        <v>57</v>
      </c>
      <c r="Z27" s="16">
        <f t="shared" si="19"/>
        <v>10</v>
      </c>
      <c r="AA27" s="16">
        <f t="shared" si="19"/>
        <v>0</v>
      </c>
      <c r="AB27" s="16">
        <f t="shared" si="19"/>
        <v>0</v>
      </c>
      <c r="AC27" s="16">
        <f t="shared" si="19"/>
        <v>413</v>
      </c>
      <c r="AD27" s="16">
        <f t="shared" si="19"/>
        <v>0</v>
      </c>
      <c r="AE27" s="32">
        <f t="shared" si="19"/>
        <v>387</v>
      </c>
      <c r="AF27" s="32">
        <f t="shared" si="19"/>
        <v>800</v>
      </c>
    </row>
    <row r="28" spans="2:32" ht="23.1" customHeight="1" x14ac:dyDescent="0.25">
      <c r="B28" s="23" t="s">
        <v>55</v>
      </c>
      <c r="C28" s="50">
        <v>8</v>
      </c>
      <c r="D28" s="50">
        <v>2</v>
      </c>
      <c r="E28" s="50">
        <v>7</v>
      </c>
      <c r="F28" s="50">
        <v>4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36</v>
      </c>
      <c r="N28" s="50">
        <v>0</v>
      </c>
      <c r="O28" s="15">
        <f t="shared" si="0"/>
        <v>24</v>
      </c>
      <c r="P28" s="15">
        <f t="shared" si="1"/>
        <v>60</v>
      </c>
      <c r="R28" s="5" t="s">
        <v>17</v>
      </c>
      <c r="S28" s="16">
        <f t="shared" ref="S28:AF28" si="20">SUM(S10:S21)</f>
        <v>200</v>
      </c>
      <c r="T28" s="16">
        <f t="shared" si="20"/>
        <v>87</v>
      </c>
      <c r="U28" s="16">
        <f t="shared" si="20"/>
        <v>359</v>
      </c>
      <c r="V28" s="16">
        <f t="shared" si="20"/>
        <v>182</v>
      </c>
      <c r="W28" s="16">
        <f t="shared" si="20"/>
        <v>8</v>
      </c>
      <c r="X28" s="16">
        <f t="shared" si="20"/>
        <v>5</v>
      </c>
      <c r="Y28" s="16">
        <f t="shared" si="20"/>
        <v>141</v>
      </c>
      <c r="Z28" s="16">
        <f t="shared" si="20"/>
        <v>15</v>
      </c>
      <c r="AA28" s="16">
        <f t="shared" si="20"/>
        <v>0</v>
      </c>
      <c r="AB28" s="16">
        <f t="shared" si="20"/>
        <v>0</v>
      </c>
      <c r="AC28" s="16">
        <f t="shared" si="20"/>
        <v>1350</v>
      </c>
      <c r="AD28" s="16">
        <f t="shared" si="20"/>
        <v>0</v>
      </c>
      <c r="AE28" s="32">
        <f t="shared" si="20"/>
        <v>997</v>
      </c>
      <c r="AF28" s="32">
        <f t="shared" si="20"/>
        <v>2347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6</v>
      </c>
      <c r="F29" s="50">
        <v>5</v>
      </c>
      <c r="G29" s="50">
        <v>1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15</v>
      </c>
      <c r="P29" s="15">
        <f t="shared" si="1"/>
        <v>33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3</v>
      </c>
      <c r="E30" s="50">
        <v>11</v>
      </c>
      <c r="F30" s="50">
        <v>8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32</v>
      </c>
      <c r="N30" s="50">
        <v>0</v>
      </c>
      <c r="O30" s="15">
        <f t="shared" si="0"/>
        <v>31</v>
      </c>
      <c r="P30" s="15">
        <f t="shared" si="1"/>
        <v>63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4</v>
      </c>
      <c r="F31" s="50">
        <v>1</v>
      </c>
      <c r="G31" s="50">
        <v>0</v>
      </c>
      <c r="H31" s="50">
        <v>1</v>
      </c>
      <c r="I31" s="50">
        <v>5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13</v>
      </c>
      <c r="P31" s="15">
        <f t="shared" si="1"/>
        <v>27</v>
      </c>
    </row>
    <row r="32" spans="2:32" ht="23.1" customHeight="1" x14ac:dyDescent="0.25">
      <c r="B32" s="24" t="s">
        <v>59</v>
      </c>
      <c r="C32" s="50">
        <v>4</v>
      </c>
      <c r="D32" s="50">
        <v>2</v>
      </c>
      <c r="E32" s="50">
        <v>8</v>
      </c>
      <c r="F32" s="50">
        <v>1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37</v>
      </c>
      <c r="N32" s="50">
        <v>0</v>
      </c>
      <c r="O32" s="15">
        <f t="shared" si="0"/>
        <v>19</v>
      </c>
      <c r="P32" s="15">
        <f t="shared" si="1"/>
        <v>56</v>
      </c>
    </row>
    <row r="33" spans="2:20" ht="23.1" customHeight="1" x14ac:dyDescent="0.25">
      <c r="B33" s="23" t="s">
        <v>60</v>
      </c>
      <c r="C33" s="50">
        <v>1</v>
      </c>
      <c r="D33" s="50">
        <v>3</v>
      </c>
      <c r="E33" s="50">
        <v>11</v>
      </c>
      <c r="F33" s="50">
        <v>5</v>
      </c>
      <c r="G33" s="50">
        <v>0</v>
      </c>
      <c r="H33" s="50">
        <v>0</v>
      </c>
      <c r="I33" s="50">
        <v>6</v>
      </c>
      <c r="J33" s="50">
        <v>0</v>
      </c>
      <c r="K33" s="50">
        <v>0</v>
      </c>
      <c r="L33" s="50">
        <v>0</v>
      </c>
      <c r="M33" s="50">
        <v>27</v>
      </c>
      <c r="N33" s="50">
        <v>0</v>
      </c>
      <c r="O33" s="15">
        <f t="shared" si="0"/>
        <v>26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3</v>
      </c>
      <c r="F34" s="50">
        <v>1</v>
      </c>
      <c r="G34" s="50">
        <v>0</v>
      </c>
      <c r="H34" s="50">
        <v>0</v>
      </c>
      <c r="I34" s="50">
        <v>6</v>
      </c>
      <c r="J34" s="50">
        <v>0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12</v>
      </c>
      <c r="P34" s="15">
        <f t="shared" si="1"/>
        <v>41</v>
      </c>
    </row>
    <row r="35" spans="2:20" ht="23.1" customHeight="1" x14ac:dyDescent="0.25">
      <c r="B35" s="24" t="s">
        <v>62</v>
      </c>
      <c r="C35" s="50">
        <v>2</v>
      </c>
      <c r="D35" s="50">
        <v>1</v>
      </c>
      <c r="E35" s="50">
        <v>5</v>
      </c>
      <c r="F35" s="50">
        <v>4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14</v>
      </c>
      <c r="P35" s="15">
        <f t="shared" si="1"/>
        <v>41</v>
      </c>
    </row>
    <row r="36" spans="2:20" ht="23.1" customHeight="1" x14ac:dyDescent="0.25">
      <c r="B36" s="24" t="s">
        <v>63</v>
      </c>
      <c r="C36" s="50">
        <v>4</v>
      </c>
      <c r="D36" s="50">
        <v>3</v>
      </c>
      <c r="E36" s="50">
        <v>11</v>
      </c>
      <c r="F36" s="50">
        <v>5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28</v>
      </c>
      <c r="N36" s="50">
        <v>0</v>
      </c>
      <c r="O36" s="15">
        <f t="shared" si="0"/>
        <v>26</v>
      </c>
      <c r="P36" s="15">
        <f t="shared" si="1"/>
        <v>54</v>
      </c>
    </row>
    <row r="37" spans="2:20" ht="23.1" customHeight="1" x14ac:dyDescent="0.25">
      <c r="B37" s="23" t="s">
        <v>64</v>
      </c>
      <c r="C37" s="50">
        <v>3</v>
      </c>
      <c r="D37" s="50">
        <v>1</v>
      </c>
      <c r="E37" s="50">
        <v>5</v>
      </c>
      <c r="F37" s="50">
        <v>4</v>
      </c>
      <c r="G37" s="50">
        <v>0</v>
      </c>
      <c r="H37" s="50">
        <v>0</v>
      </c>
      <c r="I37" s="50">
        <v>3</v>
      </c>
      <c r="J37" s="50">
        <v>1</v>
      </c>
      <c r="K37" s="50">
        <v>0</v>
      </c>
      <c r="L37" s="50">
        <v>0</v>
      </c>
      <c r="M37" s="50">
        <v>19</v>
      </c>
      <c r="N37" s="50">
        <v>0</v>
      </c>
      <c r="O37" s="15">
        <f t="shared" si="0"/>
        <v>17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2</v>
      </c>
      <c r="D38" s="50">
        <v>2</v>
      </c>
      <c r="E38" s="50">
        <v>8</v>
      </c>
      <c r="F38" s="50">
        <v>6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21</v>
      </c>
      <c r="N38" s="50">
        <v>0</v>
      </c>
      <c r="O38" s="15">
        <f t="shared" si="0"/>
        <v>19</v>
      </c>
      <c r="P38" s="15">
        <f t="shared" si="1"/>
        <v>40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8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27</v>
      </c>
      <c r="N39" s="50">
        <v>0</v>
      </c>
      <c r="O39" s="15">
        <f t="shared" si="0"/>
        <v>14</v>
      </c>
      <c r="P39" s="15">
        <f t="shared" si="1"/>
        <v>41</v>
      </c>
    </row>
    <row r="40" spans="2:20" ht="23.1" customHeight="1" x14ac:dyDescent="0.25">
      <c r="B40" s="24" t="s">
        <v>67</v>
      </c>
      <c r="C40" s="50">
        <v>3</v>
      </c>
      <c r="D40" s="50">
        <v>3</v>
      </c>
      <c r="E40" s="50">
        <v>11</v>
      </c>
      <c r="F40" s="50">
        <v>6</v>
      </c>
      <c r="G40" s="50">
        <v>0</v>
      </c>
      <c r="H40" s="50">
        <v>0</v>
      </c>
      <c r="I40" s="50">
        <v>4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27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4</v>
      </c>
      <c r="D41" s="50">
        <v>2</v>
      </c>
      <c r="E41" s="50">
        <v>9</v>
      </c>
      <c r="F41" s="50">
        <v>3</v>
      </c>
      <c r="G41" s="50">
        <v>0</v>
      </c>
      <c r="H41" s="50">
        <v>0</v>
      </c>
      <c r="I41" s="50">
        <v>5</v>
      </c>
      <c r="J41" s="50">
        <v>1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24</v>
      </c>
      <c r="P41" s="15">
        <f t="shared" si="1"/>
        <v>53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4</v>
      </c>
      <c r="F42" s="50">
        <v>4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15</v>
      </c>
      <c r="P42" s="15">
        <f t="shared" si="1"/>
        <v>27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4</v>
      </c>
      <c r="F43" s="50">
        <v>2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15</v>
      </c>
      <c r="P43" s="15">
        <f t="shared" si="1"/>
        <v>30</v>
      </c>
    </row>
    <row r="44" spans="2:20" ht="23.1" customHeight="1" x14ac:dyDescent="0.25">
      <c r="B44" s="25" t="s">
        <v>71</v>
      </c>
      <c r="C44" s="50">
        <v>7</v>
      </c>
      <c r="D44" s="50">
        <v>2</v>
      </c>
      <c r="E44" s="50">
        <v>7</v>
      </c>
      <c r="F44" s="50">
        <v>9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38</v>
      </c>
      <c r="N44" s="50">
        <v>0</v>
      </c>
      <c r="O44" s="15">
        <f t="shared" si="0"/>
        <v>28</v>
      </c>
      <c r="P44" s="15">
        <f t="shared" si="1"/>
        <v>66</v>
      </c>
    </row>
    <row r="45" spans="2:20" ht="23.1" customHeight="1" x14ac:dyDescent="0.25">
      <c r="B45" s="23" t="s">
        <v>72</v>
      </c>
      <c r="C45" s="50">
        <v>5</v>
      </c>
      <c r="D45" s="50">
        <v>2</v>
      </c>
      <c r="E45" s="50">
        <v>7</v>
      </c>
      <c r="F45" s="50">
        <v>7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25</v>
      </c>
      <c r="N45" s="50">
        <v>0</v>
      </c>
      <c r="O45" s="15">
        <f t="shared" si="0"/>
        <v>26</v>
      </c>
      <c r="P45" s="15">
        <f t="shared" si="1"/>
        <v>51</v>
      </c>
    </row>
    <row r="46" spans="2:20" ht="23.1" customHeight="1" x14ac:dyDescent="0.25">
      <c r="B46" s="24" t="s">
        <v>73</v>
      </c>
      <c r="C46" s="50">
        <v>5</v>
      </c>
      <c r="D46" s="50">
        <v>1</v>
      </c>
      <c r="E46" s="50">
        <v>6</v>
      </c>
      <c r="F46" s="50">
        <v>4</v>
      </c>
      <c r="G46" s="50">
        <v>0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34</v>
      </c>
      <c r="N46" s="50">
        <v>0</v>
      </c>
      <c r="O46" s="15">
        <f t="shared" si="0"/>
        <v>22</v>
      </c>
      <c r="P46" s="15">
        <f t="shared" si="1"/>
        <v>56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3</v>
      </c>
      <c r="E47" s="50">
        <v>11</v>
      </c>
      <c r="F47" s="50">
        <v>6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34</v>
      </c>
      <c r="N47" s="50">
        <v>0</v>
      </c>
      <c r="O47" s="15">
        <f t="shared" si="0"/>
        <v>31</v>
      </c>
      <c r="P47" s="15">
        <f t="shared" si="1"/>
        <v>65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1</v>
      </c>
      <c r="E48" s="50">
        <v>5</v>
      </c>
      <c r="F48" s="50">
        <v>3</v>
      </c>
      <c r="G48" s="50">
        <v>0</v>
      </c>
      <c r="H48" s="50">
        <v>0</v>
      </c>
      <c r="I48" s="50">
        <v>6</v>
      </c>
      <c r="J48" s="50">
        <v>2</v>
      </c>
      <c r="K48" s="50">
        <v>0</v>
      </c>
      <c r="L48" s="50">
        <v>0</v>
      </c>
      <c r="M48" s="50">
        <v>26</v>
      </c>
      <c r="N48" s="50">
        <v>0</v>
      </c>
      <c r="O48" s="15">
        <f t="shared" si="0"/>
        <v>23</v>
      </c>
      <c r="P48" s="15">
        <f t="shared" si="1"/>
        <v>49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1</v>
      </c>
      <c r="E49" s="50">
        <v>5</v>
      </c>
      <c r="F49" s="50">
        <v>9</v>
      </c>
      <c r="G49" s="50">
        <v>4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44</v>
      </c>
      <c r="N49" s="50">
        <v>0</v>
      </c>
      <c r="O49" s="15">
        <f t="shared" si="0"/>
        <v>28</v>
      </c>
      <c r="P49" s="15">
        <f t="shared" si="1"/>
        <v>72</v>
      </c>
      <c r="R49" s="8"/>
      <c r="T49"/>
    </row>
    <row r="50" spans="2:20" ht="23.1" customHeight="1" x14ac:dyDescent="0.25">
      <c r="B50" s="24" t="s">
        <v>77</v>
      </c>
      <c r="C50" s="50">
        <v>10</v>
      </c>
      <c r="D50" s="50">
        <v>0</v>
      </c>
      <c r="E50" s="50">
        <v>3</v>
      </c>
      <c r="F50" s="50">
        <v>7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37</v>
      </c>
      <c r="N50" s="50">
        <v>0</v>
      </c>
      <c r="O50" s="15">
        <f t="shared" si="0"/>
        <v>26</v>
      </c>
      <c r="P50" s="15">
        <f t="shared" si="1"/>
        <v>63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11</v>
      </c>
      <c r="F51" s="50">
        <v>6</v>
      </c>
      <c r="G51" s="50">
        <v>1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34</v>
      </c>
      <c r="N51" s="50">
        <v>0</v>
      </c>
      <c r="O51" s="15">
        <f t="shared" si="0"/>
        <v>32</v>
      </c>
      <c r="P51" s="15">
        <f t="shared" si="1"/>
        <v>66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9</v>
      </c>
      <c r="E52" s="50">
        <v>32</v>
      </c>
      <c r="F52" s="50">
        <v>7</v>
      </c>
      <c r="G52" s="50">
        <v>0</v>
      </c>
      <c r="H52" s="50">
        <v>2</v>
      </c>
      <c r="I52" s="50">
        <v>7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68</v>
      </c>
      <c r="P52" s="15">
        <f t="shared" si="1"/>
        <v>113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5</v>
      </c>
      <c r="E53" s="50">
        <v>19</v>
      </c>
      <c r="F53" s="50">
        <v>4</v>
      </c>
      <c r="G53" s="50">
        <v>0</v>
      </c>
      <c r="H53" s="50">
        <v>1</v>
      </c>
      <c r="I53" s="50">
        <v>6</v>
      </c>
      <c r="J53" s="50">
        <v>1</v>
      </c>
      <c r="K53" s="50">
        <v>0</v>
      </c>
      <c r="L53" s="50">
        <v>0</v>
      </c>
      <c r="M53" s="50">
        <v>31</v>
      </c>
      <c r="N53" s="50">
        <v>0</v>
      </c>
      <c r="O53" s="15">
        <f t="shared" si="0"/>
        <v>42</v>
      </c>
      <c r="P53" s="15">
        <f t="shared" si="1"/>
        <v>73</v>
      </c>
      <c r="R53" s="8"/>
      <c r="T53"/>
    </row>
    <row r="54" spans="2:20" ht="23.1" customHeight="1" x14ac:dyDescent="0.25">
      <c r="B54" s="23" t="s">
        <v>81</v>
      </c>
      <c r="C54" s="50">
        <v>14</v>
      </c>
      <c r="D54" s="50">
        <v>4</v>
      </c>
      <c r="E54" s="50">
        <v>16</v>
      </c>
      <c r="F54" s="50">
        <v>2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37</v>
      </c>
      <c r="N54" s="50">
        <v>0</v>
      </c>
      <c r="O54" s="15">
        <f t="shared" si="0"/>
        <v>41</v>
      </c>
      <c r="P54" s="15">
        <f t="shared" si="1"/>
        <v>78</v>
      </c>
      <c r="R54" s="8"/>
      <c r="T54"/>
    </row>
    <row r="55" spans="2:20" ht="23.1" customHeight="1" x14ac:dyDescent="0.25">
      <c r="B55" s="23" t="s">
        <v>82</v>
      </c>
      <c r="C55" s="50">
        <v>7</v>
      </c>
      <c r="D55" s="50">
        <v>2</v>
      </c>
      <c r="E55" s="50">
        <v>9</v>
      </c>
      <c r="F55" s="50">
        <v>6</v>
      </c>
      <c r="G55" s="50">
        <v>0</v>
      </c>
      <c r="H55" s="50">
        <v>0</v>
      </c>
      <c r="I55" s="50">
        <v>9</v>
      </c>
      <c r="J55" s="50">
        <v>1</v>
      </c>
      <c r="K55" s="50">
        <v>0</v>
      </c>
      <c r="L55" s="50">
        <v>0</v>
      </c>
      <c r="M55" s="50">
        <v>39</v>
      </c>
      <c r="N55" s="50">
        <v>0</v>
      </c>
      <c r="O55" s="15">
        <f t="shared" si="0"/>
        <v>34</v>
      </c>
      <c r="P55" s="15">
        <f t="shared" si="1"/>
        <v>73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8</v>
      </c>
      <c r="F56" s="50">
        <v>3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31</v>
      </c>
      <c r="N56" s="50">
        <v>0</v>
      </c>
      <c r="O56" s="15">
        <f t="shared" si="0"/>
        <v>21</v>
      </c>
      <c r="P56" s="15">
        <f t="shared" si="1"/>
        <v>52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2</v>
      </c>
      <c r="E57" s="50">
        <v>7</v>
      </c>
      <c r="F57" s="50">
        <v>3</v>
      </c>
      <c r="G57" s="50">
        <v>0</v>
      </c>
      <c r="H57" s="50">
        <v>0</v>
      </c>
      <c r="I57" s="50">
        <v>4</v>
      </c>
      <c r="J57" s="50">
        <v>1</v>
      </c>
      <c r="K57" s="50">
        <v>0</v>
      </c>
      <c r="L57" s="50">
        <v>0</v>
      </c>
      <c r="M57" s="50">
        <v>21</v>
      </c>
      <c r="N57" s="50">
        <v>0</v>
      </c>
      <c r="O57" s="15">
        <f t="shared" si="0"/>
        <v>19</v>
      </c>
      <c r="P57" s="15">
        <f t="shared" si="1"/>
        <v>40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200</v>
      </c>
      <c r="D58" s="16">
        <f t="shared" si="21"/>
        <v>87</v>
      </c>
      <c r="E58" s="16">
        <f t="shared" si="21"/>
        <v>359</v>
      </c>
      <c r="F58" s="16">
        <f t="shared" si="21"/>
        <v>182</v>
      </c>
      <c r="G58" s="16">
        <f t="shared" si="21"/>
        <v>8</v>
      </c>
      <c r="H58" s="16">
        <f t="shared" si="21"/>
        <v>5</v>
      </c>
      <c r="I58" s="16">
        <f t="shared" si="21"/>
        <v>141</v>
      </c>
      <c r="J58" s="16">
        <f t="shared" si="21"/>
        <v>15</v>
      </c>
      <c r="K58" s="16">
        <f t="shared" si="21"/>
        <v>0</v>
      </c>
      <c r="L58" s="16">
        <f t="shared" si="21"/>
        <v>0</v>
      </c>
      <c r="M58" s="16">
        <f t="shared" si="21"/>
        <v>1350</v>
      </c>
      <c r="N58" s="16">
        <f t="shared" si="21"/>
        <v>0</v>
      </c>
      <c r="O58" s="16">
        <f t="shared" si="21"/>
        <v>997</v>
      </c>
      <c r="P58" s="16">
        <f t="shared" si="21"/>
        <v>2347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8.5215168299957386E-2</v>
      </c>
      <c r="D59" s="43">
        <f t="shared" si="22"/>
        <v>3.7068598210481467E-2</v>
      </c>
      <c r="E59" s="43">
        <f t="shared" si="22"/>
        <v>0.15296122709842352</v>
      </c>
      <c r="F59" s="43">
        <f t="shared" si="22"/>
        <v>7.7545803152961224E-2</v>
      </c>
      <c r="G59" s="43">
        <f t="shared" si="22"/>
        <v>3.4086067319982955E-3</v>
      </c>
      <c r="H59" s="43">
        <f t="shared" si="22"/>
        <v>2.1303792074989347E-3</v>
      </c>
      <c r="I59" s="43">
        <f t="shared" si="22"/>
        <v>6.0076693651469962E-2</v>
      </c>
      <c r="J59" s="43">
        <f t="shared" si="22"/>
        <v>6.3911376224968048E-3</v>
      </c>
      <c r="K59" s="43">
        <f t="shared" si="22"/>
        <v>0</v>
      </c>
      <c r="L59" s="43">
        <f t="shared" si="22"/>
        <v>0</v>
      </c>
      <c r="M59" s="43">
        <f t="shared" si="22"/>
        <v>0.57520238602471241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0.20060180541624875</v>
      </c>
      <c r="D60" s="44">
        <f t="shared" ref="D60:N60" si="23">D58/$O$58</f>
        <v>8.7261785356068211E-2</v>
      </c>
      <c r="E60" s="44">
        <f t="shared" si="23"/>
        <v>0.36008024072216649</v>
      </c>
      <c r="F60" s="44">
        <f t="shared" si="23"/>
        <v>0.18254764292878636</v>
      </c>
      <c r="G60" s="44">
        <f t="shared" si="23"/>
        <v>8.0240722166499499E-3</v>
      </c>
      <c r="H60" s="44">
        <f t="shared" si="23"/>
        <v>5.0150451354062184E-3</v>
      </c>
      <c r="I60" s="44">
        <f t="shared" si="23"/>
        <v>0.14142427281845538</v>
      </c>
      <c r="J60" s="44">
        <f t="shared" si="23"/>
        <v>1.5045135406218655E-2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7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'21.08 Sironko-Mbale'!D5</f>
        <v>21.08.19</v>
      </c>
      <c r="E5" s="3"/>
      <c r="F5" s="41" t="s">
        <v>1</v>
      </c>
      <c r="G5" s="66" t="str">
        <f>'19.08 Sironko-Mbale'!G5:H5</f>
        <v>xxx</v>
      </c>
      <c r="H5" s="67"/>
      <c r="I5" s="14"/>
      <c r="J5" s="2" t="s">
        <v>5</v>
      </c>
      <c r="K5" s="66" t="str">
        <f>'19.08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'19.08 Mbale-Sironko'!G6:H6</f>
        <v>Sironko</v>
      </c>
      <c r="H6" s="67"/>
      <c r="J6" s="2" t="s">
        <v>21</v>
      </c>
      <c r="K6" s="66" t="str">
        <f>'19.08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3</v>
      </c>
      <c r="F10" s="50">
        <v>2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6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11</v>
      </c>
      <c r="V10" s="17">
        <f t="shared" si="2"/>
        <v>13</v>
      </c>
      <c r="W10" s="17">
        <f t="shared" si="2"/>
        <v>0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48</v>
      </c>
      <c r="AD10" s="17">
        <f t="shared" si="2"/>
        <v>0</v>
      </c>
      <c r="AE10" s="31">
        <f t="shared" si="2"/>
        <v>39</v>
      </c>
      <c r="AF10" s="31">
        <f t="shared" si="2"/>
        <v>87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2</v>
      </c>
      <c r="F11" s="50">
        <v>5</v>
      </c>
      <c r="G11" s="50">
        <v>0</v>
      </c>
      <c r="H11" s="50">
        <v>0</v>
      </c>
      <c r="I11" s="50">
        <v>4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13</v>
      </c>
      <c r="P11" s="15">
        <f t="shared" si="1"/>
        <v>18</v>
      </c>
      <c r="R11" s="1" t="s">
        <v>7</v>
      </c>
      <c r="S11" s="17">
        <f t="shared" ref="S11:AF11" si="3">SUM(C14:C17)</f>
        <v>6</v>
      </c>
      <c r="T11" s="17">
        <f t="shared" si="3"/>
        <v>7</v>
      </c>
      <c r="U11" s="17">
        <f t="shared" si="3"/>
        <v>29</v>
      </c>
      <c r="V11" s="17">
        <f t="shared" si="3"/>
        <v>15</v>
      </c>
      <c r="W11" s="17">
        <f t="shared" si="3"/>
        <v>1</v>
      </c>
      <c r="X11" s="17">
        <f t="shared" si="3"/>
        <v>2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82</v>
      </c>
      <c r="AD11" s="17">
        <f t="shared" si="3"/>
        <v>0</v>
      </c>
      <c r="AE11" s="31">
        <f t="shared" si="3"/>
        <v>63</v>
      </c>
      <c r="AF11" s="31">
        <f t="shared" si="3"/>
        <v>145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2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17</v>
      </c>
      <c r="N12" s="50">
        <v>0</v>
      </c>
      <c r="O12" s="15">
        <f t="shared" si="0"/>
        <v>6</v>
      </c>
      <c r="P12" s="15">
        <f t="shared" si="1"/>
        <v>23</v>
      </c>
      <c r="R12" s="1" t="s">
        <v>8</v>
      </c>
      <c r="S12" s="17">
        <f t="shared" ref="S12:AF12" si="4">SUM(C18:C21)</f>
        <v>16</v>
      </c>
      <c r="T12" s="17">
        <f t="shared" si="4"/>
        <v>7</v>
      </c>
      <c r="U12" s="17">
        <f t="shared" si="4"/>
        <v>31</v>
      </c>
      <c r="V12" s="17">
        <f t="shared" si="4"/>
        <v>13</v>
      </c>
      <c r="W12" s="17">
        <f t="shared" si="4"/>
        <v>3</v>
      </c>
      <c r="X12" s="17">
        <f t="shared" si="4"/>
        <v>0</v>
      </c>
      <c r="Y12" s="17">
        <f t="shared" si="4"/>
        <v>17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116</v>
      </c>
      <c r="AD12" s="17">
        <f t="shared" si="4"/>
        <v>0</v>
      </c>
      <c r="AE12" s="31">
        <f t="shared" si="4"/>
        <v>87</v>
      </c>
      <c r="AF12" s="31">
        <f t="shared" si="4"/>
        <v>203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5</v>
      </c>
      <c r="F13" s="50">
        <v>4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14</v>
      </c>
      <c r="P13" s="15">
        <f t="shared" si="1"/>
        <v>28</v>
      </c>
      <c r="R13" s="1" t="s">
        <v>9</v>
      </c>
      <c r="S13" s="17">
        <f t="shared" ref="S13:AF13" si="5">SUM(C22:C25)</f>
        <v>29</v>
      </c>
      <c r="T13" s="17">
        <f t="shared" si="5"/>
        <v>12</v>
      </c>
      <c r="U13" s="17">
        <f t="shared" si="5"/>
        <v>45</v>
      </c>
      <c r="V13" s="17">
        <f t="shared" si="5"/>
        <v>13</v>
      </c>
      <c r="W13" s="17">
        <f t="shared" si="5"/>
        <v>1</v>
      </c>
      <c r="X13" s="17">
        <f t="shared" si="5"/>
        <v>0</v>
      </c>
      <c r="Y13" s="17">
        <f t="shared" si="5"/>
        <v>16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135</v>
      </c>
      <c r="AD13" s="17">
        <f t="shared" si="5"/>
        <v>0</v>
      </c>
      <c r="AE13" s="31">
        <f t="shared" si="5"/>
        <v>117</v>
      </c>
      <c r="AF13" s="31">
        <f t="shared" si="5"/>
        <v>252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6</v>
      </c>
      <c r="F14" s="50">
        <v>3</v>
      </c>
      <c r="G14" s="50">
        <v>0</v>
      </c>
      <c r="H14" s="50">
        <v>2</v>
      </c>
      <c r="I14" s="50">
        <v>2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15</v>
      </c>
      <c r="P14" s="15">
        <f t="shared" si="1"/>
        <v>27</v>
      </c>
      <c r="R14" s="1" t="s">
        <v>10</v>
      </c>
      <c r="S14" s="17">
        <f t="shared" ref="S14:AF14" si="6">SUM(C26:C29)</f>
        <v>24</v>
      </c>
      <c r="T14" s="17">
        <f t="shared" si="6"/>
        <v>10</v>
      </c>
      <c r="U14" s="17">
        <f t="shared" si="6"/>
        <v>41</v>
      </c>
      <c r="V14" s="17">
        <f t="shared" si="6"/>
        <v>21</v>
      </c>
      <c r="W14" s="17">
        <f t="shared" si="6"/>
        <v>1</v>
      </c>
      <c r="X14" s="17">
        <f t="shared" si="6"/>
        <v>0</v>
      </c>
      <c r="Y14" s="17">
        <f t="shared" si="6"/>
        <v>18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152</v>
      </c>
      <c r="AD14" s="17">
        <f t="shared" si="6"/>
        <v>0</v>
      </c>
      <c r="AE14" s="31">
        <f t="shared" si="6"/>
        <v>116</v>
      </c>
      <c r="AF14" s="31">
        <f t="shared" si="6"/>
        <v>268</v>
      </c>
    </row>
    <row r="15" spans="2:32" ht="23.1" customHeight="1" x14ac:dyDescent="0.25">
      <c r="B15" s="23" t="s">
        <v>42</v>
      </c>
      <c r="C15" s="50">
        <v>1</v>
      </c>
      <c r="D15" s="50">
        <v>1</v>
      </c>
      <c r="E15" s="50">
        <v>4</v>
      </c>
      <c r="F15" s="50">
        <v>4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25</v>
      </c>
      <c r="N15" s="50">
        <v>0</v>
      </c>
      <c r="O15" s="15">
        <f t="shared" si="0"/>
        <v>11</v>
      </c>
      <c r="P15" s="15">
        <f t="shared" si="1"/>
        <v>36</v>
      </c>
      <c r="R15" s="1" t="s">
        <v>11</v>
      </c>
      <c r="S15" s="17">
        <f t="shared" ref="S15:AF15" si="7">SUM(C30:C33)</f>
        <v>21</v>
      </c>
      <c r="T15" s="17">
        <f t="shared" si="7"/>
        <v>11</v>
      </c>
      <c r="U15" s="17">
        <f t="shared" si="7"/>
        <v>44</v>
      </c>
      <c r="V15" s="17">
        <f t="shared" si="7"/>
        <v>12</v>
      </c>
      <c r="W15" s="17">
        <f t="shared" si="7"/>
        <v>1</v>
      </c>
      <c r="X15" s="17">
        <f t="shared" si="7"/>
        <v>0</v>
      </c>
      <c r="Y15" s="17">
        <f t="shared" si="7"/>
        <v>12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128</v>
      </c>
      <c r="AD15" s="17">
        <f t="shared" si="7"/>
        <v>0</v>
      </c>
      <c r="AE15" s="31">
        <f t="shared" si="7"/>
        <v>102</v>
      </c>
      <c r="AF15" s="31">
        <f t="shared" si="7"/>
        <v>230</v>
      </c>
    </row>
    <row r="16" spans="2:32" ht="23.1" customHeight="1" x14ac:dyDescent="0.25">
      <c r="B16" s="23" t="s">
        <v>43</v>
      </c>
      <c r="C16" s="50">
        <v>4</v>
      </c>
      <c r="D16" s="50">
        <v>3</v>
      </c>
      <c r="E16" s="50">
        <v>11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20</v>
      </c>
      <c r="P16" s="15">
        <f t="shared" si="1"/>
        <v>41</v>
      </c>
      <c r="R16" s="1" t="s">
        <v>12</v>
      </c>
      <c r="S16" s="17">
        <f t="shared" ref="S16:AF16" si="8">SUM(C34:C37)</f>
        <v>28</v>
      </c>
      <c r="T16" s="17">
        <f t="shared" si="8"/>
        <v>12</v>
      </c>
      <c r="U16" s="17">
        <f t="shared" si="8"/>
        <v>47</v>
      </c>
      <c r="V16" s="17">
        <f t="shared" si="8"/>
        <v>16</v>
      </c>
      <c r="W16" s="17">
        <f t="shared" si="8"/>
        <v>0</v>
      </c>
      <c r="X16" s="17">
        <f t="shared" si="8"/>
        <v>4</v>
      </c>
      <c r="Y16" s="17">
        <f t="shared" si="8"/>
        <v>13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138</v>
      </c>
      <c r="AD16" s="17">
        <f t="shared" si="8"/>
        <v>0</v>
      </c>
      <c r="AE16" s="31">
        <f t="shared" si="8"/>
        <v>121</v>
      </c>
      <c r="AF16" s="31">
        <f t="shared" si="8"/>
        <v>259</v>
      </c>
    </row>
    <row r="17" spans="2:32" ht="23.1" customHeight="1" x14ac:dyDescent="0.25">
      <c r="B17" s="23" t="s">
        <v>44</v>
      </c>
      <c r="C17" s="50">
        <v>0</v>
      </c>
      <c r="D17" s="50">
        <v>2</v>
      </c>
      <c r="E17" s="50">
        <v>8</v>
      </c>
      <c r="F17" s="50">
        <v>6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24</v>
      </c>
      <c r="N17" s="50">
        <v>0</v>
      </c>
      <c r="O17" s="15">
        <f t="shared" si="0"/>
        <v>17</v>
      </c>
      <c r="P17" s="15">
        <f t="shared" si="1"/>
        <v>41</v>
      </c>
      <c r="R17" s="1" t="s">
        <v>13</v>
      </c>
      <c r="S17" s="17">
        <f t="shared" ref="S17:AF17" si="9">SUM(C38:C41)</f>
        <v>25</v>
      </c>
      <c r="T17" s="17">
        <f t="shared" si="9"/>
        <v>9</v>
      </c>
      <c r="U17" s="17">
        <f t="shared" si="9"/>
        <v>34</v>
      </c>
      <c r="V17" s="17">
        <f t="shared" si="9"/>
        <v>17</v>
      </c>
      <c r="W17" s="17">
        <f t="shared" si="9"/>
        <v>1</v>
      </c>
      <c r="X17" s="17">
        <f t="shared" si="9"/>
        <v>1</v>
      </c>
      <c r="Y17" s="17">
        <f t="shared" si="9"/>
        <v>21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73</v>
      </c>
      <c r="AD17" s="17">
        <f t="shared" si="9"/>
        <v>0</v>
      </c>
      <c r="AE17" s="31">
        <f t="shared" si="9"/>
        <v>109</v>
      </c>
      <c r="AF17" s="31">
        <f t="shared" si="9"/>
        <v>182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3</v>
      </c>
      <c r="F18" s="50">
        <v>3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8</v>
      </c>
      <c r="P18" s="15">
        <f t="shared" si="1"/>
        <v>35</v>
      </c>
      <c r="R18" s="1" t="s">
        <v>14</v>
      </c>
      <c r="S18" s="17">
        <f t="shared" ref="S18:AF18" si="10">SUM(C42:C45)</f>
        <v>19</v>
      </c>
      <c r="T18" s="17">
        <f t="shared" si="10"/>
        <v>7</v>
      </c>
      <c r="U18" s="17">
        <f t="shared" si="10"/>
        <v>29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125</v>
      </c>
      <c r="AD18" s="17">
        <f t="shared" si="10"/>
        <v>0</v>
      </c>
      <c r="AE18" s="31">
        <f t="shared" si="10"/>
        <v>95</v>
      </c>
      <c r="AF18" s="31">
        <f t="shared" si="10"/>
        <v>220</v>
      </c>
    </row>
    <row r="19" spans="2:32" ht="23.1" customHeight="1" x14ac:dyDescent="0.25">
      <c r="B19" s="23" t="s">
        <v>46</v>
      </c>
      <c r="C19" s="50">
        <v>6</v>
      </c>
      <c r="D19" s="50">
        <v>2</v>
      </c>
      <c r="E19" s="50">
        <v>7</v>
      </c>
      <c r="F19" s="50">
        <v>2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50">
        <v>21</v>
      </c>
      <c r="N19" s="50">
        <v>0</v>
      </c>
      <c r="O19" s="15">
        <f t="shared" si="0"/>
        <v>21</v>
      </c>
      <c r="P19" s="15">
        <f t="shared" si="1"/>
        <v>42</v>
      </c>
      <c r="R19" s="1" t="s">
        <v>15</v>
      </c>
      <c r="S19" s="17">
        <f t="shared" ref="S19:AF19" si="11">SUM(C46:C49)</f>
        <v>16</v>
      </c>
      <c r="T19" s="17">
        <f t="shared" si="11"/>
        <v>8</v>
      </c>
      <c r="U19" s="17">
        <f t="shared" si="11"/>
        <v>33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108</v>
      </c>
      <c r="AD19" s="17">
        <f t="shared" si="11"/>
        <v>0</v>
      </c>
      <c r="AE19" s="31">
        <f t="shared" si="11"/>
        <v>85</v>
      </c>
      <c r="AF19" s="31">
        <f t="shared" si="11"/>
        <v>193</v>
      </c>
    </row>
    <row r="20" spans="2:32" ht="23.1" customHeight="1" x14ac:dyDescent="0.25">
      <c r="B20" s="23" t="s">
        <v>47</v>
      </c>
      <c r="C20" s="50">
        <v>4</v>
      </c>
      <c r="D20" s="50">
        <v>3</v>
      </c>
      <c r="E20" s="50">
        <v>13</v>
      </c>
      <c r="F20" s="50">
        <v>5</v>
      </c>
      <c r="G20" s="50">
        <v>3</v>
      </c>
      <c r="H20" s="50">
        <v>0</v>
      </c>
      <c r="I20" s="50">
        <v>5</v>
      </c>
      <c r="J20" s="50">
        <v>0</v>
      </c>
      <c r="K20" s="50">
        <v>0</v>
      </c>
      <c r="L20" s="50">
        <v>0</v>
      </c>
      <c r="M20" s="50">
        <v>37</v>
      </c>
      <c r="N20" s="50">
        <v>0</v>
      </c>
      <c r="O20" s="15">
        <f t="shared" si="0"/>
        <v>33</v>
      </c>
      <c r="P20" s="15">
        <f t="shared" si="1"/>
        <v>70</v>
      </c>
      <c r="R20" s="1" t="s">
        <v>16</v>
      </c>
      <c r="S20" s="17">
        <f t="shared" ref="S20:AF20" si="12">SUM(C50:C53)</f>
        <v>11</v>
      </c>
      <c r="T20" s="17">
        <f t="shared" si="12"/>
        <v>6</v>
      </c>
      <c r="U20" s="17">
        <f t="shared" si="12"/>
        <v>27</v>
      </c>
      <c r="V20" s="17">
        <f t="shared" si="12"/>
        <v>20</v>
      </c>
      <c r="W20" s="17">
        <f t="shared" si="12"/>
        <v>0</v>
      </c>
      <c r="X20" s="17">
        <f t="shared" si="12"/>
        <v>1</v>
      </c>
      <c r="Y20" s="17">
        <f t="shared" si="12"/>
        <v>21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152</v>
      </c>
      <c r="AD20" s="17">
        <f t="shared" si="12"/>
        <v>0</v>
      </c>
      <c r="AE20" s="31">
        <f t="shared" si="12"/>
        <v>87</v>
      </c>
      <c r="AF20" s="31">
        <f t="shared" si="12"/>
        <v>239</v>
      </c>
    </row>
    <row r="21" spans="2:32" ht="23.1" customHeight="1" x14ac:dyDescent="0.25">
      <c r="B21" s="23" t="s">
        <v>48</v>
      </c>
      <c r="C21" s="50">
        <v>6</v>
      </c>
      <c r="D21" s="50">
        <v>2</v>
      </c>
      <c r="E21" s="50">
        <v>8</v>
      </c>
      <c r="F21" s="50">
        <v>3</v>
      </c>
      <c r="G21" s="50">
        <v>0</v>
      </c>
      <c r="H21" s="50">
        <v>0</v>
      </c>
      <c r="I21" s="50">
        <v>6</v>
      </c>
      <c r="J21" s="50">
        <v>0</v>
      </c>
      <c r="K21" s="50">
        <v>0</v>
      </c>
      <c r="L21" s="50">
        <v>0</v>
      </c>
      <c r="M21" s="50">
        <v>31</v>
      </c>
      <c r="N21" s="50">
        <v>0</v>
      </c>
      <c r="O21" s="15">
        <f t="shared" si="0"/>
        <v>25</v>
      </c>
      <c r="P21" s="15">
        <f t="shared" si="1"/>
        <v>56</v>
      </c>
      <c r="R21" s="36" t="s">
        <v>20</v>
      </c>
      <c r="S21" s="34">
        <f t="shared" ref="S21:AF21" si="13">SUM(C54:C57)</f>
        <v>12</v>
      </c>
      <c r="T21" s="17">
        <f t="shared" si="13"/>
        <v>7</v>
      </c>
      <c r="U21" s="17">
        <f t="shared" si="13"/>
        <v>29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16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140</v>
      </c>
      <c r="AD21" s="17">
        <f t="shared" si="13"/>
        <v>0</v>
      </c>
      <c r="AE21" s="31">
        <f t="shared" si="13"/>
        <v>80</v>
      </c>
      <c r="AF21" s="31">
        <f t="shared" si="13"/>
        <v>220</v>
      </c>
    </row>
    <row r="22" spans="2:32" ht="23.1" customHeight="1" x14ac:dyDescent="0.25">
      <c r="B22" s="23" t="s">
        <v>49</v>
      </c>
      <c r="C22" s="50">
        <v>2</v>
      </c>
      <c r="D22" s="50">
        <v>3</v>
      </c>
      <c r="E22" s="50">
        <v>11</v>
      </c>
      <c r="F22" s="50">
        <v>2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33</v>
      </c>
      <c r="N22" s="50">
        <v>0</v>
      </c>
      <c r="O22" s="15">
        <f t="shared" si="0"/>
        <v>21</v>
      </c>
      <c r="P22" s="15">
        <f t="shared" si="1"/>
        <v>54</v>
      </c>
      <c r="R22" s="38" t="s">
        <v>90</v>
      </c>
      <c r="S22" s="39">
        <f>MAX(S10:S12)</f>
        <v>16</v>
      </c>
      <c r="T22" s="39">
        <f t="shared" ref="T22:AF22" si="14">MAX(T10:T12)</f>
        <v>7</v>
      </c>
      <c r="U22" s="39">
        <f t="shared" si="14"/>
        <v>31</v>
      </c>
      <c r="V22" s="39">
        <f t="shared" si="14"/>
        <v>15</v>
      </c>
      <c r="W22" s="39">
        <f t="shared" si="14"/>
        <v>3</v>
      </c>
      <c r="X22" s="39">
        <f t="shared" si="14"/>
        <v>2</v>
      </c>
      <c r="Y22" s="39">
        <f t="shared" si="14"/>
        <v>17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116</v>
      </c>
      <c r="AD22" s="39">
        <f t="shared" si="14"/>
        <v>0</v>
      </c>
      <c r="AE22" s="40">
        <f t="shared" si="14"/>
        <v>87</v>
      </c>
      <c r="AF22" s="40">
        <f t="shared" si="14"/>
        <v>203</v>
      </c>
    </row>
    <row r="23" spans="2:32" ht="23.1" customHeight="1" x14ac:dyDescent="0.25">
      <c r="B23" s="23" t="s">
        <v>50</v>
      </c>
      <c r="C23" s="50">
        <v>5</v>
      </c>
      <c r="D23" s="50">
        <v>3</v>
      </c>
      <c r="E23" s="50">
        <v>10</v>
      </c>
      <c r="F23" s="50">
        <v>4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36</v>
      </c>
      <c r="N23" s="50">
        <v>0</v>
      </c>
      <c r="O23" s="15">
        <f t="shared" si="0"/>
        <v>27</v>
      </c>
      <c r="P23" s="15">
        <f t="shared" si="1"/>
        <v>63</v>
      </c>
      <c r="R23" s="38" t="s">
        <v>91</v>
      </c>
      <c r="S23" s="39">
        <f>MAX(S13:S18)</f>
        <v>29</v>
      </c>
      <c r="T23" s="39">
        <f t="shared" ref="T23:AF23" si="15">MAX(T13:T18)</f>
        <v>12</v>
      </c>
      <c r="U23" s="39">
        <f t="shared" si="15"/>
        <v>47</v>
      </c>
      <c r="V23" s="39">
        <f t="shared" si="15"/>
        <v>22</v>
      </c>
      <c r="W23" s="39">
        <f t="shared" si="15"/>
        <v>1</v>
      </c>
      <c r="X23" s="39">
        <f t="shared" si="15"/>
        <v>4</v>
      </c>
      <c r="Y23" s="39">
        <f t="shared" si="15"/>
        <v>21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152</v>
      </c>
      <c r="AD23" s="39">
        <f t="shared" si="15"/>
        <v>0</v>
      </c>
      <c r="AE23" s="40">
        <f t="shared" si="15"/>
        <v>121</v>
      </c>
      <c r="AF23" s="40">
        <f t="shared" si="15"/>
        <v>268</v>
      </c>
    </row>
    <row r="24" spans="2:32" ht="23.1" customHeight="1" x14ac:dyDescent="0.25">
      <c r="B24" s="23" t="s">
        <v>51</v>
      </c>
      <c r="C24" s="50">
        <v>12</v>
      </c>
      <c r="D24" s="50">
        <v>3</v>
      </c>
      <c r="E24" s="50">
        <v>12</v>
      </c>
      <c r="F24" s="50">
        <v>0</v>
      </c>
      <c r="G24" s="50">
        <v>0</v>
      </c>
      <c r="H24" s="50">
        <v>0</v>
      </c>
      <c r="I24" s="50">
        <v>4</v>
      </c>
      <c r="J24" s="50">
        <v>0</v>
      </c>
      <c r="K24" s="50">
        <v>0</v>
      </c>
      <c r="L24" s="50">
        <v>0</v>
      </c>
      <c r="M24" s="50">
        <v>26</v>
      </c>
      <c r="N24" s="50">
        <v>0</v>
      </c>
      <c r="O24" s="15">
        <f t="shared" si="0"/>
        <v>31</v>
      </c>
      <c r="P24" s="15">
        <f t="shared" si="1"/>
        <v>57</v>
      </c>
      <c r="R24" s="38" t="s">
        <v>92</v>
      </c>
      <c r="S24" s="39">
        <f>MAX(S19:S21)</f>
        <v>16</v>
      </c>
      <c r="T24" s="39">
        <f t="shared" ref="T24:AF24" si="16">MAX(T19:T21)</f>
        <v>8</v>
      </c>
      <c r="U24" s="39">
        <f t="shared" si="16"/>
        <v>33</v>
      </c>
      <c r="V24" s="39">
        <f t="shared" si="16"/>
        <v>20</v>
      </c>
      <c r="W24" s="39">
        <f t="shared" si="16"/>
        <v>0</v>
      </c>
      <c r="X24" s="39">
        <f t="shared" si="16"/>
        <v>1</v>
      </c>
      <c r="Y24" s="39">
        <f t="shared" si="16"/>
        <v>21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152</v>
      </c>
      <c r="AD24" s="39">
        <f t="shared" si="16"/>
        <v>0</v>
      </c>
      <c r="AE24" s="40">
        <f t="shared" si="16"/>
        <v>87</v>
      </c>
      <c r="AF24" s="40">
        <f t="shared" si="16"/>
        <v>239</v>
      </c>
    </row>
    <row r="25" spans="2:32" ht="23.1" customHeight="1" x14ac:dyDescent="0.25">
      <c r="B25" s="23" t="s">
        <v>52</v>
      </c>
      <c r="C25" s="50">
        <v>10</v>
      </c>
      <c r="D25" s="50">
        <v>3</v>
      </c>
      <c r="E25" s="50">
        <v>12</v>
      </c>
      <c r="F25" s="50">
        <v>7</v>
      </c>
      <c r="G25" s="50">
        <v>1</v>
      </c>
      <c r="H25" s="50">
        <v>0</v>
      </c>
      <c r="I25" s="50">
        <v>5</v>
      </c>
      <c r="J25" s="50">
        <v>0</v>
      </c>
      <c r="K25" s="50">
        <v>0</v>
      </c>
      <c r="L25" s="50">
        <v>0</v>
      </c>
      <c r="M25" s="50">
        <v>40</v>
      </c>
      <c r="N25" s="50">
        <v>0</v>
      </c>
      <c r="O25" s="15">
        <f t="shared" si="0"/>
        <v>38</v>
      </c>
      <c r="P25" s="15">
        <f t="shared" si="1"/>
        <v>78</v>
      </c>
      <c r="R25" s="37" t="s">
        <v>85</v>
      </c>
      <c r="S25" s="35">
        <f t="shared" ref="S25:AF25" si="17">SUM(S10:S12)</f>
        <v>27</v>
      </c>
      <c r="T25" s="16">
        <f t="shared" si="17"/>
        <v>15</v>
      </c>
      <c r="U25" s="16">
        <f t="shared" si="17"/>
        <v>71</v>
      </c>
      <c r="V25" s="16">
        <f t="shared" si="17"/>
        <v>41</v>
      </c>
      <c r="W25" s="16">
        <f t="shared" si="17"/>
        <v>4</v>
      </c>
      <c r="X25" s="16">
        <f t="shared" si="17"/>
        <v>2</v>
      </c>
      <c r="Y25" s="16">
        <f t="shared" si="17"/>
        <v>29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246</v>
      </c>
      <c r="AD25" s="16">
        <f t="shared" si="17"/>
        <v>0</v>
      </c>
      <c r="AE25" s="32">
        <f t="shared" si="17"/>
        <v>189</v>
      </c>
      <c r="AF25" s="32">
        <f t="shared" si="17"/>
        <v>435</v>
      </c>
    </row>
    <row r="26" spans="2:32" ht="23.1" customHeight="1" x14ac:dyDescent="0.25">
      <c r="B26" s="23" t="s">
        <v>53</v>
      </c>
      <c r="C26" s="50">
        <v>7</v>
      </c>
      <c r="D26" s="50">
        <v>1</v>
      </c>
      <c r="E26" s="50">
        <v>6</v>
      </c>
      <c r="F26" s="50">
        <v>5</v>
      </c>
      <c r="G26" s="50">
        <v>1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36</v>
      </c>
      <c r="N26" s="50">
        <v>0</v>
      </c>
      <c r="O26" s="15">
        <f t="shared" si="0"/>
        <v>25</v>
      </c>
      <c r="P26" s="15">
        <f t="shared" si="1"/>
        <v>61</v>
      </c>
      <c r="R26" s="28" t="s">
        <v>86</v>
      </c>
      <c r="S26" s="16">
        <f t="shared" ref="S26:AF26" si="18">SUM(S13:S18)</f>
        <v>146</v>
      </c>
      <c r="T26" s="16">
        <f t="shared" si="18"/>
        <v>61</v>
      </c>
      <c r="U26" s="16">
        <f t="shared" si="18"/>
        <v>240</v>
      </c>
      <c r="V26" s="16">
        <f t="shared" si="18"/>
        <v>101</v>
      </c>
      <c r="W26" s="16">
        <f t="shared" si="18"/>
        <v>4</v>
      </c>
      <c r="X26" s="16">
        <f t="shared" si="18"/>
        <v>5</v>
      </c>
      <c r="Y26" s="16">
        <f t="shared" si="18"/>
        <v>95</v>
      </c>
      <c r="Z26" s="16">
        <f t="shared" si="18"/>
        <v>7</v>
      </c>
      <c r="AA26" s="16">
        <f t="shared" si="18"/>
        <v>1</v>
      </c>
      <c r="AB26" s="16">
        <f t="shared" si="18"/>
        <v>0</v>
      </c>
      <c r="AC26" s="16">
        <f t="shared" si="18"/>
        <v>751</v>
      </c>
      <c r="AD26" s="16">
        <f t="shared" si="18"/>
        <v>0</v>
      </c>
      <c r="AE26" s="32">
        <f t="shared" si="18"/>
        <v>660</v>
      </c>
      <c r="AF26" s="32">
        <f t="shared" si="18"/>
        <v>1411</v>
      </c>
    </row>
    <row r="27" spans="2:32" ht="23.1" customHeight="1" x14ac:dyDescent="0.25">
      <c r="B27" s="23" t="s">
        <v>54</v>
      </c>
      <c r="C27" s="50">
        <v>6</v>
      </c>
      <c r="D27" s="50">
        <v>4</v>
      </c>
      <c r="E27" s="50">
        <v>14</v>
      </c>
      <c r="F27" s="50">
        <v>3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0</v>
      </c>
      <c r="M27" s="50">
        <v>52</v>
      </c>
      <c r="N27" s="50">
        <v>0</v>
      </c>
      <c r="O27" s="15">
        <f t="shared" si="0"/>
        <v>34</v>
      </c>
      <c r="P27" s="15">
        <f t="shared" si="1"/>
        <v>86</v>
      </c>
      <c r="R27" s="29" t="s">
        <v>87</v>
      </c>
      <c r="S27" s="16">
        <f t="shared" ref="S27:AF27" si="19">SUM(S19:S21)</f>
        <v>39</v>
      </c>
      <c r="T27" s="16">
        <f t="shared" si="19"/>
        <v>21</v>
      </c>
      <c r="U27" s="16">
        <f t="shared" si="19"/>
        <v>89</v>
      </c>
      <c r="V27" s="16">
        <f t="shared" si="19"/>
        <v>52</v>
      </c>
      <c r="W27" s="16">
        <f t="shared" si="19"/>
        <v>0</v>
      </c>
      <c r="X27" s="16">
        <f t="shared" si="19"/>
        <v>1</v>
      </c>
      <c r="Y27" s="16">
        <f t="shared" si="19"/>
        <v>47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400</v>
      </c>
      <c r="AD27" s="16">
        <f t="shared" si="19"/>
        <v>0</v>
      </c>
      <c r="AE27" s="32">
        <f t="shared" si="19"/>
        <v>252</v>
      </c>
      <c r="AF27" s="32">
        <f t="shared" si="19"/>
        <v>652</v>
      </c>
    </row>
    <row r="28" spans="2:32" ht="23.1" customHeight="1" x14ac:dyDescent="0.25">
      <c r="B28" s="23" t="s">
        <v>55</v>
      </c>
      <c r="C28" s="50">
        <v>7</v>
      </c>
      <c r="D28" s="50">
        <v>2</v>
      </c>
      <c r="E28" s="50">
        <v>9</v>
      </c>
      <c r="F28" s="50">
        <v>3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35</v>
      </c>
      <c r="N28" s="50">
        <v>0</v>
      </c>
      <c r="O28" s="15">
        <f t="shared" si="0"/>
        <v>25</v>
      </c>
      <c r="P28" s="15">
        <f t="shared" si="1"/>
        <v>60</v>
      </c>
      <c r="R28" s="5" t="s">
        <v>17</v>
      </c>
      <c r="S28" s="16">
        <f t="shared" ref="S28:AF28" si="20">SUM(S10:S21)</f>
        <v>212</v>
      </c>
      <c r="T28" s="16">
        <f t="shared" si="20"/>
        <v>97</v>
      </c>
      <c r="U28" s="16">
        <f t="shared" si="20"/>
        <v>400</v>
      </c>
      <c r="V28" s="16">
        <f t="shared" si="20"/>
        <v>194</v>
      </c>
      <c r="W28" s="16">
        <f t="shared" si="20"/>
        <v>8</v>
      </c>
      <c r="X28" s="16">
        <f t="shared" si="20"/>
        <v>8</v>
      </c>
      <c r="Y28" s="16">
        <f t="shared" si="20"/>
        <v>171</v>
      </c>
      <c r="Z28" s="16">
        <f t="shared" si="20"/>
        <v>10</v>
      </c>
      <c r="AA28" s="16">
        <f t="shared" si="20"/>
        <v>1</v>
      </c>
      <c r="AB28" s="16">
        <f t="shared" si="20"/>
        <v>0</v>
      </c>
      <c r="AC28" s="16">
        <f t="shared" si="20"/>
        <v>1397</v>
      </c>
      <c r="AD28" s="16">
        <f t="shared" si="20"/>
        <v>0</v>
      </c>
      <c r="AE28" s="32">
        <f t="shared" si="20"/>
        <v>1101</v>
      </c>
      <c r="AF28" s="32">
        <f t="shared" si="20"/>
        <v>2498</v>
      </c>
    </row>
    <row r="29" spans="2:32" ht="23.1" customHeight="1" x14ac:dyDescent="0.25">
      <c r="B29" s="23" t="s">
        <v>56</v>
      </c>
      <c r="C29" s="50">
        <v>4</v>
      </c>
      <c r="D29" s="50">
        <v>3</v>
      </c>
      <c r="E29" s="50">
        <v>12</v>
      </c>
      <c r="F29" s="50">
        <v>10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29</v>
      </c>
      <c r="N29" s="50">
        <v>0</v>
      </c>
      <c r="O29" s="15">
        <f t="shared" si="0"/>
        <v>32</v>
      </c>
      <c r="P29" s="15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2</v>
      </c>
      <c r="E30" s="50">
        <v>8</v>
      </c>
      <c r="F30" s="50">
        <v>1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35</v>
      </c>
      <c r="N30" s="50">
        <v>0</v>
      </c>
      <c r="O30" s="15">
        <f t="shared" si="0"/>
        <v>19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5</v>
      </c>
      <c r="D31" s="50">
        <v>5</v>
      </c>
      <c r="E31" s="50">
        <v>18</v>
      </c>
      <c r="F31" s="50">
        <v>1</v>
      </c>
      <c r="G31" s="50">
        <v>1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27</v>
      </c>
      <c r="N31" s="50">
        <v>0</v>
      </c>
      <c r="O31" s="15">
        <f t="shared" si="0"/>
        <v>35</v>
      </c>
      <c r="P31" s="15">
        <f t="shared" si="1"/>
        <v>62</v>
      </c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5</v>
      </c>
      <c r="F32" s="50">
        <v>7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32</v>
      </c>
      <c r="N32" s="50">
        <v>0</v>
      </c>
      <c r="O32" s="15">
        <f t="shared" si="0"/>
        <v>19</v>
      </c>
      <c r="P32" s="15">
        <f t="shared" si="1"/>
        <v>51</v>
      </c>
    </row>
    <row r="33" spans="2:20" ht="23.1" customHeight="1" x14ac:dyDescent="0.25">
      <c r="B33" s="23" t="s">
        <v>60</v>
      </c>
      <c r="C33" s="50">
        <v>6</v>
      </c>
      <c r="D33" s="50">
        <v>3</v>
      </c>
      <c r="E33" s="50">
        <v>13</v>
      </c>
      <c r="F33" s="50">
        <v>3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5">
        <f t="shared" si="0"/>
        <v>29</v>
      </c>
      <c r="P33" s="15">
        <f t="shared" si="1"/>
        <v>63</v>
      </c>
    </row>
    <row r="34" spans="2:20" ht="23.1" customHeight="1" x14ac:dyDescent="0.25">
      <c r="B34" s="24" t="s">
        <v>61</v>
      </c>
      <c r="C34" s="50">
        <v>7</v>
      </c>
      <c r="D34" s="50">
        <v>3</v>
      </c>
      <c r="E34" s="50">
        <v>10</v>
      </c>
      <c r="F34" s="50">
        <v>5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32</v>
      </c>
      <c r="N34" s="50">
        <v>0</v>
      </c>
      <c r="O34" s="15">
        <f t="shared" si="0"/>
        <v>28</v>
      </c>
      <c r="P34" s="15">
        <f t="shared" si="1"/>
        <v>60</v>
      </c>
    </row>
    <row r="35" spans="2:20" ht="23.1" customHeight="1" x14ac:dyDescent="0.25">
      <c r="B35" s="24" t="s">
        <v>62</v>
      </c>
      <c r="C35" s="50">
        <v>6</v>
      </c>
      <c r="D35" s="50">
        <v>3</v>
      </c>
      <c r="E35" s="50">
        <v>13</v>
      </c>
      <c r="F35" s="50">
        <v>4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31</v>
      </c>
      <c r="P35" s="15">
        <f t="shared" si="1"/>
        <v>61</v>
      </c>
    </row>
    <row r="36" spans="2:20" ht="23.1" customHeight="1" x14ac:dyDescent="0.25">
      <c r="B36" s="24" t="s">
        <v>63</v>
      </c>
      <c r="C36" s="50">
        <v>7</v>
      </c>
      <c r="D36" s="50">
        <v>4</v>
      </c>
      <c r="E36" s="50">
        <v>15</v>
      </c>
      <c r="F36" s="50">
        <v>5</v>
      </c>
      <c r="G36" s="50">
        <v>0</v>
      </c>
      <c r="H36" s="50">
        <v>3</v>
      </c>
      <c r="I36" s="50">
        <v>3</v>
      </c>
      <c r="J36" s="50">
        <v>0</v>
      </c>
      <c r="K36" s="50">
        <v>0</v>
      </c>
      <c r="L36" s="50">
        <v>0</v>
      </c>
      <c r="M36" s="50">
        <v>30</v>
      </c>
      <c r="N36" s="50">
        <v>0</v>
      </c>
      <c r="O36" s="15">
        <f t="shared" si="0"/>
        <v>37</v>
      </c>
      <c r="P36" s="15">
        <f t="shared" si="1"/>
        <v>67</v>
      </c>
    </row>
    <row r="37" spans="2:20" ht="23.1" customHeight="1" x14ac:dyDescent="0.25">
      <c r="B37" s="23" t="s">
        <v>64</v>
      </c>
      <c r="C37" s="50">
        <v>8</v>
      </c>
      <c r="D37" s="50">
        <v>2</v>
      </c>
      <c r="E37" s="50">
        <v>9</v>
      </c>
      <c r="F37" s="50">
        <v>2</v>
      </c>
      <c r="G37" s="50">
        <v>0</v>
      </c>
      <c r="H37" s="50">
        <v>1</v>
      </c>
      <c r="I37" s="50">
        <v>2</v>
      </c>
      <c r="J37" s="50">
        <v>0</v>
      </c>
      <c r="K37" s="50">
        <v>1</v>
      </c>
      <c r="L37" s="50">
        <v>0</v>
      </c>
      <c r="M37" s="50">
        <v>46</v>
      </c>
      <c r="N37" s="50">
        <v>0</v>
      </c>
      <c r="O37" s="15">
        <f t="shared" si="0"/>
        <v>25</v>
      </c>
      <c r="P37" s="15">
        <f t="shared" si="1"/>
        <v>71</v>
      </c>
    </row>
    <row r="38" spans="2:20" ht="23.1" customHeight="1" x14ac:dyDescent="0.25">
      <c r="B38" s="24" t="s">
        <v>65</v>
      </c>
      <c r="C38" s="50">
        <v>6</v>
      </c>
      <c r="D38" s="50">
        <v>2</v>
      </c>
      <c r="E38" s="50">
        <v>7</v>
      </c>
      <c r="F38" s="50">
        <v>11</v>
      </c>
      <c r="G38" s="50">
        <v>1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27</v>
      </c>
      <c r="N38" s="50">
        <v>0</v>
      </c>
      <c r="O38" s="15">
        <f t="shared" si="0"/>
        <v>32</v>
      </c>
      <c r="P38" s="15">
        <f t="shared" si="1"/>
        <v>59</v>
      </c>
    </row>
    <row r="39" spans="2:20" ht="23.1" customHeight="1" x14ac:dyDescent="0.25">
      <c r="B39" s="24" t="s">
        <v>66</v>
      </c>
      <c r="C39" s="50">
        <v>6</v>
      </c>
      <c r="D39" s="50">
        <v>2</v>
      </c>
      <c r="E39" s="50">
        <v>8</v>
      </c>
      <c r="F39" s="50">
        <v>1</v>
      </c>
      <c r="G39" s="50">
        <v>0</v>
      </c>
      <c r="H39" s="50">
        <v>1</v>
      </c>
      <c r="I39" s="50">
        <v>9</v>
      </c>
      <c r="J39" s="50">
        <v>1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28</v>
      </c>
      <c r="P39" s="15">
        <f t="shared" si="1"/>
        <v>36</v>
      </c>
    </row>
    <row r="40" spans="2:20" ht="23.1" customHeight="1" x14ac:dyDescent="0.25">
      <c r="B40" s="24" t="s">
        <v>67</v>
      </c>
      <c r="C40" s="50">
        <v>6</v>
      </c>
      <c r="D40" s="50">
        <v>2</v>
      </c>
      <c r="E40" s="50">
        <v>7</v>
      </c>
      <c r="F40" s="50">
        <v>3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23</v>
      </c>
      <c r="P40" s="15">
        <f t="shared" si="1"/>
        <v>34</v>
      </c>
    </row>
    <row r="41" spans="2:20" ht="23.1" customHeight="1" x14ac:dyDescent="0.25">
      <c r="B41" s="23" t="s">
        <v>68</v>
      </c>
      <c r="C41" s="50">
        <v>7</v>
      </c>
      <c r="D41" s="50">
        <v>3</v>
      </c>
      <c r="E41" s="50">
        <v>12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27</v>
      </c>
      <c r="N41" s="50">
        <v>0</v>
      </c>
      <c r="O41" s="15">
        <f t="shared" si="0"/>
        <v>26</v>
      </c>
      <c r="P41" s="15">
        <f t="shared" si="1"/>
        <v>53</v>
      </c>
    </row>
    <row r="42" spans="2:20" ht="23.1" customHeight="1" x14ac:dyDescent="0.25">
      <c r="B42" s="24" t="s">
        <v>69</v>
      </c>
      <c r="C42" s="50">
        <v>3</v>
      </c>
      <c r="D42" s="50">
        <v>2</v>
      </c>
      <c r="E42" s="50">
        <v>8</v>
      </c>
      <c r="F42" s="50">
        <v>9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30</v>
      </c>
      <c r="N42" s="50">
        <v>0</v>
      </c>
      <c r="O42" s="15">
        <f t="shared" si="0"/>
        <v>26</v>
      </c>
      <c r="P42" s="15">
        <f t="shared" si="1"/>
        <v>56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5</v>
      </c>
      <c r="F43" s="50">
        <v>5</v>
      </c>
      <c r="G43" s="50">
        <v>0</v>
      </c>
      <c r="H43" s="50">
        <v>0</v>
      </c>
      <c r="I43" s="50">
        <v>2</v>
      </c>
      <c r="J43" s="50">
        <v>2</v>
      </c>
      <c r="K43" s="50">
        <v>0</v>
      </c>
      <c r="L43" s="50">
        <v>0</v>
      </c>
      <c r="M43" s="50">
        <v>24</v>
      </c>
      <c r="N43" s="50">
        <v>0</v>
      </c>
      <c r="O43" s="15">
        <f t="shared" si="0"/>
        <v>19</v>
      </c>
      <c r="P43" s="15">
        <f t="shared" si="1"/>
        <v>43</v>
      </c>
    </row>
    <row r="44" spans="2:20" ht="23.1" customHeight="1" x14ac:dyDescent="0.25">
      <c r="B44" s="25" t="s">
        <v>71</v>
      </c>
      <c r="C44" s="50">
        <v>6</v>
      </c>
      <c r="D44" s="50">
        <v>3</v>
      </c>
      <c r="E44" s="50">
        <v>11</v>
      </c>
      <c r="F44" s="50">
        <v>4</v>
      </c>
      <c r="G44" s="50">
        <v>0</v>
      </c>
      <c r="H44" s="50">
        <v>0</v>
      </c>
      <c r="I44" s="50">
        <v>7</v>
      </c>
      <c r="J44" s="50">
        <v>0</v>
      </c>
      <c r="K44" s="50">
        <v>0</v>
      </c>
      <c r="L44" s="50">
        <v>0</v>
      </c>
      <c r="M44" s="50">
        <v>31</v>
      </c>
      <c r="N44" s="50">
        <v>0</v>
      </c>
      <c r="O44" s="15">
        <f t="shared" si="0"/>
        <v>31</v>
      </c>
      <c r="P44" s="15">
        <f t="shared" si="1"/>
        <v>62</v>
      </c>
    </row>
    <row r="45" spans="2:20" ht="23.1" customHeight="1" x14ac:dyDescent="0.25">
      <c r="B45" s="23" t="s">
        <v>72</v>
      </c>
      <c r="C45" s="50">
        <v>6</v>
      </c>
      <c r="D45" s="50">
        <v>1</v>
      </c>
      <c r="E45" s="50">
        <v>5</v>
      </c>
      <c r="F45" s="50">
        <v>4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40</v>
      </c>
      <c r="N45" s="50">
        <v>0</v>
      </c>
      <c r="O45" s="15">
        <f t="shared" si="0"/>
        <v>19</v>
      </c>
      <c r="P45" s="15">
        <f t="shared" si="1"/>
        <v>59</v>
      </c>
    </row>
    <row r="46" spans="2:20" ht="23.1" customHeight="1" x14ac:dyDescent="0.25">
      <c r="B46" s="24" t="s">
        <v>73</v>
      </c>
      <c r="C46" s="50">
        <v>5</v>
      </c>
      <c r="D46" s="50">
        <v>3</v>
      </c>
      <c r="E46" s="50">
        <v>12</v>
      </c>
      <c r="F46" s="50">
        <v>4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33</v>
      </c>
      <c r="N46" s="50">
        <v>0</v>
      </c>
      <c r="O46" s="15">
        <f t="shared" si="0"/>
        <v>29</v>
      </c>
      <c r="P46" s="15">
        <f t="shared" si="1"/>
        <v>62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9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24</v>
      </c>
      <c r="N47" s="50">
        <v>0</v>
      </c>
      <c r="O47" s="15">
        <f t="shared" si="0"/>
        <v>19</v>
      </c>
      <c r="P47" s="15">
        <f t="shared" si="1"/>
        <v>43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5</v>
      </c>
      <c r="F48" s="50">
        <v>3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31</v>
      </c>
      <c r="N48" s="50">
        <v>0</v>
      </c>
      <c r="O48" s="15">
        <f t="shared" si="0"/>
        <v>13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2</v>
      </c>
      <c r="E49" s="50">
        <v>7</v>
      </c>
      <c r="F49" s="50">
        <v>6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24</v>
      </c>
      <c r="P49" s="15">
        <f t="shared" si="1"/>
        <v>44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2</v>
      </c>
      <c r="E50" s="50">
        <v>8</v>
      </c>
      <c r="F50" s="50">
        <v>7</v>
      </c>
      <c r="G50" s="50">
        <v>0</v>
      </c>
      <c r="H50" s="50">
        <v>0</v>
      </c>
      <c r="I50" s="50">
        <v>9</v>
      </c>
      <c r="J50" s="50">
        <v>0</v>
      </c>
      <c r="K50" s="50">
        <v>0</v>
      </c>
      <c r="L50" s="50">
        <v>0</v>
      </c>
      <c r="M50" s="50">
        <v>36</v>
      </c>
      <c r="N50" s="50">
        <v>0</v>
      </c>
      <c r="O50" s="15">
        <f t="shared" si="0"/>
        <v>27</v>
      </c>
      <c r="P50" s="15">
        <f t="shared" si="1"/>
        <v>63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3</v>
      </c>
      <c r="E51" s="50">
        <v>12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48</v>
      </c>
      <c r="N51" s="50">
        <v>0</v>
      </c>
      <c r="O51" s="15">
        <f t="shared" si="0"/>
        <v>25</v>
      </c>
      <c r="P51" s="15">
        <f t="shared" si="1"/>
        <v>73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34</v>
      </c>
      <c r="N52" s="50">
        <v>0</v>
      </c>
      <c r="O52" s="15">
        <f t="shared" si="0"/>
        <v>11</v>
      </c>
      <c r="P52" s="15">
        <f t="shared" si="1"/>
        <v>45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5</v>
      </c>
      <c r="F53" s="50">
        <v>6</v>
      </c>
      <c r="G53" s="50">
        <v>0</v>
      </c>
      <c r="H53" s="50">
        <v>1</v>
      </c>
      <c r="I53" s="50">
        <v>5</v>
      </c>
      <c r="J53" s="50">
        <v>1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24</v>
      </c>
      <c r="P53" s="15">
        <f t="shared" si="1"/>
        <v>58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2</v>
      </c>
      <c r="E54" s="50">
        <v>7</v>
      </c>
      <c r="F54" s="50">
        <v>6</v>
      </c>
      <c r="G54" s="50">
        <v>0</v>
      </c>
      <c r="H54" s="50">
        <v>0</v>
      </c>
      <c r="I54" s="50">
        <v>4</v>
      </c>
      <c r="J54" s="50">
        <v>0</v>
      </c>
      <c r="K54" s="50">
        <v>0</v>
      </c>
      <c r="L54" s="50">
        <v>0</v>
      </c>
      <c r="M54" s="50">
        <v>36</v>
      </c>
      <c r="N54" s="50">
        <v>0</v>
      </c>
      <c r="O54" s="15">
        <f t="shared" si="0"/>
        <v>21</v>
      </c>
      <c r="P54" s="15">
        <f t="shared" si="1"/>
        <v>57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3</v>
      </c>
      <c r="E55" s="50">
        <v>11</v>
      </c>
      <c r="F55" s="50">
        <v>3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34</v>
      </c>
      <c r="N55" s="50">
        <v>0</v>
      </c>
      <c r="O55" s="15">
        <f t="shared" si="0"/>
        <v>25</v>
      </c>
      <c r="P55" s="15">
        <f t="shared" si="1"/>
        <v>59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2</v>
      </c>
      <c r="E56" s="50">
        <v>8</v>
      </c>
      <c r="F56" s="50">
        <v>2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36</v>
      </c>
      <c r="N56" s="50">
        <v>0</v>
      </c>
      <c r="O56" s="15">
        <f t="shared" si="0"/>
        <v>17</v>
      </c>
      <c r="P56" s="15">
        <f t="shared" si="1"/>
        <v>53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3</v>
      </c>
      <c r="F57" s="50">
        <v>5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34</v>
      </c>
      <c r="N57" s="50">
        <v>0</v>
      </c>
      <c r="O57" s="15">
        <f t="shared" si="0"/>
        <v>17</v>
      </c>
      <c r="P57" s="15">
        <f t="shared" si="1"/>
        <v>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212</v>
      </c>
      <c r="D58" s="16">
        <f t="shared" si="21"/>
        <v>97</v>
      </c>
      <c r="E58" s="16">
        <f t="shared" si="21"/>
        <v>400</v>
      </c>
      <c r="F58" s="16">
        <f t="shared" si="21"/>
        <v>194</v>
      </c>
      <c r="G58" s="16">
        <f t="shared" si="21"/>
        <v>8</v>
      </c>
      <c r="H58" s="16">
        <f t="shared" si="21"/>
        <v>8</v>
      </c>
      <c r="I58" s="16">
        <f t="shared" si="21"/>
        <v>171</v>
      </c>
      <c r="J58" s="16">
        <f t="shared" si="21"/>
        <v>10</v>
      </c>
      <c r="K58" s="16">
        <f t="shared" si="21"/>
        <v>1</v>
      </c>
      <c r="L58" s="16">
        <f t="shared" si="21"/>
        <v>0</v>
      </c>
      <c r="M58" s="16">
        <f t="shared" si="21"/>
        <v>1397</v>
      </c>
      <c r="N58" s="16">
        <f t="shared" si="21"/>
        <v>0</v>
      </c>
      <c r="O58" s="16">
        <f t="shared" si="21"/>
        <v>1101</v>
      </c>
      <c r="P58" s="16">
        <f t="shared" si="21"/>
        <v>2498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8.4867894315452358E-2</v>
      </c>
      <c r="D59" s="43">
        <f t="shared" si="22"/>
        <v>3.8831064851881508E-2</v>
      </c>
      <c r="E59" s="43">
        <f t="shared" si="22"/>
        <v>0.16012810248198558</v>
      </c>
      <c r="F59" s="43">
        <f t="shared" si="22"/>
        <v>7.7662129703763016E-2</v>
      </c>
      <c r="G59" s="43">
        <f t="shared" si="22"/>
        <v>3.2025620496397116E-3</v>
      </c>
      <c r="H59" s="43">
        <f t="shared" si="22"/>
        <v>3.2025620496397116E-3</v>
      </c>
      <c r="I59" s="43">
        <f t="shared" si="22"/>
        <v>6.8454763811048841E-2</v>
      </c>
      <c r="J59" s="43">
        <f t="shared" si="22"/>
        <v>4.0032025620496394E-3</v>
      </c>
      <c r="K59" s="43">
        <f t="shared" si="22"/>
        <v>4.0032025620496394E-4</v>
      </c>
      <c r="L59" s="43">
        <f t="shared" si="22"/>
        <v>0</v>
      </c>
      <c r="M59" s="43">
        <f t="shared" si="22"/>
        <v>0.55924739791833467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0.19255222524977295</v>
      </c>
      <c r="D60" s="44">
        <f t="shared" ref="D60:N60" si="23">D58/$O$58</f>
        <v>8.8101725703905537E-2</v>
      </c>
      <c r="E60" s="44">
        <f t="shared" si="23"/>
        <v>0.36330608537693004</v>
      </c>
      <c r="F60" s="44">
        <f t="shared" si="23"/>
        <v>0.17620345140781107</v>
      </c>
      <c r="G60" s="44">
        <f t="shared" si="23"/>
        <v>7.266121707538601E-3</v>
      </c>
      <c r="H60" s="44">
        <f t="shared" si="23"/>
        <v>7.266121707538601E-3</v>
      </c>
      <c r="I60" s="44">
        <f t="shared" si="23"/>
        <v>0.15531335149863759</v>
      </c>
      <c r="J60" s="44">
        <f t="shared" si="23"/>
        <v>9.0826521344232521E-3</v>
      </c>
      <c r="K60" s="44">
        <f t="shared" si="23"/>
        <v>9.0826521344232513E-4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52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6" t="str">
        <f>'24.08 Mbale-Sironko-24h'!G5:H5</f>
        <v>xxx</v>
      </c>
      <c r="H5" s="67"/>
      <c r="I5" s="14"/>
      <c r="J5" s="2" t="s">
        <v>5</v>
      </c>
      <c r="K5" s="66" t="str">
        <f>'24.08 Mbale-Sironko-24h'!K5:L5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'24.08 Mbale-Sironko-24h'!K6:L6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3</v>
      </c>
      <c r="F10" s="50">
        <v>3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26</v>
      </c>
      <c r="N10" s="50">
        <v>0</v>
      </c>
      <c r="O10" s="15">
        <f t="shared" ref="O10:O73" si="0">SUM(C10:L10,N10)</f>
        <v>8</v>
      </c>
      <c r="P10" s="15">
        <f t="shared" ref="P10:P73" si="1">SUM(C10:N10)</f>
        <v>34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13</v>
      </c>
      <c r="V10" s="17">
        <f t="shared" si="2"/>
        <v>11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142</v>
      </c>
      <c r="AD10" s="17">
        <f t="shared" si="2"/>
        <v>0</v>
      </c>
      <c r="AE10" s="31">
        <f t="shared" si="2"/>
        <v>34</v>
      </c>
      <c r="AF10" s="31">
        <f t="shared" si="2"/>
        <v>176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2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35</v>
      </c>
      <c r="N11" s="50">
        <v>0</v>
      </c>
      <c r="O11" s="15">
        <f t="shared" si="0"/>
        <v>7</v>
      </c>
      <c r="P11" s="15">
        <f t="shared" si="1"/>
        <v>42</v>
      </c>
      <c r="R11" s="1" t="s">
        <v>7</v>
      </c>
      <c r="S11" s="17">
        <f t="shared" ref="S11:AF11" si="3">SUM(C14:C17)</f>
        <v>8</v>
      </c>
      <c r="T11" s="17">
        <f t="shared" si="3"/>
        <v>3</v>
      </c>
      <c r="U11" s="17">
        <f t="shared" si="3"/>
        <v>20</v>
      </c>
      <c r="V11" s="17">
        <f t="shared" si="3"/>
        <v>14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125</v>
      </c>
      <c r="AD11" s="17">
        <f t="shared" si="3"/>
        <v>0</v>
      </c>
      <c r="AE11" s="31">
        <f t="shared" si="3"/>
        <v>53</v>
      </c>
      <c r="AF11" s="31">
        <f t="shared" si="3"/>
        <v>178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3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40</v>
      </c>
      <c r="N12" s="50">
        <v>0</v>
      </c>
      <c r="O12" s="15">
        <f t="shared" si="0"/>
        <v>6</v>
      </c>
      <c r="P12" s="15">
        <f t="shared" si="1"/>
        <v>46</v>
      </c>
      <c r="R12" s="1" t="s">
        <v>8</v>
      </c>
      <c r="S12" s="17">
        <f t="shared" ref="S12:AF12" si="4">SUM(C18:C21)</f>
        <v>11</v>
      </c>
      <c r="T12" s="17">
        <f t="shared" si="4"/>
        <v>5</v>
      </c>
      <c r="U12" s="17">
        <f t="shared" si="4"/>
        <v>26</v>
      </c>
      <c r="V12" s="17">
        <f t="shared" si="4"/>
        <v>12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115</v>
      </c>
      <c r="AD12" s="17">
        <f t="shared" si="4"/>
        <v>1</v>
      </c>
      <c r="AE12" s="31">
        <f t="shared" si="4"/>
        <v>64</v>
      </c>
      <c r="AF12" s="31">
        <f t="shared" si="4"/>
        <v>179</v>
      </c>
    </row>
    <row r="13" spans="2:32" ht="23.1" customHeight="1" x14ac:dyDescent="0.25">
      <c r="B13" s="45" t="s">
        <v>40</v>
      </c>
      <c r="C13" s="50">
        <v>3</v>
      </c>
      <c r="D13" s="50">
        <v>1</v>
      </c>
      <c r="E13" s="50">
        <v>5</v>
      </c>
      <c r="F13" s="50">
        <v>3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41</v>
      </c>
      <c r="N13" s="50">
        <v>0</v>
      </c>
      <c r="O13" s="15">
        <f t="shared" si="0"/>
        <v>13</v>
      </c>
      <c r="P13" s="15">
        <f t="shared" si="1"/>
        <v>54</v>
      </c>
      <c r="R13" s="1" t="s">
        <v>9</v>
      </c>
      <c r="S13" s="17">
        <f t="shared" ref="S13:AF13" si="5">SUM(C22:C25)</f>
        <v>11</v>
      </c>
      <c r="T13" s="17">
        <f t="shared" si="5"/>
        <v>2</v>
      </c>
      <c r="U13" s="17">
        <f t="shared" si="5"/>
        <v>16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122</v>
      </c>
      <c r="AD13" s="17">
        <f t="shared" si="5"/>
        <v>0</v>
      </c>
      <c r="AE13" s="31">
        <f t="shared" si="5"/>
        <v>49</v>
      </c>
      <c r="AF13" s="31">
        <f t="shared" si="5"/>
        <v>171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3</v>
      </c>
      <c r="F14" s="50">
        <v>4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29</v>
      </c>
      <c r="N14" s="50">
        <v>0</v>
      </c>
      <c r="O14" s="15">
        <f t="shared" si="0"/>
        <v>8</v>
      </c>
      <c r="P14" s="15">
        <f t="shared" si="1"/>
        <v>37</v>
      </c>
      <c r="R14" s="1" t="s">
        <v>10</v>
      </c>
      <c r="S14" s="17">
        <f t="shared" ref="S14:AF14" si="6">SUM(C26:C29)</f>
        <v>11</v>
      </c>
      <c r="T14" s="17">
        <f t="shared" si="6"/>
        <v>2</v>
      </c>
      <c r="U14" s="17">
        <f t="shared" si="6"/>
        <v>13</v>
      </c>
      <c r="V14" s="17">
        <f t="shared" si="6"/>
        <v>18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107</v>
      </c>
      <c r="AD14" s="17">
        <f t="shared" si="6"/>
        <v>0</v>
      </c>
      <c r="AE14" s="31">
        <f t="shared" si="6"/>
        <v>58</v>
      </c>
      <c r="AF14" s="31">
        <f t="shared" si="6"/>
        <v>165</v>
      </c>
    </row>
    <row r="15" spans="2:32" ht="23.1" customHeight="1" x14ac:dyDescent="0.25">
      <c r="B15" s="45" t="s">
        <v>42</v>
      </c>
      <c r="C15" s="50">
        <v>5</v>
      </c>
      <c r="D15" s="50">
        <v>1</v>
      </c>
      <c r="E15" s="50">
        <v>6</v>
      </c>
      <c r="F15" s="50">
        <v>7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22</v>
      </c>
      <c r="P15" s="15">
        <f t="shared" si="1"/>
        <v>49</v>
      </c>
      <c r="R15" s="1" t="s">
        <v>11</v>
      </c>
      <c r="S15" s="17">
        <f t="shared" ref="S15:AF15" si="7">SUM(C30:C33)</f>
        <v>14</v>
      </c>
      <c r="T15" s="17">
        <f t="shared" si="7"/>
        <v>3</v>
      </c>
      <c r="U15" s="17">
        <f t="shared" si="7"/>
        <v>18</v>
      </c>
      <c r="V15" s="17">
        <f t="shared" si="7"/>
        <v>12</v>
      </c>
      <c r="W15" s="17">
        <f t="shared" si="7"/>
        <v>0</v>
      </c>
      <c r="X15" s="17">
        <f t="shared" si="7"/>
        <v>1</v>
      </c>
      <c r="Y15" s="17">
        <f t="shared" si="7"/>
        <v>13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107</v>
      </c>
      <c r="AD15" s="17">
        <f t="shared" si="7"/>
        <v>0</v>
      </c>
      <c r="AE15" s="31">
        <f t="shared" si="7"/>
        <v>62</v>
      </c>
      <c r="AF15" s="31">
        <f t="shared" si="7"/>
        <v>169</v>
      </c>
    </row>
    <row r="16" spans="2:32" ht="23.1" customHeight="1" x14ac:dyDescent="0.25">
      <c r="B16" s="45" t="s">
        <v>43</v>
      </c>
      <c r="C16" s="50">
        <v>3</v>
      </c>
      <c r="D16" s="50">
        <v>1</v>
      </c>
      <c r="E16" s="50">
        <v>6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42</v>
      </c>
      <c r="N16" s="50">
        <v>0</v>
      </c>
      <c r="O16" s="15">
        <f t="shared" si="0"/>
        <v>13</v>
      </c>
      <c r="P16" s="15">
        <f t="shared" si="1"/>
        <v>55</v>
      </c>
      <c r="R16" s="1" t="s">
        <v>12</v>
      </c>
      <c r="S16" s="17">
        <f t="shared" ref="S16:AF16" si="8">SUM(C34:C37)</f>
        <v>8</v>
      </c>
      <c r="T16" s="17">
        <f t="shared" si="8"/>
        <v>3</v>
      </c>
      <c r="U16" s="17">
        <f t="shared" si="8"/>
        <v>18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98</v>
      </c>
      <c r="AD16" s="17">
        <f t="shared" si="8"/>
        <v>0</v>
      </c>
      <c r="AE16" s="31">
        <f t="shared" si="8"/>
        <v>46</v>
      </c>
      <c r="AF16" s="31">
        <f t="shared" si="8"/>
        <v>144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5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27</v>
      </c>
      <c r="N17" s="50">
        <v>0</v>
      </c>
      <c r="O17" s="15">
        <f t="shared" si="0"/>
        <v>10</v>
      </c>
      <c r="P17" s="15">
        <f t="shared" si="1"/>
        <v>37</v>
      </c>
      <c r="R17" s="1" t="s">
        <v>13</v>
      </c>
      <c r="S17" s="17">
        <f t="shared" ref="S17:AF17" si="9">SUM(C38:C41)</f>
        <v>15</v>
      </c>
      <c r="T17" s="17">
        <f t="shared" si="9"/>
        <v>1</v>
      </c>
      <c r="U17" s="17">
        <f t="shared" si="9"/>
        <v>13</v>
      </c>
      <c r="V17" s="17">
        <f t="shared" si="9"/>
        <v>21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95</v>
      </c>
      <c r="AD17" s="17">
        <f t="shared" si="9"/>
        <v>0</v>
      </c>
      <c r="AE17" s="31">
        <f t="shared" si="9"/>
        <v>69</v>
      </c>
      <c r="AF17" s="31">
        <f t="shared" si="9"/>
        <v>164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2</v>
      </c>
      <c r="F18" s="50">
        <v>5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11</v>
      </c>
      <c r="P18" s="15">
        <f t="shared" si="1"/>
        <v>31</v>
      </c>
      <c r="R18" s="1" t="s">
        <v>14</v>
      </c>
      <c r="S18" s="17">
        <f t="shared" ref="S18:AF18" si="10">SUM(C42:C45)</f>
        <v>15</v>
      </c>
      <c r="T18" s="17">
        <f t="shared" si="10"/>
        <v>2</v>
      </c>
      <c r="U18" s="17">
        <f t="shared" si="10"/>
        <v>13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24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100</v>
      </c>
      <c r="AD18" s="17">
        <f t="shared" si="10"/>
        <v>0</v>
      </c>
      <c r="AE18" s="31">
        <f t="shared" si="10"/>
        <v>76</v>
      </c>
      <c r="AF18" s="31">
        <f t="shared" si="10"/>
        <v>176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6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44</v>
      </c>
      <c r="N19" s="50">
        <v>0</v>
      </c>
      <c r="O19" s="15">
        <f t="shared" si="0"/>
        <v>9</v>
      </c>
      <c r="P19" s="15">
        <f t="shared" si="1"/>
        <v>53</v>
      </c>
      <c r="R19" s="1" t="s">
        <v>15</v>
      </c>
      <c r="S19" s="17">
        <f t="shared" ref="S19:AF19" si="11">SUM(C46:C49)</f>
        <v>10</v>
      </c>
      <c r="T19" s="17">
        <f t="shared" si="11"/>
        <v>6</v>
      </c>
      <c r="U19" s="17">
        <f t="shared" si="11"/>
        <v>23</v>
      </c>
      <c r="V19" s="17">
        <f t="shared" si="11"/>
        <v>22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133</v>
      </c>
      <c r="AD19" s="17">
        <f t="shared" si="11"/>
        <v>0</v>
      </c>
      <c r="AE19" s="31">
        <f t="shared" si="11"/>
        <v>75</v>
      </c>
      <c r="AF19" s="31">
        <f t="shared" si="11"/>
        <v>208</v>
      </c>
    </row>
    <row r="20" spans="2:32" ht="23.1" customHeight="1" x14ac:dyDescent="0.25">
      <c r="B20" s="45" t="s">
        <v>47</v>
      </c>
      <c r="C20" s="50">
        <v>5</v>
      </c>
      <c r="D20" s="50">
        <v>2</v>
      </c>
      <c r="E20" s="50">
        <v>9</v>
      </c>
      <c r="F20" s="50">
        <v>6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37</v>
      </c>
      <c r="N20" s="50">
        <v>1</v>
      </c>
      <c r="O20" s="15">
        <f t="shared" si="0"/>
        <v>24</v>
      </c>
      <c r="P20" s="15">
        <f t="shared" si="1"/>
        <v>61</v>
      </c>
      <c r="R20" s="1" t="s">
        <v>16</v>
      </c>
      <c r="S20" s="17">
        <f t="shared" ref="S20:AF20" si="12">SUM(C50:C53)</f>
        <v>12</v>
      </c>
      <c r="T20" s="17">
        <f t="shared" si="12"/>
        <v>7</v>
      </c>
      <c r="U20" s="17">
        <f t="shared" si="12"/>
        <v>28</v>
      </c>
      <c r="V20" s="17">
        <f t="shared" si="12"/>
        <v>16</v>
      </c>
      <c r="W20" s="17">
        <f t="shared" si="12"/>
        <v>9</v>
      </c>
      <c r="X20" s="17">
        <f t="shared" si="12"/>
        <v>1</v>
      </c>
      <c r="Y20" s="17">
        <f t="shared" si="12"/>
        <v>15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114</v>
      </c>
      <c r="AD20" s="17">
        <f t="shared" si="12"/>
        <v>0</v>
      </c>
      <c r="AE20" s="31">
        <f t="shared" si="12"/>
        <v>89</v>
      </c>
      <c r="AF20" s="31">
        <f t="shared" si="12"/>
        <v>203</v>
      </c>
    </row>
    <row r="21" spans="2:32" ht="23.1" customHeight="1" x14ac:dyDescent="0.25">
      <c r="B21" s="45" t="s">
        <v>48</v>
      </c>
      <c r="C21" s="50">
        <v>4</v>
      </c>
      <c r="D21" s="50">
        <v>2</v>
      </c>
      <c r="E21" s="50">
        <v>9</v>
      </c>
      <c r="F21" s="50">
        <v>1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14</v>
      </c>
      <c r="N21" s="50">
        <v>0</v>
      </c>
      <c r="O21" s="15">
        <f t="shared" si="0"/>
        <v>20</v>
      </c>
      <c r="P21" s="15">
        <f t="shared" si="1"/>
        <v>34</v>
      </c>
      <c r="R21" s="36" t="s">
        <v>20</v>
      </c>
      <c r="S21" s="34">
        <f t="shared" ref="S21:AF21" si="13">SUM(C54:C57)</f>
        <v>19</v>
      </c>
      <c r="T21" s="17">
        <f t="shared" si="13"/>
        <v>4</v>
      </c>
      <c r="U21" s="17">
        <f t="shared" si="13"/>
        <v>22</v>
      </c>
      <c r="V21" s="17">
        <f t="shared" si="13"/>
        <v>21</v>
      </c>
      <c r="W21" s="17">
        <f t="shared" si="13"/>
        <v>1</v>
      </c>
      <c r="X21" s="17">
        <f t="shared" si="13"/>
        <v>0</v>
      </c>
      <c r="Y21" s="17">
        <f t="shared" si="13"/>
        <v>14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95</v>
      </c>
      <c r="AD21" s="17">
        <f t="shared" si="13"/>
        <v>0</v>
      </c>
      <c r="AE21" s="31">
        <f t="shared" si="13"/>
        <v>82</v>
      </c>
      <c r="AF21" s="31">
        <f t="shared" si="13"/>
        <v>177</v>
      </c>
    </row>
    <row r="22" spans="2:32" ht="23.1" customHeight="1" x14ac:dyDescent="0.25">
      <c r="B22" s="45" t="s">
        <v>49</v>
      </c>
      <c r="C22" s="50">
        <v>3</v>
      </c>
      <c r="D22" s="50">
        <v>0</v>
      </c>
      <c r="E22" s="50">
        <v>2</v>
      </c>
      <c r="F22" s="50">
        <v>2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0</v>
      </c>
      <c r="M22" s="50">
        <v>25</v>
      </c>
      <c r="N22" s="50">
        <v>0</v>
      </c>
      <c r="O22" s="15">
        <f t="shared" si="0"/>
        <v>12</v>
      </c>
      <c r="P22" s="15">
        <f t="shared" si="1"/>
        <v>37</v>
      </c>
      <c r="R22" s="36" t="s">
        <v>146</v>
      </c>
      <c r="S22" s="34">
        <f>SUM(C58:C61)</f>
        <v>10</v>
      </c>
      <c r="T22" s="34">
        <f t="shared" ref="T22:AF22" si="14">SUM(D58:D61)</f>
        <v>8</v>
      </c>
      <c r="U22" s="34">
        <f t="shared" si="14"/>
        <v>32</v>
      </c>
      <c r="V22" s="34">
        <f t="shared" si="14"/>
        <v>11</v>
      </c>
      <c r="W22" s="34">
        <f t="shared" si="14"/>
        <v>0</v>
      </c>
      <c r="X22" s="34">
        <f t="shared" si="14"/>
        <v>0</v>
      </c>
      <c r="Y22" s="34">
        <f t="shared" si="14"/>
        <v>21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90</v>
      </c>
      <c r="AD22" s="34">
        <f t="shared" si="14"/>
        <v>0</v>
      </c>
      <c r="AE22" s="31">
        <f t="shared" si="14"/>
        <v>83</v>
      </c>
      <c r="AF22" s="31">
        <f t="shared" si="14"/>
        <v>173</v>
      </c>
    </row>
    <row r="23" spans="2:32" ht="23.1" customHeight="1" x14ac:dyDescent="0.25">
      <c r="B23" s="45" t="s">
        <v>50</v>
      </c>
      <c r="C23" s="50">
        <v>4</v>
      </c>
      <c r="D23" s="50">
        <v>1</v>
      </c>
      <c r="E23" s="50">
        <v>6</v>
      </c>
      <c r="F23" s="50">
        <v>4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24</v>
      </c>
      <c r="N23" s="50">
        <v>0</v>
      </c>
      <c r="O23" s="15">
        <f t="shared" si="0"/>
        <v>18</v>
      </c>
      <c r="P23" s="15">
        <f t="shared" si="1"/>
        <v>42</v>
      </c>
      <c r="R23" s="36" t="s">
        <v>147</v>
      </c>
      <c r="S23" s="34">
        <f>SUM(C62:C65)</f>
        <v>13</v>
      </c>
      <c r="T23" s="34">
        <f t="shared" ref="T23:AF23" si="15">SUM(D62:D65)</f>
        <v>8</v>
      </c>
      <c r="U23" s="34">
        <f t="shared" si="15"/>
        <v>29</v>
      </c>
      <c r="V23" s="34">
        <f t="shared" si="15"/>
        <v>9</v>
      </c>
      <c r="W23" s="34">
        <f t="shared" si="15"/>
        <v>0</v>
      </c>
      <c r="X23" s="34">
        <f t="shared" si="15"/>
        <v>0</v>
      </c>
      <c r="Y23" s="34">
        <f t="shared" si="15"/>
        <v>45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63</v>
      </c>
      <c r="AD23" s="34">
        <f t="shared" si="15"/>
        <v>0</v>
      </c>
      <c r="AE23" s="31">
        <f t="shared" si="15"/>
        <v>104</v>
      </c>
      <c r="AF23" s="31">
        <f t="shared" si="15"/>
        <v>167</v>
      </c>
    </row>
    <row r="24" spans="2:32" ht="23.1" customHeight="1" x14ac:dyDescent="0.25">
      <c r="B24" s="45" t="s">
        <v>51</v>
      </c>
      <c r="C24" s="50">
        <v>4</v>
      </c>
      <c r="D24" s="50">
        <v>0</v>
      </c>
      <c r="E24" s="50">
        <v>3</v>
      </c>
      <c r="F24" s="50">
        <v>3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36</v>
      </c>
      <c r="N24" s="50">
        <v>0</v>
      </c>
      <c r="O24" s="15">
        <f t="shared" si="0"/>
        <v>11</v>
      </c>
      <c r="P24" s="15">
        <f t="shared" si="1"/>
        <v>47</v>
      </c>
      <c r="R24" s="36" t="s">
        <v>148</v>
      </c>
      <c r="S24" s="34">
        <f>SUM(C66:C69)</f>
        <v>6</v>
      </c>
      <c r="T24" s="34">
        <f t="shared" ref="T24:AF24" si="16">SUM(D66:D69)</f>
        <v>0</v>
      </c>
      <c r="U24" s="34">
        <f t="shared" si="16"/>
        <v>7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14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24</v>
      </c>
      <c r="AD24" s="34">
        <f t="shared" si="16"/>
        <v>0</v>
      </c>
      <c r="AE24" s="31">
        <f t="shared" si="16"/>
        <v>27</v>
      </c>
      <c r="AF24" s="31">
        <f t="shared" si="16"/>
        <v>51</v>
      </c>
    </row>
    <row r="25" spans="2:32" ht="23.1" customHeight="1" x14ac:dyDescent="0.25">
      <c r="B25" s="45" t="s">
        <v>52</v>
      </c>
      <c r="C25" s="50">
        <v>0</v>
      </c>
      <c r="D25" s="50">
        <v>1</v>
      </c>
      <c r="E25" s="50">
        <v>5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37</v>
      </c>
      <c r="N25" s="50">
        <v>0</v>
      </c>
      <c r="O25" s="15">
        <f t="shared" si="0"/>
        <v>8</v>
      </c>
      <c r="P25" s="15">
        <f t="shared" si="1"/>
        <v>45</v>
      </c>
      <c r="R25" s="36" t="s">
        <v>149</v>
      </c>
      <c r="S25" s="34">
        <f>SUM(C70:C73)</f>
        <v>5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16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14</v>
      </c>
      <c r="AD25" s="34">
        <f t="shared" si="17"/>
        <v>0</v>
      </c>
      <c r="AE25" s="31">
        <f t="shared" si="17"/>
        <v>23</v>
      </c>
      <c r="AF25" s="31">
        <f t="shared" si="17"/>
        <v>37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2</v>
      </c>
      <c r="F26" s="50">
        <v>4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27</v>
      </c>
      <c r="N26" s="50">
        <v>0</v>
      </c>
      <c r="O26" s="15">
        <f t="shared" si="0"/>
        <v>11</v>
      </c>
      <c r="P26" s="15">
        <f t="shared" si="1"/>
        <v>38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5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9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5</v>
      </c>
      <c r="AD26" s="34">
        <f t="shared" si="18"/>
        <v>0</v>
      </c>
      <c r="AE26" s="31">
        <f t="shared" si="18"/>
        <v>15</v>
      </c>
      <c r="AF26" s="31">
        <f t="shared" si="18"/>
        <v>20</v>
      </c>
    </row>
    <row r="27" spans="2:32" ht="23.1" customHeight="1" x14ac:dyDescent="0.25">
      <c r="B27" s="45" t="s">
        <v>54</v>
      </c>
      <c r="C27" s="50">
        <v>2</v>
      </c>
      <c r="D27" s="50">
        <v>2</v>
      </c>
      <c r="E27" s="50">
        <v>8</v>
      </c>
      <c r="F27" s="50">
        <v>9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40</v>
      </c>
      <c r="N27" s="50">
        <v>0</v>
      </c>
      <c r="O27" s="15">
        <f t="shared" si="0"/>
        <v>25</v>
      </c>
      <c r="P27" s="15">
        <f t="shared" si="1"/>
        <v>65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8</v>
      </c>
      <c r="AF27" s="31">
        <f t="shared" si="19"/>
        <v>15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2</v>
      </c>
      <c r="F28" s="50">
        <v>4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19</v>
      </c>
      <c r="N28" s="50">
        <v>0</v>
      </c>
      <c r="O28" s="15">
        <f t="shared" si="0"/>
        <v>12</v>
      </c>
      <c r="P28" s="15">
        <f t="shared" si="1"/>
        <v>31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6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11</v>
      </c>
      <c r="AF28" s="31">
        <f t="shared" si="20"/>
        <v>13</v>
      </c>
    </row>
    <row r="29" spans="2:32" ht="23.1" customHeight="1" x14ac:dyDescent="0.25">
      <c r="B29" s="45" t="s">
        <v>56</v>
      </c>
      <c r="C29" s="50">
        <v>4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4</v>
      </c>
      <c r="J29" s="50">
        <v>0</v>
      </c>
      <c r="K29" s="50">
        <v>0</v>
      </c>
      <c r="L29" s="50">
        <v>0</v>
      </c>
      <c r="M29" s="50">
        <v>21</v>
      </c>
      <c r="N29" s="50">
        <v>0</v>
      </c>
      <c r="O29" s="15">
        <f t="shared" si="0"/>
        <v>10</v>
      </c>
      <c r="P29" s="15">
        <f t="shared" si="1"/>
        <v>31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</v>
      </c>
      <c r="AD29" s="34">
        <f t="shared" si="21"/>
        <v>0</v>
      </c>
      <c r="AE29" s="31">
        <f t="shared" si="21"/>
        <v>8</v>
      </c>
      <c r="AF29" s="31">
        <f t="shared" si="21"/>
        <v>12</v>
      </c>
    </row>
    <row r="30" spans="2:32" ht="23.1" customHeight="1" x14ac:dyDescent="0.25">
      <c r="B30" s="45" t="s">
        <v>57</v>
      </c>
      <c r="C30" s="50">
        <v>5</v>
      </c>
      <c r="D30" s="50">
        <v>0</v>
      </c>
      <c r="E30" s="50">
        <v>3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23</v>
      </c>
      <c r="N30" s="50">
        <v>0</v>
      </c>
      <c r="O30" s="15">
        <f t="shared" si="0"/>
        <v>12</v>
      </c>
      <c r="P30" s="15">
        <f t="shared" si="1"/>
        <v>35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6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4</v>
      </c>
      <c r="D31" s="50">
        <v>1</v>
      </c>
      <c r="E31" s="50">
        <v>5</v>
      </c>
      <c r="F31" s="50">
        <v>4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16</v>
      </c>
      <c r="P31" s="15">
        <f t="shared" si="1"/>
        <v>50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11</v>
      </c>
      <c r="AF31" s="31">
        <f t="shared" si="23"/>
        <v>16</v>
      </c>
    </row>
    <row r="32" spans="2:32" ht="23.1" customHeight="1" x14ac:dyDescent="0.25">
      <c r="B32" s="46" t="s">
        <v>59</v>
      </c>
      <c r="C32" s="50">
        <v>2</v>
      </c>
      <c r="D32" s="50">
        <v>1</v>
      </c>
      <c r="E32" s="50">
        <v>4</v>
      </c>
      <c r="F32" s="50">
        <v>2</v>
      </c>
      <c r="G32" s="50">
        <v>0</v>
      </c>
      <c r="H32" s="50">
        <v>1</v>
      </c>
      <c r="I32" s="50">
        <v>6</v>
      </c>
      <c r="J32" s="50">
        <v>0</v>
      </c>
      <c r="K32" s="50">
        <v>0</v>
      </c>
      <c r="L32" s="50">
        <v>0</v>
      </c>
      <c r="M32" s="50">
        <v>29</v>
      </c>
      <c r="N32" s="50">
        <v>0</v>
      </c>
      <c r="O32" s="15">
        <f t="shared" si="0"/>
        <v>16</v>
      </c>
      <c r="P32" s="15">
        <f t="shared" si="1"/>
        <v>45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5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11</v>
      </c>
      <c r="AF32" s="31">
        <f t="shared" si="24"/>
        <v>20</v>
      </c>
    </row>
    <row r="33" spans="2:32" ht="23.1" customHeight="1" x14ac:dyDescent="0.25">
      <c r="B33" s="45" t="s">
        <v>60</v>
      </c>
      <c r="C33" s="50">
        <v>3</v>
      </c>
      <c r="D33" s="50">
        <v>1</v>
      </c>
      <c r="E33" s="50">
        <v>6</v>
      </c>
      <c r="F33" s="50">
        <v>5</v>
      </c>
      <c r="G33" s="50">
        <v>0</v>
      </c>
      <c r="H33" s="50">
        <v>0</v>
      </c>
      <c r="I33" s="50">
        <v>2</v>
      </c>
      <c r="J33" s="50">
        <v>0</v>
      </c>
      <c r="K33" s="50">
        <v>1</v>
      </c>
      <c r="L33" s="50">
        <v>0</v>
      </c>
      <c r="M33" s="50">
        <v>21</v>
      </c>
      <c r="N33" s="50">
        <v>0</v>
      </c>
      <c r="O33" s="15">
        <f t="shared" si="0"/>
        <v>18</v>
      </c>
      <c r="P33" s="15">
        <f t="shared" si="1"/>
        <v>39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9</v>
      </c>
      <c r="V33" s="34">
        <f t="shared" si="25"/>
        <v>12</v>
      </c>
      <c r="W33" s="34">
        <f t="shared" si="25"/>
        <v>0</v>
      </c>
      <c r="X33" s="34">
        <f t="shared" si="25"/>
        <v>0</v>
      </c>
      <c r="Y33" s="34">
        <f t="shared" si="25"/>
        <v>7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33</v>
      </c>
      <c r="AD33" s="34">
        <f t="shared" si="25"/>
        <v>0</v>
      </c>
      <c r="AE33" s="31">
        <f t="shared" si="25"/>
        <v>29</v>
      </c>
      <c r="AF33" s="31">
        <f t="shared" si="25"/>
        <v>62</v>
      </c>
    </row>
    <row r="34" spans="2:32" ht="23.1" customHeight="1" x14ac:dyDescent="0.25">
      <c r="B34" s="46" t="s">
        <v>61</v>
      </c>
      <c r="C34" s="50">
        <v>1</v>
      </c>
      <c r="D34" s="50">
        <v>1</v>
      </c>
      <c r="E34" s="50">
        <v>6</v>
      </c>
      <c r="F34" s="50">
        <v>4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26</v>
      </c>
      <c r="N34" s="50">
        <v>0</v>
      </c>
      <c r="O34" s="15">
        <f t="shared" si="0"/>
        <v>12</v>
      </c>
      <c r="P34" s="15">
        <f t="shared" si="1"/>
        <v>38</v>
      </c>
      <c r="R34" s="38" t="s">
        <v>90</v>
      </c>
      <c r="S34" s="39">
        <f t="shared" ref="S34:AF34" si="26">MAX(S10:S12)</f>
        <v>11</v>
      </c>
      <c r="T34" s="39">
        <f t="shared" si="26"/>
        <v>5</v>
      </c>
      <c r="U34" s="39">
        <f t="shared" si="26"/>
        <v>26</v>
      </c>
      <c r="V34" s="39">
        <f t="shared" si="26"/>
        <v>14</v>
      </c>
      <c r="W34" s="39">
        <f t="shared" si="26"/>
        <v>0</v>
      </c>
      <c r="X34" s="39">
        <f t="shared" si="26"/>
        <v>0</v>
      </c>
      <c r="Y34" s="39">
        <f t="shared" si="26"/>
        <v>9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142</v>
      </c>
      <c r="AD34" s="39">
        <f t="shared" si="26"/>
        <v>1</v>
      </c>
      <c r="AE34" s="40">
        <f t="shared" si="26"/>
        <v>64</v>
      </c>
      <c r="AF34" s="40">
        <f t="shared" si="26"/>
        <v>179</v>
      </c>
    </row>
    <row r="35" spans="2:32" ht="23.1" customHeight="1" x14ac:dyDescent="0.25">
      <c r="B35" s="46" t="s">
        <v>62</v>
      </c>
      <c r="C35" s="50">
        <v>3</v>
      </c>
      <c r="D35" s="50">
        <v>1</v>
      </c>
      <c r="E35" s="50">
        <v>5</v>
      </c>
      <c r="F35" s="50">
        <v>2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13</v>
      </c>
      <c r="P35" s="15">
        <f t="shared" si="1"/>
        <v>40</v>
      </c>
      <c r="R35" s="38" t="s">
        <v>91</v>
      </c>
      <c r="S35" s="39">
        <f t="shared" ref="S35:AF35" si="27">MAX(S13:S18)</f>
        <v>15</v>
      </c>
      <c r="T35" s="39">
        <f t="shared" si="27"/>
        <v>3</v>
      </c>
      <c r="U35" s="39">
        <f t="shared" si="27"/>
        <v>18</v>
      </c>
      <c r="V35" s="39">
        <f t="shared" si="27"/>
        <v>22</v>
      </c>
      <c r="W35" s="39">
        <f t="shared" si="27"/>
        <v>0</v>
      </c>
      <c r="X35" s="39">
        <f t="shared" si="27"/>
        <v>1</v>
      </c>
      <c r="Y35" s="39">
        <f t="shared" si="27"/>
        <v>24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122</v>
      </c>
      <c r="AD35" s="39">
        <f t="shared" si="27"/>
        <v>0</v>
      </c>
      <c r="AE35" s="40">
        <f t="shared" si="27"/>
        <v>76</v>
      </c>
      <c r="AF35" s="40">
        <f t="shared" si="27"/>
        <v>176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2</v>
      </c>
      <c r="F36" s="50">
        <v>3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31</v>
      </c>
      <c r="N36" s="50">
        <v>0</v>
      </c>
      <c r="O36" s="15">
        <f t="shared" si="0"/>
        <v>7</v>
      </c>
      <c r="P36" s="15">
        <f t="shared" si="1"/>
        <v>38</v>
      </c>
      <c r="R36" s="38" t="s">
        <v>92</v>
      </c>
      <c r="S36" s="39">
        <f t="shared" ref="S36:AF36" si="28">MAX(S19:S21)</f>
        <v>19</v>
      </c>
      <c r="T36" s="39">
        <f t="shared" si="28"/>
        <v>7</v>
      </c>
      <c r="U36" s="39">
        <f t="shared" si="28"/>
        <v>28</v>
      </c>
      <c r="V36" s="39">
        <f t="shared" si="28"/>
        <v>22</v>
      </c>
      <c r="W36" s="39">
        <f t="shared" si="28"/>
        <v>9</v>
      </c>
      <c r="X36" s="39">
        <f t="shared" si="28"/>
        <v>1</v>
      </c>
      <c r="Y36" s="39">
        <f t="shared" si="28"/>
        <v>15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133</v>
      </c>
      <c r="AD36" s="39">
        <f t="shared" si="28"/>
        <v>0</v>
      </c>
      <c r="AE36" s="40">
        <f t="shared" si="28"/>
        <v>89</v>
      </c>
      <c r="AF36" s="40">
        <f t="shared" si="28"/>
        <v>208</v>
      </c>
    </row>
    <row r="37" spans="2:32" ht="23.1" customHeight="1" x14ac:dyDescent="0.25">
      <c r="B37" s="45" t="s">
        <v>64</v>
      </c>
      <c r="C37" s="50">
        <v>2</v>
      </c>
      <c r="D37" s="50">
        <v>1</v>
      </c>
      <c r="E37" s="50">
        <v>5</v>
      </c>
      <c r="F37" s="50">
        <v>4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14</v>
      </c>
      <c r="P37" s="15">
        <f t="shared" si="1"/>
        <v>28</v>
      </c>
      <c r="R37" s="37" t="s">
        <v>85</v>
      </c>
      <c r="S37" s="35">
        <f t="shared" ref="S37:AF37" si="29">SUM(S10:S12)</f>
        <v>24</v>
      </c>
      <c r="T37" s="16">
        <f t="shared" si="29"/>
        <v>9</v>
      </c>
      <c r="U37" s="16">
        <f t="shared" si="29"/>
        <v>59</v>
      </c>
      <c r="V37" s="16">
        <f t="shared" si="29"/>
        <v>37</v>
      </c>
      <c r="W37" s="16">
        <f t="shared" si="29"/>
        <v>0</v>
      </c>
      <c r="X37" s="16">
        <f t="shared" si="29"/>
        <v>0</v>
      </c>
      <c r="Y37" s="16">
        <f t="shared" si="29"/>
        <v>20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382</v>
      </c>
      <c r="AD37" s="16">
        <f t="shared" si="29"/>
        <v>1</v>
      </c>
      <c r="AE37" s="32">
        <f t="shared" si="29"/>
        <v>151</v>
      </c>
      <c r="AF37" s="32">
        <f t="shared" si="29"/>
        <v>533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3</v>
      </c>
      <c r="F38" s="50">
        <v>5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17</v>
      </c>
      <c r="N38" s="50">
        <v>0</v>
      </c>
      <c r="O38" s="15">
        <f t="shared" si="0"/>
        <v>15</v>
      </c>
      <c r="P38" s="15">
        <f t="shared" si="1"/>
        <v>32</v>
      </c>
      <c r="R38" s="28" t="s">
        <v>86</v>
      </c>
      <c r="S38" s="16">
        <f t="shared" ref="S38:AF38" si="30">SUM(S13:S18)</f>
        <v>74</v>
      </c>
      <c r="T38" s="16">
        <f t="shared" si="30"/>
        <v>13</v>
      </c>
      <c r="U38" s="16">
        <f t="shared" si="30"/>
        <v>91</v>
      </c>
      <c r="V38" s="16">
        <f t="shared" si="30"/>
        <v>96</v>
      </c>
      <c r="W38" s="16">
        <f t="shared" si="30"/>
        <v>0</v>
      </c>
      <c r="X38" s="16">
        <f t="shared" si="30"/>
        <v>1</v>
      </c>
      <c r="Y38" s="16">
        <f t="shared" si="30"/>
        <v>83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629</v>
      </c>
      <c r="AD38" s="16">
        <f t="shared" si="30"/>
        <v>0</v>
      </c>
      <c r="AE38" s="32">
        <f t="shared" si="30"/>
        <v>360</v>
      </c>
      <c r="AF38" s="32">
        <f t="shared" si="30"/>
        <v>989</v>
      </c>
    </row>
    <row r="39" spans="2:32" ht="23.1" customHeight="1" x14ac:dyDescent="0.25">
      <c r="B39" s="46" t="s">
        <v>66</v>
      </c>
      <c r="C39" s="50">
        <v>7</v>
      </c>
      <c r="D39" s="50">
        <v>0</v>
      </c>
      <c r="E39" s="50">
        <v>3</v>
      </c>
      <c r="F39" s="50">
        <v>7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37</v>
      </c>
      <c r="N39" s="50">
        <v>0</v>
      </c>
      <c r="O39" s="15">
        <f t="shared" si="0"/>
        <v>23</v>
      </c>
      <c r="P39" s="15">
        <f t="shared" si="1"/>
        <v>60</v>
      </c>
      <c r="R39" s="29" t="s">
        <v>87</v>
      </c>
      <c r="S39" s="16">
        <f t="shared" ref="S39:AF39" si="31">SUM(S19:S21)</f>
        <v>41</v>
      </c>
      <c r="T39" s="16">
        <f t="shared" si="31"/>
        <v>17</v>
      </c>
      <c r="U39" s="16">
        <f t="shared" si="31"/>
        <v>73</v>
      </c>
      <c r="V39" s="16">
        <f t="shared" si="31"/>
        <v>59</v>
      </c>
      <c r="W39" s="16">
        <f t="shared" si="31"/>
        <v>10</v>
      </c>
      <c r="X39" s="16">
        <f t="shared" si="31"/>
        <v>1</v>
      </c>
      <c r="Y39" s="16">
        <f t="shared" si="31"/>
        <v>43</v>
      </c>
      <c r="Z39" s="16">
        <f t="shared" si="31"/>
        <v>2</v>
      </c>
      <c r="AA39" s="16">
        <f t="shared" si="31"/>
        <v>0</v>
      </c>
      <c r="AB39" s="16">
        <f t="shared" si="31"/>
        <v>0</v>
      </c>
      <c r="AC39" s="16">
        <f t="shared" si="31"/>
        <v>342</v>
      </c>
      <c r="AD39" s="16">
        <f t="shared" si="31"/>
        <v>0</v>
      </c>
      <c r="AE39" s="32">
        <f t="shared" si="31"/>
        <v>246</v>
      </c>
      <c r="AF39" s="32">
        <f t="shared" si="31"/>
        <v>588</v>
      </c>
    </row>
    <row r="40" spans="2:32" ht="23.1" customHeight="1" x14ac:dyDescent="0.25">
      <c r="B40" s="46" t="s">
        <v>67</v>
      </c>
      <c r="C40" s="50">
        <v>4</v>
      </c>
      <c r="D40" s="50">
        <v>1</v>
      </c>
      <c r="E40" s="50">
        <v>5</v>
      </c>
      <c r="F40" s="50">
        <v>4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22</v>
      </c>
      <c r="N40" s="50">
        <v>0</v>
      </c>
      <c r="O40" s="15">
        <f t="shared" si="0"/>
        <v>17</v>
      </c>
      <c r="P40" s="15">
        <f t="shared" si="1"/>
        <v>39</v>
      </c>
      <c r="R40" s="5" t="s">
        <v>17</v>
      </c>
      <c r="S40" s="16">
        <f t="shared" ref="S40:AF40" si="32">SUM(S10:S21)</f>
        <v>139</v>
      </c>
      <c r="T40" s="16">
        <f t="shared" si="32"/>
        <v>39</v>
      </c>
      <c r="U40" s="16">
        <f t="shared" si="32"/>
        <v>223</v>
      </c>
      <c r="V40" s="16">
        <f t="shared" si="32"/>
        <v>192</v>
      </c>
      <c r="W40" s="16">
        <f t="shared" si="32"/>
        <v>10</v>
      </c>
      <c r="X40" s="16">
        <f t="shared" si="32"/>
        <v>2</v>
      </c>
      <c r="Y40" s="16">
        <f t="shared" si="32"/>
        <v>146</v>
      </c>
      <c r="Z40" s="16">
        <f t="shared" si="32"/>
        <v>4</v>
      </c>
      <c r="AA40" s="16">
        <f t="shared" si="32"/>
        <v>1</v>
      </c>
      <c r="AB40" s="16">
        <f t="shared" si="32"/>
        <v>0</v>
      </c>
      <c r="AC40" s="16">
        <f t="shared" si="32"/>
        <v>1353</v>
      </c>
      <c r="AD40" s="16">
        <f t="shared" si="32"/>
        <v>1</v>
      </c>
      <c r="AE40" s="32">
        <f t="shared" si="32"/>
        <v>757</v>
      </c>
      <c r="AF40" s="32">
        <f t="shared" si="32"/>
        <v>2110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2</v>
      </c>
      <c r="F41" s="50">
        <v>5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14</v>
      </c>
      <c r="P41" s="15">
        <f t="shared" si="1"/>
        <v>33</v>
      </c>
      <c r="R41" s="5" t="s">
        <v>159</v>
      </c>
      <c r="S41" s="16">
        <f>SUM(S10:S33)</f>
        <v>177</v>
      </c>
      <c r="T41" s="16">
        <f t="shared" ref="T41:AF41" si="33">SUM(T10:T33)</f>
        <v>56</v>
      </c>
      <c r="U41" s="16">
        <f t="shared" si="33"/>
        <v>332</v>
      </c>
      <c r="V41" s="16">
        <f t="shared" si="33"/>
        <v>224</v>
      </c>
      <c r="W41" s="16">
        <f t="shared" si="33"/>
        <v>10</v>
      </c>
      <c r="X41" s="16">
        <f t="shared" si="33"/>
        <v>2</v>
      </c>
      <c r="Y41" s="16">
        <f t="shared" si="33"/>
        <v>285</v>
      </c>
      <c r="Z41" s="16">
        <f t="shared" si="33"/>
        <v>5</v>
      </c>
      <c r="AA41" s="16">
        <f t="shared" si="33"/>
        <v>1</v>
      </c>
      <c r="AB41" s="16">
        <f t="shared" si="33"/>
        <v>0</v>
      </c>
      <c r="AC41" s="16">
        <f t="shared" si="33"/>
        <v>1610</v>
      </c>
      <c r="AD41" s="16">
        <f t="shared" si="33"/>
        <v>1</v>
      </c>
      <c r="AE41" s="32">
        <f t="shared" si="33"/>
        <v>1093</v>
      </c>
      <c r="AF41" s="32">
        <f t="shared" si="33"/>
        <v>2703</v>
      </c>
    </row>
    <row r="42" spans="2:32" ht="23.1" customHeight="1" x14ac:dyDescent="0.25">
      <c r="B42" s="46" t="s">
        <v>69</v>
      </c>
      <c r="C42" s="50">
        <v>4</v>
      </c>
      <c r="D42" s="50">
        <v>0</v>
      </c>
      <c r="E42" s="50">
        <v>1</v>
      </c>
      <c r="F42" s="50">
        <v>3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15</v>
      </c>
      <c r="P42" s="15">
        <f t="shared" si="1"/>
        <v>29</v>
      </c>
      <c r="R42" s="5" t="s">
        <v>160</v>
      </c>
      <c r="S42" s="48">
        <f>S41/S40</f>
        <v>1.2733812949640289</v>
      </c>
      <c r="T42" s="48">
        <f t="shared" ref="T42:AF42" si="34">T41/T40</f>
        <v>1.4358974358974359</v>
      </c>
      <c r="U42" s="48">
        <f t="shared" si="34"/>
        <v>1.4887892376681615</v>
      </c>
      <c r="V42" s="48">
        <f t="shared" si="34"/>
        <v>1.1666666666666667</v>
      </c>
      <c r="W42" s="48">
        <f t="shared" si="34"/>
        <v>1</v>
      </c>
      <c r="X42" s="48">
        <f t="shared" si="34"/>
        <v>1</v>
      </c>
      <c r="Y42" s="48">
        <f t="shared" si="34"/>
        <v>1.952054794520548</v>
      </c>
      <c r="Z42" s="48">
        <f t="shared" si="34"/>
        <v>1.25</v>
      </c>
      <c r="AA42" s="48">
        <f t="shared" si="34"/>
        <v>1</v>
      </c>
      <c r="AB42" s="48" t="e">
        <f t="shared" si="34"/>
        <v>#DIV/0!</v>
      </c>
      <c r="AC42" s="48">
        <f t="shared" si="34"/>
        <v>1.1899482631189948</v>
      </c>
      <c r="AD42" s="48">
        <f t="shared" si="34"/>
        <v>1</v>
      </c>
      <c r="AE42" s="48">
        <f t="shared" si="34"/>
        <v>1.4438573315719947</v>
      </c>
      <c r="AF42" s="48">
        <f t="shared" si="34"/>
        <v>1.2810426540284361</v>
      </c>
    </row>
    <row r="43" spans="2:32" ht="23.1" customHeight="1" x14ac:dyDescent="0.25">
      <c r="B43" s="45" t="s">
        <v>70</v>
      </c>
      <c r="C43" s="50">
        <v>2</v>
      </c>
      <c r="D43" s="50">
        <v>0</v>
      </c>
      <c r="E43" s="50">
        <v>2</v>
      </c>
      <c r="F43" s="50">
        <v>3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11</v>
      </c>
      <c r="P43" s="15">
        <f t="shared" si="1"/>
        <v>38</v>
      </c>
    </row>
    <row r="44" spans="2:32" ht="23.1" customHeight="1" x14ac:dyDescent="0.25">
      <c r="B44" s="47" t="s">
        <v>71</v>
      </c>
      <c r="C44" s="50">
        <v>5</v>
      </c>
      <c r="D44" s="50">
        <v>1</v>
      </c>
      <c r="E44" s="50">
        <v>4</v>
      </c>
      <c r="F44" s="50">
        <v>8</v>
      </c>
      <c r="G44" s="50">
        <v>0</v>
      </c>
      <c r="H44" s="50">
        <v>0</v>
      </c>
      <c r="I44" s="50">
        <v>7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25</v>
      </c>
      <c r="P44" s="15">
        <f t="shared" si="1"/>
        <v>57</v>
      </c>
    </row>
    <row r="45" spans="2:32" ht="23.1" customHeight="1" x14ac:dyDescent="0.25">
      <c r="B45" s="45" t="s">
        <v>72</v>
      </c>
      <c r="C45" s="50">
        <v>4</v>
      </c>
      <c r="D45" s="50">
        <v>1</v>
      </c>
      <c r="E45" s="50">
        <v>6</v>
      </c>
      <c r="F45" s="50">
        <v>8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27</v>
      </c>
      <c r="N45" s="50">
        <v>0</v>
      </c>
      <c r="O45" s="15">
        <f t="shared" si="0"/>
        <v>25</v>
      </c>
      <c r="P45" s="15">
        <f t="shared" si="1"/>
        <v>52</v>
      </c>
    </row>
    <row r="46" spans="2:32" ht="23.1" customHeight="1" x14ac:dyDescent="0.25">
      <c r="B46" s="46" t="s">
        <v>73</v>
      </c>
      <c r="C46" s="50">
        <v>2</v>
      </c>
      <c r="D46" s="50">
        <v>1</v>
      </c>
      <c r="E46" s="50">
        <v>4</v>
      </c>
      <c r="F46" s="50">
        <v>9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21</v>
      </c>
      <c r="P46" s="15">
        <f t="shared" si="1"/>
        <v>48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1</v>
      </c>
      <c r="E47" s="50">
        <v>5</v>
      </c>
      <c r="F47" s="50">
        <v>2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33</v>
      </c>
      <c r="N47" s="50">
        <v>0</v>
      </c>
      <c r="O47" s="15">
        <f t="shared" si="0"/>
        <v>13</v>
      </c>
      <c r="P47" s="15">
        <f t="shared" si="1"/>
        <v>46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v>2</v>
      </c>
      <c r="E48" s="50">
        <v>7</v>
      </c>
      <c r="F48" s="50">
        <v>4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28</v>
      </c>
      <c r="N48" s="50">
        <v>0</v>
      </c>
      <c r="O48" s="15">
        <f t="shared" si="0"/>
        <v>20</v>
      </c>
      <c r="P48" s="15">
        <f t="shared" si="1"/>
        <v>48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2</v>
      </c>
      <c r="E49" s="50">
        <v>7</v>
      </c>
      <c r="F49" s="50">
        <v>7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45</v>
      </c>
      <c r="N49" s="50">
        <v>0</v>
      </c>
      <c r="O49" s="15">
        <f t="shared" si="0"/>
        <v>21</v>
      </c>
      <c r="P49" s="15">
        <f t="shared" si="1"/>
        <v>66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2</v>
      </c>
      <c r="F50" s="50">
        <v>7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15</v>
      </c>
      <c r="P50" s="15">
        <f t="shared" si="1"/>
        <v>39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2</v>
      </c>
      <c r="E51" s="50">
        <v>7</v>
      </c>
      <c r="F51" s="50">
        <v>3</v>
      </c>
      <c r="G51" s="50">
        <v>0</v>
      </c>
      <c r="H51" s="50">
        <v>0</v>
      </c>
      <c r="I51" s="50">
        <v>4</v>
      </c>
      <c r="J51" s="50">
        <v>0</v>
      </c>
      <c r="K51" s="50">
        <v>0</v>
      </c>
      <c r="L51" s="50">
        <v>0</v>
      </c>
      <c r="M51" s="50">
        <v>26</v>
      </c>
      <c r="N51" s="50">
        <v>0</v>
      </c>
      <c r="O51" s="15">
        <f t="shared" si="0"/>
        <v>21</v>
      </c>
      <c r="P51" s="15">
        <f t="shared" si="1"/>
        <v>47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v>3</v>
      </c>
      <c r="E52" s="50">
        <v>11</v>
      </c>
      <c r="F52" s="50">
        <v>2</v>
      </c>
      <c r="G52" s="50">
        <v>0</v>
      </c>
      <c r="H52" s="50">
        <v>1</v>
      </c>
      <c r="I52" s="50">
        <v>3</v>
      </c>
      <c r="J52" s="50">
        <v>0</v>
      </c>
      <c r="K52" s="50">
        <v>0</v>
      </c>
      <c r="L52" s="50">
        <v>0</v>
      </c>
      <c r="M52" s="50">
        <v>32</v>
      </c>
      <c r="N52" s="50">
        <v>0</v>
      </c>
      <c r="O52" s="15">
        <f t="shared" si="0"/>
        <v>22</v>
      </c>
      <c r="P52" s="15">
        <f t="shared" si="1"/>
        <v>54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2</v>
      </c>
      <c r="E53" s="50">
        <v>8</v>
      </c>
      <c r="F53" s="50">
        <v>4</v>
      </c>
      <c r="G53" s="50">
        <v>9</v>
      </c>
      <c r="H53" s="50">
        <v>0</v>
      </c>
      <c r="I53" s="50">
        <v>6</v>
      </c>
      <c r="J53" s="50">
        <v>1</v>
      </c>
      <c r="K53" s="50">
        <v>0</v>
      </c>
      <c r="L53" s="50">
        <v>0</v>
      </c>
      <c r="M53" s="50">
        <v>32</v>
      </c>
      <c r="N53" s="50">
        <v>0</v>
      </c>
      <c r="O53" s="15">
        <f t="shared" si="0"/>
        <v>31</v>
      </c>
      <c r="P53" s="15">
        <f t="shared" si="1"/>
        <v>63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1</v>
      </c>
      <c r="E54" s="50">
        <v>5</v>
      </c>
      <c r="F54" s="50">
        <v>4</v>
      </c>
      <c r="G54" s="50">
        <v>1</v>
      </c>
      <c r="H54" s="50">
        <v>0</v>
      </c>
      <c r="I54" s="50">
        <v>7</v>
      </c>
      <c r="J54" s="50">
        <v>1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24</v>
      </c>
      <c r="P54" s="15">
        <f t="shared" si="1"/>
        <v>46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1</v>
      </c>
      <c r="E55" s="50">
        <v>5</v>
      </c>
      <c r="F55" s="50">
        <v>9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24</v>
      </c>
      <c r="N55" s="50">
        <v>0</v>
      </c>
      <c r="O55" s="15">
        <f t="shared" si="0"/>
        <v>23</v>
      </c>
      <c r="P55" s="15">
        <f t="shared" si="1"/>
        <v>47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1</v>
      </c>
      <c r="E56" s="50">
        <v>6</v>
      </c>
      <c r="F56" s="50">
        <v>5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29</v>
      </c>
      <c r="N56" s="50">
        <v>0</v>
      </c>
      <c r="O56" s="15">
        <f t="shared" si="0"/>
        <v>18</v>
      </c>
      <c r="P56" s="15">
        <f t="shared" si="1"/>
        <v>47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1</v>
      </c>
      <c r="E57" s="50">
        <v>6</v>
      </c>
      <c r="F57" s="50">
        <v>3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17</v>
      </c>
      <c r="P57" s="15">
        <f t="shared" si="1"/>
        <v>37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2</v>
      </c>
      <c r="E58" s="50">
        <v>7</v>
      </c>
      <c r="F58" s="50">
        <v>5</v>
      </c>
      <c r="G58" s="50">
        <v>0</v>
      </c>
      <c r="H58" s="50">
        <v>0</v>
      </c>
      <c r="I58" s="50">
        <v>5</v>
      </c>
      <c r="J58" s="50">
        <v>0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21</v>
      </c>
      <c r="P58" s="15">
        <f t="shared" si="1"/>
        <v>40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3</v>
      </c>
      <c r="E59" s="50">
        <v>10</v>
      </c>
      <c r="F59" s="50">
        <v>0</v>
      </c>
      <c r="G59" s="50">
        <v>0</v>
      </c>
      <c r="H59" s="50">
        <v>0</v>
      </c>
      <c r="I59" s="50">
        <v>6</v>
      </c>
      <c r="J59" s="50">
        <v>0</v>
      </c>
      <c r="K59" s="50">
        <v>0</v>
      </c>
      <c r="L59" s="50">
        <v>0</v>
      </c>
      <c r="M59" s="50">
        <v>28</v>
      </c>
      <c r="N59" s="50">
        <v>0</v>
      </c>
      <c r="O59" s="15">
        <f t="shared" si="0"/>
        <v>22</v>
      </c>
      <c r="P59" s="15">
        <f t="shared" si="1"/>
        <v>50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1</v>
      </c>
      <c r="E60" s="50">
        <v>6</v>
      </c>
      <c r="F60" s="50">
        <v>1</v>
      </c>
      <c r="G60" s="50">
        <v>0</v>
      </c>
      <c r="H60" s="50">
        <v>0</v>
      </c>
      <c r="I60" s="50">
        <v>6</v>
      </c>
      <c r="J60" s="50">
        <v>1</v>
      </c>
      <c r="K60" s="50">
        <v>0</v>
      </c>
      <c r="L60" s="50">
        <v>0</v>
      </c>
      <c r="M60" s="50">
        <v>24</v>
      </c>
      <c r="N60" s="50">
        <v>0</v>
      </c>
      <c r="O60" s="15">
        <f t="shared" si="0"/>
        <v>16</v>
      </c>
      <c r="P60" s="15">
        <f t="shared" si="1"/>
        <v>40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2</v>
      </c>
      <c r="E61" s="50">
        <v>9</v>
      </c>
      <c r="F61" s="50">
        <v>5</v>
      </c>
      <c r="G61" s="50">
        <v>0</v>
      </c>
      <c r="H61" s="50">
        <v>0</v>
      </c>
      <c r="I61" s="50">
        <v>4</v>
      </c>
      <c r="J61" s="50">
        <v>0</v>
      </c>
      <c r="K61" s="50">
        <v>0</v>
      </c>
      <c r="L61" s="50">
        <v>0</v>
      </c>
      <c r="M61" s="50">
        <v>19</v>
      </c>
      <c r="N61" s="50">
        <v>0</v>
      </c>
      <c r="O61" s="15">
        <f t="shared" si="0"/>
        <v>24</v>
      </c>
      <c r="P61" s="15">
        <f t="shared" si="1"/>
        <v>43</v>
      </c>
      <c r="R61" s="8"/>
      <c r="T61"/>
    </row>
    <row r="62" spans="2:20" ht="23.1" customHeight="1" x14ac:dyDescent="0.25">
      <c r="B62" s="45" t="s">
        <v>107</v>
      </c>
      <c r="C62" s="50">
        <v>4</v>
      </c>
      <c r="D62" s="50">
        <v>3</v>
      </c>
      <c r="E62" s="50">
        <v>10</v>
      </c>
      <c r="F62" s="50">
        <v>4</v>
      </c>
      <c r="G62" s="50">
        <v>0</v>
      </c>
      <c r="H62" s="50">
        <v>0</v>
      </c>
      <c r="I62" s="50">
        <v>12</v>
      </c>
      <c r="J62" s="50">
        <v>0</v>
      </c>
      <c r="K62" s="50">
        <v>0</v>
      </c>
      <c r="L62" s="50">
        <v>0</v>
      </c>
      <c r="M62" s="50">
        <v>19</v>
      </c>
      <c r="N62" s="50">
        <v>0</v>
      </c>
      <c r="O62" s="15">
        <f t="shared" si="0"/>
        <v>33</v>
      </c>
      <c r="P62" s="15">
        <f t="shared" si="1"/>
        <v>52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2</v>
      </c>
      <c r="E63" s="50">
        <v>8</v>
      </c>
      <c r="F63" s="50">
        <v>4</v>
      </c>
      <c r="G63" s="50">
        <v>0</v>
      </c>
      <c r="H63" s="50">
        <v>0</v>
      </c>
      <c r="I63" s="50">
        <v>7</v>
      </c>
      <c r="J63" s="50">
        <v>0</v>
      </c>
      <c r="K63" s="50">
        <v>0</v>
      </c>
      <c r="L63" s="50">
        <v>0</v>
      </c>
      <c r="M63" s="50">
        <v>10</v>
      </c>
      <c r="N63" s="50">
        <v>0</v>
      </c>
      <c r="O63" s="15">
        <f t="shared" si="0"/>
        <v>21</v>
      </c>
      <c r="P63" s="15">
        <f t="shared" si="1"/>
        <v>31</v>
      </c>
      <c r="R63" s="8"/>
      <c r="T63"/>
    </row>
    <row r="64" spans="2:20" ht="23.1" customHeight="1" x14ac:dyDescent="0.25">
      <c r="B64" s="45" t="s">
        <v>109</v>
      </c>
      <c r="C64" s="50">
        <v>7</v>
      </c>
      <c r="D64" s="50">
        <v>2</v>
      </c>
      <c r="E64" s="50">
        <v>7</v>
      </c>
      <c r="F64" s="50">
        <v>0</v>
      </c>
      <c r="G64" s="50">
        <v>0</v>
      </c>
      <c r="H64" s="50">
        <v>0</v>
      </c>
      <c r="I64" s="50">
        <v>17</v>
      </c>
      <c r="J64" s="50">
        <v>0</v>
      </c>
      <c r="K64" s="50">
        <v>0</v>
      </c>
      <c r="L64" s="50">
        <v>0</v>
      </c>
      <c r="M64" s="50">
        <v>20</v>
      </c>
      <c r="N64" s="50">
        <v>0</v>
      </c>
      <c r="O64" s="15">
        <f t="shared" si="0"/>
        <v>33</v>
      </c>
      <c r="P64" s="15">
        <f t="shared" si="1"/>
        <v>53</v>
      </c>
      <c r="R64" s="8"/>
      <c r="T64"/>
    </row>
    <row r="65" spans="2:20" ht="23.1" customHeight="1" x14ac:dyDescent="0.25">
      <c r="B65" s="45" t="s">
        <v>158</v>
      </c>
      <c r="C65" s="50">
        <v>2</v>
      </c>
      <c r="D65" s="50">
        <v>1</v>
      </c>
      <c r="E65" s="50">
        <v>4</v>
      </c>
      <c r="F65" s="50">
        <v>1</v>
      </c>
      <c r="G65" s="50">
        <v>0</v>
      </c>
      <c r="H65" s="50">
        <v>0</v>
      </c>
      <c r="I65" s="50">
        <v>9</v>
      </c>
      <c r="J65" s="50">
        <v>0</v>
      </c>
      <c r="K65" s="50">
        <v>0</v>
      </c>
      <c r="L65" s="50">
        <v>0</v>
      </c>
      <c r="M65" s="50">
        <v>14</v>
      </c>
      <c r="N65" s="50">
        <v>0</v>
      </c>
      <c r="O65" s="15">
        <f t="shared" si="0"/>
        <v>17</v>
      </c>
      <c r="P65" s="15">
        <f t="shared" si="1"/>
        <v>31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5</v>
      </c>
      <c r="N66" s="50">
        <v>0</v>
      </c>
      <c r="O66" s="15">
        <f t="shared" si="0"/>
        <v>1</v>
      </c>
      <c r="P66" s="15">
        <f t="shared" si="1"/>
        <v>6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2</v>
      </c>
      <c r="F67" s="50">
        <v>0</v>
      </c>
      <c r="G67" s="50">
        <v>0</v>
      </c>
      <c r="H67" s="50">
        <v>0</v>
      </c>
      <c r="I67" s="50">
        <v>5</v>
      </c>
      <c r="J67" s="50">
        <v>0</v>
      </c>
      <c r="K67" s="50">
        <v>0</v>
      </c>
      <c r="L67" s="50">
        <v>0</v>
      </c>
      <c r="M67" s="50">
        <v>6</v>
      </c>
      <c r="N67" s="50">
        <v>0</v>
      </c>
      <c r="O67" s="15">
        <f t="shared" si="0"/>
        <v>8</v>
      </c>
      <c r="P67" s="15">
        <f t="shared" si="1"/>
        <v>14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3</v>
      </c>
      <c r="F68" s="50">
        <v>0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5</v>
      </c>
      <c r="N68" s="50">
        <v>0</v>
      </c>
      <c r="O68" s="15">
        <f t="shared" si="0"/>
        <v>11</v>
      </c>
      <c r="P68" s="15">
        <f t="shared" si="1"/>
        <v>16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1</v>
      </c>
      <c r="F69" s="50">
        <v>0</v>
      </c>
      <c r="G69" s="50">
        <v>0</v>
      </c>
      <c r="H69" s="50">
        <v>0</v>
      </c>
      <c r="I69" s="50">
        <v>5</v>
      </c>
      <c r="J69" s="50">
        <v>0</v>
      </c>
      <c r="K69" s="50">
        <v>0</v>
      </c>
      <c r="L69" s="50">
        <v>0</v>
      </c>
      <c r="M69" s="50">
        <v>8</v>
      </c>
      <c r="N69" s="50">
        <v>0</v>
      </c>
      <c r="O69" s="15">
        <f t="shared" si="0"/>
        <v>7</v>
      </c>
      <c r="P69" s="15">
        <f t="shared" si="1"/>
        <v>15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2</v>
      </c>
      <c r="F70" s="50">
        <v>0</v>
      </c>
      <c r="G70" s="50">
        <v>0</v>
      </c>
      <c r="H70" s="50">
        <v>0</v>
      </c>
      <c r="I70" s="50">
        <v>5</v>
      </c>
      <c r="J70" s="50">
        <v>0</v>
      </c>
      <c r="K70" s="50">
        <v>0</v>
      </c>
      <c r="L70" s="50">
        <v>0</v>
      </c>
      <c r="M70" s="50">
        <v>6</v>
      </c>
      <c r="N70" s="50">
        <v>0</v>
      </c>
      <c r="O70" s="15">
        <f t="shared" si="0"/>
        <v>7</v>
      </c>
      <c r="P70" s="15">
        <f t="shared" si="1"/>
        <v>13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5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8</v>
      </c>
      <c r="P71" s="15">
        <f t="shared" si="1"/>
        <v>10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4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5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2</v>
      </c>
      <c r="J73" s="50">
        <v>0</v>
      </c>
      <c r="K73" s="50">
        <v>0</v>
      </c>
      <c r="L73" s="50">
        <v>0</v>
      </c>
      <c r="M73" s="50">
        <v>4</v>
      </c>
      <c r="N73" s="50">
        <v>0</v>
      </c>
      <c r="O73" s="15">
        <f t="shared" si="0"/>
        <v>3</v>
      </c>
      <c r="P73" s="15">
        <f t="shared" si="1"/>
        <v>7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5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5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4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6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3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</v>
      </c>
      <c r="N78" s="50">
        <v>0</v>
      </c>
      <c r="O78" s="15">
        <f t="shared" si="35"/>
        <v>2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1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4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5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2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3</v>
      </c>
      <c r="F85" s="50">
        <v>0</v>
      </c>
      <c r="G85" s="50">
        <v>0</v>
      </c>
      <c r="H85" s="50">
        <v>0</v>
      </c>
      <c r="I85" s="50">
        <v>3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6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3</v>
      </c>
      <c r="P86" s="15">
        <f t="shared" si="36"/>
        <v>5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2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2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2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3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1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2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3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2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5</v>
      </c>
      <c r="P97" s="15">
        <f t="shared" si="36"/>
        <v>8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1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3</v>
      </c>
      <c r="F99" s="50">
        <v>0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5</v>
      </c>
      <c r="P99" s="15">
        <f t="shared" si="36"/>
        <v>6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1</v>
      </c>
      <c r="P100" s="15">
        <f t="shared" si="36"/>
        <v>4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1</v>
      </c>
      <c r="F101" s="50">
        <v>0</v>
      </c>
      <c r="G101" s="50">
        <v>0</v>
      </c>
      <c r="H101" s="50">
        <v>0</v>
      </c>
      <c r="I101" s="50">
        <v>3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4</v>
      </c>
      <c r="P101" s="15">
        <f t="shared" si="36"/>
        <v>8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3</v>
      </c>
      <c r="F102" s="50">
        <v>0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5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1</v>
      </c>
      <c r="F103" s="50">
        <v>0</v>
      </c>
      <c r="G103" s="50">
        <v>0</v>
      </c>
      <c r="H103" s="50">
        <v>0</v>
      </c>
      <c r="I103" s="50">
        <v>5</v>
      </c>
      <c r="J103" s="50">
        <v>0</v>
      </c>
      <c r="K103" s="50">
        <v>0</v>
      </c>
      <c r="L103" s="50">
        <v>0</v>
      </c>
      <c r="M103" s="50">
        <v>8</v>
      </c>
      <c r="N103" s="50">
        <v>0</v>
      </c>
      <c r="O103" s="15">
        <f t="shared" si="35"/>
        <v>6</v>
      </c>
      <c r="P103" s="15">
        <f t="shared" si="36"/>
        <v>14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1</v>
      </c>
      <c r="E104" s="50">
        <v>4</v>
      </c>
      <c r="F104" s="50">
        <v>5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8</v>
      </c>
      <c r="N104" s="50">
        <v>0</v>
      </c>
      <c r="O104" s="15">
        <f t="shared" si="35"/>
        <v>10</v>
      </c>
      <c r="P104" s="15">
        <f t="shared" si="36"/>
        <v>18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7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14</v>
      </c>
      <c r="N105" s="50">
        <v>0</v>
      </c>
      <c r="O105" s="15">
        <f t="shared" si="35"/>
        <v>8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177</v>
      </c>
      <c r="D106" s="16">
        <f t="shared" ref="D106:P106" si="37">SUM(D10:D105)</f>
        <v>56</v>
      </c>
      <c r="E106" s="16">
        <f t="shared" si="37"/>
        <v>332</v>
      </c>
      <c r="F106" s="16">
        <f t="shared" si="37"/>
        <v>224</v>
      </c>
      <c r="G106" s="16">
        <f t="shared" si="37"/>
        <v>10</v>
      </c>
      <c r="H106" s="16">
        <f t="shared" si="37"/>
        <v>2</v>
      </c>
      <c r="I106" s="16">
        <f t="shared" si="37"/>
        <v>285</v>
      </c>
      <c r="J106" s="16">
        <f t="shared" si="37"/>
        <v>5</v>
      </c>
      <c r="K106" s="16">
        <f t="shared" si="37"/>
        <v>1</v>
      </c>
      <c r="L106" s="16">
        <f t="shared" si="37"/>
        <v>0</v>
      </c>
      <c r="M106" s="16">
        <f t="shared" si="37"/>
        <v>1610</v>
      </c>
      <c r="N106" s="16">
        <f t="shared" si="37"/>
        <v>1</v>
      </c>
      <c r="O106" s="16">
        <f t="shared" si="37"/>
        <v>1093</v>
      </c>
      <c r="P106" s="16">
        <f t="shared" si="37"/>
        <v>2703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6.5482796892341849E-2</v>
      </c>
      <c r="D107" s="43">
        <f t="shared" si="38"/>
        <v>2.0717721050684423E-2</v>
      </c>
      <c r="E107" s="43">
        <f t="shared" si="38"/>
        <v>0.12282648908620052</v>
      </c>
      <c r="F107" s="43">
        <f t="shared" si="38"/>
        <v>8.2870884202737694E-2</v>
      </c>
      <c r="G107" s="43">
        <f t="shared" si="38"/>
        <v>3.6995930447650759E-3</v>
      </c>
      <c r="H107" s="43">
        <f t="shared" si="38"/>
        <v>7.3991860895301518E-4</v>
      </c>
      <c r="I107" s="43">
        <f t="shared" si="38"/>
        <v>0.10543840177580466</v>
      </c>
      <c r="J107" s="43">
        <f t="shared" si="38"/>
        <v>1.849796522382538E-3</v>
      </c>
      <c r="K107" s="43">
        <f t="shared" si="38"/>
        <v>3.6995930447650759E-4</v>
      </c>
      <c r="L107" s="43">
        <f t="shared" si="38"/>
        <v>0</v>
      </c>
      <c r="M107" s="43">
        <f t="shared" si="38"/>
        <v>0.59563448020717724</v>
      </c>
      <c r="N107" s="43">
        <f t="shared" si="38"/>
        <v>3.6995930447650759E-4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0.16193961573650503</v>
      </c>
      <c r="D108" s="44">
        <f t="shared" ref="D108:N108" si="39">D106/$O$106</f>
        <v>5.123513266239707E-2</v>
      </c>
      <c r="E108" s="44">
        <f t="shared" si="39"/>
        <v>0.30375114364135408</v>
      </c>
      <c r="F108" s="44">
        <f t="shared" si="39"/>
        <v>0.20494053064958828</v>
      </c>
      <c r="G108" s="44">
        <f t="shared" si="39"/>
        <v>9.1491308325709064E-3</v>
      </c>
      <c r="H108" s="44">
        <f t="shared" si="39"/>
        <v>1.8298261665141812E-3</v>
      </c>
      <c r="I108" s="44">
        <f t="shared" si="39"/>
        <v>0.26075022872827081</v>
      </c>
      <c r="J108" s="44">
        <f t="shared" si="39"/>
        <v>4.5745654162854532E-3</v>
      </c>
      <c r="K108" s="44">
        <f t="shared" si="39"/>
        <v>9.1491308325709062E-4</v>
      </c>
      <c r="L108" s="44">
        <f t="shared" si="39"/>
        <v>0</v>
      </c>
      <c r="M108" s="44"/>
      <c r="N108" s="44">
        <f t="shared" si="39"/>
        <v>9.1491308325709062E-4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37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'22.08 Sironko-Mbale-24h'!D5</f>
        <v>22.08.19</v>
      </c>
      <c r="E5" s="3"/>
      <c r="F5" s="41" t="s">
        <v>1</v>
      </c>
      <c r="G5" s="66" t="str">
        <f>'22.08 Sironko-Mbale-24h'!G5:H5</f>
        <v>xxx</v>
      </c>
      <c r="H5" s="67"/>
      <c r="I5" s="14"/>
      <c r="J5" s="2" t="s">
        <v>5</v>
      </c>
      <c r="K5" s="66" t="str">
        <f>'22.08 Sironko-Mbale-24h'!K5:L5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'19.08 Mbale-Sironko'!G6:H6</f>
        <v>Sironko</v>
      </c>
      <c r="H6" s="67"/>
      <c r="J6" s="2" t="s">
        <v>21</v>
      </c>
      <c r="K6" s="66" t="str">
        <f>'22.08 Sironko-Mbale-24h'!K6:L6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f>ROUNDDOWN((0.3*E10),0)</f>
        <v>1</v>
      </c>
      <c r="E10" s="50">
        <v>4</v>
      </c>
      <c r="F10" s="50">
        <v>3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f>SUM('[1]RD4 MCC'!R390:U390)</f>
        <v>0</v>
      </c>
      <c r="M10" s="50">
        <v>11</v>
      </c>
      <c r="N10" s="50">
        <v>0</v>
      </c>
      <c r="O10" s="15">
        <f t="shared" ref="O10:O73" si="0">SUM(C10:L10,N10)</f>
        <v>12</v>
      </c>
      <c r="P10" s="15">
        <f t="shared" ref="P10:P73" si="1">SUM(C10:N10)</f>
        <v>23</v>
      </c>
      <c r="R10" s="1" t="s">
        <v>6</v>
      </c>
      <c r="S10" s="17">
        <f t="shared" ref="S10:AF10" si="2">SUM(C10:C13)</f>
        <v>7</v>
      </c>
      <c r="T10" s="17">
        <f t="shared" si="2"/>
        <v>5</v>
      </c>
      <c r="U10" s="17">
        <f t="shared" si="2"/>
        <v>21</v>
      </c>
      <c r="V10" s="17">
        <f t="shared" si="2"/>
        <v>12</v>
      </c>
      <c r="W10" s="17">
        <f t="shared" si="2"/>
        <v>0</v>
      </c>
      <c r="X10" s="17">
        <f t="shared" si="2"/>
        <v>0</v>
      </c>
      <c r="Y10" s="17">
        <f t="shared" si="2"/>
        <v>12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57</v>
      </c>
      <c r="AF10" s="31">
        <f t="shared" si="2"/>
        <v>131</v>
      </c>
    </row>
    <row r="11" spans="2:32" s="6" customFormat="1" ht="23.1" customHeight="1" x14ac:dyDescent="0.25">
      <c r="B11" s="45" t="s">
        <v>38</v>
      </c>
      <c r="C11" s="50">
        <v>0</v>
      </c>
      <c r="D11" s="50">
        <f t="shared" ref="D11:D74" si="3">ROUNDDOWN((0.3*E11),0)</f>
        <v>1</v>
      </c>
      <c r="E11" s="50">
        <v>5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f>SUM('[1]RD4 MCC'!R391:U391)</f>
        <v>0</v>
      </c>
      <c r="M11" s="50">
        <v>17</v>
      </c>
      <c r="N11" s="50">
        <v>0</v>
      </c>
      <c r="O11" s="15">
        <f t="shared" si="0"/>
        <v>10</v>
      </c>
      <c r="P11" s="15">
        <f t="shared" si="1"/>
        <v>27</v>
      </c>
      <c r="R11" s="1" t="s">
        <v>7</v>
      </c>
      <c r="S11" s="17">
        <f t="shared" ref="S11:AF11" si="4">SUM(C14:C17)</f>
        <v>11</v>
      </c>
      <c r="T11" s="17">
        <f t="shared" si="4"/>
        <v>8</v>
      </c>
      <c r="U11" s="17">
        <f t="shared" si="4"/>
        <v>29</v>
      </c>
      <c r="V11" s="17">
        <f t="shared" si="4"/>
        <v>17</v>
      </c>
      <c r="W11" s="17">
        <f t="shared" si="4"/>
        <v>2</v>
      </c>
      <c r="X11" s="17">
        <f t="shared" si="4"/>
        <v>0</v>
      </c>
      <c r="Y11" s="17">
        <f t="shared" si="4"/>
        <v>16</v>
      </c>
      <c r="Z11" s="17">
        <f t="shared" si="4"/>
        <v>0</v>
      </c>
      <c r="AA11" s="17">
        <f t="shared" si="4"/>
        <v>0</v>
      </c>
      <c r="AB11" s="17">
        <f t="shared" si="4"/>
        <v>0</v>
      </c>
      <c r="AC11" s="17">
        <f t="shared" si="4"/>
        <v>100</v>
      </c>
      <c r="AD11" s="17">
        <f t="shared" si="4"/>
        <v>0</v>
      </c>
      <c r="AE11" s="31">
        <f t="shared" si="4"/>
        <v>83</v>
      </c>
      <c r="AF11" s="31">
        <f t="shared" si="4"/>
        <v>183</v>
      </c>
    </row>
    <row r="12" spans="2:32" ht="23.1" customHeight="1" x14ac:dyDescent="0.25">
      <c r="B12" s="45" t="s">
        <v>39</v>
      </c>
      <c r="C12" s="50">
        <v>6</v>
      </c>
      <c r="D12" s="50">
        <f t="shared" si="3"/>
        <v>1</v>
      </c>
      <c r="E12" s="50">
        <v>5</v>
      </c>
      <c r="F12" s="50">
        <v>2</v>
      </c>
      <c r="G12" s="50">
        <v>0</v>
      </c>
      <c r="H12" s="50">
        <v>0</v>
      </c>
      <c r="I12" s="50">
        <v>4</v>
      </c>
      <c r="J12" s="50">
        <v>0</v>
      </c>
      <c r="K12" s="50">
        <v>0</v>
      </c>
      <c r="L12" s="50">
        <f>SUM('[1]RD4 MCC'!R392:U392)</f>
        <v>0</v>
      </c>
      <c r="M12" s="50">
        <v>14</v>
      </c>
      <c r="N12" s="50">
        <v>0</v>
      </c>
      <c r="O12" s="15">
        <f t="shared" si="0"/>
        <v>18</v>
      </c>
      <c r="P12" s="15">
        <f t="shared" si="1"/>
        <v>32</v>
      </c>
      <c r="R12" s="1" t="s">
        <v>8</v>
      </c>
      <c r="S12" s="17">
        <f t="shared" ref="S12:AF12" si="5">SUM(C18:C21)</f>
        <v>11</v>
      </c>
      <c r="T12" s="17">
        <f t="shared" si="5"/>
        <v>7</v>
      </c>
      <c r="U12" s="17">
        <f t="shared" si="5"/>
        <v>34</v>
      </c>
      <c r="V12" s="17">
        <f t="shared" si="5"/>
        <v>17</v>
      </c>
      <c r="W12" s="17">
        <f t="shared" si="5"/>
        <v>8</v>
      </c>
      <c r="X12" s="17">
        <f t="shared" si="5"/>
        <v>1</v>
      </c>
      <c r="Y12" s="17">
        <f t="shared" si="5"/>
        <v>16</v>
      </c>
      <c r="Z12" s="17">
        <f t="shared" si="5"/>
        <v>0</v>
      </c>
      <c r="AA12" s="17">
        <f t="shared" si="5"/>
        <v>0</v>
      </c>
      <c r="AB12" s="17">
        <f t="shared" si="5"/>
        <v>0</v>
      </c>
      <c r="AC12" s="17">
        <f t="shared" si="5"/>
        <v>114</v>
      </c>
      <c r="AD12" s="17">
        <f t="shared" si="5"/>
        <v>0</v>
      </c>
      <c r="AE12" s="31">
        <f t="shared" si="5"/>
        <v>94</v>
      </c>
      <c r="AF12" s="31">
        <f t="shared" si="5"/>
        <v>208</v>
      </c>
    </row>
    <row r="13" spans="2:32" ht="23.1" customHeight="1" x14ac:dyDescent="0.25">
      <c r="B13" s="45" t="s">
        <v>40</v>
      </c>
      <c r="C13" s="50">
        <v>0</v>
      </c>
      <c r="D13" s="50">
        <f t="shared" si="3"/>
        <v>2</v>
      </c>
      <c r="E13" s="50">
        <v>7</v>
      </c>
      <c r="F13" s="50">
        <v>4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f>SUM('[1]RD4 MCC'!R393:U393)</f>
        <v>0</v>
      </c>
      <c r="M13" s="50">
        <v>32</v>
      </c>
      <c r="N13" s="50">
        <v>0</v>
      </c>
      <c r="O13" s="15">
        <f t="shared" si="0"/>
        <v>17</v>
      </c>
      <c r="P13" s="15">
        <f t="shared" si="1"/>
        <v>49</v>
      </c>
      <c r="R13" s="1" t="s">
        <v>9</v>
      </c>
      <c r="S13" s="17">
        <f t="shared" ref="S13:AF13" si="6">SUM(C22:C25)</f>
        <v>15</v>
      </c>
      <c r="T13" s="17">
        <f t="shared" si="6"/>
        <v>4</v>
      </c>
      <c r="U13" s="17">
        <f t="shared" si="6"/>
        <v>18</v>
      </c>
      <c r="V13" s="17">
        <f t="shared" si="6"/>
        <v>15</v>
      </c>
      <c r="W13" s="17">
        <f t="shared" si="6"/>
        <v>0</v>
      </c>
      <c r="X13" s="17">
        <f t="shared" si="6"/>
        <v>0</v>
      </c>
      <c r="Y13" s="17">
        <f t="shared" si="6"/>
        <v>20</v>
      </c>
      <c r="Z13" s="17">
        <f t="shared" si="6"/>
        <v>0</v>
      </c>
      <c r="AA13" s="17">
        <f t="shared" si="6"/>
        <v>0</v>
      </c>
      <c r="AB13" s="17">
        <f t="shared" si="6"/>
        <v>0</v>
      </c>
      <c r="AC13" s="17">
        <f t="shared" si="6"/>
        <v>109</v>
      </c>
      <c r="AD13" s="17">
        <f t="shared" si="6"/>
        <v>0</v>
      </c>
      <c r="AE13" s="31">
        <f t="shared" si="6"/>
        <v>72</v>
      </c>
      <c r="AF13" s="31">
        <f t="shared" si="6"/>
        <v>181</v>
      </c>
    </row>
    <row r="14" spans="2:32" ht="23.1" customHeight="1" x14ac:dyDescent="0.25">
      <c r="B14" s="45" t="s">
        <v>41</v>
      </c>
      <c r="C14" s="50">
        <v>3</v>
      </c>
      <c r="D14" s="50">
        <f t="shared" si="3"/>
        <v>2</v>
      </c>
      <c r="E14" s="50">
        <v>7</v>
      </c>
      <c r="F14" s="50">
        <v>6</v>
      </c>
      <c r="G14" s="50">
        <v>1</v>
      </c>
      <c r="H14" s="50">
        <v>0</v>
      </c>
      <c r="I14" s="50">
        <v>3</v>
      </c>
      <c r="J14" s="50">
        <v>0</v>
      </c>
      <c r="K14" s="50">
        <v>0</v>
      </c>
      <c r="L14" s="50">
        <f>SUM('[1]RD4 MCC'!R394:U394)</f>
        <v>0</v>
      </c>
      <c r="M14" s="50">
        <v>18</v>
      </c>
      <c r="N14" s="50">
        <v>0</v>
      </c>
      <c r="O14" s="15">
        <f t="shared" si="0"/>
        <v>22</v>
      </c>
      <c r="P14" s="15">
        <f t="shared" si="1"/>
        <v>40</v>
      </c>
      <c r="R14" s="1" t="s">
        <v>10</v>
      </c>
      <c r="S14" s="17">
        <f t="shared" ref="S14:AF14" si="7">SUM(C26:C29)</f>
        <v>19</v>
      </c>
      <c r="T14" s="17">
        <f t="shared" si="7"/>
        <v>3</v>
      </c>
      <c r="U14" s="17">
        <f t="shared" si="7"/>
        <v>19</v>
      </c>
      <c r="V14" s="17">
        <f t="shared" si="7"/>
        <v>22</v>
      </c>
      <c r="W14" s="17">
        <f t="shared" si="7"/>
        <v>0</v>
      </c>
      <c r="X14" s="17">
        <f t="shared" si="7"/>
        <v>0</v>
      </c>
      <c r="Y14" s="17">
        <f t="shared" si="7"/>
        <v>14</v>
      </c>
      <c r="Z14" s="17">
        <f t="shared" si="7"/>
        <v>0</v>
      </c>
      <c r="AA14" s="17">
        <f t="shared" si="7"/>
        <v>1</v>
      </c>
      <c r="AB14" s="17">
        <f t="shared" si="7"/>
        <v>0</v>
      </c>
      <c r="AC14" s="17">
        <f t="shared" si="7"/>
        <v>105</v>
      </c>
      <c r="AD14" s="17">
        <f t="shared" si="7"/>
        <v>0</v>
      </c>
      <c r="AE14" s="31">
        <f t="shared" si="7"/>
        <v>78</v>
      </c>
      <c r="AF14" s="31">
        <f t="shared" si="7"/>
        <v>183</v>
      </c>
    </row>
    <row r="15" spans="2:32" ht="23.1" customHeight="1" x14ac:dyDescent="0.25">
      <c r="B15" s="45" t="s">
        <v>42</v>
      </c>
      <c r="C15" s="50">
        <v>0</v>
      </c>
      <c r="D15" s="50">
        <f t="shared" si="3"/>
        <v>1</v>
      </c>
      <c r="E15" s="50">
        <v>4</v>
      </c>
      <c r="F15" s="50">
        <v>4</v>
      </c>
      <c r="G15" s="50">
        <v>0</v>
      </c>
      <c r="H15" s="50">
        <v>0</v>
      </c>
      <c r="I15" s="50">
        <v>5</v>
      </c>
      <c r="J15" s="50">
        <v>0</v>
      </c>
      <c r="K15" s="50">
        <v>0</v>
      </c>
      <c r="L15" s="50">
        <f>SUM('[1]RD4 MCC'!R395:U395)</f>
        <v>0</v>
      </c>
      <c r="M15" s="50">
        <v>27</v>
      </c>
      <c r="N15" s="50">
        <v>0</v>
      </c>
      <c r="O15" s="15">
        <f t="shared" si="0"/>
        <v>14</v>
      </c>
      <c r="P15" s="15">
        <f t="shared" si="1"/>
        <v>41</v>
      </c>
      <c r="R15" s="1" t="s">
        <v>11</v>
      </c>
      <c r="S15" s="17">
        <f t="shared" ref="S15:AF15" si="8">SUM(C30:C33)</f>
        <v>15</v>
      </c>
      <c r="T15" s="17">
        <f t="shared" si="8"/>
        <v>4</v>
      </c>
      <c r="U15" s="17">
        <f t="shared" si="8"/>
        <v>20</v>
      </c>
      <c r="V15" s="17">
        <f t="shared" si="8"/>
        <v>15</v>
      </c>
      <c r="W15" s="17">
        <f t="shared" si="8"/>
        <v>0</v>
      </c>
      <c r="X15" s="17">
        <f t="shared" si="8"/>
        <v>0</v>
      </c>
      <c r="Y15" s="17">
        <f t="shared" si="8"/>
        <v>13</v>
      </c>
      <c r="Z15" s="17">
        <f t="shared" si="8"/>
        <v>1</v>
      </c>
      <c r="AA15" s="17">
        <f t="shared" si="8"/>
        <v>0</v>
      </c>
      <c r="AB15" s="17">
        <f t="shared" si="8"/>
        <v>0</v>
      </c>
      <c r="AC15" s="17">
        <f t="shared" si="8"/>
        <v>132</v>
      </c>
      <c r="AD15" s="17">
        <f t="shared" si="8"/>
        <v>0</v>
      </c>
      <c r="AE15" s="31">
        <f t="shared" si="8"/>
        <v>68</v>
      </c>
      <c r="AF15" s="31">
        <f t="shared" si="8"/>
        <v>200</v>
      </c>
    </row>
    <row r="16" spans="2:32" ht="23.1" customHeight="1" x14ac:dyDescent="0.25">
      <c r="B16" s="45" t="s">
        <v>43</v>
      </c>
      <c r="C16" s="50">
        <v>5</v>
      </c>
      <c r="D16" s="50">
        <f t="shared" si="3"/>
        <v>3</v>
      </c>
      <c r="E16" s="50">
        <v>10</v>
      </c>
      <c r="F16" s="50">
        <v>2</v>
      </c>
      <c r="G16" s="50">
        <v>1</v>
      </c>
      <c r="H16" s="50">
        <v>0</v>
      </c>
      <c r="I16" s="50">
        <v>3</v>
      </c>
      <c r="J16" s="50">
        <v>0</v>
      </c>
      <c r="K16" s="50">
        <v>0</v>
      </c>
      <c r="L16" s="50">
        <f>SUM('[1]RD4 MCC'!R396:U396)</f>
        <v>0</v>
      </c>
      <c r="M16" s="50">
        <v>24</v>
      </c>
      <c r="N16" s="50">
        <v>0</v>
      </c>
      <c r="O16" s="15">
        <f t="shared" si="0"/>
        <v>24</v>
      </c>
      <c r="P16" s="15">
        <f t="shared" si="1"/>
        <v>48</v>
      </c>
      <c r="R16" s="1" t="s">
        <v>12</v>
      </c>
      <c r="S16" s="17">
        <f t="shared" ref="S16:AF16" si="9">SUM(C34:C37)</f>
        <v>13</v>
      </c>
      <c r="T16" s="17">
        <f t="shared" si="9"/>
        <v>4</v>
      </c>
      <c r="U16" s="17">
        <f t="shared" si="9"/>
        <v>21</v>
      </c>
      <c r="V16" s="17">
        <f t="shared" si="9"/>
        <v>18</v>
      </c>
      <c r="W16" s="17">
        <f t="shared" si="9"/>
        <v>1</v>
      </c>
      <c r="X16" s="17">
        <f t="shared" si="9"/>
        <v>0</v>
      </c>
      <c r="Y16" s="17">
        <f t="shared" si="9"/>
        <v>13</v>
      </c>
      <c r="Z16" s="17">
        <f t="shared" si="9"/>
        <v>0</v>
      </c>
      <c r="AA16" s="17">
        <f t="shared" si="9"/>
        <v>2</v>
      </c>
      <c r="AB16" s="17">
        <f t="shared" si="9"/>
        <v>0</v>
      </c>
      <c r="AC16" s="17">
        <f t="shared" si="9"/>
        <v>98</v>
      </c>
      <c r="AD16" s="17">
        <f t="shared" si="9"/>
        <v>0</v>
      </c>
      <c r="AE16" s="31">
        <f t="shared" si="9"/>
        <v>72</v>
      </c>
      <c r="AF16" s="31">
        <f t="shared" si="9"/>
        <v>170</v>
      </c>
    </row>
    <row r="17" spans="2:32" ht="23.1" customHeight="1" x14ac:dyDescent="0.25">
      <c r="B17" s="45" t="s">
        <v>44</v>
      </c>
      <c r="C17" s="50">
        <v>3</v>
      </c>
      <c r="D17" s="50">
        <f t="shared" si="3"/>
        <v>2</v>
      </c>
      <c r="E17" s="50">
        <v>8</v>
      </c>
      <c r="F17" s="50">
        <v>5</v>
      </c>
      <c r="G17" s="50">
        <v>0</v>
      </c>
      <c r="H17" s="50">
        <v>0</v>
      </c>
      <c r="I17" s="50">
        <v>5</v>
      </c>
      <c r="J17" s="50">
        <v>0</v>
      </c>
      <c r="K17" s="50">
        <v>0</v>
      </c>
      <c r="L17" s="50">
        <f>SUM('[1]RD4 MCC'!R397:U397)</f>
        <v>0</v>
      </c>
      <c r="M17" s="50">
        <v>31</v>
      </c>
      <c r="N17" s="50">
        <v>0</v>
      </c>
      <c r="O17" s="15">
        <f t="shared" si="0"/>
        <v>23</v>
      </c>
      <c r="P17" s="15">
        <f t="shared" si="1"/>
        <v>54</v>
      </c>
      <c r="R17" s="1" t="s">
        <v>13</v>
      </c>
      <c r="S17" s="17">
        <f t="shared" ref="S17:AF17" si="10">SUM(C38:C41)</f>
        <v>4</v>
      </c>
      <c r="T17" s="17">
        <f t="shared" si="10"/>
        <v>5</v>
      </c>
      <c r="U17" s="17">
        <f t="shared" si="10"/>
        <v>21</v>
      </c>
      <c r="V17" s="17">
        <f t="shared" si="10"/>
        <v>9</v>
      </c>
      <c r="W17" s="17">
        <f t="shared" si="10"/>
        <v>1</v>
      </c>
      <c r="X17" s="17">
        <f t="shared" si="10"/>
        <v>0</v>
      </c>
      <c r="Y17" s="17">
        <f t="shared" si="10"/>
        <v>17</v>
      </c>
      <c r="Z17" s="17">
        <f t="shared" si="10"/>
        <v>2</v>
      </c>
      <c r="AA17" s="17">
        <f t="shared" si="10"/>
        <v>0</v>
      </c>
      <c r="AB17" s="17">
        <f t="shared" si="10"/>
        <v>0</v>
      </c>
      <c r="AC17" s="17">
        <f t="shared" si="10"/>
        <v>83</v>
      </c>
      <c r="AD17" s="17">
        <f t="shared" si="10"/>
        <v>0</v>
      </c>
      <c r="AE17" s="31">
        <f t="shared" si="10"/>
        <v>59</v>
      </c>
      <c r="AF17" s="31">
        <f t="shared" si="10"/>
        <v>142</v>
      </c>
    </row>
    <row r="18" spans="2:32" ht="23.1" customHeight="1" x14ac:dyDescent="0.25">
      <c r="B18" s="45" t="s">
        <v>45</v>
      </c>
      <c r="C18" s="50">
        <v>2</v>
      </c>
      <c r="D18" s="50">
        <f t="shared" si="3"/>
        <v>2</v>
      </c>
      <c r="E18" s="50">
        <v>9</v>
      </c>
      <c r="F18" s="50">
        <v>2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f>SUM('[1]RD4 MCC'!R398:U398)</f>
        <v>0</v>
      </c>
      <c r="M18" s="50">
        <v>30</v>
      </c>
      <c r="N18" s="50">
        <v>0</v>
      </c>
      <c r="O18" s="15">
        <f t="shared" si="0"/>
        <v>19</v>
      </c>
      <c r="P18" s="15">
        <f t="shared" si="1"/>
        <v>49</v>
      </c>
      <c r="R18" s="1" t="s">
        <v>14</v>
      </c>
      <c r="S18" s="17">
        <f t="shared" ref="S18:AF18" si="11">SUM(C42:C45)</f>
        <v>7</v>
      </c>
      <c r="T18" s="17">
        <f t="shared" si="11"/>
        <v>3</v>
      </c>
      <c r="U18" s="17">
        <f t="shared" si="11"/>
        <v>19</v>
      </c>
      <c r="V18" s="17">
        <f t="shared" si="11"/>
        <v>17</v>
      </c>
      <c r="W18" s="17">
        <f t="shared" si="11"/>
        <v>0</v>
      </c>
      <c r="X18" s="17">
        <f t="shared" si="11"/>
        <v>0</v>
      </c>
      <c r="Y18" s="17">
        <f t="shared" si="11"/>
        <v>13</v>
      </c>
      <c r="Z18" s="17">
        <f t="shared" si="11"/>
        <v>0</v>
      </c>
      <c r="AA18" s="17">
        <f t="shared" si="11"/>
        <v>0</v>
      </c>
      <c r="AB18" s="17">
        <f t="shared" si="11"/>
        <v>0</v>
      </c>
      <c r="AC18" s="17">
        <f t="shared" si="11"/>
        <v>108</v>
      </c>
      <c r="AD18" s="17">
        <f t="shared" si="11"/>
        <v>0</v>
      </c>
      <c r="AE18" s="31">
        <f t="shared" si="11"/>
        <v>59</v>
      </c>
      <c r="AF18" s="31">
        <f t="shared" si="11"/>
        <v>167</v>
      </c>
    </row>
    <row r="19" spans="2:32" ht="23.1" customHeight="1" x14ac:dyDescent="0.25">
      <c r="B19" s="45" t="s">
        <v>46</v>
      </c>
      <c r="C19" s="50">
        <v>4</v>
      </c>
      <c r="D19" s="50">
        <f t="shared" si="3"/>
        <v>1</v>
      </c>
      <c r="E19" s="50">
        <v>6</v>
      </c>
      <c r="F19" s="50">
        <v>2</v>
      </c>
      <c r="G19" s="50">
        <v>0</v>
      </c>
      <c r="H19" s="50">
        <v>0</v>
      </c>
      <c r="I19" s="50">
        <v>5</v>
      </c>
      <c r="J19" s="50">
        <v>0</v>
      </c>
      <c r="K19" s="50">
        <v>0</v>
      </c>
      <c r="L19" s="50">
        <f>SUM('[1]RD4 MCC'!R399:U399)</f>
        <v>0</v>
      </c>
      <c r="M19" s="50">
        <v>20</v>
      </c>
      <c r="N19" s="50">
        <v>0</v>
      </c>
      <c r="O19" s="15">
        <f t="shared" si="0"/>
        <v>18</v>
      </c>
      <c r="P19" s="15">
        <f t="shared" si="1"/>
        <v>38</v>
      </c>
      <c r="R19" s="1" t="s">
        <v>15</v>
      </c>
      <c r="S19" s="17">
        <f t="shared" ref="S19:AF19" si="12">SUM(C46:C49)</f>
        <v>13</v>
      </c>
      <c r="T19" s="17">
        <f t="shared" si="12"/>
        <v>7</v>
      </c>
      <c r="U19" s="17">
        <f t="shared" si="12"/>
        <v>27</v>
      </c>
      <c r="V19" s="17">
        <f t="shared" si="12"/>
        <v>13</v>
      </c>
      <c r="W19" s="17">
        <f t="shared" si="12"/>
        <v>0</v>
      </c>
      <c r="X19" s="17">
        <f t="shared" si="12"/>
        <v>0</v>
      </c>
      <c r="Y19" s="17">
        <f t="shared" si="12"/>
        <v>9</v>
      </c>
      <c r="Z19" s="17">
        <f t="shared" si="12"/>
        <v>0</v>
      </c>
      <c r="AA19" s="17">
        <f t="shared" si="12"/>
        <v>0</v>
      </c>
      <c r="AB19" s="17">
        <f t="shared" si="12"/>
        <v>0</v>
      </c>
      <c r="AC19" s="17">
        <f t="shared" si="12"/>
        <v>77</v>
      </c>
      <c r="AD19" s="17">
        <f t="shared" si="12"/>
        <v>0</v>
      </c>
      <c r="AE19" s="31">
        <f t="shared" si="12"/>
        <v>69</v>
      </c>
      <c r="AF19" s="31">
        <f t="shared" si="12"/>
        <v>146</v>
      </c>
    </row>
    <row r="20" spans="2:32" ht="23.1" customHeight="1" x14ac:dyDescent="0.25">
      <c r="B20" s="45" t="s">
        <v>47</v>
      </c>
      <c r="C20" s="50">
        <v>4</v>
      </c>
      <c r="D20" s="50">
        <f t="shared" si="3"/>
        <v>4</v>
      </c>
      <c r="E20" s="50">
        <v>16</v>
      </c>
      <c r="F20" s="50">
        <v>7</v>
      </c>
      <c r="G20" s="50">
        <v>0</v>
      </c>
      <c r="H20" s="50">
        <v>1</v>
      </c>
      <c r="I20" s="50">
        <v>4</v>
      </c>
      <c r="J20" s="50">
        <v>0</v>
      </c>
      <c r="K20" s="50">
        <v>0</v>
      </c>
      <c r="L20" s="50">
        <f>SUM('[1]RD4 MCC'!R400:U400)</f>
        <v>0</v>
      </c>
      <c r="M20" s="50">
        <v>34</v>
      </c>
      <c r="N20" s="50">
        <v>0</v>
      </c>
      <c r="O20" s="15">
        <f t="shared" si="0"/>
        <v>36</v>
      </c>
      <c r="P20" s="15">
        <f t="shared" si="1"/>
        <v>70</v>
      </c>
      <c r="R20" s="1" t="s">
        <v>16</v>
      </c>
      <c r="S20" s="17">
        <f t="shared" ref="S20:AF20" si="13">SUM(C50:C53)</f>
        <v>15</v>
      </c>
      <c r="T20" s="17">
        <f t="shared" si="13"/>
        <v>6</v>
      </c>
      <c r="U20" s="17">
        <f t="shared" si="13"/>
        <v>25</v>
      </c>
      <c r="V20" s="17">
        <f t="shared" si="13"/>
        <v>12</v>
      </c>
      <c r="W20" s="17">
        <f t="shared" si="13"/>
        <v>0</v>
      </c>
      <c r="X20" s="17">
        <f t="shared" si="13"/>
        <v>0</v>
      </c>
      <c r="Y20" s="17">
        <f t="shared" si="13"/>
        <v>18</v>
      </c>
      <c r="Z20" s="17">
        <f t="shared" si="13"/>
        <v>5</v>
      </c>
      <c r="AA20" s="17">
        <f t="shared" si="13"/>
        <v>1</v>
      </c>
      <c r="AB20" s="17">
        <f t="shared" si="13"/>
        <v>0</v>
      </c>
      <c r="AC20" s="17">
        <f t="shared" si="13"/>
        <v>125</v>
      </c>
      <c r="AD20" s="17">
        <f t="shared" si="13"/>
        <v>0</v>
      </c>
      <c r="AE20" s="31">
        <f t="shared" si="13"/>
        <v>82</v>
      </c>
      <c r="AF20" s="31">
        <f t="shared" si="13"/>
        <v>207</v>
      </c>
    </row>
    <row r="21" spans="2:32" ht="23.1" customHeight="1" x14ac:dyDescent="0.25">
      <c r="B21" s="45" t="s">
        <v>48</v>
      </c>
      <c r="C21" s="50">
        <v>1</v>
      </c>
      <c r="D21" s="50">
        <f t="shared" si="3"/>
        <v>0</v>
      </c>
      <c r="E21" s="50">
        <v>3</v>
      </c>
      <c r="F21" s="50">
        <v>6</v>
      </c>
      <c r="G21" s="50">
        <v>8</v>
      </c>
      <c r="H21" s="50">
        <v>0</v>
      </c>
      <c r="I21" s="50">
        <v>3</v>
      </c>
      <c r="J21" s="50">
        <v>0</v>
      </c>
      <c r="K21" s="50">
        <v>0</v>
      </c>
      <c r="L21" s="50">
        <f>SUM('[1]RD4 MCC'!R401:U401)</f>
        <v>0</v>
      </c>
      <c r="M21" s="50">
        <v>30</v>
      </c>
      <c r="N21" s="50">
        <v>0</v>
      </c>
      <c r="O21" s="15">
        <f t="shared" si="0"/>
        <v>21</v>
      </c>
      <c r="P21" s="15">
        <f t="shared" si="1"/>
        <v>51</v>
      </c>
      <c r="R21" s="36" t="s">
        <v>20</v>
      </c>
      <c r="S21" s="34">
        <f t="shared" ref="S21:AF21" si="14">SUM(C54:C57)</f>
        <v>18</v>
      </c>
      <c r="T21" s="17">
        <f t="shared" si="14"/>
        <v>2</v>
      </c>
      <c r="U21" s="17">
        <f t="shared" si="14"/>
        <v>12</v>
      </c>
      <c r="V21" s="17">
        <f t="shared" si="14"/>
        <v>15</v>
      </c>
      <c r="W21" s="17">
        <f t="shared" si="14"/>
        <v>0</v>
      </c>
      <c r="X21" s="17">
        <f t="shared" si="14"/>
        <v>0</v>
      </c>
      <c r="Y21" s="17">
        <f t="shared" si="14"/>
        <v>21</v>
      </c>
      <c r="Z21" s="17">
        <f t="shared" si="14"/>
        <v>0</v>
      </c>
      <c r="AA21" s="17">
        <f t="shared" si="14"/>
        <v>0</v>
      </c>
      <c r="AB21" s="17">
        <f t="shared" si="14"/>
        <v>0</v>
      </c>
      <c r="AC21" s="17">
        <f t="shared" si="14"/>
        <v>95</v>
      </c>
      <c r="AD21" s="17">
        <f t="shared" si="14"/>
        <v>0</v>
      </c>
      <c r="AE21" s="31">
        <f t="shared" si="14"/>
        <v>68</v>
      </c>
      <c r="AF21" s="31">
        <f t="shared" si="14"/>
        <v>163</v>
      </c>
    </row>
    <row r="22" spans="2:32" ht="23.1" customHeight="1" x14ac:dyDescent="0.25">
      <c r="B22" s="45" t="s">
        <v>49</v>
      </c>
      <c r="C22" s="50">
        <v>2</v>
      </c>
      <c r="D22" s="50">
        <f t="shared" si="3"/>
        <v>2</v>
      </c>
      <c r="E22" s="50">
        <v>7</v>
      </c>
      <c r="F22" s="50">
        <v>8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f>SUM('[1]RD4 MCC'!R402:U402)</f>
        <v>0</v>
      </c>
      <c r="M22" s="50">
        <v>22</v>
      </c>
      <c r="N22" s="50">
        <v>0</v>
      </c>
      <c r="O22" s="15">
        <f t="shared" si="0"/>
        <v>21</v>
      </c>
      <c r="P22" s="15">
        <f t="shared" si="1"/>
        <v>43</v>
      </c>
      <c r="R22" s="36" t="s">
        <v>146</v>
      </c>
      <c r="S22" s="34">
        <f>SUM(C58:C61)</f>
        <v>8</v>
      </c>
      <c r="T22" s="34">
        <f t="shared" ref="T22:AF22" si="15">SUM(D58:D61)</f>
        <v>0</v>
      </c>
      <c r="U22" s="34">
        <f t="shared" si="15"/>
        <v>4</v>
      </c>
      <c r="V22" s="34">
        <f t="shared" si="15"/>
        <v>21</v>
      </c>
      <c r="W22" s="34">
        <f t="shared" si="15"/>
        <v>0</v>
      </c>
      <c r="X22" s="34">
        <f t="shared" si="15"/>
        <v>0</v>
      </c>
      <c r="Y22" s="34">
        <f t="shared" si="15"/>
        <v>26</v>
      </c>
      <c r="Z22" s="34">
        <f t="shared" si="15"/>
        <v>0</v>
      </c>
      <c r="AA22" s="34">
        <f t="shared" si="15"/>
        <v>0</v>
      </c>
      <c r="AB22" s="34">
        <f t="shared" si="15"/>
        <v>0</v>
      </c>
      <c r="AC22" s="34">
        <f t="shared" si="15"/>
        <v>103</v>
      </c>
      <c r="AD22" s="34">
        <f t="shared" si="15"/>
        <v>0</v>
      </c>
      <c r="AE22" s="31">
        <f t="shared" si="15"/>
        <v>59</v>
      </c>
      <c r="AF22" s="31">
        <f t="shared" si="15"/>
        <v>162</v>
      </c>
    </row>
    <row r="23" spans="2:32" ht="23.1" customHeight="1" x14ac:dyDescent="0.25">
      <c r="B23" s="45" t="s">
        <v>50</v>
      </c>
      <c r="C23" s="50">
        <v>6</v>
      </c>
      <c r="D23" s="50">
        <f t="shared" si="3"/>
        <v>1</v>
      </c>
      <c r="E23" s="50">
        <v>4</v>
      </c>
      <c r="F23" s="50">
        <v>2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f>SUM('[1]RD4 MCC'!R403:U403)</f>
        <v>0</v>
      </c>
      <c r="M23" s="50">
        <v>32</v>
      </c>
      <c r="N23" s="50">
        <v>0</v>
      </c>
      <c r="O23" s="15">
        <f t="shared" si="0"/>
        <v>19</v>
      </c>
      <c r="P23" s="15">
        <f t="shared" si="1"/>
        <v>51</v>
      </c>
      <c r="R23" s="36" t="s">
        <v>147</v>
      </c>
      <c r="S23" s="34">
        <f>SUM(C62:C65)</f>
        <v>3</v>
      </c>
      <c r="T23" s="34">
        <f t="shared" ref="T23:AF23" si="16">SUM(D62:D65)</f>
        <v>4</v>
      </c>
      <c r="U23" s="34">
        <f t="shared" si="16"/>
        <v>16</v>
      </c>
      <c r="V23" s="34">
        <f t="shared" si="16"/>
        <v>3</v>
      </c>
      <c r="W23" s="34">
        <f t="shared" si="16"/>
        <v>0</v>
      </c>
      <c r="X23" s="34">
        <f t="shared" si="16"/>
        <v>0</v>
      </c>
      <c r="Y23" s="34">
        <f t="shared" si="16"/>
        <v>14</v>
      </c>
      <c r="Z23" s="34">
        <f t="shared" si="16"/>
        <v>5</v>
      </c>
      <c r="AA23" s="34">
        <f t="shared" si="16"/>
        <v>0</v>
      </c>
      <c r="AB23" s="34">
        <f t="shared" si="16"/>
        <v>0</v>
      </c>
      <c r="AC23" s="34">
        <f t="shared" si="16"/>
        <v>77</v>
      </c>
      <c r="AD23" s="34">
        <f t="shared" si="16"/>
        <v>0</v>
      </c>
      <c r="AE23" s="31">
        <f t="shared" si="16"/>
        <v>45</v>
      </c>
      <c r="AF23" s="31">
        <f t="shared" si="16"/>
        <v>122</v>
      </c>
    </row>
    <row r="24" spans="2:32" ht="23.1" customHeight="1" x14ac:dyDescent="0.25">
      <c r="B24" s="45" t="s">
        <v>51</v>
      </c>
      <c r="C24" s="50">
        <v>6</v>
      </c>
      <c r="D24" s="50">
        <f t="shared" si="3"/>
        <v>1</v>
      </c>
      <c r="E24" s="50">
        <v>5</v>
      </c>
      <c r="F24" s="50">
        <v>4</v>
      </c>
      <c r="G24" s="50">
        <v>0</v>
      </c>
      <c r="H24" s="50">
        <v>0</v>
      </c>
      <c r="I24" s="50">
        <v>6</v>
      </c>
      <c r="J24" s="50">
        <v>0</v>
      </c>
      <c r="K24" s="50">
        <v>0</v>
      </c>
      <c r="L24" s="50">
        <f>SUM('[1]RD4 MCC'!R404:U404)</f>
        <v>0</v>
      </c>
      <c r="M24" s="50">
        <v>31</v>
      </c>
      <c r="N24" s="50">
        <v>0</v>
      </c>
      <c r="O24" s="15">
        <f t="shared" si="0"/>
        <v>22</v>
      </c>
      <c r="P24" s="15">
        <f t="shared" si="1"/>
        <v>53</v>
      </c>
      <c r="R24" s="36" t="s">
        <v>148</v>
      </c>
      <c r="S24" s="34">
        <f>SUM(C66:C69)</f>
        <v>9</v>
      </c>
      <c r="T24" s="34">
        <f t="shared" ref="T24:AF24" si="17">SUM(D66:D69)</f>
        <v>3</v>
      </c>
      <c r="U24" s="34">
        <f t="shared" si="17"/>
        <v>14</v>
      </c>
      <c r="V24" s="34">
        <f t="shared" si="17"/>
        <v>7</v>
      </c>
      <c r="W24" s="34">
        <f t="shared" si="17"/>
        <v>0</v>
      </c>
      <c r="X24" s="34">
        <f t="shared" si="17"/>
        <v>0</v>
      </c>
      <c r="Y24" s="34">
        <f t="shared" si="17"/>
        <v>5</v>
      </c>
      <c r="Z24" s="34">
        <f t="shared" si="17"/>
        <v>1</v>
      </c>
      <c r="AA24" s="34">
        <f t="shared" si="17"/>
        <v>1</v>
      </c>
      <c r="AB24" s="34">
        <f t="shared" si="17"/>
        <v>0</v>
      </c>
      <c r="AC24" s="34">
        <f t="shared" si="17"/>
        <v>63</v>
      </c>
      <c r="AD24" s="34">
        <f t="shared" si="17"/>
        <v>0</v>
      </c>
      <c r="AE24" s="31">
        <f t="shared" si="17"/>
        <v>40</v>
      </c>
      <c r="AF24" s="31">
        <f t="shared" si="17"/>
        <v>103</v>
      </c>
    </row>
    <row r="25" spans="2:32" ht="23.1" customHeight="1" x14ac:dyDescent="0.25">
      <c r="B25" s="45" t="s">
        <v>52</v>
      </c>
      <c r="C25" s="50">
        <v>1</v>
      </c>
      <c r="D25" s="50">
        <f t="shared" si="3"/>
        <v>0</v>
      </c>
      <c r="E25" s="50">
        <v>2</v>
      </c>
      <c r="F25" s="50">
        <v>1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f>SUM('[1]RD4 MCC'!R405:U405)</f>
        <v>0</v>
      </c>
      <c r="M25" s="50">
        <v>24</v>
      </c>
      <c r="N25" s="50">
        <v>0</v>
      </c>
      <c r="O25" s="15">
        <f t="shared" si="0"/>
        <v>10</v>
      </c>
      <c r="P25" s="15">
        <f t="shared" si="1"/>
        <v>34</v>
      </c>
      <c r="R25" s="36" t="s">
        <v>149</v>
      </c>
      <c r="S25" s="34">
        <f>SUM(C70:C73)</f>
        <v>7</v>
      </c>
      <c r="T25" s="34">
        <f t="shared" ref="T25:AF25" si="18">SUM(D70:D73)</f>
        <v>0</v>
      </c>
      <c r="U25" s="34">
        <f t="shared" si="18"/>
        <v>2</v>
      </c>
      <c r="V25" s="34">
        <f t="shared" si="18"/>
        <v>0</v>
      </c>
      <c r="W25" s="34">
        <f t="shared" si="18"/>
        <v>0</v>
      </c>
      <c r="X25" s="34">
        <f t="shared" si="18"/>
        <v>0</v>
      </c>
      <c r="Y25" s="34">
        <f t="shared" si="18"/>
        <v>6</v>
      </c>
      <c r="Z25" s="34">
        <f t="shared" si="18"/>
        <v>0</v>
      </c>
      <c r="AA25" s="34">
        <f t="shared" si="18"/>
        <v>0</v>
      </c>
      <c r="AB25" s="34">
        <f t="shared" si="18"/>
        <v>0</v>
      </c>
      <c r="AC25" s="34">
        <f t="shared" si="18"/>
        <v>36</v>
      </c>
      <c r="AD25" s="34">
        <f t="shared" si="18"/>
        <v>0</v>
      </c>
      <c r="AE25" s="31">
        <f t="shared" si="18"/>
        <v>15</v>
      </c>
      <c r="AF25" s="31">
        <f t="shared" si="18"/>
        <v>51</v>
      </c>
    </row>
    <row r="26" spans="2:32" ht="23.1" customHeight="1" x14ac:dyDescent="0.25">
      <c r="B26" s="45" t="s">
        <v>53</v>
      </c>
      <c r="C26" s="50">
        <v>4</v>
      </c>
      <c r="D26" s="50">
        <f t="shared" si="3"/>
        <v>0</v>
      </c>
      <c r="E26" s="50">
        <v>3</v>
      </c>
      <c r="F26" s="50">
        <v>5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f>SUM('[1]RD4 MCC'!R406:U406)</f>
        <v>0</v>
      </c>
      <c r="M26" s="50">
        <v>15</v>
      </c>
      <c r="N26" s="50">
        <v>0</v>
      </c>
      <c r="O26" s="15">
        <f t="shared" si="0"/>
        <v>15</v>
      </c>
      <c r="P26" s="15">
        <f t="shared" si="1"/>
        <v>30</v>
      </c>
      <c r="R26" s="36" t="s">
        <v>150</v>
      </c>
      <c r="S26" s="34">
        <f>SUM(C74:C77)</f>
        <v>5</v>
      </c>
      <c r="T26" s="34">
        <f t="shared" ref="T26:AF26" si="19">SUM(D74:D77)</f>
        <v>1</v>
      </c>
      <c r="U26" s="34">
        <f t="shared" si="19"/>
        <v>9</v>
      </c>
      <c r="V26" s="34">
        <f t="shared" si="19"/>
        <v>3</v>
      </c>
      <c r="W26" s="34">
        <f t="shared" si="19"/>
        <v>0</v>
      </c>
      <c r="X26" s="34">
        <f t="shared" si="19"/>
        <v>0</v>
      </c>
      <c r="Y26" s="34">
        <f t="shared" si="19"/>
        <v>2</v>
      </c>
      <c r="Z26" s="34">
        <f t="shared" si="19"/>
        <v>0</v>
      </c>
      <c r="AA26" s="34">
        <f t="shared" si="19"/>
        <v>0</v>
      </c>
      <c r="AB26" s="34">
        <f t="shared" si="19"/>
        <v>0</v>
      </c>
      <c r="AC26" s="34">
        <f t="shared" si="19"/>
        <v>13</v>
      </c>
      <c r="AD26" s="34">
        <f t="shared" si="19"/>
        <v>0</v>
      </c>
      <c r="AE26" s="31">
        <f t="shared" si="19"/>
        <v>20</v>
      </c>
      <c r="AF26" s="31">
        <f t="shared" si="19"/>
        <v>33</v>
      </c>
    </row>
    <row r="27" spans="2:32" ht="23.1" customHeight="1" x14ac:dyDescent="0.25">
      <c r="B27" s="45" t="s">
        <v>54</v>
      </c>
      <c r="C27" s="50">
        <v>6</v>
      </c>
      <c r="D27" s="50">
        <f t="shared" si="3"/>
        <v>1</v>
      </c>
      <c r="E27" s="50">
        <v>5</v>
      </c>
      <c r="F27" s="50">
        <v>8</v>
      </c>
      <c r="G27" s="50">
        <v>0</v>
      </c>
      <c r="H27" s="50">
        <v>0</v>
      </c>
      <c r="I27" s="50">
        <v>8</v>
      </c>
      <c r="J27" s="50">
        <v>0</v>
      </c>
      <c r="K27" s="50">
        <v>1</v>
      </c>
      <c r="L27" s="50">
        <f>SUM('[1]RD4 MCC'!R407:U407)</f>
        <v>0</v>
      </c>
      <c r="M27" s="50">
        <v>31</v>
      </c>
      <c r="N27" s="50">
        <v>0</v>
      </c>
      <c r="O27" s="15">
        <f t="shared" si="0"/>
        <v>29</v>
      </c>
      <c r="P27" s="15">
        <f t="shared" si="1"/>
        <v>60</v>
      </c>
      <c r="R27" s="36" t="s">
        <v>151</v>
      </c>
      <c r="S27" s="34">
        <f>SUM(C78:C81)</f>
        <v>2</v>
      </c>
      <c r="T27" s="34">
        <f t="shared" ref="T27:AF27" si="20">SUM(D78:D81)</f>
        <v>0</v>
      </c>
      <c r="U27" s="34">
        <f t="shared" si="20"/>
        <v>2</v>
      </c>
      <c r="V27" s="34">
        <f t="shared" si="20"/>
        <v>0</v>
      </c>
      <c r="W27" s="34">
        <f t="shared" si="20"/>
        <v>0</v>
      </c>
      <c r="X27" s="34">
        <f t="shared" si="20"/>
        <v>0</v>
      </c>
      <c r="Y27" s="34">
        <f t="shared" si="20"/>
        <v>6</v>
      </c>
      <c r="Z27" s="34">
        <f t="shared" si="20"/>
        <v>0</v>
      </c>
      <c r="AA27" s="34">
        <f t="shared" si="20"/>
        <v>0</v>
      </c>
      <c r="AB27" s="34">
        <f t="shared" si="20"/>
        <v>0</v>
      </c>
      <c r="AC27" s="34">
        <f t="shared" si="20"/>
        <v>9</v>
      </c>
      <c r="AD27" s="34">
        <f t="shared" si="20"/>
        <v>0</v>
      </c>
      <c r="AE27" s="31">
        <f t="shared" si="20"/>
        <v>10</v>
      </c>
      <c r="AF27" s="31">
        <f t="shared" si="20"/>
        <v>19</v>
      </c>
    </row>
    <row r="28" spans="2:32" ht="23.1" customHeight="1" x14ac:dyDescent="0.25">
      <c r="B28" s="45" t="s">
        <v>55</v>
      </c>
      <c r="C28" s="50">
        <v>3</v>
      </c>
      <c r="D28" s="50">
        <f t="shared" si="3"/>
        <v>1</v>
      </c>
      <c r="E28" s="50">
        <v>6</v>
      </c>
      <c r="F28" s="50">
        <v>2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f>SUM('[1]RD4 MCC'!R408:U408)</f>
        <v>0</v>
      </c>
      <c r="M28" s="50">
        <v>28</v>
      </c>
      <c r="N28" s="50">
        <v>0</v>
      </c>
      <c r="O28" s="15">
        <f t="shared" si="0"/>
        <v>12</v>
      </c>
      <c r="P28" s="15">
        <f t="shared" si="1"/>
        <v>40</v>
      </c>
      <c r="R28" s="36" t="s">
        <v>152</v>
      </c>
      <c r="S28" s="34">
        <f>SUM(C82:C85)</f>
        <v>0</v>
      </c>
      <c r="T28" s="34">
        <f t="shared" ref="T28:AF28" si="21">SUM(D82:D85)</f>
        <v>0</v>
      </c>
      <c r="U28" s="34">
        <f t="shared" si="21"/>
        <v>5</v>
      </c>
      <c r="V28" s="34">
        <f t="shared" si="21"/>
        <v>0</v>
      </c>
      <c r="W28" s="34">
        <f t="shared" si="21"/>
        <v>0</v>
      </c>
      <c r="X28" s="34">
        <f t="shared" si="21"/>
        <v>0</v>
      </c>
      <c r="Y28" s="34">
        <f t="shared" si="21"/>
        <v>3</v>
      </c>
      <c r="Z28" s="34">
        <f t="shared" si="21"/>
        <v>0</v>
      </c>
      <c r="AA28" s="34">
        <f t="shared" si="21"/>
        <v>0</v>
      </c>
      <c r="AB28" s="34">
        <f t="shared" si="21"/>
        <v>0</v>
      </c>
      <c r="AC28" s="34">
        <f t="shared" si="21"/>
        <v>3</v>
      </c>
      <c r="AD28" s="34">
        <f t="shared" si="21"/>
        <v>0</v>
      </c>
      <c r="AE28" s="31">
        <f t="shared" si="21"/>
        <v>8</v>
      </c>
      <c r="AF28" s="31">
        <f t="shared" si="21"/>
        <v>11</v>
      </c>
    </row>
    <row r="29" spans="2:32" ht="23.1" customHeight="1" x14ac:dyDescent="0.25">
      <c r="B29" s="45" t="s">
        <v>56</v>
      </c>
      <c r="C29" s="50">
        <v>6</v>
      </c>
      <c r="D29" s="50">
        <f t="shared" si="3"/>
        <v>1</v>
      </c>
      <c r="E29" s="50">
        <v>5</v>
      </c>
      <c r="F29" s="50">
        <v>7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f>SUM('[1]RD4 MCC'!R409:U409)</f>
        <v>0</v>
      </c>
      <c r="M29" s="50">
        <v>31</v>
      </c>
      <c r="N29" s="50">
        <v>0</v>
      </c>
      <c r="O29" s="15">
        <f t="shared" si="0"/>
        <v>22</v>
      </c>
      <c r="P29" s="15">
        <f t="shared" si="1"/>
        <v>53</v>
      </c>
      <c r="R29" s="36" t="s">
        <v>153</v>
      </c>
      <c r="S29" s="34">
        <f>SUM(C86:C89)</f>
        <v>0</v>
      </c>
      <c r="T29" s="34">
        <f t="shared" ref="T29:AF29" si="22">SUM(D86:D89)</f>
        <v>0</v>
      </c>
      <c r="U29" s="34">
        <f t="shared" si="22"/>
        <v>2</v>
      </c>
      <c r="V29" s="34">
        <f t="shared" si="22"/>
        <v>0</v>
      </c>
      <c r="W29" s="34">
        <f t="shared" si="22"/>
        <v>0</v>
      </c>
      <c r="X29" s="34">
        <f t="shared" si="22"/>
        <v>0</v>
      </c>
      <c r="Y29" s="34">
        <f t="shared" si="22"/>
        <v>4</v>
      </c>
      <c r="Z29" s="34">
        <f t="shared" si="22"/>
        <v>1</v>
      </c>
      <c r="AA29" s="34">
        <f t="shared" si="22"/>
        <v>0</v>
      </c>
      <c r="AB29" s="34">
        <f t="shared" si="22"/>
        <v>0</v>
      </c>
      <c r="AC29" s="34">
        <f t="shared" si="22"/>
        <v>4</v>
      </c>
      <c r="AD29" s="34">
        <f t="shared" si="22"/>
        <v>0</v>
      </c>
      <c r="AE29" s="31">
        <f t="shared" si="22"/>
        <v>7</v>
      </c>
      <c r="AF29" s="31">
        <f t="shared" si="22"/>
        <v>11</v>
      </c>
    </row>
    <row r="30" spans="2:32" ht="23.1" customHeight="1" x14ac:dyDescent="0.25">
      <c r="B30" s="45" t="s">
        <v>57</v>
      </c>
      <c r="C30" s="50">
        <v>5</v>
      </c>
      <c r="D30" s="50">
        <f t="shared" si="3"/>
        <v>0</v>
      </c>
      <c r="E30" s="50">
        <v>3</v>
      </c>
      <c r="F30" s="50">
        <v>4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f>SUM('[1]RD4 MCC'!R410:U410)</f>
        <v>0</v>
      </c>
      <c r="M30" s="50">
        <v>28</v>
      </c>
      <c r="N30" s="50">
        <v>0</v>
      </c>
      <c r="O30" s="15">
        <f t="shared" si="0"/>
        <v>15</v>
      </c>
      <c r="P30" s="15">
        <f t="shared" si="1"/>
        <v>43</v>
      </c>
      <c r="R30" s="36" t="s">
        <v>154</v>
      </c>
      <c r="S30" s="34">
        <f>SUM(C90:C93)</f>
        <v>0</v>
      </c>
      <c r="T30" s="34">
        <f t="shared" ref="T30:AF30" si="23">SUM(D90:D93)</f>
        <v>0</v>
      </c>
      <c r="U30" s="34">
        <f t="shared" si="23"/>
        <v>2</v>
      </c>
      <c r="V30" s="34">
        <f t="shared" si="23"/>
        <v>0</v>
      </c>
      <c r="W30" s="34">
        <f t="shared" si="23"/>
        <v>0</v>
      </c>
      <c r="X30" s="34">
        <f t="shared" si="23"/>
        <v>0</v>
      </c>
      <c r="Y30" s="34">
        <f t="shared" si="23"/>
        <v>3</v>
      </c>
      <c r="Z30" s="34">
        <f t="shared" si="23"/>
        <v>0</v>
      </c>
      <c r="AA30" s="34">
        <f t="shared" si="23"/>
        <v>0</v>
      </c>
      <c r="AB30" s="34">
        <f t="shared" si="23"/>
        <v>0</v>
      </c>
      <c r="AC30" s="34">
        <f t="shared" si="23"/>
        <v>1</v>
      </c>
      <c r="AD30" s="34">
        <f t="shared" si="23"/>
        <v>0</v>
      </c>
      <c r="AE30" s="31">
        <f t="shared" si="23"/>
        <v>5</v>
      </c>
      <c r="AF30" s="31">
        <f t="shared" si="23"/>
        <v>6</v>
      </c>
    </row>
    <row r="31" spans="2:32" ht="23.1" customHeight="1" x14ac:dyDescent="0.25">
      <c r="B31" s="46" t="s">
        <v>58</v>
      </c>
      <c r="C31" s="50">
        <v>3</v>
      </c>
      <c r="D31" s="50">
        <f t="shared" si="3"/>
        <v>1</v>
      </c>
      <c r="E31" s="50">
        <v>5</v>
      </c>
      <c r="F31" s="50">
        <v>4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f>SUM('[1]RD4 MCC'!R411:U411)</f>
        <v>0</v>
      </c>
      <c r="M31" s="50">
        <v>41</v>
      </c>
      <c r="N31" s="50">
        <v>0</v>
      </c>
      <c r="O31" s="15">
        <f t="shared" si="0"/>
        <v>16</v>
      </c>
      <c r="P31" s="15">
        <f t="shared" si="1"/>
        <v>57</v>
      </c>
      <c r="R31" s="36" t="s">
        <v>155</v>
      </c>
      <c r="S31" s="34">
        <f>SUM(C94:C97)</f>
        <v>0</v>
      </c>
      <c r="T31" s="34">
        <f t="shared" ref="T31:AF31" si="24">SUM(D94:D97)</f>
        <v>0</v>
      </c>
      <c r="U31" s="34">
        <f t="shared" si="24"/>
        <v>0</v>
      </c>
      <c r="V31" s="34">
        <f t="shared" si="24"/>
        <v>0</v>
      </c>
      <c r="W31" s="34">
        <f t="shared" si="24"/>
        <v>0</v>
      </c>
      <c r="X31" s="34">
        <f t="shared" si="24"/>
        <v>0</v>
      </c>
      <c r="Y31" s="34">
        <f t="shared" si="24"/>
        <v>8</v>
      </c>
      <c r="Z31" s="34">
        <f t="shared" si="24"/>
        <v>0</v>
      </c>
      <c r="AA31" s="34">
        <f t="shared" si="24"/>
        <v>0</v>
      </c>
      <c r="AB31" s="34">
        <f t="shared" si="24"/>
        <v>0</v>
      </c>
      <c r="AC31" s="34">
        <f t="shared" si="24"/>
        <v>3</v>
      </c>
      <c r="AD31" s="34">
        <f t="shared" si="24"/>
        <v>0</v>
      </c>
      <c r="AE31" s="31">
        <f t="shared" si="24"/>
        <v>8</v>
      </c>
      <c r="AF31" s="31">
        <f t="shared" si="24"/>
        <v>11</v>
      </c>
    </row>
    <row r="32" spans="2:32" ht="23.1" customHeight="1" x14ac:dyDescent="0.25">
      <c r="B32" s="46" t="s">
        <v>59</v>
      </c>
      <c r="C32" s="50">
        <v>4</v>
      </c>
      <c r="D32" s="50">
        <f t="shared" si="3"/>
        <v>1</v>
      </c>
      <c r="E32" s="50">
        <v>4</v>
      </c>
      <c r="F32" s="50">
        <v>3</v>
      </c>
      <c r="G32" s="50">
        <v>0</v>
      </c>
      <c r="H32" s="50">
        <v>0</v>
      </c>
      <c r="I32" s="50">
        <v>5</v>
      </c>
      <c r="J32" s="50">
        <v>0</v>
      </c>
      <c r="K32" s="50">
        <v>0</v>
      </c>
      <c r="L32" s="50">
        <f>SUM('[1]RD4 MCC'!R412:U412)</f>
        <v>0</v>
      </c>
      <c r="M32" s="50">
        <v>35</v>
      </c>
      <c r="N32" s="50">
        <v>0</v>
      </c>
      <c r="O32" s="15">
        <f t="shared" si="0"/>
        <v>17</v>
      </c>
      <c r="P32" s="15">
        <f t="shared" si="1"/>
        <v>52</v>
      </c>
      <c r="R32" s="33" t="s">
        <v>156</v>
      </c>
      <c r="S32" s="34">
        <f>SUM(C98:C101)</f>
        <v>0</v>
      </c>
      <c r="T32" s="34">
        <f t="shared" ref="T32:AF32" si="25">SUM(D98:D101)</f>
        <v>0</v>
      </c>
      <c r="U32" s="34">
        <f t="shared" si="25"/>
        <v>6</v>
      </c>
      <c r="V32" s="34">
        <f t="shared" si="25"/>
        <v>1</v>
      </c>
      <c r="W32" s="34">
        <f t="shared" si="25"/>
        <v>0</v>
      </c>
      <c r="X32" s="34">
        <f t="shared" si="25"/>
        <v>1</v>
      </c>
      <c r="Y32" s="34">
        <f t="shared" si="25"/>
        <v>3</v>
      </c>
      <c r="Z32" s="34">
        <f t="shared" si="25"/>
        <v>0</v>
      </c>
      <c r="AA32" s="34">
        <f t="shared" si="25"/>
        <v>1</v>
      </c>
      <c r="AB32" s="34">
        <f t="shared" si="25"/>
        <v>0</v>
      </c>
      <c r="AC32" s="34">
        <f t="shared" si="25"/>
        <v>5</v>
      </c>
      <c r="AD32" s="34">
        <f t="shared" si="25"/>
        <v>0</v>
      </c>
      <c r="AE32" s="31">
        <f t="shared" si="25"/>
        <v>12</v>
      </c>
      <c r="AF32" s="31">
        <f t="shared" si="25"/>
        <v>17</v>
      </c>
    </row>
    <row r="33" spans="2:32" ht="23.1" customHeight="1" x14ac:dyDescent="0.25">
      <c r="B33" s="45" t="s">
        <v>60</v>
      </c>
      <c r="C33" s="50">
        <v>3</v>
      </c>
      <c r="D33" s="50">
        <f t="shared" si="3"/>
        <v>2</v>
      </c>
      <c r="E33" s="50">
        <v>8</v>
      </c>
      <c r="F33" s="50">
        <v>4</v>
      </c>
      <c r="G33" s="50">
        <v>0</v>
      </c>
      <c r="H33" s="50">
        <v>0</v>
      </c>
      <c r="I33" s="50">
        <v>2</v>
      </c>
      <c r="J33" s="50">
        <v>1</v>
      </c>
      <c r="K33" s="50">
        <v>0</v>
      </c>
      <c r="L33" s="50">
        <f>SUM('[1]RD4 MCC'!R413:U413)</f>
        <v>0</v>
      </c>
      <c r="M33" s="50">
        <v>28</v>
      </c>
      <c r="N33" s="50">
        <v>0</v>
      </c>
      <c r="O33" s="15">
        <f t="shared" si="0"/>
        <v>20</v>
      </c>
      <c r="P33" s="15">
        <f t="shared" si="1"/>
        <v>48</v>
      </c>
      <c r="R33" s="33" t="s">
        <v>157</v>
      </c>
      <c r="S33" s="34">
        <f>SUM(C102:C105)</f>
        <v>2</v>
      </c>
      <c r="T33" s="34">
        <f t="shared" ref="T33:AF33" si="26">SUM(D102:D105)</f>
        <v>0</v>
      </c>
      <c r="U33" s="34">
        <f t="shared" si="26"/>
        <v>3</v>
      </c>
      <c r="V33" s="34">
        <f t="shared" si="26"/>
        <v>7</v>
      </c>
      <c r="W33" s="34">
        <f t="shared" si="26"/>
        <v>0</v>
      </c>
      <c r="X33" s="34">
        <f t="shared" si="26"/>
        <v>0</v>
      </c>
      <c r="Y33" s="34">
        <f t="shared" si="26"/>
        <v>23</v>
      </c>
      <c r="Z33" s="34">
        <f t="shared" si="26"/>
        <v>0</v>
      </c>
      <c r="AA33" s="34">
        <f t="shared" si="26"/>
        <v>0</v>
      </c>
      <c r="AB33" s="34">
        <f t="shared" si="26"/>
        <v>0</v>
      </c>
      <c r="AC33" s="34">
        <f t="shared" si="26"/>
        <v>11</v>
      </c>
      <c r="AD33" s="34">
        <f t="shared" si="26"/>
        <v>0</v>
      </c>
      <c r="AE33" s="31">
        <f t="shared" si="26"/>
        <v>35</v>
      </c>
      <c r="AF33" s="31">
        <f t="shared" si="26"/>
        <v>46</v>
      </c>
    </row>
    <row r="34" spans="2:32" ht="23.1" customHeight="1" x14ac:dyDescent="0.25">
      <c r="B34" s="46" t="s">
        <v>61</v>
      </c>
      <c r="C34" s="50">
        <v>7</v>
      </c>
      <c r="D34" s="50">
        <f t="shared" si="3"/>
        <v>3</v>
      </c>
      <c r="E34" s="50">
        <v>11</v>
      </c>
      <c r="F34" s="50">
        <v>7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f>SUM('[1]RD4 MCC'!R414:U414)</f>
        <v>0</v>
      </c>
      <c r="M34" s="50">
        <v>33</v>
      </c>
      <c r="N34" s="50">
        <v>0</v>
      </c>
      <c r="O34" s="15">
        <f t="shared" si="0"/>
        <v>30</v>
      </c>
      <c r="P34" s="15">
        <f t="shared" si="1"/>
        <v>63</v>
      </c>
      <c r="R34" s="38" t="s">
        <v>90</v>
      </c>
      <c r="S34" s="39">
        <f t="shared" ref="S34:AF34" si="27">MAX(S10:S12)</f>
        <v>11</v>
      </c>
      <c r="T34" s="39">
        <f t="shared" si="27"/>
        <v>8</v>
      </c>
      <c r="U34" s="39">
        <f t="shared" si="27"/>
        <v>34</v>
      </c>
      <c r="V34" s="39">
        <f t="shared" si="27"/>
        <v>17</v>
      </c>
      <c r="W34" s="39">
        <f t="shared" si="27"/>
        <v>8</v>
      </c>
      <c r="X34" s="39">
        <f t="shared" si="27"/>
        <v>1</v>
      </c>
      <c r="Y34" s="39">
        <f t="shared" si="27"/>
        <v>16</v>
      </c>
      <c r="Z34" s="39">
        <f t="shared" si="27"/>
        <v>0</v>
      </c>
      <c r="AA34" s="39">
        <f t="shared" si="27"/>
        <v>0</v>
      </c>
      <c r="AB34" s="39">
        <f t="shared" si="27"/>
        <v>0</v>
      </c>
      <c r="AC34" s="39">
        <f t="shared" si="27"/>
        <v>114</v>
      </c>
      <c r="AD34" s="39">
        <f t="shared" si="27"/>
        <v>0</v>
      </c>
      <c r="AE34" s="40">
        <f t="shared" si="27"/>
        <v>94</v>
      </c>
      <c r="AF34" s="40">
        <f t="shared" si="27"/>
        <v>208</v>
      </c>
    </row>
    <row r="35" spans="2:32" ht="23.1" customHeight="1" x14ac:dyDescent="0.25">
      <c r="B35" s="46" t="s">
        <v>62</v>
      </c>
      <c r="C35" s="50">
        <v>2</v>
      </c>
      <c r="D35" s="50">
        <f t="shared" si="3"/>
        <v>0</v>
      </c>
      <c r="E35" s="50">
        <v>3</v>
      </c>
      <c r="F35" s="50">
        <v>4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f>SUM('[1]RD4 MCC'!R415:U415)</f>
        <v>0</v>
      </c>
      <c r="M35" s="50">
        <v>16</v>
      </c>
      <c r="N35" s="50">
        <v>0</v>
      </c>
      <c r="O35" s="15">
        <f t="shared" si="0"/>
        <v>13</v>
      </c>
      <c r="P35" s="15">
        <f t="shared" si="1"/>
        <v>29</v>
      </c>
      <c r="R35" s="38" t="s">
        <v>91</v>
      </c>
      <c r="S35" s="39">
        <f t="shared" ref="S35:AF35" si="28">MAX(S13:S18)</f>
        <v>19</v>
      </c>
      <c r="T35" s="39">
        <f t="shared" si="28"/>
        <v>5</v>
      </c>
      <c r="U35" s="39">
        <f t="shared" si="28"/>
        <v>21</v>
      </c>
      <c r="V35" s="39">
        <f t="shared" si="28"/>
        <v>22</v>
      </c>
      <c r="W35" s="39">
        <f t="shared" si="28"/>
        <v>1</v>
      </c>
      <c r="X35" s="39">
        <f t="shared" si="28"/>
        <v>0</v>
      </c>
      <c r="Y35" s="39">
        <f t="shared" si="28"/>
        <v>20</v>
      </c>
      <c r="Z35" s="39">
        <f t="shared" si="28"/>
        <v>2</v>
      </c>
      <c r="AA35" s="39">
        <f t="shared" si="28"/>
        <v>2</v>
      </c>
      <c r="AB35" s="39">
        <f t="shared" si="28"/>
        <v>0</v>
      </c>
      <c r="AC35" s="39">
        <f t="shared" si="28"/>
        <v>132</v>
      </c>
      <c r="AD35" s="39">
        <f t="shared" si="28"/>
        <v>0</v>
      </c>
      <c r="AE35" s="40">
        <f t="shared" si="28"/>
        <v>78</v>
      </c>
      <c r="AF35" s="40">
        <f t="shared" si="28"/>
        <v>200</v>
      </c>
    </row>
    <row r="36" spans="2:32" ht="23.1" customHeight="1" x14ac:dyDescent="0.25">
      <c r="B36" s="46" t="s">
        <v>63</v>
      </c>
      <c r="C36" s="50">
        <v>2</v>
      </c>
      <c r="D36" s="50">
        <f t="shared" si="3"/>
        <v>1</v>
      </c>
      <c r="E36" s="50">
        <v>5</v>
      </c>
      <c r="F36" s="50">
        <v>6</v>
      </c>
      <c r="G36" s="50">
        <v>0</v>
      </c>
      <c r="H36" s="50">
        <v>0</v>
      </c>
      <c r="I36" s="50">
        <v>3</v>
      </c>
      <c r="J36" s="50">
        <v>0</v>
      </c>
      <c r="K36" s="50">
        <v>1</v>
      </c>
      <c r="L36" s="50">
        <f>SUM('[1]RD4 MCC'!R416:U416)</f>
        <v>0</v>
      </c>
      <c r="M36" s="50">
        <v>23</v>
      </c>
      <c r="N36" s="50">
        <v>0</v>
      </c>
      <c r="O36" s="15">
        <f t="shared" si="0"/>
        <v>18</v>
      </c>
      <c r="P36" s="15">
        <f t="shared" si="1"/>
        <v>41</v>
      </c>
      <c r="R36" s="38" t="s">
        <v>92</v>
      </c>
      <c r="S36" s="39">
        <f t="shared" ref="S36:AF36" si="29">MAX(S19:S21)</f>
        <v>18</v>
      </c>
      <c r="T36" s="39">
        <f t="shared" si="29"/>
        <v>7</v>
      </c>
      <c r="U36" s="39">
        <f t="shared" si="29"/>
        <v>27</v>
      </c>
      <c r="V36" s="39">
        <f t="shared" si="29"/>
        <v>15</v>
      </c>
      <c r="W36" s="39">
        <f t="shared" si="29"/>
        <v>0</v>
      </c>
      <c r="X36" s="39">
        <f t="shared" si="29"/>
        <v>0</v>
      </c>
      <c r="Y36" s="39">
        <f t="shared" si="29"/>
        <v>21</v>
      </c>
      <c r="Z36" s="39">
        <f t="shared" si="29"/>
        <v>5</v>
      </c>
      <c r="AA36" s="39">
        <f t="shared" si="29"/>
        <v>1</v>
      </c>
      <c r="AB36" s="39">
        <f t="shared" si="29"/>
        <v>0</v>
      </c>
      <c r="AC36" s="39">
        <f t="shared" si="29"/>
        <v>125</v>
      </c>
      <c r="AD36" s="39">
        <f t="shared" si="29"/>
        <v>0</v>
      </c>
      <c r="AE36" s="40">
        <f t="shared" si="29"/>
        <v>82</v>
      </c>
      <c r="AF36" s="40">
        <f t="shared" si="29"/>
        <v>207</v>
      </c>
    </row>
    <row r="37" spans="2:32" ht="23.1" customHeight="1" x14ac:dyDescent="0.25">
      <c r="B37" s="45" t="s">
        <v>64</v>
      </c>
      <c r="C37" s="50">
        <v>2</v>
      </c>
      <c r="D37" s="50">
        <f t="shared" si="3"/>
        <v>0</v>
      </c>
      <c r="E37" s="50">
        <v>2</v>
      </c>
      <c r="F37" s="50">
        <v>1</v>
      </c>
      <c r="G37" s="50">
        <v>1</v>
      </c>
      <c r="H37" s="50">
        <v>0</v>
      </c>
      <c r="I37" s="50">
        <v>4</v>
      </c>
      <c r="J37" s="50">
        <v>0</v>
      </c>
      <c r="K37" s="50">
        <v>1</v>
      </c>
      <c r="L37" s="50">
        <f>SUM('[1]RD4 MCC'!R417:U417)</f>
        <v>0</v>
      </c>
      <c r="M37" s="50">
        <v>26</v>
      </c>
      <c r="N37" s="50">
        <v>0</v>
      </c>
      <c r="O37" s="15">
        <f t="shared" si="0"/>
        <v>11</v>
      </c>
      <c r="P37" s="15">
        <f t="shared" si="1"/>
        <v>37</v>
      </c>
      <c r="R37" s="37" t="s">
        <v>85</v>
      </c>
      <c r="S37" s="35">
        <f t="shared" ref="S37:AF37" si="30">SUM(S10:S12)</f>
        <v>29</v>
      </c>
      <c r="T37" s="16">
        <f t="shared" si="30"/>
        <v>20</v>
      </c>
      <c r="U37" s="16">
        <f t="shared" si="30"/>
        <v>84</v>
      </c>
      <c r="V37" s="16">
        <f t="shared" si="30"/>
        <v>46</v>
      </c>
      <c r="W37" s="16">
        <f t="shared" si="30"/>
        <v>10</v>
      </c>
      <c r="X37" s="16">
        <f t="shared" si="30"/>
        <v>1</v>
      </c>
      <c r="Y37" s="16">
        <f t="shared" si="30"/>
        <v>44</v>
      </c>
      <c r="Z37" s="16">
        <f t="shared" si="30"/>
        <v>0</v>
      </c>
      <c r="AA37" s="16">
        <f t="shared" si="30"/>
        <v>0</v>
      </c>
      <c r="AB37" s="16">
        <f t="shared" si="30"/>
        <v>0</v>
      </c>
      <c r="AC37" s="16">
        <f t="shared" si="30"/>
        <v>288</v>
      </c>
      <c r="AD37" s="16">
        <f t="shared" si="30"/>
        <v>0</v>
      </c>
      <c r="AE37" s="32">
        <f t="shared" si="30"/>
        <v>234</v>
      </c>
      <c r="AF37" s="32">
        <f t="shared" si="30"/>
        <v>522</v>
      </c>
    </row>
    <row r="38" spans="2:32" ht="23.1" customHeight="1" x14ac:dyDescent="0.25">
      <c r="B38" s="46" t="s">
        <v>65</v>
      </c>
      <c r="C38" s="50">
        <v>3</v>
      </c>
      <c r="D38" s="50">
        <f t="shared" si="3"/>
        <v>1</v>
      </c>
      <c r="E38" s="50">
        <v>4</v>
      </c>
      <c r="F38" s="50">
        <v>4</v>
      </c>
      <c r="G38" s="50">
        <v>1</v>
      </c>
      <c r="H38" s="50">
        <v>0</v>
      </c>
      <c r="I38" s="50">
        <v>5</v>
      </c>
      <c r="J38" s="50">
        <v>1</v>
      </c>
      <c r="K38" s="50">
        <v>0</v>
      </c>
      <c r="L38" s="50">
        <f>SUM('[1]RD4 MCC'!R418:U418)</f>
        <v>0</v>
      </c>
      <c r="M38" s="50">
        <v>40</v>
      </c>
      <c r="N38" s="50">
        <v>0</v>
      </c>
      <c r="O38" s="15">
        <f t="shared" si="0"/>
        <v>19</v>
      </c>
      <c r="P38" s="15">
        <f t="shared" si="1"/>
        <v>59</v>
      </c>
      <c r="R38" s="28" t="s">
        <v>86</v>
      </c>
      <c r="S38" s="16">
        <f t="shared" ref="S38:AF38" si="31">SUM(S13:S18)</f>
        <v>73</v>
      </c>
      <c r="T38" s="16">
        <f t="shared" si="31"/>
        <v>23</v>
      </c>
      <c r="U38" s="16">
        <f t="shared" si="31"/>
        <v>118</v>
      </c>
      <c r="V38" s="16">
        <f t="shared" si="31"/>
        <v>96</v>
      </c>
      <c r="W38" s="16">
        <f t="shared" si="31"/>
        <v>2</v>
      </c>
      <c r="X38" s="16">
        <f t="shared" si="31"/>
        <v>0</v>
      </c>
      <c r="Y38" s="16">
        <f t="shared" si="31"/>
        <v>90</v>
      </c>
      <c r="Z38" s="16">
        <f t="shared" si="31"/>
        <v>3</v>
      </c>
      <c r="AA38" s="16">
        <f t="shared" si="31"/>
        <v>3</v>
      </c>
      <c r="AB38" s="16">
        <f t="shared" si="31"/>
        <v>0</v>
      </c>
      <c r="AC38" s="16">
        <f t="shared" si="31"/>
        <v>635</v>
      </c>
      <c r="AD38" s="16">
        <f t="shared" si="31"/>
        <v>0</v>
      </c>
      <c r="AE38" s="32">
        <f t="shared" si="31"/>
        <v>408</v>
      </c>
      <c r="AF38" s="32">
        <f t="shared" si="31"/>
        <v>1043</v>
      </c>
    </row>
    <row r="39" spans="2:32" ht="23.1" customHeight="1" x14ac:dyDescent="0.25">
      <c r="B39" s="46" t="s">
        <v>66</v>
      </c>
      <c r="C39" s="50">
        <v>1</v>
      </c>
      <c r="D39" s="50">
        <f t="shared" si="3"/>
        <v>3</v>
      </c>
      <c r="E39" s="50">
        <v>10</v>
      </c>
      <c r="F39" s="50">
        <v>0</v>
      </c>
      <c r="G39" s="50">
        <v>0</v>
      </c>
      <c r="H39" s="50">
        <v>0</v>
      </c>
      <c r="I39" s="50">
        <v>8</v>
      </c>
      <c r="J39" s="50">
        <v>1</v>
      </c>
      <c r="K39" s="50">
        <v>0</v>
      </c>
      <c r="L39" s="50">
        <f>SUM('[1]RD4 MCC'!R419:U419)</f>
        <v>0</v>
      </c>
      <c r="M39" s="50">
        <v>25</v>
      </c>
      <c r="N39" s="50">
        <v>0</v>
      </c>
      <c r="O39" s="15">
        <f t="shared" si="0"/>
        <v>23</v>
      </c>
      <c r="P39" s="15">
        <f t="shared" si="1"/>
        <v>48</v>
      </c>
      <c r="R39" s="29" t="s">
        <v>87</v>
      </c>
      <c r="S39" s="16">
        <f t="shared" ref="S39:AF39" si="32">SUM(S19:S21)</f>
        <v>46</v>
      </c>
      <c r="T39" s="16">
        <f t="shared" si="32"/>
        <v>15</v>
      </c>
      <c r="U39" s="16">
        <f t="shared" si="32"/>
        <v>64</v>
      </c>
      <c r="V39" s="16">
        <f t="shared" si="32"/>
        <v>40</v>
      </c>
      <c r="W39" s="16">
        <f t="shared" si="32"/>
        <v>0</v>
      </c>
      <c r="X39" s="16">
        <f t="shared" si="32"/>
        <v>0</v>
      </c>
      <c r="Y39" s="16">
        <f t="shared" si="32"/>
        <v>48</v>
      </c>
      <c r="Z39" s="16">
        <f t="shared" si="32"/>
        <v>5</v>
      </c>
      <c r="AA39" s="16">
        <f t="shared" si="32"/>
        <v>1</v>
      </c>
      <c r="AB39" s="16">
        <f t="shared" si="32"/>
        <v>0</v>
      </c>
      <c r="AC39" s="16">
        <f t="shared" si="32"/>
        <v>297</v>
      </c>
      <c r="AD39" s="16">
        <f t="shared" si="32"/>
        <v>0</v>
      </c>
      <c r="AE39" s="32">
        <f t="shared" si="32"/>
        <v>219</v>
      </c>
      <c r="AF39" s="32">
        <f t="shared" si="32"/>
        <v>516</v>
      </c>
    </row>
    <row r="40" spans="2:32" ht="23.1" customHeight="1" x14ac:dyDescent="0.25">
      <c r="B40" s="46" t="s">
        <v>67</v>
      </c>
      <c r="C40" s="50">
        <v>0</v>
      </c>
      <c r="D40" s="50">
        <f t="shared" si="3"/>
        <v>0</v>
      </c>
      <c r="E40" s="50">
        <v>3</v>
      </c>
      <c r="F40" s="50">
        <v>5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f>SUM('[1]RD4 MCC'!R420:U420)</f>
        <v>0</v>
      </c>
      <c r="M40" s="50">
        <v>7</v>
      </c>
      <c r="N40" s="50">
        <v>0</v>
      </c>
      <c r="O40" s="15">
        <f t="shared" si="0"/>
        <v>9</v>
      </c>
      <c r="P40" s="15">
        <f t="shared" si="1"/>
        <v>16</v>
      </c>
      <c r="R40" s="5" t="s">
        <v>17</v>
      </c>
      <c r="S40" s="16">
        <f t="shared" ref="S40:AF40" si="33">SUM(S10:S21)</f>
        <v>148</v>
      </c>
      <c r="T40" s="16">
        <f t="shared" si="33"/>
        <v>58</v>
      </c>
      <c r="U40" s="16">
        <f t="shared" si="33"/>
        <v>266</v>
      </c>
      <c r="V40" s="16">
        <f t="shared" si="33"/>
        <v>182</v>
      </c>
      <c r="W40" s="16">
        <f t="shared" si="33"/>
        <v>12</v>
      </c>
      <c r="X40" s="16">
        <f t="shared" si="33"/>
        <v>1</v>
      </c>
      <c r="Y40" s="16">
        <f t="shared" si="33"/>
        <v>182</v>
      </c>
      <c r="Z40" s="16">
        <f t="shared" si="33"/>
        <v>8</v>
      </c>
      <c r="AA40" s="16">
        <f t="shared" si="33"/>
        <v>4</v>
      </c>
      <c r="AB40" s="16">
        <f t="shared" si="33"/>
        <v>0</v>
      </c>
      <c r="AC40" s="16">
        <f t="shared" si="33"/>
        <v>1220</v>
      </c>
      <c r="AD40" s="16">
        <f t="shared" si="33"/>
        <v>0</v>
      </c>
      <c r="AE40" s="32">
        <f t="shared" si="33"/>
        <v>861</v>
      </c>
      <c r="AF40" s="32">
        <f t="shared" si="33"/>
        <v>2081</v>
      </c>
    </row>
    <row r="41" spans="2:32" ht="23.1" customHeight="1" x14ac:dyDescent="0.25">
      <c r="B41" s="45" t="s">
        <v>68</v>
      </c>
      <c r="C41" s="50">
        <v>0</v>
      </c>
      <c r="D41" s="50">
        <f t="shared" si="3"/>
        <v>1</v>
      </c>
      <c r="E41" s="50">
        <v>4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f>SUM('[1]RD4 MCC'!R421:U421)</f>
        <v>0</v>
      </c>
      <c r="M41" s="50">
        <v>11</v>
      </c>
      <c r="N41" s="50">
        <v>0</v>
      </c>
      <c r="O41" s="15">
        <f t="shared" si="0"/>
        <v>8</v>
      </c>
      <c r="P41" s="15">
        <f t="shared" si="1"/>
        <v>19</v>
      </c>
      <c r="R41" s="5" t="s">
        <v>159</v>
      </c>
      <c r="S41" s="16">
        <f>SUM(S10:S33)</f>
        <v>184</v>
      </c>
      <c r="T41" s="16">
        <f t="shared" ref="T41:AF41" si="34">SUM(T10:T33)</f>
        <v>66</v>
      </c>
      <c r="U41" s="16">
        <f t="shared" si="34"/>
        <v>331</v>
      </c>
      <c r="V41" s="16">
        <f t="shared" si="34"/>
        <v>224</v>
      </c>
      <c r="W41" s="16">
        <f t="shared" si="34"/>
        <v>12</v>
      </c>
      <c r="X41" s="16">
        <f t="shared" si="34"/>
        <v>2</v>
      </c>
      <c r="Y41" s="16">
        <f t="shared" si="34"/>
        <v>285</v>
      </c>
      <c r="Z41" s="16">
        <f t="shared" si="34"/>
        <v>15</v>
      </c>
      <c r="AA41" s="16">
        <f t="shared" si="34"/>
        <v>6</v>
      </c>
      <c r="AB41" s="16">
        <f t="shared" si="34"/>
        <v>0</v>
      </c>
      <c r="AC41" s="16">
        <f t="shared" si="34"/>
        <v>1548</v>
      </c>
      <c r="AD41" s="16">
        <f t="shared" si="34"/>
        <v>0</v>
      </c>
      <c r="AE41" s="32">
        <f t="shared" si="34"/>
        <v>1125</v>
      </c>
      <c r="AF41" s="32">
        <f t="shared" si="34"/>
        <v>2673</v>
      </c>
    </row>
    <row r="42" spans="2:32" ht="23.1" customHeight="1" x14ac:dyDescent="0.25">
      <c r="B42" s="46" t="s">
        <v>69</v>
      </c>
      <c r="C42" s="50">
        <v>1</v>
      </c>
      <c r="D42" s="50">
        <f t="shared" si="3"/>
        <v>2</v>
      </c>
      <c r="E42" s="50">
        <v>7</v>
      </c>
      <c r="F42" s="50">
        <v>8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f>SUM('[1]RD4 MCC'!R422:U422)</f>
        <v>0</v>
      </c>
      <c r="M42" s="50">
        <v>38</v>
      </c>
      <c r="N42" s="50">
        <v>0</v>
      </c>
      <c r="O42" s="15">
        <f t="shared" si="0"/>
        <v>19</v>
      </c>
      <c r="P42" s="15">
        <f t="shared" si="1"/>
        <v>57</v>
      </c>
      <c r="R42" s="5" t="s">
        <v>160</v>
      </c>
      <c r="S42" s="48">
        <f>S41/S40</f>
        <v>1.2432432432432432</v>
      </c>
      <c r="T42" s="48">
        <f t="shared" ref="T42:AF42" si="35">T41/T40</f>
        <v>1.1379310344827587</v>
      </c>
      <c r="U42" s="48">
        <f t="shared" si="35"/>
        <v>1.244360902255639</v>
      </c>
      <c r="V42" s="48">
        <f t="shared" si="35"/>
        <v>1.2307692307692308</v>
      </c>
      <c r="W42" s="48">
        <f t="shared" si="35"/>
        <v>1</v>
      </c>
      <c r="X42" s="48">
        <f t="shared" si="35"/>
        <v>2</v>
      </c>
      <c r="Y42" s="48">
        <f t="shared" si="35"/>
        <v>1.5659340659340659</v>
      </c>
      <c r="Z42" s="48">
        <f t="shared" si="35"/>
        <v>1.875</v>
      </c>
      <c r="AA42" s="48">
        <f t="shared" si="35"/>
        <v>1.5</v>
      </c>
      <c r="AB42" s="48" t="e">
        <f t="shared" si="35"/>
        <v>#DIV/0!</v>
      </c>
      <c r="AC42" s="48">
        <f t="shared" si="35"/>
        <v>1.2688524590163934</v>
      </c>
      <c r="AD42" s="48" t="e">
        <f t="shared" si="35"/>
        <v>#DIV/0!</v>
      </c>
      <c r="AE42" s="48">
        <f t="shared" si="35"/>
        <v>1.3066202090592334</v>
      </c>
      <c r="AF42" s="48">
        <f t="shared" si="35"/>
        <v>1.2844786160499759</v>
      </c>
    </row>
    <row r="43" spans="2:32" ht="23.1" customHeight="1" x14ac:dyDescent="0.25">
      <c r="B43" s="45" t="s">
        <v>70</v>
      </c>
      <c r="C43" s="50">
        <v>4</v>
      </c>
      <c r="D43" s="50">
        <f t="shared" si="3"/>
        <v>1</v>
      </c>
      <c r="E43" s="50">
        <v>6</v>
      </c>
      <c r="F43" s="50">
        <v>3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f>SUM('[1]RD4 MCC'!R423:U423)</f>
        <v>0</v>
      </c>
      <c r="M43" s="50">
        <v>25</v>
      </c>
      <c r="N43" s="50">
        <v>0</v>
      </c>
      <c r="O43" s="15">
        <f t="shared" si="0"/>
        <v>17</v>
      </c>
      <c r="P43" s="15">
        <f t="shared" si="1"/>
        <v>42</v>
      </c>
    </row>
    <row r="44" spans="2:32" ht="23.1" customHeight="1" x14ac:dyDescent="0.25">
      <c r="B44" s="47" t="s">
        <v>71</v>
      </c>
      <c r="C44" s="50">
        <v>2</v>
      </c>
      <c r="D44" s="50">
        <f t="shared" si="3"/>
        <v>0</v>
      </c>
      <c r="E44" s="50">
        <v>3</v>
      </c>
      <c r="F44" s="50">
        <v>4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f>SUM('[1]RD4 MCC'!R424:U424)</f>
        <v>0</v>
      </c>
      <c r="M44" s="50">
        <v>26</v>
      </c>
      <c r="N44" s="50">
        <v>0</v>
      </c>
      <c r="O44" s="15">
        <f t="shared" si="0"/>
        <v>17</v>
      </c>
      <c r="P44" s="15">
        <f t="shared" si="1"/>
        <v>43</v>
      </c>
    </row>
    <row r="45" spans="2:32" ht="23.1" customHeight="1" x14ac:dyDescent="0.25">
      <c r="B45" s="45" t="s">
        <v>72</v>
      </c>
      <c r="C45" s="50">
        <v>0</v>
      </c>
      <c r="D45" s="50">
        <f t="shared" si="3"/>
        <v>0</v>
      </c>
      <c r="E45" s="50">
        <v>3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f>SUM('[1]RD4 MCC'!R425:U425)</f>
        <v>0</v>
      </c>
      <c r="M45" s="50">
        <v>19</v>
      </c>
      <c r="N45" s="50">
        <v>0</v>
      </c>
      <c r="O45" s="15">
        <f t="shared" si="0"/>
        <v>6</v>
      </c>
      <c r="P45" s="15">
        <f t="shared" si="1"/>
        <v>25</v>
      </c>
    </row>
    <row r="46" spans="2:32" ht="23.1" customHeight="1" x14ac:dyDescent="0.25">
      <c r="B46" s="46" t="s">
        <v>73</v>
      </c>
      <c r="C46" s="50">
        <v>4</v>
      </c>
      <c r="D46" s="50">
        <f t="shared" si="3"/>
        <v>2</v>
      </c>
      <c r="E46" s="50">
        <v>7</v>
      </c>
      <c r="F46" s="50">
        <v>3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f>SUM('[1]RD4 MCC'!R426:U426)</f>
        <v>0</v>
      </c>
      <c r="M46" s="50">
        <v>21</v>
      </c>
      <c r="N46" s="50">
        <v>0</v>
      </c>
      <c r="O46" s="15">
        <f t="shared" si="0"/>
        <v>18</v>
      </c>
      <c r="P46" s="15">
        <f t="shared" si="1"/>
        <v>39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f t="shared" si="3"/>
        <v>3</v>
      </c>
      <c r="E47" s="50">
        <v>11</v>
      </c>
      <c r="F47" s="50">
        <v>3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f>SUM('[1]RD4 MCC'!R427:U427)</f>
        <v>0</v>
      </c>
      <c r="M47" s="50">
        <v>21</v>
      </c>
      <c r="N47" s="50">
        <v>0</v>
      </c>
      <c r="O47" s="15">
        <f t="shared" si="0"/>
        <v>22</v>
      </c>
      <c r="P47" s="15">
        <f t="shared" si="1"/>
        <v>43</v>
      </c>
      <c r="R47" s="8"/>
      <c r="T47"/>
    </row>
    <row r="48" spans="2:32" ht="23.1" customHeight="1" x14ac:dyDescent="0.25">
      <c r="B48" s="46" t="s">
        <v>75</v>
      </c>
      <c r="C48" s="50">
        <v>4</v>
      </c>
      <c r="D48" s="50">
        <f t="shared" si="3"/>
        <v>1</v>
      </c>
      <c r="E48" s="50">
        <v>4</v>
      </c>
      <c r="F48" s="50">
        <v>5</v>
      </c>
      <c r="G48" s="50">
        <v>0</v>
      </c>
      <c r="H48" s="50">
        <v>0</v>
      </c>
      <c r="I48" s="50">
        <v>5</v>
      </c>
      <c r="J48" s="50">
        <v>0</v>
      </c>
      <c r="K48" s="50">
        <v>0</v>
      </c>
      <c r="L48" s="50">
        <f>SUM('[1]RD4 MCC'!R428:U428)</f>
        <v>0</v>
      </c>
      <c r="M48" s="50">
        <v>15</v>
      </c>
      <c r="N48" s="50">
        <v>0</v>
      </c>
      <c r="O48" s="15">
        <f t="shared" si="0"/>
        <v>19</v>
      </c>
      <c r="P48" s="15">
        <f t="shared" si="1"/>
        <v>34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f t="shared" si="3"/>
        <v>1</v>
      </c>
      <c r="E49" s="50">
        <v>5</v>
      </c>
      <c r="F49" s="50">
        <v>2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f>SUM('[1]RD4 MCC'!R429:U429)</f>
        <v>0</v>
      </c>
      <c r="M49" s="50">
        <v>20</v>
      </c>
      <c r="N49" s="50">
        <v>0</v>
      </c>
      <c r="O49" s="15">
        <f t="shared" si="0"/>
        <v>10</v>
      </c>
      <c r="P49" s="15">
        <f t="shared" si="1"/>
        <v>30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f t="shared" si="3"/>
        <v>1</v>
      </c>
      <c r="E50" s="50">
        <v>6</v>
      </c>
      <c r="F50" s="50">
        <v>0</v>
      </c>
      <c r="G50" s="50">
        <v>0</v>
      </c>
      <c r="H50" s="50">
        <v>0</v>
      </c>
      <c r="I50" s="50">
        <v>5</v>
      </c>
      <c r="J50" s="50">
        <v>3</v>
      </c>
      <c r="K50" s="50">
        <v>0</v>
      </c>
      <c r="L50" s="50">
        <f>SUM('[1]RD4 MCC'!R430:U430)</f>
        <v>0</v>
      </c>
      <c r="M50" s="50">
        <v>19</v>
      </c>
      <c r="N50" s="50">
        <v>0</v>
      </c>
      <c r="O50" s="15">
        <f t="shared" si="0"/>
        <v>16</v>
      </c>
      <c r="P50" s="15">
        <f t="shared" si="1"/>
        <v>35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f t="shared" si="3"/>
        <v>2</v>
      </c>
      <c r="E51" s="50">
        <v>7</v>
      </c>
      <c r="F51" s="50">
        <v>4</v>
      </c>
      <c r="G51" s="50">
        <v>0</v>
      </c>
      <c r="H51" s="50">
        <v>0</v>
      </c>
      <c r="I51" s="50">
        <v>4</v>
      </c>
      <c r="J51" s="50">
        <v>2</v>
      </c>
      <c r="K51" s="50">
        <v>1</v>
      </c>
      <c r="L51" s="50">
        <f>SUM('[1]RD4 MCC'!R431:U431)</f>
        <v>0</v>
      </c>
      <c r="M51" s="50">
        <v>27</v>
      </c>
      <c r="N51" s="50">
        <v>0</v>
      </c>
      <c r="O51" s="15">
        <f t="shared" si="0"/>
        <v>25</v>
      </c>
      <c r="P51" s="15">
        <f t="shared" si="1"/>
        <v>52</v>
      </c>
      <c r="R51" s="8"/>
      <c r="T51"/>
    </row>
    <row r="52" spans="2:20" ht="23.1" customHeight="1" x14ac:dyDescent="0.25">
      <c r="B52" s="46" t="s">
        <v>79</v>
      </c>
      <c r="C52" s="50">
        <v>2</v>
      </c>
      <c r="D52" s="50">
        <f t="shared" si="3"/>
        <v>1</v>
      </c>
      <c r="E52" s="50">
        <v>5</v>
      </c>
      <c r="F52" s="50">
        <v>6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f>SUM('[1]RD4 MCC'!R432:U432)</f>
        <v>0</v>
      </c>
      <c r="M52" s="50">
        <v>33</v>
      </c>
      <c r="N52" s="50">
        <v>0</v>
      </c>
      <c r="O52" s="15">
        <f t="shared" si="0"/>
        <v>18</v>
      </c>
      <c r="P52" s="15">
        <f t="shared" si="1"/>
        <v>51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f t="shared" si="3"/>
        <v>2</v>
      </c>
      <c r="E53" s="50">
        <v>7</v>
      </c>
      <c r="F53" s="50">
        <v>2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f>SUM('[1]RD4 MCC'!R433:U433)</f>
        <v>0</v>
      </c>
      <c r="M53" s="50">
        <v>46</v>
      </c>
      <c r="N53" s="50">
        <v>0</v>
      </c>
      <c r="O53" s="15">
        <f t="shared" si="0"/>
        <v>23</v>
      </c>
      <c r="P53" s="15">
        <f t="shared" si="1"/>
        <v>69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f t="shared" si="3"/>
        <v>0</v>
      </c>
      <c r="E54" s="50">
        <v>2</v>
      </c>
      <c r="F54" s="50">
        <v>4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f>SUM('[1]RD4 MCC'!R434:U434)</f>
        <v>0</v>
      </c>
      <c r="M54" s="50">
        <v>24</v>
      </c>
      <c r="N54" s="50">
        <v>0</v>
      </c>
      <c r="O54" s="15">
        <f t="shared" si="0"/>
        <v>15</v>
      </c>
      <c r="P54" s="15">
        <f t="shared" si="1"/>
        <v>39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f t="shared" si="3"/>
        <v>1</v>
      </c>
      <c r="E55" s="50">
        <v>5</v>
      </c>
      <c r="F55" s="50">
        <v>1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f>SUM('[1]RD4 MCC'!R435:U435)</f>
        <v>0</v>
      </c>
      <c r="M55" s="50">
        <v>27</v>
      </c>
      <c r="N55" s="50">
        <v>0</v>
      </c>
      <c r="O55" s="15">
        <f t="shared" si="0"/>
        <v>16</v>
      </c>
      <c r="P55" s="15">
        <f t="shared" si="1"/>
        <v>43</v>
      </c>
      <c r="R55" s="8"/>
      <c r="T55"/>
    </row>
    <row r="56" spans="2:20" ht="23.1" customHeight="1" x14ac:dyDescent="0.25">
      <c r="B56" s="45" t="s">
        <v>83</v>
      </c>
      <c r="C56" s="50">
        <v>8</v>
      </c>
      <c r="D56" s="50">
        <f t="shared" si="3"/>
        <v>0</v>
      </c>
      <c r="E56" s="50">
        <v>1</v>
      </c>
      <c r="F56" s="50">
        <v>5</v>
      </c>
      <c r="G56" s="50">
        <v>0</v>
      </c>
      <c r="H56" s="50">
        <v>0</v>
      </c>
      <c r="I56" s="50">
        <v>8</v>
      </c>
      <c r="J56" s="50">
        <v>0</v>
      </c>
      <c r="K56" s="50">
        <v>0</v>
      </c>
      <c r="L56" s="50">
        <f>SUM('[1]RD4 MCC'!R436:U436)</f>
        <v>0</v>
      </c>
      <c r="M56" s="50">
        <v>18</v>
      </c>
      <c r="N56" s="50">
        <v>0</v>
      </c>
      <c r="O56" s="15">
        <f t="shared" si="0"/>
        <v>22</v>
      </c>
      <c r="P56" s="15">
        <f t="shared" si="1"/>
        <v>40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f t="shared" si="3"/>
        <v>1</v>
      </c>
      <c r="E57" s="50">
        <v>4</v>
      </c>
      <c r="F57" s="50">
        <v>5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f>SUM('[1]RD4 MCC'!R437:U437)</f>
        <v>0</v>
      </c>
      <c r="M57" s="50">
        <v>26</v>
      </c>
      <c r="N57" s="50">
        <v>0</v>
      </c>
      <c r="O57" s="15">
        <f t="shared" si="0"/>
        <v>15</v>
      </c>
      <c r="P57" s="15">
        <f t="shared" si="1"/>
        <v>41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f t="shared" si="3"/>
        <v>0</v>
      </c>
      <c r="E58" s="50">
        <v>1</v>
      </c>
      <c r="F58" s="50">
        <v>7</v>
      </c>
      <c r="G58" s="50">
        <v>0</v>
      </c>
      <c r="H58" s="50">
        <v>0</v>
      </c>
      <c r="I58" s="50">
        <v>10</v>
      </c>
      <c r="J58" s="50">
        <v>0</v>
      </c>
      <c r="K58" s="50">
        <v>0</v>
      </c>
      <c r="L58" s="50">
        <f>SUM('[1]RD4 MCC'!R438:U438)</f>
        <v>0</v>
      </c>
      <c r="M58" s="50">
        <v>28</v>
      </c>
      <c r="N58" s="50">
        <v>0</v>
      </c>
      <c r="O58" s="15">
        <f t="shared" si="0"/>
        <v>20</v>
      </c>
      <c r="P58" s="15">
        <f t="shared" si="1"/>
        <v>48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f t="shared" si="3"/>
        <v>0</v>
      </c>
      <c r="E59" s="50">
        <v>2</v>
      </c>
      <c r="F59" s="50">
        <v>2</v>
      </c>
      <c r="G59" s="50">
        <v>0</v>
      </c>
      <c r="H59" s="50">
        <v>0</v>
      </c>
      <c r="I59" s="50">
        <v>7</v>
      </c>
      <c r="J59" s="50">
        <v>0</v>
      </c>
      <c r="K59" s="50">
        <v>0</v>
      </c>
      <c r="L59" s="50">
        <f>SUM('[1]RD4 MCC'!R439:U439)</f>
        <v>0</v>
      </c>
      <c r="M59" s="50">
        <v>24</v>
      </c>
      <c r="N59" s="50">
        <v>0</v>
      </c>
      <c r="O59" s="15">
        <f t="shared" si="0"/>
        <v>13</v>
      </c>
      <c r="P59" s="15">
        <f t="shared" si="1"/>
        <v>37</v>
      </c>
      <c r="R59" s="8"/>
      <c r="T59"/>
    </row>
    <row r="60" spans="2:20" ht="23.1" customHeight="1" x14ac:dyDescent="0.25">
      <c r="B60" s="45" t="s">
        <v>101</v>
      </c>
      <c r="C60" s="50">
        <v>3</v>
      </c>
      <c r="D60" s="50">
        <f t="shared" si="3"/>
        <v>0</v>
      </c>
      <c r="E60" s="50">
        <v>1</v>
      </c>
      <c r="F60" s="50">
        <v>3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f>SUM('[1]RD4 MCC'!R440:U440)</f>
        <v>0</v>
      </c>
      <c r="M60" s="50">
        <v>29</v>
      </c>
      <c r="N60" s="50">
        <v>0</v>
      </c>
      <c r="O60" s="15">
        <f t="shared" si="0"/>
        <v>9</v>
      </c>
      <c r="P60" s="15">
        <f t="shared" si="1"/>
        <v>38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f t="shared" si="3"/>
        <v>0</v>
      </c>
      <c r="E61" s="50">
        <v>0</v>
      </c>
      <c r="F61" s="50">
        <v>9</v>
      </c>
      <c r="G61" s="50">
        <v>0</v>
      </c>
      <c r="H61" s="50">
        <v>0</v>
      </c>
      <c r="I61" s="50">
        <v>7</v>
      </c>
      <c r="J61" s="50">
        <v>0</v>
      </c>
      <c r="K61" s="50">
        <v>0</v>
      </c>
      <c r="L61" s="50">
        <f>SUM('[1]RD4 MCC'!R441:U441)</f>
        <v>0</v>
      </c>
      <c r="M61" s="50">
        <v>22</v>
      </c>
      <c r="N61" s="50">
        <v>0</v>
      </c>
      <c r="O61" s="15">
        <f t="shared" si="0"/>
        <v>17</v>
      </c>
      <c r="P61" s="15">
        <f t="shared" si="1"/>
        <v>39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f t="shared" si="3"/>
        <v>1</v>
      </c>
      <c r="E62" s="50">
        <v>4</v>
      </c>
      <c r="F62" s="50">
        <v>2</v>
      </c>
      <c r="G62" s="50">
        <v>0</v>
      </c>
      <c r="H62" s="50">
        <v>0</v>
      </c>
      <c r="I62" s="50">
        <v>6</v>
      </c>
      <c r="J62" s="50">
        <v>0</v>
      </c>
      <c r="K62" s="50">
        <v>0</v>
      </c>
      <c r="L62" s="50">
        <f>SUM('[1]RD4 MCC'!R442:U442)</f>
        <v>0</v>
      </c>
      <c r="M62" s="50">
        <v>26</v>
      </c>
      <c r="N62" s="50">
        <v>0</v>
      </c>
      <c r="O62" s="15">
        <f t="shared" si="0"/>
        <v>14</v>
      </c>
      <c r="P62" s="15">
        <f t="shared" si="1"/>
        <v>40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f t="shared" si="3"/>
        <v>1</v>
      </c>
      <c r="E63" s="50">
        <v>4</v>
      </c>
      <c r="F63" s="50">
        <v>1</v>
      </c>
      <c r="G63" s="50">
        <v>0</v>
      </c>
      <c r="H63" s="50">
        <v>0</v>
      </c>
      <c r="I63" s="50">
        <v>6</v>
      </c>
      <c r="J63" s="50">
        <v>4</v>
      </c>
      <c r="K63" s="50">
        <v>0</v>
      </c>
      <c r="L63" s="50">
        <f>SUM('[1]RD4 MCC'!R443:U443)</f>
        <v>0</v>
      </c>
      <c r="M63" s="50">
        <v>14</v>
      </c>
      <c r="N63" s="50">
        <v>0</v>
      </c>
      <c r="O63" s="15">
        <f t="shared" si="0"/>
        <v>17</v>
      </c>
      <c r="P63" s="15">
        <f t="shared" si="1"/>
        <v>31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f t="shared" si="3"/>
        <v>2</v>
      </c>
      <c r="E64" s="50">
        <v>7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f>SUM('[1]RD4 MCC'!R444:U444)</f>
        <v>0</v>
      </c>
      <c r="M64" s="50">
        <v>20</v>
      </c>
      <c r="N64" s="50">
        <v>0</v>
      </c>
      <c r="O64" s="15">
        <f t="shared" si="0"/>
        <v>11</v>
      </c>
      <c r="P64" s="15">
        <f t="shared" si="1"/>
        <v>31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f t="shared" si="3"/>
        <v>0</v>
      </c>
      <c r="E65" s="50">
        <v>1</v>
      </c>
      <c r="F65" s="50">
        <v>0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f>SUM('[1]RD4 MCC'!R445:U445)</f>
        <v>0</v>
      </c>
      <c r="M65" s="50">
        <v>17</v>
      </c>
      <c r="N65" s="50">
        <v>0</v>
      </c>
      <c r="O65" s="15">
        <f t="shared" si="0"/>
        <v>3</v>
      </c>
      <c r="P65" s="15">
        <f t="shared" si="1"/>
        <v>20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f t="shared" si="3"/>
        <v>1</v>
      </c>
      <c r="E66" s="50">
        <v>4</v>
      </c>
      <c r="F66" s="50">
        <v>4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f>SUM('[1]RD4 MCC'!R446:U446)</f>
        <v>0</v>
      </c>
      <c r="M66" s="50">
        <v>26</v>
      </c>
      <c r="N66" s="50">
        <v>0</v>
      </c>
      <c r="O66" s="15">
        <f t="shared" si="0"/>
        <v>15</v>
      </c>
      <c r="P66" s="15">
        <f t="shared" si="1"/>
        <v>41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f t="shared" si="3"/>
        <v>1</v>
      </c>
      <c r="E67" s="50">
        <v>4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f>SUM('[1]RD4 MCC'!R447:U447)</f>
        <v>0</v>
      </c>
      <c r="M67" s="50">
        <v>9</v>
      </c>
      <c r="N67" s="50">
        <v>0</v>
      </c>
      <c r="O67" s="15">
        <f t="shared" si="0"/>
        <v>7</v>
      </c>
      <c r="P67" s="15">
        <f t="shared" si="1"/>
        <v>16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f t="shared" si="3"/>
        <v>1</v>
      </c>
      <c r="E68" s="50">
        <v>4</v>
      </c>
      <c r="F68" s="50">
        <v>1</v>
      </c>
      <c r="G68" s="50">
        <v>0</v>
      </c>
      <c r="H68" s="50">
        <v>0</v>
      </c>
      <c r="I68" s="50">
        <v>2</v>
      </c>
      <c r="J68" s="50">
        <v>1</v>
      </c>
      <c r="K68" s="50">
        <v>1</v>
      </c>
      <c r="L68" s="50">
        <f>SUM('[1]RD4 MCC'!R448:U448)</f>
        <v>0</v>
      </c>
      <c r="M68" s="50">
        <v>16</v>
      </c>
      <c r="N68" s="50">
        <v>0</v>
      </c>
      <c r="O68" s="15">
        <f t="shared" si="0"/>
        <v>12</v>
      </c>
      <c r="P68" s="15">
        <f t="shared" si="1"/>
        <v>28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f t="shared" si="3"/>
        <v>0</v>
      </c>
      <c r="E69" s="50">
        <v>2</v>
      </c>
      <c r="F69" s="50">
        <v>2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f>SUM('[1]RD4 MCC'!R449:U449)</f>
        <v>0</v>
      </c>
      <c r="M69" s="50">
        <v>12</v>
      </c>
      <c r="N69" s="50">
        <v>0</v>
      </c>
      <c r="O69" s="15">
        <f t="shared" si="0"/>
        <v>6</v>
      </c>
      <c r="P69" s="15">
        <f t="shared" si="1"/>
        <v>18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f t="shared" si="3"/>
        <v>0</v>
      </c>
      <c r="E70" s="50">
        <v>0</v>
      </c>
      <c r="F70" s="50">
        <v>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f>SUM('[1]RD4 MCC'!R450:U450)</f>
        <v>0</v>
      </c>
      <c r="M70" s="50">
        <v>9</v>
      </c>
      <c r="N70" s="50">
        <v>0</v>
      </c>
      <c r="O70" s="15">
        <f t="shared" si="0"/>
        <v>2</v>
      </c>
      <c r="P70" s="15">
        <f t="shared" si="1"/>
        <v>11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f t="shared" si="3"/>
        <v>0</v>
      </c>
      <c r="E71" s="50">
        <v>2</v>
      </c>
      <c r="F71" s="50">
        <v>0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f>SUM('[1]RD4 MCC'!R451:U451)</f>
        <v>0</v>
      </c>
      <c r="M71" s="50">
        <v>9</v>
      </c>
      <c r="N71" s="50">
        <v>0</v>
      </c>
      <c r="O71" s="15">
        <f t="shared" si="0"/>
        <v>5</v>
      </c>
      <c r="P71" s="15">
        <f t="shared" si="1"/>
        <v>14</v>
      </c>
      <c r="R71" s="8"/>
      <c r="T71"/>
    </row>
    <row r="72" spans="2:20" ht="23.1" customHeight="1" x14ac:dyDescent="0.25">
      <c r="B72" s="45" t="s">
        <v>112</v>
      </c>
      <c r="C72" s="50">
        <v>3</v>
      </c>
      <c r="D72" s="50">
        <f t="shared" si="3"/>
        <v>0</v>
      </c>
      <c r="E72" s="50">
        <v>0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f>SUM('[1]RD4 MCC'!R452:U452)</f>
        <v>0</v>
      </c>
      <c r="M72" s="50">
        <v>14</v>
      </c>
      <c r="N72" s="50">
        <v>0</v>
      </c>
      <c r="O72" s="15">
        <f t="shared" si="0"/>
        <v>4</v>
      </c>
      <c r="P72" s="15">
        <f t="shared" si="1"/>
        <v>18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f t="shared" si="3"/>
        <v>0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f>SUM('[1]RD4 MCC'!R453:U453)</f>
        <v>0</v>
      </c>
      <c r="M73" s="50">
        <v>4</v>
      </c>
      <c r="N73" s="50">
        <v>0</v>
      </c>
      <c r="O73" s="15">
        <f t="shared" si="0"/>
        <v>4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f t="shared" si="3"/>
        <v>0</v>
      </c>
      <c r="E74" s="50">
        <v>0</v>
      </c>
      <c r="F74" s="50">
        <v>1</v>
      </c>
      <c r="G74" s="50">
        <v>0</v>
      </c>
      <c r="H74" s="50">
        <v>0</v>
      </c>
      <c r="I74" s="50">
        <v>1</v>
      </c>
      <c r="J74" s="50">
        <v>0</v>
      </c>
      <c r="K74" s="50">
        <v>0</v>
      </c>
      <c r="L74" s="50">
        <f>SUM('[1]RD4 MCC'!R454:U454)</f>
        <v>0</v>
      </c>
      <c r="M74" s="50">
        <v>3</v>
      </c>
      <c r="N74" s="50">
        <v>0</v>
      </c>
      <c r="O74" s="15">
        <f t="shared" ref="O74:O105" si="36">SUM(C74:L74,N74)</f>
        <v>3</v>
      </c>
      <c r="P74" s="15">
        <f t="shared" ref="P74:P105" si="37">SUM(C74:N74)</f>
        <v>6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f t="shared" ref="D75:D105" si="38">ROUNDDOWN((0.3*E75),0)</f>
        <v>1</v>
      </c>
      <c r="E75" s="50">
        <v>4</v>
      </c>
      <c r="F75" s="50">
        <v>2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f>SUM('[1]RD4 MCC'!R455:U455)</f>
        <v>0</v>
      </c>
      <c r="M75" s="50">
        <v>8</v>
      </c>
      <c r="N75" s="50">
        <v>0</v>
      </c>
      <c r="O75" s="15">
        <f t="shared" si="36"/>
        <v>11</v>
      </c>
      <c r="P75" s="15">
        <f t="shared" si="37"/>
        <v>19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f t="shared" si="38"/>
        <v>0</v>
      </c>
      <c r="E76" s="50">
        <v>2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f>SUM('[1]RD4 MCC'!R456:U456)</f>
        <v>0</v>
      </c>
      <c r="M76" s="50">
        <v>0</v>
      </c>
      <c r="N76" s="50">
        <v>0</v>
      </c>
      <c r="O76" s="15">
        <f t="shared" si="36"/>
        <v>3</v>
      </c>
      <c r="P76" s="15">
        <f t="shared" si="37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f t="shared" si="38"/>
        <v>0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f>SUM('[1]RD4 MCC'!R457:U457)</f>
        <v>0</v>
      </c>
      <c r="M77" s="50">
        <v>2</v>
      </c>
      <c r="N77" s="50">
        <v>0</v>
      </c>
      <c r="O77" s="15">
        <f t="shared" si="36"/>
        <v>3</v>
      </c>
      <c r="P77" s="15">
        <f t="shared" si="37"/>
        <v>5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f t="shared" si="38"/>
        <v>0</v>
      </c>
      <c r="E78" s="50">
        <v>1</v>
      </c>
      <c r="F78" s="50">
        <v>0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f>SUM('[1]RD4 MCC'!R458:U458)</f>
        <v>0</v>
      </c>
      <c r="M78" s="50">
        <v>3</v>
      </c>
      <c r="N78" s="50">
        <v>0</v>
      </c>
      <c r="O78" s="15">
        <f t="shared" si="36"/>
        <v>4</v>
      </c>
      <c r="P78" s="15">
        <f t="shared" si="37"/>
        <v>7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f t="shared" si="38"/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f>SUM('[1]RD4 MCC'!R459:U459)</f>
        <v>0</v>
      </c>
      <c r="M79" s="50">
        <v>2</v>
      </c>
      <c r="N79" s="50">
        <v>0</v>
      </c>
      <c r="O79" s="15">
        <f t="shared" si="36"/>
        <v>1</v>
      </c>
      <c r="P79" s="15">
        <f t="shared" si="37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f t="shared" si="38"/>
        <v>0</v>
      </c>
      <c r="E80" s="50">
        <v>1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f>SUM('[1]RD4 MCC'!R460:U460)</f>
        <v>0</v>
      </c>
      <c r="M80" s="50">
        <v>1</v>
      </c>
      <c r="N80" s="50">
        <v>0</v>
      </c>
      <c r="O80" s="15">
        <f t="shared" si="36"/>
        <v>2</v>
      </c>
      <c r="P80" s="15">
        <f t="shared" si="37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f t="shared" si="38"/>
        <v>0</v>
      </c>
      <c r="E81" s="50">
        <v>0</v>
      </c>
      <c r="F81" s="50">
        <v>0</v>
      </c>
      <c r="G81" s="50">
        <v>0</v>
      </c>
      <c r="H81" s="50">
        <v>0</v>
      </c>
      <c r="I81" s="50">
        <v>3</v>
      </c>
      <c r="J81" s="50">
        <v>0</v>
      </c>
      <c r="K81" s="50">
        <v>0</v>
      </c>
      <c r="L81" s="50">
        <f>SUM('[1]RD4 MCC'!R461:U461)</f>
        <v>0</v>
      </c>
      <c r="M81" s="50">
        <v>3</v>
      </c>
      <c r="N81" s="50">
        <v>0</v>
      </c>
      <c r="O81" s="15">
        <f t="shared" si="36"/>
        <v>3</v>
      </c>
      <c r="P81" s="15">
        <f t="shared" si="37"/>
        <v>6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f t="shared" si="38"/>
        <v>0</v>
      </c>
      <c r="E82" s="50">
        <v>1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f>SUM('[1]RD4 MCC'!R462:U462)</f>
        <v>0</v>
      </c>
      <c r="M82" s="50">
        <v>1</v>
      </c>
      <c r="N82" s="50">
        <v>0</v>
      </c>
      <c r="O82" s="15">
        <f t="shared" si="36"/>
        <v>2</v>
      </c>
      <c r="P82" s="15">
        <f t="shared" si="37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f t="shared" si="38"/>
        <v>0</v>
      </c>
      <c r="E83" s="50">
        <v>2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f>SUM('[1]RD4 MCC'!R463:U463)</f>
        <v>0</v>
      </c>
      <c r="M83" s="50">
        <v>2</v>
      </c>
      <c r="N83" s="50">
        <v>0</v>
      </c>
      <c r="O83" s="15">
        <f t="shared" si="36"/>
        <v>3</v>
      </c>
      <c r="P83" s="15">
        <f t="shared" si="37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f t="shared" si="38"/>
        <v>0</v>
      </c>
      <c r="E84" s="50">
        <v>2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f>SUM('[1]RD4 MCC'!R464:U464)</f>
        <v>0</v>
      </c>
      <c r="M84" s="50">
        <v>0</v>
      </c>
      <c r="N84" s="50">
        <v>0</v>
      </c>
      <c r="O84" s="15">
        <f t="shared" si="36"/>
        <v>3</v>
      </c>
      <c r="P84" s="15">
        <f t="shared" si="37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f t="shared" si="38"/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f>SUM('[1]RD4 MCC'!R465:U465)</f>
        <v>0</v>
      </c>
      <c r="M85" s="50">
        <v>0</v>
      </c>
      <c r="N85" s="50">
        <v>0</v>
      </c>
      <c r="O85" s="15">
        <f t="shared" si="36"/>
        <v>0</v>
      </c>
      <c r="P85" s="15">
        <f t="shared" si="37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f t="shared" si="38"/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f>SUM('[1]RD4 MCC'!R466:U466)</f>
        <v>0</v>
      </c>
      <c r="M86" s="50">
        <v>1</v>
      </c>
      <c r="N86" s="50">
        <v>0</v>
      </c>
      <c r="O86" s="15">
        <f t="shared" si="36"/>
        <v>1</v>
      </c>
      <c r="P86" s="15">
        <f t="shared" si="37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f t="shared" si="38"/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f>SUM('[1]RD4 MCC'!R467:U467)</f>
        <v>0</v>
      </c>
      <c r="M87" s="50">
        <v>3</v>
      </c>
      <c r="N87" s="50">
        <v>0</v>
      </c>
      <c r="O87" s="15">
        <f t="shared" si="36"/>
        <v>1</v>
      </c>
      <c r="P87" s="15">
        <f t="shared" si="37"/>
        <v>4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f t="shared" si="38"/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f>SUM('[1]RD4 MCC'!R468:U468)</f>
        <v>0</v>
      </c>
      <c r="M88" s="50">
        <v>0</v>
      </c>
      <c r="N88" s="50">
        <v>0</v>
      </c>
      <c r="O88" s="15">
        <f t="shared" si="36"/>
        <v>0</v>
      </c>
      <c r="P88" s="15">
        <f t="shared" si="37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f t="shared" si="38"/>
        <v>0</v>
      </c>
      <c r="E89" s="50">
        <v>0</v>
      </c>
      <c r="F89" s="50">
        <v>0</v>
      </c>
      <c r="G89" s="50">
        <v>0</v>
      </c>
      <c r="H89" s="50">
        <v>0</v>
      </c>
      <c r="I89" s="50">
        <v>4</v>
      </c>
      <c r="J89" s="50">
        <v>1</v>
      </c>
      <c r="K89" s="50">
        <v>0</v>
      </c>
      <c r="L89" s="50">
        <f>SUM('[1]RD4 MCC'!R469:U469)</f>
        <v>0</v>
      </c>
      <c r="M89" s="50">
        <v>0</v>
      </c>
      <c r="N89" s="50">
        <v>0</v>
      </c>
      <c r="O89" s="15">
        <f t="shared" si="36"/>
        <v>5</v>
      </c>
      <c r="P89" s="15">
        <f t="shared" si="37"/>
        <v>5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f t="shared" si="38"/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f>SUM('[1]RD4 MCC'!R470:U470)</f>
        <v>0</v>
      </c>
      <c r="M90" s="50">
        <v>0</v>
      </c>
      <c r="N90" s="50">
        <v>0</v>
      </c>
      <c r="O90" s="15">
        <f t="shared" si="36"/>
        <v>1</v>
      </c>
      <c r="P90" s="15">
        <f t="shared" si="37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f t="shared" si="38"/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f>SUM('[1]RD4 MCC'!R471:U471)</f>
        <v>0</v>
      </c>
      <c r="M91" s="50">
        <v>0</v>
      </c>
      <c r="N91" s="50">
        <v>0</v>
      </c>
      <c r="O91" s="15">
        <f t="shared" si="36"/>
        <v>0</v>
      </c>
      <c r="P91" s="15">
        <f t="shared" si="37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f t="shared" si="38"/>
        <v>0</v>
      </c>
      <c r="E92" s="50">
        <v>1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f>SUM('[1]RD4 MCC'!R472:U472)</f>
        <v>0</v>
      </c>
      <c r="M92" s="50">
        <v>0</v>
      </c>
      <c r="N92" s="50">
        <v>0</v>
      </c>
      <c r="O92" s="15">
        <f t="shared" si="36"/>
        <v>2</v>
      </c>
      <c r="P92" s="15">
        <f t="shared" si="37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f t="shared" si="38"/>
        <v>0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f>SUM('[1]RD4 MCC'!R473:U473)</f>
        <v>0</v>
      </c>
      <c r="M93" s="50">
        <v>1</v>
      </c>
      <c r="N93" s="50">
        <v>0</v>
      </c>
      <c r="O93" s="15">
        <f t="shared" si="36"/>
        <v>2</v>
      </c>
      <c r="P93" s="15">
        <f t="shared" si="37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f t="shared" si="38"/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f>SUM('[1]RD4 MCC'!R474:U474)</f>
        <v>0</v>
      </c>
      <c r="M94" s="50">
        <v>1</v>
      </c>
      <c r="N94" s="50">
        <v>0</v>
      </c>
      <c r="O94" s="15">
        <f t="shared" si="36"/>
        <v>1</v>
      </c>
      <c r="P94" s="15">
        <f t="shared" si="37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f t="shared" si="38"/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f>SUM('[1]RD4 MCC'!R475:U475)</f>
        <v>0</v>
      </c>
      <c r="M95" s="50">
        <v>1</v>
      </c>
      <c r="N95" s="50">
        <v>0</v>
      </c>
      <c r="O95" s="15">
        <f t="shared" si="36"/>
        <v>0</v>
      </c>
      <c r="P95" s="15">
        <f t="shared" si="37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f t="shared" si="38"/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f>SUM('[1]RD4 MCC'!R476:U476)</f>
        <v>0</v>
      </c>
      <c r="M96" s="50">
        <v>1</v>
      </c>
      <c r="N96" s="50">
        <v>0</v>
      </c>
      <c r="O96" s="15">
        <f t="shared" si="36"/>
        <v>1</v>
      </c>
      <c r="P96" s="15">
        <f t="shared" si="37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f t="shared" si="38"/>
        <v>0</v>
      </c>
      <c r="E97" s="50">
        <v>0</v>
      </c>
      <c r="F97" s="50">
        <v>0</v>
      </c>
      <c r="G97" s="50">
        <v>0</v>
      </c>
      <c r="H97" s="50">
        <v>0</v>
      </c>
      <c r="I97" s="50">
        <v>6</v>
      </c>
      <c r="J97" s="50">
        <v>0</v>
      </c>
      <c r="K97" s="50">
        <v>0</v>
      </c>
      <c r="L97" s="50">
        <f>SUM('[1]RD4 MCC'!R477:U477)</f>
        <v>0</v>
      </c>
      <c r="M97" s="50">
        <v>0</v>
      </c>
      <c r="N97" s="50">
        <v>0</v>
      </c>
      <c r="O97" s="15">
        <f t="shared" si="36"/>
        <v>6</v>
      </c>
      <c r="P97" s="15">
        <f t="shared" si="37"/>
        <v>6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f t="shared" si="38"/>
        <v>0</v>
      </c>
      <c r="E98" s="50">
        <v>1</v>
      </c>
      <c r="F98" s="50">
        <v>0</v>
      </c>
      <c r="G98" s="50">
        <v>0</v>
      </c>
      <c r="H98" s="50">
        <v>0</v>
      </c>
      <c r="I98" s="50">
        <v>2</v>
      </c>
      <c r="J98" s="50">
        <v>0</v>
      </c>
      <c r="K98" s="50">
        <v>1</v>
      </c>
      <c r="L98" s="50">
        <f>SUM('[1]RD4 MCC'!R478:U478)</f>
        <v>0</v>
      </c>
      <c r="M98" s="50">
        <v>1</v>
      </c>
      <c r="N98" s="50">
        <v>0</v>
      </c>
      <c r="O98" s="15">
        <f t="shared" si="36"/>
        <v>4</v>
      </c>
      <c r="P98" s="15">
        <f t="shared" si="37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f t="shared" si="38"/>
        <v>0</v>
      </c>
      <c r="E99" s="50">
        <v>2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f>SUM('[1]RD4 MCC'!R479:U479)</f>
        <v>0</v>
      </c>
      <c r="M99" s="50">
        <v>1</v>
      </c>
      <c r="N99" s="50">
        <v>0</v>
      </c>
      <c r="O99" s="15">
        <f t="shared" si="36"/>
        <v>3</v>
      </c>
      <c r="P99" s="15">
        <f t="shared" si="37"/>
        <v>4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f t="shared" si="38"/>
        <v>0</v>
      </c>
      <c r="E100" s="50">
        <v>3</v>
      </c>
      <c r="F100" s="50">
        <v>0</v>
      </c>
      <c r="G100" s="50">
        <v>0</v>
      </c>
      <c r="H100" s="50">
        <v>1</v>
      </c>
      <c r="I100" s="50">
        <v>1</v>
      </c>
      <c r="J100" s="50">
        <v>0</v>
      </c>
      <c r="K100" s="50">
        <v>0</v>
      </c>
      <c r="L100" s="50">
        <f>SUM('[1]RD4 MCC'!R480:U480)</f>
        <v>0</v>
      </c>
      <c r="M100" s="50">
        <v>3</v>
      </c>
      <c r="N100" s="50">
        <v>0</v>
      </c>
      <c r="O100" s="15">
        <f t="shared" si="36"/>
        <v>5</v>
      </c>
      <c r="P100" s="15">
        <f t="shared" si="37"/>
        <v>8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f t="shared" si="38"/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f>SUM('[1]RD4 MCC'!R481:U481)</f>
        <v>0</v>
      </c>
      <c r="M101" s="50">
        <v>0</v>
      </c>
      <c r="N101" s="50">
        <v>0</v>
      </c>
      <c r="O101" s="15">
        <f t="shared" si="36"/>
        <v>0</v>
      </c>
      <c r="P101" s="15">
        <f t="shared" si="37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f t="shared" si="38"/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f>SUM('[1]RD4 MCC'!R482:U482)</f>
        <v>0</v>
      </c>
      <c r="M102" s="50">
        <v>1</v>
      </c>
      <c r="N102" s="50">
        <v>0</v>
      </c>
      <c r="O102" s="15">
        <f t="shared" si="36"/>
        <v>1</v>
      </c>
      <c r="P102" s="15">
        <f t="shared" si="37"/>
        <v>2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f t="shared" si="38"/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9</v>
      </c>
      <c r="J103" s="50">
        <v>0</v>
      </c>
      <c r="K103" s="50">
        <v>0</v>
      </c>
      <c r="L103" s="50">
        <f>SUM('[1]RD4 MCC'!R483:U483)</f>
        <v>0</v>
      </c>
      <c r="M103" s="50">
        <v>3</v>
      </c>
      <c r="N103" s="50">
        <v>0</v>
      </c>
      <c r="O103" s="15">
        <f t="shared" si="36"/>
        <v>13</v>
      </c>
      <c r="P103" s="15">
        <f t="shared" si="37"/>
        <v>16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f t="shared" si="38"/>
        <v>0</v>
      </c>
      <c r="E104" s="50">
        <v>1</v>
      </c>
      <c r="F104" s="50">
        <v>1</v>
      </c>
      <c r="G104" s="50">
        <v>0</v>
      </c>
      <c r="H104" s="50">
        <v>0</v>
      </c>
      <c r="I104" s="50">
        <v>10</v>
      </c>
      <c r="J104" s="50">
        <v>0</v>
      </c>
      <c r="K104" s="50">
        <v>0</v>
      </c>
      <c r="L104" s="50">
        <f>SUM('[1]RD4 MCC'!R484:U484)</f>
        <v>0</v>
      </c>
      <c r="M104" s="50">
        <v>3</v>
      </c>
      <c r="N104" s="50">
        <v>0</v>
      </c>
      <c r="O104" s="15">
        <f t="shared" si="36"/>
        <v>12</v>
      </c>
      <c r="P104" s="15">
        <f t="shared" si="37"/>
        <v>15</v>
      </c>
      <c r="R104" s="8"/>
      <c r="T104"/>
    </row>
    <row r="105" spans="2:20" ht="23.1" customHeight="1" x14ac:dyDescent="0.25">
      <c r="B105" s="45" t="s">
        <v>145</v>
      </c>
      <c r="C105" s="50">
        <v>1</v>
      </c>
      <c r="D105" s="50">
        <f t="shared" si="38"/>
        <v>0</v>
      </c>
      <c r="E105" s="50">
        <v>2</v>
      </c>
      <c r="F105" s="50">
        <v>3</v>
      </c>
      <c r="G105" s="50">
        <v>0</v>
      </c>
      <c r="H105" s="50">
        <v>0</v>
      </c>
      <c r="I105" s="50">
        <v>3</v>
      </c>
      <c r="J105" s="50">
        <v>0</v>
      </c>
      <c r="K105" s="50">
        <v>0</v>
      </c>
      <c r="L105" s="50">
        <f>SUM('[1]RD4 MCC'!R485:U485)</f>
        <v>0</v>
      </c>
      <c r="M105" s="50">
        <v>4</v>
      </c>
      <c r="N105" s="50">
        <v>0</v>
      </c>
      <c r="O105" s="15">
        <f t="shared" si="36"/>
        <v>9</v>
      </c>
      <c r="P105" s="15">
        <f t="shared" si="37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184</v>
      </c>
      <c r="D106" s="16">
        <f t="shared" ref="D106:P106" si="39">SUM(D10:D105)</f>
        <v>66</v>
      </c>
      <c r="E106" s="16">
        <f t="shared" si="39"/>
        <v>331</v>
      </c>
      <c r="F106" s="16">
        <f t="shared" si="39"/>
        <v>224</v>
      </c>
      <c r="G106" s="16">
        <f t="shared" si="39"/>
        <v>12</v>
      </c>
      <c r="H106" s="16">
        <f t="shared" si="39"/>
        <v>2</v>
      </c>
      <c r="I106" s="16">
        <f t="shared" si="39"/>
        <v>285</v>
      </c>
      <c r="J106" s="16">
        <f t="shared" si="39"/>
        <v>15</v>
      </c>
      <c r="K106" s="16">
        <f t="shared" si="39"/>
        <v>6</v>
      </c>
      <c r="L106" s="16">
        <f t="shared" si="39"/>
        <v>0</v>
      </c>
      <c r="M106" s="16">
        <f t="shared" si="39"/>
        <v>1548</v>
      </c>
      <c r="N106" s="16">
        <f t="shared" si="39"/>
        <v>0</v>
      </c>
      <c r="O106" s="16">
        <f t="shared" si="39"/>
        <v>1125</v>
      </c>
      <c r="P106" s="16">
        <f t="shared" si="39"/>
        <v>2673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40">C106/$P$106</f>
        <v>6.8836513280957731E-2</v>
      </c>
      <c r="D107" s="43">
        <f t="shared" si="40"/>
        <v>2.4691358024691357E-2</v>
      </c>
      <c r="E107" s="43">
        <f t="shared" si="40"/>
        <v>0.12383090160867939</v>
      </c>
      <c r="F107" s="43">
        <f t="shared" si="40"/>
        <v>8.3800972689861572E-2</v>
      </c>
      <c r="G107" s="43">
        <f t="shared" si="40"/>
        <v>4.4893378226711564E-3</v>
      </c>
      <c r="H107" s="43">
        <f t="shared" si="40"/>
        <v>7.4822297044519262E-4</v>
      </c>
      <c r="I107" s="43">
        <f t="shared" si="40"/>
        <v>0.10662177328843996</v>
      </c>
      <c r="J107" s="43">
        <f t="shared" si="40"/>
        <v>5.6116722783389446E-3</v>
      </c>
      <c r="K107" s="43">
        <f t="shared" si="40"/>
        <v>2.2446689113355782E-3</v>
      </c>
      <c r="L107" s="43">
        <f t="shared" si="40"/>
        <v>0</v>
      </c>
      <c r="M107" s="43">
        <f t="shared" si="40"/>
        <v>0.57912457912457915</v>
      </c>
      <c r="N107" s="43">
        <f t="shared" si="40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0.16355555555555557</v>
      </c>
      <c r="D108" s="44">
        <f t="shared" ref="D108:N108" si="41">D106/$O$106</f>
        <v>5.8666666666666666E-2</v>
      </c>
      <c r="E108" s="44">
        <f t="shared" si="41"/>
        <v>0.29422222222222222</v>
      </c>
      <c r="F108" s="44">
        <f t="shared" si="41"/>
        <v>0.1991111111111111</v>
      </c>
      <c r="G108" s="44">
        <f t="shared" si="41"/>
        <v>1.0666666666666666E-2</v>
      </c>
      <c r="H108" s="44">
        <f t="shared" si="41"/>
        <v>1.7777777777777779E-3</v>
      </c>
      <c r="I108" s="44">
        <f t="shared" si="41"/>
        <v>0.25333333333333335</v>
      </c>
      <c r="J108" s="44">
        <f t="shared" si="41"/>
        <v>1.3333333333333334E-2</v>
      </c>
      <c r="K108" s="44">
        <f t="shared" si="41"/>
        <v>5.3333333333333332E-3</v>
      </c>
      <c r="L108" s="44">
        <f t="shared" si="41"/>
        <v>0</v>
      </c>
      <c r="M108" s="44"/>
      <c r="N108" s="44">
        <f t="shared" si="41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'21.08 Mbale-Sironko'!G5:H5</f>
        <v>xxx</v>
      </c>
      <c r="H5" s="67"/>
      <c r="I5" s="14"/>
      <c r="J5" s="2" t="s">
        <v>5</v>
      </c>
      <c r="K5" s="66" t="str">
        <f>'21.08 Mbale-Sironko'!K5:L5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'21.08 Mbale-Sironko'!K6:L6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1</v>
      </c>
      <c r="G10" s="50">
        <v>0</v>
      </c>
      <c r="H10" s="50">
        <v>0</v>
      </c>
      <c r="I10" s="50">
        <v>1</v>
      </c>
      <c r="J10" s="50">
        <v>1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22</v>
      </c>
      <c r="R10" s="1" t="s">
        <v>6</v>
      </c>
      <c r="S10" s="17">
        <f t="shared" ref="S10:AF10" si="2">SUM(C10:C13)</f>
        <v>6</v>
      </c>
      <c r="T10" s="17">
        <f t="shared" si="2"/>
        <v>4</v>
      </c>
      <c r="U10" s="17">
        <f t="shared" si="2"/>
        <v>17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101</v>
      </c>
      <c r="AD10" s="17">
        <f t="shared" si="2"/>
        <v>0</v>
      </c>
      <c r="AE10" s="31">
        <f t="shared" si="2"/>
        <v>43</v>
      </c>
      <c r="AF10" s="31">
        <f t="shared" si="2"/>
        <v>144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4</v>
      </c>
      <c r="F11" s="50">
        <v>3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13</v>
      </c>
      <c r="P11" s="15">
        <f t="shared" si="1"/>
        <v>44</v>
      </c>
      <c r="R11" s="1" t="s">
        <v>7</v>
      </c>
      <c r="S11" s="17">
        <f t="shared" ref="S11:AF11" si="3">SUM(C14:C17)</f>
        <v>10</v>
      </c>
      <c r="T11" s="17">
        <f t="shared" si="3"/>
        <v>1</v>
      </c>
      <c r="U11" s="17">
        <f t="shared" si="3"/>
        <v>11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84</v>
      </c>
      <c r="AD11" s="17">
        <f t="shared" si="3"/>
        <v>0</v>
      </c>
      <c r="AE11" s="31">
        <f t="shared" si="3"/>
        <v>29</v>
      </c>
      <c r="AF11" s="31">
        <f t="shared" si="3"/>
        <v>113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4</v>
      </c>
      <c r="F12" s="50">
        <v>4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26</v>
      </c>
      <c r="N12" s="50">
        <v>0</v>
      </c>
      <c r="O12" s="15">
        <f t="shared" si="0"/>
        <v>11</v>
      </c>
      <c r="P12" s="15">
        <f t="shared" si="1"/>
        <v>37</v>
      </c>
      <c r="R12" s="1" t="s">
        <v>8</v>
      </c>
      <c r="S12" s="17">
        <f t="shared" ref="S12:AF12" si="4">SUM(C18:C21)</f>
        <v>12</v>
      </c>
      <c r="T12" s="17">
        <f t="shared" si="4"/>
        <v>3</v>
      </c>
      <c r="U12" s="17">
        <f t="shared" si="4"/>
        <v>19</v>
      </c>
      <c r="V12" s="17">
        <f t="shared" si="4"/>
        <v>18</v>
      </c>
      <c r="W12" s="17">
        <f t="shared" si="4"/>
        <v>1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112</v>
      </c>
      <c r="AD12" s="17">
        <f t="shared" si="4"/>
        <v>0</v>
      </c>
      <c r="AE12" s="31">
        <f t="shared" si="4"/>
        <v>57</v>
      </c>
      <c r="AF12" s="31">
        <f t="shared" si="4"/>
        <v>169</v>
      </c>
    </row>
    <row r="13" spans="2:32" ht="23.1" customHeight="1" x14ac:dyDescent="0.25">
      <c r="B13" s="23" t="s">
        <v>40</v>
      </c>
      <c r="C13" s="50">
        <v>1</v>
      </c>
      <c r="D13" s="50">
        <v>2</v>
      </c>
      <c r="E13" s="50">
        <v>8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29</v>
      </c>
      <c r="N13" s="50">
        <v>0</v>
      </c>
      <c r="O13" s="15">
        <f t="shared" si="0"/>
        <v>12</v>
      </c>
      <c r="P13" s="15">
        <f t="shared" si="1"/>
        <v>41</v>
      </c>
      <c r="R13" s="1" t="s">
        <v>9</v>
      </c>
      <c r="S13" s="17">
        <f t="shared" ref="S13:AF13" si="5">SUM(C22:C25)</f>
        <v>10</v>
      </c>
      <c r="T13" s="17">
        <f t="shared" si="5"/>
        <v>4</v>
      </c>
      <c r="U13" s="17">
        <f t="shared" si="5"/>
        <v>22</v>
      </c>
      <c r="V13" s="17">
        <f t="shared" si="5"/>
        <v>19</v>
      </c>
      <c r="W13" s="17">
        <f t="shared" si="5"/>
        <v>0</v>
      </c>
      <c r="X13" s="17">
        <f t="shared" si="5"/>
        <v>2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125</v>
      </c>
      <c r="AD13" s="17">
        <f t="shared" si="5"/>
        <v>0</v>
      </c>
      <c r="AE13" s="31">
        <f t="shared" si="5"/>
        <v>59</v>
      </c>
      <c r="AF13" s="31">
        <f t="shared" si="5"/>
        <v>184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5</v>
      </c>
      <c r="P14" s="15">
        <f t="shared" si="1"/>
        <v>18</v>
      </c>
      <c r="R14" s="1" t="s">
        <v>10</v>
      </c>
      <c r="S14" s="17">
        <f t="shared" ref="S14:AF14" si="6">SUM(C26:C29)</f>
        <v>12</v>
      </c>
      <c r="T14" s="17">
        <f t="shared" si="6"/>
        <v>5</v>
      </c>
      <c r="U14" s="17">
        <f t="shared" si="6"/>
        <v>21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123</v>
      </c>
      <c r="AD14" s="17">
        <f t="shared" si="6"/>
        <v>0</v>
      </c>
      <c r="AE14" s="31">
        <f t="shared" si="6"/>
        <v>55</v>
      </c>
      <c r="AF14" s="31">
        <f t="shared" si="6"/>
        <v>178</v>
      </c>
    </row>
    <row r="15" spans="2:32" ht="23.1" customHeight="1" x14ac:dyDescent="0.25">
      <c r="B15" s="23" t="s">
        <v>42</v>
      </c>
      <c r="C15" s="50">
        <v>2</v>
      </c>
      <c r="D15" s="50">
        <v>1</v>
      </c>
      <c r="E15" s="50">
        <v>5</v>
      </c>
      <c r="F15" s="50">
        <v>2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26</v>
      </c>
      <c r="N15" s="50">
        <v>0</v>
      </c>
      <c r="O15" s="15">
        <f t="shared" si="0"/>
        <v>10</v>
      </c>
      <c r="P15" s="15">
        <f t="shared" si="1"/>
        <v>36</v>
      </c>
      <c r="R15" s="1" t="s">
        <v>11</v>
      </c>
      <c r="S15" s="17">
        <f t="shared" ref="S15:AF15" si="7">SUM(C30:C33)</f>
        <v>13</v>
      </c>
      <c r="T15" s="17">
        <f t="shared" si="7"/>
        <v>4</v>
      </c>
      <c r="U15" s="17">
        <f t="shared" si="7"/>
        <v>21</v>
      </c>
      <c r="V15" s="17">
        <f t="shared" si="7"/>
        <v>22</v>
      </c>
      <c r="W15" s="17">
        <f t="shared" si="7"/>
        <v>2</v>
      </c>
      <c r="X15" s="17">
        <f t="shared" si="7"/>
        <v>2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119</v>
      </c>
      <c r="AD15" s="17">
        <f t="shared" si="7"/>
        <v>2</v>
      </c>
      <c r="AE15" s="31">
        <f t="shared" si="7"/>
        <v>69</v>
      </c>
      <c r="AF15" s="31">
        <f t="shared" si="7"/>
        <v>188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25</v>
      </c>
      <c r="N16" s="50">
        <v>0</v>
      </c>
      <c r="O16" s="15">
        <f t="shared" si="0"/>
        <v>5</v>
      </c>
      <c r="P16" s="15">
        <f t="shared" si="1"/>
        <v>30</v>
      </c>
      <c r="R16" s="1" t="s">
        <v>12</v>
      </c>
      <c r="S16" s="17">
        <f t="shared" ref="S16:AF16" si="8">SUM(C34:C37)</f>
        <v>14</v>
      </c>
      <c r="T16" s="17">
        <f t="shared" si="8"/>
        <v>3</v>
      </c>
      <c r="U16" s="17">
        <f t="shared" si="8"/>
        <v>18</v>
      </c>
      <c r="V16" s="17">
        <f t="shared" si="8"/>
        <v>12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114</v>
      </c>
      <c r="AD16" s="17">
        <f t="shared" si="8"/>
        <v>0</v>
      </c>
      <c r="AE16" s="31">
        <f t="shared" si="8"/>
        <v>55</v>
      </c>
      <c r="AF16" s="31">
        <f t="shared" si="8"/>
        <v>169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2</v>
      </c>
      <c r="F17" s="50">
        <v>3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9</v>
      </c>
      <c r="P17" s="15">
        <f t="shared" si="1"/>
        <v>29</v>
      </c>
      <c r="R17" s="1" t="s">
        <v>13</v>
      </c>
      <c r="S17" s="17">
        <f t="shared" ref="S17:AF17" si="9">SUM(C38:C41)</f>
        <v>23</v>
      </c>
      <c r="T17" s="17">
        <f t="shared" si="9"/>
        <v>4</v>
      </c>
      <c r="U17" s="17">
        <f t="shared" si="9"/>
        <v>22</v>
      </c>
      <c r="V17" s="17">
        <f t="shared" si="9"/>
        <v>14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117</v>
      </c>
      <c r="AD17" s="17">
        <f t="shared" si="9"/>
        <v>0</v>
      </c>
      <c r="AE17" s="31">
        <f t="shared" si="9"/>
        <v>65</v>
      </c>
      <c r="AF17" s="31">
        <f t="shared" si="9"/>
        <v>182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2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26</v>
      </c>
      <c r="N18" s="50">
        <v>0</v>
      </c>
      <c r="O18" s="15">
        <f t="shared" si="0"/>
        <v>6</v>
      </c>
      <c r="P18" s="15">
        <f t="shared" si="1"/>
        <v>32</v>
      </c>
      <c r="R18" s="1" t="s">
        <v>14</v>
      </c>
      <c r="S18" s="17">
        <f t="shared" ref="S18:AF18" si="10">SUM(C42:C45)</f>
        <v>11</v>
      </c>
      <c r="T18" s="17">
        <f t="shared" si="10"/>
        <v>5</v>
      </c>
      <c r="U18" s="17">
        <f t="shared" si="10"/>
        <v>24</v>
      </c>
      <c r="V18" s="17">
        <f t="shared" si="10"/>
        <v>17</v>
      </c>
      <c r="W18" s="17">
        <f t="shared" si="10"/>
        <v>2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116</v>
      </c>
      <c r="AD18" s="17">
        <f t="shared" si="10"/>
        <v>0</v>
      </c>
      <c r="AE18" s="31">
        <f t="shared" si="10"/>
        <v>64</v>
      </c>
      <c r="AF18" s="31">
        <f t="shared" si="10"/>
        <v>180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8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f t="shared" si="0"/>
        <v>17</v>
      </c>
      <c r="P19" s="15">
        <f t="shared" si="1"/>
        <v>47</v>
      </c>
      <c r="R19" s="1" t="s">
        <v>15</v>
      </c>
      <c r="S19" s="17">
        <f t="shared" ref="S19:AF19" si="11">SUM(C46:C49)</f>
        <v>13</v>
      </c>
      <c r="T19" s="17">
        <f t="shared" si="11"/>
        <v>3</v>
      </c>
      <c r="U19" s="17">
        <f t="shared" si="11"/>
        <v>17</v>
      </c>
      <c r="V19" s="17">
        <f t="shared" si="11"/>
        <v>20</v>
      </c>
      <c r="W19" s="17">
        <f t="shared" si="11"/>
        <v>1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117</v>
      </c>
      <c r="AD19" s="17">
        <f t="shared" si="11"/>
        <v>0</v>
      </c>
      <c r="AE19" s="31">
        <f t="shared" si="11"/>
        <v>59</v>
      </c>
      <c r="AF19" s="31">
        <f t="shared" si="11"/>
        <v>176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3</v>
      </c>
      <c r="F20" s="50">
        <v>3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21</v>
      </c>
      <c r="N20" s="50">
        <v>0</v>
      </c>
      <c r="O20" s="15">
        <f t="shared" si="0"/>
        <v>11</v>
      </c>
      <c r="P20" s="15">
        <f t="shared" si="1"/>
        <v>32</v>
      </c>
      <c r="R20" s="1" t="s">
        <v>16</v>
      </c>
      <c r="S20" s="17">
        <f t="shared" ref="S20:AF20" si="12">SUM(C50:C53)</f>
        <v>21</v>
      </c>
      <c r="T20" s="17">
        <f t="shared" si="12"/>
        <v>7</v>
      </c>
      <c r="U20" s="17">
        <f t="shared" si="12"/>
        <v>29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165</v>
      </c>
      <c r="AD20" s="17">
        <f t="shared" si="12"/>
        <v>0</v>
      </c>
      <c r="AE20" s="31">
        <f t="shared" si="12"/>
        <v>65</v>
      </c>
      <c r="AF20" s="31">
        <f t="shared" si="12"/>
        <v>230</v>
      </c>
    </row>
    <row r="21" spans="2:32" ht="23.1" customHeight="1" x14ac:dyDescent="0.25">
      <c r="B21" s="23" t="s">
        <v>48</v>
      </c>
      <c r="C21" s="50">
        <v>3</v>
      </c>
      <c r="D21" s="50">
        <v>1</v>
      </c>
      <c r="E21" s="50">
        <v>6</v>
      </c>
      <c r="F21" s="50">
        <v>12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35</v>
      </c>
      <c r="N21" s="50">
        <v>0</v>
      </c>
      <c r="O21" s="15">
        <f t="shared" si="0"/>
        <v>23</v>
      </c>
      <c r="P21" s="15">
        <f t="shared" si="1"/>
        <v>58</v>
      </c>
      <c r="R21" s="36" t="s">
        <v>20</v>
      </c>
      <c r="S21" s="34">
        <f t="shared" ref="S21:AF21" si="13">SUM(C54:C57)</f>
        <v>22</v>
      </c>
      <c r="T21" s="17">
        <f t="shared" si="13"/>
        <v>7</v>
      </c>
      <c r="U21" s="17">
        <f t="shared" si="13"/>
        <v>26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157</v>
      </c>
      <c r="AD21" s="17">
        <f t="shared" si="13"/>
        <v>0</v>
      </c>
      <c r="AE21" s="31">
        <f t="shared" si="13"/>
        <v>71</v>
      </c>
      <c r="AF21" s="31">
        <f t="shared" si="13"/>
        <v>228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5</v>
      </c>
      <c r="F22" s="50">
        <v>3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34</v>
      </c>
      <c r="N22" s="50">
        <v>0</v>
      </c>
      <c r="O22" s="15">
        <f t="shared" si="0"/>
        <v>11</v>
      </c>
      <c r="P22" s="15">
        <f t="shared" si="1"/>
        <v>45</v>
      </c>
      <c r="R22" s="38" t="s">
        <v>90</v>
      </c>
      <c r="S22" s="39">
        <f>MAX(S10:S12)</f>
        <v>12</v>
      </c>
      <c r="T22" s="39">
        <f t="shared" ref="T22:AF22" si="14">MAX(T10:T12)</f>
        <v>4</v>
      </c>
      <c r="U22" s="39">
        <f t="shared" si="14"/>
        <v>19</v>
      </c>
      <c r="V22" s="39">
        <f t="shared" si="14"/>
        <v>18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112</v>
      </c>
      <c r="AD22" s="39">
        <f t="shared" si="14"/>
        <v>0</v>
      </c>
      <c r="AE22" s="40">
        <f t="shared" si="14"/>
        <v>57</v>
      </c>
      <c r="AF22" s="40">
        <f t="shared" si="14"/>
        <v>169</v>
      </c>
    </row>
    <row r="23" spans="2:32" ht="23.1" customHeight="1" x14ac:dyDescent="0.25">
      <c r="B23" s="23" t="s">
        <v>50</v>
      </c>
      <c r="C23" s="50">
        <v>2</v>
      </c>
      <c r="D23" s="50">
        <v>1</v>
      </c>
      <c r="E23" s="50">
        <v>6</v>
      </c>
      <c r="F23" s="50">
        <v>8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0</v>
      </c>
      <c r="M23" s="50">
        <v>30</v>
      </c>
      <c r="N23" s="50">
        <v>0</v>
      </c>
      <c r="O23" s="15">
        <f t="shared" si="0"/>
        <v>18</v>
      </c>
      <c r="P23" s="15">
        <f t="shared" si="1"/>
        <v>48</v>
      </c>
      <c r="R23" s="38" t="s">
        <v>91</v>
      </c>
      <c r="S23" s="39">
        <f>MAX(S13:S18)</f>
        <v>23</v>
      </c>
      <c r="T23" s="39">
        <f t="shared" ref="T23:AF23" si="15">MAX(T13:T18)</f>
        <v>5</v>
      </c>
      <c r="U23" s="39">
        <f t="shared" si="15"/>
        <v>24</v>
      </c>
      <c r="V23" s="39">
        <f t="shared" si="15"/>
        <v>22</v>
      </c>
      <c r="W23" s="39">
        <f t="shared" si="15"/>
        <v>2</v>
      </c>
      <c r="X23" s="39">
        <f t="shared" si="15"/>
        <v>2</v>
      </c>
      <c r="Y23" s="39">
        <f t="shared" si="15"/>
        <v>7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125</v>
      </c>
      <c r="AD23" s="39">
        <f t="shared" si="15"/>
        <v>2</v>
      </c>
      <c r="AE23" s="40">
        <f t="shared" si="15"/>
        <v>69</v>
      </c>
      <c r="AF23" s="40">
        <f t="shared" si="15"/>
        <v>188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9</v>
      </c>
      <c r="F24" s="50">
        <v>4</v>
      </c>
      <c r="G24" s="50">
        <v>0</v>
      </c>
      <c r="H24" s="50">
        <v>1</v>
      </c>
      <c r="I24" s="50">
        <v>1</v>
      </c>
      <c r="J24" s="50">
        <v>0</v>
      </c>
      <c r="K24" s="50">
        <v>0</v>
      </c>
      <c r="L24" s="50">
        <v>0</v>
      </c>
      <c r="M24" s="50">
        <v>35</v>
      </c>
      <c r="N24" s="50">
        <v>0</v>
      </c>
      <c r="O24" s="15">
        <f t="shared" si="0"/>
        <v>21</v>
      </c>
      <c r="P24" s="15">
        <f t="shared" si="1"/>
        <v>56</v>
      </c>
      <c r="R24" s="38" t="s">
        <v>92</v>
      </c>
      <c r="S24" s="39">
        <f>MAX(S19:S21)</f>
        <v>22</v>
      </c>
      <c r="T24" s="39">
        <f t="shared" ref="T24:AF24" si="16">MAX(T19:T21)</f>
        <v>7</v>
      </c>
      <c r="U24" s="39">
        <f t="shared" si="16"/>
        <v>29</v>
      </c>
      <c r="V24" s="39">
        <f t="shared" si="16"/>
        <v>20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165</v>
      </c>
      <c r="AD24" s="39">
        <f t="shared" si="16"/>
        <v>0</v>
      </c>
      <c r="AE24" s="40">
        <f t="shared" si="16"/>
        <v>71</v>
      </c>
      <c r="AF24" s="40">
        <f t="shared" si="16"/>
        <v>230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2</v>
      </c>
      <c r="F25" s="50">
        <v>4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9</v>
      </c>
      <c r="P25" s="15">
        <f t="shared" si="1"/>
        <v>35</v>
      </c>
      <c r="R25" s="37" t="s">
        <v>85</v>
      </c>
      <c r="S25" s="35">
        <f t="shared" ref="S25:AF25" si="17">SUM(S10:S12)</f>
        <v>28</v>
      </c>
      <c r="T25" s="16">
        <f t="shared" si="17"/>
        <v>8</v>
      </c>
      <c r="U25" s="16">
        <f t="shared" si="17"/>
        <v>47</v>
      </c>
      <c r="V25" s="16">
        <f t="shared" si="17"/>
        <v>34</v>
      </c>
      <c r="W25" s="16">
        <f t="shared" si="17"/>
        <v>1</v>
      </c>
      <c r="X25" s="16">
        <f t="shared" si="17"/>
        <v>0</v>
      </c>
      <c r="Y25" s="16">
        <f t="shared" si="17"/>
        <v>10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297</v>
      </c>
      <c r="AD25" s="16">
        <f t="shared" si="17"/>
        <v>0</v>
      </c>
      <c r="AE25" s="32">
        <f t="shared" si="17"/>
        <v>129</v>
      </c>
      <c r="AF25" s="32">
        <f t="shared" si="17"/>
        <v>426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4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12</v>
      </c>
      <c r="P26" s="15">
        <f t="shared" si="1"/>
        <v>37</v>
      </c>
      <c r="R26" s="28" t="s">
        <v>86</v>
      </c>
      <c r="S26" s="16">
        <f t="shared" ref="S26:AF26" si="18">SUM(S13:S18)</f>
        <v>83</v>
      </c>
      <c r="T26" s="16">
        <f t="shared" si="18"/>
        <v>25</v>
      </c>
      <c r="U26" s="16">
        <f t="shared" si="18"/>
        <v>128</v>
      </c>
      <c r="V26" s="16">
        <f t="shared" si="18"/>
        <v>96</v>
      </c>
      <c r="W26" s="16">
        <f t="shared" si="18"/>
        <v>4</v>
      </c>
      <c r="X26" s="16">
        <f t="shared" si="18"/>
        <v>5</v>
      </c>
      <c r="Y26" s="16">
        <f t="shared" si="18"/>
        <v>19</v>
      </c>
      <c r="Z26" s="16">
        <f t="shared" si="18"/>
        <v>3</v>
      </c>
      <c r="AA26" s="16">
        <f t="shared" si="18"/>
        <v>2</v>
      </c>
      <c r="AB26" s="16">
        <f t="shared" si="18"/>
        <v>0</v>
      </c>
      <c r="AC26" s="16">
        <f t="shared" si="18"/>
        <v>714</v>
      </c>
      <c r="AD26" s="16">
        <f t="shared" si="18"/>
        <v>2</v>
      </c>
      <c r="AE26" s="32">
        <f t="shared" si="18"/>
        <v>367</v>
      </c>
      <c r="AF26" s="32">
        <f t="shared" si="18"/>
        <v>1081</v>
      </c>
    </row>
    <row r="27" spans="2:32" ht="23.1" customHeight="1" x14ac:dyDescent="0.25">
      <c r="B27" s="23" t="s">
        <v>54</v>
      </c>
      <c r="C27" s="50">
        <v>3</v>
      </c>
      <c r="D27" s="50">
        <v>1</v>
      </c>
      <c r="E27" s="50">
        <v>6</v>
      </c>
      <c r="F27" s="50">
        <v>2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39</v>
      </c>
      <c r="N27" s="50">
        <v>0</v>
      </c>
      <c r="O27" s="15">
        <f t="shared" si="0"/>
        <v>14</v>
      </c>
      <c r="P27" s="15">
        <f t="shared" si="1"/>
        <v>53</v>
      </c>
      <c r="R27" s="29" t="s">
        <v>87</v>
      </c>
      <c r="S27" s="16">
        <f t="shared" ref="S27:AF27" si="19">SUM(S19:S21)</f>
        <v>56</v>
      </c>
      <c r="T27" s="16">
        <f t="shared" si="19"/>
        <v>17</v>
      </c>
      <c r="U27" s="16">
        <f t="shared" si="19"/>
        <v>72</v>
      </c>
      <c r="V27" s="16">
        <f t="shared" si="19"/>
        <v>44</v>
      </c>
      <c r="W27" s="16">
        <f t="shared" si="19"/>
        <v>1</v>
      </c>
      <c r="X27" s="16">
        <f t="shared" si="19"/>
        <v>0</v>
      </c>
      <c r="Y27" s="16">
        <f t="shared" si="19"/>
        <v>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439</v>
      </c>
      <c r="AD27" s="16">
        <f t="shared" si="19"/>
        <v>0</v>
      </c>
      <c r="AE27" s="32">
        <f t="shared" si="19"/>
        <v>195</v>
      </c>
      <c r="AF27" s="32">
        <f t="shared" si="19"/>
        <v>634</v>
      </c>
    </row>
    <row r="28" spans="2:32" ht="23.1" customHeight="1" x14ac:dyDescent="0.25">
      <c r="B28" s="23" t="s">
        <v>55</v>
      </c>
      <c r="C28" s="50">
        <v>5</v>
      </c>
      <c r="D28" s="50">
        <v>2</v>
      </c>
      <c r="E28" s="50">
        <v>7</v>
      </c>
      <c r="F28" s="50">
        <v>6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32</v>
      </c>
      <c r="N28" s="50">
        <v>0</v>
      </c>
      <c r="O28" s="15">
        <f t="shared" si="0"/>
        <v>21</v>
      </c>
      <c r="P28" s="15">
        <f t="shared" si="1"/>
        <v>53</v>
      </c>
      <c r="R28" s="5" t="s">
        <v>17</v>
      </c>
      <c r="S28" s="16">
        <f t="shared" ref="S28:AF28" si="20">SUM(S10:S21)</f>
        <v>167</v>
      </c>
      <c r="T28" s="16">
        <f t="shared" si="20"/>
        <v>50</v>
      </c>
      <c r="U28" s="16">
        <f t="shared" si="20"/>
        <v>247</v>
      </c>
      <c r="V28" s="16">
        <f t="shared" si="20"/>
        <v>174</v>
      </c>
      <c r="W28" s="16">
        <f t="shared" si="20"/>
        <v>6</v>
      </c>
      <c r="X28" s="16">
        <f t="shared" si="20"/>
        <v>5</v>
      </c>
      <c r="Y28" s="16">
        <f t="shared" si="20"/>
        <v>34</v>
      </c>
      <c r="Z28" s="16">
        <f t="shared" si="20"/>
        <v>4</v>
      </c>
      <c r="AA28" s="16">
        <f t="shared" si="20"/>
        <v>2</v>
      </c>
      <c r="AB28" s="16">
        <f t="shared" si="20"/>
        <v>0</v>
      </c>
      <c r="AC28" s="16">
        <f t="shared" si="20"/>
        <v>1450</v>
      </c>
      <c r="AD28" s="16">
        <f t="shared" si="20"/>
        <v>2</v>
      </c>
      <c r="AE28" s="32">
        <f t="shared" si="20"/>
        <v>691</v>
      </c>
      <c r="AF28" s="32">
        <f t="shared" si="20"/>
        <v>2141</v>
      </c>
    </row>
    <row r="29" spans="2:32" ht="23.1" customHeight="1" x14ac:dyDescent="0.25">
      <c r="B29" s="23" t="s">
        <v>56</v>
      </c>
      <c r="C29" s="50">
        <v>0</v>
      </c>
      <c r="D29" s="50">
        <v>1</v>
      </c>
      <c r="E29" s="50">
        <v>4</v>
      </c>
      <c r="F29" s="50">
        <v>2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8</v>
      </c>
      <c r="P29" s="15">
        <f t="shared" si="1"/>
        <v>35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2</v>
      </c>
      <c r="E30" s="50">
        <v>9</v>
      </c>
      <c r="F30" s="50">
        <v>6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27</v>
      </c>
      <c r="N30" s="50">
        <v>0</v>
      </c>
      <c r="O30" s="15">
        <f t="shared" si="0"/>
        <v>21</v>
      </c>
      <c r="P30" s="15">
        <f t="shared" si="1"/>
        <v>48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5</v>
      </c>
      <c r="F31" s="50">
        <v>8</v>
      </c>
      <c r="G31" s="50">
        <v>2</v>
      </c>
      <c r="H31" s="50">
        <v>2</v>
      </c>
      <c r="I31" s="50">
        <v>0</v>
      </c>
      <c r="J31" s="50">
        <v>0</v>
      </c>
      <c r="K31" s="50">
        <v>0</v>
      </c>
      <c r="L31" s="50">
        <v>0</v>
      </c>
      <c r="M31" s="50">
        <v>36</v>
      </c>
      <c r="N31" s="50">
        <v>0</v>
      </c>
      <c r="O31" s="15">
        <f t="shared" si="0"/>
        <v>20</v>
      </c>
      <c r="P31" s="15">
        <f t="shared" si="1"/>
        <v>56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3</v>
      </c>
      <c r="F32" s="50">
        <v>4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26</v>
      </c>
      <c r="N32" s="50">
        <v>2</v>
      </c>
      <c r="O32" s="15">
        <f t="shared" si="0"/>
        <v>13</v>
      </c>
      <c r="P32" s="15">
        <f t="shared" si="1"/>
        <v>39</v>
      </c>
    </row>
    <row r="33" spans="2:20" ht="23.1" customHeight="1" x14ac:dyDescent="0.25">
      <c r="B33" s="23" t="s">
        <v>60</v>
      </c>
      <c r="C33" s="50">
        <v>5</v>
      </c>
      <c r="D33" s="50">
        <v>1</v>
      </c>
      <c r="E33" s="50">
        <v>4</v>
      </c>
      <c r="F33" s="50">
        <v>4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30</v>
      </c>
      <c r="N33" s="50">
        <v>0</v>
      </c>
      <c r="O33" s="15">
        <f t="shared" si="0"/>
        <v>15</v>
      </c>
      <c r="P33" s="15">
        <f t="shared" si="1"/>
        <v>45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2</v>
      </c>
      <c r="F34" s="50">
        <v>2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46</v>
      </c>
      <c r="N34" s="50">
        <v>0</v>
      </c>
      <c r="O34" s="15">
        <f t="shared" si="0"/>
        <v>9</v>
      </c>
      <c r="P34" s="15">
        <f t="shared" si="1"/>
        <v>55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4</v>
      </c>
      <c r="F35" s="50">
        <v>1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12</v>
      </c>
      <c r="P35" s="15">
        <f t="shared" si="1"/>
        <v>29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3</v>
      </c>
      <c r="F36" s="50">
        <v>5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15</v>
      </c>
      <c r="P36" s="15">
        <f t="shared" si="1"/>
        <v>37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9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29</v>
      </c>
      <c r="N37" s="50">
        <v>0</v>
      </c>
      <c r="O37" s="15">
        <f t="shared" si="0"/>
        <v>19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5</v>
      </c>
      <c r="F38" s="50">
        <v>3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32</v>
      </c>
      <c r="N38" s="50">
        <v>0</v>
      </c>
      <c r="O38" s="15">
        <f t="shared" si="0"/>
        <v>13</v>
      </c>
      <c r="P38" s="15">
        <f t="shared" si="1"/>
        <v>45</v>
      </c>
    </row>
    <row r="39" spans="2:20" ht="23.1" customHeight="1" x14ac:dyDescent="0.25">
      <c r="B39" s="24" t="s">
        <v>66</v>
      </c>
      <c r="C39" s="50">
        <v>4</v>
      </c>
      <c r="D39" s="50">
        <v>1</v>
      </c>
      <c r="E39" s="50">
        <v>6</v>
      </c>
      <c r="F39" s="50">
        <v>4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16</v>
      </c>
      <c r="P39" s="15">
        <f t="shared" si="1"/>
        <v>30</v>
      </c>
    </row>
    <row r="40" spans="2:20" ht="23.1" customHeight="1" x14ac:dyDescent="0.25">
      <c r="B40" s="24" t="s">
        <v>67</v>
      </c>
      <c r="C40" s="50">
        <v>7</v>
      </c>
      <c r="D40" s="50">
        <v>1</v>
      </c>
      <c r="E40" s="50">
        <v>6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43</v>
      </c>
      <c r="N40" s="50">
        <v>0</v>
      </c>
      <c r="O40" s="15">
        <f t="shared" si="0"/>
        <v>16</v>
      </c>
      <c r="P40" s="15">
        <f t="shared" si="1"/>
        <v>59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5</v>
      </c>
      <c r="F41" s="50">
        <v>5</v>
      </c>
      <c r="G41" s="50">
        <v>0</v>
      </c>
      <c r="H41" s="50">
        <v>1</v>
      </c>
      <c r="I41" s="50">
        <v>0</v>
      </c>
      <c r="J41" s="50">
        <v>0</v>
      </c>
      <c r="K41" s="50">
        <v>0</v>
      </c>
      <c r="L41" s="50">
        <v>0</v>
      </c>
      <c r="M41" s="50">
        <v>28</v>
      </c>
      <c r="N41" s="50">
        <v>0</v>
      </c>
      <c r="O41" s="15">
        <f t="shared" si="0"/>
        <v>20</v>
      </c>
      <c r="P41" s="15">
        <f t="shared" si="1"/>
        <v>48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4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10</v>
      </c>
      <c r="P42" s="15">
        <f t="shared" si="1"/>
        <v>44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3</v>
      </c>
      <c r="F43" s="50">
        <v>5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25</v>
      </c>
      <c r="N43" s="50">
        <v>0</v>
      </c>
      <c r="O43" s="15">
        <f t="shared" si="0"/>
        <v>11</v>
      </c>
      <c r="P43" s="15">
        <f t="shared" si="1"/>
        <v>36</v>
      </c>
    </row>
    <row r="44" spans="2:20" ht="23.1" customHeight="1" x14ac:dyDescent="0.25">
      <c r="B44" s="25" t="s">
        <v>71</v>
      </c>
      <c r="C44" s="50">
        <v>7</v>
      </c>
      <c r="D44" s="50">
        <v>2</v>
      </c>
      <c r="E44" s="50">
        <v>9</v>
      </c>
      <c r="F44" s="50">
        <v>3</v>
      </c>
      <c r="G44" s="50">
        <v>2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30</v>
      </c>
      <c r="N44" s="50">
        <v>0</v>
      </c>
      <c r="O44" s="15">
        <f t="shared" si="0"/>
        <v>24</v>
      </c>
      <c r="P44" s="15">
        <f t="shared" si="1"/>
        <v>54</v>
      </c>
    </row>
    <row r="45" spans="2:20" ht="23.1" customHeight="1" x14ac:dyDescent="0.25">
      <c r="B45" s="23" t="s">
        <v>72</v>
      </c>
      <c r="C45" s="50">
        <v>3</v>
      </c>
      <c r="D45" s="50">
        <v>2</v>
      </c>
      <c r="E45" s="50">
        <v>8</v>
      </c>
      <c r="F45" s="50">
        <v>5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27</v>
      </c>
      <c r="N45" s="50">
        <v>0</v>
      </c>
      <c r="O45" s="15">
        <f t="shared" si="0"/>
        <v>19</v>
      </c>
      <c r="P45" s="15">
        <f t="shared" si="1"/>
        <v>46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8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37</v>
      </c>
      <c r="N46" s="50">
        <v>0</v>
      </c>
      <c r="O46" s="15">
        <f t="shared" si="0"/>
        <v>16</v>
      </c>
      <c r="P46" s="15">
        <f t="shared" si="1"/>
        <v>53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5</v>
      </c>
      <c r="F47" s="50">
        <v>6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38</v>
      </c>
      <c r="N47" s="50">
        <v>0</v>
      </c>
      <c r="O47" s="15">
        <f t="shared" si="0"/>
        <v>16</v>
      </c>
      <c r="P47" s="15">
        <f t="shared" si="1"/>
        <v>54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1</v>
      </c>
      <c r="E48" s="50">
        <v>6</v>
      </c>
      <c r="F48" s="50">
        <v>3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13</v>
      </c>
      <c r="P48" s="15">
        <f t="shared" si="1"/>
        <v>20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1</v>
      </c>
      <c r="E49" s="50">
        <v>4</v>
      </c>
      <c r="F49" s="50">
        <v>3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14</v>
      </c>
      <c r="P49" s="15">
        <f t="shared" si="1"/>
        <v>49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3</v>
      </c>
      <c r="E50" s="50">
        <v>12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37</v>
      </c>
      <c r="N50" s="50">
        <v>0</v>
      </c>
      <c r="O50" s="15">
        <f t="shared" si="0"/>
        <v>18</v>
      </c>
      <c r="P50" s="15">
        <f t="shared" si="1"/>
        <v>55</v>
      </c>
      <c r="R50" s="8"/>
      <c r="T50"/>
    </row>
    <row r="51" spans="2:20" ht="23.1" customHeight="1" x14ac:dyDescent="0.25">
      <c r="B51" s="24" t="s">
        <v>78</v>
      </c>
      <c r="C51" s="50">
        <v>8</v>
      </c>
      <c r="D51" s="50">
        <v>2</v>
      </c>
      <c r="E51" s="50">
        <v>8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40</v>
      </c>
      <c r="N51" s="50">
        <v>0</v>
      </c>
      <c r="O51" s="15">
        <f t="shared" si="0"/>
        <v>20</v>
      </c>
      <c r="P51" s="15">
        <f t="shared" si="1"/>
        <v>60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1</v>
      </c>
      <c r="F52" s="50">
        <v>4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58</v>
      </c>
      <c r="N52" s="50">
        <v>0</v>
      </c>
      <c r="O52" s="15">
        <f t="shared" si="0"/>
        <v>10</v>
      </c>
      <c r="P52" s="15">
        <f t="shared" si="1"/>
        <v>68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2</v>
      </c>
      <c r="E53" s="50">
        <v>8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30</v>
      </c>
      <c r="N53" s="50">
        <v>0</v>
      </c>
      <c r="O53" s="15">
        <f t="shared" si="0"/>
        <v>17</v>
      </c>
      <c r="P53" s="15">
        <f t="shared" si="1"/>
        <v>47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2</v>
      </c>
      <c r="E54" s="50">
        <v>7</v>
      </c>
      <c r="F54" s="50">
        <v>4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37</v>
      </c>
      <c r="N54" s="50">
        <v>0</v>
      </c>
      <c r="O54" s="15">
        <f t="shared" si="0"/>
        <v>15</v>
      </c>
      <c r="P54" s="15">
        <f t="shared" si="1"/>
        <v>52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3</v>
      </c>
      <c r="E55" s="50">
        <v>11</v>
      </c>
      <c r="F55" s="50">
        <v>4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49</v>
      </c>
      <c r="N55" s="50">
        <v>0</v>
      </c>
      <c r="O55" s="15">
        <f t="shared" si="0"/>
        <v>26</v>
      </c>
      <c r="P55" s="15">
        <f t="shared" si="1"/>
        <v>75</v>
      </c>
      <c r="R55" s="8"/>
      <c r="T55"/>
    </row>
    <row r="56" spans="2:20" ht="23.1" customHeight="1" x14ac:dyDescent="0.25">
      <c r="B56" s="23" t="s">
        <v>83</v>
      </c>
      <c r="C56" s="50">
        <v>6</v>
      </c>
      <c r="D56" s="50">
        <v>2</v>
      </c>
      <c r="E56" s="50">
        <v>8</v>
      </c>
      <c r="F56" s="50">
        <v>5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33</v>
      </c>
      <c r="N56" s="50">
        <v>0</v>
      </c>
      <c r="O56" s="15">
        <f t="shared" si="0"/>
        <v>21</v>
      </c>
      <c r="P56" s="15">
        <f t="shared" si="1"/>
        <v>54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38</v>
      </c>
      <c r="N57" s="50">
        <v>0</v>
      </c>
      <c r="O57" s="15">
        <f t="shared" si="0"/>
        <v>9</v>
      </c>
      <c r="P57" s="15">
        <f t="shared" si="1"/>
        <v>47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167</v>
      </c>
      <c r="D58" s="16">
        <f t="shared" si="21"/>
        <v>50</v>
      </c>
      <c r="E58" s="16">
        <f t="shared" si="21"/>
        <v>247</v>
      </c>
      <c r="F58" s="16">
        <f t="shared" si="21"/>
        <v>174</v>
      </c>
      <c r="G58" s="16">
        <f t="shared" si="21"/>
        <v>6</v>
      </c>
      <c r="H58" s="16">
        <f t="shared" si="21"/>
        <v>5</v>
      </c>
      <c r="I58" s="16">
        <f t="shared" si="21"/>
        <v>34</v>
      </c>
      <c r="J58" s="16">
        <f t="shared" si="21"/>
        <v>4</v>
      </c>
      <c r="K58" s="16">
        <f t="shared" si="21"/>
        <v>2</v>
      </c>
      <c r="L58" s="16">
        <f t="shared" si="21"/>
        <v>0</v>
      </c>
      <c r="M58" s="16">
        <f t="shared" si="21"/>
        <v>1450</v>
      </c>
      <c r="N58" s="16">
        <f t="shared" si="21"/>
        <v>2</v>
      </c>
      <c r="O58" s="16">
        <f t="shared" si="21"/>
        <v>691</v>
      </c>
      <c r="P58" s="16">
        <f t="shared" si="21"/>
        <v>2141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7.8000934142923861E-2</v>
      </c>
      <c r="D59" s="43">
        <f t="shared" si="22"/>
        <v>2.3353573096683792E-2</v>
      </c>
      <c r="E59" s="43">
        <f t="shared" si="22"/>
        <v>0.11536665109761794</v>
      </c>
      <c r="F59" s="43">
        <f t="shared" si="22"/>
        <v>8.1270434376459602E-2</v>
      </c>
      <c r="G59" s="43">
        <f t="shared" si="22"/>
        <v>2.8024287716020553E-3</v>
      </c>
      <c r="H59" s="43">
        <f t="shared" si="22"/>
        <v>2.3353573096683792E-3</v>
      </c>
      <c r="I59" s="43">
        <f t="shared" si="22"/>
        <v>1.5880429705744978E-2</v>
      </c>
      <c r="J59" s="43">
        <f t="shared" si="22"/>
        <v>1.8682858477347033E-3</v>
      </c>
      <c r="K59" s="43">
        <f t="shared" si="22"/>
        <v>9.3414292386735165E-4</v>
      </c>
      <c r="L59" s="43">
        <f t="shared" si="22"/>
        <v>0</v>
      </c>
      <c r="M59" s="43">
        <f t="shared" si="22"/>
        <v>0.67725361980383003</v>
      </c>
      <c r="N59" s="43">
        <f t="shared" si="22"/>
        <v>9.3414292386735165E-4</v>
      </c>
      <c r="R59" s="8"/>
      <c r="T59"/>
    </row>
    <row r="60" spans="2:20" ht="23.1" customHeight="1" x14ac:dyDescent="0.25">
      <c r="B60" s="42" t="s">
        <v>94</v>
      </c>
      <c r="C60" s="44">
        <f>C58/$O$58</f>
        <v>0.24167872648335745</v>
      </c>
      <c r="D60" s="44">
        <f t="shared" ref="D60:N60" si="23">D58/$O$58</f>
        <v>7.2358900144717797E-2</v>
      </c>
      <c r="E60" s="44">
        <f t="shared" si="23"/>
        <v>0.35745296671490595</v>
      </c>
      <c r="F60" s="44">
        <f t="shared" si="23"/>
        <v>0.25180897250361794</v>
      </c>
      <c r="G60" s="44">
        <f t="shared" si="23"/>
        <v>8.6830680173661367E-3</v>
      </c>
      <c r="H60" s="44">
        <f t="shared" si="23"/>
        <v>7.2358900144717797E-3</v>
      </c>
      <c r="I60" s="44">
        <f t="shared" si="23"/>
        <v>4.9204052098408106E-2</v>
      </c>
      <c r="J60" s="44">
        <f t="shared" si="23"/>
        <v>5.7887120115774236E-3</v>
      </c>
      <c r="K60" s="44">
        <f t="shared" si="23"/>
        <v>2.8943560057887118E-3</v>
      </c>
      <c r="L60" s="44">
        <f t="shared" si="23"/>
        <v>0</v>
      </c>
      <c r="M60" s="44"/>
      <c r="N60" s="44">
        <f t="shared" si="23"/>
        <v>2.8943560057887118E-3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7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'23.08 Sironko-Mbale'!D5</f>
        <v>23.08.19</v>
      </c>
      <c r="E5" s="3"/>
      <c r="F5" s="41" t="s">
        <v>1</v>
      </c>
      <c r="G5" s="66" t="str">
        <f>'23.08 Sironko-Mbale'!G5:H5</f>
        <v>xxx</v>
      </c>
      <c r="H5" s="67"/>
      <c r="I5" s="14"/>
      <c r="J5" s="2" t="s">
        <v>5</v>
      </c>
      <c r="K5" s="66" t="str">
        <f>'23.08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'19.08 Mbale-Sironko'!G6:H6</f>
        <v>Sironko</v>
      </c>
      <c r="H6" s="67"/>
      <c r="J6" s="2" t="s">
        <v>21</v>
      </c>
      <c r="K6" s="66" t="str">
        <f>'23.08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2</v>
      </c>
      <c r="G10" s="50">
        <v>1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19</v>
      </c>
      <c r="R10" s="1" t="s">
        <v>6</v>
      </c>
      <c r="S10" s="17">
        <f t="shared" ref="S10:AF10" si="2">SUM(C10:C13)</f>
        <v>4</v>
      </c>
      <c r="T10" s="17">
        <f t="shared" si="2"/>
        <v>1</v>
      </c>
      <c r="U10" s="17">
        <f t="shared" si="2"/>
        <v>11</v>
      </c>
      <c r="V10" s="17">
        <f t="shared" si="2"/>
        <v>8</v>
      </c>
      <c r="W10" s="17">
        <f t="shared" si="2"/>
        <v>1</v>
      </c>
      <c r="X10" s="17">
        <f t="shared" si="2"/>
        <v>2</v>
      </c>
      <c r="Y10" s="17">
        <f t="shared" si="2"/>
        <v>14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62</v>
      </c>
      <c r="AD10" s="17">
        <f t="shared" si="2"/>
        <v>0</v>
      </c>
      <c r="AE10" s="31">
        <f t="shared" si="2"/>
        <v>41</v>
      </c>
      <c r="AF10" s="31">
        <f t="shared" si="2"/>
        <v>103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1</v>
      </c>
      <c r="E11" s="50">
        <v>4</v>
      </c>
      <c r="F11" s="50">
        <v>4</v>
      </c>
      <c r="G11" s="50">
        <v>0</v>
      </c>
      <c r="H11" s="50">
        <v>0</v>
      </c>
      <c r="I11" s="50">
        <v>10</v>
      </c>
      <c r="J11" s="50">
        <v>0</v>
      </c>
      <c r="K11" s="50">
        <v>0</v>
      </c>
      <c r="L11" s="50">
        <v>0</v>
      </c>
      <c r="M11" s="50">
        <v>27</v>
      </c>
      <c r="N11" s="50">
        <v>0</v>
      </c>
      <c r="O11" s="15">
        <f t="shared" si="0"/>
        <v>19</v>
      </c>
      <c r="P11" s="15">
        <f t="shared" si="1"/>
        <v>46</v>
      </c>
      <c r="R11" s="1" t="s">
        <v>7</v>
      </c>
      <c r="S11" s="17">
        <f t="shared" ref="S11:AF11" si="3">SUM(C14:C17)</f>
        <v>10</v>
      </c>
      <c r="T11" s="17">
        <f t="shared" si="3"/>
        <v>1</v>
      </c>
      <c r="U11" s="17">
        <f t="shared" si="3"/>
        <v>10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8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66</v>
      </c>
      <c r="AD11" s="17">
        <f t="shared" si="3"/>
        <v>1</v>
      </c>
      <c r="AE11" s="31">
        <f t="shared" si="3"/>
        <v>41</v>
      </c>
      <c r="AF11" s="31">
        <f t="shared" si="3"/>
        <v>107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3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6</v>
      </c>
      <c r="P12" s="15">
        <f t="shared" si="1"/>
        <v>18</v>
      </c>
      <c r="R12" s="1" t="s">
        <v>8</v>
      </c>
      <c r="S12" s="17">
        <f t="shared" ref="S12:AF12" si="4">SUM(C18:C21)</f>
        <v>17</v>
      </c>
      <c r="T12" s="17">
        <f t="shared" si="4"/>
        <v>8</v>
      </c>
      <c r="U12" s="17">
        <f t="shared" si="4"/>
        <v>35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13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82</v>
      </c>
      <c r="AD12" s="17">
        <f t="shared" si="4"/>
        <v>0</v>
      </c>
      <c r="AE12" s="31">
        <f t="shared" si="4"/>
        <v>82</v>
      </c>
      <c r="AF12" s="31">
        <f t="shared" si="4"/>
        <v>164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2</v>
      </c>
      <c r="F13" s="50">
        <v>1</v>
      </c>
      <c r="G13" s="50">
        <v>0</v>
      </c>
      <c r="H13" s="50">
        <v>2</v>
      </c>
      <c r="I13" s="50">
        <v>2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8</v>
      </c>
      <c r="P13" s="15">
        <f t="shared" si="1"/>
        <v>20</v>
      </c>
      <c r="R13" s="1" t="s">
        <v>9</v>
      </c>
      <c r="S13" s="17">
        <f t="shared" ref="S13:AF13" si="5">SUM(C22:C25)</f>
        <v>15</v>
      </c>
      <c r="T13" s="17">
        <f t="shared" si="5"/>
        <v>8</v>
      </c>
      <c r="U13" s="17">
        <f t="shared" si="5"/>
        <v>32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130</v>
      </c>
      <c r="AD13" s="17">
        <f t="shared" si="5"/>
        <v>0</v>
      </c>
      <c r="AE13" s="31">
        <f t="shared" si="5"/>
        <v>78</v>
      </c>
      <c r="AF13" s="31">
        <f t="shared" si="5"/>
        <v>208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0</v>
      </c>
      <c r="P14" s="15">
        <f t="shared" si="1"/>
        <v>8</v>
      </c>
      <c r="R14" s="1" t="s">
        <v>10</v>
      </c>
      <c r="S14" s="17">
        <f t="shared" ref="S14:AF14" si="6">SUM(C26:C29)</f>
        <v>16</v>
      </c>
      <c r="T14" s="17">
        <f t="shared" si="6"/>
        <v>7</v>
      </c>
      <c r="U14" s="17">
        <f t="shared" si="6"/>
        <v>27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23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141</v>
      </c>
      <c r="AD14" s="17">
        <f t="shared" si="6"/>
        <v>0</v>
      </c>
      <c r="AE14" s="31">
        <f t="shared" si="6"/>
        <v>86</v>
      </c>
      <c r="AF14" s="31">
        <f t="shared" si="6"/>
        <v>227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3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19</v>
      </c>
      <c r="N15" s="50">
        <v>0</v>
      </c>
      <c r="O15" s="15">
        <f t="shared" si="0"/>
        <v>9</v>
      </c>
      <c r="P15" s="15">
        <f t="shared" si="1"/>
        <v>28</v>
      </c>
      <c r="R15" s="1" t="s">
        <v>11</v>
      </c>
      <c r="S15" s="17">
        <f t="shared" ref="S15:AF15" si="7">SUM(C30:C33)</f>
        <v>17</v>
      </c>
      <c r="T15" s="17">
        <f t="shared" si="7"/>
        <v>9</v>
      </c>
      <c r="U15" s="17">
        <f t="shared" si="7"/>
        <v>36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151</v>
      </c>
      <c r="AD15" s="17">
        <f t="shared" si="7"/>
        <v>0</v>
      </c>
      <c r="AE15" s="31">
        <f t="shared" si="7"/>
        <v>86</v>
      </c>
      <c r="AF15" s="31">
        <f t="shared" si="7"/>
        <v>237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2</v>
      </c>
      <c r="F16" s="50">
        <v>4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13</v>
      </c>
      <c r="P16" s="15">
        <f t="shared" si="1"/>
        <v>21</v>
      </c>
      <c r="R16" s="1" t="s">
        <v>12</v>
      </c>
      <c r="S16" s="17">
        <f t="shared" ref="S16:AF16" si="8">SUM(C34:C37)</f>
        <v>26</v>
      </c>
      <c r="T16" s="17">
        <f t="shared" si="8"/>
        <v>8</v>
      </c>
      <c r="U16" s="17">
        <f t="shared" si="8"/>
        <v>29</v>
      </c>
      <c r="V16" s="17">
        <f t="shared" si="8"/>
        <v>15</v>
      </c>
      <c r="W16" s="17">
        <f t="shared" si="8"/>
        <v>1</v>
      </c>
      <c r="X16" s="17">
        <f t="shared" si="8"/>
        <v>0</v>
      </c>
      <c r="Y16" s="17">
        <f t="shared" si="8"/>
        <v>10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132</v>
      </c>
      <c r="AD16" s="17">
        <f t="shared" si="8"/>
        <v>0</v>
      </c>
      <c r="AE16" s="31">
        <f t="shared" si="8"/>
        <v>89</v>
      </c>
      <c r="AF16" s="31">
        <f t="shared" si="8"/>
        <v>221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5</v>
      </c>
      <c r="F17" s="50">
        <v>5</v>
      </c>
      <c r="G17" s="50">
        <v>0</v>
      </c>
      <c r="H17" s="50">
        <v>0</v>
      </c>
      <c r="I17" s="50">
        <v>4</v>
      </c>
      <c r="J17" s="50">
        <v>0</v>
      </c>
      <c r="K17" s="50">
        <v>0</v>
      </c>
      <c r="L17" s="50">
        <v>0</v>
      </c>
      <c r="M17" s="50">
        <v>31</v>
      </c>
      <c r="N17" s="50">
        <v>1</v>
      </c>
      <c r="O17" s="15">
        <f t="shared" si="0"/>
        <v>19</v>
      </c>
      <c r="P17" s="15">
        <f t="shared" si="1"/>
        <v>50</v>
      </c>
      <c r="R17" s="1" t="s">
        <v>13</v>
      </c>
      <c r="S17" s="17">
        <f t="shared" ref="S17:AF17" si="9">SUM(C38:C41)</f>
        <v>21</v>
      </c>
      <c r="T17" s="17">
        <f t="shared" si="9"/>
        <v>7</v>
      </c>
      <c r="U17" s="17">
        <f t="shared" si="9"/>
        <v>29</v>
      </c>
      <c r="V17" s="17">
        <f t="shared" si="9"/>
        <v>21</v>
      </c>
      <c r="W17" s="17">
        <f t="shared" si="9"/>
        <v>1</v>
      </c>
      <c r="X17" s="17">
        <f t="shared" si="9"/>
        <v>0</v>
      </c>
      <c r="Y17" s="17">
        <f t="shared" si="9"/>
        <v>22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120</v>
      </c>
      <c r="AD17" s="17">
        <f t="shared" si="9"/>
        <v>0</v>
      </c>
      <c r="AE17" s="31">
        <f t="shared" si="9"/>
        <v>101</v>
      </c>
      <c r="AF17" s="31">
        <f t="shared" si="9"/>
        <v>221</v>
      </c>
    </row>
    <row r="18" spans="2:32" ht="23.1" customHeight="1" x14ac:dyDescent="0.25">
      <c r="B18" s="23" t="s">
        <v>45</v>
      </c>
      <c r="C18" s="50">
        <v>2</v>
      </c>
      <c r="D18" s="50">
        <v>3</v>
      </c>
      <c r="E18" s="50">
        <v>11</v>
      </c>
      <c r="F18" s="50">
        <v>4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22</v>
      </c>
      <c r="P18" s="15">
        <f t="shared" si="1"/>
        <v>40</v>
      </c>
      <c r="R18" s="1" t="s">
        <v>14</v>
      </c>
      <c r="S18" s="17">
        <f t="shared" ref="S18:AF18" si="10">SUM(C42:C45)</f>
        <v>17</v>
      </c>
      <c r="T18" s="17">
        <f t="shared" si="10"/>
        <v>3</v>
      </c>
      <c r="U18" s="17">
        <f t="shared" si="10"/>
        <v>19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143</v>
      </c>
      <c r="AD18" s="17">
        <f t="shared" si="10"/>
        <v>0</v>
      </c>
      <c r="AE18" s="31">
        <f t="shared" si="10"/>
        <v>74</v>
      </c>
      <c r="AF18" s="31">
        <f t="shared" si="10"/>
        <v>217</v>
      </c>
    </row>
    <row r="19" spans="2:32" ht="23.1" customHeight="1" x14ac:dyDescent="0.25">
      <c r="B19" s="23" t="s">
        <v>46</v>
      </c>
      <c r="C19" s="50">
        <v>5</v>
      </c>
      <c r="D19" s="50">
        <v>3</v>
      </c>
      <c r="E19" s="50">
        <v>12</v>
      </c>
      <c r="F19" s="50">
        <v>1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27</v>
      </c>
      <c r="P19" s="15">
        <f t="shared" si="1"/>
        <v>44</v>
      </c>
      <c r="R19" s="1" t="s">
        <v>15</v>
      </c>
      <c r="S19" s="17">
        <f t="shared" ref="S19:AF19" si="11">SUM(C46:C49)</f>
        <v>17</v>
      </c>
      <c r="T19" s="17">
        <f t="shared" si="11"/>
        <v>10</v>
      </c>
      <c r="U19" s="17">
        <f t="shared" si="11"/>
        <v>38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16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95</v>
      </c>
      <c r="AD19" s="17">
        <f t="shared" si="11"/>
        <v>0</v>
      </c>
      <c r="AE19" s="31">
        <f t="shared" si="11"/>
        <v>97</v>
      </c>
      <c r="AF19" s="31">
        <f t="shared" si="11"/>
        <v>192</v>
      </c>
    </row>
    <row r="20" spans="2:32" ht="23.1" customHeight="1" x14ac:dyDescent="0.25">
      <c r="B20" s="23" t="s">
        <v>47</v>
      </c>
      <c r="C20" s="50">
        <v>6</v>
      </c>
      <c r="D20" s="50">
        <v>2</v>
      </c>
      <c r="E20" s="50">
        <v>9</v>
      </c>
      <c r="F20" s="50">
        <v>2</v>
      </c>
      <c r="G20" s="50">
        <v>0</v>
      </c>
      <c r="H20" s="50">
        <v>0</v>
      </c>
      <c r="I20" s="50">
        <v>4</v>
      </c>
      <c r="J20" s="50">
        <v>0</v>
      </c>
      <c r="K20" s="50">
        <v>0</v>
      </c>
      <c r="L20" s="50">
        <v>0</v>
      </c>
      <c r="M20" s="50">
        <v>25</v>
      </c>
      <c r="N20" s="50">
        <v>0</v>
      </c>
      <c r="O20" s="15">
        <f t="shared" si="0"/>
        <v>23</v>
      </c>
      <c r="P20" s="15">
        <f t="shared" si="1"/>
        <v>48</v>
      </c>
      <c r="R20" s="1" t="s">
        <v>16</v>
      </c>
      <c r="S20" s="17">
        <f t="shared" ref="S20:AF20" si="12">SUM(C50:C53)</f>
        <v>8</v>
      </c>
      <c r="T20" s="17">
        <f t="shared" si="12"/>
        <v>9</v>
      </c>
      <c r="U20" s="17">
        <f t="shared" si="12"/>
        <v>35</v>
      </c>
      <c r="V20" s="17">
        <f t="shared" si="12"/>
        <v>23</v>
      </c>
      <c r="W20" s="17">
        <f t="shared" si="12"/>
        <v>0</v>
      </c>
      <c r="X20" s="17">
        <f t="shared" si="12"/>
        <v>0</v>
      </c>
      <c r="Y20" s="17">
        <f t="shared" si="12"/>
        <v>15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65</v>
      </c>
      <c r="AD20" s="17">
        <f t="shared" si="12"/>
        <v>0</v>
      </c>
      <c r="AE20" s="31">
        <f t="shared" si="12"/>
        <v>90</v>
      </c>
      <c r="AF20" s="31">
        <f t="shared" si="12"/>
        <v>155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3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22</v>
      </c>
      <c r="N21" s="50">
        <v>0</v>
      </c>
      <c r="O21" s="15">
        <f t="shared" si="0"/>
        <v>10</v>
      </c>
      <c r="P21" s="15">
        <f t="shared" si="1"/>
        <v>32</v>
      </c>
      <c r="R21" s="36" t="s">
        <v>20</v>
      </c>
      <c r="S21" s="34">
        <f t="shared" ref="S21:AF21" si="13">SUM(C54:C57)</f>
        <v>0</v>
      </c>
      <c r="T21" s="17">
        <f t="shared" si="13"/>
        <v>6</v>
      </c>
      <c r="U21" s="17">
        <f t="shared" si="13"/>
        <v>25</v>
      </c>
      <c r="V21" s="17">
        <f t="shared" si="13"/>
        <v>14</v>
      </c>
      <c r="W21" s="17">
        <f t="shared" si="13"/>
        <v>2</v>
      </c>
      <c r="X21" s="17">
        <f t="shared" si="13"/>
        <v>0</v>
      </c>
      <c r="Y21" s="17">
        <f t="shared" si="13"/>
        <v>15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0</v>
      </c>
      <c r="AD21" s="17">
        <f t="shared" si="13"/>
        <v>0</v>
      </c>
      <c r="AE21" s="31">
        <f t="shared" si="13"/>
        <v>62</v>
      </c>
      <c r="AF21" s="31">
        <f t="shared" si="13"/>
        <v>62</v>
      </c>
    </row>
    <row r="22" spans="2:32" ht="23.1" customHeight="1" x14ac:dyDescent="0.25">
      <c r="B22" s="23" t="s">
        <v>49</v>
      </c>
      <c r="C22" s="50">
        <v>2</v>
      </c>
      <c r="D22" s="50">
        <v>3</v>
      </c>
      <c r="E22" s="50">
        <v>10</v>
      </c>
      <c r="F22" s="50">
        <v>4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20</v>
      </c>
      <c r="P22" s="15">
        <f t="shared" si="1"/>
        <v>55</v>
      </c>
      <c r="R22" s="38" t="s">
        <v>90</v>
      </c>
      <c r="S22" s="39">
        <f>MAX(S10:S12)</f>
        <v>17</v>
      </c>
      <c r="T22" s="39">
        <f t="shared" ref="T22:AF22" si="14">MAX(T10:T12)</f>
        <v>8</v>
      </c>
      <c r="U22" s="39">
        <f t="shared" si="14"/>
        <v>35</v>
      </c>
      <c r="V22" s="39">
        <f t="shared" si="14"/>
        <v>10</v>
      </c>
      <c r="W22" s="39">
        <f t="shared" si="14"/>
        <v>1</v>
      </c>
      <c r="X22" s="39">
        <f t="shared" si="14"/>
        <v>2</v>
      </c>
      <c r="Y22" s="39">
        <f t="shared" si="14"/>
        <v>14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82</v>
      </c>
      <c r="AD22" s="39">
        <f t="shared" si="14"/>
        <v>1</v>
      </c>
      <c r="AE22" s="40">
        <f t="shared" si="14"/>
        <v>82</v>
      </c>
      <c r="AF22" s="40">
        <f t="shared" si="14"/>
        <v>164</v>
      </c>
    </row>
    <row r="23" spans="2:32" ht="23.1" customHeight="1" x14ac:dyDescent="0.25">
      <c r="B23" s="23" t="s">
        <v>50</v>
      </c>
      <c r="C23" s="50">
        <v>3</v>
      </c>
      <c r="D23" s="50">
        <v>3</v>
      </c>
      <c r="E23" s="50">
        <v>10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38</v>
      </c>
      <c r="N23" s="50">
        <v>0</v>
      </c>
      <c r="O23" s="15">
        <f t="shared" si="0"/>
        <v>20</v>
      </c>
      <c r="P23" s="15">
        <f t="shared" si="1"/>
        <v>58</v>
      </c>
      <c r="R23" s="38" t="s">
        <v>91</v>
      </c>
      <c r="S23" s="39">
        <f>MAX(S13:S18)</f>
        <v>26</v>
      </c>
      <c r="T23" s="39">
        <f t="shared" ref="T23:AF23" si="15">MAX(T13:T18)</f>
        <v>9</v>
      </c>
      <c r="U23" s="39">
        <f t="shared" si="15"/>
        <v>36</v>
      </c>
      <c r="V23" s="39">
        <f t="shared" si="15"/>
        <v>21</v>
      </c>
      <c r="W23" s="39">
        <f t="shared" si="15"/>
        <v>1</v>
      </c>
      <c r="X23" s="39">
        <f t="shared" si="15"/>
        <v>0</v>
      </c>
      <c r="Y23" s="39">
        <f t="shared" si="15"/>
        <v>23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151</v>
      </c>
      <c r="AD23" s="39">
        <f t="shared" si="15"/>
        <v>0</v>
      </c>
      <c r="AE23" s="40">
        <f t="shared" si="15"/>
        <v>101</v>
      </c>
      <c r="AF23" s="40">
        <f t="shared" si="15"/>
        <v>237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6</v>
      </c>
      <c r="F24" s="50">
        <v>3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18</v>
      </c>
      <c r="P24" s="15">
        <f t="shared" si="1"/>
        <v>52</v>
      </c>
      <c r="R24" s="38" t="s">
        <v>92</v>
      </c>
      <c r="S24" s="39">
        <f>MAX(S19:S21)</f>
        <v>17</v>
      </c>
      <c r="T24" s="39">
        <f t="shared" ref="T24:AF24" si="16">MAX(T19:T21)</f>
        <v>10</v>
      </c>
      <c r="U24" s="39">
        <f t="shared" si="16"/>
        <v>38</v>
      </c>
      <c r="V24" s="39">
        <f t="shared" si="16"/>
        <v>23</v>
      </c>
      <c r="W24" s="39">
        <f t="shared" si="16"/>
        <v>2</v>
      </c>
      <c r="X24" s="39">
        <f t="shared" si="16"/>
        <v>0</v>
      </c>
      <c r="Y24" s="39">
        <f t="shared" si="16"/>
        <v>16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95</v>
      </c>
      <c r="AD24" s="39">
        <f t="shared" si="16"/>
        <v>0</v>
      </c>
      <c r="AE24" s="40">
        <f t="shared" si="16"/>
        <v>97</v>
      </c>
      <c r="AF24" s="40">
        <f t="shared" si="16"/>
        <v>192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6</v>
      </c>
      <c r="F25" s="50">
        <v>1</v>
      </c>
      <c r="G25" s="50">
        <v>0</v>
      </c>
      <c r="H25" s="50">
        <v>0</v>
      </c>
      <c r="I25" s="50">
        <v>7</v>
      </c>
      <c r="J25" s="50">
        <v>0</v>
      </c>
      <c r="K25" s="50">
        <v>0</v>
      </c>
      <c r="L25" s="50">
        <v>0</v>
      </c>
      <c r="M25" s="50">
        <v>23</v>
      </c>
      <c r="N25" s="50">
        <v>0</v>
      </c>
      <c r="O25" s="15">
        <f t="shared" si="0"/>
        <v>20</v>
      </c>
      <c r="P25" s="15">
        <f t="shared" si="1"/>
        <v>43</v>
      </c>
      <c r="R25" s="37" t="s">
        <v>85</v>
      </c>
      <c r="S25" s="35">
        <f t="shared" ref="S25:AF25" si="17">SUM(S10:S12)</f>
        <v>31</v>
      </c>
      <c r="T25" s="16">
        <f t="shared" si="17"/>
        <v>10</v>
      </c>
      <c r="U25" s="16">
        <f t="shared" si="17"/>
        <v>56</v>
      </c>
      <c r="V25" s="16">
        <f t="shared" si="17"/>
        <v>27</v>
      </c>
      <c r="W25" s="16">
        <f t="shared" si="17"/>
        <v>1</v>
      </c>
      <c r="X25" s="16">
        <f t="shared" si="17"/>
        <v>2</v>
      </c>
      <c r="Y25" s="16">
        <f t="shared" si="17"/>
        <v>35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210</v>
      </c>
      <c r="AD25" s="16">
        <f t="shared" si="17"/>
        <v>1</v>
      </c>
      <c r="AE25" s="32">
        <f t="shared" si="17"/>
        <v>164</v>
      </c>
      <c r="AF25" s="32">
        <f t="shared" si="17"/>
        <v>374</v>
      </c>
    </row>
    <row r="26" spans="2:32" ht="23.1" customHeight="1" x14ac:dyDescent="0.25">
      <c r="B26" s="23" t="s">
        <v>53</v>
      </c>
      <c r="C26" s="50">
        <v>4</v>
      </c>
      <c r="D26" s="50">
        <v>3</v>
      </c>
      <c r="E26" s="50">
        <v>10</v>
      </c>
      <c r="F26" s="50">
        <v>5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34</v>
      </c>
      <c r="N26" s="50">
        <v>0</v>
      </c>
      <c r="O26" s="15">
        <f t="shared" si="0"/>
        <v>28</v>
      </c>
      <c r="P26" s="15">
        <f t="shared" si="1"/>
        <v>62</v>
      </c>
      <c r="R26" s="28" t="s">
        <v>86</v>
      </c>
      <c r="S26" s="16">
        <f t="shared" ref="S26:AF26" si="18">SUM(S13:S18)</f>
        <v>112</v>
      </c>
      <c r="T26" s="16">
        <f t="shared" si="18"/>
        <v>42</v>
      </c>
      <c r="U26" s="16">
        <f t="shared" si="18"/>
        <v>172</v>
      </c>
      <c r="V26" s="16">
        <f t="shared" si="18"/>
        <v>92</v>
      </c>
      <c r="W26" s="16">
        <f t="shared" si="18"/>
        <v>2</v>
      </c>
      <c r="X26" s="16">
        <f t="shared" si="18"/>
        <v>0</v>
      </c>
      <c r="Y26" s="16">
        <f t="shared" si="18"/>
        <v>93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817</v>
      </c>
      <c r="AD26" s="16">
        <f t="shared" si="18"/>
        <v>0</v>
      </c>
      <c r="AE26" s="32">
        <f t="shared" si="18"/>
        <v>514</v>
      </c>
      <c r="AF26" s="32">
        <f t="shared" si="18"/>
        <v>1331</v>
      </c>
    </row>
    <row r="27" spans="2:32" ht="23.1" customHeight="1" x14ac:dyDescent="0.25">
      <c r="B27" s="23" t="s">
        <v>54</v>
      </c>
      <c r="C27" s="50">
        <v>5</v>
      </c>
      <c r="D27" s="50">
        <v>1</v>
      </c>
      <c r="E27" s="50">
        <v>5</v>
      </c>
      <c r="F27" s="50">
        <v>1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19</v>
      </c>
      <c r="P27" s="15">
        <f t="shared" si="1"/>
        <v>50</v>
      </c>
      <c r="R27" s="29" t="s">
        <v>87</v>
      </c>
      <c r="S27" s="16">
        <f t="shared" ref="S27:AF27" si="19">SUM(S19:S21)</f>
        <v>25</v>
      </c>
      <c r="T27" s="16">
        <f t="shared" si="19"/>
        <v>25</v>
      </c>
      <c r="U27" s="16">
        <f t="shared" si="19"/>
        <v>98</v>
      </c>
      <c r="V27" s="16">
        <f t="shared" si="19"/>
        <v>52</v>
      </c>
      <c r="W27" s="16">
        <f t="shared" si="19"/>
        <v>2</v>
      </c>
      <c r="X27" s="16">
        <f t="shared" si="19"/>
        <v>0</v>
      </c>
      <c r="Y27" s="16">
        <f t="shared" si="19"/>
        <v>46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160</v>
      </c>
      <c r="AD27" s="16">
        <f t="shared" si="19"/>
        <v>0</v>
      </c>
      <c r="AE27" s="32">
        <f t="shared" si="19"/>
        <v>249</v>
      </c>
      <c r="AF27" s="32">
        <f t="shared" si="19"/>
        <v>409</v>
      </c>
    </row>
    <row r="28" spans="2:32" ht="23.1" customHeight="1" x14ac:dyDescent="0.25">
      <c r="B28" s="23" t="s">
        <v>55</v>
      </c>
      <c r="C28" s="50">
        <v>6</v>
      </c>
      <c r="D28" s="50">
        <v>2</v>
      </c>
      <c r="E28" s="50">
        <v>8</v>
      </c>
      <c r="F28" s="50">
        <v>5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25</v>
      </c>
      <c r="P28" s="15">
        <f t="shared" si="1"/>
        <v>63</v>
      </c>
      <c r="R28" s="5" t="s">
        <v>17</v>
      </c>
      <c r="S28" s="16">
        <f t="shared" ref="S28:AF28" si="20">SUM(S10:S21)</f>
        <v>168</v>
      </c>
      <c r="T28" s="16">
        <f t="shared" si="20"/>
        <v>77</v>
      </c>
      <c r="U28" s="16">
        <f t="shared" si="20"/>
        <v>326</v>
      </c>
      <c r="V28" s="16">
        <f t="shared" si="20"/>
        <v>171</v>
      </c>
      <c r="W28" s="16">
        <f t="shared" si="20"/>
        <v>5</v>
      </c>
      <c r="X28" s="16">
        <f t="shared" si="20"/>
        <v>2</v>
      </c>
      <c r="Y28" s="16">
        <f t="shared" si="20"/>
        <v>174</v>
      </c>
      <c r="Z28" s="16">
        <f t="shared" si="20"/>
        <v>3</v>
      </c>
      <c r="AA28" s="16">
        <f t="shared" si="20"/>
        <v>0</v>
      </c>
      <c r="AB28" s="16">
        <f t="shared" si="20"/>
        <v>0</v>
      </c>
      <c r="AC28" s="16">
        <f t="shared" si="20"/>
        <v>1187</v>
      </c>
      <c r="AD28" s="16">
        <f t="shared" si="20"/>
        <v>1</v>
      </c>
      <c r="AE28" s="32">
        <f t="shared" si="20"/>
        <v>927</v>
      </c>
      <c r="AF28" s="32">
        <f t="shared" si="20"/>
        <v>2114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4</v>
      </c>
      <c r="F29" s="50">
        <v>2</v>
      </c>
      <c r="G29" s="50">
        <v>0</v>
      </c>
      <c r="H29" s="50">
        <v>0</v>
      </c>
      <c r="I29" s="50">
        <v>6</v>
      </c>
      <c r="J29" s="50">
        <v>0</v>
      </c>
      <c r="K29" s="50">
        <v>0</v>
      </c>
      <c r="L29" s="50">
        <v>0</v>
      </c>
      <c r="M29" s="50">
        <v>38</v>
      </c>
      <c r="N29" s="50">
        <v>0</v>
      </c>
      <c r="O29" s="15">
        <f t="shared" si="0"/>
        <v>14</v>
      </c>
      <c r="P29" s="15">
        <f t="shared" si="1"/>
        <v>52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1</v>
      </c>
      <c r="E30" s="50">
        <v>6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18</v>
      </c>
      <c r="P30" s="15">
        <f t="shared" si="1"/>
        <v>58</v>
      </c>
    </row>
    <row r="31" spans="2:32" ht="23.1" customHeight="1" x14ac:dyDescent="0.25">
      <c r="B31" s="24" t="s">
        <v>58</v>
      </c>
      <c r="C31" s="50">
        <v>0</v>
      </c>
      <c r="D31" s="50">
        <v>3</v>
      </c>
      <c r="E31" s="50">
        <v>11</v>
      </c>
      <c r="F31" s="50">
        <v>5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40</v>
      </c>
      <c r="N31" s="50">
        <v>0</v>
      </c>
      <c r="O31" s="15">
        <f t="shared" si="0"/>
        <v>20</v>
      </c>
      <c r="P31" s="15">
        <f t="shared" si="1"/>
        <v>60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4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37</v>
      </c>
      <c r="N32" s="50">
        <v>0</v>
      </c>
      <c r="O32" s="15">
        <f t="shared" si="0"/>
        <v>15</v>
      </c>
      <c r="P32" s="15">
        <f t="shared" si="1"/>
        <v>52</v>
      </c>
    </row>
    <row r="33" spans="2:20" ht="23.1" customHeight="1" x14ac:dyDescent="0.25">
      <c r="B33" s="23" t="s">
        <v>60</v>
      </c>
      <c r="C33" s="50">
        <v>6</v>
      </c>
      <c r="D33" s="50">
        <v>4</v>
      </c>
      <c r="E33" s="50">
        <v>15</v>
      </c>
      <c r="F33" s="50">
        <v>4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5">
        <f t="shared" si="0"/>
        <v>33</v>
      </c>
      <c r="P33" s="15">
        <f t="shared" si="1"/>
        <v>67</v>
      </c>
    </row>
    <row r="34" spans="2:20" ht="23.1" customHeight="1" x14ac:dyDescent="0.25">
      <c r="B34" s="24" t="s">
        <v>61</v>
      </c>
      <c r="C34" s="50">
        <v>4</v>
      </c>
      <c r="D34" s="50">
        <v>2</v>
      </c>
      <c r="E34" s="50">
        <v>7</v>
      </c>
      <c r="F34" s="50">
        <v>3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19</v>
      </c>
      <c r="P34" s="15">
        <f t="shared" si="1"/>
        <v>54</v>
      </c>
    </row>
    <row r="35" spans="2:20" ht="23.1" customHeight="1" x14ac:dyDescent="0.25">
      <c r="B35" s="24" t="s">
        <v>62</v>
      </c>
      <c r="C35" s="50">
        <v>6</v>
      </c>
      <c r="D35" s="50">
        <v>2</v>
      </c>
      <c r="E35" s="50">
        <v>7</v>
      </c>
      <c r="F35" s="50">
        <v>5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43</v>
      </c>
      <c r="N35" s="50">
        <v>0</v>
      </c>
      <c r="O35" s="15">
        <f t="shared" si="0"/>
        <v>22</v>
      </c>
      <c r="P35" s="15">
        <f t="shared" si="1"/>
        <v>65</v>
      </c>
    </row>
    <row r="36" spans="2:20" ht="23.1" customHeight="1" x14ac:dyDescent="0.25">
      <c r="B36" s="24" t="s">
        <v>63</v>
      </c>
      <c r="C36" s="50">
        <v>6</v>
      </c>
      <c r="D36" s="50">
        <v>2</v>
      </c>
      <c r="E36" s="50">
        <v>7</v>
      </c>
      <c r="F36" s="50">
        <v>1</v>
      </c>
      <c r="G36" s="50">
        <v>1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28</v>
      </c>
      <c r="N36" s="50">
        <v>0</v>
      </c>
      <c r="O36" s="15">
        <f t="shared" si="0"/>
        <v>19</v>
      </c>
      <c r="P36" s="15">
        <f t="shared" si="1"/>
        <v>47</v>
      </c>
    </row>
    <row r="37" spans="2:20" ht="23.1" customHeight="1" x14ac:dyDescent="0.25">
      <c r="B37" s="23" t="s">
        <v>64</v>
      </c>
      <c r="C37" s="50">
        <v>10</v>
      </c>
      <c r="D37" s="50">
        <v>2</v>
      </c>
      <c r="E37" s="50">
        <v>8</v>
      </c>
      <c r="F37" s="50">
        <v>6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29</v>
      </c>
      <c r="P37" s="15">
        <f t="shared" si="1"/>
        <v>55</v>
      </c>
    </row>
    <row r="38" spans="2:20" ht="23.1" customHeight="1" x14ac:dyDescent="0.25">
      <c r="B38" s="24" t="s">
        <v>65</v>
      </c>
      <c r="C38" s="50">
        <v>8</v>
      </c>
      <c r="D38" s="50">
        <v>1</v>
      </c>
      <c r="E38" s="50">
        <v>4</v>
      </c>
      <c r="F38" s="50">
        <v>6</v>
      </c>
      <c r="G38" s="50">
        <v>0</v>
      </c>
      <c r="H38" s="50">
        <v>0</v>
      </c>
      <c r="I38" s="50">
        <v>5</v>
      </c>
      <c r="J38" s="50">
        <v>0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24</v>
      </c>
      <c r="P38" s="15">
        <f t="shared" si="1"/>
        <v>52</v>
      </c>
    </row>
    <row r="39" spans="2:20" ht="23.1" customHeight="1" x14ac:dyDescent="0.25">
      <c r="B39" s="24" t="s">
        <v>66</v>
      </c>
      <c r="C39" s="50">
        <v>6</v>
      </c>
      <c r="D39" s="50">
        <v>2</v>
      </c>
      <c r="E39" s="50">
        <v>8</v>
      </c>
      <c r="F39" s="50">
        <v>8</v>
      </c>
      <c r="G39" s="50">
        <v>0</v>
      </c>
      <c r="H39" s="50">
        <v>0</v>
      </c>
      <c r="I39" s="50">
        <v>10</v>
      </c>
      <c r="J39" s="50">
        <v>0</v>
      </c>
      <c r="K39" s="50">
        <v>0</v>
      </c>
      <c r="L39" s="50">
        <v>0</v>
      </c>
      <c r="M39" s="50">
        <v>27</v>
      </c>
      <c r="N39" s="50">
        <v>0</v>
      </c>
      <c r="O39" s="15">
        <f t="shared" si="0"/>
        <v>34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4</v>
      </c>
      <c r="D40" s="50">
        <v>3</v>
      </c>
      <c r="E40" s="50">
        <v>13</v>
      </c>
      <c r="F40" s="50">
        <v>2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37</v>
      </c>
      <c r="N40" s="50">
        <v>0</v>
      </c>
      <c r="O40" s="15">
        <f t="shared" si="0"/>
        <v>25</v>
      </c>
      <c r="P40" s="15">
        <f t="shared" si="1"/>
        <v>62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4</v>
      </c>
      <c r="F41" s="50">
        <v>5</v>
      </c>
      <c r="G41" s="50">
        <v>1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28</v>
      </c>
      <c r="N41" s="50">
        <v>0</v>
      </c>
      <c r="O41" s="15">
        <f t="shared" si="0"/>
        <v>18</v>
      </c>
      <c r="P41" s="15">
        <f t="shared" si="1"/>
        <v>46</v>
      </c>
    </row>
    <row r="42" spans="2:20" ht="23.1" customHeight="1" x14ac:dyDescent="0.25">
      <c r="B42" s="24" t="s">
        <v>69</v>
      </c>
      <c r="C42" s="50">
        <v>5</v>
      </c>
      <c r="D42" s="50">
        <v>1</v>
      </c>
      <c r="E42" s="50">
        <v>6</v>
      </c>
      <c r="F42" s="50">
        <v>4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40</v>
      </c>
      <c r="N42" s="50">
        <v>0</v>
      </c>
      <c r="O42" s="15">
        <f t="shared" si="0"/>
        <v>20</v>
      </c>
      <c r="P42" s="15">
        <f t="shared" si="1"/>
        <v>60</v>
      </c>
    </row>
    <row r="43" spans="2:20" ht="23.1" customHeight="1" x14ac:dyDescent="0.25">
      <c r="B43" s="23" t="s">
        <v>70</v>
      </c>
      <c r="C43" s="50">
        <v>6</v>
      </c>
      <c r="D43" s="50">
        <v>1</v>
      </c>
      <c r="E43" s="50">
        <v>5</v>
      </c>
      <c r="F43" s="50">
        <v>5</v>
      </c>
      <c r="G43" s="50">
        <v>0</v>
      </c>
      <c r="H43" s="50">
        <v>0</v>
      </c>
      <c r="I43" s="50">
        <v>4</v>
      </c>
      <c r="J43" s="50">
        <v>0</v>
      </c>
      <c r="K43" s="50">
        <v>0</v>
      </c>
      <c r="L43" s="50">
        <v>0</v>
      </c>
      <c r="M43" s="50">
        <v>28</v>
      </c>
      <c r="N43" s="50">
        <v>0</v>
      </c>
      <c r="O43" s="15">
        <f t="shared" si="0"/>
        <v>21</v>
      </c>
      <c r="P43" s="15">
        <f t="shared" si="1"/>
        <v>49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3</v>
      </c>
      <c r="F44" s="50">
        <v>2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38</v>
      </c>
      <c r="N44" s="50">
        <v>0</v>
      </c>
      <c r="O44" s="15">
        <f t="shared" si="0"/>
        <v>10</v>
      </c>
      <c r="P44" s="15">
        <f t="shared" si="1"/>
        <v>48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5</v>
      </c>
      <c r="F45" s="50">
        <v>8</v>
      </c>
      <c r="G45" s="50">
        <v>0</v>
      </c>
      <c r="H45" s="50">
        <v>0</v>
      </c>
      <c r="I45" s="50">
        <v>5</v>
      </c>
      <c r="J45" s="50">
        <v>0</v>
      </c>
      <c r="K45" s="50">
        <v>0</v>
      </c>
      <c r="L45" s="50">
        <v>0</v>
      </c>
      <c r="M45" s="50">
        <v>37</v>
      </c>
      <c r="N45" s="50">
        <v>0</v>
      </c>
      <c r="O45" s="15">
        <f t="shared" si="0"/>
        <v>23</v>
      </c>
      <c r="P45" s="15">
        <f t="shared" si="1"/>
        <v>60</v>
      </c>
    </row>
    <row r="46" spans="2:20" ht="23.1" customHeight="1" x14ac:dyDescent="0.25">
      <c r="B46" s="24" t="s">
        <v>73</v>
      </c>
      <c r="C46" s="50">
        <v>3</v>
      </c>
      <c r="D46" s="50">
        <v>3</v>
      </c>
      <c r="E46" s="50">
        <v>11</v>
      </c>
      <c r="F46" s="50">
        <v>2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0</v>
      </c>
      <c r="M46" s="50">
        <v>25</v>
      </c>
      <c r="N46" s="50">
        <v>0</v>
      </c>
      <c r="O46" s="15">
        <f t="shared" si="0"/>
        <v>25</v>
      </c>
      <c r="P46" s="15">
        <f t="shared" si="1"/>
        <v>50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6</v>
      </c>
      <c r="F47" s="50">
        <v>2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13</v>
      </c>
      <c r="P47" s="15">
        <f t="shared" si="1"/>
        <v>33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3</v>
      </c>
      <c r="E48" s="50">
        <v>10</v>
      </c>
      <c r="F48" s="50">
        <v>10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32</v>
      </c>
      <c r="P48" s="15">
        <f t="shared" si="1"/>
        <v>52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3</v>
      </c>
      <c r="E49" s="50">
        <v>11</v>
      </c>
      <c r="F49" s="50">
        <v>1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30</v>
      </c>
      <c r="N49" s="50">
        <v>0</v>
      </c>
      <c r="O49" s="15">
        <f t="shared" si="0"/>
        <v>27</v>
      </c>
      <c r="P49" s="15">
        <f t="shared" si="1"/>
        <v>57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1</v>
      </c>
      <c r="E50" s="50">
        <v>6</v>
      </c>
      <c r="F50" s="50">
        <v>8</v>
      </c>
      <c r="G50" s="50">
        <v>0</v>
      </c>
      <c r="H50" s="50">
        <v>0</v>
      </c>
      <c r="I50" s="50">
        <v>5</v>
      </c>
      <c r="J50" s="50">
        <v>0</v>
      </c>
      <c r="K50" s="50">
        <v>0</v>
      </c>
      <c r="L50" s="50">
        <v>0</v>
      </c>
      <c r="M50" s="50">
        <v>31</v>
      </c>
      <c r="N50" s="50">
        <v>0</v>
      </c>
      <c r="O50" s="15">
        <f t="shared" si="0"/>
        <v>25</v>
      </c>
      <c r="P50" s="15">
        <f t="shared" si="1"/>
        <v>56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3</v>
      </c>
      <c r="E51" s="50">
        <v>10</v>
      </c>
      <c r="F51" s="50">
        <v>5</v>
      </c>
      <c r="G51" s="50">
        <v>0</v>
      </c>
      <c r="H51" s="50">
        <v>0</v>
      </c>
      <c r="I51" s="50">
        <v>5</v>
      </c>
      <c r="J51" s="50">
        <v>0</v>
      </c>
      <c r="K51" s="50">
        <v>0</v>
      </c>
      <c r="L51" s="50">
        <v>0</v>
      </c>
      <c r="M51" s="50">
        <v>34</v>
      </c>
      <c r="N51" s="50">
        <v>0</v>
      </c>
      <c r="O51" s="15">
        <f t="shared" si="0"/>
        <v>26</v>
      </c>
      <c r="P51" s="15">
        <f t="shared" si="1"/>
        <v>60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3</v>
      </c>
      <c r="E52" s="50">
        <v>11</v>
      </c>
      <c r="F52" s="50">
        <v>4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22</v>
      </c>
      <c r="P52" s="15">
        <f t="shared" si="1"/>
        <v>22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2</v>
      </c>
      <c r="E53" s="50">
        <v>8</v>
      </c>
      <c r="F53" s="50">
        <v>6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17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4</v>
      </c>
      <c r="F54" s="50">
        <v>5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13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2</v>
      </c>
      <c r="E55" s="50">
        <v>7</v>
      </c>
      <c r="F55" s="50">
        <v>5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17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2</v>
      </c>
      <c r="E56" s="50">
        <v>9</v>
      </c>
      <c r="F56" s="50">
        <v>4</v>
      </c>
      <c r="G56" s="50">
        <v>2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22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1</v>
      </c>
      <c r="E57" s="50">
        <v>5</v>
      </c>
      <c r="F57" s="50">
        <v>0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10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168</v>
      </c>
      <c r="D58" s="16">
        <f t="shared" si="21"/>
        <v>77</v>
      </c>
      <c r="E58" s="16">
        <f t="shared" si="21"/>
        <v>326</v>
      </c>
      <c r="F58" s="16">
        <f t="shared" si="21"/>
        <v>171</v>
      </c>
      <c r="G58" s="16">
        <f t="shared" si="21"/>
        <v>5</v>
      </c>
      <c r="H58" s="16">
        <f t="shared" si="21"/>
        <v>2</v>
      </c>
      <c r="I58" s="16">
        <f t="shared" si="21"/>
        <v>174</v>
      </c>
      <c r="J58" s="16">
        <f t="shared" si="21"/>
        <v>3</v>
      </c>
      <c r="K58" s="16">
        <f t="shared" si="21"/>
        <v>0</v>
      </c>
      <c r="L58" s="16">
        <f t="shared" si="21"/>
        <v>0</v>
      </c>
      <c r="M58" s="16">
        <f t="shared" si="21"/>
        <v>1187</v>
      </c>
      <c r="N58" s="16">
        <f t="shared" si="21"/>
        <v>1</v>
      </c>
      <c r="O58" s="16">
        <f t="shared" si="21"/>
        <v>927</v>
      </c>
      <c r="P58" s="16">
        <f t="shared" si="21"/>
        <v>2114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7.9470198675496692E-2</v>
      </c>
      <c r="D59" s="43">
        <f t="shared" si="22"/>
        <v>3.6423841059602648E-2</v>
      </c>
      <c r="E59" s="43">
        <f t="shared" si="22"/>
        <v>0.15421002838221382</v>
      </c>
      <c r="F59" s="43">
        <f t="shared" si="22"/>
        <v>8.0889309366130563E-2</v>
      </c>
      <c r="G59" s="43">
        <f t="shared" si="22"/>
        <v>2.3651844843897824E-3</v>
      </c>
      <c r="H59" s="43">
        <f t="shared" si="22"/>
        <v>9.4607379375591296E-4</v>
      </c>
      <c r="I59" s="43">
        <f t="shared" si="22"/>
        <v>8.2308420056764434E-2</v>
      </c>
      <c r="J59" s="43">
        <f t="shared" si="22"/>
        <v>1.4191106906338694E-3</v>
      </c>
      <c r="K59" s="43">
        <f t="shared" si="22"/>
        <v>0</v>
      </c>
      <c r="L59" s="43">
        <f t="shared" si="22"/>
        <v>0</v>
      </c>
      <c r="M59" s="43">
        <f t="shared" si="22"/>
        <v>0.56149479659413437</v>
      </c>
      <c r="N59" s="43">
        <f t="shared" si="22"/>
        <v>4.7303689687795648E-4</v>
      </c>
      <c r="R59" s="8"/>
      <c r="T59"/>
    </row>
    <row r="60" spans="2:20" ht="23.1" customHeight="1" x14ac:dyDescent="0.25">
      <c r="B60" s="42" t="s">
        <v>94</v>
      </c>
      <c r="C60" s="44">
        <f>C58/$O$58</f>
        <v>0.18122977346278318</v>
      </c>
      <c r="D60" s="44">
        <f t="shared" ref="D60:N60" si="23">D58/$O$58</f>
        <v>8.306364617044229E-2</v>
      </c>
      <c r="E60" s="44">
        <f t="shared" si="23"/>
        <v>0.35167206040992449</v>
      </c>
      <c r="F60" s="44">
        <f t="shared" si="23"/>
        <v>0.18446601941747573</v>
      </c>
      <c r="G60" s="44">
        <f t="shared" si="23"/>
        <v>5.3937432578209281E-3</v>
      </c>
      <c r="H60" s="44">
        <f t="shared" si="23"/>
        <v>2.1574973031283709E-3</v>
      </c>
      <c r="I60" s="44">
        <f t="shared" si="23"/>
        <v>0.18770226537216828</v>
      </c>
      <c r="J60" s="44">
        <f t="shared" si="23"/>
        <v>3.2362459546925568E-3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1.0787486515641855E-3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F174"/>
  <sheetViews>
    <sheetView view="pageBreakPreview" topLeftCell="A49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6" t="str">
        <f>'23.08 Mbale-Sironko'!G5:H5</f>
        <v>xxx</v>
      </c>
      <c r="H5" s="67"/>
      <c r="I5" s="14"/>
      <c r="J5" s="2" t="s">
        <v>5</v>
      </c>
      <c r="K5" s="66" t="str">
        <f>'23.08 Mbale-Sironko'!K5:L5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'23.08 Mbale-Sironko'!K6:L6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6</v>
      </c>
      <c r="T10" s="17">
        <f t="shared" si="2"/>
        <v>3</v>
      </c>
      <c r="U10" s="17">
        <f t="shared" si="2"/>
        <v>13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31</v>
      </c>
      <c r="AF10" s="31">
        <f t="shared" si="2"/>
        <v>74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2</v>
      </c>
      <c r="P11" s="15">
        <f t="shared" si="1"/>
        <v>7</v>
      </c>
      <c r="R11" s="1" t="s">
        <v>7</v>
      </c>
      <c r="S11" s="17">
        <f t="shared" ref="S11:AF11" si="3">SUM(C14:C17)</f>
        <v>10</v>
      </c>
      <c r="T11" s="17">
        <f t="shared" si="3"/>
        <v>2</v>
      </c>
      <c r="U11" s="17">
        <f t="shared" si="3"/>
        <v>14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106</v>
      </c>
      <c r="AD11" s="17">
        <f t="shared" si="3"/>
        <v>0</v>
      </c>
      <c r="AE11" s="31">
        <f t="shared" si="3"/>
        <v>48</v>
      </c>
      <c r="AF11" s="31">
        <f t="shared" si="3"/>
        <v>154</v>
      </c>
    </row>
    <row r="12" spans="2:32" ht="23.1" customHeight="1" x14ac:dyDescent="0.25">
      <c r="B12" s="45" t="s">
        <v>39</v>
      </c>
      <c r="C12" s="50">
        <v>1</v>
      </c>
      <c r="D12" s="50">
        <v>2</v>
      </c>
      <c r="E12" s="50">
        <v>8</v>
      </c>
      <c r="F12" s="50">
        <v>1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15</v>
      </c>
      <c r="P12" s="15">
        <f t="shared" si="1"/>
        <v>35</v>
      </c>
      <c r="R12" s="1" t="s">
        <v>8</v>
      </c>
      <c r="S12" s="17">
        <f t="shared" ref="S12:AF12" si="4">SUM(C18:C21)</f>
        <v>24</v>
      </c>
      <c r="T12" s="17">
        <f t="shared" si="4"/>
        <v>8</v>
      </c>
      <c r="U12" s="17">
        <f t="shared" si="4"/>
        <v>33</v>
      </c>
      <c r="V12" s="17">
        <f t="shared" si="4"/>
        <v>17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105</v>
      </c>
      <c r="AD12" s="17">
        <f t="shared" si="4"/>
        <v>0</v>
      </c>
      <c r="AE12" s="31">
        <f t="shared" si="4"/>
        <v>92</v>
      </c>
      <c r="AF12" s="31">
        <f t="shared" si="4"/>
        <v>197</v>
      </c>
    </row>
    <row r="13" spans="2:32" ht="23.1" customHeight="1" x14ac:dyDescent="0.25">
      <c r="B13" s="45" t="s">
        <v>40</v>
      </c>
      <c r="C13" s="50">
        <v>4</v>
      </c>
      <c r="D13" s="50">
        <v>1</v>
      </c>
      <c r="E13" s="50">
        <v>5</v>
      </c>
      <c r="F13" s="50">
        <v>2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14</v>
      </c>
      <c r="P13" s="15">
        <f t="shared" si="1"/>
        <v>32</v>
      </c>
      <c r="R13" s="1" t="s">
        <v>9</v>
      </c>
      <c r="S13" s="17">
        <f t="shared" ref="S13:AF13" si="5">SUM(C22:C25)</f>
        <v>13</v>
      </c>
      <c r="T13" s="17">
        <f t="shared" si="5"/>
        <v>5</v>
      </c>
      <c r="U13" s="17">
        <f t="shared" si="5"/>
        <v>25</v>
      </c>
      <c r="V13" s="17">
        <f t="shared" si="5"/>
        <v>13</v>
      </c>
      <c r="W13" s="17">
        <f t="shared" si="5"/>
        <v>1</v>
      </c>
      <c r="X13" s="17">
        <f t="shared" si="5"/>
        <v>0</v>
      </c>
      <c r="Y13" s="17">
        <f t="shared" si="5"/>
        <v>10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80</v>
      </c>
      <c r="AD13" s="17">
        <f t="shared" si="5"/>
        <v>0</v>
      </c>
      <c r="AE13" s="31">
        <f t="shared" si="5"/>
        <v>70</v>
      </c>
      <c r="AF13" s="31">
        <f t="shared" si="5"/>
        <v>150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2</v>
      </c>
      <c r="F14" s="50">
        <v>4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11</v>
      </c>
      <c r="P14" s="15">
        <f t="shared" si="1"/>
        <v>41</v>
      </c>
      <c r="R14" s="1" t="s">
        <v>10</v>
      </c>
      <c r="S14" s="17">
        <f t="shared" ref="S14:AF14" si="6">SUM(C26:C29)</f>
        <v>19</v>
      </c>
      <c r="T14" s="17">
        <f t="shared" si="6"/>
        <v>5</v>
      </c>
      <c r="U14" s="17">
        <f t="shared" si="6"/>
        <v>23</v>
      </c>
      <c r="V14" s="17">
        <f t="shared" si="6"/>
        <v>19</v>
      </c>
      <c r="W14" s="17">
        <f t="shared" si="6"/>
        <v>0</v>
      </c>
      <c r="X14" s="17">
        <f t="shared" si="6"/>
        <v>1</v>
      </c>
      <c r="Y14" s="17">
        <f t="shared" si="6"/>
        <v>12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93</v>
      </c>
      <c r="AD14" s="17">
        <f t="shared" si="6"/>
        <v>0</v>
      </c>
      <c r="AE14" s="31">
        <f t="shared" si="6"/>
        <v>79</v>
      </c>
      <c r="AF14" s="31">
        <f t="shared" si="6"/>
        <v>172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5</v>
      </c>
      <c r="F15" s="50">
        <v>2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18</v>
      </c>
      <c r="N15" s="50">
        <v>0</v>
      </c>
      <c r="O15" s="15">
        <f t="shared" si="0"/>
        <v>12</v>
      </c>
      <c r="P15" s="15">
        <f t="shared" si="1"/>
        <v>30</v>
      </c>
      <c r="R15" s="1" t="s">
        <v>11</v>
      </c>
      <c r="S15" s="17">
        <f t="shared" ref="S15:AF15" si="7">SUM(C30:C33)</f>
        <v>17</v>
      </c>
      <c r="T15" s="17">
        <f t="shared" si="7"/>
        <v>8</v>
      </c>
      <c r="U15" s="17">
        <f t="shared" si="7"/>
        <v>34</v>
      </c>
      <c r="V15" s="17">
        <f t="shared" si="7"/>
        <v>17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140</v>
      </c>
      <c r="AD15" s="17">
        <f t="shared" si="7"/>
        <v>0</v>
      </c>
      <c r="AE15" s="31">
        <f t="shared" si="7"/>
        <v>85</v>
      </c>
      <c r="AF15" s="31">
        <f t="shared" si="7"/>
        <v>225</v>
      </c>
    </row>
    <row r="16" spans="2:32" ht="23.1" customHeight="1" x14ac:dyDescent="0.25">
      <c r="B16" s="45" t="s">
        <v>43</v>
      </c>
      <c r="C16" s="50">
        <v>3</v>
      </c>
      <c r="D16" s="50">
        <v>1</v>
      </c>
      <c r="E16" s="50">
        <v>4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25</v>
      </c>
      <c r="N16" s="50">
        <v>0</v>
      </c>
      <c r="O16" s="15">
        <f t="shared" si="0"/>
        <v>11</v>
      </c>
      <c r="P16" s="15">
        <f t="shared" si="1"/>
        <v>36</v>
      </c>
      <c r="R16" s="1" t="s">
        <v>12</v>
      </c>
      <c r="S16" s="17">
        <f t="shared" ref="S16:AF16" si="8">SUM(C34:C37)</f>
        <v>20</v>
      </c>
      <c r="T16" s="17">
        <f t="shared" si="8"/>
        <v>11</v>
      </c>
      <c r="U16" s="17">
        <f t="shared" si="8"/>
        <v>42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122</v>
      </c>
      <c r="AD16" s="17">
        <f t="shared" si="8"/>
        <v>0</v>
      </c>
      <c r="AE16" s="31">
        <f t="shared" si="8"/>
        <v>103</v>
      </c>
      <c r="AF16" s="31">
        <f t="shared" si="8"/>
        <v>225</v>
      </c>
    </row>
    <row r="17" spans="2:32" ht="23.1" customHeight="1" x14ac:dyDescent="0.25">
      <c r="B17" s="45" t="s">
        <v>44</v>
      </c>
      <c r="C17" s="50">
        <v>3</v>
      </c>
      <c r="D17" s="50">
        <v>0</v>
      </c>
      <c r="E17" s="50">
        <v>3</v>
      </c>
      <c r="F17" s="50">
        <v>2</v>
      </c>
      <c r="G17" s="50">
        <v>0</v>
      </c>
      <c r="H17" s="50">
        <v>0</v>
      </c>
      <c r="I17" s="50">
        <v>6</v>
      </c>
      <c r="J17" s="50">
        <v>0</v>
      </c>
      <c r="K17" s="50">
        <v>0</v>
      </c>
      <c r="L17" s="50">
        <v>0</v>
      </c>
      <c r="M17" s="50">
        <v>33</v>
      </c>
      <c r="N17" s="50">
        <v>0</v>
      </c>
      <c r="O17" s="15">
        <f t="shared" si="0"/>
        <v>14</v>
      </c>
      <c r="P17" s="15">
        <f t="shared" si="1"/>
        <v>47</v>
      </c>
      <c r="R17" s="1" t="s">
        <v>13</v>
      </c>
      <c r="S17" s="17">
        <f t="shared" ref="S17:AF17" si="9">SUM(C38:C41)</f>
        <v>10</v>
      </c>
      <c r="T17" s="17">
        <f t="shared" si="9"/>
        <v>5</v>
      </c>
      <c r="U17" s="17">
        <f t="shared" si="9"/>
        <v>23</v>
      </c>
      <c r="V17" s="17">
        <f t="shared" si="9"/>
        <v>17</v>
      </c>
      <c r="W17" s="17">
        <f t="shared" si="9"/>
        <v>0</v>
      </c>
      <c r="X17" s="17">
        <f t="shared" si="9"/>
        <v>0</v>
      </c>
      <c r="Y17" s="17">
        <f t="shared" si="9"/>
        <v>17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117</v>
      </c>
      <c r="AD17" s="17">
        <f t="shared" si="9"/>
        <v>0</v>
      </c>
      <c r="AE17" s="31">
        <f t="shared" si="9"/>
        <v>74</v>
      </c>
      <c r="AF17" s="31">
        <f t="shared" si="9"/>
        <v>191</v>
      </c>
    </row>
    <row r="18" spans="2:32" ht="23.1" customHeight="1" x14ac:dyDescent="0.25">
      <c r="B18" s="45" t="s">
        <v>45</v>
      </c>
      <c r="C18" s="50">
        <v>3</v>
      </c>
      <c r="D18" s="50">
        <v>1</v>
      </c>
      <c r="E18" s="50">
        <v>6</v>
      </c>
      <c r="F18" s="50">
        <v>8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31</v>
      </c>
      <c r="N18" s="50">
        <v>0</v>
      </c>
      <c r="O18" s="15">
        <f t="shared" si="0"/>
        <v>22</v>
      </c>
      <c r="P18" s="15">
        <f t="shared" si="1"/>
        <v>53</v>
      </c>
      <c r="R18" s="1" t="s">
        <v>14</v>
      </c>
      <c r="S18" s="17">
        <f t="shared" ref="S18:AF18" si="10">SUM(C42:C45)</f>
        <v>12</v>
      </c>
      <c r="T18" s="17">
        <f t="shared" si="10"/>
        <v>6</v>
      </c>
      <c r="U18" s="17">
        <f t="shared" si="10"/>
        <v>24</v>
      </c>
      <c r="V18" s="17">
        <f t="shared" si="10"/>
        <v>14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66</v>
      </c>
      <c r="AD18" s="17">
        <f t="shared" si="10"/>
        <v>0</v>
      </c>
      <c r="AE18" s="31">
        <f t="shared" si="10"/>
        <v>63</v>
      </c>
      <c r="AF18" s="31">
        <f t="shared" si="10"/>
        <v>129</v>
      </c>
    </row>
    <row r="19" spans="2:32" ht="23.1" customHeight="1" x14ac:dyDescent="0.25">
      <c r="B19" s="45" t="s">
        <v>46</v>
      </c>
      <c r="C19" s="50">
        <v>6</v>
      </c>
      <c r="D19" s="50">
        <v>3</v>
      </c>
      <c r="E19" s="50">
        <v>10</v>
      </c>
      <c r="F19" s="50">
        <v>4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20</v>
      </c>
      <c r="N19" s="50">
        <v>0</v>
      </c>
      <c r="O19" s="15">
        <f t="shared" si="0"/>
        <v>25</v>
      </c>
      <c r="P19" s="15">
        <f t="shared" si="1"/>
        <v>45</v>
      </c>
      <c r="R19" s="1" t="s">
        <v>15</v>
      </c>
      <c r="S19" s="17">
        <f t="shared" ref="S19:AF19" si="11">SUM(C46:C49)</f>
        <v>17</v>
      </c>
      <c r="T19" s="17">
        <f t="shared" si="11"/>
        <v>1</v>
      </c>
      <c r="U19" s="17">
        <f t="shared" si="11"/>
        <v>10</v>
      </c>
      <c r="V19" s="17">
        <f t="shared" si="11"/>
        <v>20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107</v>
      </c>
      <c r="AD19" s="17">
        <f t="shared" si="11"/>
        <v>0</v>
      </c>
      <c r="AE19" s="31">
        <f t="shared" si="11"/>
        <v>60</v>
      </c>
      <c r="AF19" s="31">
        <f t="shared" si="11"/>
        <v>167</v>
      </c>
    </row>
    <row r="20" spans="2:32" ht="23.1" customHeight="1" x14ac:dyDescent="0.25">
      <c r="B20" s="45" t="s">
        <v>47</v>
      </c>
      <c r="C20" s="50">
        <v>9</v>
      </c>
      <c r="D20" s="50">
        <v>2</v>
      </c>
      <c r="E20" s="50">
        <v>9</v>
      </c>
      <c r="F20" s="50">
        <v>2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24</v>
      </c>
      <c r="P20" s="15">
        <f t="shared" si="1"/>
        <v>54</v>
      </c>
      <c r="R20" s="1" t="s">
        <v>16</v>
      </c>
      <c r="S20" s="17">
        <f t="shared" ref="S20:AF20" si="12">SUM(C50:C53)</f>
        <v>19</v>
      </c>
      <c r="T20" s="17">
        <f t="shared" si="12"/>
        <v>4</v>
      </c>
      <c r="U20" s="17">
        <f t="shared" si="12"/>
        <v>17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17</v>
      </c>
      <c r="Z20" s="17">
        <f t="shared" si="12"/>
        <v>1</v>
      </c>
      <c r="AA20" s="17">
        <f t="shared" si="12"/>
        <v>3</v>
      </c>
      <c r="AB20" s="17">
        <f t="shared" si="12"/>
        <v>0</v>
      </c>
      <c r="AC20" s="17">
        <f t="shared" si="12"/>
        <v>122</v>
      </c>
      <c r="AD20" s="17">
        <f t="shared" si="12"/>
        <v>0</v>
      </c>
      <c r="AE20" s="31">
        <f t="shared" si="12"/>
        <v>72</v>
      </c>
      <c r="AF20" s="31">
        <f t="shared" si="12"/>
        <v>194</v>
      </c>
    </row>
    <row r="21" spans="2:32" ht="23.1" customHeight="1" x14ac:dyDescent="0.25">
      <c r="B21" s="45" t="s">
        <v>48</v>
      </c>
      <c r="C21" s="50">
        <v>6</v>
      </c>
      <c r="D21" s="50">
        <v>2</v>
      </c>
      <c r="E21" s="50">
        <v>8</v>
      </c>
      <c r="F21" s="50">
        <v>3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24</v>
      </c>
      <c r="N21" s="50">
        <v>0</v>
      </c>
      <c r="O21" s="15">
        <f t="shared" si="0"/>
        <v>21</v>
      </c>
      <c r="P21" s="15">
        <f t="shared" si="1"/>
        <v>45</v>
      </c>
      <c r="R21" s="36" t="s">
        <v>20</v>
      </c>
      <c r="S21" s="34">
        <f t="shared" ref="S21:AF21" si="13">SUM(C54:C57)</f>
        <v>10</v>
      </c>
      <c r="T21" s="17">
        <f t="shared" si="13"/>
        <v>4</v>
      </c>
      <c r="U21" s="17">
        <f t="shared" si="13"/>
        <v>21</v>
      </c>
      <c r="V21" s="17">
        <f t="shared" si="13"/>
        <v>17</v>
      </c>
      <c r="W21" s="17">
        <f t="shared" si="13"/>
        <v>0</v>
      </c>
      <c r="X21" s="17">
        <f t="shared" si="13"/>
        <v>0</v>
      </c>
      <c r="Y21" s="17">
        <f t="shared" si="13"/>
        <v>14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80</v>
      </c>
      <c r="AD21" s="17">
        <f t="shared" si="13"/>
        <v>0</v>
      </c>
      <c r="AE21" s="31">
        <f t="shared" si="13"/>
        <v>66</v>
      </c>
      <c r="AF21" s="31">
        <f t="shared" si="13"/>
        <v>146</v>
      </c>
    </row>
    <row r="22" spans="2:32" ht="23.1" customHeight="1" x14ac:dyDescent="0.25">
      <c r="B22" s="45" t="s">
        <v>49</v>
      </c>
      <c r="C22" s="50">
        <v>7</v>
      </c>
      <c r="D22" s="50">
        <v>3</v>
      </c>
      <c r="E22" s="50">
        <v>12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25</v>
      </c>
      <c r="N22" s="50">
        <v>0</v>
      </c>
      <c r="O22" s="15">
        <f t="shared" si="0"/>
        <v>27</v>
      </c>
      <c r="P22" s="15">
        <f t="shared" si="1"/>
        <v>52</v>
      </c>
      <c r="R22" s="36" t="s">
        <v>146</v>
      </c>
      <c r="S22" s="34">
        <f>SUM(C58:C61)</f>
        <v>14</v>
      </c>
      <c r="T22" s="34">
        <f t="shared" ref="T22:AF22" si="14">SUM(D58:D61)</f>
        <v>3</v>
      </c>
      <c r="U22" s="34">
        <f t="shared" si="14"/>
        <v>18</v>
      </c>
      <c r="V22" s="34">
        <f t="shared" si="14"/>
        <v>18</v>
      </c>
      <c r="W22" s="34">
        <f t="shared" si="14"/>
        <v>0</v>
      </c>
      <c r="X22" s="34">
        <f t="shared" si="14"/>
        <v>0</v>
      </c>
      <c r="Y22" s="34">
        <f t="shared" si="14"/>
        <v>15</v>
      </c>
      <c r="Z22" s="34">
        <f t="shared" si="14"/>
        <v>0</v>
      </c>
      <c r="AA22" s="34">
        <f t="shared" si="14"/>
        <v>2</v>
      </c>
      <c r="AB22" s="34">
        <f t="shared" si="14"/>
        <v>0</v>
      </c>
      <c r="AC22" s="34">
        <f t="shared" si="14"/>
        <v>131</v>
      </c>
      <c r="AD22" s="34">
        <f t="shared" si="14"/>
        <v>0</v>
      </c>
      <c r="AE22" s="31">
        <f t="shared" si="14"/>
        <v>70</v>
      </c>
      <c r="AF22" s="31">
        <f t="shared" si="14"/>
        <v>201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5</v>
      </c>
      <c r="F23" s="50">
        <v>2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16</v>
      </c>
      <c r="P23" s="15">
        <f t="shared" si="1"/>
        <v>35</v>
      </c>
      <c r="R23" s="36" t="s">
        <v>147</v>
      </c>
      <c r="S23" s="34">
        <f>SUM(C62:C65)</f>
        <v>12</v>
      </c>
      <c r="T23" s="34">
        <f t="shared" ref="T23:AF23" si="15">SUM(D62:D65)</f>
        <v>4</v>
      </c>
      <c r="U23" s="34">
        <f t="shared" si="15"/>
        <v>23</v>
      </c>
      <c r="V23" s="34">
        <f t="shared" si="15"/>
        <v>9</v>
      </c>
      <c r="W23" s="34">
        <f t="shared" si="15"/>
        <v>0</v>
      </c>
      <c r="X23" s="34">
        <f t="shared" si="15"/>
        <v>0</v>
      </c>
      <c r="Y23" s="34">
        <f t="shared" si="15"/>
        <v>17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78</v>
      </c>
      <c r="AD23" s="34">
        <f t="shared" si="15"/>
        <v>0</v>
      </c>
      <c r="AE23" s="31">
        <f t="shared" si="15"/>
        <v>65</v>
      </c>
      <c r="AF23" s="31">
        <f t="shared" si="15"/>
        <v>143</v>
      </c>
    </row>
    <row r="24" spans="2:32" ht="23.1" customHeight="1" x14ac:dyDescent="0.25">
      <c r="B24" s="45" t="s">
        <v>51</v>
      </c>
      <c r="C24" s="50">
        <v>4</v>
      </c>
      <c r="D24" s="50">
        <v>1</v>
      </c>
      <c r="E24" s="50">
        <v>5</v>
      </c>
      <c r="F24" s="50">
        <v>3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24</v>
      </c>
      <c r="N24" s="50">
        <v>0</v>
      </c>
      <c r="O24" s="15">
        <f t="shared" si="0"/>
        <v>13</v>
      </c>
      <c r="P24" s="15">
        <f t="shared" si="1"/>
        <v>37</v>
      </c>
      <c r="R24" s="36" t="s">
        <v>148</v>
      </c>
      <c r="S24" s="34">
        <f>SUM(C66:C69)</f>
        <v>16</v>
      </c>
      <c r="T24" s="34">
        <f t="shared" ref="T24:AF24" si="16">SUM(D66:D69)</f>
        <v>2</v>
      </c>
      <c r="U24" s="34">
        <f t="shared" si="16"/>
        <v>9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2</v>
      </c>
      <c r="AB24" s="34">
        <f t="shared" si="16"/>
        <v>0</v>
      </c>
      <c r="AC24" s="34">
        <f t="shared" si="16"/>
        <v>59</v>
      </c>
      <c r="AD24" s="34">
        <f t="shared" si="16"/>
        <v>0</v>
      </c>
      <c r="AE24" s="31">
        <f t="shared" si="16"/>
        <v>35</v>
      </c>
      <c r="AF24" s="31">
        <f t="shared" si="16"/>
        <v>94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3</v>
      </c>
      <c r="F25" s="50">
        <v>5</v>
      </c>
      <c r="G25" s="50">
        <v>1</v>
      </c>
      <c r="H25" s="50">
        <v>0</v>
      </c>
      <c r="I25" s="50">
        <v>3</v>
      </c>
      <c r="J25" s="50">
        <v>0</v>
      </c>
      <c r="K25" s="50">
        <v>1</v>
      </c>
      <c r="L25" s="50">
        <v>0</v>
      </c>
      <c r="M25" s="50">
        <v>12</v>
      </c>
      <c r="N25" s="50">
        <v>0</v>
      </c>
      <c r="O25" s="15">
        <f t="shared" si="0"/>
        <v>14</v>
      </c>
      <c r="P25" s="15">
        <f t="shared" si="1"/>
        <v>26</v>
      </c>
      <c r="R25" s="36" t="s">
        <v>149</v>
      </c>
      <c r="S25" s="34">
        <f>SUM(C70:C73)</f>
        <v>8</v>
      </c>
      <c r="T25" s="34">
        <f t="shared" ref="T25:AF25" si="17">SUM(D70:D73)</f>
        <v>0</v>
      </c>
      <c r="U25" s="34">
        <f t="shared" si="17"/>
        <v>7</v>
      </c>
      <c r="V25" s="34">
        <f t="shared" si="17"/>
        <v>4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36</v>
      </c>
      <c r="AD25" s="34">
        <f t="shared" si="17"/>
        <v>0</v>
      </c>
      <c r="AE25" s="31">
        <f t="shared" si="17"/>
        <v>25</v>
      </c>
      <c r="AF25" s="31">
        <f t="shared" si="17"/>
        <v>61</v>
      </c>
    </row>
    <row r="26" spans="2:32" ht="23.1" customHeight="1" x14ac:dyDescent="0.25">
      <c r="B26" s="45" t="s">
        <v>53</v>
      </c>
      <c r="C26" s="50">
        <v>3</v>
      </c>
      <c r="D26" s="50">
        <v>1</v>
      </c>
      <c r="E26" s="50">
        <v>5</v>
      </c>
      <c r="F26" s="50">
        <v>1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12</v>
      </c>
      <c r="P26" s="15">
        <f t="shared" si="1"/>
        <v>26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23</v>
      </c>
      <c r="AD26" s="34">
        <f t="shared" si="18"/>
        <v>0</v>
      </c>
      <c r="AE26" s="31">
        <f t="shared" si="18"/>
        <v>7</v>
      </c>
      <c r="AF26" s="31">
        <f t="shared" si="18"/>
        <v>30</v>
      </c>
    </row>
    <row r="27" spans="2:32" ht="23.1" customHeight="1" x14ac:dyDescent="0.25">
      <c r="B27" s="45" t="s">
        <v>54</v>
      </c>
      <c r="C27" s="50">
        <v>5</v>
      </c>
      <c r="D27" s="50">
        <v>1</v>
      </c>
      <c r="E27" s="50">
        <v>5</v>
      </c>
      <c r="F27" s="50">
        <v>7</v>
      </c>
      <c r="G27" s="50">
        <v>0</v>
      </c>
      <c r="H27" s="50">
        <v>1</v>
      </c>
      <c r="I27" s="50">
        <v>2</v>
      </c>
      <c r="J27" s="50">
        <v>0</v>
      </c>
      <c r="K27" s="50">
        <v>0</v>
      </c>
      <c r="L27" s="50">
        <v>0</v>
      </c>
      <c r="M27" s="50">
        <v>17</v>
      </c>
      <c r="N27" s="50">
        <v>0</v>
      </c>
      <c r="O27" s="15">
        <f t="shared" si="0"/>
        <v>21</v>
      </c>
      <c r="P27" s="15">
        <f t="shared" si="1"/>
        <v>38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3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10</v>
      </c>
      <c r="AF27" s="31">
        <f t="shared" si="19"/>
        <v>17</v>
      </c>
    </row>
    <row r="28" spans="2:32" ht="23.1" customHeight="1" x14ac:dyDescent="0.25">
      <c r="B28" s="45" t="s">
        <v>55</v>
      </c>
      <c r="C28" s="50">
        <v>4</v>
      </c>
      <c r="D28" s="50">
        <v>1</v>
      </c>
      <c r="E28" s="50">
        <v>6</v>
      </c>
      <c r="F28" s="50">
        <v>6</v>
      </c>
      <c r="G28" s="50">
        <v>0</v>
      </c>
      <c r="H28" s="50">
        <v>0</v>
      </c>
      <c r="I28" s="50">
        <v>7</v>
      </c>
      <c r="J28" s="50">
        <v>0</v>
      </c>
      <c r="K28" s="50">
        <v>0</v>
      </c>
      <c r="L28" s="50">
        <v>0</v>
      </c>
      <c r="M28" s="50">
        <v>35</v>
      </c>
      <c r="N28" s="50">
        <v>0</v>
      </c>
      <c r="O28" s="15">
        <f t="shared" si="0"/>
        <v>24</v>
      </c>
      <c r="P28" s="15">
        <f t="shared" si="1"/>
        <v>59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7</v>
      </c>
      <c r="AF28" s="31">
        <f t="shared" si="20"/>
        <v>13</v>
      </c>
    </row>
    <row r="29" spans="2:32" ht="23.1" customHeight="1" x14ac:dyDescent="0.25">
      <c r="B29" s="45" t="s">
        <v>56</v>
      </c>
      <c r="C29" s="50">
        <v>7</v>
      </c>
      <c r="D29" s="50">
        <v>2</v>
      </c>
      <c r="E29" s="50">
        <v>7</v>
      </c>
      <c r="F29" s="50">
        <v>5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22</v>
      </c>
      <c r="P29" s="15">
        <f t="shared" si="1"/>
        <v>49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5</v>
      </c>
      <c r="AF29" s="31">
        <f t="shared" si="21"/>
        <v>11</v>
      </c>
    </row>
    <row r="30" spans="2:32" ht="23.1" customHeight="1" x14ac:dyDescent="0.25">
      <c r="B30" s="45" t="s">
        <v>57</v>
      </c>
      <c r="C30" s="50">
        <v>6</v>
      </c>
      <c r="D30" s="50">
        <v>2</v>
      </c>
      <c r="E30" s="50">
        <v>9</v>
      </c>
      <c r="F30" s="50">
        <v>3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26</v>
      </c>
      <c r="N30" s="50">
        <v>0</v>
      </c>
      <c r="O30" s="15">
        <f t="shared" si="0"/>
        <v>24</v>
      </c>
      <c r="P30" s="15">
        <f t="shared" si="1"/>
        <v>50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</v>
      </c>
      <c r="AD30" s="34">
        <f t="shared" si="22"/>
        <v>0</v>
      </c>
      <c r="AE30" s="31">
        <f t="shared" si="22"/>
        <v>2</v>
      </c>
      <c r="AF30" s="31">
        <f t="shared" si="22"/>
        <v>5</v>
      </c>
    </row>
    <row r="31" spans="2:32" ht="23.1" customHeight="1" x14ac:dyDescent="0.25">
      <c r="B31" s="46" t="s">
        <v>58</v>
      </c>
      <c r="C31" s="50">
        <v>3</v>
      </c>
      <c r="D31" s="50">
        <v>2</v>
      </c>
      <c r="E31" s="50">
        <v>9</v>
      </c>
      <c r="F31" s="50">
        <v>7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42</v>
      </c>
      <c r="N31" s="50">
        <v>0</v>
      </c>
      <c r="O31" s="15">
        <f t="shared" si="0"/>
        <v>22</v>
      </c>
      <c r="P31" s="15">
        <f t="shared" si="1"/>
        <v>64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2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5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5</v>
      </c>
      <c r="D32" s="50">
        <v>2</v>
      </c>
      <c r="E32" s="50">
        <v>8</v>
      </c>
      <c r="F32" s="50">
        <v>4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43</v>
      </c>
      <c r="N32" s="50">
        <v>0</v>
      </c>
      <c r="O32" s="15">
        <f t="shared" si="0"/>
        <v>22</v>
      </c>
      <c r="P32" s="15">
        <f t="shared" si="1"/>
        <v>65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9</v>
      </c>
      <c r="AF32" s="31">
        <f t="shared" si="24"/>
        <v>13</v>
      </c>
    </row>
    <row r="33" spans="2:32" ht="23.1" customHeight="1" x14ac:dyDescent="0.25">
      <c r="B33" s="45" t="s">
        <v>60</v>
      </c>
      <c r="C33" s="50">
        <v>3</v>
      </c>
      <c r="D33" s="50">
        <v>2</v>
      </c>
      <c r="E33" s="50">
        <v>8</v>
      </c>
      <c r="F33" s="50">
        <v>3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29</v>
      </c>
      <c r="N33" s="50">
        <v>0</v>
      </c>
      <c r="O33" s="15">
        <f t="shared" si="0"/>
        <v>17</v>
      </c>
      <c r="P33" s="15">
        <f t="shared" si="1"/>
        <v>46</v>
      </c>
      <c r="R33" s="33" t="s">
        <v>157</v>
      </c>
      <c r="S33" s="34">
        <f>SUM(C102:C105)</f>
        <v>3</v>
      </c>
      <c r="T33" s="34">
        <f t="shared" ref="T33:AF33" si="25">SUM(D102:D105)</f>
        <v>0</v>
      </c>
      <c r="U33" s="34">
        <f t="shared" si="25"/>
        <v>6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9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24</v>
      </c>
      <c r="AD33" s="34">
        <f t="shared" si="25"/>
        <v>0</v>
      </c>
      <c r="AE33" s="31">
        <f t="shared" si="25"/>
        <v>23</v>
      </c>
      <c r="AF33" s="31">
        <f t="shared" si="25"/>
        <v>47</v>
      </c>
    </row>
    <row r="34" spans="2:32" ht="23.1" customHeight="1" x14ac:dyDescent="0.25">
      <c r="B34" s="46" t="s">
        <v>61</v>
      </c>
      <c r="C34" s="50">
        <v>6</v>
      </c>
      <c r="D34" s="50">
        <v>3</v>
      </c>
      <c r="E34" s="50">
        <v>11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33</v>
      </c>
      <c r="N34" s="50">
        <v>0</v>
      </c>
      <c r="O34" s="15">
        <f t="shared" si="0"/>
        <v>25</v>
      </c>
      <c r="P34" s="15">
        <f t="shared" si="1"/>
        <v>58</v>
      </c>
      <c r="R34" s="38" t="s">
        <v>90</v>
      </c>
      <c r="S34" s="39">
        <f t="shared" ref="S34:AF34" si="26">MAX(S10:S12)</f>
        <v>24</v>
      </c>
      <c r="T34" s="39">
        <f t="shared" si="26"/>
        <v>8</v>
      </c>
      <c r="U34" s="39">
        <f t="shared" si="26"/>
        <v>33</v>
      </c>
      <c r="V34" s="39">
        <f t="shared" si="26"/>
        <v>17</v>
      </c>
      <c r="W34" s="39">
        <f t="shared" si="26"/>
        <v>0</v>
      </c>
      <c r="X34" s="39">
        <f t="shared" si="26"/>
        <v>0</v>
      </c>
      <c r="Y34" s="39">
        <f t="shared" si="26"/>
        <v>12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106</v>
      </c>
      <c r="AD34" s="39">
        <f t="shared" si="26"/>
        <v>0</v>
      </c>
      <c r="AE34" s="40">
        <f t="shared" si="26"/>
        <v>92</v>
      </c>
      <c r="AF34" s="40">
        <f t="shared" si="26"/>
        <v>197</v>
      </c>
    </row>
    <row r="35" spans="2:32" ht="23.1" customHeight="1" x14ac:dyDescent="0.25">
      <c r="B35" s="46" t="s">
        <v>62</v>
      </c>
      <c r="C35" s="50">
        <v>7</v>
      </c>
      <c r="D35" s="50">
        <v>3</v>
      </c>
      <c r="E35" s="50">
        <v>10</v>
      </c>
      <c r="F35" s="50">
        <v>5</v>
      </c>
      <c r="G35" s="50">
        <v>0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29</v>
      </c>
      <c r="P35" s="15">
        <f t="shared" si="1"/>
        <v>59</v>
      </c>
      <c r="R35" s="38" t="s">
        <v>91</v>
      </c>
      <c r="S35" s="39">
        <f t="shared" ref="S35:AF35" si="27">MAX(S13:S18)</f>
        <v>20</v>
      </c>
      <c r="T35" s="39">
        <f t="shared" si="27"/>
        <v>11</v>
      </c>
      <c r="U35" s="39">
        <f t="shared" si="27"/>
        <v>42</v>
      </c>
      <c r="V35" s="39">
        <f t="shared" si="27"/>
        <v>19</v>
      </c>
      <c r="W35" s="39">
        <f t="shared" si="27"/>
        <v>1</v>
      </c>
      <c r="X35" s="39">
        <f t="shared" si="27"/>
        <v>1</v>
      </c>
      <c r="Y35" s="39">
        <f t="shared" si="27"/>
        <v>17</v>
      </c>
      <c r="Z35" s="39">
        <f t="shared" si="27"/>
        <v>2</v>
      </c>
      <c r="AA35" s="39">
        <f t="shared" si="27"/>
        <v>1</v>
      </c>
      <c r="AB35" s="39">
        <f t="shared" si="27"/>
        <v>0</v>
      </c>
      <c r="AC35" s="39">
        <f t="shared" si="27"/>
        <v>140</v>
      </c>
      <c r="AD35" s="39">
        <f t="shared" si="27"/>
        <v>0</v>
      </c>
      <c r="AE35" s="40">
        <f t="shared" si="27"/>
        <v>103</v>
      </c>
      <c r="AF35" s="40">
        <f t="shared" si="27"/>
        <v>225</v>
      </c>
    </row>
    <row r="36" spans="2:32" ht="23.1" customHeight="1" x14ac:dyDescent="0.25">
      <c r="B36" s="46" t="s">
        <v>63</v>
      </c>
      <c r="C36" s="50">
        <v>5</v>
      </c>
      <c r="D36" s="50">
        <v>3</v>
      </c>
      <c r="E36" s="50">
        <v>13</v>
      </c>
      <c r="F36" s="50">
        <v>5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39</v>
      </c>
      <c r="N36" s="50">
        <v>0</v>
      </c>
      <c r="O36" s="15">
        <f t="shared" si="0"/>
        <v>31</v>
      </c>
      <c r="P36" s="15">
        <f t="shared" si="1"/>
        <v>70</v>
      </c>
      <c r="R36" s="38" t="s">
        <v>92</v>
      </c>
      <c r="S36" s="39">
        <f t="shared" ref="S36:AF36" si="28">MAX(S19:S21)</f>
        <v>19</v>
      </c>
      <c r="T36" s="39">
        <f t="shared" si="28"/>
        <v>4</v>
      </c>
      <c r="U36" s="39">
        <f t="shared" si="28"/>
        <v>21</v>
      </c>
      <c r="V36" s="39">
        <f t="shared" si="28"/>
        <v>20</v>
      </c>
      <c r="W36" s="39">
        <f t="shared" si="28"/>
        <v>0</v>
      </c>
      <c r="X36" s="39">
        <f t="shared" si="28"/>
        <v>0</v>
      </c>
      <c r="Y36" s="39">
        <f t="shared" si="28"/>
        <v>17</v>
      </c>
      <c r="Z36" s="39">
        <f t="shared" si="28"/>
        <v>1</v>
      </c>
      <c r="AA36" s="39">
        <f t="shared" si="28"/>
        <v>3</v>
      </c>
      <c r="AB36" s="39">
        <f t="shared" si="28"/>
        <v>0</v>
      </c>
      <c r="AC36" s="39">
        <f t="shared" si="28"/>
        <v>122</v>
      </c>
      <c r="AD36" s="39">
        <f t="shared" si="28"/>
        <v>0</v>
      </c>
      <c r="AE36" s="40">
        <f t="shared" si="28"/>
        <v>72</v>
      </c>
      <c r="AF36" s="40">
        <f t="shared" si="28"/>
        <v>194</v>
      </c>
    </row>
    <row r="37" spans="2:32" ht="23.1" customHeight="1" x14ac:dyDescent="0.25">
      <c r="B37" s="45" t="s">
        <v>64</v>
      </c>
      <c r="C37" s="50">
        <v>2</v>
      </c>
      <c r="D37" s="50">
        <v>2</v>
      </c>
      <c r="E37" s="50">
        <v>8</v>
      </c>
      <c r="F37" s="50">
        <v>3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18</v>
      </c>
      <c r="P37" s="15">
        <f t="shared" si="1"/>
        <v>38</v>
      </c>
      <c r="R37" s="37" t="s">
        <v>85</v>
      </c>
      <c r="S37" s="35">
        <f t="shared" ref="S37:AF37" si="29">SUM(S10:S12)</f>
        <v>40</v>
      </c>
      <c r="T37" s="16">
        <f t="shared" si="29"/>
        <v>13</v>
      </c>
      <c r="U37" s="16">
        <f t="shared" si="29"/>
        <v>60</v>
      </c>
      <c r="V37" s="16">
        <f t="shared" si="29"/>
        <v>31</v>
      </c>
      <c r="W37" s="16">
        <f t="shared" si="29"/>
        <v>0</v>
      </c>
      <c r="X37" s="16">
        <f t="shared" si="29"/>
        <v>0</v>
      </c>
      <c r="Y37" s="16">
        <f t="shared" si="29"/>
        <v>25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254</v>
      </c>
      <c r="AD37" s="16">
        <f t="shared" si="29"/>
        <v>0</v>
      </c>
      <c r="AE37" s="32">
        <f t="shared" si="29"/>
        <v>171</v>
      </c>
      <c r="AF37" s="32">
        <f t="shared" si="29"/>
        <v>425</v>
      </c>
    </row>
    <row r="38" spans="2:32" ht="23.1" customHeight="1" x14ac:dyDescent="0.25">
      <c r="B38" s="46" t="s">
        <v>65</v>
      </c>
      <c r="C38" s="50">
        <v>5</v>
      </c>
      <c r="D38" s="50">
        <v>0</v>
      </c>
      <c r="E38" s="50">
        <v>3</v>
      </c>
      <c r="F38" s="50">
        <v>6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34</v>
      </c>
      <c r="N38" s="50">
        <v>0</v>
      </c>
      <c r="O38" s="15">
        <f t="shared" si="0"/>
        <v>18</v>
      </c>
      <c r="P38" s="15">
        <f t="shared" si="1"/>
        <v>52</v>
      </c>
      <c r="R38" s="28" t="s">
        <v>86</v>
      </c>
      <c r="S38" s="16">
        <f t="shared" ref="S38:AF38" si="30">SUM(S13:S18)</f>
        <v>91</v>
      </c>
      <c r="T38" s="16">
        <f t="shared" si="30"/>
        <v>40</v>
      </c>
      <c r="U38" s="16">
        <f t="shared" si="30"/>
        <v>171</v>
      </c>
      <c r="V38" s="16">
        <f t="shared" si="30"/>
        <v>95</v>
      </c>
      <c r="W38" s="16">
        <f t="shared" si="30"/>
        <v>1</v>
      </c>
      <c r="X38" s="16">
        <f t="shared" si="30"/>
        <v>1</v>
      </c>
      <c r="Y38" s="16">
        <f t="shared" si="30"/>
        <v>68</v>
      </c>
      <c r="Z38" s="16">
        <f t="shared" si="30"/>
        <v>5</v>
      </c>
      <c r="AA38" s="16">
        <f t="shared" si="30"/>
        <v>2</v>
      </c>
      <c r="AB38" s="16">
        <f t="shared" si="30"/>
        <v>0</v>
      </c>
      <c r="AC38" s="16">
        <f t="shared" si="30"/>
        <v>618</v>
      </c>
      <c r="AD38" s="16">
        <f t="shared" si="30"/>
        <v>0</v>
      </c>
      <c r="AE38" s="32">
        <f t="shared" si="30"/>
        <v>474</v>
      </c>
      <c r="AF38" s="32">
        <f t="shared" si="30"/>
        <v>1092</v>
      </c>
    </row>
    <row r="39" spans="2:32" ht="23.1" customHeight="1" x14ac:dyDescent="0.25">
      <c r="B39" s="46" t="s">
        <v>66</v>
      </c>
      <c r="C39" s="50">
        <v>0</v>
      </c>
      <c r="D39" s="50">
        <v>1</v>
      </c>
      <c r="E39" s="50">
        <v>6</v>
      </c>
      <c r="F39" s="50">
        <v>3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26</v>
      </c>
      <c r="N39" s="50">
        <v>0</v>
      </c>
      <c r="O39" s="15">
        <f t="shared" si="0"/>
        <v>15</v>
      </c>
      <c r="P39" s="15">
        <f t="shared" si="1"/>
        <v>41</v>
      </c>
      <c r="R39" s="29" t="s">
        <v>87</v>
      </c>
      <c r="S39" s="16">
        <f t="shared" ref="S39:AF39" si="31">SUM(S19:S21)</f>
        <v>46</v>
      </c>
      <c r="T39" s="16">
        <f t="shared" si="31"/>
        <v>9</v>
      </c>
      <c r="U39" s="16">
        <f t="shared" si="31"/>
        <v>48</v>
      </c>
      <c r="V39" s="16">
        <f t="shared" si="31"/>
        <v>48</v>
      </c>
      <c r="W39" s="16">
        <f t="shared" si="31"/>
        <v>0</v>
      </c>
      <c r="X39" s="16">
        <f t="shared" si="31"/>
        <v>0</v>
      </c>
      <c r="Y39" s="16">
        <f t="shared" si="31"/>
        <v>42</v>
      </c>
      <c r="Z39" s="16">
        <f t="shared" si="31"/>
        <v>2</v>
      </c>
      <c r="AA39" s="16">
        <f t="shared" si="31"/>
        <v>3</v>
      </c>
      <c r="AB39" s="16">
        <f t="shared" si="31"/>
        <v>0</v>
      </c>
      <c r="AC39" s="16">
        <f t="shared" si="31"/>
        <v>309</v>
      </c>
      <c r="AD39" s="16">
        <f t="shared" si="31"/>
        <v>0</v>
      </c>
      <c r="AE39" s="32">
        <f t="shared" si="31"/>
        <v>198</v>
      </c>
      <c r="AF39" s="32">
        <f t="shared" si="31"/>
        <v>507</v>
      </c>
    </row>
    <row r="40" spans="2:32" ht="23.1" customHeight="1" x14ac:dyDescent="0.25">
      <c r="B40" s="46" t="s">
        <v>67</v>
      </c>
      <c r="C40" s="50">
        <v>3</v>
      </c>
      <c r="D40" s="50">
        <v>1</v>
      </c>
      <c r="E40" s="50">
        <v>4</v>
      </c>
      <c r="F40" s="50">
        <v>4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28</v>
      </c>
      <c r="N40" s="50">
        <v>0</v>
      </c>
      <c r="O40" s="15">
        <f t="shared" si="0"/>
        <v>17</v>
      </c>
      <c r="P40" s="15">
        <f t="shared" si="1"/>
        <v>45</v>
      </c>
      <c r="R40" s="5" t="s">
        <v>17</v>
      </c>
      <c r="S40" s="16">
        <f t="shared" ref="S40:AF40" si="32">SUM(S10:S21)</f>
        <v>177</v>
      </c>
      <c r="T40" s="16">
        <f t="shared" si="32"/>
        <v>62</v>
      </c>
      <c r="U40" s="16">
        <f t="shared" si="32"/>
        <v>279</v>
      </c>
      <c r="V40" s="16">
        <f t="shared" si="32"/>
        <v>174</v>
      </c>
      <c r="W40" s="16">
        <f t="shared" si="32"/>
        <v>1</v>
      </c>
      <c r="X40" s="16">
        <f t="shared" si="32"/>
        <v>1</v>
      </c>
      <c r="Y40" s="16">
        <f t="shared" si="32"/>
        <v>135</v>
      </c>
      <c r="Z40" s="16">
        <f t="shared" si="32"/>
        <v>9</v>
      </c>
      <c r="AA40" s="16">
        <f t="shared" si="32"/>
        <v>5</v>
      </c>
      <c r="AB40" s="16">
        <f t="shared" si="32"/>
        <v>0</v>
      </c>
      <c r="AC40" s="16">
        <f t="shared" si="32"/>
        <v>1181</v>
      </c>
      <c r="AD40" s="16">
        <f t="shared" si="32"/>
        <v>0</v>
      </c>
      <c r="AE40" s="32">
        <f t="shared" si="32"/>
        <v>843</v>
      </c>
      <c r="AF40" s="32">
        <f t="shared" si="32"/>
        <v>2024</v>
      </c>
    </row>
    <row r="41" spans="2:32" ht="23.1" customHeight="1" x14ac:dyDescent="0.25">
      <c r="B41" s="45" t="s">
        <v>68</v>
      </c>
      <c r="C41" s="50">
        <v>2</v>
      </c>
      <c r="D41" s="50">
        <v>3</v>
      </c>
      <c r="E41" s="50">
        <v>10</v>
      </c>
      <c r="F41" s="50">
        <v>4</v>
      </c>
      <c r="G41" s="50">
        <v>0</v>
      </c>
      <c r="H41" s="50">
        <v>0</v>
      </c>
      <c r="I41" s="50">
        <v>3</v>
      </c>
      <c r="J41" s="50">
        <v>1</v>
      </c>
      <c r="K41" s="50">
        <v>1</v>
      </c>
      <c r="L41" s="50">
        <v>0</v>
      </c>
      <c r="M41" s="50">
        <v>29</v>
      </c>
      <c r="N41" s="50">
        <v>0</v>
      </c>
      <c r="O41" s="15">
        <f t="shared" si="0"/>
        <v>24</v>
      </c>
      <c r="P41" s="15">
        <f t="shared" si="1"/>
        <v>53</v>
      </c>
      <c r="R41" s="5" t="s">
        <v>159</v>
      </c>
      <c r="S41" s="16">
        <f>SUM(S10:S33)</f>
        <v>233</v>
      </c>
      <c r="T41" s="16">
        <f t="shared" ref="T41:AF41" si="33">SUM(T10:T33)</f>
        <v>71</v>
      </c>
      <c r="U41" s="16">
        <f t="shared" si="33"/>
        <v>358</v>
      </c>
      <c r="V41" s="16">
        <f t="shared" si="33"/>
        <v>219</v>
      </c>
      <c r="W41" s="16">
        <f t="shared" si="33"/>
        <v>3</v>
      </c>
      <c r="X41" s="16">
        <f t="shared" si="33"/>
        <v>1</v>
      </c>
      <c r="Y41" s="16">
        <f t="shared" si="33"/>
        <v>202</v>
      </c>
      <c r="Z41" s="16">
        <f t="shared" si="33"/>
        <v>10</v>
      </c>
      <c r="AA41" s="16">
        <f t="shared" si="33"/>
        <v>9</v>
      </c>
      <c r="AB41" s="16">
        <f t="shared" si="33"/>
        <v>0</v>
      </c>
      <c r="AC41" s="16">
        <f t="shared" si="33"/>
        <v>1565</v>
      </c>
      <c r="AD41" s="16">
        <f t="shared" si="33"/>
        <v>0</v>
      </c>
      <c r="AE41" s="32">
        <f t="shared" si="33"/>
        <v>1106</v>
      </c>
      <c r="AF41" s="32">
        <f t="shared" si="33"/>
        <v>2671</v>
      </c>
    </row>
    <row r="42" spans="2:32" ht="23.1" customHeight="1" x14ac:dyDescent="0.25">
      <c r="B42" s="46" t="s">
        <v>69</v>
      </c>
      <c r="C42" s="50">
        <v>3</v>
      </c>
      <c r="D42" s="50">
        <v>2</v>
      </c>
      <c r="E42" s="50">
        <v>7</v>
      </c>
      <c r="F42" s="50">
        <v>2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16</v>
      </c>
      <c r="P42" s="15">
        <f t="shared" si="1"/>
        <v>35</v>
      </c>
      <c r="R42" s="5" t="s">
        <v>160</v>
      </c>
      <c r="S42" s="48">
        <f>S41/S40</f>
        <v>1.3163841807909604</v>
      </c>
      <c r="T42" s="48">
        <f t="shared" ref="T42:AF42" si="34">T41/T40</f>
        <v>1.1451612903225807</v>
      </c>
      <c r="U42" s="48">
        <f t="shared" si="34"/>
        <v>1.2831541218637992</v>
      </c>
      <c r="V42" s="48">
        <f t="shared" si="34"/>
        <v>1.2586206896551724</v>
      </c>
      <c r="W42" s="48">
        <f t="shared" si="34"/>
        <v>3</v>
      </c>
      <c r="X42" s="48">
        <f t="shared" si="34"/>
        <v>1</v>
      </c>
      <c r="Y42" s="48">
        <f t="shared" si="34"/>
        <v>1.4962962962962962</v>
      </c>
      <c r="Z42" s="48">
        <f t="shared" si="34"/>
        <v>1.1111111111111112</v>
      </c>
      <c r="AA42" s="48">
        <f t="shared" si="34"/>
        <v>1.8</v>
      </c>
      <c r="AB42" s="48" t="e">
        <f t="shared" si="34"/>
        <v>#DIV/0!</v>
      </c>
      <c r="AC42" s="48">
        <f t="shared" si="34"/>
        <v>1.3251481795088909</v>
      </c>
      <c r="AD42" s="48" t="e">
        <f t="shared" si="34"/>
        <v>#DIV/0!</v>
      </c>
      <c r="AE42" s="48">
        <f t="shared" si="34"/>
        <v>1.3119810201660735</v>
      </c>
      <c r="AF42" s="48">
        <f t="shared" si="34"/>
        <v>1.3196640316205535</v>
      </c>
    </row>
    <row r="43" spans="2:32" ht="23.1" customHeight="1" x14ac:dyDescent="0.25">
      <c r="B43" s="45" t="s">
        <v>70</v>
      </c>
      <c r="C43" s="50">
        <v>4</v>
      </c>
      <c r="D43" s="50">
        <v>0</v>
      </c>
      <c r="E43" s="50">
        <v>3</v>
      </c>
      <c r="F43" s="50">
        <v>7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15</v>
      </c>
      <c r="P43" s="15">
        <f t="shared" si="1"/>
        <v>30</v>
      </c>
    </row>
    <row r="44" spans="2:32" ht="23.1" customHeight="1" x14ac:dyDescent="0.25">
      <c r="B44" s="47" t="s">
        <v>71</v>
      </c>
      <c r="C44" s="50">
        <v>4</v>
      </c>
      <c r="D44" s="50">
        <v>3</v>
      </c>
      <c r="E44" s="50">
        <v>10</v>
      </c>
      <c r="F44" s="50">
        <v>4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21</v>
      </c>
      <c r="P44" s="15">
        <f t="shared" si="1"/>
        <v>35</v>
      </c>
    </row>
    <row r="45" spans="2:32" ht="23.1" customHeight="1" x14ac:dyDescent="0.25">
      <c r="B45" s="45" t="s">
        <v>72</v>
      </c>
      <c r="C45" s="50">
        <v>1</v>
      </c>
      <c r="D45" s="50">
        <v>1</v>
      </c>
      <c r="E45" s="50">
        <v>4</v>
      </c>
      <c r="F45" s="50">
        <v>1</v>
      </c>
      <c r="G45" s="50">
        <v>0</v>
      </c>
      <c r="H45" s="50">
        <v>0</v>
      </c>
      <c r="I45" s="50">
        <v>3</v>
      </c>
      <c r="J45" s="50">
        <v>1</v>
      </c>
      <c r="K45" s="50">
        <v>0</v>
      </c>
      <c r="L45" s="50">
        <v>0</v>
      </c>
      <c r="M45" s="50">
        <v>18</v>
      </c>
      <c r="N45" s="50">
        <v>0</v>
      </c>
      <c r="O45" s="15">
        <f t="shared" si="0"/>
        <v>11</v>
      </c>
      <c r="P45" s="15">
        <f t="shared" si="1"/>
        <v>29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3</v>
      </c>
      <c r="F46" s="50">
        <v>4</v>
      </c>
      <c r="G46" s="50">
        <v>0</v>
      </c>
      <c r="H46" s="50">
        <v>0</v>
      </c>
      <c r="I46" s="50">
        <v>4</v>
      </c>
      <c r="J46" s="50">
        <v>1</v>
      </c>
      <c r="K46" s="50">
        <v>0</v>
      </c>
      <c r="L46" s="50">
        <v>0</v>
      </c>
      <c r="M46" s="50">
        <v>27</v>
      </c>
      <c r="N46" s="50">
        <v>0</v>
      </c>
      <c r="O46" s="15">
        <f t="shared" si="0"/>
        <v>16</v>
      </c>
      <c r="P46" s="15">
        <f t="shared" si="1"/>
        <v>43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1</v>
      </c>
      <c r="E47" s="50">
        <v>4</v>
      </c>
      <c r="F47" s="50">
        <v>5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f t="shared" si="0"/>
        <v>19</v>
      </c>
      <c r="P47" s="15">
        <f t="shared" si="1"/>
        <v>39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0</v>
      </c>
      <c r="E48" s="50">
        <v>2</v>
      </c>
      <c r="F48" s="50">
        <v>6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15</v>
      </c>
      <c r="P48" s="15">
        <f t="shared" si="1"/>
        <v>40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1</v>
      </c>
      <c r="F49" s="50">
        <v>5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10</v>
      </c>
      <c r="P49" s="15">
        <f t="shared" si="1"/>
        <v>45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0</v>
      </c>
      <c r="E50" s="50">
        <v>2</v>
      </c>
      <c r="F50" s="50">
        <v>4</v>
      </c>
      <c r="G50" s="50">
        <v>0</v>
      </c>
      <c r="H50" s="50">
        <v>0</v>
      </c>
      <c r="I50" s="50">
        <v>4</v>
      </c>
      <c r="J50" s="50">
        <v>1</v>
      </c>
      <c r="K50" s="50">
        <v>2</v>
      </c>
      <c r="L50" s="50">
        <v>0</v>
      </c>
      <c r="M50" s="50">
        <v>23</v>
      </c>
      <c r="N50" s="50">
        <v>0</v>
      </c>
      <c r="O50" s="15">
        <f t="shared" si="0"/>
        <v>16</v>
      </c>
      <c r="P50" s="15">
        <f t="shared" si="1"/>
        <v>39</v>
      </c>
      <c r="R50" s="8"/>
      <c r="T50"/>
    </row>
    <row r="51" spans="2:20" ht="23.1" customHeight="1" x14ac:dyDescent="0.25">
      <c r="B51" s="46" t="s">
        <v>78</v>
      </c>
      <c r="C51" s="50">
        <v>6</v>
      </c>
      <c r="D51" s="50">
        <v>1</v>
      </c>
      <c r="E51" s="50">
        <v>4</v>
      </c>
      <c r="F51" s="50">
        <v>3</v>
      </c>
      <c r="G51" s="50">
        <v>0</v>
      </c>
      <c r="H51" s="50">
        <v>0</v>
      </c>
      <c r="I51" s="50">
        <v>6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20</v>
      </c>
      <c r="P51" s="15">
        <f t="shared" si="1"/>
        <v>59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1</v>
      </c>
      <c r="E52" s="50">
        <v>4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23</v>
      </c>
      <c r="N52" s="50">
        <v>0</v>
      </c>
      <c r="O52" s="15">
        <f t="shared" si="0"/>
        <v>11</v>
      </c>
      <c r="P52" s="15">
        <f t="shared" si="1"/>
        <v>34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2</v>
      </c>
      <c r="E53" s="50">
        <v>7</v>
      </c>
      <c r="F53" s="50">
        <v>4</v>
      </c>
      <c r="G53" s="50">
        <v>0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37</v>
      </c>
      <c r="N53" s="50">
        <v>0</v>
      </c>
      <c r="O53" s="15">
        <f t="shared" si="0"/>
        <v>25</v>
      </c>
      <c r="P53" s="15">
        <f t="shared" si="1"/>
        <v>62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1</v>
      </c>
      <c r="E54" s="50">
        <v>6</v>
      </c>
      <c r="F54" s="50">
        <v>8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18</v>
      </c>
      <c r="P54" s="15">
        <f t="shared" si="1"/>
        <v>32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3</v>
      </c>
      <c r="F55" s="50">
        <v>5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14</v>
      </c>
      <c r="P55" s="15">
        <f t="shared" si="1"/>
        <v>40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1</v>
      </c>
      <c r="E56" s="50">
        <v>4</v>
      </c>
      <c r="F56" s="50">
        <v>3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15</v>
      </c>
      <c r="P56" s="15">
        <f t="shared" si="1"/>
        <v>33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2</v>
      </c>
      <c r="E57" s="50">
        <v>8</v>
      </c>
      <c r="F57" s="50">
        <v>1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22</v>
      </c>
      <c r="N57" s="50">
        <v>0</v>
      </c>
      <c r="O57" s="15">
        <f t="shared" si="0"/>
        <v>19</v>
      </c>
      <c r="P57" s="15">
        <f t="shared" si="1"/>
        <v>41</v>
      </c>
      <c r="R57" s="8"/>
      <c r="T57"/>
    </row>
    <row r="58" spans="2:20" ht="23.1" customHeight="1" x14ac:dyDescent="0.25">
      <c r="B58" s="45" t="s">
        <v>99</v>
      </c>
      <c r="C58" s="50">
        <v>4</v>
      </c>
      <c r="D58" s="50">
        <v>1</v>
      </c>
      <c r="E58" s="50">
        <v>5</v>
      </c>
      <c r="F58" s="50">
        <v>1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30</v>
      </c>
      <c r="N58" s="50">
        <v>0</v>
      </c>
      <c r="O58" s="15">
        <f t="shared" ref="O58:O105" si="35">SUM(C58:L58,N58)</f>
        <v>13</v>
      </c>
      <c r="P58" s="15">
        <f t="shared" ref="P58:P105" si="36">SUM(C58:N58)</f>
        <v>43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1</v>
      </c>
      <c r="E59" s="50">
        <v>5</v>
      </c>
      <c r="F59" s="50">
        <v>8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43</v>
      </c>
      <c r="N59" s="50">
        <v>0</v>
      </c>
      <c r="O59" s="15">
        <f t="shared" si="35"/>
        <v>21</v>
      </c>
      <c r="P59" s="15">
        <f t="shared" si="36"/>
        <v>64</v>
      </c>
      <c r="R59" s="8"/>
      <c r="T59"/>
    </row>
    <row r="60" spans="2:20" ht="23.1" customHeight="1" x14ac:dyDescent="0.25">
      <c r="B60" s="45" t="s">
        <v>101</v>
      </c>
      <c r="C60" s="50">
        <v>1</v>
      </c>
      <c r="D60" s="50">
        <v>0</v>
      </c>
      <c r="E60" s="50">
        <v>3</v>
      </c>
      <c r="F60" s="50">
        <v>4</v>
      </c>
      <c r="G60" s="50">
        <v>0</v>
      </c>
      <c r="H60" s="50">
        <v>0</v>
      </c>
      <c r="I60" s="50">
        <v>6</v>
      </c>
      <c r="J60" s="50">
        <v>0</v>
      </c>
      <c r="K60" s="50">
        <v>1</v>
      </c>
      <c r="L60" s="50">
        <v>0</v>
      </c>
      <c r="M60" s="50">
        <v>38</v>
      </c>
      <c r="N60" s="50">
        <v>0</v>
      </c>
      <c r="O60" s="15">
        <f t="shared" si="35"/>
        <v>15</v>
      </c>
      <c r="P60" s="15">
        <f t="shared" si="36"/>
        <v>53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1</v>
      </c>
      <c r="E61" s="50">
        <v>5</v>
      </c>
      <c r="F61" s="50">
        <v>5</v>
      </c>
      <c r="G61" s="50">
        <v>0</v>
      </c>
      <c r="H61" s="50">
        <v>0</v>
      </c>
      <c r="I61" s="50">
        <v>5</v>
      </c>
      <c r="J61" s="50">
        <v>0</v>
      </c>
      <c r="K61" s="50">
        <v>1</v>
      </c>
      <c r="L61" s="50">
        <v>0</v>
      </c>
      <c r="M61" s="50">
        <v>20</v>
      </c>
      <c r="N61" s="50">
        <v>0</v>
      </c>
      <c r="O61" s="15">
        <f t="shared" si="35"/>
        <v>21</v>
      </c>
      <c r="P61" s="15">
        <f t="shared" si="36"/>
        <v>41</v>
      </c>
      <c r="R61" s="8"/>
      <c r="T61"/>
    </row>
    <row r="62" spans="2:20" ht="23.1" customHeight="1" x14ac:dyDescent="0.25">
      <c r="B62" s="45" t="s">
        <v>107</v>
      </c>
      <c r="C62" s="50">
        <v>7</v>
      </c>
      <c r="D62" s="50">
        <v>3</v>
      </c>
      <c r="E62" s="50">
        <v>12</v>
      </c>
      <c r="F62" s="50">
        <v>3</v>
      </c>
      <c r="G62" s="50">
        <v>0</v>
      </c>
      <c r="H62" s="50">
        <v>0</v>
      </c>
      <c r="I62" s="50">
        <v>5</v>
      </c>
      <c r="J62" s="50">
        <v>0</v>
      </c>
      <c r="K62" s="50">
        <v>0</v>
      </c>
      <c r="L62" s="50">
        <v>0</v>
      </c>
      <c r="M62" s="50">
        <v>15</v>
      </c>
      <c r="N62" s="50">
        <v>0</v>
      </c>
      <c r="O62" s="15">
        <f t="shared" si="35"/>
        <v>30</v>
      </c>
      <c r="P62" s="15">
        <f t="shared" si="36"/>
        <v>45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3</v>
      </c>
      <c r="F63" s="50">
        <v>3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29</v>
      </c>
      <c r="N63" s="50">
        <v>0</v>
      </c>
      <c r="O63" s="15">
        <f t="shared" si="35"/>
        <v>10</v>
      </c>
      <c r="P63" s="15">
        <f t="shared" si="36"/>
        <v>39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2</v>
      </c>
      <c r="F64" s="50">
        <v>2</v>
      </c>
      <c r="G64" s="50">
        <v>0</v>
      </c>
      <c r="H64" s="50">
        <v>0</v>
      </c>
      <c r="I64" s="50">
        <v>5</v>
      </c>
      <c r="J64" s="50">
        <v>0</v>
      </c>
      <c r="K64" s="50">
        <v>0</v>
      </c>
      <c r="L64" s="50">
        <v>0</v>
      </c>
      <c r="M64" s="50">
        <v>19</v>
      </c>
      <c r="N64" s="50">
        <v>0</v>
      </c>
      <c r="O64" s="15">
        <f t="shared" si="35"/>
        <v>11</v>
      </c>
      <c r="P64" s="15">
        <f t="shared" si="36"/>
        <v>30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1</v>
      </c>
      <c r="E65" s="50">
        <v>6</v>
      </c>
      <c r="F65" s="50">
        <v>1</v>
      </c>
      <c r="G65" s="50">
        <v>0</v>
      </c>
      <c r="H65" s="50">
        <v>0</v>
      </c>
      <c r="I65" s="50">
        <v>3</v>
      </c>
      <c r="J65" s="50">
        <v>0</v>
      </c>
      <c r="K65" s="50">
        <v>0</v>
      </c>
      <c r="L65" s="50">
        <v>0</v>
      </c>
      <c r="M65" s="50">
        <v>15</v>
      </c>
      <c r="N65" s="50">
        <v>0</v>
      </c>
      <c r="O65" s="15">
        <f t="shared" si="35"/>
        <v>14</v>
      </c>
      <c r="P65" s="15">
        <f t="shared" si="36"/>
        <v>29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1</v>
      </c>
      <c r="E66" s="50">
        <v>4</v>
      </c>
      <c r="F66" s="50">
        <v>1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25</v>
      </c>
      <c r="N66" s="50">
        <v>0</v>
      </c>
      <c r="O66" s="15">
        <f t="shared" si="35"/>
        <v>12</v>
      </c>
      <c r="P66" s="15">
        <f t="shared" si="36"/>
        <v>37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2</v>
      </c>
      <c r="L67" s="50">
        <v>0</v>
      </c>
      <c r="M67" s="50">
        <v>15</v>
      </c>
      <c r="N67" s="50">
        <v>0</v>
      </c>
      <c r="O67" s="15">
        <f t="shared" si="35"/>
        <v>6</v>
      </c>
      <c r="P67" s="15">
        <f t="shared" si="36"/>
        <v>21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1</v>
      </c>
      <c r="F68" s="50">
        <v>1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10</v>
      </c>
      <c r="N68" s="50">
        <v>0</v>
      </c>
      <c r="O68" s="15">
        <f t="shared" si="35"/>
        <v>7</v>
      </c>
      <c r="P68" s="15">
        <f t="shared" si="36"/>
        <v>17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4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9</v>
      </c>
      <c r="N69" s="50">
        <v>0</v>
      </c>
      <c r="O69" s="15">
        <f t="shared" si="35"/>
        <v>10</v>
      </c>
      <c r="P69" s="15">
        <f t="shared" si="36"/>
        <v>19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0</v>
      </c>
      <c r="E70" s="50">
        <v>3</v>
      </c>
      <c r="F70" s="50">
        <v>4</v>
      </c>
      <c r="G70" s="50">
        <v>0</v>
      </c>
      <c r="H70" s="50">
        <v>0</v>
      </c>
      <c r="I70" s="50">
        <v>4</v>
      </c>
      <c r="J70" s="50">
        <v>1</v>
      </c>
      <c r="K70" s="50">
        <v>0</v>
      </c>
      <c r="L70" s="50">
        <v>0</v>
      </c>
      <c r="M70" s="50">
        <v>16</v>
      </c>
      <c r="N70" s="50">
        <v>0</v>
      </c>
      <c r="O70" s="15">
        <f t="shared" si="35"/>
        <v>16</v>
      </c>
      <c r="P70" s="15">
        <f t="shared" si="36"/>
        <v>32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2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7</v>
      </c>
      <c r="N71" s="50">
        <v>0</v>
      </c>
      <c r="O71" s="15">
        <f t="shared" si="35"/>
        <v>4</v>
      </c>
      <c r="P71" s="15">
        <f t="shared" si="36"/>
        <v>11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10</v>
      </c>
      <c r="N72" s="50">
        <v>0</v>
      </c>
      <c r="O72" s="15">
        <f t="shared" si="35"/>
        <v>3</v>
      </c>
      <c r="P72" s="15">
        <f t="shared" si="36"/>
        <v>13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35"/>
        <v>2</v>
      </c>
      <c r="P73" s="15">
        <f t="shared" si="36"/>
        <v>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6</v>
      </c>
      <c r="N74" s="50">
        <v>0</v>
      </c>
      <c r="O74" s="15">
        <f t="shared" si="35"/>
        <v>0</v>
      </c>
      <c r="P74" s="15">
        <f t="shared" si="36"/>
        <v>6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1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2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3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10</v>
      </c>
      <c r="N77" s="50">
        <v>0</v>
      </c>
      <c r="O77" s="15">
        <f t="shared" si="35"/>
        <v>3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4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</v>
      </c>
      <c r="N79" s="50">
        <v>0</v>
      </c>
      <c r="O79" s="15">
        <f t="shared" si="35"/>
        <v>2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2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4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1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</v>
      </c>
      <c r="N84" s="50">
        <v>0</v>
      </c>
      <c r="O84" s="15">
        <f t="shared" si="35"/>
        <v>1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1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2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2</v>
      </c>
      <c r="P86" s="15">
        <f t="shared" si="36"/>
        <v>4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0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2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3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2</v>
      </c>
      <c r="P93" s="15">
        <f t="shared" si="36"/>
        <v>5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0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2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2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3</v>
      </c>
      <c r="N97" s="50">
        <v>0</v>
      </c>
      <c r="O97" s="15">
        <f t="shared" si="35"/>
        <v>2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0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2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2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5</v>
      </c>
      <c r="P101" s="15">
        <f t="shared" si="36"/>
        <v>6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3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2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12</v>
      </c>
      <c r="N103" s="50">
        <v>0</v>
      </c>
      <c r="O103" s="15">
        <f t="shared" si="35"/>
        <v>5</v>
      </c>
      <c r="P103" s="15">
        <f t="shared" si="36"/>
        <v>17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2</v>
      </c>
      <c r="G104" s="50">
        <v>0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5</v>
      </c>
      <c r="N104" s="50">
        <v>0</v>
      </c>
      <c r="O104" s="15">
        <f t="shared" si="35"/>
        <v>7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3</v>
      </c>
      <c r="F105" s="50">
        <v>1</v>
      </c>
      <c r="G105" s="50">
        <v>0</v>
      </c>
      <c r="H105" s="50">
        <v>0</v>
      </c>
      <c r="I105" s="50">
        <v>4</v>
      </c>
      <c r="J105" s="50">
        <v>0</v>
      </c>
      <c r="K105" s="50">
        <v>0</v>
      </c>
      <c r="L105" s="50">
        <v>0</v>
      </c>
      <c r="M105" s="50">
        <v>2</v>
      </c>
      <c r="N105" s="50">
        <v>0</v>
      </c>
      <c r="O105" s="15">
        <f t="shared" si="35"/>
        <v>8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233</v>
      </c>
      <c r="D106" s="16">
        <f t="shared" ref="D106:P106" si="37">SUM(D10:D105)</f>
        <v>71</v>
      </c>
      <c r="E106" s="16">
        <f t="shared" si="37"/>
        <v>358</v>
      </c>
      <c r="F106" s="16">
        <f t="shared" si="37"/>
        <v>219</v>
      </c>
      <c r="G106" s="16">
        <f t="shared" si="37"/>
        <v>3</v>
      </c>
      <c r="H106" s="16">
        <f t="shared" si="37"/>
        <v>1</v>
      </c>
      <c r="I106" s="16">
        <f t="shared" si="37"/>
        <v>202</v>
      </c>
      <c r="J106" s="16">
        <f t="shared" si="37"/>
        <v>10</v>
      </c>
      <c r="K106" s="16">
        <f t="shared" si="37"/>
        <v>9</v>
      </c>
      <c r="L106" s="16">
        <f t="shared" si="37"/>
        <v>0</v>
      </c>
      <c r="M106" s="16">
        <f t="shared" si="37"/>
        <v>1565</v>
      </c>
      <c r="N106" s="16">
        <f t="shared" si="37"/>
        <v>0</v>
      </c>
      <c r="O106" s="16">
        <f t="shared" si="37"/>
        <v>1106</v>
      </c>
      <c r="P106" s="16">
        <f t="shared" si="37"/>
        <v>2671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8.7233245975290155E-2</v>
      </c>
      <c r="D107" s="43">
        <f t="shared" si="38"/>
        <v>2.6581804567577687E-2</v>
      </c>
      <c r="E107" s="43">
        <f t="shared" si="38"/>
        <v>0.134032197678772</v>
      </c>
      <c r="F107" s="43">
        <f t="shared" si="38"/>
        <v>8.1991763384500191E-2</v>
      </c>
      <c r="G107" s="43">
        <f t="shared" si="38"/>
        <v>1.1231748408835642E-3</v>
      </c>
      <c r="H107" s="43">
        <f t="shared" si="38"/>
        <v>3.7439161362785476E-4</v>
      </c>
      <c r="I107" s="43">
        <f t="shared" si="38"/>
        <v>7.5627105952826651E-2</v>
      </c>
      <c r="J107" s="43">
        <f t="shared" si="38"/>
        <v>3.7439161362785474E-3</v>
      </c>
      <c r="K107" s="43">
        <f t="shared" si="38"/>
        <v>3.3695245226506927E-3</v>
      </c>
      <c r="L107" s="43">
        <f t="shared" si="38"/>
        <v>0</v>
      </c>
      <c r="M107" s="43">
        <f t="shared" si="38"/>
        <v>0.58592287532759268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0.21066907775768534</v>
      </c>
      <c r="D108" s="44">
        <f t="shared" ref="D108:N108" si="39">D106/$O$106</f>
        <v>6.419529837251356E-2</v>
      </c>
      <c r="E108" s="44">
        <f t="shared" si="39"/>
        <v>0.32368896925858953</v>
      </c>
      <c r="F108" s="44">
        <f t="shared" si="39"/>
        <v>0.19801084990958409</v>
      </c>
      <c r="G108" s="44">
        <f t="shared" si="39"/>
        <v>2.7124773960216998E-3</v>
      </c>
      <c r="H108" s="44">
        <f t="shared" si="39"/>
        <v>9.0415913200723324E-4</v>
      </c>
      <c r="I108" s="44">
        <f t="shared" si="39"/>
        <v>0.18264014466546113</v>
      </c>
      <c r="J108" s="44">
        <f t="shared" si="39"/>
        <v>9.0415913200723331E-3</v>
      </c>
      <c r="K108" s="44">
        <f t="shared" si="39"/>
        <v>8.1374321880651E-3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53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'24.08 Sironko-Mbale-24h'!D5</f>
        <v>24.08.19</v>
      </c>
      <c r="E5" s="3"/>
      <c r="F5" s="41" t="s">
        <v>1</v>
      </c>
      <c r="G5" s="66" t="str">
        <f>'24.08 Sironko-Mbale-24h'!G5:H5</f>
        <v>xxx</v>
      </c>
      <c r="H5" s="67"/>
      <c r="I5" s="14"/>
      <c r="J5" s="2" t="s">
        <v>5</v>
      </c>
      <c r="K5" s="66" t="str">
        <f>'24.08 Sironko-Mbale-24h'!K5:L5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'20.08 Mbale-Sironko'!G6:H6</f>
        <v>Sironko</v>
      </c>
      <c r="H6" s="67"/>
      <c r="J6" s="2" t="s">
        <v>21</v>
      </c>
      <c r="K6" s="66" t="str">
        <f>'24.08 Sironko-Mbale-24h'!K6:L6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7</v>
      </c>
      <c r="F10" s="50">
        <v>3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30</v>
      </c>
      <c r="N10" s="50">
        <v>0</v>
      </c>
      <c r="O10" s="15">
        <f t="shared" ref="O10:O73" si="0">SUM(C10:L10,N10)</f>
        <v>11</v>
      </c>
      <c r="P10" s="15">
        <f t="shared" ref="P10:P73" si="1">SUM(C10:N10)</f>
        <v>41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16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83</v>
      </c>
      <c r="AD10" s="17">
        <f t="shared" si="2"/>
        <v>0</v>
      </c>
      <c r="AE10" s="31">
        <f t="shared" si="2"/>
        <v>27</v>
      </c>
      <c r="AF10" s="31">
        <f t="shared" si="2"/>
        <v>110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14</v>
      </c>
      <c r="T11" s="17">
        <f t="shared" si="3"/>
        <v>0</v>
      </c>
      <c r="U11" s="17">
        <f t="shared" si="3"/>
        <v>21</v>
      </c>
      <c r="V11" s="17">
        <f t="shared" si="3"/>
        <v>14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113</v>
      </c>
      <c r="AD11" s="17">
        <f t="shared" si="3"/>
        <v>0</v>
      </c>
      <c r="AE11" s="31">
        <f t="shared" si="3"/>
        <v>52</v>
      </c>
      <c r="AF11" s="31">
        <f t="shared" si="3"/>
        <v>165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19</v>
      </c>
      <c r="N12" s="50">
        <v>0</v>
      </c>
      <c r="O12" s="15">
        <f t="shared" si="0"/>
        <v>4</v>
      </c>
      <c r="P12" s="15">
        <f t="shared" si="1"/>
        <v>23</v>
      </c>
      <c r="R12" s="1" t="s">
        <v>8</v>
      </c>
      <c r="S12" s="17">
        <f t="shared" ref="S12:AF12" si="4">SUM(C18:C21)</f>
        <v>10</v>
      </c>
      <c r="T12" s="17">
        <f t="shared" si="4"/>
        <v>0</v>
      </c>
      <c r="U12" s="17">
        <f t="shared" si="4"/>
        <v>20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99</v>
      </c>
      <c r="AD12" s="17">
        <f t="shared" si="4"/>
        <v>0</v>
      </c>
      <c r="AE12" s="31">
        <f t="shared" si="4"/>
        <v>49</v>
      </c>
      <c r="AF12" s="31">
        <f t="shared" si="4"/>
        <v>148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7</v>
      </c>
      <c r="F13" s="50">
        <v>3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34</v>
      </c>
      <c r="N13" s="50">
        <v>0</v>
      </c>
      <c r="O13" s="15">
        <f t="shared" si="0"/>
        <v>12</v>
      </c>
      <c r="P13" s="15">
        <f t="shared" si="1"/>
        <v>46</v>
      </c>
      <c r="R13" s="1" t="s">
        <v>9</v>
      </c>
      <c r="S13" s="17">
        <f t="shared" ref="S13:AF13" si="5">SUM(C22:C25)</f>
        <v>12</v>
      </c>
      <c r="T13" s="17">
        <f t="shared" si="5"/>
        <v>0</v>
      </c>
      <c r="U13" s="17">
        <f t="shared" si="5"/>
        <v>17</v>
      </c>
      <c r="V13" s="17">
        <f t="shared" si="5"/>
        <v>17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123</v>
      </c>
      <c r="AD13" s="17">
        <f t="shared" si="5"/>
        <v>0</v>
      </c>
      <c r="AE13" s="31">
        <f t="shared" si="5"/>
        <v>50</v>
      </c>
      <c r="AF13" s="31">
        <f t="shared" si="5"/>
        <v>173</v>
      </c>
    </row>
    <row r="14" spans="2:32" ht="23.1" customHeight="1" x14ac:dyDescent="0.25">
      <c r="B14" s="45" t="s">
        <v>41</v>
      </c>
      <c r="C14" s="50">
        <v>5</v>
      </c>
      <c r="D14" s="50">
        <v>0</v>
      </c>
      <c r="E14" s="50">
        <v>9</v>
      </c>
      <c r="F14" s="50">
        <v>3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31</v>
      </c>
      <c r="N14" s="50">
        <v>0</v>
      </c>
      <c r="O14" s="15">
        <f t="shared" si="0"/>
        <v>17</v>
      </c>
      <c r="P14" s="15">
        <f t="shared" si="1"/>
        <v>48</v>
      </c>
      <c r="R14" s="1" t="s">
        <v>10</v>
      </c>
      <c r="S14" s="17">
        <f t="shared" ref="S14:AF14" si="6">SUM(C26:C29)</f>
        <v>27</v>
      </c>
      <c r="T14" s="17">
        <f t="shared" si="6"/>
        <v>0</v>
      </c>
      <c r="U14" s="17">
        <f t="shared" si="6"/>
        <v>30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7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102</v>
      </c>
      <c r="AD14" s="17">
        <f t="shared" si="6"/>
        <v>0</v>
      </c>
      <c r="AE14" s="31">
        <f t="shared" si="6"/>
        <v>78</v>
      </c>
      <c r="AF14" s="31">
        <f t="shared" si="6"/>
        <v>180</v>
      </c>
    </row>
    <row r="15" spans="2:32" ht="23.1" customHeight="1" x14ac:dyDescent="0.25">
      <c r="B15" s="45" t="s">
        <v>42</v>
      </c>
      <c r="C15" s="50">
        <v>3</v>
      </c>
      <c r="D15" s="50">
        <v>0</v>
      </c>
      <c r="E15" s="50">
        <v>2</v>
      </c>
      <c r="F15" s="50">
        <v>4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23</v>
      </c>
      <c r="N15" s="50">
        <v>0</v>
      </c>
      <c r="O15" s="15">
        <f t="shared" si="0"/>
        <v>11</v>
      </c>
      <c r="P15" s="15">
        <f t="shared" si="1"/>
        <v>34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17</v>
      </c>
      <c r="V15" s="17">
        <f t="shared" si="7"/>
        <v>15</v>
      </c>
      <c r="W15" s="17">
        <f t="shared" si="7"/>
        <v>0</v>
      </c>
      <c r="X15" s="17">
        <f t="shared" si="7"/>
        <v>0</v>
      </c>
      <c r="Y15" s="17">
        <f t="shared" si="7"/>
        <v>10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106</v>
      </c>
      <c r="AD15" s="17">
        <f t="shared" si="7"/>
        <v>0</v>
      </c>
      <c r="AE15" s="31">
        <f t="shared" si="7"/>
        <v>52</v>
      </c>
      <c r="AF15" s="31">
        <f t="shared" si="7"/>
        <v>158</v>
      </c>
    </row>
    <row r="16" spans="2:32" ht="23.1" customHeight="1" x14ac:dyDescent="0.25">
      <c r="B16" s="45" t="s">
        <v>43</v>
      </c>
      <c r="C16" s="50">
        <v>4</v>
      </c>
      <c r="D16" s="50">
        <v>0</v>
      </c>
      <c r="E16" s="50">
        <v>4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24</v>
      </c>
      <c r="N16" s="50">
        <v>0</v>
      </c>
      <c r="O16" s="15">
        <f t="shared" si="0"/>
        <v>10</v>
      </c>
      <c r="P16" s="15">
        <f t="shared" si="1"/>
        <v>34</v>
      </c>
      <c r="R16" s="1" t="s">
        <v>12</v>
      </c>
      <c r="S16" s="17">
        <f t="shared" ref="S16:AF16" si="8">SUM(C34:C37)</f>
        <v>13</v>
      </c>
      <c r="T16" s="17">
        <f t="shared" si="8"/>
        <v>0</v>
      </c>
      <c r="U16" s="17">
        <f t="shared" si="8"/>
        <v>32</v>
      </c>
      <c r="V16" s="17">
        <f t="shared" si="8"/>
        <v>19</v>
      </c>
      <c r="W16" s="17">
        <f t="shared" si="8"/>
        <v>1</v>
      </c>
      <c r="X16" s="17">
        <f t="shared" si="8"/>
        <v>0</v>
      </c>
      <c r="Y16" s="17">
        <f t="shared" si="8"/>
        <v>12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90</v>
      </c>
      <c r="AD16" s="17">
        <f t="shared" si="8"/>
        <v>0</v>
      </c>
      <c r="AE16" s="31">
        <f t="shared" si="8"/>
        <v>78</v>
      </c>
      <c r="AF16" s="31">
        <f t="shared" si="8"/>
        <v>168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6</v>
      </c>
      <c r="F17" s="50">
        <v>5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14</v>
      </c>
      <c r="P17" s="15">
        <f t="shared" si="1"/>
        <v>49</v>
      </c>
      <c r="R17" s="1" t="s">
        <v>13</v>
      </c>
      <c r="S17" s="17">
        <f t="shared" ref="S17:AF17" si="9">SUM(C38:C41)</f>
        <v>9</v>
      </c>
      <c r="T17" s="17">
        <f t="shared" si="9"/>
        <v>0</v>
      </c>
      <c r="U17" s="17">
        <f t="shared" si="9"/>
        <v>24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110</v>
      </c>
      <c r="AD17" s="17">
        <f t="shared" si="9"/>
        <v>0</v>
      </c>
      <c r="AE17" s="31">
        <f t="shared" si="9"/>
        <v>61</v>
      </c>
      <c r="AF17" s="31">
        <f t="shared" si="9"/>
        <v>171</v>
      </c>
    </row>
    <row r="18" spans="2:32" ht="23.1" customHeight="1" x14ac:dyDescent="0.25">
      <c r="B18" s="45" t="s">
        <v>45</v>
      </c>
      <c r="C18" s="50">
        <v>3</v>
      </c>
      <c r="D18" s="50">
        <v>0</v>
      </c>
      <c r="E18" s="50">
        <v>8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30</v>
      </c>
      <c r="N18" s="50">
        <v>0</v>
      </c>
      <c r="O18" s="15">
        <f t="shared" si="0"/>
        <v>15</v>
      </c>
      <c r="P18" s="15">
        <f t="shared" si="1"/>
        <v>45</v>
      </c>
      <c r="R18" s="1" t="s">
        <v>14</v>
      </c>
      <c r="S18" s="17">
        <f t="shared" ref="S18:AF18" si="10">SUM(C42:C45)</f>
        <v>16</v>
      </c>
      <c r="T18" s="17">
        <f t="shared" si="10"/>
        <v>0</v>
      </c>
      <c r="U18" s="17">
        <f t="shared" si="10"/>
        <v>25</v>
      </c>
      <c r="V18" s="17">
        <f t="shared" si="10"/>
        <v>12</v>
      </c>
      <c r="W18" s="17">
        <f t="shared" si="10"/>
        <v>0</v>
      </c>
      <c r="X18" s="17">
        <f t="shared" si="10"/>
        <v>1</v>
      </c>
      <c r="Y18" s="17">
        <f t="shared" si="10"/>
        <v>12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107</v>
      </c>
      <c r="AD18" s="17">
        <f t="shared" si="10"/>
        <v>0</v>
      </c>
      <c r="AE18" s="31">
        <f t="shared" si="10"/>
        <v>68</v>
      </c>
      <c r="AF18" s="31">
        <f t="shared" si="10"/>
        <v>175</v>
      </c>
    </row>
    <row r="19" spans="2:32" ht="23.1" customHeight="1" x14ac:dyDescent="0.25">
      <c r="B19" s="45" t="s">
        <v>46</v>
      </c>
      <c r="C19" s="50">
        <v>2</v>
      </c>
      <c r="D19" s="50">
        <v>0</v>
      </c>
      <c r="E19" s="50">
        <v>7</v>
      </c>
      <c r="F19" s="50">
        <v>3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12</v>
      </c>
      <c r="P19" s="15">
        <f t="shared" si="1"/>
        <v>31</v>
      </c>
      <c r="R19" s="1" t="s">
        <v>15</v>
      </c>
      <c r="S19" s="17">
        <f t="shared" ref="S19:AF19" si="11">SUM(C46:C49)</f>
        <v>22</v>
      </c>
      <c r="T19" s="17">
        <f t="shared" si="11"/>
        <v>0</v>
      </c>
      <c r="U19" s="17">
        <f t="shared" si="11"/>
        <v>31</v>
      </c>
      <c r="V19" s="17">
        <f t="shared" si="11"/>
        <v>20</v>
      </c>
      <c r="W19" s="17">
        <f t="shared" si="11"/>
        <v>0</v>
      </c>
      <c r="X19" s="17">
        <f t="shared" si="11"/>
        <v>0</v>
      </c>
      <c r="Y19" s="17">
        <f t="shared" si="11"/>
        <v>17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133</v>
      </c>
      <c r="AD19" s="17">
        <f t="shared" si="11"/>
        <v>0</v>
      </c>
      <c r="AE19" s="31">
        <f t="shared" si="11"/>
        <v>91</v>
      </c>
      <c r="AF19" s="31">
        <f t="shared" si="11"/>
        <v>224</v>
      </c>
    </row>
    <row r="20" spans="2:32" ht="23.1" customHeight="1" x14ac:dyDescent="0.25">
      <c r="B20" s="45" t="s">
        <v>47</v>
      </c>
      <c r="C20" s="50">
        <v>2</v>
      </c>
      <c r="D20" s="50">
        <v>0</v>
      </c>
      <c r="E20" s="50">
        <v>5</v>
      </c>
      <c r="F20" s="50">
        <v>4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13</v>
      </c>
      <c r="P20" s="15">
        <f t="shared" si="1"/>
        <v>39</v>
      </c>
      <c r="R20" s="1" t="s">
        <v>16</v>
      </c>
      <c r="S20" s="17">
        <f t="shared" ref="S20:AF20" si="12">SUM(C50:C53)</f>
        <v>17</v>
      </c>
      <c r="T20" s="17">
        <f t="shared" si="12"/>
        <v>0</v>
      </c>
      <c r="U20" s="17">
        <f t="shared" si="12"/>
        <v>25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142</v>
      </c>
      <c r="AD20" s="17">
        <f t="shared" si="12"/>
        <v>0</v>
      </c>
      <c r="AE20" s="31">
        <f t="shared" si="12"/>
        <v>80</v>
      </c>
      <c r="AF20" s="31">
        <f t="shared" si="12"/>
        <v>222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0</v>
      </c>
      <c r="F21" s="50">
        <v>3</v>
      </c>
      <c r="G21" s="50">
        <v>0</v>
      </c>
      <c r="H21" s="50">
        <v>0</v>
      </c>
      <c r="I21" s="50">
        <v>3</v>
      </c>
      <c r="J21" s="50">
        <v>0</v>
      </c>
      <c r="K21" s="50">
        <v>0</v>
      </c>
      <c r="L21" s="50">
        <v>0</v>
      </c>
      <c r="M21" s="50">
        <v>24</v>
      </c>
      <c r="N21" s="50">
        <v>0</v>
      </c>
      <c r="O21" s="15">
        <f t="shared" si="0"/>
        <v>9</v>
      </c>
      <c r="P21" s="15">
        <f t="shared" si="1"/>
        <v>33</v>
      </c>
      <c r="R21" s="36" t="s">
        <v>20</v>
      </c>
      <c r="S21" s="34">
        <f t="shared" ref="S21:AF21" si="13">SUM(C54:C57)</f>
        <v>15</v>
      </c>
      <c r="T21" s="17">
        <f t="shared" si="13"/>
        <v>0</v>
      </c>
      <c r="U21" s="17">
        <f t="shared" si="13"/>
        <v>20</v>
      </c>
      <c r="V21" s="17">
        <f t="shared" si="13"/>
        <v>16</v>
      </c>
      <c r="W21" s="17">
        <f t="shared" si="13"/>
        <v>1</v>
      </c>
      <c r="X21" s="17">
        <f t="shared" si="13"/>
        <v>0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102</v>
      </c>
      <c r="AD21" s="17">
        <f t="shared" si="13"/>
        <v>0</v>
      </c>
      <c r="AE21" s="31">
        <f t="shared" si="13"/>
        <v>63</v>
      </c>
      <c r="AF21" s="31">
        <f t="shared" si="13"/>
        <v>165</v>
      </c>
    </row>
    <row r="22" spans="2:32" ht="23.1" customHeight="1" x14ac:dyDescent="0.25">
      <c r="B22" s="45" t="s">
        <v>49</v>
      </c>
      <c r="C22" s="50">
        <v>2</v>
      </c>
      <c r="D22" s="50">
        <v>0</v>
      </c>
      <c r="E22" s="50">
        <v>8</v>
      </c>
      <c r="F22" s="50">
        <v>7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37</v>
      </c>
      <c r="N22" s="50">
        <v>0</v>
      </c>
      <c r="O22" s="15">
        <f t="shared" si="0"/>
        <v>19</v>
      </c>
      <c r="P22" s="15">
        <f t="shared" si="1"/>
        <v>56</v>
      </c>
      <c r="R22" s="36" t="s">
        <v>146</v>
      </c>
      <c r="S22" s="34">
        <f>SUM(C58:C61)</f>
        <v>18</v>
      </c>
      <c r="T22" s="34">
        <f t="shared" ref="T22:AF22" si="14">SUM(D58:D61)</f>
        <v>0</v>
      </c>
      <c r="U22" s="34">
        <f t="shared" si="14"/>
        <v>26</v>
      </c>
      <c r="V22" s="34">
        <f t="shared" si="14"/>
        <v>10</v>
      </c>
      <c r="W22" s="34">
        <f t="shared" si="14"/>
        <v>0</v>
      </c>
      <c r="X22" s="34">
        <f t="shared" si="14"/>
        <v>1</v>
      </c>
      <c r="Y22" s="34">
        <f t="shared" si="14"/>
        <v>23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101</v>
      </c>
      <c r="AD22" s="34">
        <f t="shared" si="14"/>
        <v>0</v>
      </c>
      <c r="AE22" s="31">
        <f t="shared" si="14"/>
        <v>78</v>
      </c>
      <c r="AF22" s="31">
        <f t="shared" si="14"/>
        <v>179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3</v>
      </c>
      <c r="F23" s="50">
        <v>3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10</v>
      </c>
      <c r="P23" s="15">
        <f t="shared" si="1"/>
        <v>33</v>
      </c>
      <c r="R23" s="36" t="s">
        <v>147</v>
      </c>
      <c r="S23" s="34">
        <f>SUM(C62:C65)</f>
        <v>18</v>
      </c>
      <c r="T23" s="34">
        <f t="shared" ref="T23:AF23" si="15">SUM(D62:D65)</f>
        <v>0</v>
      </c>
      <c r="U23" s="34">
        <f t="shared" si="15"/>
        <v>26</v>
      </c>
      <c r="V23" s="34">
        <f t="shared" si="15"/>
        <v>5</v>
      </c>
      <c r="W23" s="34">
        <f t="shared" si="15"/>
        <v>0</v>
      </c>
      <c r="X23" s="34">
        <f t="shared" si="15"/>
        <v>0</v>
      </c>
      <c r="Y23" s="34">
        <f t="shared" si="15"/>
        <v>25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63</v>
      </c>
      <c r="AD23" s="34">
        <f t="shared" si="15"/>
        <v>0</v>
      </c>
      <c r="AE23" s="31">
        <f t="shared" si="15"/>
        <v>76</v>
      </c>
      <c r="AF23" s="31">
        <f t="shared" si="15"/>
        <v>139</v>
      </c>
    </row>
    <row r="24" spans="2:32" ht="23.1" customHeight="1" x14ac:dyDescent="0.25">
      <c r="B24" s="45" t="s">
        <v>51</v>
      </c>
      <c r="C24" s="50">
        <v>6</v>
      </c>
      <c r="D24" s="50">
        <v>0</v>
      </c>
      <c r="E24" s="50">
        <v>1</v>
      </c>
      <c r="F24" s="50">
        <v>4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37</v>
      </c>
      <c r="N24" s="50">
        <v>0</v>
      </c>
      <c r="O24" s="15">
        <f t="shared" si="0"/>
        <v>11</v>
      </c>
      <c r="P24" s="15">
        <f t="shared" si="1"/>
        <v>48</v>
      </c>
      <c r="R24" s="36" t="s">
        <v>148</v>
      </c>
      <c r="S24" s="34">
        <f>SUM(C66:C69)</f>
        <v>14</v>
      </c>
      <c r="T24" s="34">
        <f t="shared" ref="T24:AF24" si="16">SUM(D66:D69)</f>
        <v>0</v>
      </c>
      <c r="U24" s="34">
        <f t="shared" si="16"/>
        <v>13</v>
      </c>
      <c r="V24" s="34">
        <f t="shared" si="16"/>
        <v>6</v>
      </c>
      <c r="W24" s="34">
        <f t="shared" si="16"/>
        <v>0</v>
      </c>
      <c r="X24" s="34">
        <f t="shared" si="16"/>
        <v>0</v>
      </c>
      <c r="Y24" s="34">
        <f t="shared" si="16"/>
        <v>23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35</v>
      </c>
      <c r="AD24" s="34">
        <f t="shared" si="16"/>
        <v>0</v>
      </c>
      <c r="AE24" s="31">
        <f t="shared" si="16"/>
        <v>58</v>
      </c>
      <c r="AF24" s="31">
        <f t="shared" si="16"/>
        <v>93</v>
      </c>
    </row>
    <row r="25" spans="2:32" ht="23.1" customHeight="1" x14ac:dyDescent="0.25">
      <c r="B25" s="45" t="s">
        <v>52</v>
      </c>
      <c r="C25" s="50">
        <v>1</v>
      </c>
      <c r="D25" s="50">
        <v>0</v>
      </c>
      <c r="E25" s="50">
        <v>5</v>
      </c>
      <c r="F25" s="50">
        <v>3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26</v>
      </c>
      <c r="N25" s="50">
        <v>0</v>
      </c>
      <c r="O25" s="15">
        <f t="shared" si="0"/>
        <v>10</v>
      </c>
      <c r="P25" s="15">
        <f t="shared" si="1"/>
        <v>36</v>
      </c>
      <c r="R25" s="36" t="s">
        <v>149</v>
      </c>
      <c r="S25" s="34">
        <f>SUM(C70:C73)</f>
        <v>7</v>
      </c>
      <c r="T25" s="34">
        <f t="shared" ref="T25:AF25" si="17">SUM(D70:D73)</f>
        <v>0</v>
      </c>
      <c r="U25" s="34">
        <f t="shared" si="17"/>
        <v>10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31</v>
      </c>
      <c r="AD25" s="34">
        <f t="shared" si="17"/>
        <v>0</v>
      </c>
      <c r="AE25" s="31">
        <f t="shared" si="17"/>
        <v>29</v>
      </c>
      <c r="AF25" s="31">
        <f t="shared" si="17"/>
        <v>60</v>
      </c>
    </row>
    <row r="26" spans="2:32" ht="23.1" customHeight="1" x14ac:dyDescent="0.25">
      <c r="B26" s="45" t="s">
        <v>53</v>
      </c>
      <c r="C26" s="50">
        <v>10</v>
      </c>
      <c r="D26" s="50">
        <v>0</v>
      </c>
      <c r="E26" s="50">
        <v>15</v>
      </c>
      <c r="F26" s="50">
        <v>2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21</v>
      </c>
      <c r="N26" s="50">
        <v>0</v>
      </c>
      <c r="O26" s="15">
        <f t="shared" si="0"/>
        <v>28</v>
      </c>
      <c r="P26" s="15">
        <f t="shared" si="1"/>
        <v>49</v>
      </c>
      <c r="R26" s="36" t="s">
        <v>150</v>
      </c>
      <c r="S26" s="34">
        <f>SUM(C74:C77)</f>
        <v>5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12</v>
      </c>
      <c r="AD26" s="34">
        <f t="shared" si="18"/>
        <v>0</v>
      </c>
      <c r="AE26" s="31">
        <f t="shared" si="18"/>
        <v>13</v>
      </c>
      <c r="AF26" s="31">
        <f t="shared" si="18"/>
        <v>25</v>
      </c>
    </row>
    <row r="27" spans="2:32" ht="23.1" customHeight="1" x14ac:dyDescent="0.25">
      <c r="B27" s="45" t="s">
        <v>54</v>
      </c>
      <c r="C27" s="50">
        <v>5</v>
      </c>
      <c r="D27" s="50">
        <v>0</v>
      </c>
      <c r="E27" s="50">
        <v>2</v>
      </c>
      <c r="F27" s="50">
        <v>2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20</v>
      </c>
      <c r="N27" s="50">
        <v>0</v>
      </c>
      <c r="O27" s="15">
        <f t="shared" si="0"/>
        <v>9</v>
      </c>
      <c r="P27" s="15">
        <f t="shared" si="1"/>
        <v>29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10</v>
      </c>
      <c r="AF27" s="31">
        <f t="shared" si="19"/>
        <v>17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8</v>
      </c>
      <c r="F28" s="50">
        <v>5</v>
      </c>
      <c r="G28" s="50">
        <v>0</v>
      </c>
      <c r="H28" s="50">
        <v>0</v>
      </c>
      <c r="I28" s="50">
        <v>4</v>
      </c>
      <c r="J28" s="50">
        <v>1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23</v>
      </c>
      <c r="P28" s="15">
        <f t="shared" si="1"/>
        <v>61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</v>
      </c>
      <c r="AD28" s="34">
        <f t="shared" si="20"/>
        <v>0</v>
      </c>
      <c r="AE28" s="31">
        <f t="shared" si="20"/>
        <v>4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7</v>
      </c>
      <c r="D29" s="50">
        <v>0</v>
      </c>
      <c r="E29" s="50">
        <v>5</v>
      </c>
      <c r="F29" s="50">
        <v>4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23</v>
      </c>
      <c r="N29" s="50">
        <v>0</v>
      </c>
      <c r="O29" s="15">
        <f t="shared" si="0"/>
        <v>18</v>
      </c>
      <c r="P29" s="15">
        <f t="shared" si="1"/>
        <v>41</v>
      </c>
      <c r="R29" s="36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8</v>
      </c>
      <c r="AF29" s="31">
        <f t="shared" si="21"/>
        <v>14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3</v>
      </c>
      <c r="F30" s="50">
        <v>5</v>
      </c>
      <c r="G30" s="50">
        <v>0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20</v>
      </c>
      <c r="N30" s="50">
        <v>0</v>
      </c>
      <c r="O30" s="15">
        <f t="shared" si="0"/>
        <v>12</v>
      </c>
      <c r="P30" s="15">
        <f t="shared" si="1"/>
        <v>32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</v>
      </c>
      <c r="AD30" s="34">
        <f t="shared" si="22"/>
        <v>0</v>
      </c>
      <c r="AE30" s="31">
        <f t="shared" si="22"/>
        <v>7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4</v>
      </c>
      <c r="F31" s="50">
        <v>4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34</v>
      </c>
      <c r="N31" s="50">
        <v>0</v>
      </c>
      <c r="O31" s="15">
        <f t="shared" si="0"/>
        <v>13</v>
      </c>
      <c r="P31" s="15">
        <f t="shared" si="1"/>
        <v>47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5</v>
      </c>
      <c r="AD31" s="34">
        <f t="shared" si="23"/>
        <v>0</v>
      </c>
      <c r="AE31" s="31">
        <f t="shared" si="23"/>
        <v>6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3</v>
      </c>
      <c r="D32" s="50">
        <v>0</v>
      </c>
      <c r="E32" s="50">
        <v>5</v>
      </c>
      <c r="F32" s="50">
        <v>2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24</v>
      </c>
      <c r="N32" s="50">
        <v>0</v>
      </c>
      <c r="O32" s="15">
        <f t="shared" si="0"/>
        <v>13</v>
      </c>
      <c r="P32" s="15">
        <f t="shared" si="1"/>
        <v>37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18</v>
      </c>
      <c r="AD32" s="34">
        <f t="shared" si="24"/>
        <v>0</v>
      </c>
      <c r="AE32" s="31">
        <f t="shared" si="24"/>
        <v>13</v>
      </c>
      <c r="AF32" s="31">
        <f t="shared" si="24"/>
        <v>31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5</v>
      </c>
      <c r="F33" s="50">
        <v>4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28</v>
      </c>
      <c r="N33" s="50">
        <v>0</v>
      </c>
      <c r="O33" s="15">
        <f t="shared" si="0"/>
        <v>14</v>
      </c>
      <c r="P33" s="15">
        <f t="shared" si="1"/>
        <v>42</v>
      </c>
      <c r="R33" s="33" t="s">
        <v>157</v>
      </c>
      <c r="S33" s="34">
        <f>SUM(C102:C105)</f>
        <v>5</v>
      </c>
      <c r="T33" s="34">
        <f t="shared" ref="T33:AF33" si="25">SUM(D102:D105)</f>
        <v>0</v>
      </c>
      <c r="U33" s="34">
        <f t="shared" si="25"/>
        <v>6</v>
      </c>
      <c r="V33" s="34">
        <f t="shared" si="25"/>
        <v>9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42</v>
      </c>
      <c r="AD33" s="34">
        <f t="shared" si="25"/>
        <v>0</v>
      </c>
      <c r="AE33" s="31">
        <f t="shared" si="25"/>
        <v>24</v>
      </c>
      <c r="AF33" s="31">
        <f t="shared" si="25"/>
        <v>66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4</v>
      </c>
      <c r="F34" s="50">
        <v>4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13</v>
      </c>
      <c r="P34" s="15">
        <f t="shared" si="1"/>
        <v>32</v>
      </c>
      <c r="R34" s="38" t="s">
        <v>90</v>
      </c>
      <c r="S34" s="39">
        <f t="shared" ref="S34:AF34" si="26">MAX(S10:S12)</f>
        <v>14</v>
      </c>
      <c r="T34" s="39">
        <f t="shared" si="26"/>
        <v>0</v>
      </c>
      <c r="U34" s="39">
        <f t="shared" si="26"/>
        <v>21</v>
      </c>
      <c r="V34" s="39">
        <f t="shared" si="26"/>
        <v>14</v>
      </c>
      <c r="W34" s="39">
        <f t="shared" si="26"/>
        <v>1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113</v>
      </c>
      <c r="AD34" s="39">
        <f t="shared" si="26"/>
        <v>0</v>
      </c>
      <c r="AE34" s="40">
        <f t="shared" si="26"/>
        <v>52</v>
      </c>
      <c r="AF34" s="40">
        <f t="shared" si="26"/>
        <v>165</v>
      </c>
    </row>
    <row r="35" spans="2:32" ht="23.1" customHeight="1" x14ac:dyDescent="0.25">
      <c r="B35" s="46" t="s">
        <v>62</v>
      </c>
      <c r="C35" s="50">
        <v>5</v>
      </c>
      <c r="D35" s="50">
        <v>0</v>
      </c>
      <c r="E35" s="50">
        <v>4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13</v>
      </c>
      <c r="P35" s="15">
        <f t="shared" si="1"/>
        <v>34</v>
      </c>
      <c r="R35" s="38" t="s">
        <v>91</v>
      </c>
      <c r="S35" s="39">
        <f t="shared" ref="S35:AF35" si="27">MAX(S13:S18)</f>
        <v>27</v>
      </c>
      <c r="T35" s="39">
        <f t="shared" si="27"/>
        <v>0</v>
      </c>
      <c r="U35" s="39">
        <f t="shared" si="27"/>
        <v>32</v>
      </c>
      <c r="V35" s="39">
        <f t="shared" si="27"/>
        <v>19</v>
      </c>
      <c r="W35" s="39">
        <f t="shared" si="27"/>
        <v>1</v>
      </c>
      <c r="X35" s="39">
        <f t="shared" si="27"/>
        <v>1</v>
      </c>
      <c r="Y35" s="39">
        <f t="shared" si="27"/>
        <v>16</v>
      </c>
      <c r="Z35" s="39">
        <f t="shared" si="27"/>
        <v>2</v>
      </c>
      <c r="AA35" s="39">
        <f t="shared" si="27"/>
        <v>1</v>
      </c>
      <c r="AB35" s="39">
        <f t="shared" si="27"/>
        <v>0</v>
      </c>
      <c r="AC35" s="39">
        <f t="shared" si="27"/>
        <v>123</v>
      </c>
      <c r="AD35" s="39">
        <f t="shared" si="27"/>
        <v>0</v>
      </c>
      <c r="AE35" s="40">
        <f t="shared" si="27"/>
        <v>78</v>
      </c>
      <c r="AF35" s="40">
        <f t="shared" si="27"/>
        <v>180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15</v>
      </c>
      <c r="F36" s="50">
        <v>6</v>
      </c>
      <c r="G36" s="50">
        <v>1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25</v>
      </c>
      <c r="N36" s="50">
        <v>0</v>
      </c>
      <c r="O36" s="15">
        <f t="shared" si="0"/>
        <v>30</v>
      </c>
      <c r="P36" s="15">
        <f t="shared" si="1"/>
        <v>55</v>
      </c>
      <c r="R36" s="38" t="s">
        <v>92</v>
      </c>
      <c r="S36" s="39">
        <f t="shared" ref="S36:AF36" si="28">MAX(S19:S21)</f>
        <v>22</v>
      </c>
      <c r="T36" s="39">
        <f t="shared" si="28"/>
        <v>0</v>
      </c>
      <c r="U36" s="39">
        <f t="shared" si="28"/>
        <v>31</v>
      </c>
      <c r="V36" s="39">
        <f t="shared" si="28"/>
        <v>20</v>
      </c>
      <c r="W36" s="39">
        <f t="shared" si="28"/>
        <v>1</v>
      </c>
      <c r="X36" s="39">
        <f t="shared" si="28"/>
        <v>0</v>
      </c>
      <c r="Y36" s="39">
        <f t="shared" si="28"/>
        <v>22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142</v>
      </c>
      <c r="AD36" s="39">
        <f t="shared" si="28"/>
        <v>0</v>
      </c>
      <c r="AE36" s="40">
        <f t="shared" si="28"/>
        <v>91</v>
      </c>
      <c r="AF36" s="40">
        <f t="shared" si="28"/>
        <v>224</v>
      </c>
    </row>
    <row r="37" spans="2:32" ht="23.1" customHeight="1" x14ac:dyDescent="0.25">
      <c r="B37" s="45" t="s">
        <v>64</v>
      </c>
      <c r="C37" s="50">
        <v>4</v>
      </c>
      <c r="D37" s="50">
        <v>0</v>
      </c>
      <c r="E37" s="50">
        <v>9</v>
      </c>
      <c r="F37" s="50">
        <v>6</v>
      </c>
      <c r="G37" s="50">
        <v>0</v>
      </c>
      <c r="H37" s="50">
        <v>0</v>
      </c>
      <c r="I37" s="50">
        <v>3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22</v>
      </c>
      <c r="P37" s="15">
        <f t="shared" si="1"/>
        <v>47</v>
      </c>
      <c r="R37" s="37" t="s">
        <v>85</v>
      </c>
      <c r="S37" s="35">
        <f t="shared" ref="S37:AF37" si="29">SUM(S10:S12)</f>
        <v>25</v>
      </c>
      <c r="T37" s="16">
        <f t="shared" si="29"/>
        <v>0</v>
      </c>
      <c r="U37" s="16">
        <f t="shared" si="29"/>
        <v>57</v>
      </c>
      <c r="V37" s="16">
        <f t="shared" si="29"/>
        <v>33</v>
      </c>
      <c r="W37" s="16">
        <f t="shared" si="29"/>
        <v>1</v>
      </c>
      <c r="X37" s="16">
        <f t="shared" si="29"/>
        <v>0</v>
      </c>
      <c r="Y37" s="16">
        <f t="shared" si="29"/>
        <v>12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295</v>
      </c>
      <c r="AD37" s="16">
        <f t="shared" si="29"/>
        <v>0</v>
      </c>
      <c r="AE37" s="32">
        <f t="shared" si="29"/>
        <v>128</v>
      </c>
      <c r="AF37" s="32">
        <f t="shared" si="29"/>
        <v>423</v>
      </c>
    </row>
    <row r="38" spans="2:32" ht="23.1" customHeight="1" x14ac:dyDescent="0.25">
      <c r="B38" s="46" t="s">
        <v>65</v>
      </c>
      <c r="C38" s="50">
        <v>5</v>
      </c>
      <c r="D38" s="50">
        <v>0</v>
      </c>
      <c r="E38" s="50">
        <v>11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18</v>
      </c>
      <c r="P38" s="15">
        <f t="shared" si="1"/>
        <v>49</v>
      </c>
      <c r="R38" s="28" t="s">
        <v>86</v>
      </c>
      <c r="S38" s="16">
        <f t="shared" ref="S38:AF38" si="30">SUM(S13:S18)</f>
        <v>85</v>
      </c>
      <c r="T38" s="16">
        <f t="shared" si="30"/>
        <v>0</v>
      </c>
      <c r="U38" s="16">
        <f t="shared" si="30"/>
        <v>145</v>
      </c>
      <c r="V38" s="16">
        <f t="shared" si="30"/>
        <v>86</v>
      </c>
      <c r="W38" s="16">
        <f t="shared" si="30"/>
        <v>1</v>
      </c>
      <c r="X38" s="16">
        <f t="shared" si="30"/>
        <v>1</v>
      </c>
      <c r="Y38" s="16">
        <f t="shared" si="30"/>
        <v>60</v>
      </c>
      <c r="Z38" s="16">
        <f t="shared" si="30"/>
        <v>7</v>
      </c>
      <c r="AA38" s="16">
        <f t="shared" si="30"/>
        <v>2</v>
      </c>
      <c r="AB38" s="16">
        <f t="shared" si="30"/>
        <v>0</v>
      </c>
      <c r="AC38" s="16">
        <f t="shared" si="30"/>
        <v>638</v>
      </c>
      <c r="AD38" s="16">
        <f t="shared" si="30"/>
        <v>0</v>
      </c>
      <c r="AE38" s="32">
        <f t="shared" si="30"/>
        <v>387</v>
      </c>
      <c r="AF38" s="32">
        <f t="shared" si="30"/>
        <v>1025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1</v>
      </c>
      <c r="F39" s="50">
        <v>2</v>
      </c>
      <c r="G39" s="50">
        <v>0</v>
      </c>
      <c r="H39" s="50">
        <v>0</v>
      </c>
      <c r="I39" s="50">
        <v>6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10</v>
      </c>
      <c r="P39" s="15">
        <f t="shared" si="1"/>
        <v>30</v>
      </c>
      <c r="R39" s="29" t="s">
        <v>87</v>
      </c>
      <c r="S39" s="16">
        <f t="shared" ref="S39:AF39" si="31">SUM(S19:S21)</f>
        <v>54</v>
      </c>
      <c r="T39" s="16">
        <f t="shared" si="31"/>
        <v>0</v>
      </c>
      <c r="U39" s="16">
        <f t="shared" si="31"/>
        <v>76</v>
      </c>
      <c r="V39" s="16">
        <f t="shared" si="31"/>
        <v>50</v>
      </c>
      <c r="W39" s="16">
        <f t="shared" si="31"/>
        <v>1</v>
      </c>
      <c r="X39" s="16">
        <f t="shared" si="31"/>
        <v>0</v>
      </c>
      <c r="Y39" s="16">
        <f t="shared" si="31"/>
        <v>50</v>
      </c>
      <c r="Z39" s="16">
        <f t="shared" si="31"/>
        <v>3</v>
      </c>
      <c r="AA39" s="16">
        <f t="shared" si="31"/>
        <v>0</v>
      </c>
      <c r="AB39" s="16">
        <f t="shared" si="31"/>
        <v>0</v>
      </c>
      <c r="AC39" s="16">
        <f t="shared" si="31"/>
        <v>377</v>
      </c>
      <c r="AD39" s="16">
        <f t="shared" si="31"/>
        <v>0</v>
      </c>
      <c r="AE39" s="32">
        <f t="shared" si="31"/>
        <v>234</v>
      </c>
      <c r="AF39" s="32">
        <f t="shared" si="31"/>
        <v>611</v>
      </c>
    </row>
    <row r="40" spans="2:32" ht="23.1" customHeight="1" x14ac:dyDescent="0.25">
      <c r="B40" s="46" t="s">
        <v>67</v>
      </c>
      <c r="C40" s="50">
        <v>2</v>
      </c>
      <c r="D40" s="50">
        <v>0</v>
      </c>
      <c r="E40" s="50">
        <v>5</v>
      </c>
      <c r="F40" s="50">
        <v>5</v>
      </c>
      <c r="G40" s="50">
        <v>0</v>
      </c>
      <c r="H40" s="50">
        <v>0</v>
      </c>
      <c r="I40" s="50">
        <v>5</v>
      </c>
      <c r="J40" s="50">
        <v>0</v>
      </c>
      <c r="K40" s="50">
        <v>0</v>
      </c>
      <c r="L40" s="50">
        <v>0</v>
      </c>
      <c r="M40" s="50">
        <v>26</v>
      </c>
      <c r="N40" s="50">
        <v>0</v>
      </c>
      <c r="O40" s="15">
        <f t="shared" si="0"/>
        <v>17</v>
      </c>
      <c r="P40" s="15">
        <f t="shared" si="1"/>
        <v>43</v>
      </c>
      <c r="R40" s="5" t="s">
        <v>17</v>
      </c>
      <c r="S40" s="16">
        <f t="shared" ref="S40:AF40" si="32">SUM(S10:S21)</f>
        <v>164</v>
      </c>
      <c r="T40" s="16">
        <f t="shared" si="32"/>
        <v>0</v>
      </c>
      <c r="U40" s="16">
        <f t="shared" si="32"/>
        <v>278</v>
      </c>
      <c r="V40" s="16">
        <f t="shared" si="32"/>
        <v>169</v>
      </c>
      <c r="W40" s="16">
        <f t="shared" si="32"/>
        <v>3</v>
      </c>
      <c r="X40" s="16">
        <f t="shared" si="32"/>
        <v>1</v>
      </c>
      <c r="Y40" s="16">
        <f t="shared" si="32"/>
        <v>122</v>
      </c>
      <c r="Z40" s="16">
        <f t="shared" si="32"/>
        <v>10</v>
      </c>
      <c r="AA40" s="16">
        <f t="shared" si="32"/>
        <v>2</v>
      </c>
      <c r="AB40" s="16">
        <f t="shared" si="32"/>
        <v>0</v>
      </c>
      <c r="AC40" s="16">
        <f t="shared" si="32"/>
        <v>1310</v>
      </c>
      <c r="AD40" s="16">
        <f t="shared" si="32"/>
        <v>0</v>
      </c>
      <c r="AE40" s="32">
        <f t="shared" si="32"/>
        <v>749</v>
      </c>
      <c r="AF40" s="32">
        <f t="shared" si="32"/>
        <v>2059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7</v>
      </c>
      <c r="F41" s="50">
        <v>2</v>
      </c>
      <c r="G41" s="50">
        <v>0</v>
      </c>
      <c r="H41" s="50">
        <v>0</v>
      </c>
      <c r="I41" s="50">
        <v>4</v>
      </c>
      <c r="J41" s="50">
        <v>2</v>
      </c>
      <c r="K41" s="50">
        <v>0</v>
      </c>
      <c r="L41" s="50">
        <v>0</v>
      </c>
      <c r="M41" s="50">
        <v>33</v>
      </c>
      <c r="N41" s="50">
        <v>0</v>
      </c>
      <c r="O41" s="15">
        <f t="shared" si="0"/>
        <v>16</v>
      </c>
      <c r="P41" s="15">
        <f t="shared" si="1"/>
        <v>49</v>
      </c>
      <c r="R41" s="5" t="s">
        <v>159</v>
      </c>
      <c r="S41" s="16">
        <f>SUM(S10:S33)</f>
        <v>239</v>
      </c>
      <c r="T41" s="16">
        <f t="shared" ref="T41:AF41" si="33">SUM(T10:T33)</f>
        <v>0</v>
      </c>
      <c r="U41" s="16">
        <f t="shared" si="33"/>
        <v>376</v>
      </c>
      <c r="V41" s="16">
        <f t="shared" si="33"/>
        <v>203</v>
      </c>
      <c r="W41" s="16">
        <f t="shared" si="33"/>
        <v>3</v>
      </c>
      <c r="X41" s="16">
        <f t="shared" si="33"/>
        <v>2</v>
      </c>
      <c r="Y41" s="16">
        <f t="shared" si="33"/>
        <v>235</v>
      </c>
      <c r="Z41" s="16">
        <f t="shared" si="33"/>
        <v>13</v>
      </c>
      <c r="AA41" s="16">
        <f t="shared" si="33"/>
        <v>4</v>
      </c>
      <c r="AB41" s="16">
        <f t="shared" si="33"/>
        <v>0</v>
      </c>
      <c r="AC41" s="16">
        <f t="shared" si="33"/>
        <v>1642</v>
      </c>
      <c r="AD41" s="16">
        <f t="shared" si="33"/>
        <v>0</v>
      </c>
      <c r="AE41" s="32">
        <f t="shared" si="33"/>
        <v>1075</v>
      </c>
      <c r="AF41" s="32">
        <f t="shared" si="33"/>
        <v>2717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7</v>
      </c>
      <c r="F42" s="50">
        <v>6</v>
      </c>
      <c r="G42" s="50">
        <v>0</v>
      </c>
      <c r="H42" s="50">
        <v>1</v>
      </c>
      <c r="I42" s="50">
        <v>2</v>
      </c>
      <c r="J42" s="50">
        <v>0</v>
      </c>
      <c r="K42" s="50">
        <v>0</v>
      </c>
      <c r="L42" s="50">
        <v>0</v>
      </c>
      <c r="M42" s="50">
        <v>36</v>
      </c>
      <c r="N42" s="50">
        <v>0</v>
      </c>
      <c r="O42" s="15">
        <f t="shared" si="0"/>
        <v>17</v>
      </c>
      <c r="P42" s="15">
        <f t="shared" si="1"/>
        <v>53</v>
      </c>
      <c r="R42" s="5" t="s">
        <v>160</v>
      </c>
      <c r="S42" s="48">
        <f>S41/S40</f>
        <v>1.4573170731707317</v>
      </c>
      <c r="T42" s="48" t="e">
        <f t="shared" ref="T42:AF42" si="34">T41/T40</f>
        <v>#DIV/0!</v>
      </c>
      <c r="U42" s="48">
        <f t="shared" si="34"/>
        <v>1.3525179856115108</v>
      </c>
      <c r="V42" s="48">
        <f t="shared" si="34"/>
        <v>1.2011834319526626</v>
      </c>
      <c r="W42" s="48">
        <f t="shared" si="34"/>
        <v>1</v>
      </c>
      <c r="X42" s="48">
        <f t="shared" si="34"/>
        <v>2</v>
      </c>
      <c r="Y42" s="48">
        <f t="shared" si="34"/>
        <v>1.9262295081967213</v>
      </c>
      <c r="Z42" s="48">
        <f t="shared" si="34"/>
        <v>1.3</v>
      </c>
      <c r="AA42" s="48">
        <f t="shared" si="34"/>
        <v>2</v>
      </c>
      <c r="AB42" s="48" t="e">
        <f t="shared" si="34"/>
        <v>#DIV/0!</v>
      </c>
      <c r="AC42" s="48">
        <f t="shared" si="34"/>
        <v>1.2534351145038167</v>
      </c>
      <c r="AD42" s="48" t="e">
        <f t="shared" si="34"/>
        <v>#DIV/0!</v>
      </c>
      <c r="AE42" s="48">
        <f t="shared" si="34"/>
        <v>1.4352469959946594</v>
      </c>
      <c r="AF42" s="48">
        <f t="shared" si="34"/>
        <v>1.3195726080621661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5</v>
      </c>
      <c r="F43" s="50">
        <v>2</v>
      </c>
      <c r="G43" s="50">
        <v>0</v>
      </c>
      <c r="H43" s="50">
        <v>0</v>
      </c>
      <c r="I43" s="50">
        <v>4</v>
      </c>
      <c r="J43" s="50">
        <v>1</v>
      </c>
      <c r="K43" s="50">
        <v>0</v>
      </c>
      <c r="L43" s="50">
        <v>0</v>
      </c>
      <c r="M43" s="50">
        <v>25</v>
      </c>
      <c r="N43" s="50">
        <v>0</v>
      </c>
      <c r="O43" s="15">
        <f t="shared" si="0"/>
        <v>15</v>
      </c>
      <c r="P43" s="15">
        <f t="shared" si="1"/>
        <v>40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6</v>
      </c>
      <c r="F44" s="50">
        <v>1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13</v>
      </c>
      <c r="P44" s="15">
        <f t="shared" si="1"/>
        <v>35</v>
      </c>
    </row>
    <row r="45" spans="2:32" ht="23.1" customHeight="1" x14ac:dyDescent="0.25">
      <c r="B45" s="45" t="s">
        <v>72</v>
      </c>
      <c r="C45" s="50">
        <v>9</v>
      </c>
      <c r="D45" s="50">
        <v>0</v>
      </c>
      <c r="E45" s="50">
        <v>7</v>
      </c>
      <c r="F45" s="50">
        <v>3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0</v>
      </c>
      <c r="M45" s="50">
        <v>24</v>
      </c>
      <c r="N45" s="50">
        <v>0</v>
      </c>
      <c r="O45" s="15">
        <f t="shared" si="0"/>
        <v>23</v>
      </c>
      <c r="P45" s="15">
        <f t="shared" si="1"/>
        <v>47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6</v>
      </c>
      <c r="F46" s="50">
        <v>6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29</v>
      </c>
      <c r="N46" s="50">
        <v>0</v>
      </c>
      <c r="O46" s="15">
        <f t="shared" si="0"/>
        <v>16</v>
      </c>
      <c r="P46" s="15">
        <f t="shared" si="1"/>
        <v>45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0</v>
      </c>
      <c r="E47" s="50">
        <v>9</v>
      </c>
      <c r="F47" s="50">
        <v>4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34</v>
      </c>
      <c r="N47" s="50">
        <v>0</v>
      </c>
      <c r="O47" s="15">
        <f t="shared" si="0"/>
        <v>25</v>
      </c>
      <c r="P47" s="15">
        <f t="shared" si="1"/>
        <v>59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10</v>
      </c>
      <c r="F48" s="50">
        <v>4</v>
      </c>
      <c r="G48" s="50">
        <v>0</v>
      </c>
      <c r="H48" s="50">
        <v>0</v>
      </c>
      <c r="I48" s="50">
        <v>10</v>
      </c>
      <c r="J48" s="50">
        <v>0</v>
      </c>
      <c r="K48" s="50">
        <v>0</v>
      </c>
      <c r="L48" s="50">
        <v>0</v>
      </c>
      <c r="M48" s="50">
        <v>37</v>
      </c>
      <c r="N48" s="50">
        <v>0</v>
      </c>
      <c r="O48" s="15">
        <f t="shared" si="0"/>
        <v>27</v>
      </c>
      <c r="P48" s="15">
        <f t="shared" si="1"/>
        <v>64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0</v>
      </c>
      <c r="E49" s="50">
        <v>6</v>
      </c>
      <c r="F49" s="50">
        <v>6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33</v>
      </c>
      <c r="N49" s="50">
        <v>0</v>
      </c>
      <c r="O49" s="15">
        <f t="shared" si="0"/>
        <v>23</v>
      </c>
      <c r="P49" s="15">
        <f t="shared" si="1"/>
        <v>56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7</v>
      </c>
      <c r="F50" s="50">
        <v>2</v>
      </c>
      <c r="G50" s="50">
        <v>0</v>
      </c>
      <c r="H50" s="50">
        <v>0</v>
      </c>
      <c r="I50" s="50">
        <v>8</v>
      </c>
      <c r="J50" s="50">
        <v>0</v>
      </c>
      <c r="K50" s="50">
        <v>0</v>
      </c>
      <c r="L50" s="50">
        <v>0</v>
      </c>
      <c r="M50" s="50">
        <v>35</v>
      </c>
      <c r="N50" s="50">
        <v>0</v>
      </c>
      <c r="O50" s="15">
        <f t="shared" si="0"/>
        <v>21</v>
      </c>
      <c r="P50" s="15">
        <f t="shared" si="1"/>
        <v>56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6</v>
      </c>
      <c r="F51" s="50">
        <v>6</v>
      </c>
      <c r="G51" s="50">
        <v>0</v>
      </c>
      <c r="H51" s="50">
        <v>0</v>
      </c>
      <c r="I51" s="50">
        <v>6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21</v>
      </c>
      <c r="P51" s="15">
        <f t="shared" si="1"/>
        <v>60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7</v>
      </c>
      <c r="F52" s="50">
        <v>3</v>
      </c>
      <c r="G52" s="50">
        <v>0</v>
      </c>
      <c r="H52" s="50">
        <v>0</v>
      </c>
      <c r="I52" s="50">
        <v>5</v>
      </c>
      <c r="J52" s="50">
        <v>0</v>
      </c>
      <c r="K52" s="50">
        <v>0</v>
      </c>
      <c r="L52" s="50">
        <v>0</v>
      </c>
      <c r="M52" s="50">
        <v>34</v>
      </c>
      <c r="N52" s="50">
        <v>0</v>
      </c>
      <c r="O52" s="15">
        <f t="shared" si="0"/>
        <v>20</v>
      </c>
      <c r="P52" s="15">
        <f t="shared" si="1"/>
        <v>54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5</v>
      </c>
      <c r="F53" s="50">
        <v>3</v>
      </c>
      <c r="G53" s="50">
        <v>0</v>
      </c>
      <c r="H53" s="50">
        <v>0</v>
      </c>
      <c r="I53" s="50">
        <v>3</v>
      </c>
      <c r="J53" s="50">
        <v>2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18</v>
      </c>
      <c r="P53" s="15">
        <f t="shared" si="1"/>
        <v>52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9</v>
      </c>
      <c r="F54" s="50">
        <v>4</v>
      </c>
      <c r="G54" s="50">
        <v>0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27</v>
      </c>
      <c r="N54" s="50">
        <v>0</v>
      </c>
      <c r="O54" s="15">
        <f t="shared" si="0"/>
        <v>19</v>
      </c>
      <c r="P54" s="15">
        <f t="shared" si="1"/>
        <v>46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0</v>
      </c>
      <c r="E55" s="50">
        <v>4</v>
      </c>
      <c r="F55" s="50">
        <v>3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25</v>
      </c>
      <c r="N55" s="50">
        <v>0</v>
      </c>
      <c r="O55" s="15">
        <f t="shared" si="0"/>
        <v>14</v>
      </c>
      <c r="P55" s="15">
        <f t="shared" si="1"/>
        <v>39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3</v>
      </c>
      <c r="F56" s="50">
        <v>3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9</v>
      </c>
      <c r="P56" s="15">
        <f t="shared" si="1"/>
        <v>31</v>
      </c>
      <c r="R56" s="8"/>
      <c r="T56"/>
    </row>
    <row r="57" spans="2:20" ht="23.1" customHeight="1" x14ac:dyDescent="0.25">
      <c r="B57" s="45" t="s">
        <v>84</v>
      </c>
      <c r="C57" s="50">
        <v>7</v>
      </c>
      <c r="D57" s="50">
        <v>0</v>
      </c>
      <c r="E57" s="50">
        <v>4</v>
      </c>
      <c r="F57" s="50">
        <v>6</v>
      </c>
      <c r="G57" s="50">
        <v>0</v>
      </c>
      <c r="H57" s="50">
        <v>0</v>
      </c>
      <c r="I57" s="50">
        <v>4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21</v>
      </c>
      <c r="P57" s="15">
        <f t="shared" si="1"/>
        <v>49</v>
      </c>
      <c r="R57" s="8"/>
      <c r="T57"/>
    </row>
    <row r="58" spans="2:20" ht="23.1" customHeight="1" x14ac:dyDescent="0.25">
      <c r="B58" s="45" t="s">
        <v>99</v>
      </c>
      <c r="C58" s="50">
        <v>7</v>
      </c>
      <c r="D58" s="50">
        <v>0</v>
      </c>
      <c r="E58" s="50">
        <v>7</v>
      </c>
      <c r="F58" s="50">
        <v>4</v>
      </c>
      <c r="G58" s="50">
        <v>0</v>
      </c>
      <c r="H58" s="50">
        <v>0</v>
      </c>
      <c r="I58" s="50">
        <v>8</v>
      </c>
      <c r="J58" s="50">
        <v>0</v>
      </c>
      <c r="K58" s="50">
        <v>0</v>
      </c>
      <c r="L58" s="50">
        <v>0</v>
      </c>
      <c r="M58" s="50">
        <v>32</v>
      </c>
      <c r="N58" s="50">
        <v>0</v>
      </c>
      <c r="O58" s="15">
        <f t="shared" si="0"/>
        <v>26</v>
      </c>
      <c r="P58" s="15">
        <f t="shared" si="1"/>
        <v>58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5</v>
      </c>
      <c r="F59" s="50">
        <v>3</v>
      </c>
      <c r="G59" s="50">
        <v>0</v>
      </c>
      <c r="H59" s="50">
        <v>0</v>
      </c>
      <c r="I59" s="50">
        <v>8</v>
      </c>
      <c r="J59" s="50">
        <v>0</v>
      </c>
      <c r="K59" s="50">
        <v>0</v>
      </c>
      <c r="L59" s="50">
        <v>0</v>
      </c>
      <c r="M59" s="50">
        <v>15</v>
      </c>
      <c r="N59" s="50">
        <v>0</v>
      </c>
      <c r="O59" s="15">
        <f t="shared" si="0"/>
        <v>19</v>
      </c>
      <c r="P59" s="15">
        <f t="shared" si="1"/>
        <v>34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0</v>
      </c>
      <c r="E60" s="50">
        <v>4</v>
      </c>
      <c r="F60" s="50">
        <v>2</v>
      </c>
      <c r="G60" s="50">
        <v>0</v>
      </c>
      <c r="H60" s="50">
        <v>1</v>
      </c>
      <c r="I60" s="50">
        <v>5</v>
      </c>
      <c r="J60" s="50">
        <v>0</v>
      </c>
      <c r="K60" s="50">
        <v>0</v>
      </c>
      <c r="L60" s="50">
        <v>0</v>
      </c>
      <c r="M60" s="50">
        <v>30</v>
      </c>
      <c r="N60" s="50">
        <v>0</v>
      </c>
      <c r="O60" s="15">
        <f t="shared" si="0"/>
        <v>16</v>
      </c>
      <c r="P60" s="15">
        <f t="shared" si="1"/>
        <v>46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10</v>
      </c>
      <c r="F61" s="50">
        <v>1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24</v>
      </c>
      <c r="N61" s="50">
        <v>0</v>
      </c>
      <c r="O61" s="15">
        <f t="shared" si="0"/>
        <v>17</v>
      </c>
      <c r="P61" s="15">
        <f t="shared" si="1"/>
        <v>41</v>
      </c>
      <c r="R61" s="8"/>
      <c r="T61"/>
    </row>
    <row r="62" spans="2:20" ht="23.1" customHeight="1" x14ac:dyDescent="0.25">
      <c r="B62" s="45" t="s">
        <v>107</v>
      </c>
      <c r="C62" s="50">
        <v>8</v>
      </c>
      <c r="D62" s="50">
        <v>0</v>
      </c>
      <c r="E62" s="50">
        <v>8</v>
      </c>
      <c r="F62" s="50">
        <v>2</v>
      </c>
      <c r="G62" s="50">
        <v>0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17</v>
      </c>
      <c r="N62" s="50">
        <v>0</v>
      </c>
      <c r="O62" s="15">
        <f t="shared" si="0"/>
        <v>22</v>
      </c>
      <c r="P62" s="15">
        <f t="shared" si="1"/>
        <v>39</v>
      </c>
      <c r="R62" s="8"/>
      <c r="T62"/>
    </row>
    <row r="63" spans="2:20" ht="23.1" customHeight="1" x14ac:dyDescent="0.25">
      <c r="B63" s="45" t="s">
        <v>108</v>
      </c>
      <c r="C63" s="50">
        <v>4</v>
      </c>
      <c r="D63" s="50">
        <v>0</v>
      </c>
      <c r="E63" s="50">
        <v>8</v>
      </c>
      <c r="F63" s="50">
        <v>2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18</v>
      </c>
      <c r="N63" s="50">
        <v>0</v>
      </c>
      <c r="O63" s="15">
        <f t="shared" si="0"/>
        <v>18</v>
      </c>
      <c r="P63" s="15">
        <f t="shared" si="1"/>
        <v>36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6</v>
      </c>
      <c r="F64" s="50">
        <v>1</v>
      </c>
      <c r="G64" s="50">
        <v>0</v>
      </c>
      <c r="H64" s="50">
        <v>0</v>
      </c>
      <c r="I64" s="50">
        <v>11</v>
      </c>
      <c r="J64" s="50">
        <v>1</v>
      </c>
      <c r="K64" s="50">
        <v>0</v>
      </c>
      <c r="L64" s="50">
        <v>0</v>
      </c>
      <c r="M64" s="50">
        <v>13</v>
      </c>
      <c r="N64" s="50">
        <v>0</v>
      </c>
      <c r="O64" s="15">
        <f t="shared" si="0"/>
        <v>22</v>
      </c>
      <c r="P64" s="15">
        <f t="shared" si="1"/>
        <v>35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4</v>
      </c>
      <c r="F65" s="50">
        <v>0</v>
      </c>
      <c r="G65" s="50">
        <v>0</v>
      </c>
      <c r="H65" s="50">
        <v>0</v>
      </c>
      <c r="I65" s="50">
        <v>6</v>
      </c>
      <c r="J65" s="50">
        <v>1</v>
      </c>
      <c r="K65" s="50">
        <v>0</v>
      </c>
      <c r="L65" s="50">
        <v>0</v>
      </c>
      <c r="M65" s="50">
        <v>15</v>
      </c>
      <c r="N65" s="50">
        <v>0</v>
      </c>
      <c r="O65" s="15">
        <f t="shared" si="0"/>
        <v>14</v>
      </c>
      <c r="P65" s="15">
        <f t="shared" si="1"/>
        <v>29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3</v>
      </c>
      <c r="F66" s="50">
        <v>4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16</v>
      </c>
      <c r="N66" s="50">
        <v>0</v>
      </c>
      <c r="O66" s="15">
        <f t="shared" si="0"/>
        <v>13</v>
      </c>
      <c r="P66" s="15">
        <f t="shared" si="1"/>
        <v>29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0</v>
      </c>
      <c r="E67" s="50">
        <v>3</v>
      </c>
      <c r="F67" s="50">
        <v>0</v>
      </c>
      <c r="G67" s="50">
        <v>0</v>
      </c>
      <c r="H67" s="50">
        <v>0</v>
      </c>
      <c r="I67" s="50">
        <v>6</v>
      </c>
      <c r="J67" s="50">
        <v>1</v>
      </c>
      <c r="K67" s="50">
        <v>1</v>
      </c>
      <c r="L67" s="50">
        <v>0</v>
      </c>
      <c r="M67" s="50">
        <v>7</v>
      </c>
      <c r="N67" s="50">
        <v>0</v>
      </c>
      <c r="O67" s="15">
        <f t="shared" si="0"/>
        <v>16</v>
      </c>
      <c r="P67" s="15">
        <f t="shared" si="1"/>
        <v>23</v>
      </c>
      <c r="R67" s="8"/>
      <c r="T67"/>
    </row>
    <row r="68" spans="2:20" ht="23.1" customHeight="1" x14ac:dyDescent="0.25">
      <c r="B68" s="45" t="s">
        <v>105</v>
      </c>
      <c r="C68" s="50">
        <v>4</v>
      </c>
      <c r="D68" s="50">
        <v>0</v>
      </c>
      <c r="E68" s="50">
        <v>4</v>
      </c>
      <c r="F68" s="50">
        <v>0</v>
      </c>
      <c r="G68" s="50">
        <v>0</v>
      </c>
      <c r="H68" s="50">
        <v>0</v>
      </c>
      <c r="I68" s="50">
        <v>4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12</v>
      </c>
      <c r="P68" s="15">
        <f t="shared" si="1"/>
        <v>18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3</v>
      </c>
      <c r="F69" s="50">
        <v>2</v>
      </c>
      <c r="G69" s="50">
        <v>0</v>
      </c>
      <c r="H69" s="50">
        <v>0</v>
      </c>
      <c r="I69" s="50">
        <v>10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17</v>
      </c>
      <c r="P69" s="15">
        <f t="shared" si="1"/>
        <v>23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5</v>
      </c>
      <c r="F70" s="50">
        <v>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16</v>
      </c>
      <c r="N70" s="50">
        <v>0</v>
      </c>
      <c r="O70" s="15">
        <f t="shared" si="0"/>
        <v>10</v>
      </c>
      <c r="P70" s="15">
        <f t="shared" si="1"/>
        <v>26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6</v>
      </c>
      <c r="J71" s="50">
        <v>0</v>
      </c>
      <c r="K71" s="50">
        <v>0</v>
      </c>
      <c r="L71" s="50">
        <v>0</v>
      </c>
      <c r="M71" s="50">
        <v>7</v>
      </c>
      <c r="N71" s="50">
        <v>0</v>
      </c>
      <c r="O71" s="15">
        <f t="shared" si="0"/>
        <v>10</v>
      </c>
      <c r="P71" s="15">
        <f t="shared" si="1"/>
        <v>17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1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6</v>
      </c>
      <c r="N72" s="50">
        <v>0</v>
      </c>
      <c r="O72" s="15">
        <f t="shared" si="0"/>
        <v>4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4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5</v>
      </c>
      <c r="P73" s="15">
        <f t="shared" si="1"/>
        <v>7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0</v>
      </c>
      <c r="E74" s="50">
        <v>1</v>
      </c>
      <c r="F74" s="50">
        <v>0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ref="O74:O105" si="35">SUM(C74:L74,N74)</f>
        <v>5</v>
      </c>
      <c r="P74" s="15">
        <f t="shared" ref="P74:P105" si="36">SUM(C74:N74)</f>
        <v>8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2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1</v>
      </c>
      <c r="L76" s="50">
        <v>0</v>
      </c>
      <c r="M76" s="50">
        <v>4</v>
      </c>
      <c r="N76" s="50">
        <v>0</v>
      </c>
      <c r="O76" s="15">
        <f t="shared" si="35"/>
        <v>3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5">
        <f t="shared" si="35"/>
        <v>3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4</v>
      </c>
      <c r="J78" s="50">
        <v>0</v>
      </c>
      <c r="K78" s="50">
        <v>0</v>
      </c>
      <c r="L78" s="50">
        <v>0</v>
      </c>
      <c r="M78" s="50">
        <v>4</v>
      </c>
      <c r="N78" s="50">
        <v>0</v>
      </c>
      <c r="O78" s="15">
        <f t="shared" si="35"/>
        <v>6</v>
      </c>
      <c r="P78" s="15">
        <f t="shared" si="36"/>
        <v>10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2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0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1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3</v>
      </c>
      <c r="N84" s="50">
        <v>0</v>
      </c>
      <c r="O84" s="15">
        <f t="shared" si="35"/>
        <v>1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2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2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2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2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1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3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1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2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2</v>
      </c>
      <c r="N94" s="50">
        <v>0</v>
      </c>
      <c r="O94" s="15">
        <f t="shared" si="35"/>
        <v>1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1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2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1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2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2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2</v>
      </c>
      <c r="P98" s="15">
        <f t="shared" si="36"/>
        <v>3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2</v>
      </c>
      <c r="P99" s="15">
        <f t="shared" si="36"/>
        <v>3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1</v>
      </c>
      <c r="F100" s="50">
        <v>2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12</v>
      </c>
      <c r="N100" s="50">
        <v>0</v>
      </c>
      <c r="O100" s="15">
        <f t="shared" si="35"/>
        <v>6</v>
      </c>
      <c r="P100" s="15">
        <f t="shared" si="36"/>
        <v>18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3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8</v>
      </c>
      <c r="N102" s="50">
        <v>0</v>
      </c>
      <c r="O102" s="15">
        <f t="shared" si="35"/>
        <v>3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4</v>
      </c>
      <c r="F103" s="50">
        <v>2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8</v>
      </c>
      <c r="P103" s="15">
        <f t="shared" si="36"/>
        <v>15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11</v>
      </c>
      <c r="N104" s="50">
        <v>0</v>
      </c>
      <c r="O104" s="15">
        <f t="shared" si="35"/>
        <v>4</v>
      </c>
      <c r="P104" s="15">
        <f t="shared" si="36"/>
        <v>15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5</v>
      </c>
      <c r="G105" s="50">
        <v>0</v>
      </c>
      <c r="H105" s="50">
        <v>0</v>
      </c>
      <c r="I105" s="50">
        <v>3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9</v>
      </c>
      <c r="P105" s="15">
        <f t="shared" si="36"/>
        <v>25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239</v>
      </c>
      <c r="D106" s="16">
        <f t="shared" ref="D106:P106" si="37">SUM(D10:D105)</f>
        <v>0</v>
      </c>
      <c r="E106" s="16">
        <f t="shared" si="37"/>
        <v>376</v>
      </c>
      <c r="F106" s="16">
        <f t="shared" si="37"/>
        <v>203</v>
      </c>
      <c r="G106" s="16">
        <f t="shared" si="37"/>
        <v>3</v>
      </c>
      <c r="H106" s="16">
        <f t="shared" si="37"/>
        <v>2</v>
      </c>
      <c r="I106" s="16">
        <f t="shared" si="37"/>
        <v>235</v>
      </c>
      <c r="J106" s="16">
        <f t="shared" si="37"/>
        <v>13</v>
      </c>
      <c r="K106" s="16">
        <f t="shared" si="37"/>
        <v>4</v>
      </c>
      <c r="L106" s="16">
        <f t="shared" si="37"/>
        <v>0</v>
      </c>
      <c r="M106" s="16">
        <f t="shared" si="37"/>
        <v>1642</v>
      </c>
      <c r="N106" s="16">
        <f t="shared" si="37"/>
        <v>0</v>
      </c>
      <c r="O106" s="16">
        <f t="shared" si="37"/>
        <v>1075</v>
      </c>
      <c r="P106" s="16">
        <f t="shared" si="37"/>
        <v>2717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8.7964666912035333E-2</v>
      </c>
      <c r="D107" s="43">
        <f t="shared" si="38"/>
        <v>0</v>
      </c>
      <c r="E107" s="43">
        <f t="shared" si="38"/>
        <v>0.13838792786161208</v>
      </c>
      <c r="F107" s="43">
        <f t="shared" si="38"/>
        <v>7.4714758925285243E-2</v>
      </c>
      <c r="G107" s="43">
        <f t="shared" si="38"/>
        <v>1.1041589988958411E-3</v>
      </c>
      <c r="H107" s="43">
        <f t="shared" si="38"/>
        <v>7.3610599926389399E-4</v>
      </c>
      <c r="I107" s="43">
        <f t="shared" si="38"/>
        <v>8.6492454913507544E-2</v>
      </c>
      <c r="J107" s="43">
        <f t="shared" si="38"/>
        <v>4.7846889952153108E-3</v>
      </c>
      <c r="K107" s="43">
        <f t="shared" si="38"/>
        <v>1.472211998527788E-3</v>
      </c>
      <c r="L107" s="43">
        <f t="shared" si="38"/>
        <v>0</v>
      </c>
      <c r="M107" s="43">
        <f t="shared" si="38"/>
        <v>0.60434302539565699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0.22232558139534883</v>
      </c>
      <c r="D108" s="44">
        <f t="shared" ref="D108:N108" si="39">D106/$O$106</f>
        <v>0</v>
      </c>
      <c r="E108" s="44">
        <f t="shared" si="39"/>
        <v>0.3497674418604651</v>
      </c>
      <c r="F108" s="44">
        <f t="shared" si="39"/>
        <v>0.18883720930232559</v>
      </c>
      <c r="G108" s="44">
        <f t="shared" si="39"/>
        <v>2.7906976744186047E-3</v>
      </c>
      <c r="H108" s="44">
        <f t="shared" si="39"/>
        <v>1.8604651162790699E-3</v>
      </c>
      <c r="I108" s="44">
        <f t="shared" si="39"/>
        <v>0.21860465116279071</v>
      </c>
      <c r="J108" s="44">
        <f t="shared" si="39"/>
        <v>1.2093023255813953E-2</v>
      </c>
      <c r="K108" s="44">
        <f t="shared" si="39"/>
        <v>3.7209302325581397E-3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4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Sironko-Mbale'!C3:G3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tr">
        <f>'22.08 Mbale-Sironko-24h'!G5:H5</f>
        <v>xxx</v>
      </c>
      <c r="H5" s="67"/>
      <c r="I5" s="14"/>
      <c r="J5" s="2" t="s">
        <v>5</v>
      </c>
      <c r="K5" s="66" t="str">
        <f>'22.08 Mbale-Sironko-24h'!K5:L5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Sironko-Mbale'!D6:E6</f>
        <v>Sironko</v>
      </c>
      <c r="E6" s="67"/>
      <c r="F6" s="2" t="s">
        <v>2</v>
      </c>
      <c r="G6" s="66" t="str">
        <f>'19.08 Sironko-Mbale'!G6:H6</f>
        <v>Mbale</v>
      </c>
      <c r="H6" s="67"/>
      <c r="J6" s="2" t="s">
        <v>21</v>
      </c>
      <c r="K6" s="66" t="str">
        <f>'22.08 Mbale-Sironko-24h'!K6:L6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3</v>
      </c>
      <c r="F10" s="50">
        <v>5</v>
      </c>
      <c r="G10" s="50">
        <v>3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31</v>
      </c>
      <c r="N10" s="50">
        <v>0</v>
      </c>
      <c r="O10" s="15">
        <v>14</v>
      </c>
      <c r="P10" s="15">
        <f t="shared" ref="P10:P57" si="0">SUM(C10:N10)</f>
        <v>45</v>
      </c>
      <c r="R10" s="1" t="s">
        <v>6</v>
      </c>
      <c r="S10" s="17">
        <f t="shared" ref="S10:AF10" si="1">SUM(C10:C13)</f>
        <v>8</v>
      </c>
      <c r="T10" s="17">
        <f t="shared" si="1"/>
        <v>2</v>
      </c>
      <c r="U10" s="17">
        <f t="shared" si="1"/>
        <v>14</v>
      </c>
      <c r="V10" s="17">
        <f t="shared" si="1"/>
        <v>13</v>
      </c>
      <c r="W10" s="17">
        <f t="shared" si="1"/>
        <v>3</v>
      </c>
      <c r="X10" s="17">
        <f t="shared" si="1"/>
        <v>0</v>
      </c>
      <c r="Y10" s="17">
        <f t="shared" si="1"/>
        <v>9</v>
      </c>
      <c r="Z10" s="17">
        <f t="shared" si="1"/>
        <v>0</v>
      </c>
      <c r="AA10" s="17">
        <f t="shared" si="1"/>
        <v>0</v>
      </c>
      <c r="AB10" s="17">
        <f t="shared" si="1"/>
        <v>0</v>
      </c>
      <c r="AC10" s="17">
        <f t="shared" si="1"/>
        <v>103</v>
      </c>
      <c r="AD10" s="17">
        <f t="shared" si="1"/>
        <v>0</v>
      </c>
      <c r="AE10" s="31">
        <f t="shared" si="1"/>
        <v>49</v>
      </c>
      <c r="AF10" s="31">
        <f t="shared" si="1"/>
        <v>152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4</v>
      </c>
      <c r="F11" s="50">
        <v>3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v>13</v>
      </c>
      <c r="P11" s="15">
        <f t="shared" si="0"/>
        <v>36</v>
      </c>
      <c r="R11" s="1" t="s">
        <v>7</v>
      </c>
      <c r="S11" s="17">
        <f t="shared" ref="S11:AF11" si="2">SUM(C14:C17)</f>
        <v>13</v>
      </c>
      <c r="T11" s="17">
        <f t="shared" si="2"/>
        <v>1</v>
      </c>
      <c r="U11" s="17">
        <f t="shared" si="2"/>
        <v>14</v>
      </c>
      <c r="V11" s="17">
        <f t="shared" si="2"/>
        <v>14</v>
      </c>
      <c r="W11" s="17">
        <f t="shared" si="2"/>
        <v>1</v>
      </c>
      <c r="X11" s="17">
        <f t="shared" si="2"/>
        <v>0</v>
      </c>
      <c r="Y11" s="17">
        <f t="shared" si="2"/>
        <v>5</v>
      </c>
      <c r="Z11" s="17">
        <f t="shared" si="2"/>
        <v>1</v>
      </c>
      <c r="AA11" s="17">
        <f t="shared" si="2"/>
        <v>0</v>
      </c>
      <c r="AB11" s="17">
        <f t="shared" si="2"/>
        <v>0</v>
      </c>
      <c r="AC11" s="17">
        <f t="shared" si="2"/>
        <v>101</v>
      </c>
      <c r="AD11" s="17">
        <f t="shared" si="2"/>
        <v>0</v>
      </c>
      <c r="AE11" s="31">
        <f t="shared" si="2"/>
        <v>49</v>
      </c>
      <c r="AF11" s="31">
        <f t="shared" si="2"/>
        <v>150</v>
      </c>
    </row>
    <row r="12" spans="2:32" ht="23.1" customHeight="1" x14ac:dyDescent="0.25">
      <c r="B12" s="23" t="s">
        <v>39</v>
      </c>
      <c r="C12" s="50">
        <v>2</v>
      </c>
      <c r="D12" s="50">
        <v>1</v>
      </c>
      <c r="E12" s="50">
        <v>4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23</v>
      </c>
      <c r="N12" s="50">
        <v>0</v>
      </c>
      <c r="O12" s="15">
        <v>10</v>
      </c>
      <c r="P12" s="15">
        <f t="shared" si="0"/>
        <v>33</v>
      </c>
      <c r="R12" s="1" t="s">
        <v>8</v>
      </c>
      <c r="S12" s="17">
        <f t="shared" ref="S12:AF12" si="3">SUM(C18:C21)</f>
        <v>10</v>
      </c>
      <c r="T12" s="17">
        <f t="shared" si="3"/>
        <v>2</v>
      </c>
      <c r="U12" s="17">
        <f t="shared" si="3"/>
        <v>13</v>
      </c>
      <c r="V12" s="17">
        <f t="shared" si="3"/>
        <v>6</v>
      </c>
      <c r="W12" s="17">
        <f t="shared" si="3"/>
        <v>1</v>
      </c>
      <c r="X12" s="17">
        <f t="shared" si="3"/>
        <v>0</v>
      </c>
      <c r="Y12" s="17">
        <f t="shared" si="3"/>
        <v>2</v>
      </c>
      <c r="Z12" s="17">
        <f t="shared" si="3"/>
        <v>0</v>
      </c>
      <c r="AA12" s="17">
        <f t="shared" si="3"/>
        <v>0</v>
      </c>
      <c r="AB12" s="17">
        <f t="shared" si="3"/>
        <v>0</v>
      </c>
      <c r="AC12" s="17">
        <f t="shared" si="3"/>
        <v>115</v>
      </c>
      <c r="AD12" s="17">
        <f t="shared" si="3"/>
        <v>0</v>
      </c>
      <c r="AE12" s="31">
        <f t="shared" si="3"/>
        <v>34</v>
      </c>
      <c r="AF12" s="31">
        <f t="shared" si="3"/>
        <v>149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3</v>
      </c>
      <c r="F13" s="50">
        <v>4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26</v>
      </c>
      <c r="N13" s="50">
        <v>0</v>
      </c>
      <c r="O13" s="15">
        <v>12</v>
      </c>
      <c r="P13" s="15">
        <f t="shared" si="0"/>
        <v>38</v>
      </c>
      <c r="R13" s="1" t="s">
        <v>9</v>
      </c>
      <c r="S13" s="17">
        <f t="shared" ref="S13:AF13" si="4">SUM(C22:C25)</f>
        <v>11</v>
      </c>
      <c r="T13" s="17">
        <f t="shared" si="4"/>
        <v>0</v>
      </c>
      <c r="U13" s="17">
        <f t="shared" si="4"/>
        <v>9</v>
      </c>
      <c r="V13" s="17">
        <f t="shared" si="4"/>
        <v>14</v>
      </c>
      <c r="W13" s="17">
        <f t="shared" si="4"/>
        <v>0</v>
      </c>
      <c r="X13" s="17">
        <f t="shared" si="4"/>
        <v>0</v>
      </c>
      <c r="Y13" s="17">
        <f t="shared" si="4"/>
        <v>7</v>
      </c>
      <c r="Z13" s="17">
        <f t="shared" si="4"/>
        <v>0</v>
      </c>
      <c r="AA13" s="17">
        <f t="shared" si="4"/>
        <v>0</v>
      </c>
      <c r="AB13" s="17">
        <f t="shared" si="4"/>
        <v>0</v>
      </c>
      <c r="AC13" s="17">
        <f t="shared" si="4"/>
        <v>113</v>
      </c>
      <c r="AD13" s="17">
        <f t="shared" si="4"/>
        <v>1</v>
      </c>
      <c r="AE13" s="31">
        <f t="shared" si="4"/>
        <v>42</v>
      </c>
      <c r="AF13" s="31">
        <f t="shared" si="4"/>
        <v>155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3</v>
      </c>
      <c r="F14" s="50">
        <v>6</v>
      </c>
      <c r="G14" s="50">
        <v>1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35</v>
      </c>
      <c r="N14" s="50">
        <v>0</v>
      </c>
      <c r="O14" s="15">
        <v>15</v>
      </c>
      <c r="P14" s="15">
        <f t="shared" si="0"/>
        <v>50</v>
      </c>
      <c r="R14" s="1" t="s">
        <v>10</v>
      </c>
      <c r="S14" s="17">
        <f t="shared" ref="S14:AF14" si="5">SUM(C26:C29)</f>
        <v>12</v>
      </c>
      <c r="T14" s="17">
        <f t="shared" si="5"/>
        <v>2</v>
      </c>
      <c r="U14" s="17">
        <f t="shared" si="5"/>
        <v>15</v>
      </c>
      <c r="V14" s="17">
        <f t="shared" si="5"/>
        <v>19</v>
      </c>
      <c r="W14" s="17">
        <f t="shared" si="5"/>
        <v>0</v>
      </c>
      <c r="X14" s="17">
        <f t="shared" si="5"/>
        <v>0</v>
      </c>
      <c r="Y14" s="17">
        <f t="shared" si="5"/>
        <v>11</v>
      </c>
      <c r="Z14" s="17">
        <f t="shared" si="5"/>
        <v>3</v>
      </c>
      <c r="AA14" s="17">
        <f t="shared" si="5"/>
        <v>0</v>
      </c>
      <c r="AB14" s="17">
        <f t="shared" si="5"/>
        <v>0</v>
      </c>
      <c r="AC14" s="17">
        <f t="shared" si="5"/>
        <v>129</v>
      </c>
      <c r="AD14" s="17">
        <f t="shared" si="5"/>
        <v>0</v>
      </c>
      <c r="AE14" s="31">
        <f t="shared" si="5"/>
        <v>62</v>
      </c>
      <c r="AF14" s="31">
        <f t="shared" si="5"/>
        <v>191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3</v>
      </c>
      <c r="F15" s="50">
        <v>1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v>7</v>
      </c>
      <c r="P15" s="15">
        <f t="shared" si="0"/>
        <v>22</v>
      </c>
      <c r="R15" s="1" t="s">
        <v>11</v>
      </c>
      <c r="S15" s="17">
        <f t="shared" ref="S15:AF15" si="6">SUM(C30:C33)</f>
        <v>17</v>
      </c>
      <c r="T15" s="17">
        <f t="shared" si="6"/>
        <v>5</v>
      </c>
      <c r="U15" s="17">
        <f t="shared" si="6"/>
        <v>21</v>
      </c>
      <c r="V15" s="17">
        <f t="shared" si="6"/>
        <v>19</v>
      </c>
      <c r="W15" s="17">
        <f t="shared" si="6"/>
        <v>0</v>
      </c>
      <c r="X15" s="17">
        <f t="shared" si="6"/>
        <v>0</v>
      </c>
      <c r="Y15" s="17">
        <f t="shared" si="6"/>
        <v>16</v>
      </c>
      <c r="Z15" s="17">
        <f t="shared" si="6"/>
        <v>2</v>
      </c>
      <c r="AA15" s="17">
        <f t="shared" si="6"/>
        <v>0</v>
      </c>
      <c r="AB15" s="17">
        <f t="shared" si="6"/>
        <v>0</v>
      </c>
      <c r="AC15" s="17">
        <f t="shared" si="6"/>
        <v>134</v>
      </c>
      <c r="AD15" s="17">
        <f t="shared" si="6"/>
        <v>0</v>
      </c>
      <c r="AE15" s="31">
        <f t="shared" si="6"/>
        <v>80</v>
      </c>
      <c r="AF15" s="31">
        <f t="shared" si="6"/>
        <v>214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22</v>
      </c>
      <c r="N16" s="50">
        <v>0</v>
      </c>
      <c r="O16" s="15">
        <v>10</v>
      </c>
      <c r="P16" s="15">
        <f t="shared" si="0"/>
        <v>32</v>
      </c>
      <c r="R16" s="1" t="s">
        <v>12</v>
      </c>
      <c r="S16" s="17">
        <f t="shared" ref="S16:AF16" si="7">SUM(C34:C37)</f>
        <v>13</v>
      </c>
      <c r="T16" s="17">
        <f t="shared" si="7"/>
        <v>9</v>
      </c>
      <c r="U16" s="17">
        <f t="shared" si="7"/>
        <v>36</v>
      </c>
      <c r="V16" s="17">
        <f t="shared" si="7"/>
        <v>10</v>
      </c>
      <c r="W16" s="17">
        <f t="shared" si="7"/>
        <v>0</v>
      </c>
      <c r="X16" s="17">
        <f t="shared" si="7"/>
        <v>0</v>
      </c>
      <c r="Y16" s="17">
        <f t="shared" si="7"/>
        <v>9</v>
      </c>
      <c r="Z16" s="17">
        <f t="shared" si="7"/>
        <v>0</v>
      </c>
      <c r="AA16" s="17">
        <f t="shared" si="7"/>
        <v>0</v>
      </c>
      <c r="AB16" s="17">
        <f t="shared" si="7"/>
        <v>0</v>
      </c>
      <c r="AC16" s="17">
        <f t="shared" si="7"/>
        <v>134</v>
      </c>
      <c r="AD16" s="17">
        <f t="shared" si="7"/>
        <v>0</v>
      </c>
      <c r="AE16" s="31">
        <f t="shared" si="7"/>
        <v>77</v>
      </c>
      <c r="AF16" s="31">
        <f t="shared" si="7"/>
        <v>211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6</v>
      </c>
      <c r="F17" s="50">
        <v>5</v>
      </c>
      <c r="G17" s="50">
        <v>0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29</v>
      </c>
      <c r="N17" s="50">
        <v>0</v>
      </c>
      <c r="O17" s="15">
        <v>17</v>
      </c>
      <c r="P17" s="15">
        <f t="shared" si="0"/>
        <v>46</v>
      </c>
      <c r="R17" s="1" t="s">
        <v>13</v>
      </c>
      <c r="S17" s="17">
        <f t="shared" ref="S17:AF17" si="8">SUM(C38:C41)</f>
        <v>17</v>
      </c>
      <c r="T17" s="17">
        <f t="shared" si="8"/>
        <v>3</v>
      </c>
      <c r="U17" s="17">
        <f t="shared" si="8"/>
        <v>17</v>
      </c>
      <c r="V17" s="17">
        <f t="shared" si="8"/>
        <v>9</v>
      </c>
      <c r="W17" s="17">
        <f t="shared" si="8"/>
        <v>0</v>
      </c>
      <c r="X17" s="17">
        <f t="shared" si="8"/>
        <v>1</v>
      </c>
      <c r="Y17" s="17">
        <f t="shared" si="8"/>
        <v>7</v>
      </c>
      <c r="Z17" s="17">
        <f t="shared" si="8"/>
        <v>0</v>
      </c>
      <c r="AA17" s="17">
        <f t="shared" si="8"/>
        <v>0</v>
      </c>
      <c r="AB17" s="17">
        <f t="shared" si="8"/>
        <v>0</v>
      </c>
      <c r="AC17" s="17">
        <f t="shared" si="8"/>
        <v>118</v>
      </c>
      <c r="AD17" s="17">
        <f t="shared" si="8"/>
        <v>0</v>
      </c>
      <c r="AE17" s="31">
        <f t="shared" si="8"/>
        <v>54</v>
      </c>
      <c r="AF17" s="31">
        <f t="shared" si="8"/>
        <v>172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27</v>
      </c>
      <c r="N18" s="50">
        <v>0</v>
      </c>
      <c r="O18" s="15">
        <v>5</v>
      </c>
      <c r="P18" s="15">
        <f t="shared" si="0"/>
        <v>32</v>
      </c>
      <c r="R18" s="1" t="s">
        <v>14</v>
      </c>
      <c r="S18" s="17">
        <f t="shared" ref="S18:AF18" si="9">SUM(C42:C45)</f>
        <v>17</v>
      </c>
      <c r="T18" s="17">
        <f t="shared" si="9"/>
        <v>5</v>
      </c>
      <c r="U18" s="17">
        <f t="shared" si="9"/>
        <v>24</v>
      </c>
      <c r="V18" s="17">
        <f t="shared" si="9"/>
        <v>16</v>
      </c>
      <c r="W18" s="17">
        <f t="shared" si="9"/>
        <v>0</v>
      </c>
      <c r="X18" s="17">
        <f t="shared" si="9"/>
        <v>1</v>
      </c>
      <c r="Y18" s="17">
        <f t="shared" si="9"/>
        <v>11</v>
      </c>
      <c r="Z18" s="17">
        <f t="shared" si="9"/>
        <v>0</v>
      </c>
      <c r="AA18" s="17">
        <f t="shared" si="9"/>
        <v>0</v>
      </c>
      <c r="AB18" s="17">
        <f t="shared" si="9"/>
        <v>0</v>
      </c>
      <c r="AC18" s="17">
        <f t="shared" si="9"/>
        <v>97</v>
      </c>
      <c r="AD18" s="17">
        <f t="shared" si="9"/>
        <v>0</v>
      </c>
      <c r="AE18" s="31">
        <f t="shared" si="9"/>
        <v>74</v>
      </c>
      <c r="AF18" s="31">
        <f t="shared" si="9"/>
        <v>171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5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30</v>
      </c>
      <c r="N19" s="50">
        <v>0</v>
      </c>
      <c r="O19" s="15">
        <v>8</v>
      </c>
      <c r="P19" s="15">
        <f t="shared" si="0"/>
        <v>38</v>
      </c>
      <c r="R19" s="1" t="s">
        <v>15</v>
      </c>
      <c r="S19" s="17">
        <f t="shared" ref="S19:AF19" si="10">SUM(C46:C49)</f>
        <v>16</v>
      </c>
      <c r="T19" s="17">
        <f t="shared" si="10"/>
        <v>4</v>
      </c>
      <c r="U19" s="17">
        <f t="shared" si="10"/>
        <v>20</v>
      </c>
      <c r="V19" s="17">
        <f t="shared" si="10"/>
        <v>10</v>
      </c>
      <c r="W19" s="17">
        <f t="shared" si="10"/>
        <v>3</v>
      </c>
      <c r="X19" s="17">
        <f t="shared" si="10"/>
        <v>0</v>
      </c>
      <c r="Y19" s="17">
        <f t="shared" si="10"/>
        <v>16</v>
      </c>
      <c r="Z19" s="17">
        <f t="shared" si="10"/>
        <v>1</v>
      </c>
      <c r="AA19" s="17">
        <f t="shared" si="10"/>
        <v>0</v>
      </c>
      <c r="AB19" s="17">
        <f t="shared" si="10"/>
        <v>0</v>
      </c>
      <c r="AC19" s="17">
        <f t="shared" si="10"/>
        <v>122</v>
      </c>
      <c r="AD19" s="17">
        <f t="shared" si="10"/>
        <v>0</v>
      </c>
      <c r="AE19" s="31">
        <f t="shared" si="10"/>
        <v>70</v>
      </c>
      <c r="AF19" s="31">
        <f t="shared" si="10"/>
        <v>192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4</v>
      </c>
      <c r="F20" s="50">
        <v>4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v>12</v>
      </c>
      <c r="P20" s="15">
        <f t="shared" si="0"/>
        <v>36</v>
      </c>
      <c r="R20" s="1" t="s">
        <v>16</v>
      </c>
      <c r="S20" s="17">
        <f t="shared" ref="S20:AF20" si="11">SUM(C50:C53)</f>
        <v>26</v>
      </c>
      <c r="T20" s="17">
        <f t="shared" si="11"/>
        <v>2</v>
      </c>
      <c r="U20" s="17">
        <f t="shared" si="11"/>
        <v>15</v>
      </c>
      <c r="V20" s="17">
        <f t="shared" si="11"/>
        <v>11</v>
      </c>
      <c r="W20" s="17">
        <f t="shared" si="11"/>
        <v>0</v>
      </c>
      <c r="X20" s="17">
        <f t="shared" si="11"/>
        <v>0</v>
      </c>
      <c r="Y20" s="17">
        <f t="shared" si="11"/>
        <v>19</v>
      </c>
      <c r="Z20" s="17">
        <f t="shared" si="11"/>
        <v>2</v>
      </c>
      <c r="AA20" s="17">
        <f t="shared" si="11"/>
        <v>0</v>
      </c>
      <c r="AB20" s="17">
        <f t="shared" si="11"/>
        <v>0</v>
      </c>
      <c r="AC20" s="17">
        <f t="shared" si="11"/>
        <v>179</v>
      </c>
      <c r="AD20" s="17">
        <f t="shared" si="11"/>
        <v>0</v>
      </c>
      <c r="AE20" s="31">
        <f t="shared" si="11"/>
        <v>75</v>
      </c>
      <c r="AF20" s="31">
        <f t="shared" si="11"/>
        <v>254</v>
      </c>
    </row>
    <row r="21" spans="2:32" ht="23.1" customHeight="1" x14ac:dyDescent="0.25">
      <c r="B21" s="23" t="s">
        <v>48</v>
      </c>
      <c r="C21" s="50">
        <v>5</v>
      </c>
      <c r="D21" s="50">
        <v>0</v>
      </c>
      <c r="E21" s="50">
        <v>2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34</v>
      </c>
      <c r="N21" s="50">
        <v>0</v>
      </c>
      <c r="O21" s="15">
        <v>9</v>
      </c>
      <c r="P21" s="15">
        <f t="shared" si="0"/>
        <v>43</v>
      </c>
      <c r="R21" s="36" t="s">
        <v>20</v>
      </c>
      <c r="S21" s="34">
        <f t="shared" ref="S21:AF21" si="12">SUM(C54:C57)</f>
        <v>14</v>
      </c>
      <c r="T21" s="17">
        <f t="shared" si="12"/>
        <v>2</v>
      </c>
      <c r="U21" s="17">
        <f t="shared" si="12"/>
        <v>15</v>
      </c>
      <c r="V21" s="17">
        <f t="shared" si="12"/>
        <v>10</v>
      </c>
      <c r="W21" s="17">
        <f t="shared" si="12"/>
        <v>0</v>
      </c>
      <c r="X21" s="17">
        <f t="shared" si="12"/>
        <v>0</v>
      </c>
      <c r="Y21" s="17">
        <f t="shared" si="12"/>
        <v>11</v>
      </c>
      <c r="Z21" s="17">
        <f t="shared" si="12"/>
        <v>0</v>
      </c>
      <c r="AA21" s="17">
        <f t="shared" si="12"/>
        <v>0</v>
      </c>
      <c r="AB21" s="17">
        <f t="shared" si="12"/>
        <v>0</v>
      </c>
      <c r="AC21" s="17">
        <f t="shared" si="12"/>
        <v>118</v>
      </c>
      <c r="AD21" s="17">
        <f t="shared" si="12"/>
        <v>0</v>
      </c>
      <c r="AE21" s="31">
        <f t="shared" si="12"/>
        <v>52</v>
      </c>
      <c r="AF21" s="31">
        <f t="shared" si="12"/>
        <v>170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3</v>
      </c>
      <c r="F22" s="50">
        <v>5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35</v>
      </c>
      <c r="N22" s="50">
        <v>0</v>
      </c>
      <c r="O22" s="15">
        <v>13</v>
      </c>
      <c r="P22" s="15">
        <f t="shared" si="0"/>
        <v>48</v>
      </c>
      <c r="R22" s="38" t="s">
        <v>90</v>
      </c>
      <c r="S22" s="39">
        <f>MAX(S10:S12)</f>
        <v>13</v>
      </c>
      <c r="T22" s="39">
        <f t="shared" ref="T22:AF22" si="13">MAX(T10:T12)</f>
        <v>2</v>
      </c>
      <c r="U22" s="39">
        <f t="shared" si="13"/>
        <v>14</v>
      </c>
      <c r="V22" s="39">
        <f t="shared" si="13"/>
        <v>14</v>
      </c>
      <c r="W22" s="39">
        <f t="shared" si="13"/>
        <v>3</v>
      </c>
      <c r="X22" s="39">
        <f t="shared" si="13"/>
        <v>0</v>
      </c>
      <c r="Y22" s="39">
        <f t="shared" si="13"/>
        <v>9</v>
      </c>
      <c r="Z22" s="39">
        <f t="shared" si="13"/>
        <v>1</v>
      </c>
      <c r="AA22" s="39">
        <f t="shared" si="13"/>
        <v>0</v>
      </c>
      <c r="AB22" s="39">
        <f t="shared" si="13"/>
        <v>0</v>
      </c>
      <c r="AC22" s="39">
        <f t="shared" si="13"/>
        <v>115</v>
      </c>
      <c r="AD22" s="39">
        <f t="shared" si="13"/>
        <v>0</v>
      </c>
      <c r="AE22" s="40">
        <f t="shared" si="13"/>
        <v>49</v>
      </c>
      <c r="AF22" s="40">
        <f t="shared" si="13"/>
        <v>152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2</v>
      </c>
      <c r="F23" s="50">
        <v>4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25</v>
      </c>
      <c r="N23" s="50">
        <v>0</v>
      </c>
      <c r="O23" s="15">
        <v>12</v>
      </c>
      <c r="P23" s="15">
        <f t="shared" si="0"/>
        <v>37</v>
      </c>
      <c r="R23" s="38" t="s">
        <v>91</v>
      </c>
      <c r="S23" s="39">
        <f>MAX(S13:S18)</f>
        <v>17</v>
      </c>
      <c r="T23" s="39">
        <f t="shared" ref="T23:AF23" si="14">MAX(T13:T18)</f>
        <v>9</v>
      </c>
      <c r="U23" s="39">
        <f t="shared" si="14"/>
        <v>36</v>
      </c>
      <c r="V23" s="39">
        <f t="shared" si="14"/>
        <v>19</v>
      </c>
      <c r="W23" s="39">
        <f t="shared" si="14"/>
        <v>0</v>
      </c>
      <c r="X23" s="39">
        <f t="shared" si="14"/>
        <v>1</v>
      </c>
      <c r="Y23" s="39">
        <f t="shared" si="14"/>
        <v>16</v>
      </c>
      <c r="Z23" s="39">
        <f t="shared" si="14"/>
        <v>3</v>
      </c>
      <c r="AA23" s="39">
        <f t="shared" si="14"/>
        <v>0</v>
      </c>
      <c r="AB23" s="39">
        <f t="shared" si="14"/>
        <v>0</v>
      </c>
      <c r="AC23" s="39">
        <f t="shared" si="14"/>
        <v>134</v>
      </c>
      <c r="AD23" s="39">
        <f t="shared" si="14"/>
        <v>1</v>
      </c>
      <c r="AE23" s="40">
        <f t="shared" si="14"/>
        <v>80</v>
      </c>
      <c r="AF23" s="40">
        <f t="shared" si="14"/>
        <v>214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25</v>
      </c>
      <c r="N24" s="50">
        <v>1</v>
      </c>
      <c r="O24" s="15">
        <v>8</v>
      </c>
      <c r="P24" s="15">
        <f t="shared" si="0"/>
        <v>33</v>
      </c>
      <c r="R24" s="38" t="s">
        <v>92</v>
      </c>
      <c r="S24" s="39">
        <f>MAX(S19:S21)</f>
        <v>26</v>
      </c>
      <c r="T24" s="39">
        <f t="shared" ref="T24:AF24" si="15">MAX(T19:T21)</f>
        <v>4</v>
      </c>
      <c r="U24" s="39">
        <f t="shared" si="15"/>
        <v>20</v>
      </c>
      <c r="V24" s="39">
        <f t="shared" si="15"/>
        <v>11</v>
      </c>
      <c r="W24" s="39">
        <f t="shared" si="15"/>
        <v>3</v>
      </c>
      <c r="X24" s="39">
        <f t="shared" si="15"/>
        <v>0</v>
      </c>
      <c r="Y24" s="39">
        <f t="shared" si="15"/>
        <v>19</v>
      </c>
      <c r="Z24" s="39">
        <f t="shared" si="15"/>
        <v>2</v>
      </c>
      <c r="AA24" s="39">
        <f t="shared" si="15"/>
        <v>0</v>
      </c>
      <c r="AB24" s="39">
        <f t="shared" si="15"/>
        <v>0</v>
      </c>
      <c r="AC24" s="39">
        <f t="shared" si="15"/>
        <v>179</v>
      </c>
      <c r="AD24" s="39">
        <f t="shared" si="15"/>
        <v>0</v>
      </c>
      <c r="AE24" s="40">
        <f t="shared" si="15"/>
        <v>75</v>
      </c>
      <c r="AF24" s="40">
        <f t="shared" si="15"/>
        <v>254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3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28</v>
      </c>
      <c r="N25" s="50">
        <v>0</v>
      </c>
      <c r="O25" s="15">
        <v>9</v>
      </c>
      <c r="P25" s="15">
        <f t="shared" si="0"/>
        <v>37</v>
      </c>
      <c r="R25" s="37" t="s">
        <v>85</v>
      </c>
      <c r="S25" s="35">
        <f t="shared" ref="S25:AF25" si="16">SUM(S10:S12)</f>
        <v>31</v>
      </c>
      <c r="T25" s="16">
        <f t="shared" si="16"/>
        <v>5</v>
      </c>
      <c r="U25" s="16">
        <f t="shared" si="16"/>
        <v>41</v>
      </c>
      <c r="V25" s="16">
        <f t="shared" si="16"/>
        <v>33</v>
      </c>
      <c r="W25" s="16">
        <f t="shared" si="16"/>
        <v>5</v>
      </c>
      <c r="X25" s="16">
        <f t="shared" si="16"/>
        <v>0</v>
      </c>
      <c r="Y25" s="16">
        <f t="shared" si="16"/>
        <v>16</v>
      </c>
      <c r="Z25" s="16">
        <f t="shared" si="16"/>
        <v>1</v>
      </c>
      <c r="AA25" s="16">
        <f t="shared" si="16"/>
        <v>0</v>
      </c>
      <c r="AB25" s="16">
        <f t="shared" si="16"/>
        <v>0</v>
      </c>
      <c r="AC25" s="16">
        <f t="shared" si="16"/>
        <v>319</v>
      </c>
      <c r="AD25" s="16">
        <f t="shared" si="16"/>
        <v>0</v>
      </c>
      <c r="AE25" s="32">
        <f t="shared" si="16"/>
        <v>132</v>
      </c>
      <c r="AF25" s="32">
        <f t="shared" si="16"/>
        <v>451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5</v>
      </c>
      <c r="F26" s="50">
        <v>5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29</v>
      </c>
      <c r="N26" s="50">
        <v>0</v>
      </c>
      <c r="O26" s="15">
        <v>14</v>
      </c>
      <c r="P26" s="15">
        <f t="shared" si="0"/>
        <v>43</v>
      </c>
      <c r="R26" s="28" t="s">
        <v>86</v>
      </c>
      <c r="S26" s="16">
        <f t="shared" ref="S26:AF26" si="17">SUM(S13:S18)</f>
        <v>87</v>
      </c>
      <c r="T26" s="16">
        <f t="shared" si="17"/>
        <v>24</v>
      </c>
      <c r="U26" s="16">
        <f t="shared" si="17"/>
        <v>122</v>
      </c>
      <c r="V26" s="16">
        <f t="shared" si="17"/>
        <v>87</v>
      </c>
      <c r="W26" s="16">
        <f t="shared" si="17"/>
        <v>0</v>
      </c>
      <c r="X26" s="16">
        <f t="shared" si="17"/>
        <v>2</v>
      </c>
      <c r="Y26" s="16">
        <f t="shared" si="17"/>
        <v>61</v>
      </c>
      <c r="Z26" s="16">
        <f t="shared" si="17"/>
        <v>5</v>
      </c>
      <c r="AA26" s="16">
        <f t="shared" si="17"/>
        <v>0</v>
      </c>
      <c r="AB26" s="16">
        <f t="shared" si="17"/>
        <v>0</v>
      </c>
      <c r="AC26" s="16">
        <f t="shared" si="17"/>
        <v>725</v>
      </c>
      <c r="AD26" s="16">
        <f t="shared" si="17"/>
        <v>1</v>
      </c>
      <c r="AE26" s="32">
        <f t="shared" si="17"/>
        <v>389</v>
      </c>
      <c r="AF26" s="32">
        <f t="shared" si="17"/>
        <v>1114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3</v>
      </c>
      <c r="F27" s="50">
        <v>2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28</v>
      </c>
      <c r="N27" s="50">
        <v>0</v>
      </c>
      <c r="O27" s="15">
        <v>10</v>
      </c>
      <c r="P27" s="15">
        <f t="shared" si="0"/>
        <v>38</v>
      </c>
      <c r="R27" s="29" t="s">
        <v>87</v>
      </c>
      <c r="S27" s="16">
        <f t="shared" ref="S27:AF27" si="18">SUM(S19:S21)</f>
        <v>56</v>
      </c>
      <c r="T27" s="16">
        <f t="shared" si="18"/>
        <v>8</v>
      </c>
      <c r="U27" s="16">
        <f t="shared" si="18"/>
        <v>50</v>
      </c>
      <c r="V27" s="16">
        <f t="shared" si="18"/>
        <v>31</v>
      </c>
      <c r="W27" s="16">
        <f t="shared" si="18"/>
        <v>3</v>
      </c>
      <c r="X27" s="16">
        <f t="shared" si="18"/>
        <v>0</v>
      </c>
      <c r="Y27" s="16">
        <f t="shared" si="18"/>
        <v>46</v>
      </c>
      <c r="Z27" s="16">
        <f t="shared" si="18"/>
        <v>3</v>
      </c>
      <c r="AA27" s="16">
        <f t="shared" si="18"/>
        <v>0</v>
      </c>
      <c r="AB27" s="16">
        <f t="shared" si="18"/>
        <v>0</v>
      </c>
      <c r="AC27" s="16">
        <f t="shared" si="18"/>
        <v>419</v>
      </c>
      <c r="AD27" s="16">
        <f t="shared" si="18"/>
        <v>0</v>
      </c>
      <c r="AE27" s="32">
        <f t="shared" si="18"/>
        <v>197</v>
      </c>
      <c r="AF27" s="32">
        <f t="shared" si="18"/>
        <v>616</v>
      </c>
    </row>
    <row r="28" spans="2:32" ht="23.1" customHeight="1" x14ac:dyDescent="0.25">
      <c r="B28" s="23" t="s">
        <v>55</v>
      </c>
      <c r="C28" s="50">
        <v>5</v>
      </c>
      <c r="D28" s="50">
        <v>1</v>
      </c>
      <c r="E28" s="50">
        <v>5</v>
      </c>
      <c r="F28" s="50">
        <v>6</v>
      </c>
      <c r="G28" s="50">
        <v>0</v>
      </c>
      <c r="H28" s="50">
        <v>0</v>
      </c>
      <c r="I28" s="50">
        <v>3</v>
      </c>
      <c r="J28" s="50">
        <v>3</v>
      </c>
      <c r="K28" s="50">
        <v>0</v>
      </c>
      <c r="L28" s="50">
        <v>0</v>
      </c>
      <c r="M28" s="50">
        <v>38</v>
      </c>
      <c r="N28" s="50">
        <v>0</v>
      </c>
      <c r="O28" s="15">
        <v>23</v>
      </c>
      <c r="P28" s="15">
        <f t="shared" si="0"/>
        <v>61</v>
      </c>
      <c r="R28" s="5" t="s">
        <v>17</v>
      </c>
      <c r="S28" s="16">
        <f t="shared" ref="S28:AF28" si="19">SUM(S10:S21)</f>
        <v>174</v>
      </c>
      <c r="T28" s="16">
        <f t="shared" si="19"/>
        <v>37</v>
      </c>
      <c r="U28" s="16">
        <f t="shared" si="19"/>
        <v>213</v>
      </c>
      <c r="V28" s="16">
        <f t="shared" si="19"/>
        <v>151</v>
      </c>
      <c r="W28" s="16">
        <f t="shared" si="19"/>
        <v>8</v>
      </c>
      <c r="X28" s="16">
        <f t="shared" si="19"/>
        <v>2</v>
      </c>
      <c r="Y28" s="16">
        <f t="shared" si="19"/>
        <v>123</v>
      </c>
      <c r="Z28" s="16">
        <f t="shared" si="19"/>
        <v>9</v>
      </c>
      <c r="AA28" s="16">
        <f t="shared" si="19"/>
        <v>0</v>
      </c>
      <c r="AB28" s="16">
        <f t="shared" si="19"/>
        <v>0</v>
      </c>
      <c r="AC28" s="16">
        <f t="shared" si="19"/>
        <v>1463</v>
      </c>
      <c r="AD28" s="16">
        <f t="shared" si="19"/>
        <v>1</v>
      </c>
      <c r="AE28" s="32">
        <f t="shared" si="19"/>
        <v>718</v>
      </c>
      <c r="AF28" s="32">
        <f t="shared" si="19"/>
        <v>2181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2</v>
      </c>
      <c r="F29" s="50">
        <v>6</v>
      </c>
      <c r="G29" s="50">
        <v>0</v>
      </c>
      <c r="H29" s="50">
        <v>0</v>
      </c>
      <c r="I29" s="50">
        <v>5</v>
      </c>
      <c r="J29" s="50">
        <v>0</v>
      </c>
      <c r="K29" s="50">
        <v>0</v>
      </c>
      <c r="L29" s="50">
        <v>0</v>
      </c>
      <c r="M29" s="50">
        <v>34</v>
      </c>
      <c r="N29" s="50">
        <v>0</v>
      </c>
      <c r="O29" s="15">
        <v>15</v>
      </c>
      <c r="P29" s="15">
        <f t="shared" si="0"/>
        <v>49</v>
      </c>
      <c r="R29"/>
      <c r="S29" s="20"/>
      <c r="T29" s="19"/>
    </row>
    <row r="30" spans="2:32" ht="23.1" customHeight="1" x14ac:dyDescent="0.25">
      <c r="B30" s="23" t="s">
        <v>57</v>
      </c>
      <c r="C30" s="50">
        <v>7</v>
      </c>
      <c r="D30" s="50">
        <v>2</v>
      </c>
      <c r="E30" s="50">
        <v>7</v>
      </c>
      <c r="F30" s="50">
        <v>4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39</v>
      </c>
      <c r="N30" s="50">
        <v>0</v>
      </c>
      <c r="O30" s="15">
        <v>25</v>
      </c>
      <c r="P30" s="15">
        <f t="shared" si="0"/>
        <v>64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6</v>
      </c>
      <c r="F31" s="50">
        <v>2</v>
      </c>
      <c r="G31" s="50">
        <v>0</v>
      </c>
      <c r="H31" s="50">
        <v>0</v>
      </c>
      <c r="I31" s="50">
        <v>9</v>
      </c>
      <c r="J31" s="50">
        <v>0</v>
      </c>
      <c r="K31" s="50">
        <v>0</v>
      </c>
      <c r="L31" s="50">
        <v>0</v>
      </c>
      <c r="M31" s="50">
        <v>29</v>
      </c>
      <c r="N31" s="50">
        <v>0</v>
      </c>
      <c r="O31" s="15">
        <v>22</v>
      </c>
      <c r="P31" s="15">
        <f t="shared" si="0"/>
        <v>51</v>
      </c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4</v>
      </c>
      <c r="F32" s="50">
        <v>7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0</v>
      </c>
      <c r="M32" s="50">
        <v>29</v>
      </c>
      <c r="N32" s="50">
        <v>0</v>
      </c>
      <c r="O32" s="15">
        <v>19</v>
      </c>
      <c r="P32" s="15">
        <f t="shared" si="0"/>
        <v>48</v>
      </c>
    </row>
    <row r="33" spans="2:20" ht="23.1" customHeight="1" x14ac:dyDescent="0.25">
      <c r="B33" s="23" t="s">
        <v>60</v>
      </c>
      <c r="C33" s="50">
        <v>2</v>
      </c>
      <c r="D33" s="50">
        <v>1</v>
      </c>
      <c r="E33" s="50">
        <v>4</v>
      </c>
      <c r="F33" s="50">
        <v>6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37</v>
      </c>
      <c r="N33" s="50">
        <v>0</v>
      </c>
      <c r="O33" s="15">
        <v>14</v>
      </c>
      <c r="P33" s="15">
        <f t="shared" si="0"/>
        <v>51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6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37</v>
      </c>
      <c r="N34" s="50">
        <v>0</v>
      </c>
      <c r="O34" s="15">
        <v>17</v>
      </c>
      <c r="P34" s="15">
        <f t="shared" si="0"/>
        <v>54</v>
      </c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7</v>
      </c>
      <c r="F35" s="50">
        <v>2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v>19</v>
      </c>
      <c r="P35" s="15">
        <f t="shared" si="0"/>
        <v>40</v>
      </c>
    </row>
    <row r="36" spans="2:20" ht="23.1" customHeight="1" x14ac:dyDescent="0.25">
      <c r="B36" s="24" t="s">
        <v>63</v>
      </c>
      <c r="C36" s="50">
        <v>1</v>
      </c>
      <c r="D36" s="50">
        <v>3</v>
      </c>
      <c r="E36" s="50">
        <v>11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36</v>
      </c>
      <c r="N36" s="50">
        <v>0</v>
      </c>
      <c r="O36" s="15">
        <v>18</v>
      </c>
      <c r="P36" s="15">
        <f t="shared" si="0"/>
        <v>54</v>
      </c>
    </row>
    <row r="37" spans="2:20" ht="23.1" customHeight="1" x14ac:dyDescent="0.25">
      <c r="B37" s="23" t="s">
        <v>64</v>
      </c>
      <c r="C37" s="50">
        <v>4</v>
      </c>
      <c r="D37" s="50">
        <v>3</v>
      </c>
      <c r="E37" s="50">
        <v>12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40</v>
      </c>
      <c r="N37" s="50">
        <v>0</v>
      </c>
      <c r="O37" s="15">
        <v>23</v>
      </c>
      <c r="P37" s="15">
        <f t="shared" si="0"/>
        <v>63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3</v>
      </c>
      <c r="F38" s="50">
        <v>4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32</v>
      </c>
      <c r="N38" s="50">
        <v>0</v>
      </c>
      <c r="O38" s="15">
        <v>10</v>
      </c>
      <c r="P38" s="15">
        <f t="shared" si="0"/>
        <v>42</v>
      </c>
    </row>
    <row r="39" spans="2:20" ht="23.1" customHeight="1" x14ac:dyDescent="0.25">
      <c r="B39" s="24" t="s">
        <v>66</v>
      </c>
      <c r="C39" s="50">
        <v>7</v>
      </c>
      <c r="D39" s="50">
        <v>1</v>
      </c>
      <c r="E39" s="50">
        <v>4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43</v>
      </c>
      <c r="N39" s="50">
        <v>0</v>
      </c>
      <c r="O39" s="15">
        <v>15</v>
      </c>
      <c r="P39" s="15">
        <f t="shared" si="0"/>
        <v>58</v>
      </c>
    </row>
    <row r="40" spans="2:20" ht="23.1" customHeight="1" x14ac:dyDescent="0.25">
      <c r="B40" s="24" t="s">
        <v>67</v>
      </c>
      <c r="C40" s="50">
        <v>5</v>
      </c>
      <c r="D40" s="50">
        <v>1</v>
      </c>
      <c r="E40" s="50">
        <v>4</v>
      </c>
      <c r="F40" s="50">
        <v>4</v>
      </c>
      <c r="G40" s="50">
        <v>0</v>
      </c>
      <c r="H40" s="50">
        <v>1</v>
      </c>
      <c r="I40" s="50">
        <v>1</v>
      </c>
      <c r="J40" s="50">
        <v>0</v>
      </c>
      <c r="K40" s="50">
        <v>0</v>
      </c>
      <c r="L40" s="50">
        <v>0</v>
      </c>
      <c r="M40" s="50">
        <v>28</v>
      </c>
      <c r="N40" s="50">
        <v>0</v>
      </c>
      <c r="O40" s="15">
        <v>16</v>
      </c>
      <c r="P40" s="15">
        <f t="shared" si="0"/>
        <v>44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6</v>
      </c>
      <c r="F41" s="50">
        <v>1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v>13</v>
      </c>
      <c r="P41" s="15">
        <f t="shared" si="0"/>
        <v>28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9</v>
      </c>
      <c r="F42" s="50">
        <v>2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v>20</v>
      </c>
      <c r="P42" s="15">
        <f t="shared" si="0"/>
        <v>37</v>
      </c>
    </row>
    <row r="43" spans="2:20" ht="23.1" customHeight="1" x14ac:dyDescent="0.25">
      <c r="B43" s="23" t="s">
        <v>70</v>
      </c>
      <c r="C43" s="50">
        <v>7</v>
      </c>
      <c r="D43" s="50">
        <v>1</v>
      </c>
      <c r="E43" s="50">
        <v>6</v>
      </c>
      <c r="F43" s="50">
        <v>3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26</v>
      </c>
      <c r="N43" s="50">
        <v>0</v>
      </c>
      <c r="O43" s="15">
        <v>18</v>
      </c>
      <c r="P43" s="15">
        <f t="shared" si="0"/>
        <v>44</v>
      </c>
    </row>
    <row r="44" spans="2:20" ht="23.1" customHeight="1" x14ac:dyDescent="0.25">
      <c r="B44" s="25" t="s">
        <v>71</v>
      </c>
      <c r="C44" s="50">
        <v>1</v>
      </c>
      <c r="D44" s="50">
        <v>2</v>
      </c>
      <c r="E44" s="50">
        <v>7</v>
      </c>
      <c r="F44" s="50">
        <v>5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26</v>
      </c>
      <c r="N44" s="50">
        <v>0</v>
      </c>
      <c r="O44" s="15">
        <v>19</v>
      </c>
      <c r="P44" s="15">
        <f t="shared" si="0"/>
        <v>45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2</v>
      </c>
      <c r="F45" s="50">
        <v>6</v>
      </c>
      <c r="G45" s="50">
        <v>0</v>
      </c>
      <c r="H45" s="50">
        <v>1</v>
      </c>
      <c r="I45" s="50">
        <v>3</v>
      </c>
      <c r="J45" s="50">
        <v>0</v>
      </c>
      <c r="K45" s="50">
        <v>0</v>
      </c>
      <c r="L45" s="50">
        <v>0</v>
      </c>
      <c r="M45" s="50">
        <v>28</v>
      </c>
      <c r="N45" s="50">
        <v>0</v>
      </c>
      <c r="O45" s="15">
        <v>17</v>
      </c>
      <c r="P45" s="15">
        <f t="shared" si="0"/>
        <v>45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5</v>
      </c>
      <c r="F46" s="50">
        <v>3</v>
      </c>
      <c r="G46" s="50">
        <v>0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50">
        <v>30</v>
      </c>
      <c r="N46" s="50">
        <v>0</v>
      </c>
      <c r="O46" s="15">
        <v>16</v>
      </c>
      <c r="P46" s="15">
        <f t="shared" si="0"/>
        <v>46</v>
      </c>
      <c r="R46" s="8"/>
      <c r="T46"/>
    </row>
    <row r="47" spans="2:20" ht="23.1" customHeight="1" x14ac:dyDescent="0.25">
      <c r="B47" s="24" t="s">
        <v>74</v>
      </c>
      <c r="C47" s="50">
        <v>8</v>
      </c>
      <c r="D47" s="50">
        <v>2</v>
      </c>
      <c r="E47" s="50">
        <v>8</v>
      </c>
      <c r="F47" s="50">
        <v>2</v>
      </c>
      <c r="G47" s="50">
        <v>0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20</v>
      </c>
      <c r="N47" s="50">
        <v>0</v>
      </c>
      <c r="O47" s="15">
        <v>24</v>
      </c>
      <c r="P47" s="15">
        <f t="shared" si="0"/>
        <v>44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1</v>
      </c>
      <c r="E48" s="50">
        <v>6</v>
      </c>
      <c r="F48" s="50">
        <v>3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38</v>
      </c>
      <c r="N48" s="50">
        <v>0</v>
      </c>
      <c r="O48" s="15">
        <v>20</v>
      </c>
      <c r="P48" s="15">
        <f t="shared" si="0"/>
        <v>58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1</v>
      </c>
      <c r="F49" s="50">
        <v>2</v>
      </c>
      <c r="G49" s="50">
        <v>3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34</v>
      </c>
      <c r="N49" s="50">
        <v>0</v>
      </c>
      <c r="O49" s="15">
        <v>10</v>
      </c>
      <c r="P49" s="15">
        <f t="shared" si="0"/>
        <v>44</v>
      </c>
      <c r="R49" s="8"/>
      <c r="T49"/>
    </row>
    <row r="50" spans="2:20" ht="23.1" customHeight="1" x14ac:dyDescent="0.25">
      <c r="B50" s="24" t="s">
        <v>77</v>
      </c>
      <c r="C50" s="50">
        <v>7</v>
      </c>
      <c r="D50" s="50">
        <v>0</v>
      </c>
      <c r="E50" s="50">
        <v>3</v>
      </c>
      <c r="F50" s="50">
        <v>3</v>
      </c>
      <c r="G50" s="50">
        <v>0</v>
      </c>
      <c r="H50" s="50">
        <v>0</v>
      </c>
      <c r="I50" s="50">
        <v>6</v>
      </c>
      <c r="J50" s="50">
        <v>0</v>
      </c>
      <c r="K50" s="50">
        <v>0</v>
      </c>
      <c r="L50" s="50">
        <v>0</v>
      </c>
      <c r="M50" s="50">
        <v>50</v>
      </c>
      <c r="N50" s="50">
        <v>0</v>
      </c>
      <c r="O50" s="15">
        <v>19</v>
      </c>
      <c r="P50" s="15">
        <f t="shared" si="0"/>
        <v>69</v>
      </c>
      <c r="R50" s="8"/>
      <c r="T50"/>
    </row>
    <row r="51" spans="2:20" ht="23.1" customHeight="1" x14ac:dyDescent="0.25">
      <c r="B51" s="24" t="s">
        <v>78</v>
      </c>
      <c r="C51" s="50">
        <v>4</v>
      </c>
      <c r="D51" s="50">
        <v>1</v>
      </c>
      <c r="E51" s="50">
        <v>5</v>
      </c>
      <c r="F51" s="50">
        <v>2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36</v>
      </c>
      <c r="N51" s="50">
        <v>0</v>
      </c>
      <c r="O51" s="15">
        <v>18</v>
      </c>
      <c r="P51" s="15">
        <f t="shared" si="0"/>
        <v>54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0</v>
      </c>
      <c r="E52" s="50">
        <v>3</v>
      </c>
      <c r="F52" s="50">
        <v>2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v>19</v>
      </c>
      <c r="P52" s="15">
        <f t="shared" si="0"/>
        <v>64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4</v>
      </c>
      <c r="F53" s="50">
        <v>4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48</v>
      </c>
      <c r="N53" s="50">
        <v>0</v>
      </c>
      <c r="O53" s="15">
        <v>19</v>
      </c>
      <c r="P53" s="15">
        <f t="shared" si="0"/>
        <v>67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5</v>
      </c>
      <c r="F54" s="50">
        <v>2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40</v>
      </c>
      <c r="N54" s="50">
        <v>0</v>
      </c>
      <c r="O54" s="15">
        <v>14</v>
      </c>
      <c r="P54" s="15">
        <f t="shared" si="0"/>
        <v>54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2</v>
      </c>
      <c r="F55" s="50">
        <v>2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29</v>
      </c>
      <c r="N55" s="50">
        <v>0</v>
      </c>
      <c r="O55" s="15">
        <v>11</v>
      </c>
      <c r="P55" s="15">
        <f t="shared" si="0"/>
        <v>40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3</v>
      </c>
      <c r="F56" s="50">
        <v>3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24</v>
      </c>
      <c r="N56" s="50">
        <v>0</v>
      </c>
      <c r="O56" s="15">
        <v>12</v>
      </c>
      <c r="P56" s="15">
        <f t="shared" si="0"/>
        <v>36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5</v>
      </c>
      <c r="F57" s="50">
        <v>3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25</v>
      </c>
      <c r="N57" s="50">
        <v>0</v>
      </c>
      <c r="O57" s="15">
        <v>15</v>
      </c>
      <c r="P57" s="15">
        <f t="shared" si="0"/>
        <v>40</v>
      </c>
      <c r="R57" s="8"/>
      <c r="T57"/>
    </row>
    <row r="58" spans="2:20" ht="23.1" customHeight="1" x14ac:dyDescent="0.25">
      <c r="B58" s="26" t="s">
        <v>18</v>
      </c>
      <c r="C58" s="16">
        <f t="shared" ref="C58:P58" si="20">SUM(C10:C57)</f>
        <v>174</v>
      </c>
      <c r="D58" s="16">
        <f t="shared" si="20"/>
        <v>37</v>
      </c>
      <c r="E58" s="16">
        <f t="shared" si="20"/>
        <v>213</v>
      </c>
      <c r="F58" s="16">
        <f t="shared" si="20"/>
        <v>151</v>
      </c>
      <c r="G58" s="16">
        <f t="shared" si="20"/>
        <v>8</v>
      </c>
      <c r="H58" s="16">
        <f t="shared" si="20"/>
        <v>2</v>
      </c>
      <c r="I58" s="16">
        <f t="shared" si="20"/>
        <v>123</v>
      </c>
      <c r="J58" s="16">
        <f t="shared" si="20"/>
        <v>9</v>
      </c>
      <c r="K58" s="16">
        <f t="shared" si="20"/>
        <v>0</v>
      </c>
      <c r="L58" s="16">
        <f t="shared" si="20"/>
        <v>0</v>
      </c>
      <c r="M58" s="16">
        <f t="shared" si="20"/>
        <v>1463</v>
      </c>
      <c r="N58" s="16">
        <f t="shared" si="20"/>
        <v>1</v>
      </c>
      <c r="O58" s="16">
        <f t="shared" si="20"/>
        <v>718</v>
      </c>
      <c r="P58" s="16">
        <f t="shared" si="20"/>
        <v>2181</v>
      </c>
      <c r="R58" s="8"/>
      <c r="T58"/>
    </row>
    <row r="59" spans="2:20" ht="23.1" customHeight="1" x14ac:dyDescent="0.25">
      <c r="B59" s="26" t="s">
        <v>93</v>
      </c>
      <c r="C59" s="43">
        <f t="shared" ref="C59:N59" si="21">C58/$P$58</f>
        <v>7.9779917469050887E-2</v>
      </c>
      <c r="D59" s="43">
        <f t="shared" si="21"/>
        <v>1.6964695093993582E-2</v>
      </c>
      <c r="E59" s="43">
        <f t="shared" si="21"/>
        <v>9.7661623108665746E-2</v>
      </c>
      <c r="F59" s="43">
        <f t="shared" si="21"/>
        <v>6.9234296194406242E-2</v>
      </c>
      <c r="G59" s="43">
        <f t="shared" si="21"/>
        <v>3.6680421824850985E-3</v>
      </c>
      <c r="H59" s="43">
        <f t="shared" si="21"/>
        <v>9.1701054562127462E-4</v>
      </c>
      <c r="I59" s="43">
        <f t="shared" si="21"/>
        <v>5.6396148555708389E-2</v>
      </c>
      <c r="J59" s="43">
        <f t="shared" si="21"/>
        <v>4.1265474552957355E-3</v>
      </c>
      <c r="K59" s="43">
        <f t="shared" si="21"/>
        <v>0</v>
      </c>
      <c r="L59" s="43">
        <f t="shared" si="21"/>
        <v>0</v>
      </c>
      <c r="M59" s="43">
        <f t="shared" si="21"/>
        <v>0.67079321412196236</v>
      </c>
      <c r="N59" s="43">
        <f t="shared" si="21"/>
        <v>4.5850527281063731E-4</v>
      </c>
      <c r="R59" s="8"/>
      <c r="T59"/>
    </row>
    <row r="60" spans="2:20" ht="23.1" customHeight="1" x14ac:dyDescent="0.25">
      <c r="B60" s="42" t="s">
        <v>94</v>
      </c>
      <c r="C60" s="44">
        <f>C58/$O$58</f>
        <v>0.24233983286908078</v>
      </c>
      <c r="D60" s="44">
        <f t="shared" ref="D60:N60" si="22">D58/$O$58</f>
        <v>5.1532033426183843E-2</v>
      </c>
      <c r="E60" s="44">
        <f t="shared" si="22"/>
        <v>0.2966573816155989</v>
      </c>
      <c r="F60" s="44">
        <f t="shared" si="22"/>
        <v>0.21030640668523676</v>
      </c>
      <c r="G60" s="44">
        <f t="shared" si="22"/>
        <v>1.1142061281337047E-2</v>
      </c>
      <c r="H60" s="44">
        <f t="shared" si="22"/>
        <v>2.7855153203342618E-3</v>
      </c>
      <c r="I60" s="44">
        <f t="shared" si="22"/>
        <v>0.1713091922005571</v>
      </c>
      <c r="J60" s="44">
        <f t="shared" si="22"/>
        <v>1.2534818941504178E-2</v>
      </c>
      <c r="K60" s="44">
        <f t="shared" si="22"/>
        <v>0</v>
      </c>
      <c r="L60" s="44">
        <f t="shared" si="22"/>
        <v>0</v>
      </c>
      <c r="M60" s="44"/>
      <c r="N60" s="44">
        <f t="shared" si="22"/>
        <v>1.3927576601671309E-3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topLeftCell="C50" zoomScale="60" workbookViewId="0">
      <selection activeCell="I13" sqref="I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'19.08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'25.08 Sironko-Mbale'!D5</f>
        <v>25.08.19</v>
      </c>
      <c r="E5" s="3"/>
      <c r="F5" s="41" t="s">
        <v>1</v>
      </c>
      <c r="G5" s="66" t="str">
        <f>'25.08 Sironko-Mbale'!G5:H5</f>
        <v>xxx</v>
      </c>
      <c r="H5" s="67"/>
      <c r="I5" s="14"/>
      <c r="J5" s="2" t="s">
        <v>5</v>
      </c>
      <c r="K5" s="66" t="str">
        <f>'25.08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'19.08 Mbale-Sironko'!D6:E6</f>
        <v>Mbale</v>
      </c>
      <c r="E6" s="67"/>
      <c r="F6" s="2" t="s">
        <v>2</v>
      </c>
      <c r="G6" s="66" t="str">
        <f>'19.08 Mbale-Sironko'!G6:H6</f>
        <v>Sironko</v>
      </c>
      <c r="H6" s="67"/>
      <c r="J6" s="2" t="s">
        <v>21</v>
      </c>
      <c r="K6" s="66" t="str">
        <f>'25.08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3</v>
      </c>
      <c r="F10" s="50">
        <v>2</v>
      </c>
      <c r="G10" s="50">
        <v>0</v>
      </c>
      <c r="H10" s="50">
        <v>0</v>
      </c>
      <c r="I10" s="50">
        <v>4</v>
      </c>
      <c r="J10" s="50">
        <v>0</v>
      </c>
      <c r="K10" s="50">
        <v>0</v>
      </c>
      <c r="L10" s="50">
        <v>1</v>
      </c>
      <c r="M10" s="50">
        <v>10</v>
      </c>
      <c r="N10" s="50">
        <v>0</v>
      </c>
      <c r="O10" s="15">
        <f t="shared" ref="O10:O57" si="0">SUM(C10:L10,N10)</f>
        <v>12</v>
      </c>
      <c r="P10" s="15">
        <f t="shared" ref="P10:P57" si="1">SUM(C10:N10)</f>
        <v>22</v>
      </c>
      <c r="R10" s="1" t="s">
        <v>6</v>
      </c>
      <c r="S10" s="17">
        <f t="shared" ref="S10:AF10" si="2">SUM(C10:C13)</f>
        <v>8</v>
      </c>
      <c r="T10" s="17">
        <f t="shared" si="2"/>
        <v>1</v>
      </c>
      <c r="U10" s="17">
        <f t="shared" si="2"/>
        <v>13</v>
      </c>
      <c r="V10" s="17">
        <f t="shared" si="2"/>
        <v>9</v>
      </c>
      <c r="W10" s="17">
        <f t="shared" si="2"/>
        <v>0</v>
      </c>
      <c r="X10" s="17">
        <f t="shared" si="2"/>
        <v>0</v>
      </c>
      <c r="Y10" s="17">
        <f t="shared" si="2"/>
        <v>10</v>
      </c>
      <c r="Z10" s="17">
        <f t="shared" si="2"/>
        <v>0</v>
      </c>
      <c r="AA10" s="17">
        <f t="shared" si="2"/>
        <v>0</v>
      </c>
      <c r="AB10" s="17">
        <f t="shared" si="2"/>
        <v>5</v>
      </c>
      <c r="AC10" s="17">
        <f t="shared" si="2"/>
        <v>49</v>
      </c>
      <c r="AD10" s="17">
        <f t="shared" si="2"/>
        <v>0</v>
      </c>
      <c r="AE10" s="31">
        <f t="shared" si="2"/>
        <v>46</v>
      </c>
      <c r="AF10" s="31">
        <f t="shared" si="2"/>
        <v>95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3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2</v>
      </c>
      <c r="M11" s="50">
        <v>18</v>
      </c>
      <c r="N11" s="50">
        <v>0</v>
      </c>
      <c r="O11" s="15">
        <f t="shared" si="0"/>
        <v>9</v>
      </c>
      <c r="P11" s="15">
        <f t="shared" si="1"/>
        <v>27</v>
      </c>
      <c r="R11" s="1" t="s">
        <v>7</v>
      </c>
      <c r="S11" s="17">
        <f t="shared" ref="S11:AF11" si="3">SUM(C14:C17)</f>
        <v>9</v>
      </c>
      <c r="T11" s="17">
        <f t="shared" si="3"/>
        <v>0</v>
      </c>
      <c r="U11" s="17">
        <f t="shared" si="3"/>
        <v>8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1</v>
      </c>
      <c r="AB11" s="17">
        <f t="shared" si="3"/>
        <v>10</v>
      </c>
      <c r="AC11" s="17">
        <f t="shared" si="3"/>
        <v>75</v>
      </c>
      <c r="AD11" s="17">
        <f t="shared" si="3"/>
        <v>0</v>
      </c>
      <c r="AE11" s="31">
        <f t="shared" si="3"/>
        <v>42</v>
      </c>
      <c r="AF11" s="31">
        <f t="shared" si="3"/>
        <v>117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4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8</v>
      </c>
      <c r="P12" s="15">
        <f t="shared" si="1"/>
        <v>18</v>
      </c>
      <c r="R12" s="1" t="s">
        <v>8</v>
      </c>
      <c r="S12" s="17">
        <f t="shared" ref="S12:AF12" si="4">SUM(C18:C21)</f>
        <v>5</v>
      </c>
      <c r="T12" s="17">
        <f t="shared" si="4"/>
        <v>2</v>
      </c>
      <c r="U12" s="17">
        <f t="shared" si="4"/>
        <v>14</v>
      </c>
      <c r="V12" s="17">
        <f t="shared" si="4"/>
        <v>7</v>
      </c>
      <c r="W12" s="17">
        <f t="shared" si="4"/>
        <v>0</v>
      </c>
      <c r="X12" s="17">
        <f t="shared" si="4"/>
        <v>2</v>
      </c>
      <c r="Y12" s="17">
        <f t="shared" si="4"/>
        <v>12</v>
      </c>
      <c r="Z12" s="17">
        <f t="shared" si="4"/>
        <v>1</v>
      </c>
      <c r="AA12" s="17">
        <f t="shared" si="4"/>
        <v>0</v>
      </c>
      <c r="AB12" s="17">
        <f t="shared" si="4"/>
        <v>10</v>
      </c>
      <c r="AC12" s="17">
        <f t="shared" si="4"/>
        <v>104</v>
      </c>
      <c r="AD12" s="17">
        <f t="shared" si="4"/>
        <v>0</v>
      </c>
      <c r="AE12" s="31">
        <f t="shared" si="4"/>
        <v>53</v>
      </c>
      <c r="AF12" s="31">
        <f t="shared" si="4"/>
        <v>157</v>
      </c>
    </row>
    <row r="13" spans="2:32" ht="23.1" customHeight="1" x14ac:dyDescent="0.25">
      <c r="B13" s="23" t="s">
        <v>40</v>
      </c>
      <c r="C13" s="50">
        <v>5</v>
      </c>
      <c r="D13" s="50">
        <v>0</v>
      </c>
      <c r="E13" s="50">
        <v>3</v>
      </c>
      <c r="F13" s="50">
        <v>4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2</v>
      </c>
      <c r="M13" s="50">
        <v>11</v>
      </c>
      <c r="N13" s="50">
        <v>0</v>
      </c>
      <c r="O13" s="15">
        <f t="shared" si="0"/>
        <v>17</v>
      </c>
      <c r="P13" s="15">
        <f t="shared" si="1"/>
        <v>28</v>
      </c>
      <c r="R13" s="1" t="s">
        <v>9</v>
      </c>
      <c r="S13" s="17">
        <f t="shared" ref="S13:AF13" si="5">SUM(C22:C25)</f>
        <v>14</v>
      </c>
      <c r="T13" s="17">
        <f t="shared" si="5"/>
        <v>6</v>
      </c>
      <c r="U13" s="17">
        <f t="shared" si="5"/>
        <v>25</v>
      </c>
      <c r="V13" s="17">
        <f t="shared" si="5"/>
        <v>17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0</v>
      </c>
      <c r="AA13" s="17">
        <f t="shared" si="5"/>
        <v>0</v>
      </c>
      <c r="AB13" s="17">
        <f t="shared" si="5"/>
        <v>10</v>
      </c>
      <c r="AC13" s="17">
        <f t="shared" si="5"/>
        <v>137</v>
      </c>
      <c r="AD13" s="17">
        <f t="shared" si="5"/>
        <v>0</v>
      </c>
      <c r="AE13" s="31">
        <f t="shared" si="5"/>
        <v>90</v>
      </c>
      <c r="AF13" s="31">
        <f t="shared" si="5"/>
        <v>227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3</v>
      </c>
      <c r="F14" s="50">
        <v>1</v>
      </c>
      <c r="G14" s="50">
        <v>0</v>
      </c>
      <c r="H14" s="50">
        <v>0</v>
      </c>
      <c r="I14" s="50">
        <v>3</v>
      </c>
      <c r="J14" s="50">
        <v>0</v>
      </c>
      <c r="K14" s="50">
        <v>1</v>
      </c>
      <c r="L14" s="50">
        <v>2</v>
      </c>
      <c r="M14" s="50">
        <v>16</v>
      </c>
      <c r="N14" s="50">
        <v>0</v>
      </c>
      <c r="O14" s="15">
        <f t="shared" si="0"/>
        <v>11</v>
      </c>
      <c r="P14" s="15">
        <f t="shared" si="1"/>
        <v>27</v>
      </c>
      <c r="R14" s="1" t="s">
        <v>10</v>
      </c>
      <c r="S14" s="17">
        <f t="shared" ref="S14:AF14" si="6">SUM(C26:C29)</f>
        <v>19</v>
      </c>
      <c r="T14" s="17">
        <f t="shared" si="6"/>
        <v>4</v>
      </c>
      <c r="U14" s="17">
        <f t="shared" si="6"/>
        <v>22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0</v>
      </c>
      <c r="AA14" s="17">
        <f t="shared" si="6"/>
        <v>0</v>
      </c>
      <c r="AB14" s="17">
        <f t="shared" si="6"/>
        <v>11</v>
      </c>
      <c r="AC14" s="17">
        <f t="shared" si="6"/>
        <v>145</v>
      </c>
      <c r="AD14" s="17">
        <f t="shared" si="6"/>
        <v>0</v>
      </c>
      <c r="AE14" s="31">
        <f t="shared" si="6"/>
        <v>74</v>
      </c>
      <c r="AF14" s="31">
        <f t="shared" si="6"/>
        <v>219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2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20</v>
      </c>
      <c r="N15" s="50">
        <v>0</v>
      </c>
      <c r="O15" s="15">
        <f t="shared" si="0"/>
        <v>5</v>
      </c>
      <c r="P15" s="15">
        <f t="shared" si="1"/>
        <v>25</v>
      </c>
      <c r="R15" s="1" t="s">
        <v>11</v>
      </c>
      <c r="S15" s="17">
        <f t="shared" ref="S15:AF15" si="7">SUM(C30:C33)</f>
        <v>16</v>
      </c>
      <c r="T15" s="17">
        <f t="shared" si="7"/>
        <v>6</v>
      </c>
      <c r="U15" s="17">
        <f t="shared" si="7"/>
        <v>24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0</v>
      </c>
      <c r="AA15" s="17">
        <f t="shared" si="7"/>
        <v>0</v>
      </c>
      <c r="AB15" s="17">
        <f t="shared" si="7"/>
        <v>12</v>
      </c>
      <c r="AC15" s="17">
        <f t="shared" si="7"/>
        <v>131</v>
      </c>
      <c r="AD15" s="17">
        <f t="shared" si="7"/>
        <v>0</v>
      </c>
      <c r="AE15" s="31">
        <f t="shared" si="7"/>
        <v>86</v>
      </c>
      <c r="AF15" s="31">
        <f t="shared" si="7"/>
        <v>217</v>
      </c>
    </row>
    <row r="16" spans="2:32" ht="23.1" customHeight="1" x14ac:dyDescent="0.25">
      <c r="B16" s="23" t="s">
        <v>43</v>
      </c>
      <c r="C16" s="50">
        <v>5</v>
      </c>
      <c r="D16" s="50">
        <v>0</v>
      </c>
      <c r="E16" s="50">
        <v>2</v>
      </c>
      <c r="F16" s="50">
        <v>3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1</v>
      </c>
      <c r="M16" s="50">
        <v>28</v>
      </c>
      <c r="N16" s="50">
        <v>0</v>
      </c>
      <c r="O16" s="15">
        <f t="shared" si="0"/>
        <v>13</v>
      </c>
      <c r="P16" s="15">
        <f t="shared" si="1"/>
        <v>41</v>
      </c>
      <c r="R16" s="1" t="s">
        <v>12</v>
      </c>
      <c r="S16" s="17">
        <f t="shared" ref="S16:AF16" si="8">SUM(C34:C37)</f>
        <v>10</v>
      </c>
      <c r="T16" s="17">
        <f t="shared" si="8"/>
        <v>7</v>
      </c>
      <c r="U16" s="17">
        <f t="shared" si="8"/>
        <v>27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2</v>
      </c>
      <c r="AA16" s="17">
        <f t="shared" si="8"/>
        <v>0</v>
      </c>
      <c r="AB16" s="17">
        <f t="shared" si="8"/>
        <v>2</v>
      </c>
      <c r="AC16" s="17">
        <f t="shared" si="8"/>
        <v>112</v>
      </c>
      <c r="AD16" s="17">
        <f t="shared" si="8"/>
        <v>0</v>
      </c>
      <c r="AE16" s="31">
        <f t="shared" si="8"/>
        <v>81</v>
      </c>
      <c r="AF16" s="31">
        <f t="shared" si="8"/>
        <v>193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1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7</v>
      </c>
      <c r="M17" s="50">
        <v>11</v>
      </c>
      <c r="N17" s="50">
        <v>0</v>
      </c>
      <c r="O17" s="15">
        <f t="shared" si="0"/>
        <v>13</v>
      </c>
      <c r="P17" s="15">
        <f t="shared" si="1"/>
        <v>24</v>
      </c>
      <c r="R17" s="1" t="s">
        <v>13</v>
      </c>
      <c r="S17" s="17">
        <f t="shared" ref="S17:AF17" si="9">SUM(C38:C41)</f>
        <v>13</v>
      </c>
      <c r="T17" s="17">
        <f t="shared" si="9"/>
        <v>6</v>
      </c>
      <c r="U17" s="17">
        <f t="shared" si="9"/>
        <v>26</v>
      </c>
      <c r="V17" s="17">
        <f t="shared" si="9"/>
        <v>19</v>
      </c>
      <c r="W17" s="17">
        <f t="shared" si="9"/>
        <v>0</v>
      </c>
      <c r="X17" s="17">
        <f t="shared" si="9"/>
        <v>0</v>
      </c>
      <c r="Y17" s="17">
        <f t="shared" si="9"/>
        <v>15</v>
      </c>
      <c r="Z17" s="17">
        <f t="shared" si="9"/>
        <v>2</v>
      </c>
      <c r="AA17" s="17">
        <f t="shared" si="9"/>
        <v>1</v>
      </c>
      <c r="AB17" s="17">
        <f t="shared" si="9"/>
        <v>1</v>
      </c>
      <c r="AC17" s="17">
        <f t="shared" si="9"/>
        <v>126</v>
      </c>
      <c r="AD17" s="17">
        <f t="shared" si="9"/>
        <v>0</v>
      </c>
      <c r="AE17" s="31">
        <f t="shared" si="9"/>
        <v>83</v>
      </c>
      <c r="AF17" s="31">
        <f t="shared" si="9"/>
        <v>209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1</v>
      </c>
      <c r="M18" s="50">
        <v>24</v>
      </c>
      <c r="N18" s="50">
        <v>0</v>
      </c>
      <c r="O18" s="15">
        <f t="shared" si="0"/>
        <v>7</v>
      </c>
      <c r="P18" s="15">
        <f t="shared" si="1"/>
        <v>31</v>
      </c>
      <c r="R18" s="1" t="s">
        <v>14</v>
      </c>
      <c r="S18" s="17">
        <f t="shared" ref="S18:AF18" si="10">SUM(C42:C45)</f>
        <v>12</v>
      </c>
      <c r="T18" s="17">
        <f t="shared" si="10"/>
        <v>4</v>
      </c>
      <c r="U18" s="17">
        <f t="shared" si="10"/>
        <v>18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0</v>
      </c>
      <c r="AA18" s="17">
        <f t="shared" si="10"/>
        <v>0</v>
      </c>
      <c r="AB18" s="17">
        <f t="shared" si="10"/>
        <v>5</v>
      </c>
      <c r="AC18" s="17">
        <f t="shared" si="10"/>
        <v>99</v>
      </c>
      <c r="AD18" s="17">
        <f t="shared" si="10"/>
        <v>0</v>
      </c>
      <c r="AE18" s="31">
        <f t="shared" si="10"/>
        <v>67</v>
      </c>
      <c r="AF18" s="31">
        <f t="shared" si="10"/>
        <v>166</v>
      </c>
    </row>
    <row r="19" spans="2:32" ht="23.1" customHeight="1" x14ac:dyDescent="0.25">
      <c r="B19" s="23" t="s">
        <v>46</v>
      </c>
      <c r="C19" s="50">
        <v>1</v>
      </c>
      <c r="D19" s="50">
        <v>1</v>
      </c>
      <c r="E19" s="50">
        <v>5</v>
      </c>
      <c r="F19" s="50">
        <v>1</v>
      </c>
      <c r="G19" s="50">
        <v>0</v>
      </c>
      <c r="H19" s="50">
        <v>1</v>
      </c>
      <c r="I19" s="50">
        <v>3</v>
      </c>
      <c r="J19" s="50">
        <v>0</v>
      </c>
      <c r="K19" s="50">
        <v>0</v>
      </c>
      <c r="L19" s="50">
        <v>1</v>
      </c>
      <c r="M19" s="50">
        <v>22</v>
      </c>
      <c r="N19" s="50">
        <v>0</v>
      </c>
      <c r="O19" s="15">
        <f t="shared" si="0"/>
        <v>13</v>
      </c>
      <c r="P19" s="15">
        <f t="shared" si="1"/>
        <v>35</v>
      </c>
      <c r="R19" s="1" t="s">
        <v>15</v>
      </c>
      <c r="S19" s="17">
        <f t="shared" ref="S19:AF19" si="11">SUM(C46:C49)</f>
        <v>17</v>
      </c>
      <c r="T19" s="17">
        <f t="shared" si="11"/>
        <v>6</v>
      </c>
      <c r="U19" s="17">
        <f t="shared" si="11"/>
        <v>26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1</v>
      </c>
      <c r="AA19" s="17">
        <f t="shared" si="11"/>
        <v>0</v>
      </c>
      <c r="AB19" s="17">
        <f t="shared" si="11"/>
        <v>8</v>
      </c>
      <c r="AC19" s="17">
        <f t="shared" si="11"/>
        <v>109</v>
      </c>
      <c r="AD19" s="17">
        <f t="shared" si="11"/>
        <v>0</v>
      </c>
      <c r="AE19" s="31">
        <f t="shared" si="11"/>
        <v>87</v>
      </c>
      <c r="AF19" s="31">
        <f t="shared" si="11"/>
        <v>196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2</v>
      </c>
      <c r="F20" s="50">
        <v>2</v>
      </c>
      <c r="G20" s="50">
        <v>0</v>
      </c>
      <c r="H20" s="50">
        <v>1</v>
      </c>
      <c r="I20" s="50">
        <v>4</v>
      </c>
      <c r="J20" s="50">
        <v>0</v>
      </c>
      <c r="K20" s="50">
        <v>0</v>
      </c>
      <c r="L20" s="50">
        <v>1</v>
      </c>
      <c r="M20" s="50">
        <v>27</v>
      </c>
      <c r="N20" s="50">
        <v>0</v>
      </c>
      <c r="O20" s="15">
        <f t="shared" si="0"/>
        <v>11</v>
      </c>
      <c r="P20" s="15">
        <f t="shared" si="1"/>
        <v>38</v>
      </c>
      <c r="R20" s="1" t="s">
        <v>16</v>
      </c>
      <c r="S20" s="17">
        <f t="shared" ref="S20:AF20" si="12">SUM(C50:C53)</f>
        <v>14</v>
      </c>
      <c r="T20" s="17">
        <f t="shared" si="12"/>
        <v>2</v>
      </c>
      <c r="U20" s="17">
        <f t="shared" si="12"/>
        <v>15</v>
      </c>
      <c r="V20" s="17">
        <f t="shared" si="12"/>
        <v>14</v>
      </c>
      <c r="W20" s="17">
        <f t="shared" si="12"/>
        <v>0</v>
      </c>
      <c r="X20" s="17">
        <f t="shared" si="12"/>
        <v>0</v>
      </c>
      <c r="Y20" s="17">
        <f t="shared" si="12"/>
        <v>13</v>
      </c>
      <c r="Z20" s="17">
        <f t="shared" si="12"/>
        <v>2</v>
      </c>
      <c r="AA20" s="17">
        <f t="shared" si="12"/>
        <v>0</v>
      </c>
      <c r="AB20" s="17">
        <f t="shared" si="12"/>
        <v>6</v>
      </c>
      <c r="AC20" s="17">
        <f t="shared" si="12"/>
        <v>135</v>
      </c>
      <c r="AD20" s="17">
        <f t="shared" si="12"/>
        <v>0</v>
      </c>
      <c r="AE20" s="31">
        <f t="shared" si="12"/>
        <v>66</v>
      </c>
      <c r="AF20" s="31">
        <f t="shared" si="12"/>
        <v>201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5</v>
      </c>
      <c r="F21" s="50">
        <v>3</v>
      </c>
      <c r="G21" s="50">
        <v>0</v>
      </c>
      <c r="H21" s="50">
        <v>0</v>
      </c>
      <c r="I21" s="50">
        <v>4</v>
      </c>
      <c r="J21" s="50">
        <v>1</v>
      </c>
      <c r="K21" s="50">
        <v>0</v>
      </c>
      <c r="L21" s="50">
        <v>7</v>
      </c>
      <c r="M21" s="50">
        <v>31</v>
      </c>
      <c r="N21" s="50">
        <v>0</v>
      </c>
      <c r="O21" s="15">
        <f t="shared" si="0"/>
        <v>22</v>
      </c>
      <c r="P21" s="15">
        <f t="shared" si="1"/>
        <v>53</v>
      </c>
      <c r="R21" s="36" t="s">
        <v>20</v>
      </c>
      <c r="S21" s="34">
        <f t="shared" ref="S21:AF21" si="13">SUM(C54:C57)</f>
        <v>9</v>
      </c>
      <c r="T21" s="17">
        <f t="shared" si="13"/>
        <v>2</v>
      </c>
      <c r="U21" s="17">
        <f t="shared" si="13"/>
        <v>16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13</v>
      </c>
      <c r="Z21" s="17">
        <f t="shared" si="13"/>
        <v>1</v>
      </c>
      <c r="AA21" s="17">
        <f t="shared" si="13"/>
        <v>0</v>
      </c>
      <c r="AB21" s="17">
        <f t="shared" si="13"/>
        <v>5</v>
      </c>
      <c r="AC21" s="17">
        <f t="shared" si="13"/>
        <v>117</v>
      </c>
      <c r="AD21" s="17">
        <f t="shared" si="13"/>
        <v>0</v>
      </c>
      <c r="AE21" s="31">
        <f t="shared" si="13"/>
        <v>54</v>
      </c>
      <c r="AF21" s="31">
        <f t="shared" si="13"/>
        <v>171</v>
      </c>
    </row>
    <row r="22" spans="2:32" ht="23.1" customHeight="1" x14ac:dyDescent="0.25">
      <c r="B22" s="23" t="s">
        <v>49</v>
      </c>
      <c r="C22" s="50">
        <v>2</v>
      </c>
      <c r="D22" s="50">
        <v>1</v>
      </c>
      <c r="E22" s="50">
        <v>5</v>
      </c>
      <c r="F22" s="50">
        <v>3</v>
      </c>
      <c r="G22" s="50">
        <v>0</v>
      </c>
      <c r="H22" s="50">
        <v>0</v>
      </c>
      <c r="I22" s="50">
        <v>5</v>
      </c>
      <c r="J22" s="50">
        <v>0</v>
      </c>
      <c r="K22" s="50">
        <v>0</v>
      </c>
      <c r="L22" s="50">
        <v>3</v>
      </c>
      <c r="M22" s="50">
        <v>32</v>
      </c>
      <c r="N22" s="50">
        <v>0</v>
      </c>
      <c r="O22" s="15">
        <f t="shared" si="0"/>
        <v>19</v>
      </c>
      <c r="P22" s="15">
        <f t="shared" si="1"/>
        <v>51</v>
      </c>
      <c r="R22" s="38" t="s">
        <v>90</v>
      </c>
      <c r="S22" s="39">
        <f>MAX(S10:S12)</f>
        <v>9</v>
      </c>
      <c r="T22" s="39">
        <f t="shared" ref="T22:AF22" si="14">MAX(T10:T12)</f>
        <v>2</v>
      </c>
      <c r="U22" s="39">
        <f t="shared" si="14"/>
        <v>14</v>
      </c>
      <c r="V22" s="39">
        <f t="shared" si="14"/>
        <v>9</v>
      </c>
      <c r="W22" s="39">
        <f t="shared" si="14"/>
        <v>0</v>
      </c>
      <c r="X22" s="39">
        <f t="shared" si="14"/>
        <v>2</v>
      </c>
      <c r="Y22" s="39">
        <f t="shared" si="14"/>
        <v>12</v>
      </c>
      <c r="Z22" s="39">
        <f t="shared" si="14"/>
        <v>1</v>
      </c>
      <c r="AA22" s="39">
        <f t="shared" si="14"/>
        <v>1</v>
      </c>
      <c r="AB22" s="39">
        <f t="shared" si="14"/>
        <v>10</v>
      </c>
      <c r="AC22" s="39">
        <f t="shared" si="14"/>
        <v>104</v>
      </c>
      <c r="AD22" s="39">
        <f t="shared" si="14"/>
        <v>0</v>
      </c>
      <c r="AE22" s="40">
        <f t="shared" si="14"/>
        <v>53</v>
      </c>
      <c r="AF22" s="40">
        <f t="shared" si="14"/>
        <v>157</v>
      </c>
    </row>
    <row r="23" spans="2:32" ht="23.1" customHeight="1" x14ac:dyDescent="0.25">
      <c r="B23" s="23" t="s">
        <v>50</v>
      </c>
      <c r="C23" s="50">
        <v>4</v>
      </c>
      <c r="D23" s="50">
        <v>3</v>
      </c>
      <c r="E23" s="50">
        <v>10</v>
      </c>
      <c r="F23" s="50">
        <v>4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3</v>
      </c>
      <c r="M23" s="50">
        <v>33</v>
      </c>
      <c r="N23" s="50">
        <v>0</v>
      </c>
      <c r="O23" s="15">
        <f t="shared" si="0"/>
        <v>28</v>
      </c>
      <c r="P23" s="15">
        <f t="shared" si="1"/>
        <v>61</v>
      </c>
      <c r="R23" s="38" t="s">
        <v>91</v>
      </c>
      <c r="S23" s="39">
        <f>MAX(S13:S18)</f>
        <v>19</v>
      </c>
      <c r="T23" s="39">
        <f t="shared" ref="T23:AF23" si="15">MAX(T13:T18)</f>
        <v>7</v>
      </c>
      <c r="U23" s="39">
        <f t="shared" si="15"/>
        <v>27</v>
      </c>
      <c r="V23" s="39">
        <f t="shared" si="15"/>
        <v>19</v>
      </c>
      <c r="W23" s="39">
        <f t="shared" si="15"/>
        <v>1</v>
      </c>
      <c r="X23" s="39">
        <f t="shared" si="15"/>
        <v>0</v>
      </c>
      <c r="Y23" s="39">
        <f t="shared" si="15"/>
        <v>18</v>
      </c>
      <c r="Z23" s="39">
        <f t="shared" si="15"/>
        <v>2</v>
      </c>
      <c r="AA23" s="39">
        <f t="shared" si="15"/>
        <v>1</v>
      </c>
      <c r="AB23" s="39">
        <f t="shared" si="15"/>
        <v>12</v>
      </c>
      <c r="AC23" s="39">
        <f t="shared" si="15"/>
        <v>145</v>
      </c>
      <c r="AD23" s="39">
        <f t="shared" si="15"/>
        <v>0</v>
      </c>
      <c r="AE23" s="40">
        <f t="shared" si="15"/>
        <v>90</v>
      </c>
      <c r="AF23" s="40">
        <f t="shared" si="15"/>
        <v>227</v>
      </c>
    </row>
    <row r="24" spans="2:32" ht="23.1" customHeight="1" x14ac:dyDescent="0.25">
      <c r="B24" s="23" t="s">
        <v>51</v>
      </c>
      <c r="C24" s="50">
        <v>6</v>
      </c>
      <c r="D24" s="50">
        <v>1</v>
      </c>
      <c r="E24" s="50">
        <v>6</v>
      </c>
      <c r="F24" s="50">
        <v>7</v>
      </c>
      <c r="G24" s="50">
        <v>1</v>
      </c>
      <c r="H24" s="50">
        <v>0</v>
      </c>
      <c r="I24" s="50">
        <v>6</v>
      </c>
      <c r="J24" s="50">
        <v>0</v>
      </c>
      <c r="K24" s="50">
        <v>0</v>
      </c>
      <c r="L24" s="50">
        <v>1</v>
      </c>
      <c r="M24" s="50">
        <v>45</v>
      </c>
      <c r="N24" s="50">
        <v>0</v>
      </c>
      <c r="O24" s="15">
        <f t="shared" si="0"/>
        <v>28</v>
      </c>
      <c r="P24" s="15">
        <f t="shared" si="1"/>
        <v>73</v>
      </c>
      <c r="R24" s="38" t="s">
        <v>92</v>
      </c>
      <c r="S24" s="39">
        <f>MAX(S19:S21)</f>
        <v>17</v>
      </c>
      <c r="T24" s="39">
        <f t="shared" ref="T24:AF24" si="16">MAX(T19:T21)</f>
        <v>6</v>
      </c>
      <c r="U24" s="39">
        <f t="shared" si="16"/>
        <v>26</v>
      </c>
      <c r="V24" s="39">
        <f t="shared" si="16"/>
        <v>15</v>
      </c>
      <c r="W24" s="39">
        <f t="shared" si="16"/>
        <v>0</v>
      </c>
      <c r="X24" s="39">
        <f t="shared" si="16"/>
        <v>0</v>
      </c>
      <c r="Y24" s="39">
        <f t="shared" si="16"/>
        <v>14</v>
      </c>
      <c r="Z24" s="39">
        <f t="shared" si="16"/>
        <v>2</v>
      </c>
      <c r="AA24" s="39">
        <f t="shared" si="16"/>
        <v>0</v>
      </c>
      <c r="AB24" s="39">
        <f t="shared" si="16"/>
        <v>8</v>
      </c>
      <c r="AC24" s="39">
        <f t="shared" si="16"/>
        <v>135</v>
      </c>
      <c r="AD24" s="39">
        <f t="shared" si="16"/>
        <v>0</v>
      </c>
      <c r="AE24" s="40">
        <f t="shared" si="16"/>
        <v>87</v>
      </c>
      <c r="AF24" s="40">
        <f t="shared" si="16"/>
        <v>201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4</v>
      </c>
      <c r="F25" s="50">
        <v>3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3</v>
      </c>
      <c r="M25" s="50">
        <v>27</v>
      </c>
      <c r="N25" s="50">
        <v>0</v>
      </c>
      <c r="O25" s="15">
        <f t="shared" si="0"/>
        <v>15</v>
      </c>
      <c r="P25" s="15">
        <f t="shared" si="1"/>
        <v>42</v>
      </c>
      <c r="R25" s="37" t="s">
        <v>85</v>
      </c>
      <c r="S25" s="35">
        <f t="shared" ref="S25:AF25" si="17">SUM(S10:S12)</f>
        <v>22</v>
      </c>
      <c r="T25" s="16">
        <f t="shared" si="17"/>
        <v>3</v>
      </c>
      <c r="U25" s="16">
        <f t="shared" si="17"/>
        <v>35</v>
      </c>
      <c r="V25" s="16">
        <f t="shared" si="17"/>
        <v>23</v>
      </c>
      <c r="W25" s="16">
        <f t="shared" si="17"/>
        <v>0</v>
      </c>
      <c r="X25" s="16">
        <f t="shared" si="17"/>
        <v>2</v>
      </c>
      <c r="Y25" s="16">
        <f t="shared" si="17"/>
        <v>29</v>
      </c>
      <c r="Z25" s="16">
        <f t="shared" si="17"/>
        <v>1</v>
      </c>
      <c r="AA25" s="16">
        <f t="shared" si="17"/>
        <v>1</v>
      </c>
      <c r="AB25" s="16">
        <f t="shared" si="17"/>
        <v>25</v>
      </c>
      <c r="AC25" s="16">
        <f t="shared" si="17"/>
        <v>228</v>
      </c>
      <c r="AD25" s="16">
        <f t="shared" si="17"/>
        <v>0</v>
      </c>
      <c r="AE25" s="32">
        <f t="shared" si="17"/>
        <v>141</v>
      </c>
      <c r="AF25" s="32">
        <f t="shared" si="17"/>
        <v>369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8</v>
      </c>
      <c r="F26" s="50">
        <v>6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4</v>
      </c>
      <c r="M26" s="50">
        <v>28</v>
      </c>
      <c r="N26" s="50">
        <v>0</v>
      </c>
      <c r="O26" s="15">
        <f t="shared" si="0"/>
        <v>26</v>
      </c>
      <c r="P26" s="15">
        <f t="shared" si="1"/>
        <v>54</v>
      </c>
      <c r="R26" s="28" t="s">
        <v>86</v>
      </c>
      <c r="S26" s="16">
        <f t="shared" ref="S26:AF26" si="18">SUM(S13:S18)</f>
        <v>84</v>
      </c>
      <c r="T26" s="16">
        <f t="shared" si="18"/>
        <v>33</v>
      </c>
      <c r="U26" s="16">
        <f t="shared" si="18"/>
        <v>142</v>
      </c>
      <c r="V26" s="16">
        <f t="shared" si="18"/>
        <v>93</v>
      </c>
      <c r="W26" s="16">
        <f t="shared" si="18"/>
        <v>1</v>
      </c>
      <c r="X26" s="16">
        <f t="shared" si="18"/>
        <v>0</v>
      </c>
      <c r="Y26" s="16">
        <f t="shared" si="18"/>
        <v>82</v>
      </c>
      <c r="Z26" s="16">
        <f t="shared" si="18"/>
        <v>4</v>
      </c>
      <c r="AA26" s="16">
        <f t="shared" si="18"/>
        <v>1</v>
      </c>
      <c r="AB26" s="16">
        <f t="shared" si="18"/>
        <v>41</v>
      </c>
      <c r="AC26" s="16">
        <f t="shared" si="18"/>
        <v>750</v>
      </c>
      <c r="AD26" s="16">
        <f t="shared" si="18"/>
        <v>0</v>
      </c>
      <c r="AE26" s="32">
        <f t="shared" si="18"/>
        <v>481</v>
      </c>
      <c r="AF26" s="32">
        <f t="shared" si="18"/>
        <v>1231</v>
      </c>
    </row>
    <row r="27" spans="2:32" ht="23.1" customHeight="1" x14ac:dyDescent="0.25">
      <c r="B27" s="23" t="s">
        <v>54</v>
      </c>
      <c r="C27" s="50">
        <v>7</v>
      </c>
      <c r="D27" s="50">
        <v>0</v>
      </c>
      <c r="E27" s="50">
        <v>2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39</v>
      </c>
      <c r="N27" s="50">
        <v>0</v>
      </c>
      <c r="O27" s="15">
        <f t="shared" si="0"/>
        <v>11</v>
      </c>
      <c r="P27" s="15">
        <f t="shared" si="1"/>
        <v>50</v>
      </c>
      <c r="R27" s="29" t="s">
        <v>87</v>
      </c>
      <c r="S27" s="16">
        <f t="shared" ref="S27:AF27" si="19">SUM(S19:S21)</f>
        <v>40</v>
      </c>
      <c r="T27" s="16">
        <f t="shared" si="19"/>
        <v>10</v>
      </c>
      <c r="U27" s="16">
        <f t="shared" si="19"/>
        <v>57</v>
      </c>
      <c r="V27" s="16">
        <f t="shared" si="19"/>
        <v>37</v>
      </c>
      <c r="W27" s="16">
        <f t="shared" si="19"/>
        <v>0</v>
      </c>
      <c r="X27" s="16">
        <f t="shared" si="19"/>
        <v>0</v>
      </c>
      <c r="Y27" s="16">
        <f t="shared" si="19"/>
        <v>40</v>
      </c>
      <c r="Z27" s="16">
        <f t="shared" si="19"/>
        <v>4</v>
      </c>
      <c r="AA27" s="16">
        <f t="shared" si="19"/>
        <v>0</v>
      </c>
      <c r="AB27" s="16">
        <f t="shared" si="19"/>
        <v>19</v>
      </c>
      <c r="AC27" s="16">
        <f t="shared" si="19"/>
        <v>361</v>
      </c>
      <c r="AD27" s="16">
        <f t="shared" si="19"/>
        <v>0</v>
      </c>
      <c r="AE27" s="32">
        <f t="shared" si="19"/>
        <v>207</v>
      </c>
      <c r="AF27" s="32">
        <f t="shared" si="19"/>
        <v>568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6</v>
      </c>
      <c r="F28" s="50">
        <v>2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5</v>
      </c>
      <c r="M28" s="50">
        <v>39</v>
      </c>
      <c r="N28" s="50">
        <v>0</v>
      </c>
      <c r="O28" s="15">
        <f t="shared" si="0"/>
        <v>18</v>
      </c>
      <c r="P28" s="15">
        <f t="shared" si="1"/>
        <v>57</v>
      </c>
      <c r="R28" s="5" t="s">
        <v>17</v>
      </c>
      <c r="S28" s="16">
        <f t="shared" ref="S28:AF28" si="20">SUM(S10:S21)</f>
        <v>146</v>
      </c>
      <c r="T28" s="16">
        <f t="shared" si="20"/>
        <v>46</v>
      </c>
      <c r="U28" s="16">
        <f t="shared" si="20"/>
        <v>234</v>
      </c>
      <c r="V28" s="16">
        <f t="shared" si="20"/>
        <v>153</v>
      </c>
      <c r="W28" s="16">
        <f t="shared" si="20"/>
        <v>1</v>
      </c>
      <c r="X28" s="16">
        <f t="shared" si="20"/>
        <v>2</v>
      </c>
      <c r="Y28" s="16">
        <f t="shared" si="20"/>
        <v>151</v>
      </c>
      <c r="Z28" s="16">
        <f t="shared" si="20"/>
        <v>9</v>
      </c>
      <c r="AA28" s="16">
        <f t="shared" si="20"/>
        <v>2</v>
      </c>
      <c r="AB28" s="16">
        <f t="shared" si="20"/>
        <v>85</v>
      </c>
      <c r="AC28" s="16">
        <f t="shared" si="20"/>
        <v>1339</v>
      </c>
      <c r="AD28" s="16">
        <f t="shared" si="20"/>
        <v>0</v>
      </c>
      <c r="AE28" s="32">
        <f t="shared" si="20"/>
        <v>829</v>
      </c>
      <c r="AF28" s="32">
        <f t="shared" si="20"/>
        <v>2168</v>
      </c>
    </row>
    <row r="29" spans="2:32" ht="23.1" customHeight="1" x14ac:dyDescent="0.25">
      <c r="B29" s="23" t="s">
        <v>56</v>
      </c>
      <c r="C29" s="50">
        <v>8</v>
      </c>
      <c r="D29" s="50">
        <v>1</v>
      </c>
      <c r="E29" s="50">
        <v>6</v>
      </c>
      <c r="F29" s="50">
        <v>1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1</v>
      </c>
      <c r="M29" s="50">
        <v>39</v>
      </c>
      <c r="N29" s="50">
        <v>0</v>
      </c>
      <c r="O29" s="15">
        <f t="shared" si="0"/>
        <v>19</v>
      </c>
      <c r="P29" s="15">
        <f t="shared" si="1"/>
        <v>58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1</v>
      </c>
      <c r="E30" s="50">
        <v>4</v>
      </c>
      <c r="F30" s="50">
        <v>7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2</v>
      </c>
      <c r="M30" s="50">
        <v>32</v>
      </c>
      <c r="N30" s="50">
        <v>0</v>
      </c>
      <c r="O30" s="15">
        <f t="shared" si="0"/>
        <v>22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3</v>
      </c>
      <c r="D31" s="50">
        <v>2</v>
      </c>
      <c r="E31" s="50">
        <v>9</v>
      </c>
      <c r="F31" s="50">
        <v>5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5</v>
      </c>
      <c r="M31" s="50">
        <v>35</v>
      </c>
      <c r="N31" s="50">
        <v>0</v>
      </c>
      <c r="O31" s="15">
        <f t="shared" si="0"/>
        <v>25</v>
      </c>
      <c r="P31" s="15">
        <f t="shared" si="1"/>
        <v>60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4</v>
      </c>
      <c r="F32" s="50">
        <v>3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3</v>
      </c>
      <c r="M32" s="50">
        <v>36</v>
      </c>
      <c r="N32" s="50">
        <v>0</v>
      </c>
      <c r="O32" s="15">
        <f t="shared" si="0"/>
        <v>18</v>
      </c>
      <c r="P32" s="15">
        <f t="shared" si="1"/>
        <v>54</v>
      </c>
    </row>
    <row r="33" spans="2:20" ht="23.1" customHeight="1" x14ac:dyDescent="0.25">
      <c r="B33" s="23" t="s">
        <v>60</v>
      </c>
      <c r="C33" s="50">
        <v>5</v>
      </c>
      <c r="D33" s="50">
        <v>2</v>
      </c>
      <c r="E33" s="50">
        <v>7</v>
      </c>
      <c r="F33" s="50">
        <v>1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2</v>
      </c>
      <c r="M33" s="50">
        <v>28</v>
      </c>
      <c r="N33" s="50">
        <v>0</v>
      </c>
      <c r="O33" s="15">
        <f t="shared" si="0"/>
        <v>21</v>
      </c>
      <c r="P33" s="15">
        <f t="shared" si="1"/>
        <v>49</v>
      </c>
    </row>
    <row r="34" spans="2:20" ht="23.1" customHeight="1" x14ac:dyDescent="0.25">
      <c r="B34" s="24" t="s">
        <v>61</v>
      </c>
      <c r="C34" s="50">
        <v>2</v>
      </c>
      <c r="D34" s="50">
        <v>2</v>
      </c>
      <c r="E34" s="50">
        <v>7</v>
      </c>
      <c r="F34" s="50">
        <v>6</v>
      </c>
      <c r="G34" s="50">
        <v>0</v>
      </c>
      <c r="H34" s="50">
        <v>0</v>
      </c>
      <c r="I34" s="50">
        <v>4</v>
      </c>
      <c r="J34" s="50">
        <v>1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22</v>
      </c>
      <c r="P34" s="15">
        <f t="shared" si="1"/>
        <v>46</v>
      </c>
    </row>
    <row r="35" spans="2:20" ht="23.1" customHeight="1" x14ac:dyDescent="0.25">
      <c r="B35" s="24" t="s">
        <v>62</v>
      </c>
      <c r="C35" s="50">
        <v>2</v>
      </c>
      <c r="D35" s="50">
        <v>2</v>
      </c>
      <c r="E35" s="50">
        <v>7</v>
      </c>
      <c r="F35" s="50">
        <v>1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17</v>
      </c>
      <c r="P35" s="15">
        <f t="shared" si="1"/>
        <v>46</v>
      </c>
    </row>
    <row r="36" spans="2:20" ht="23.1" customHeight="1" x14ac:dyDescent="0.25">
      <c r="B36" s="24" t="s">
        <v>63</v>
      </c>
      <c r="C36" s="50">
        <v>5</v>
      </c>
      <c r="D36" s="50">
        <v>2</v>
      </c>
      <c r="E36" s="50">
        <v>7</v>
      </c>
      <c r="F36" s="50">
        <v>5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2</v>
      </c>
      <c r="M36" s="50">
        <v>31</v>
      </c>
      <c r="N36" s="50">
        <v>0</v>
      </c>
      <c r="O36" s="15">
        <f t="shared" si="0"/>
        <v>28</v>
      </c>
      <c r="P36" s="15">
        <f t="shared" si="1"/>
        <v>59</v>
      </c>
    </row>
    <row r="37" spans="2:20" ht="23.1" customHeight="1" x14ac:dyDescent="0.25">
      <c r="B37" s="23" t="s">
        <v>64</v>
      </c>
      <c r="C37" s="50">
        <v>1</v>
      </c>
      <c r="D37" s="50">
        <v>1</v>
      </c>
      <c r="E37" s="50">
        <v>6</v>
      </c>
      <c r="F37" s="50">
        <v>3</v>
      </c>
      <c r="G37" s="50">
        <v>0</v>
      </c>
      <c r="H37" s="50">
        <v>0</v>
      </c>
      <c r="I37" s="50">
        <v>2</v>
      </c>
      <c r="J37" s="50">
        <v>1</v>
      </c>
      <c r="K37" s="50">
        <v>0</v>
      </c>
      <c r="L37" s="50">
        <v>0</v>
      </c>
      <c r="M37" s="50">
        <v>28</v>
      </c>
      <c r="N37" s="50">
        <v>0</v>
      </c>
      <c r="O37" s="15">
        <f t="shared" si="0"/>
        <v>14</v>
      </c>
      <c r="P37" s="15">
        <f t="shared" si="1"/>
        <v>42</v>
      </c>
    </row>
    <row r="38" spans="2:20" ht="23.1" customHeight="1" x14ac:dyDescent="0.25">
      <c r="B38" s="24" t="s">
        <v>65</v>
      </c>
      <c r="C38" s="50">
        <v>3</v>
      </c>
      <c r="D38" s="50">
        <v>2</v>
      </c>
      <c r="E38" s="50">
        <v>8</v>
      </c>
      <c r="F38" s="50">
        <v>3</v>
      </c>
      <c r="G38" s="50">
        <v>0</v>
      </c>
      <c r="H38" s="50">
        <v>0</v>
      </c>
      <c r="I38" s="50">
        <v>4</v>
      </c>
      <c r="J38" s="50">
        <v>1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21</v>
      </c>
      <c r="P38" s="15">
        <f t="shared" si="1"/>
        <v>49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9</v>
      </c>
      <c r="F39" s="50">
        <v>9</v>
      </c>
      <c r="G39" s="50">
        <v>0</v>
      </c>
      <c r="H39" s="50">
        <v>0</v>
      </c>
      <c r="I39" s="50">
        <v>6</v>
      </c>
      <c r="J39" s="50">
        <v>1</v>
      </c>
      <c r="K39" s="50">
        <v>1</v>
      </c>
      <c r="L39" s="50">
        <v>0</v>
      </c>
      <c r="M39" s="50">
        <v>42</v>
      </c>
      <c r="N39" s="50">
        <v>0</v>
      </c>
      <c r="O39" s="15">
        <f t="shared" si="0"/>
        <v>29</v>
      </c>
      <c r="P39" s="15">
        <f t="shared" si="1"/>
        <v>71</v>
      </c>
    </row>
    <row r="40" spans="2:20" ht="23.1" customHeight="1" x14ac:dyDescent="0.25">
      <c r="B40" s="24" t="s">
        <v>67</v>
      </c>
      <c r="C40" s="50">
        <v>4</v>
      </c>
      <c r="D40" s="50">
        <v>1</v>
      </c>
      <c r="E40" s="50">
        <v>5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12</v>
      </c>
      <c r="P40" s="15">
        <f t="shared" si="1"/>
        <v>48</v>
      </c>
    </row>
    <row r="41" spans="2:20" ht="23.1" customHeight="1" x14ac:dyDescent="0.25">
      <c r="B41" s="23" t="s">
        <v>68</v>
      </c>
      <c r="C41" s="50">
        <v>5</v>
      </c>
      <c r="D41" s="50">
        <v>1</v>
      </c>
      <c r="E41" s="50">
        <v>4</v>
      </c>
      <c r="F41" s="50">
        <v>6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1</v>
      </c>
      <c r="M41" s="50">
        <v>20</v>
      </c>
      <c r="N41" s="50">
        <v>0</v>
      </c>
      <c r="O41" s="15">
        <f t="shared" si="0"/>
        <v>21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3</v>
      </c>
      <c r="D42" s="50">
        <v>1</v>
      </c>
      <c r="E42" s="50">
        <v>5</v>
      </c>
      <c r="F42" s="50">
        <v>6</v>
      </c>
      <c r="G42" s="50">
        <v>0</v>
      </c>
      <c r="H42" s="50">
        <v>0</v>
      </c>
      <c r="I42" s="50">
        <v>5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20</v>
      </c>
      <c r="P42" s="15">
        <f t="shared" si="1"/>
        <v>52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7</v>
      </c>
      <c r="P43" s="15">
        <f t="shared" si="1"/>
        <v>25</v>
      </c>
    </row>
    <row r="44" spans="2:20" ht="23.1" customHeight="1" x14ac:dyDescent="0.25">
      <c r="B44" s="25" t="s">
        <v>71</v>
      </c>
      <c r="C44" s="50">
        <v>6</v>
      </c>
      <c r="D44" s="50">
        <v>2</v>
      </c>
      <c r="E44" s="50">
        <v>7</v>
      </c>
      <c r="F44" s="50">
        <v>4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2</v>
      </c>
      <c r="M44" s="50">
        <v>28</v>
      </c>
      <c r="N44" s="50">
        <v>0</v>
      </c>
      <c r="O44" s="15">
        <f t="shared" si="0"/>
        <v>25</v>
      </c>
      <c r="P44" s="15">
        <f t="shared" si="1"/>
        <v>53</v>
      </c>
    </row>
    <row r="45" spans="2:20" ht="23.1" customHeight="1" x14ac:dyDescent="0.25">
      <c r="B45" s="23" t="s">
        <v>72</v>
      </c>
      <c r="C45" s="50">
        <v>2</v>
      </c>
      <c r="D45" s="50">
        <v>1</v>
      </c>
      <c r="E45" s="50">
        <v>5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3</v>
      </c>
      <c r="M45" s="50">
        <v>21</v>
      </c>
      <c r="N45" s="50">
        <v>0</v>
      </c>
      <c r="O45" s="15">
        <f t="shared" si="0"/>
        <v>15</v>
      </c>
      <c r="P45" s="15">
        <f t="shared" si="1"/>
        <v>36</v>
      </c>
    </row>
    <row r="46" spans="2:20" ht="23.1" customHeight="1" x14ac:dyDescent="0.25">
      <c r="B46" s="24" t="s">
        <v>73</v>
      </c>
      <c r="C46" s="50">
        <v>3</v>
      </c>
      <c r="D46" s="50">
        <v>2</v>
      </c>
      <c r="E46" s="50">
        <v>7</v>
      </c>
      <c r="F46" s="50">
        <v>4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3</v>
      </c>
      <c r="M46" s="50">
        <v>21</v>
      </c>
      <c r="N46" s="50">
        <v>0</v>
      </c>
      <c r="O46" s="15">
        <f t="shared" si="0"/>
        <v>22</v>
      </c>
      <c r="P46" s="15">
        <f t="shared" si="1"/>
        <v>43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5</v>
      </c>
      <c r="F47" s="50">
        <v>3</v>
      </c>
      <c r="G47" s="50">
        <v>0</v>
      </c>
      <c r="H47" s="50">
        <v>0</v>
      </c>
      <c r="I47" s="50">
        <v>5</v>
      </c>
      <c r="J47" s="50">
        <v>0</v>
      </c>
      <c r="K47" s="50">
        <v>0</v>
      </c>
      <c r="L47" s="50">
        <v>3</v>
      </c>
      <c r="M47" s="50">
        <v>26</v>
      </c>
      <c r="N47" s="50">
        <v>0</v>
      </c>
      <c r="O47" s="15">
        <f t="shared" si="0"/>
        <v>21</v>
      </c>
      <c r="P47" s="15">
        <f t="shared" si="1"/>
        <v>47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6</v>
      </c>
      <c r="F48" s="50">
        <v>4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1</v>
      </c>
      <c r="M48" s="50">
        <v>33</v>
      </c>
      <c r="N48" s="50">
        <v>0</v>
      </c>
      <c r="O48" s="15">
        <f t="shared" si="0"/>
        <v>18</v>
      </c>
      <c r="P48" s="15">
        <f t="shared" si="1"/>
        <v>51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2</v>
      </c>
      <c r="E49" s="50">
        <v>8</v>
      </c>
      <c r="F49" s="50">
        <v>4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1</v>
      </c>
      <c r="M49" s="50">
        <v>29</v>
      </c>
      <c r="N49" s="50">
        <v>0</v>
      </c>
      <c r="O49" s="15">
        <f t="shared" si="0"/>
        <v>26</v>
      </c>
      <c r="P49" s="15">
        <f t="shared" si="1"/>
        <v>55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6</v>
      </c>
      <c r="F50" s="50">
        <v>1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29</v>
      </c>
      <c r="N50" s="50">
        <v>0</v>
      </c>
      <c r="O50" s="15">
        <f t="shared" si="0"/>
        <v>15</v>
      </c>
      <c r="P50" s="15">
        <f t="shared" si="1"/>
        <v>44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1</v>
      </c>
      <c r="E51" s="50">
        <v>4</v>
      </c>
      <c r="F51" s="50">
        <v>5</v>
      </c>
      <c r="G51" s="50">
        <v>0</v>
      </c>
      <c r="H51" s="50">
        <v>0</v>
      </c>
      <c r="I51" s="50">
        <v>7</v>
      </c>
      <c r="J51" s="50">
        <v>0</v>
      </c>
      <c r="K51" s="50">
        <v>0</v>
      </c>
      <c r="L51" s="50">
        <v>2</v>
      </c>
      <c r="M51" s="50">
        <v>36</v>
      </c>
      <c r="N51" s="50">
        <v>0</v>
      </c>
      <c r="O51" s="15">
        <f t="shared" si="0"/>
        <v>22</v>
      </c>
      <c r="P51" s="15">
        <f t="shared" si="1"/>
        <v>58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0</v>
      </c>
      <c r="E52" s="50">
        <v>2</v>
      </c>
      <c r="F52" s="50">
        <v>3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4</v>
      </c>
      <c r="M52" s="50">
        <v>28</v>
      </c>
      <c r="N52" s="50">
        <v>0</v>
      </c>
      <c r="O52" s="15">
        <f t="shared" si="0"/>
        <v>15</v>
      </c>
      <c r="P52" s="15">
        <f t="shared" si="1"/>
        <v>43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3</v>
      </c>
      <c r="F53" s="50">
        <v>5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42</v>
      </c>
      <c r="N53" s="50">
        <v>0</v>
      </c>
      <c r="O53" s="15">
        <f t="shared" si="0"/>
        <v>14</v>
      </c>
      <c r="P53" s="15">
        <f t="shared" si="1"/>
        <v>56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3</v>
      </c>
      <c r="F54" s="50">
        <v>3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2</v>
      </c>
      <c r="M54" s="50">
        <v>29</v>
      </c>
      <c r="N54" s="50">
        <v>0</v>
      </c>
      <c r="O54" s="15">
        <f t="shared" si="0"/>
        <v>15</v>
      </c>
      <c r="P54" s="15">
        <f t="shared" si="1"/>
        <v>44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1</v>
      </c>
      <c r="E55" s="50">
        <v>5</v>
      </c>
      <c r="F55" s="50">
        <v>3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38</v>
      </c>
      <c r="N55" s="50">
        <v>0</v>
      </c>
      <c r="O55" s="15">
        <f t="shared" si="0"/>
        <v>13</v>
      </c>
      <c r="P55" s="15">
        <f t="shared" si="1"/>
        <v>51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3</v>
      </c>
      <c r="F56" s="50">
        <v>0</v>
      </c>
      <c r="G56" s="50">
        <v>0</v>
      </c>
      <c r="H56" s="50">
        <v>0</v>
      </c>
      <c r="I56" s="50">
        <v>6</v>
      </c>
      <c r="J56" s="50">
        <v>0</v>
      </c>
      <c r="K56" s="50">
        <v>0</v>
      </c>
      <c r="L56" s="50">
        <v>3</v>
      </c>
      <c r="M56" s="50">
        <v>24</v>
      </c>
      <c r="N56" s="50">
        <v>0</v>
      </c>
      <c r="O56" s="15">
        <f t="shared" si="0"/>
        <v>13</v>
      </c>
      <c r="P56" s="15">
        <f t="shared" si="1"/>
        <v>37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5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26</v>
      </c>
      <c r="N57" s="50">
        <v>0</v>
      </c>
      <c r="O57" s="15">
        <f t="shared" si="0"/>
        <v>13</v>
      </c>
      <c r="P57" s="15">
        <f t="shared" si="1"/>
        <v>39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146</v>
      </c>
      <c r="D58" s="16">
        <f t="shared" si="21"/>
        <v>46</v>
      </c>
      <c r="E58" s="16">
        <f t="shared" si="21"/>
        <v>234</v>
      </c>
      <c r="F58" s="16">
        <f t="shared" si="21"/>
        <v>153</v>
      </c>
      <c r="G58" s="16">
        <f t="shared" si="21"/>
        <v>1</v>
      </c>
      <c r="H58" s="16">
        <f t="shared" si="21"/>
        <v>2</v>
      </c>
      <c r="I58" s="16">
        <f t="shared" si="21"/>
        <v>151</v>
      </c>
      <c r="J58" s="16">
        <f t="shared" si="21"/>
        <v>9</v>
      </c>
      <c r="K58" s="16">
        <f t="shared" si="21"/>
        <v>2</v>
      </c>
      <c r="L58" s="16">
        <f t="shared" si="21"/>
        <v>85</v>
      </c>
      <c r="M58" s="16">
        <f t="shared" si="21"/>
        <v>1339</v>
      </c>
      <c r="N58" s="16">
        <f t="shared" si="21"/>
        <v>0</v>
      </c>
      <c r="O58" s="16">
        <f t="shared" si="21"/>
        <v>829</v>
      </c>
      <c r="P58" s="16">
        <f t="shared" si="21"/>
        <v>2168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6.7343173431734321E-2</v>
      </c>
      <c r="D59" s="43">
        <f t="shared" si="22"/>
        <v>2.1217712177121772E-2</v>
      </c>
      <c r="E59" s="43">
        <f t="shared" si="22"/>
        <v>0.10793357933579335</v>
      </c>
      <c r="F59" s="43">
        <f t="shared" si="22"/>
        <v>7.0571955719557197E-2</v>
      </c>
      <c r="G59" s="43">
        <f t="shared" si="22"/>
        <v>4.6125461254612545E-4</v>
      </c>
      <c r="H59" s="43">
        <f t="shared" si="22"/>
        <v>9.225092250922509E-4</v>
      </c>
      <c r="I59" s="43">
        <f t="shared" si="22"/>
        <v>6.9649446494464945E-2</v>
      </c>
      <c r="J59" s="43">
        <f t="shared" si="22"/>
        <v>4.1512915129151293E-3</v>
      </c>
      <c r="K59" s="43">
        <f t="shared" si="22"/>
        <v>9.225092250922509E-4</v>
      </c>
      <c r="L59" s="43">
        <f t="shared" si="22"/>
        <v>3.9206642066420667E-2</v>
      </c>
      <c r="M59" s="43">
        <f t="shared" si="22"/>
        <v>0.61761992619926198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0.17611580217129072</v>
      </c>
      <c r="D60" s="44">
        <f t="shared" ref="D60:N60" si="23">D58/$O$58</f>
        <v>5.5488540410132688E-2</v>
      </c>
      <c r="E60" s="44">
        <f t="shared" si="23"/>
        <v>0.28226779252110978</v>
      </c>
      <c r="F60" s="44">
        <f t="shared" si="23"/>
        <v>0.18455971049457176</v>
      </c>
      <c r="G60" s="44">
        <f t="shared" si="23"/>
        <v>1.2062726176115801E-3</v>
      </c>
      <c r="H60" s="44">
        <f t="shared" si="23"/>
        <v>2.4125452352231603E-3</v>
      </c>
      <c r="I60" s="44">
        <f t="shared" si="23"/>
        <v>0.18214716525934863</v>
      </c>
      <c r="J60" s="44">
        <f t="shared" si="23"/>
        <v>1.0856453558504222E-2</v>
      </c>
      <c r="K60" s="44">
        <f t="shared" si="23"/>
        <v>2.4125452352231603E-3</v>
      </c>
      <c r="L60" s="44">
        <f t="shared" si="23"/>
        <v>0.10253317249698432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M37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163</v>
      </c>
      <c r="E5" s="69"/>
      <c r="F5" s="41" t="s">
        <v>1</v>
      </c>
      <c r="G5" s="66" t="str">
        <f>'25.08 Sironko-Mbale'!G5:H5</f>
        <v>xxx</v>
      </c>
      <c r="H5" s="67"/>
      <c r="I5" s="14"/>
      <c r="J5" s="2" t="s">
        <v>5</v>
      </c>
      <c r="K5" s="66" t="str">
        <f>'25.08 Sironko-Mbale'!K5:L5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'25.08 Sironko-Mbale'!D6:E6</f>
        <v>Sironko</v>
      </c>
      <c r="E6" s="67"/>
      <c r="F6" s="2" t="s">
        <v>2</v>
      </c>
      <c r="G6" s="66" t="str">
        <f>'25.08 Sironko-Mbale'!G6:H6</f>
        <v>Mbale</v>
      </c>
      <c r="H6" s="67"/>
      <c r="J6" s="2" t="s">
        <v>21</v>
      </c>
      <c r="K6" s="66" t="str">
        <f>'25.08 Sironko-Mbale'!K6:L6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AVERAGE('19.08 Sironko-Mbale'!C10,'20.08 Sironko-Mbale'!C10,'21.08 Sironko-Mbale'!C10,'23.08 Sironko-Mbale'!C10,'24.08 Sironko-Mbale-24h'!C10,'22.08 Sironko-Mbale-24h'!C10,'25.08 Sironko-Mbale'!C10)</f>
        <v>0.8571428571428571</v>
      </c>
      <c r="D10" s="49">
        <f>AVERAGE('19.08 Sironko-Mbale'!D10,'20.08 Sironko-Mbale'!D10,'21.08 Sironko-Mbale'!D10,'23.08 Sironko-Mbale'!D10,'24.08 Sironko-Mbale-24h'!D10,'22.08 Sironko-Mbale-24h'!D10,'25.08 Sironko-Mbale'!D10)</f>
        <v>0</v>
      </c>
      <c r="E10" s="49">
        <f>AVERAGE('19.08 Sironko-Mbale'!E10,'20.08 Sironko-Mbale'!E10,'21.08 Sironko-Mbale'!E10,'23.08 Sironko-Mbale'!E10,'24.08 Sironko-Mbale-24h'!E10,'22.08 Sironko-Mbale-24h'!E10,'25.08 Sironko-Mbale'!E10)</f>
        <v>1.1428571428571428</v>
      </c>
      <c r="F10" s="49">
        <f>AVERAGE('19.08 Sironko-Mbale'!F10,'20.08 Sironko-Mbale'!F10,'21.08 Sironko-Mbale'!F10,'23.08 Sironko-Mbale'!F10,'24.08 Sironko-Mbale-24h'!F10,'22.08 Sironko-Mbale-24h'!F10,'25.08 Sironko-Mbale'!F10)</f>
        <v>1.2857142857142858</v>
      </c>
      <c r="G10" s="49">
        <f>AVERAGE('19.08 Sironko-Mbale'!G10,'20.08 Sironko-Mbale'!G10,'21.08 Sironko-Mbale'!G10,'23.08 Sironko-Mbale'!G10,'24.08 Sironko-Mbale-24h'!G10,'22.08 Sironko-Mbale-24h'!G10,'25.08 Sironko-Mbale'!G10)</f>
        <v>0.42857142857142855</v>
      </c>
      <c r="H10" s="49">
        <f>AVERAGE('19.08 Sironko-Mbale'!H10,'20.08 Sironko-Mbale'!H10,'21.08 Sironko-Mbale'!H10,'23.08 Sironko-Mbale'!H10,'24.08 Sironko-Mbale-24h'!H10,'22.08 Sironko-Mbale-24h'!H10,'25.08 Sironko-Mbale'!H10)</f>
        <v>0</v>
      </c>
      <c r="I10" s="49">
        <f>AVERAGE('19.08 Sironko-Mbale'!I10,'20.08 Sironko-Mbale'!I10,'21.08 Sironko-Mbale'!I10,'23.08 Sironko-Mbale'!I10,'24.08 Sironko-Mbale-24h'!I10,'22.08 Sironko-Mbale-24h'!I10,'25.08 Sironko-Mbale'!I10)</f>
        <v>1</v>
      </c>
      <c r="J10" s="49">
        <f>AVERAGE('19.08 Sironko-Mbale'!J10,'20.08 Sironko-Mbale'!J10,'21.08 Sironko-Mbale'!J10,'23.08 Sironko-Mbale'!J10,'24.08 Sironko-Mbale-24h'!J10,'22.08 Sironko-Mbale-24h'!J10,'25.08 Sironko-Mbale'!J10)</f>
        <v>0.14285714285714285</v>
      </c>
      <c r="K10" s="49">
        <f>AVERAGE('19.08 Sironko-Mbale'!K10,'20.08 Sironko-Mbale'!K10,'21.08 Sironko-Mbale'!K10,'23.08 Sironko-Mbale'!K10,'24.08 Sironko-Mbale-24h'!K10,'22.08 Sironko-Mbale-24h'!K10,'25.08 Sironko-Mbale'!K10)</f>
        <v>0</v>
      </c>
      <c r="L10" s="49">
        <f>AVERAGE('19.08 Sironko-Mbale'!L10,'20.08 Sironko-Mbale'!L10,'21.08 Sironko-Mbale'!L10,'23.08 Sironko-Mbale'!L10,'24.08 Sironko-Mbale-24h'!L10,'22.08 Sironko-Mbale-24h'!L10,'25.08 Sironko-Mbale'!L10)</f>
        <v>0</v>
      </c>
      <c r="M10" s="49">
        <f>AVERAGE('19.08 Sironko-Mbale'!M10,'20.08 Sironko-Mbale'!M10,'21.08 Sironko-Mbale'!M10,'23.08 Sironko-Mbale'!M10,'24.08 Sironko-Mbale-24h'!M10,'22.08 Sironko-Mbale-24h'!M10,'25.08 Sironko-Mbale'!M10)</f>
        <v>13</v>
      </c>
      <c r="N10" s="49">
        <f>AVERAGE('19.08 Sironko-Mbale'!N10,'20.08 Sironko-Mbale'!N10,'21.08 Sironko-Mbale'!N10,'23.08 Sironko-Mbale'!N10,'24.08 Sironko-Mbale-24h'!N10,'22.08 Sironko-Mbale-24h'!N10,'25.08 Sironko-Mbale'!N10)</f>
        <v>0</v>
      </c>
      <c r="O10" s="15">
        <f t="shared" ref="O10:O73" si="0">SUM(C10:L10,N10)</f>
        <v>4.8571428571428568</v>
      </c>
      <c r="P10" s="15">
        <f t="shared" ref="P10:P73" si="1">SUM(C10:N10)</f>
        <v>17.857142857142858</v>
      </c>
      <c r="R10" s="1" t="s">
        <v>6</v>
      </c>
      <c r="S10" s="17">
        <f t="shared" ref="S10:AF10" si="2">SUM(C10:C13)</f>
        <v>6.1428571428571423</v>
      </c>
      <c r="T10" s="17">
        <f t="shared" si="2"/>
        <v>1.8571428571428572</v>
      </c>
      <c r="U10" s="17">
        <f t="shared" si="2"/>
        <v>12</v>
      </c>
      <c r="V10" s="17">
        <f t="shared" si="2"/>
        <v>8.5714285714285712</v>
      </c>
      <c r="W10" s="17">
        <f t="shared" si="2"/>
        <v>0.42857142857142855</v>
      </c>
      <c r="X10" s="17">
        <f t="shared" si="2"/>
        <v>0</v>
      </c>
      <c r="Y10" s="17">
        <f t="shared" si="2"/>
        <v>5.5714285714285712</v>
      </c>
      <c r="Z10" s="17">
        <f t="shared" si="2"/>
        <v>0.5714285714285714</v>
      </c>
      <c r="AA10" s="17">
        <f t="shared" si="2"/>
        <v>0</v>
      </c>
      <c r="AB10" s="17">
        <f t="shared" si="2"/>
        <v>0</v>
      </c>
      <c r="AC10" s="17">
        <f t="shared" si="2"/>
        <v>93.285714285714278</v>
      </c>
      <c r="AD10" s="17">
        <f t="shared" si="2"/>
        <v>0</v>
      </c>
      <c r="AE10" s="31">
        <f t="shared" si="2"/>
        <v>35.142857142857146</v>
      </c>
      <c r="AF10" s="31">
        <f t="shared" si="2"/>
        <v>128.42857142857142</v>
      </c>
    </row>
    <row r="11" spans="2:32" s="6" customFormat="1" ht="23.1" customHeight="1" x14ac:dyDescent="0.25">
      <c r="B11" s="23" t="s">
        <v>38</v>
      </c>
      <c r="C11" s="49">
        <f>AVERAGE('19.08 Sironko-Mbale'!C11,'20.08 Sironko-Mbale'!C11,'21.08 Sironko-Mbale'!C11,'23.08 Sironko-Mbale'!C11,'24.08 Sironko-Mbale-24h'!C11,'22.08 Sironko-Mbale-24h'!C11,'25.08 Sironko-Mbale'!C11)</f>
        <v>1.7142857142857142</v>
      </c>
      <c r="D11" s="49">
        <f>AVERAGE('19.08 Sironko-Mbale'!D11,'20.08 Sironko-Mbale'!D11,'21.08 Sironko-Mbale'!D11,'23.08 Sironko-Mbale'!D11,'24.08 Sironko-Mbale-24h'!D11,'22.08 Sironko-Mbale-24h'!D11,'25.08 Sironko-Mbale'!D11)</f>
        <v>0.42857142857142855</v>
      </c>
      <c r="E11" s="49">
        <f>AVERAGE('19.08 Sironko-Mbale'!E11,'20.08 Sironko-Mbale'!E11,'21.08 Sironko-Mbale'!E11,'23.08 Sironko-Mbale'!E11,'24.08 Sironko-Mbale-24h'!E11,'22.08 Sironko-Mbale-24h'!E11,'25.08 Sironko-Mbale'!E11)</f>
        <v>2.5714285714285716</v>
      </c>
      <c r="F11" s="49">
        <f>AVERAGE('19.08 Sironko-Mbale'!F11,'20.08 Sironko-Mbale'!F11,'21.08 Sironko-Mbale'!F11,'23.08 Sironko-Mbale'!F11,'24.08 Sironko-Mbale-24h'!F11,'22.08 Sironko-Mbale-24h'!F11,'25.08 Sironko-Mbale'!F11)</f>
        <v>3</v>
      </c>
      <c r="G11" s="49">
        <f>AVERAGE('19.08 Sironko-Mbale'!G11,'20.08 Sironko-Mbale'!G11,'21.08 Sironko-Mbale'!G11,'23.08 Sironko-Mbale'!G11,'24.08 Sironko-Mbale-24h'!G11,'22.08 Sironko-Mbale-24h'!G11,'25.08 Sironko-Mbale'!G11)</f>
        <v>0</v>
      </c>
      <c r="H11" s="49">
        <f>AVERAGE('19.08 Sironko-Mbale'!H11,'20.08 Sironko-Mbale'!H11,'21.08 Sironko-Mbale'!H11,'23.08 Sironko-Mbale'!H11,'24.08 Sironko-Mbale-24h'!H11,'22.08 Sironko-Mbale-24h'!H11,'25.08 Sironko-Mbale'!H11)</f>
        <v>0</v>
      </c>
      <c r="I11" s="49">
        <f>AVERAGE('19.08 Sironko-Mbale'!I11,'20.08 Sironko-Mbale'!I11,'21.08 Sironko-Mbale'!I11,'23.08 Sironko-Mbale'!I11,'24.08 Sironko-Mbale-24h'!I11,'22.08 Sironko-Mbale-24h'!I11,'25.08 Sironko-Mbale'!I11)</f>
        <v>1.2857142857142858</v>
      </c>
      <c r="J11" s="49">
        <f>AVERAGE('19.08 Sironko-Mbale'!J11,'20.08 Sironko-Mbale'!J11,'21.08 Sironko-Mbale'!J11,'23.08 Sironko-Mbale'!J11,'24.08 Sironko-Mbale-24h'!J11,'22.08 Sironko-Mbale-24h'!J11,'25.08 Sironko-Mbale'!J11)</f>
        <v>0.14285714285714285</v>
      </c>
      <c r="K11" s="49">
        <f>AVERAGE('19.08 Sironko-Mbale'!K11,'20.08 Sironko-Mbale'!K11,'21.08 Sironko-Mbale'!K11,'23.08 Sironko-Mbale'!K11,'24.08 Sironko-Mbale-24h'!K11,'22.08 Sironko-Mbale-24h'!K11,'25.08 Sironko-Mbale'!K11)</f>
        <v>0</v>
      </c>
      <c r="L11" s="49">
        <f>AVERAGE('19.08 Sironko-Mbale'!L11,'20.08 Sironko-Mbale'!L11,'21.08 Sironko-Mbale'!L11,'23.08 Sironko-Mbale'!L11,'24.08 Sironko-Mbale-24h'!L11,'22.08 Sironko-Mbale-24h'!L11,'25.08 Sironko-Mbale'!L11)</f>
        <v>0</v>
      </c>
      <c r="M11" s="49">
        <f>AVERAGE('19.08 Sironko-Mbale'!M11,'20.08 Sironko-Mbale'!M11,'21.08 Sironko-Mbale'!M11,'23.08 Sironko-Mbale'!M11,'24.08 Sironko-Mbale-24h'!M11,'22.08 Sironko-Mbale-24h'!M11,'25.08 Sironko-Mbale'!M11)</f>
        <v>20.571428571428573</v>
      </c>
      <c r="N11" s="49">
        <f>AVERAGE('19.08 Sironko-Mbale'!N11,'20.08 Sironko-Mbale'!N11,'21.08 Sironko-Mbale'!N11,'23.08 Sironko-Mbale'!N11,'24.08 Sironko-Mbale-24h'!N11,'22.08 Sironko-Mbale-24h'!N11,'25.08 Sironko-Mbale'!N11)</f>
        <v>0</v>
      </c>
      <c r="O11" s="15">
        <f t="shared" si="0"/>
        <v>9.1428571428571423</v>
      </c>
      <c r="P11" s="15">
        <f t="shared" si="1"/>
        <v>29.714285714285715</v>
      </c>
      <c r="R11" s="1" t="s">
        <v>7</v>
      </c>
      <c r="S11" s="17">
        <f t="shared" ref="S11:AF11" si="3">SUM(C14:C17)</f>
        <v>11.428571428571429</v>
      </c>
      <c r="T11" s="17">
        <f t="shared" si="3"/>
        <v>3.4285714285714288</v>
      </c>
      <c r="U11" s="17">
        <f t="shared" si="3"/>
        <v>19</v>
      </c>
      <c r="V11" s="17">
        <f t="shared" si="3"/>
        <v>11.571428571428571</v>
      </c>
      <c r="W11" s="17">
        <f t="shared" si="3"/>
        <v>0.14285714285714285</v>
      </c>
      <c r="X11" s="17">
        <f t="shared" si="3"/>
        <v>0</v>
      </c>
      <c r="Y11" s="17">
        <f t="shared" si="3"/>
        <v>6.1428571428571423</v>
      </c>
      <c r="Z11" s="17">
        <f t="shared" si="3"/>
        <v>0.2857142857142857</v>
      </c>
      <c r="AA11" s="17">
        <f t="shared" si="3"/>
        <v>0</v>
      </c>
      <c r="AB11" s="17">
        <f t="shared" si="3"/>
        <v>0</v>
      </c>
      <c r="AC11" s="17">
        <f t="shared" si="3"/>
        <v>109</v>
      </c>
      <c r="AD11" s="17">
        <f t="shared" si="3"/>
        <v>0</v>
      </c>
      <c r="AE11" s="31">
        <f t="shared" si="3"/>
        <v>52</v>
      </c>
      <c r="AF11" s="31">
        <f t="shared" si="3"/>
        <v>161</v>
      </c>
    </row>
    <row r="12" spans="2:32" ht="23.1" customHeight="1" x14ac:dyDescent="0.25">
      <c r="B12" s="23" t="s">
        <v>39</v>
      </c>
      <c r="C12" s="49">
        <f>AVERAGE('19.08 Sironko-Mbale'!C12,'20.08 Sironko-Mbale'!C12,'21.08 Sironko-Mbale'!C12,'23.08 Sironko-Mbale'!C12,'24.08 Sironko-Mbale-24h'!C12,'22.08 Sironko-Mbale-24h'!C12,'25.08 Sironko-Mbale'!C12)</f>
        <v>1.1428571428571428</v>
      </c>
      <c r="D12" s="49">
        <f>AVERAGE('19.08 Sironko-Mbale'!D12,'20.08 Sironko-Mbale'!D12,'21.08 Sironko-Mbale'!D12,'23.08 Sironko-Mbale'!D12,'24.08 Sironko-Mbale-24h'!D12,'22.08 Sironko-Mbale-24h'!D12,'25.08 Sironko-Mbale'!D12)</f>
        <v>0.5714285714285714</v>
      </c>
      <c r="E12" s="49">
        <f>AVERAGE('19.08 Sironko-Mbale'!E12,'20.08 Sironko-Mbale'!E12,'21.08 Sironko-Mbale'!E12,'23.08 Sironko-Mbale'!E12,'24.08 Sironko-Mbale-24h'!E12,'22.08 Sironko-Mbale-24h'!E12,'25.08 Sironko-Mbale'!E12)</f>
        <v>3.4285714285714284</v>
      </c>
      <c r="F12" s="49">
        <f>AVERAGE('19.08 Sironko-Mbale'!F12,'20.08 Sironko-Mbale'!F12,'21.08 Sironko-Mbale'!F12,'23.08 Sironko-Mbale'!F12,'24.08 Sironko-Mbale-24h'!F12,'22.08 Sironko-Mbale-24h'!F12,'25.08 Sironko-Mbale'!F12)</f>
        <v>1.4285714285714286</v>
      </c>
      <c r="G12" s="49">
        <f>AVERAGE('19.08 Sironko-Mbale'!G12,'20.08 Sironko-Mbale'!G12,'21.08 Sironko-Mbale'!G12,'23.08 Sironko-Mbale'!G12,'24.08 Sironko-Mbale-24h'!G12,'22.08 Sironko-Mbale-24h'!G12,'25.08 Sironko-Mbale'!G12)</f>
        <v>0</v>
      </c>
      <c r="H12" s="49">
        <f>AVERAGE('19.08 Sironko-Mbale'!H12,'20.08 Sironko-Mbale'!H12,'21.08 Sironko-Mbale'!H12,'23.08 Sironko-Mbale'!H12,'24.08 Sironko-Mbale-24h'!H12,'22.08 Sironko-Mbale-24h'!H12,'25.08 Sironko-Mbale'!H12)</f>
        <v>0</v>
      </c>
      <c r="I12" s="49">
        <f>AVERAGE('19.08 Sironko-Mbale'!I12,'20.08 Sironko-Mbale'!I12,'21.08 Sironko-Mbale'!I12,'23.08 Sironko-Mbale'!I12,'24.08 Sironko-Mbale-24h'!I12,'22.08 Sironko-Mbale-24h'!I12,'25.08 Sironko-Mbale'!I12)</f>
        <v>2</v>
      </c>
      <c r="J12" s="49">
        <f>AVERAGE('19.08 Sironko-Mbale'!J12,'20.08 Sironko-Mbale'!J12,'21.08 Sironko-Mbale'!J12,'23.08 Sironko-Mbale'!J12,'24.08 Sironko-Mbale-24h'!J12,'22.08 Sironko-Mbale-24h'!J12,'25.08 Sironko-Mbale'!J12)</f>
        <v>0.2857142857142857</v>
      </c>
      <c r="K12" s="49">
        <f>AVERAGE('19.08 Sironko-Mbale'!K12,'20.08 Sironko-Mbale'!K12,'21.08 Sironko-Mbale'!K12,'23.08 Sironko-Mbale'!K12,'24.08 Sironko-Mbale-24h'!K12,'22.08 Sironko-Mbale-24h'!K12,'25.08 Sironko-Mbale'!K12)</f>
        <v>0</v>
      </c>
      <c r="L12" s="49">
        <f>AVERAGE('19.08 Sironko-Mbale'!L12,'20.08 Sironko-Mbale'!L12,'21.08 Sironko-Mbale'!L12,'23.08 Sironko-Mbale'!L12,'24.08 Sironko-Mbale-24h'!L12,'22.08 Sironko-Mbale-24h'!L12,'25.08 Sironko-Mbale'!L12)</f>
        <v>0</v>
      </c>
      <c r="M12" s="49">
        <f>AVERAGE('19.08 Sironko-Mbale'!M12,'20.08 Sironko-Mbale'!M12,'21.08 Sironko-Mbale'!M12,'23.08 Sironko-Mbale'!M12,'24.08 Sironko-Mbale-24h'!M12,'22.08 Sironko-Mbale-24h'!M12,'25.08 Sironko-Mbale'!M12)</f>
        <v>27.285714285714285</v>
      </c>
      <c r="N12" s="49">
        <f>AVERAGE('19.08 Sironko-Mbale'!N12,'20.08 Sironko-Mbale'!N12,'21.08 Sironko-Mbale'!N12,'23.08 Sironko-Mbale'!N12,'24.08 Sironko-Mbale-24h'!N12,'22.08 Sironko-Mbale-24h'!N12,'25.08 Sironko-Mbale'!N12)</f>
        <v>0</v>
      </c>
      <c r="O12" s="15">
        <f t="shared" si="0"/>
        <v>8.8571428571428577</v>
      </c>
      <c r="P12" s="15">
        <f t="shared" si="1"/>
        <v>36.142857142857139</v>
      </c>
      <c r="R12" s="1" t="s">
        <v>8</v>
      </c>
      <c r="S12" s="17">
        <f t="shared" ref="S12:AF12" si="4">SUM(C18:C21)</f>
        <v>14</v>
      </c>
      <c r="T12" s="17">
        <f t="shared" si="4"/>
        <v>4.4285714285714288</v>
      </c>
      <c r="U12" s="17">
        <f t="shared" si="4"/>
        <v>22.571428571428573</v>
      </c>
      <c r="V12" s="17">
        <f t="shared" si="4"/>
        <v>12.571428571428573</v>
      </c>
      <c r="W12" s="17">
        <f t="shared" si="4"/>
        <v>0.2857142857142857</v>
      </c>
      <c r="X12" s="17">
        <f t="shared" si="4"/>
        <v>0.14285714285714285</v>
      </c>
      <c r="Y12" s="17">
        <f t="shared" si="4"/>
        <v>5.5714285714285712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115</v>
      </c>
      <c r="AD12" s="17">
        <f t="shared" si="4"/>
        <v>0.14285714285714285</v>
      </c>
      <c r="AE12" s="31">
        <f t="shared" si="4"/>
        <v>60</v>
      </c>
      <c r="AF12" s="31">
        <f t="shared" si="4"/>
        <v>175</v>
      </c>
    </row>
    <row r="13" spans="2:32" ht="23.1" customHeight="1" x14ac:dyDescent="0.25">
      <c r="B13" s="23" t="s">
        <v>40</v>
      </c>
      <c r="C13" s="49">
        <f>AVERAGE('19.08 Sironko-Mbale'!C13,'20.08 Sironko-Mbale'!C13,'21.08 Sironko-Mbale'!C13,'23.08 Sironko-Mbale'!C13,'24.08 Sironko-Mbale-24h'!C13,'22.08 Sironko-Mbale-24h'!C13,'25.08 Sironko-Mbale'!C13)</f>
        <v>2.4285714285714284</v>
      </c>
      <c r="D13" s="49">
        <f>AVERAGE('19.08 Sironko-Mbale'!D13,'20.08 Sironko-Mbale'!D13,'21.08 Sironko-Mbale'!D13,'23.08 Sironko-Mbale'!D13,'24.08 Sironko-Mbale-24h'!D13,'22.08 Sironko-Mbale-24h'!D13,'25.08 Sironko-Mbale'!D13)</f>
        <v>0.8571428571428571</v>
      </c>
      <c r="E13" s="49">
        <f>AVERAGE('19.08 Sironko-Mbale'!E13,'20.08 Sironko-Mbale'!E13,'21.08 Sironko-Mbale'!E13,'23.08 Sironko-Mbale'!E13,'24.08 Sironko-Mbale-24h'!E13,'22.08 Sironko-Mbale-24h'!E13,'25.08 Sironko-Mbale'!E13)</f>
        <v>4.8571428571428568</v>
      </c>
      <c r="F13" s="49">
        <f>AVERAGE('19.08 Sironko-Mbale'!F13,'20.08 Sironko-Mbale'!F13,'21.08 Sironko-Mbale'!F13,'23.08 Sironko-Mbale'!F13,'24.08 Sironko-Mbale-24h'!F13,'22.08 Sironko-Mbale-24h'!F13,'25.08 Sironko-Mbale'!F13)</f>
        <v>2.8571428571428572</v>
      </c>
      <c r="G13" s="49">
        <f>AVERAGE('19.08 Sironko-Mbale'!G13,'20.08 Sironko-Mbale'!G13,'21.08 Sironko-Mbale'!G13,'23.08 Sironko-Mbale'!G13,'24.08 Sironko-Mbale-24h'!G13,'22.08 Sironko-Mbale-24h'!G13,'25.08 Sironko-Mbale'!G13)</f>
        <v>0</v>
      </c>
      <c r="H13" s="49">
        <f>AVERAGE('19.08 Sironko-Mbale'!H13,'20.08 Sironko-Mbale'!H13,'21.08 Sironko-Mbale'!H13,'23.08 Sironko-Mbale'!H13,'24.08 Sironko-Mbale-24h'!H13,'22.08 Sironko-Mbale-24h'!H13,'25.08 Sironko-Mbale'!H13)</f>
        <v>0</v>
      </c>
      <c r="I13" s="49">
        <f>AVERAGE('19.08 Sironko-Mbale'!I13,'20.08 Sironko-Mbale'!I13,'21.08 Sironko-Mbale'!I13,'23.08 Sironko-Mbale'!I13,'24.08 Sironko-Mbale-24h'!I13,'22.08 Sironko-Mbale-24h'!I13,'25.08 Sironko-Mbale'!I13)</f>
        <v>1.2857142857142858</v>
      </c>
      <c r="J13" s="49">
        <f>AVERAGE('19.08 Sironko-Mbale'!J13,'20.08 Sironko-Mbale'!J13,'21.08 Sironko-Mbale'!J13,'23.08 Sironko-Mbale'!J13,'24.08 Sironko-Mbale-24h'!J13,'22.08 Sironko-Mbale-24h'!J13,'25.08 Sironko-Mbale'!J13)</f>
        <v>0</v>
      </c>
      <c r="K13" s="49">
        <f>AVERAGE('19.08 Sironko-Mbale'!K13,'20.08 Sironko-Mbale'!K13,'21.08 Sironko-Mbale'!K13,'23.08 Sironko-Mbale'!K13,'24.08 Sironko-Mbale-24h'!K13,'22.08 Sironko-Mbale-24h'!K13,'25.08 Sironko-Mbale'!K13)</f>
        <v>0</v>
      </c>
      <c r="L13" s="49">
        <f>AVERAGE('19.08 Sironko-Mbale'!L13,'20.08 Sironko-Mbale'!L13,'21.08 Sironko-Mbale'!L13,'23.08 Sironko-Mbale'!L13,'24.08 Sironko-Mbale-24h'!L13,'22.08 Sironko-Mbale-24h'!L13,'25.08 Sironko-Mbale'!L13)</f>
        <v>0</v>
      </c>
      <c r="M13" s="49">
        <f>AVERAGE('19.08 Sironko-Mbale'!M13,'20.08 Sironko-Mbale'!M13,'21.08 Sironko-Mbale'!M13,'23.08 Sironko-Mbale'!M13,'24.08 Sironko-Mbale-24h'!M13,'22.08 Sironko-Mbale-24h'!M13,'25.08 Sironko-Mbale'!M13)</f>
        <v>32.428571428571431</v>
      </c>
      <c r="N13" s="49">
        <f>AVERAGE('19.08 Sironko-Mbale'!N13,'20.08 Sironko-Mbale'!N13,'21.08 Sironko-Mbale'!N13,'23.08 Sironko-Mbale'!N13,'24.08 Sironko-Mbale-24h'!N13,'22.08 Sironko-Mbale-24h'!N13,'25.08 Sironko-Mbale'!N13)</f>
        <v>0</v>
      </c>
      <c r="O13" s="15">
        <f t="shared" si="0"/>
        <v>12.285714285714286</v>
      </c>
      <c r="P13" s="15">
        <f t="shared" si="1"/>
        <v>44.714285714285715</v>
      </c>
      <c r="R13" s="1" t="s">
        <v>9</v>
      </c>
      <c r="S13" s="17">
        <f t="shared" ref="S13:AF13" si="5">SUM(C22:C25)</f>
        <v>13.142857142857142</v>
      </c>
      <c r="T13" s="17">
        <f t="shared" si="5"/>
        <v>3.4285714285714284</v>
      </c>
      <c r="U13" s="17">
        <f t="shared" si="5"/>
        <v>18.999999999999996</v>
      </c>
      <c r="V13" s="17">
        <f t="shared" si="5"/>
        <v>13.857142857142858</v>
      </c>
      <c r="W13" s="17">
        <f t="shared" si="5"/>
        <v>0.2857142857142857</v>
      </c>
      <c r="X13" s="17">
        <f t="shared" si="5"/>
        <v>0.2857142857142857</v>
      </c>
      <c r="Y13" s="17">
        <f t="shared" si="5"/>
        <v>8.5714285714285712</v>
      </c>
      <c r="Z13" s="17">
        <f t="shared" si="5"/>
        <v>0.2857142857142857</v>
      </c>
      <c r="AA13" s="17">
        <f t="shared" si="5"/>
        <v>0.14285714285714285</v>
      </c>
      <c r="AB13" s="17">
        <f t="shared" si="5"/>
        <v>0</v>
      </c>
      <c r="AC13" s="17">
        <f t="shared" si="5"/>
        <v>115.28571428571428</v>
      </c>
      <c r="AD13" s="17">
        <f t="shared" si="5"/>
        <v>0.14285714285714285</v>
      </c>
      <c r="AE13" s="31">
        <f t="shared" si="5"/>
        <v>59.142857142857139</v>
      </c>
      <c r="AF13" s="31">
        <f t="shared" si="5"/>
        <v>174.42857142857144</v>
      </c>
    </row>
    <row r="14" spans="2:32" ht="23.1" customHeight="1" x14ac:dyDescent="0.25">
      <c r="B14" s="23" t="s">
        <v>41</v>
      </c>
      <c r="C14" s="49">
        <f>AVERAGE('19.08 Sironko-Mbale'!C14,'20.08 Sironko-Mbale'!C14,'21.08 Sironko-Mbale'!C14,'23.08 Sironko-Mbale'!C14,'24.08 Sironko-Mbale-24h'!C14,'22.08 Sironko-Mbale-24h'!C14,'25.08 Sironko-Mbale'!C14)</f>
        <v>2.8571428571428572</v>
      </c>
      <c r="D14" s="49">
        <f>AVERAGE('19.08 Sironko-Mbale'!D14,'20.08 Sironko-Mbale'!D14,'21.08 Sironko-Mbale'!D14,'23.08 Sironko-Mbale'!D14,'24.08 Sironko-Mbale-24h'!D14,'22.08 Sironko-Mbale-24h'!D14,'25.08 Sironko-Mbale'!D14)</f>
        <v>0.2857142857142857</v>
      </c>
      <c r="E14" s="49">
        <f>AVERAGE('19.08 Sironko-Mbale'!E14,'20.08 Sironko-Mbale'!E14,'21.08 Sironko-Mbale'!E14,'23.08 Sironko-Mbale'!E14,'24.08 Sironko-Mbale-24h'!E14,'22.08 Sironko-Mbale-24h'!E14,'25.08 Sironko-Mbale'!E14)</f>
        <v>3</v>
      </c>
      <c r="F14" s="49">
        <f>AVERAGE('19.08 Sironko-Mbale'!F14,'20.08 Sironko-Mbale'!F14,'21.08 Sironko-Mbale'!F14,'23.08 Sironko-Mbale'!F14,'24.08 Sironko-Mbale-24h'!F14,'22.08 Sironko-Mbale-24h'!F14,'25.08 Sironko-Mbale'!F14)</f>
        <v>3.2857142857142856</v>
      </c>
      <c r="G14" s="49">
        <f>AVERAGE('19.08 Sironko-Mbale'!G14,'20.08 Sironko-Mbale'!G14,'21.08 Sironko-Mbale'!G14,'23.08 Sironko-Mbale'!G14,'24.08 Sironko-Mbale-24h'!G14,'22.08 Sironko-Mbale-24h'!G14,'25.08 Sironko-Mbale'!G14)</f>
        <v>0.14285714285714285</v>
      </c>
      <c r="H14" s="49">
        <f>AVERAGE('19.08 Sironko-Mbale'!H14,'20.08 Sironko-Mbale'!H14,'21.08 Sironko-Mbale'!H14,'23.08 Sironko-Mbale'!H14,'24.08 Sironko-Mbale-24h'!H14,'22.08 Sironko-Mbale-24h'!H14,'25.08 Sironko-Mbale'!H14)</f>
        <v>0</v>
      </c>
      <c r="I14" s="49">
        <f>AVERAGE('19.08 Sironko-Mbale'!I14,'20.08 Sironko-Mbale'!I14,'21.08 Sironko-Mbale'!I14,'23.08 Sironko-Mbale'!I14,'24.08 Sironko-Mbale-24h'!I14,'22.08 Sironko-Mbale-24h'!I14,'25.08 Sironko-Mbale'!I14)</f>
        <v>0.8571428571428571</v>
      </c>
      <c r="J14" s="49">
        <f>AVERAGE('19.08 Sironko-Mbale'!J14,'20.08 Sironko-Mbale'!J14,'21.08 Sironko-Mbale'!J14,'23.08 Sironko-Mbale'!J14,'24.08 Sironko-Mbale-24h'!J14,'22.08 Sironko-Mbale-24h'!J14,'25.08 Sironko-Mbale'!J14)</f>
        <v>0.14285714285714285</v>
      </c>
      <c r="K14" s="49">
        <f>AVERAGE('19.08 Sironko-Mbale'!K14,'20.08 Sironko-Mbale'!K14,'21.08 Sironko-Mbale'!K14,'23.08 Sironko-Mbale'!K14,'24.08 Sironko-Mbale-24h'!K14,'22.08 Sironko-Mbale-24h'!K14,'25.08 Sironko-Mbale'!K14)</f>
        <v>0</v>
      </c>
      <c r="L14" s="49">
        <f>AVERAGE('19.08 Sironko-Mbale'!L14,'20.08 Sironko-Mbale'!L14,'21.08 Sironko-Mbale'!L14,'23.08 Sironko-Mbale'!L14,'24.08 Sironko-Mbale-24h'!L14,'22.08 Sironko-Mbale-24h'!L14,'25.08 Sironko-Mbale'!L14)</f>
        <v>0</v>
      </c>
      <c r="M14" s="49">
        <f>AVERAGE('19.08 Sironko-Mbale'!M14,'20.08 Sironko-Mbale'!M14,'21.08 Sironko-Mbale'!M14,'23.08 Sironko-Mbale'!M14,'24.08 Sironko-Mbale-24h'!M14,'22.08 Sironko-Mbale-24h'!M14,'25.08 Sironko-Mbale'!M14)</f>
        <v>28.428571428571427</v>
      </c>
      <c r="N14" s="49">
        <f>AVERAGE('19.08 Sironko-Mbale'!N14,'20.08 Sironko-Mbale'!N14,'21.08 Sironko-Mbale'!N14,'23.08 Sironko-Mbale'!N14,'24.08 Sironko-Mbale-24h'!N14,'22.08 Sironko-Mbale-24h'!N14,'25.08 Sironko-Mbale'!N14)</f>
        <v>0</v>
      </c>
      <c r="O14" s="15">
        <f t="shared" si="0"/>
        <v>10.571428571428569</v>
      </c>
      <c r="P14" s="15">
        <f t="shared" si="1"/>
        <v>39</v>
      </c>
      <c r="R14" s="1" t="s">
        <v>10</v>
      </c>
      <c r="S14" s="17">
        <f t="shared" ref="S14:AF14" si="6">SUM(C26:C29)</f>
        <v>12.714285714285715</v>
      </c>
      <c r="T14" s="17">
        <f t="shared" si="6"/>
        <v>4.2857142857142856</v>
      </c>
      <c r="U14" s="17">
        <f t="shared" si="6"/>
        <v>19.428571428571431</v>
      </c>
      <c r="V14" s="17">
        <f t="shared" si="6"/>
        <v>15.428571428571429</v>
      </c>
      <c r="W14" s="17">
        <f t="shared" si="6"/>
        <v>0.5714285714285714</v>
      </c>
      <c r="X14" s="17">
        <f t="shared" si="6"/>
        <v>0.14285714285714285</v>
      </c>
      <c r="Y14" s="17">
        <f t="shared" si="6"/>
        <v>7.4285714285714288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112</v>
      </c>
      <c r="AD14" s="17">
        <f t="shared" si="6"/>
        <v>0</v>
      </c>
      <c r="AE14" s="31">
        <f t="shared" si="6"/>
        <v>61</v>
      </c>
      <c r="AF14" s="31">
        <f t="shared" si="6"/>
        <v>173</v>
      </c>
    </row>
    <row r="15" spans="2:32" ht="23.1" customHeight="1" x14ac:dyDescent="0.25">
      <c r="B15" s="23" t="s">
        <v>42</v>
      </c>
      <c r="C15" s="49">
        <f>AVERAGE('19.08 Sironko-Mbale'!C15,'20.08 Sironko-Mbale'!C15,'21.08 Sironko-Mbale'!C15,'23.08 Sironko-Mbale'!C15,'24.08 Sironko-Mbale-24h'!C15,'22.08 Sironko-Mbale-24h'!C15,'25.08 Sironko-Mbale'!C15)</f>
        <v>2.7142857142857144</v>
      </c>
      <c r="D15" s="49">
        <f>AVERAGE('19.08 Sironko-Mbale'!D15,'20.08 Sironko-Mbale'!D15,'21.08 Sironko-Mbale'!D15,'23.08 Sironko-Mbale'!D15,'24.08 Sironko-Mbale-24h'!D15,'22.08 Sironko-Mbale-24h'!D15,'25.08 Sironko-Mbale'!D15)</f>
        <v>1.2857142857142858</v>
      </c>
      <c r="E15" s="49">
        <f>AVERAGE('19.08 Sironko-Mbale'!E15,'20.08 Sironko-Mbale'!E15,'21.08 Sironko-Mbale'!E15,'23.08 Sironko-Mbale'!E15,'24.08 Sironko-Mbale-24h'!E15,'22.08 Sironko-Mbale-24h'!E15,'25.08 Sironko-Mbale'!E15)</f>
        <v>6</v>
      </c>
      <c r="F15" s="49">
        <f>AVERAGE('19.08 Sironko-Mbale'!F15,'20.08 Sironko-Mbale'!F15,'21.08 Sironko-Mbale'!F15,'23.08 Sironko-Mbale'!F15,'24.08 Sironko-Mbale-24h'!F15,'22.08 Sironko-Mbale-24h'!F15,'25.08 Sironko-Mbale'!F15)</f>
        <v>2.4285714285714284</v>
      </c>
      <c r="G15" s="49">
        <f>AVERAGE('19.08 Sironko-Mbale'!G15,'20.08 Sironko-Mbale'!G15,'21.08 Sironko-Mbale'!G15,'23.08 Sironko-Mbale'!G15,'24.08 Sironko-Mbale-24h'!G15,'22.08 Sironko-Mbale-24h'!G15,'25.08 Sironko-Mbale'!G15)</f>
        <v>0</v>
      </c>
      <c r="H15" s="49">
        <f>AVERAGE('19.08 Sironko-Mbale'!H15,'20.08 Sironko-Mbale'!H15,'21.08 Sironko-Mbale'!H15,'23.08 Sironko-Mbale'!H15,'24.08 Sironko-Mbale-24h'!H15,'22.08 Sironko-Mbale-24h'!H15,'25.08 Sironko-Mbale'!H15)</f>
        <v>0</v>
      </c>
      <c r="I15" s="49">
        <f>AVERAGE('19.08 Sironko-Mbale'!I15,'20.08 Sironko-Mbale'!I15,'21.08 Sironko-Mbale'!I15,'23.08 Sironko-Mbale'!I15,'24.08 Sironko-Mbale-24h'!I15,'22.08 Sironko-Mbale-24h'!I15,'25.08 Sironko-Mbale'!I15)</f>
        <v>1.5714285714285714</v>
      </c>
      <c r="J15" s="49">
        <f>AVERAGE('19.08 Sironko-Mbale'!J15,'20.08 Sironko-Mbale'!J15,'21.08 Sironko-Mbale'!J15,'23.08 Sironko-Mbale'!J15,'24.08 Sironko-Mbale-24h'!J15,'22.08 Sironko-Mbale-24h'!J15,'25.08 Sironko-Mbale'!J15)</f>
        <v>0</v>
      </c>
      <c r="K15" s="49">
        <f>AVERAGE('19.08 Sironko-Mbale'!K15,'20.08 Sironko-Mbale'!K15,'21.08 Sironko-Mbale'!K15,'23.08 Sironko-Mbale'!K15,'24.08 Sironko-Mbale-24h'!K15,'22.08 Sironko-Mbale-24h'!K15,'25.08 Sironko-Mbale'!K15)</f>
        <v>0</v>
      </c>
      <c r="L15" s="49">
        <f>AVERAGE('19.08 Sironko-Mbale'!L15,'20.08 Sironko-Mbale'!L15,'21.08 Sironko-Mbale'!L15,'23.08 Sironko-Mbale'!L15,'24.08 Sironko-Mbale-24h'!L15,'22.08 Sironko-Mbale-24h'!L15,'25.08 Sironko-Mbale'!L15)</f>
        <v>0</v>
      </c>
      <c r="M15" s="49">
        <f>AVERAGE('19.08 Sironko-Mbale'!M15,'20.08 Sironko-Mbale'!M15,'21.08 Sironko-Mbale'!M15,'23.08 Sironko-Mbale'!M15,'24.08 Sironko-Mbale-24h'!M15,'22.08 Sironko-Mbale-24h'!M15,'25.08 Sironko-Mbale'!M15)</f>
        <v>26</v>
      </c>
      <c r="N15" s="49">
        <f>AVERAGE('19.08 Sironko-Mbale'!N15,'20.08 Sironko-Mbale'!N15,'21.08 Sironko-Mbale'!N15,'23.08 Sironko-Mbale'!N15,'24.08 Sironko-Mbale-24h'!N15,'22.08 Sironko-Mbale-24h'!N15,'25.08 Sironko-Mbale'!N15)</f>
        <v>0</v>
      </c>
      <c r="O15" s="15">
        <f t="shared" si="0"/>
        <v>14</v>
      </c>
      <c r="P15" s="15">
        <f t="shared" si="1"/>
        <v>40</v>
      </c>
      <c r="R15" s="1" t="s">
        <v>11</v>
      </c>
      <c r="S15" s="17">
        <f t="shared" ref="S15:AF15" si="7">SUM(C30:C33)</f>
        <v>13.142857142857142</v>
      </c>
      <c r="T15" s="17">
        <f t="shared" si="7"/>
        <v>5</v>
      </c>
      <c r="U15" s="17">
        <f t="shared" si="7"/>
        <v>23.142857142857139</v>
      </c>
      <c r="V15" s="17">
        <f t="shared" si="7"/>
        <v>15.428571428571427</v>
      </c>
      <c r="W15" s="17">
        <f t="shared" si="7"/>
        <v>0.2857142857142857</v>
      </c>
      <c r="X15" s="17">
        <f t="shared" si="7"/>
        <v>0.71428571428571419</v>
      </c>
      <c r="Y15" s="17">
        <f t="shared" si="7"/>
        <v>11.428571428571431</v>
      </c>
      <c r="Z15" s="17">
        <f t="shared" si="7"/>
        <v>0.5714285714285714</v>
      </c>
      <c r="AA15" s="17">
        <f t="shared" si="7"/>
        <v>0.14285714285714285</v>
      </c>
      <c r="AB15" s="17">
        <f t="shared" si="7"/>
        <v>0</v>
      </c>
      <c r="AC15" s="17">
        <f t="shared" si="7"/>
        <v>122.71428571428572</v>
      </c>
      <c r="AD15" s="17">
        <f t="shared" si="7"/>
        <v>0.2857142857142857</v>
      </c>
      <c r="AE15" s="31">
        <f t="shared" si="7"/>
        <v>70.142857142857153</v>
      </c>
      <c r="AF15" s="31">
        <f t="shared" si="7"/>
        <v>192.85714285714289</v>
      </c>
    </row>
    <row r="16" spans="2:32" ht="23.1" customHeight="1" x14ac:dyDescent="0.25">
      <c r="B16" s="23" t="s">
        <v>43</v>
      </c>
      <c r="C16" s="49">
        <f>AVERAGE('19.08 Sironko-Mbale'!C16,'20.08 Sironko-Mbale'!C16,'21.08 Sironko-Mbale'!C16,'23.08 Sironko-Mbale'!C16,'24.08 Sironko-Mbale-24h'!C16,'22.08 Sironko-Mbale-24h'!C16,'25.08 Sironko-Mbale'!C16)</f>
        <v>3.2857142857142856</v>
      </c>
      <c r="D16" s="49">
        <f>AVERAGE('19.08 Sironko-Mbale'!D16,'20.08 Sironko-Mbale'!D16,'21.08 Sironko-Mbale'!D16,'23.08 Sironko-Mbale'!D16,'24.08 Sironko-Mbale-24h'!D16,'22.08 Sironko-Mbale-24h'!D16,'25.08 Sironko-Mbale'!D16)</f>
        <v>1.1428571428571428</v>
      </c>
      <c r="E16" s="49">
        <f>AVERAGE('19.08 Sironko-Mbale'!E16,'20.08 Sironko-Mbale'!E16,'21.08 Sironko-Mbale'!E16,'23.08 Sironko-Mbale'!E16,'24.08 Sironko-Mbale-24h'!E16,'22.08 Sironko-Mbale-24h'!E16,'25.08 Sironko-Mbale'!E16)</f>
        <v>5.7142857142857144</v>
      </c>
      <c r="F16" s="49">
        <f>AVERAGE('19.08 Sironko-Mbale'!F16,'20.08 Sironko-Mbale'!F16,'21.08 Sironko-Mbale'!F16,'23.08 Sironko-Mbale'!F16,'24.08 Sironko-Mbale-24h'!F16,'22.08 Sironko-Mbale-24h'!F16,'25.08 Sironko-Mbale'!F16)</f>
        <v>2.4285714285714284</v>
      </c>
      <c r="G16" s="49">
        <f>AVERAGE('19.08 Sironko-Mbale'!G16,'20.08 Sironko-Mbale'!G16,'21.08 Sironko-Mbale'!G16,'23.08 Sironko-Mbale'!G16,'24.08 Sironko-Mbale-24h'!G16,'22.08 Sironko-Mbale-24h'!G16,'25.08 Sironko-Mbale'!G16)</f>
        <v>0</v>
      </c>
      <c r="H16" s="49">
        <f>AVERAGE('19.08 Sironko-Mbale'!H16,'20.08 Sironko-Mbale'!H16,'21.08 Sironko-Mbale'!H16,'23.08 Sironko-Mbale'!H16,'24.08 Sironko-Mbale-24h'!H16,'22.08 Sironko-Mbale-24h'!H16,'25.08 Sironko-Mbale'!H16)</f>
        <v>0</v>
      </c>
      <c r="I16" s="49">
        <f>AVERAGE('19.08 Sironko-Mbale'!I16,'20.08 Sironko-Mbale'!I16,'21.08 Sironko-Mbale'!I16,'23.08 Sironko-Mbale'!I16,'24.08 Sironko-Mbale-24h'!I16,'22.08 Sironko-Mbale-24h'!I16,'25.08 Sironko-Mbale'!I16)</f>
        <v>1.7142857142857142</v>
      </c>
      <c r="J16" s="49">
        <f>AVERAGE('19.08 Sironko-Mbale'!J16,'20.08 Sironko-Mbale'!J16,'21.08 Sironko-Mbale'!J16,'23.08 Sironko-Mbale'!J16,'24.08 Sironko-Mbale-24h'!J16,'22.08 Sironko-Mbale-24h'!J16,'25.08 Sironko-Mbale'!J16)</f>
        <v>0</v>
      </c>
      <c r="K16" s="49">
        <f>AVERAGE('19.08 Sironko-Mbale'!K16,'20.08 Sironko-Mbale'!K16,'21.08 Sironko-Mbale'!K16,'23.08 Sironko-Mbale'!K16,'24.08 Sironko-Mbale-24h'!K16,'22.08 Sironko-Mbale-24h'!K16,'25.08 Sironko-Mbale'!K16)</f>
        <v>0</v>
      </c>
      <c r="L16" s="49">
        <f>AVERAGE('19.08 Sironko-Mbale'!L16,'20.08 Sironko-Mbale'!L16,'21.08 Sironko-Mbale'!L16,'23.08 Sironko-Mbale'!L16,'24.08 Sironko-Mbale-24h'!L16,'22.08 Sironko-Mbale-24h'!L16,'25.08 Sironko-Mbale'!L16)</f>
        <v>0</v>
      </c>
      <c r="M16" s="49">
        <f>AVERAGE('19.08 Sironko-Mbale'!M16,'20.08 Sironko-Mbale'!M16,'21.08 Sironko-Mbale'!M16,'23.08 Sironko-Mbale'!M16,'24.08 Sironko-Mbale-24h'!M16,'22.08 Sironko-Mbale-24h'!M16,'25.08 Sironko-Mbale'!M16)</f>
        <v>26.857142857142858</v>
      </c>
      <c r="N16" s="49">
        <f>AVERAGE('19.08 Sironko-Mbale'!N16,'20.08 Sironko-Mbale'!N16,'21.08 Sironko-Mbale'!N16,'23.08 Sironko-Mbale'!N16,'24.08 Sironko-Mbale-24h'!N16,'22.08 Sironko-Mbale-24h'!N16,'25.08 Sironko-Mbale'!N16)</f>
        <v>0</v>
      </c>
      <c r="O16" s="15">
        <f t="shared" si="0"/>
        <v>14.285714285714285</v>
      </c>
      <c r="P16" s="15">
        <f t="shared" si="1"/>
        <v>41.142857142857139</v>
      </c>
      <c r="R16" s="1" t="s">
        <v>12</v>
      </c>
      <c r="S16" s="17">
        <f t="shared" ref="S16:AF16" si="8">SUM(C34:C37)</f>
        <v>13.285714285714285</v>
      </c>
      <c r="T16" s="17">
        <f t="shared" si="8"/>
        <v>5.4285714285714288</v>
      </c>
      <c r="U16" s="17">
        <f t="shared" si="8"/>
        <v>25.285714285714285</v>
      </c>
      <c r="V16" s="17">
        <f t="shared" si="8"/>
        <v>13.000000000000002</v>
      </c>
      <c r="W16" s="17">
        <f t="shared" si="8"/>
        <v>0</v>
      </c>
      <c r="X16" s="17">
        <f t="shared" si="8"/>
        <v>0</v>
      </c>
      <c r="Y16" s="17">
        <f t="shared" si="8"/>
        <v>11.428571428571427</v>
      </c>
      <c r="Z16" s="17">
        <f t="shared" si="8"/>
        <v>0.2857142857142857</v>
      </c>
      <c r="AA16" s="17">
        <f t="shared" si="8"/>
        <v>0.14285714285714285</v>
      </c>
      <c r="AB16" s="17">
        <f t="shared" si="8"/>
        <v>0</v>
      </c>
      <c r="AC16" s="17">
        <f t="shared" si="8"/>
        <v>116.14285714285714</v>
      </c>
      <c r="AD16" s="17">
        <f t="shared" si="8"/>
        <v>0</v>
      </c>
      <c r="AE16" s="31">
        <f t="shared" si="8"/>
        <v>68.857142857142861</v>
      </c>
      <c r="AF16" s="31">
        <f t="shared" si="8"/>
        <v>185</v>
      </c>
    </row>
    <row r="17" spans="2:32" ht="23.1" customHeight="1" x14ac:dyDescent="0.25">
      <c r="B17" s="23" t="s">
        <v>44</v>
      </c>
      <c r="C17" s="49">
        <f>AVERAGE('19.08 Sironko-Mbale'!C17,'20.08 Sironko-Mbale'!C17,'21.08 Sironko-Mbale'!C17,'23.08 Sironko-Mbale'!C17,'24.08 Sironko-Mbale-24h'!C17,'22.08 Sironko-Mbale-24h'!C17,'25.08 Sironko-Mbale'!C17)</f>
        <v>2.5714285714285716</v>
      </c>
      <c r="D17" s="49">
        <f>AVERAGE('19.08 Sironko-Mbale'!D17,'20.08 Sironko-Mbale'!D17,'21.08 Sironko-Mbale'!D17,'23.08 Sironko-Mbale'!D17,'24.08 Sironko-Mbale-24h'!D17,'22.08 Sironko-Mbale-24h'!D17,'25.08 Sironko-Mbale'!D17)</f>
        <v>0.7142857142857143</v>
      </c>
      <c r="E17" s="49">
        <f>AVERAGE('19.08 Sironko-Mbale'!E17,'20.08 Sironko-Mbale'!E17,'21.08 Sironko-Mbale'!E17,'23.08 Sironko-Mbale'!E17,'24.08 Sironko-Mbale-24h'!E17,'22.08 Sironko-Mbale-24h'!E17,'25.08 Sironko-Mbale'!E17)</f>
        <v>4.2857142857142856</v>
      </c>
      <c r="F17" s="49">
        <f>AVERAGE('19.08 Sironko-Mbale'!F17,'20.08 Sironko-Mbale'!F17,'21.08 Sironko-Mbale'!F17,'23.08 Sironko-Mbale'!F17,'24.08 Sironko-Mbale-24h'!F17,'22.08 Sironko-Mbale-24h'!F17,'25.08 Sironko-Mbale'!F17)</f>
        <v>3.4285714285714284</v>
      </c>
      <c r="G17" s="49">
        <f>AVERAGE('19.08 Sironko-Mbale'!G17,'20.08 Sironko-Mbale'!G17,'21.08 Sironko-Mbale'!G17,'23.08 Sironko-Mbale'!G17,'24.08 Sironko-Mbale-24h'!G17,'22.08 Sironko-Mbale-24h'!G17,'25.08 Sironko-Mbale'!G17)</f>
        <v>0</v>
      </c>
      <c r="H17" s="49">
        <f>AVERAGE('19.08 Sironko-Mbale'!H17,'20.08 Sironko-Mbale'!H17,'21.08 Sironko-Mbale'!H17,'23.08 Sironko-Mbale'!H17,'24.08 Sironko-Mbale-24h'!H17,'22.08 Sironko-Mbale-24h'!H17,'25.08 Sironko-Mbale'!H17)</f>
        <v>0</v>
      </c>
      <c r="I17" s="49">
        <f>AVERAGE('19.08 Sironko-Mbale'!I17,'20.08 Sironko-Mbale'!I17,'21.08 Sironko-Mbale'!I17,'23.08 Sironko-Mbale'!I17,'24.08 Sironko-Mbale-24h'!I17,'22.08 Sironko-Mbale-24h'!I17,'25.08 Sironko-Mbale'!I17)</f>
        <v>2</v>
      </c>
      <c r="J17" s="49">
        <f>AVERAGE('19.08 Sironko-Mbale'!J17,'20.08 Sironko-Mbale'!J17,'21.08 Sironko-Mbale'!J17,'23.08 Sironko-Mbale'!J17,'24.08 Sironko-Mbale-24h'!J17,'22.08 Sironko-Mbale-24h'!J17,'25.08 Sironko-Mbale'!J17)</f>
        <v>0.14285714285714285</v>
      </c>
      <c r="K17" s="49">
        <f>AVERAGE('19.08 Sironko-Mbale'!K17,'20.08 Sironko-Mbale'!K17,'21.08 Sironko-Mbale'!K17,'23.08 Sironko-Mbale'!K17,'24.08 Sironko-Mbale-24h'!K17,'22.08 Sironko-Mbale-24h'!K17,'25.08 Sironko-Mbale'!K17)</f>
        <v>0</v>
      </c>
      <c r="L17" s="49">
        <f>AVERAGE('19.08 Sironko-Mbale'!L17,'20.08 Sironko-Mbale'!L17,'21.08 Sironko-Mbale'!L17,'23.08 Sironko-Mbale'!L17,'24.08 Sironko-Mbale-24h'!L17,'22.08 Sironko-Mbale-24h'!L17,'25.08 Sironko-Mbale'!L17)</f>
        <v>0</v>
      </c>
      <c r="M17" s="49">
        <f>AVERAGE('19.08 Sironko-Mbale'!M17,'20.08 Sironko-Mbale'!M17,'21.08 Sironko-Mbale'!M17,'23.08 Sironko-Mbale'!M17,'24.08 Sironko-Mbale-24h'!M17,'22.08 Sironko-Mbale-24h'!M17,'25.08 Sironko-Mbale'!M17)</f>
        <v>27.714285714285715</v>
      </c>
      <c r="N17" s="49">
        <f>AVERAGE('19.08 Sironko-Mbale'!N17,'20.08 Sironko-Mbale'!N17,'21.08 Sironko-Mbale'!N17,'23.08 Sironko-Mbale'!N17,'24.08 Sironko-Mbale-24h'!N17,'22.08 Sironko-Mbale-24h'!N17,'25.08 Sironko-Mbale'!N17)</f>
        <v>0</v>
      </c>
      <c r="O17" s="15">
        <f t="shared" si="0"/>
        <v>13.142857142857142</v>
      </c>
      <c r="P17" s="15">
        <f t="shared" si="1"/>
        <v>40.857142857142861</v>
      </c>
      <c r="R17" s="1" t="s">
        <v>13</v>
      </c>
      <c r="S17" s="17">
        <f t="shared" ref="S17:AF17" si="9">SUM(C38:C41)</f>
        <v>13.714285714285714</v>
      </c>
      <c r="T17" s="17">
        <f t="shared" si="9"/>
        <v>4.5714285714285712</v>
      </c>
      <c r="U17" s="17">
        <f t="shared" si="9"/>
        <v>22.857142857142858</v>
      </c>
      <c r="V17" s="17">
        <f t="shared" si="9"/>
        <v>14.285714285714286</v>
      </c>
      <c r="W17" s="17">
        <f t="shared" si="9"/>
        <v>0</v>
      </c>
      <c r="X17" s="17">
        <f t="shared" si="9"/>
        <v>0.2857142857142857</v>
      </c>
      <c r="Y17" s="17">
        <f t="shared" si="9"/>
        <v>12.714285714285715</v>
      </c>
      <c r="Z17" s="17">
        <f t="shared" si="9"/>
        <v>0.5714285714285714</v>
      </c>
      <c r="AA17" s="17">
        <f t="shared" si="9"/>
        <v>0.14285714285714285</v>
      </c>
      <c r="AB17" s="17">
        <f t="shared" si="9"/>
        <v>0</v>
      </c>
      <c r="AC17" s="17">
        <f t="shared" si="9"/>
        <v>109.14285714285714</v>
      </c>
      <c r="AD17" s="17">
        <f t="shared" si="9"/>
        <v>0</v>
      </c>
      <c r="AE17" s="31">
        <f t="shared" si="9"/>
        <v>69.142857142857139</v>
      </c>
      <c r="AF17" s="31">
        <f t="shared" si="9"/>
        <v>178.28571428571431</v>
      </c>
    </row>
    <row r="18" spans="2:32" ht="23.1" customHeight="1" x14ac:dyDescent="0.25">
      <c r="B18" s="23" t="s">
        <v>45</v>
      </c>
      <c r="C18" s="49">
        <f>AVERAGE('19.08 Sironko-Mbale'!C18,'20.08 Sironko-Mbale'!C18,'21.08 Sironko-Mbale'!C18,'23.08 Sironko-Mbale'!C18,'24.08 Sironko-Mbale-24h'!C18,'22.08 Sironko-Mbale-24h'!C18,'25.08 Sironko-Mbale'!C18)</f>
        <v>2.4285714285714284</v>
      </c>
      <c r="D18" s="49">
        <f>AVERAGE('19.08 Sironko-Mbale'!D18,'20.08 Sironko-Mbale'!D18,'21.08 Sironko-Mbale'!D18,'23.08 Sironko-Mbale'!D18,'24.08 Sironko-Mbale-24h'!D18,'22.08 Sironko-Mbale-24h'!D18,'25.08 Sironko-Mbale'!D18)</f>
        <v>0.14285714285714285</v>
      </c>
      <c r="E18" s="49">
        <f>AVERAGE('19.08 Sironko-Mbale'!E18,'20.08 Sironko-Mbale'!E18,'21.08 Sironko-Mbale'!E18,'23.08 Sironko-Mbale'!E18,'24.08 Sironko-Mbale-24h'!E18,'22.08 Sironko-Mbale-24h'!E18,'25.08 Sironko-Mbale'!E18)</f>
        <v>2.8571428571428572</v>
      </c>
      <c r="F18" s="49">
        <f>AVERAGE('19.08 Sironko-Mbale'!F18,'20.08 Sironko-Mbale'!F18,'21.08 Sironko-Mbale'!F18,'23.08 Sironko-Mbale'!F18,'24.08 Sironko-Mbale-24h'!F18,'22.08 Sironko-Mbale-24h'!F18,'25.08 Sironko-Mbale'!F18)</f>
        <v>2.5714285714285716</v>
      </c>
      <c r="G18" s="49">
        <f>AVERAGE('19.08 Sironko-Mbale'!G18,'20.08 Sironko-Mbale'!G18,'21.08 Sironko-Mbale'!G18,'23.08 Sironko-Mbale'!G18,'24.08 Sironko-Mbale-24h'!G18,'22.08 Sironko-Mbale-24h'!G18,'25.08 Sironko-Mbale'!G18)</f>
        <v>0.14285714285714285</v>
      </c>
      <c r="H18" s="49">
        <f>AVERAGE('19.08 Sironko-Mbale'!H18,'20.08 Sironko-Mbale'!H18,'21.08 Sironko-Mbale'!H18,'23.08 Sironko-Mbale'!H18,'24.08 Sironko-Mbale-24h'!H18,'22.08 Sironko-Mbale-24h'!H18,'25.08 Sironko-Mbale'!H18)</f>
        <v>0</v>
      </c>
      <c r="I18" s="49">
        <f>AVERAGE('19.08 Sironko-Mbale'!I18,'20.08 Sironko-Mbale'!I18,'21.08 Sironko-Mbale'!I18,'23.08 Sironko-Mbale'!I18,'24.08 Sironko-Mbale-24h'!I18,'22.08 Sironko-Mbale-24h'!I18,'25.08 Sironko-Mbale'!I18)</f>
        <v>1.7142857142857142</v>
      </c>
      <c r="J18" s="49">
        <f>AVERAGE('19.08 Sironko-Mbale'!J18,'20.08 Sironko-Mbale'!J18,'21.08 Sironko-Mbale'!J18,'23.08 Sironko-Mbale'!J18,'24.08 Sironko-Mbale-24h'!J18,'22.08 Sironko-Mbale-24h'!J18,'25.08 Sironko-Mbale'!J18)</f>
        <v>0.14285714285714285</v>
      </c>
      <c r="K18" s="49">
        <f>AVERAGE('19.08 Sironko-Mbale'!K18,'20.08 Sironko-Mbale'!K18,'21.08 Sironko-Mbale'!K18,'23.08 Sironko-Mbale'!K18,'24.08 Sironko-Mbale-24h'!K18,'22.08 Sironko-Mbale-24h'!K18,'25.08 Sironko-Mbale'!K18)</f>
        <v>0</v>
      </c>
      <c r="L18" s="49">
        <f>AVERAGE('19.08 Sironko-Mbale'!L18,'20.08 Sironko-Mbale'!L18,'21.08 Sironko-Mbale'!L18,'23.08 Sironko-Mbale'!L18,'24.08 Sironko-Mbale-24h'!L18,'22.08 Sironko-Mbale-24h'!L18,'25.08 Sironko-Mbale'!L18)</f>
        <v>0</v>
      </c>
      <c r="M18" s="49">
        <f>AVERAGE('19.08 Sironko-Mbale'!M18,'20.08 Sironko-Mbale'!M18,'21.08 Sironko-Mbale'!M18,'23.08 Sironko-Mbale'!M18,'24.08 Sironko-Mbale-24h'!M18,'22.08 Sironko-Mbale-24h'!M18,'25.08 Sironko-Mbale'!M18)</f>
        <v>25.571428571428573</v>
      </c>
      <c r="N18" s="49">
        <f>AVERAGE('19.08 Sironko-Mbale'!N18,'20.08 Sironko-Mbale'!N18,'21.08 Sironko-Mbale'!N18,'23.08 Sironko-Mbale'!N18,'24.08 Sironko-Mbale-24h'!N18,'22.08 Sironko-Mbale-24h'!N18,'25.08 Sironko-Mbale'!N18)</f>
        <v>0</v>
      </c>
      <c r="O18" s="15">
        <f t="shared" si="0"/>
        <v>9.9999999999999982</v>
      </c>
      <c r="P18" s="15">
        <f t="shared" si="1"/>
        <v>35.571428571428569</v>
      </c>
      <c r="R18" s="1" t="s">
        <v>14</v>
      </c>
      <c r="S18" s="17">
        <f t="shared" ref="S18:AF18" si="10">SUM(C42:C45)</f>
        <v>14.714285714285714</v>
      </c>
      <c r="T18" s="17">
        <f t="shared" si="10"/>
        <v>5.1428571428571423</v>
      </c>
      <c r="U18" s="17">
        <f t="shared" si="10"/>
        <v>22.714285714285715</v>
      </c>
      <c r="V18" s="17">
        <f t="shared" si="10"/>
        <v>16.714285714285715</v>
      </c>
      <c r="W18" s="17">
        <f t="shared" si="10"/>
        <v>0.2857142857142857</v>
      </c>
      <c r="X18" s="17">
        <f t="shared" si="10"/>
        <v>0.14285714285714285</v>
      </c>
      <c r="Y18" s="17">
        <f t="shared" si="10"/>
        <v>12</v>
      </c>
      <c r="Z18" s="17">
        <f t="shared" si="10"/>
        <v>0.8571428571428571</v>
      </c>
      <c r="AA18" s="17">
        <f t="shared" si="10"/>
        <v>0.14285714285714285</v>
      </c>
      <c r="AB18" s="17">
        <f t="shared" si="10"/>
        <v>0</v>
      </c>
      <c r="AC18" s="17">
        <f t="shared" si="10"/>
        <v>100.71428571428572</v>
      </c>
      <c r="AD18" s="17">
        <f t="shared" si="10"/>
        <v>0</v>
      </c>
      <c r="AE18" s="31">
        <f t="shared" si="10"/>
        <v>72.714285714285708</v>
      </c>
      <c r="AF18" s="31">
        <f t="shared" si="10"/>
        <v>173.42857142857144</v>
      </c>
    </row>
    <row r="19" spans="2:32" ht="23.1" customHeight="1" x14ac:dyDescent="0.25">
      <c r="B19" s="23" t="s">
        <v>46</v>
      </c>
      <c r="C19" s="49">
        <f>AVERAGE('19.08 Sironko-Mbale'!C19,'20.08 Sironko-Mbale'!C19,'21.08 Sironko-Mbale'!C19,'23.08 Sironko-Mbale'!C19,'24.08 Sironko-Mbale-24h'!C19,'22.08 Sironko-Mbale-24h'!C19,'25.08 Sironko-Mbale'!C19)</f>
        <v>3.1428571428571428</v>
      </c>
      <c r="D19" s="49">
        <f>AVERAGE('19.08 Sironko-Mbale'!D19,'20.08 Sironko-Mbale'!D19,'21.08 Sironko-Mbale'!D19,'23.08 Sironko-Mbale'!D19,'24.08 Sironko-Mbale-24h'!D19,'22.08 Sironko-Mbale-24h'!D19,'25.08 Sironko-Mbale'!D19)</f>
        <v>1.4285714285714286</v>
      </c>
      <c r="E19" s="49">
        <f>AVERAGE('19.08 Sironko-Mbale'!E19,'20.08 Sironko-Mbale'!E19,'21.08 Sironko-Mbale'!E19,'23.08 Sironko-Mbale'!E19,'24.08 Sironko-Mbale-24h'!E19,'22.08 Sironko-Mbale-24h'!E19,'25.08 Sironko-Mbale'!E19)</f>
        <v>6.4285714285714288</v>
      </c>
      <c r="F19" s="49">
        <f>AVERAGE('19.08 Sironko-Mbale'!F19,'20.08 Sironko-Mbale'!F19,'21.08 Sironko-Mbale'!F19,'23.08 Sironko-Mbale'!F19,'24.08 Sironko-Mbale-24h'!F19,'22.08 Sironko-Mbale-24h'!F19,'25.08 Sironko-Mbale'!F19)</f>
        <v>2.4285714285714284</v>
      </c>
      <c r="G19" s="49">
        <f>AVERAGE('19.08 Sironko-Mbale'!G19,'20.08 Sironko-Mbale'!G19,'21.08 Sironko-Mbale'!G19,'23.08 Sironko-Mbale'!G19,'24.08 Sironko-Mbale-24h'!G19,'22.08 Sironko-Mbale-24h'!G19,'25.08 Sironko-Mbale'!G19)</f>
        <v>0</v>
      </c>
      <c r="H19" s="49">
        <f>AVERAGE('19.08 Sironko-Mbale'!H19,'20.08 Sironko-Mbale'!H19,'21.08 Sironko-Mbale'!H19,'23.08 Sironko-Mbale'!H19,'24.08 Sironko-Mbale-24h'!H19,'22.08 Sironko-Mbale-24h'!H19,'25.08 Sironko-Mbale'!H19)</f>
        <v>0</v>
      </c>
      <c r="I19" s="49">
        <f>AVERAGE('19.08 Sironko-Mbale'!I19,'20.08 Sironko-Mbale'!I19,'21.08 Sironko-Mbale'!I19,'23.08 Sironko-Mbale'!I19,'24.08 Sironko-Mbale-24h'!I19,'22.08 Sironko-Mbale-24h'!I19,'25.08 Sironko-Mbale'!I19)</f>
        <v>0.7142857142857143</v>
      </c>
      <c r="J19" s="49">
        <f>AVERAGE('19.08 Sironko-Mbale'!J19,'20.08 Sironko-Mbale'!J19,'21.08 Sironko-Mbale'!J19,'23.08 Sironko-Mbale'!J19,'24.08 Sironko-Mbale-24h'!J19,'22.08 Sironko-Mbale-24h'!J19,'25.08 Sironko-Mbale'!J19)</f>
        <v>0</v>
      </c>
      <c r="K19" s="49">
        <f>AVERAGE('19.08 Sironko-Mbale'!K19,'20.08 Sironko-Mbale'!K19,'21.08 Sironko-Mbale'!K19,'23.08 Sironko-Mbale'!K19,'24.08 Sironko-Mbale-24h'!K19,'22.08 Sironko-Mbale-24h'!K19,'25.08 Sironko-Mbale'!K19)</f>
        <v>0</v>
      </c>
      <c r="L19" s="49">
        <f>AVERAGE('19.08 Sironko-Mbale'!L19,'20.08 Sironko-Mbale'!L19,'21.08 Sironko-Mbale'!L19,'23.08 Sironko-Mbale'!L19,'24.08 Sironko-Mbale-24h'!L19,'22.08 Sironko-Mbale-24h'!L19,'25.08 Sironko-Mbale'!L19)</f>
        <v>0</v>
      </c>
      <c r="M19" s="49">
        <f>AVERAGE('19.08 Sironko-Mbale'!M19,'20.08 Sironko-Mbale'!M19,'21.08 Sironko-Mbale'!M19,'23.08 Sironko-Mbale'!M19,'24.08 Sironko-Mbale-24h'!M19,'22.08 Sironko-Mbale-24h'!M19,'25.08 Sironko-Mbale'!M19)</f>
        <v>33.285714285714285</v>
      </c>
      <c r="N19" s="49">
        <f>AVERAGE('19.08 Sironko-Mbale'!N19,'20.08 Sironko-Mbale'!N19,'21.08 Sironko-Mbale'!N19,'23.08 Sironko-Mbale'!N19,'24.08 Sironko-Mbale-24h'!N19,'22.08 Sironko-Mbale-24h'!N19,'25.08 Sironko-Mbale'!N19)</f>
        <v>0</v>
      </c>
      <c r="O19" s="15">
        <f t="shared" si="0"/>
        <v>14.142857142857142</v>
      </c>
      <c r="P19" s="15">
        <f t="shared" si="1"/>
        <v>47.428571428571431</v>
      </c>
      <c r="R19" s="1" t="s">
        <v>15</v>
      </c>
      <c r="S19" s="17">
        <f t="shared" ref="S19:AF19" si="11">SUM(C46:C49)</f>
        <v>16.428571428571431</v>
      </c>
      <c r="T19" s="17">
        <f t="shared" si="11"/>
        <v>4.4285714285714279</v>
      </c>
      <c r="U19" s="17">
        <f t="shared" si="11"/>
        <v>20.857142857142858</v>
      </c>
      <c r="V19" s="17">
        <f t="shared" si="11"/>
        <v>15.714285714285714</v>
      </c>
      <c r="W19" s="17">
        <f t="shared" si="11"/>
        <v>1.2857142857142856</v>
      </c>
      <c r="X19" s="17">
        <f t="shared" si="11"/>
        <v>0.14285714285714285</v>
      </c>
      <c r="Y19" s="17">
        <f t="shared" si="11"/>
        <v>12.999999999999998</v>
      </c>
      <c r="Z19" s="17">
        <f t="shared" si="11"/>
        <v>0.8571428571428571</v>
      </c>
      <c r="AA19" s="17">
        <f t="shared" si="11"/>
        <v>0</v>
      </c>
      <c r="AB19" s="17">
        <f t="shared" si="11"/>
        <v>0</v>
      </c>
      <c r="AC19" s="17">
        <f t="shared" si="11"/>
        <v>126.71428571428572</v>
      </c>
      <c r="AD19" s="17">
        <f t="shared" si="11"/>
        <v>0</v>
      </c>
      <c r="AE19" s="31">
        <f t="shared" si="11"/>
        <v>72.714285714285708</v>
      </c>
      <c r="AF19" s="31">
        <f t="shared" si="11"/>
        <v>199.42857142857144</v>
      </c>
    </row>
    <row r="20" spans="2:32" ht="23.1" customHeight="1" x14ac:dyDescent="0.25">
      <c r="B20" s="23" t="s">
        <v>47</v>
      </c>
      <c r="C20" s="49">
        <f>AVERAGE('19.08 Sironko-Mbale'!C20,'20.08 Sironko-Mbale'!C20,'21.08 Sironko-Mbale'!C20,'23.08 Sironko-Mbale'!C20,'24.08 Sironko-Mbale-24h'!C20,'22.08 Sironko-Mbale-24h'!C20,'25.08 Sironko-Mbale'!C20)</f>
        <v>4.2857142857142856</v>
      </c>
      <c r="D20" s="49">
        <f>AVERAGE('19.08 Sironko-Mbale'!D20,'20.08 Sironko-Mbale'!D20,'21.08 Sironko-Mbale'!D20,'23.08 Sironko-Mbale'!D20,'24.08 Sironko-Mbale-24h'!D20,'22.08 Sironko-Mbale-24h'!D20,'25.08 Sironko-Mbale'!D20)</f>
        <v>1.7142857142857142</v>
      </c>
      <c r="E20" s="49">
        <f>AVERAGE('19.08 Sironko-Mbale'!E20,'20.08 Sironko-Mbale'!E20,'21.08 Sironko-Mbale'!E20,'23.08 Sironko-Mbale'!E20,'24.08 Sironko-Mbale-24h'!E20,'22.08 Sironko-Mbale-24h'!E20,'25.08 Sironko-Mbale'!E20)</f>
        <v>7.4285714285714288</v>
      </c>
      <c r="F20" s="49">
        <f>AVERAGE('19.08 Sironko-Mbale'!F20,'20.08 Sironko-Mbale'!F20,'21.08 Sironko-Mbale'!F20,'23.08 Sironko-Mbale'!F20,'24.08 Sironko-Mbale-24h'!F20,'22.08 Sironko-Mbale-24h'!F20,'25.08 Sironko-Mbale'!F20)</f>
        <v>3.4285714285714284</v>
      </c>
      <c r="G20" s="49">
        <f>AVERAGE('19.08 Sironko-Mbale'!G20,'20.08 Sironko-Mbale'!G20,'21.08 Sironko-Mbale'!G20,'23.08 Sironko-Mbale'!G20,'24.08 Sironko-Mbale-24h'!G20,'22.08 Sironko-Mbale-24h'!G20,'25.08 Sironko-Mbale'!G20)</f>
        <v>0.14285714285714285</v>
      </c>
      <c r="H20" s="49">
        <f>AVERAGE('19.08 Sironko-Mbale'!H20,'20.08 Sironko-Mbale'!H20,'21.08 Sironko-Mbale'!H20,'23.08 Sironko-Mbale'!H20,'24.08 Sironko-Mbale-24h'!H20,'22.08 Sironko-Mbale-24h'!H20,'25.08 Sironko-Mbale'!H20)</f>
        <v>0.14285714285714285</v>
      </c>
      <c r="I20" s="49">
        <f>AVERAGE('19.08 Sironko-Mbale'!I20,'20.08 Sironko-Mbale'!I20,'21.08 Sironko-Mbale'!I20,'23.08 Sironko-Mbale'!I20,'24.08 Sironko-Mbale-24h'!I20,'22.08 Sironko-Mbale-24h'!I20,'25.08 Sironko-Mbale'!I20)</f>
        <v>1.5714285714285714</v>
      </c>
      <c r="J20" s="49">
        <f>AVERAGE('19.08 Sironko-Mbale'!J20,'20.08 Sironko-Mbale'!J20,'21.08 Sironko-Mbale'!J20,'23.08 Sironko-Mbale'!J20,'24.08 Sironko-Mbale-24h'!J20,'22.08 Sironko-Mbale-24h'!J20,'25.08 Sironko-Mbale'!J20)</f>
        <v>0.14285714285714285</v>
      </c>
      <c r="K20" s="49">
        <f>AVERAGE('19.08 Sironko-Mbale'!K20,'20.08 Sironko-Mbale'!K20,'21.08 Sironko-Mbale'!K20,'23.08 Sironko-Mbale'!K20,'24.08 Sironko-Mbale-24h'!K20,'22.08 Sironko-Mbale-24h'!K20,'25.08 Sironko-Mbale'!K20)</f>
        <v>0</v>
      </c>
      <c r="L20" s="49">
        <f>AVERAGE('19.08 Sironko-Mbale'!L20,'20.08 Sironko-Mbale'!L20,'21.08 Sironko-Mbale'!L20,'23.08 Sironko-Mbale'!L20,'24.08 Sironko-Mbale-24h'!L20,'22.08 Sironko-Mbale-24h'!L20,'25.08 Sironko-Mbale'!L20)</f>
        <v>0</v>
      </c>
      <c r="M20" s="49">
        <f>AVERAGE('19.08 Sironko-Mbale'!M20,'20.08 Sironko-Mbale'!M20,'21.08 Sironko-Mbale'!M20,'23.08 Sironko-Mbale'!M20,'24.08 Sironko-Mbale-24h'!M20,'22.08 Sironko-Mbale-24h'!M20,'25.08 Sironko-Mbale'!M20)</f>
        <v>26.285714285714285</v>
      </c>
      <c r="N20" s="49">
        <f>AVERAGE('19.08 Sironko-Mbale'!N20,'20.08 Sironko-Mbale'!N20,'21.08 Sironko-Mbale'!N20,'23.08 Sironko-Mbale'!N20,'24.08 Sironko-Mbale-24h'!N20,'22.08 Sironko-Mbale-24h'!N20,'25.08 Sironko-Mbale'!N20)</f>
        <v>0.14285714285714285</v>
      </c>
      <c r="O20" s="15">
        <f t="shared" si="0"/>
        <v>19</v>
      </c>
      <c r="P20" s="15">
        <f t="shared" si="1"/>
        <v>45.285714285714285</v>
      </c>
      <c r="R20" s="1" t="s">
        <v>16</v>
      </c>
      <c r="S20" s="17">
        <f t="shared" ref="S20:AF20" si="12">SUM(C50:C53)</f>
        <v>21.571428571428573</v>
      </c>
      <c r="T20" s="17">
        <f t="shared" si="12"/>
        <v>8</v>
      </c>
      <c r="U20" s="17">
        <f t="shared" si="12"/>
        <v>32.714285714285722</v>
      </c>
      <c r="V20" s="17">
        <f t="shared" si="12"/>
        <v>14.285714285714286</v>
      </c>
      <c r="W20" s="17">
        <f t="shared" si="12"/>
        <v>2.1428571428571428</v>
      </c>
      <c r="X20" s="17">
        <f t="shared" si="12"/>
        <v>0.71428571428571419</v>
      </c>
      <c r="Y20" s="17">
        <f t="shared" si="12"/>
        <v>14.142857142857142</v>
      </c>
      <c r="Z20" s="17">
        <f t="shared" si="12"/>
        <v>0.99999999999999989</v>
      </c>
      <c r="AA20" s="17">
        <f t="shared" si="12"/>
        <v>0.42857142857142855</v>
      </c>
      <c r="AB20" s="17">
        <f t="shared" si="12"/>
        <v>0</v>
      </c>
      <c r="AC20" s="17">
        <f t="shared" si="12"/>
        <v>148.14285714285714</v>
      </c>
      <c r="AD20" s="17">
        <f t="shared" si="12"/>
        <v>0</v>
      </c>
      <c r="AE20" s="31">
        <f t="shared" si="12"/>
        <v>95</v>
      </c>
      <c r="AF20" s="31">
        <f t="shared" si="12"/>
        <v>243.14285714285711</v>
      </c>
    </row>
    <row r="21" spans="2:32" ht="23.1" customHeight="1" x14ac:dyDescent="0.25">
      <c r="B21" s="23" t="s">
        <v>48</v>
      </c>
      <c r="C21" s="49">
        <f>AVERAGE('19.08 Sironko-Mbale'!C21,'20.08 Sironko-Mbale'!C21,'21.08 Sironko-Mbale'!C21,'23.08 Sironko-Mbale'!C21,'24.08 Sironko-Mbale-24h'!C21,'22.08 Sironko-Mbale-24h'!C21,'25.08 Sironko-Mbale'!C21)</f>
        <v>4.1428571428571432</v>
      </c>
      <c r="D21" s="49">
        <f>AVERAGE('19.08 Sironko-Mbale'!D21,'20.08 Sironko-Mbale'!D21,'21.08 Sironko-Mbale'!D21,'23.08 Sironko-Mbale'!D21,'24.08 Sironko-Mbale-24h'!D21,'22.08 Sironko-Mbale-24h'!D21,'25.08 Sironko-Mbale'!D21)</f>
        <v>1.1428571428571428</v>
      </c>
      <c r="E21" s="49">
        <f>AVERAGE('19.08 Sironko-Mbale'!E21,'20.08 Sironko-Mbale'!E21,'21.08 Sironko-Mbale'!E21,'23.08 Sironko-Mbale'!E21,'24.08 Sironko-Mbale-24h'!E21,'22.08 Sironko-Mbale-24h'!E21,'25.08 Sironko-Mbale'!E21)</f>
        <v>5.8571428571428568</v>
      </c>
      <c r="F21" s="49">
        <f>AVERAGE('19.08 Sironko-Mbale'!F21,'20.08 Sironko-Mbale'!F21,'21.08 Sironko-Mbale'!F21,'23.08 Sironko-Mbale'!F21,'24.08 Sironko-Mbale-24h'!F21,'22.08 Sironko-Mbale-24h'!F21,'25.08 Sironko-Mbale'!F21)</f>
        <v>4.1428571428571432</v>
      </c>
      <c r="G21" s="49">
        <f>AVERAGE('19.08 Sironko-Mbale'!G21,'20.08 Sironko-Mbale'!G21,'21.08 Sironko-Mbale'!G21,'23.08 Sironko-Mbale'!G21,'24.08 Sironko-Mbale-24h'!G21,'22.08 Sironko-Mbale-24h'!G21,'25.08 Sironko-Mbale'!G21)</f>
        <v>0</v>
      </c>
      <c r="H21" s="49">
        <f>AVERAGE('19.08 Sironko-Mbale'!H21,'20.08 Sironko-Mbale'!H21,'21.08 Sironko-Mbale'!H21,'23.08 Sironko-Mbale'!H21,'24.08 Sironko-Mbale-24h'!H21,'22.08 Sironko-Mbale-24h'!H21,'25.08 Sironko-Mbale'!H21)</f>
        <v>0</v>
      </c>
      <c r="I21" s="49">
        <f>AVERAGE('19.08 Sironko-Mbale'!I21,'20.08 Sironko-Mbale'!I21,'21.08 Sironko-Mbale'!I21,'23.08 Sironko-Mbale'!I21,'24.08 Sironko-Mbale-24h'!I21,'22.08 Sironko-Mbale-24h'!I21,'25.08 Sironko-Mbale'!I21)</f>
        <v>1.5714285714285714</v>
      </c>
      <c r="J21" s="49">
        <f>AVERAGE('19.08 Sironko-Mbale'!J21,'20.08 Sironko-Mbale'!J21,'21.08 Sironko-Mbale'!J21,'23.08 Sironko-Mbale'!J21,'24.08 Sironko-Mbale-24h'!J21,'22.08 Sironko-Mbale-24h'!J21,'25.08 Sironko-Mbale'!J21)</f>
        <v>0</v>
      </c>
      <c r="K21" s="49">
        <f>AVERAGE('19.08 Sironko-Mbale'!K21,'20.08 Sironko-Mbale'!K21,'21.08 Sironko-Mbale'!K21,'23.08 Sironko-Mbale'!K21,'24.08 Sironko-Mbale-24h'!K21,'22.08 Sironko-Mbale-24h'!K21,'25.08 Sironko-Mbale'!K21)</f>
        <v>0</v>
      </c>
      <c r="L21" s="49">
        <f>AVERAGE('19.08 Sironko-Mbale'!L21,'20.08 Sironko-Mbale'!L21,'21.08 Sironko-Mbale'!L21,'23.08 Sironko-Mbale'!L21,'24.08 Sironko-Mbale-24h'!L21,'22.08 Sironko-Mbale-24h'!L21,'25.08 Sironko-Mbale'!L21)</f>
        <v>0</v>
      </c>
      <c r="M21" s="49">
        <f>AVERAGE('19.08 Sironko-Mbale'!M21,'20.08 Sironko-Mbale'!M21,'21.08 Sironko-Mbale'!M21,'23.08 Sironko-Mbale'!M21,'24.08 Sironko-Mbale-24h'!M21,'22.08 Sironko-Mbale-24h'!M21,'25.08 Sironko-Mbale'!M21)</f>
        <v>29.857142857142858</v>
      </c>
      <c r="N21" s="49">
        <f>AVERAGE('19.08 Sironko-Mbale'!N21,'20.08 Sironko-Mbale'!N21,'21.08 Sironko-Mbale'!N21,'23.08 Sironko-Mbale'!N21,'24.08 Sironko-Mbale-24h'!N21,'22.08 Sironko-Mbale-24h'!N21,'25.08 Sironko-Mbale'!N21)</f>
        <v>0</v>
      </c>
      <c r="O21" s="15">
        <f t="shared" si="0"/>
        <v>16.857142857142858</v>
      </c>
      <c r="P21" s="15">
        <f t="shared" si="1"/>
        <v>46.714285714285715</v>
      </c>
      <c r="R21" s="36" t="s">
        <v>20</v>
      </c>
      <c r="S21" s="34">
        <f t="shared" ref="S21:AF21" si="13">SUM(C54:C57)</f>
        <v>19.142857142857142</v>
      </c>
      <c r="T21" s="17">
        <f t="shared" si="13"/>
        <v>6</v>
      </c>
      <c r="U21" s="17">
        <f t="shared" si="13"/>
        <v>26.571428571428569</v>
      </c>
      <c r="V21" s="17">
        <f t="shared" si="13"/>
        <v>16</v>
      </c>
      <c r="W21" s="17">
        <f t="shared" si="13"/>
        <v>0.14285714285714285</v>
      </c>
      <c r="X21" s="17">
        <f t="shared" si="13"/>
        <v>0</v>
      </c>
      <c r="Y21" s="17">
        <f t="shared" si="13"/>
        <v>12.714285714285715</v>
      </c>
      <c r="Z21" s="17">
        <f t="shared" si="13"/>
        <v>1.1428571428571428</v>
      </c>
      <c r="AA21" s="17">
        <f t="shared" si="13"/>
        <v>0</v>
      </c>
      <c r="AB21" s="17">
        <f t="shared" si="13"/>
        <v>0</v>
      </c>
      <c r="AC21" s="17">
        <f t="shared" si="13"/>
        <v>116.71428571428572</v>
      </c>
      <c r="AD21" s="17">
        <f t="shared" si="13"/>
        <v>0</v>
      </c>
      <c r="AE21" s="31">
        <f t="shared" si="13"/>
        <v>81.714285714285708</v>
      </c>
      <c r="AF21" s="31">
        <f t="shared" si="13"/>
        <v>198.42857142857144</v>
      </c>
    </row>
    <row r="22" spans="2:32" ht="23.1" customHeight="1" x14ac:dyDescent="0.25">
      <c r="B22" s="23" t="s">
        <v>49</v>
      </c>
      <c r="C22" s="49">
        <f>AVERAGE('19.08 Sironko-Mbale'!C22,'20.08 Sironko-Mbale'!C22,'21.08 Sironko-Mbale'!C22,'23.08 Sironko-Mbale'!C22,'24.08 Sironko-Mbale-24h'!C22,'22.08 Sironko-Mbale-24h'!C22,'25.08 Sironko-Mbale'!C22)</f>
        <v>3.7142857142857144</v>
      </c>
      <c r="D22" s="49">
        <f>AVERAGE('19.08 Sironko-Mbale'!D22,'20.08 Sironko-Mbale'!D22,'21.08 Sironko-Mbale'!D22,'23.08 Sironko-Mbale'!D22,'24.08 Sironko-Mbale-24h'!D22,'22.08 Sironko-Mbale-24h'!D22,'25.08 Sironko-Mbale'!D22)</f>
        <v>0.8571428571428571</v>
      </c>
      <c r="E22" s="49">
        <f>AVERAGE('19.08 Sironko-Mbale'!E22,'20.08 Sironko-Mbale'!E22,'21.08 Sironko-Mbale'!E22,'23.08 Sironko-Mbale'!E22,'24.08 Sironko-Mbale-24h'!E22,'22.08 Sironko-Mbale-24h'!E22,'25.08 Sironko-Mbale'!E22)</f>
        <v>4.5714285714285712</v>
      </c>
      <c r="F22" s="49">
        <f>AVERAGE('19.08 Sironko-Mbale'!F22,'20.08 Sironko-Mbale'!F22,'21.08 Sironko-Mbale'!F22,'23.08 Sironko-Mbale'!F22,'24.08 Sironko-Mbale-24h'!F22,'22.08 Sironko-Mbale-24h'!F22,'25.08 Sironko-Mbale'!F22)</f>
        <v>2.7142857142857144</v>
      </c>
      <c r="G22" s="49">
        <f>AVERAGE('19.08 Sironko-Mbale'!G22,'20.08 Sironko-Mbale'!G22,'21.08 Sironko-Mbale'!G22,'23.08 Sironko-Mbale'!G22,'24.08 Sironko-Mbale-24h'!G22,'22.08 Sironko-Mbale-24h'!G22,'25.08 Sironko-Mbale'!G22)</f>
        <v>0.14285714285714285</v>
      </c>
      <c r="H22" s="49">
        <f>AVERAGE('19.08 Sironko-Mbale'!H22,'20.08 Sironko-Mbale'!H22,'21.08 Sironko-Mbale'!H22,'23.08 Sironko-Mbale'!H22,'24.08 Sironko-Mbale-24h'!H22,'22.08 Sironko-Mbale-24h'!H22,'25.08 Sironko-Mbale'!H22)</f>
        <v>0</v>
      </c>
      <c r="I22" s="49">
        <f>AVERAGE('19.08 Sironko-Mbale'!I22,'20.08 Sironko-Mbale'!I22,'21.08 Sironko-Mbale'!I22,'23.08 Sironko-Mbale'!I22,'24.08 Sironko-Mbale-24h'!I22,'22.08 Sironko-Mbale-24h'!I22,'25.08 Sironko-Mbale'!I22)</f>
        <v>2.4285714285714284</v>
      </c>
      <c r="J22" s="49">
        <f>AVERAGE('19.08 Sironko-Mbale'!J22,'20.08 Sironko-Mbale'!J22,'21.08 Sironko-Mbale'!J22,'23.08 Sironko-Mbale'!J22,'24.08 Sironko-Mbale-24h'!J22,'22.08 Sironko-Mbale-24h'!J22,'25.08 Sironko-Mbale'!J22)</f>
        <v>0</v>
      </c>
      <c r="K22" s="49">
        <f>AVERAGE('19.08 Sironko-Mbale'!K22,'20.08 Sironko-Mbale'!K22,'21.08 Sironko-Mbale'!K22,'23.08 Sironko-Mbale'!K22,'24.08 Sironko-Mbale-24h'!K22,'22.08 Sironko-Mbale-24h'!K22,'25.08 Sironko-Mbale'!K22)</f>
        <v>0</v>
      </c>
      <c r="L22" s="49">
        <f>AVERAGE('19.08 Sironko-Mbale'!L22,'20.08 Sironko-Mbale'!L22,'21.08 Sironko-Mbale'!L22,'23.08 Sironko-Mbale'!L22,'24.08 Sironko-Mbale-24h'!L22,'22.08 Sironko-Mbale-24h'!L22,'25.08 Sironko-Mbale'!L22)</f>
        <v>0</v>
      </c>
      <c r="M22" s="49">
        <f>AVERAGE('19.08 Sironko-Mbale'!M22,'20.08 Sironko-Mbale'!M22,'21.08 Sironko-Mbale'!M22,'23.08 Sironko-Mbale'!M22,'24.08 Sironko-Mbale-24h'!M22,'22.08 Sironko-Mbale-24h'!M22,'25.08 Sironko-Mbale'!M22)</f>
        <v>29.142857142857142</v>
      </c>
      <c r="N22" s="49">
        <f>AVERAGE('19.08 Sironko-Mbale'!N22,'20.08 Sironko-Mbale'!N22,'21.08 Sironko-Mbale'!N22,'23.08 Sironko-Mbale'!N22,'24.08 Sironko-Mbale-24h'!N22,'22.08 Sironko-Mbale-24h'!N22,'25.08 Sironko-Mbale'!N22)</f>
        <v>0</v>
      </c>
      <c r="O22" s="15">
        <f t="shared" si="0"/>
        <v>14.428571428571429</v>
      </c>
      <c r="P22" s="15">
        <f t="shared" si="1"/>
        <v>43.571428571428569</v>
      </c>
      <c r="R22" s="1" t="s">
        <v>146</v>
      </c>
      <c r="S22" s="34">
        <f>SUM(C58:C61)</f>
        <v>12</v>
      </c>
      <c r="T22" s="34">
        <f t="shared" ref="T22:AF22" si="14">SUM(D58:D61)</f>
        <v>5.5</v>
      </c>
      <c r="U22" s="34">
        <f t="shared" si="14"/>
        <v>25</v>
      </c>
      <c r="V22" s="34">
        <f t="shared" si="14"/>
        <v>14.5</v>
      </c>
      <c r="W22" s="34">
        <f t="shared" si="14"/>
        <v>0</v>
      </c>
      <c r="X22" s="34">
        <f t="shared" si="14"/>
        <v>0</v>
      </c>
      <c r="Y22" s="34">
        <f t="shared" si="14"/>
        <v>18</v>
      </c>
      <c r="Z22" s="34">
        <f t="shared" si="14"/>
        <v>0.5</v>
      </c>
      <c r="AA22" s="34">
        <f t="shared" si="14"/>
        <v>1</v>
      </c>
      <c r="AB22" s="34">
        <f t="shared" si="14"/>
        <v>0</v>
      </c>
      <c r="AC22" s="34">
        <f t="shared" si="14"/>
        <v>110.5</v>
      </c>
      <c r="AD22" s="34">
        <f t="shared" si="14"/>
        <v>0</v>
      </c>
      <c r="AE22" s="31">
        <f t="shared" si="14"/>
        <v>76.5</v>
      </c>
      <c r="AF22" s="31">
        <f t="shared" si="14"/>
        <v>187</v>
      </c>
    </row>
    <row r="23" spans="2:32" ht="23.1" customHeight="1" x14ac:dyDescent="0.25">
      <c r="B23" s="23" t="s">
        <v>50</v>
      </c>
      <c r="C23" s="49">
        <f>AVERAGE('19.08 Sironko-Mbale'!C23,'20.08 Sironko-Mbale'!C23,'21.08 Sironko-Mbale'!C23,'23.08 Sironko-Mbale'!C23,'24.08 Sironko-Mbale-24h'!C23,'22.08 Sironko-Mbale-24h'!C23,'25.08 Sironko-Mbale'!C23)</f>
        <v>4</v>
      </c>
      <c r="D23" s="49">
        <f>AVERAGE('19.08 Sironko-Mbale'!D23,'20.08 Sironko-Mbale'!D23,'21.08 Sironko-Mbale'!D23,'23.08 Sironko-Mbale'!D23,'24.08 Sironko-Mbale-24h'!D23,'22.08 Sironko-Mbale-24h'!D23,'25.08 Sironko-Mbale'!D23)</f>
        <v>1.1428571428571428</v>
      </c>
      <c r="E23" s="49">
        <f>AVERAGE('19.08 Sironko-Mbale'!E23,'20.08 Sironko-Mbale'!E23,'21.08 Sironko-Mbale'!E23,'23.08 Sironko-Mbale'!E23,'24.08 Sironko-Mbale-24h'!E23,'22.08 Sironko-Mbale-24h'!E23,'25.08 Sironko-Mbale'!E23)</f>
        <v>5.8571428571428568</v>
      </c>
      <c r="F23" s="49">
        <f>AVERAGE('19.08 Sironko-Mbale'!F23,'20.08 Sironko-Mbale'!F23,'21.08 Sironko-Mbale'!F23,'23.08 Sironko-Mbale'!F23,'24.08 Sironko-Mbale-24h'!F23,'22.08 Sironko-Mbale-24h'!F23,'25.08 Sironko-Mbale'!F23)</f>
        <v>3.8571428571428572</v>
      </c>
      <c r="G23" s="49">
        <f>AVERAGE('19.08 Sironko-Mbale'!G23,'20.08 Sironko-Mbale'!G23,'21.08 Sironko-Mbale'!G23,'23.08 Sironko-Mbale'!G23,'24.08 Sironko-Mbale-24h'!G23,'22.08 Sironko-Mbale-24h'!G23,'25.08 Sironko-Mbale'!G23)</f>
        <v>0</v>
      </c>
      <c r="H23" s="49">
        <f>AVERAGE('19.08 Sironko-Mbale'!H23,'20.08 Sironko-Mbale'!H23,'21.08 Sironko-Mbale'!H23,'23.08 Sironko-Mbale'!H23,'24.08 Sironko-Mbale-24h'!H23,'22.08 Sironko-Mbale-24h'!H23,'25.08 Sironko-Mbale'!H23)</f>
        <v>0.14285714285714285</v>
      </c>
      <c r="I23" s="49">
        <f>AVERAGE('19.08 Sironko-Mbale'!I23,'20.08 Sironko-Mbale'!I23,'21.08 Sironko-Mbale'!I23,'23.08 Sironko-Mbale'!I23,'24.08 Sironko-Mbale-24h'!I23,'22.08 Sironko-Mbale-24h'!I23,'25.08 Sironko-Mbale'!I23)</f>
        <v>2.7142857142857144</v>
      </c>
      <c r="J23" s="49">
        <f>AVERAGE('19.08 Sironko-Mbale'!J23,'20.08 Sironko-Mbale'!J23,'21.08 Sironko-Mbale'!J23,'23.08 Sironko-Mbale'!J23,'24.08 Sironko-Mbale-24h'!J23,'22.08 Sironko-Mbale-24h'!J23,'25.08 Sironko-Mbale'!J23)</f>
        <v>0.2857142857142857</v>
      </c>
      <c r="K23" s="49">
        <f>AVERAGE('19.08 Sironko-Mbale'!K23,'20.08 Sironko-Mbale'!K23,'21.08 Sironko-Mbale'!K23,'23.08 Sironko-Mbale'!K23,'24.08 Sironko-Mbale-24h'!K23,'22.08 Sironko-Mbale-24h'!K23,'25.08 Sironko-Mbale'!K23)</f>
        <v>0</v>
      </c>
      <c r="L23" s="49">
        <f>AVERAGE('19.08 Sironko-Mbale'!L23,'20.08 Sironko-Mbale'!L23,'21.08 Sironko-Mbale'!L23,'23.08 Sironko-Mbale'!L23,'24.08 Sironko-Mbale-24h'!L23,'22.08 Sironko-Mbale-24h'!L23,'25.08 Sironko-Mbale'!L23)</f>
        <v>0</v>
      </c>
      <c r="M23" s="49">
        <f>AVERAGE('19.08 Sironko-Mbale'!M23,'20.08 Sironko-Mbale'!M23,'21.08 Sironko-Mbale'!M23,'23.08 Sironko-Mbale'!M23,'24.08 Sironko-Mbale-24h'!M23,'22.08 Sironko-Mbale-24h'!M23,'25.08 Sironko-Mbale'!M23)</f>
        <v>26.571428571428573</v>
      </c>
      <c r="N23" s="49">
        <f>AVERAGE('19.08 Sironko-Mbale'!N23,'20.08 Sironko-Mbale'!N23,'21.08 Sironko-Mbale'!N23,'23.08 Sironko-Mbale'!N23,'24.08 Sironko-Mbale-24h'!N23,'22.08 Sironko-Mbale-24h'!N23,'25.08 Sironko-Mbale'!N23)</f>
        <v>0</v>
      </c>
      <c r="O23" s="15">
        <f t="shared" si="0"/>
        <v>18</v>
      </c>
      <c r="P23" s="15">
        <f t="shared" si="1"/>
        <v>44.571428571428569</v>
      </c>
      <c r="R23" s="1" t="s">
        <v>147</v>
      </c>
      <c r="S23" s="34">
        <f>SUM(C62:C65)</f>
        <v>12.5</v>
      </c>
      <c r="T23" s="34">
        <f t="shared" ref="T23:AF23" si="15">SUM(D62:D65)</f>
        <v>6</v>
      </c>
      <c r="U23" s="34">
        <f t="shared" si="15"/>
        <v>26</v>
      </c>
      <c r="V23" s="34">
        <f t="shared" si="15"/>
        <v>9</v>
      </c>
      <c r="W23" s="34">
        <f t="shared" si="15"/>
        <v>0</v>
      </c>
      <c r="X23" s="34">
        <f t="shared" si="15"/>
        <v>0</v>
      </c>
      <c r="Y23" s="34">
        <f t="shared" si="15"/>
        <v>31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70.5</v>
      </c>
      <c r="AD23" s="34">
        <f t="shared" si="15"/>
        <v>0</v>
      </c>
      <c r="AE23" s="31">
        <f t="shared" si="15"/>
        <v>84.5</v>
      </c>
      <c r="AF23" s="31">
        <f t="shared" si="15"/>
        <v>155</v>
      </c>
    </row>
    <row r="24" spans="2:32" ht="23.1" customHeight="1" x14ac:dyDescent="0.25">
      <c r="B24" s="23" t="s">
        <v>51</v>
      </c>
      <c r="C24" s="49">
        <f>AVERAGE('19.08 Sironko-Mbale'!C24,'20.08 Sironko-Mbale'!C24,'21.08 Sironko-Mbale'!C24,'23.08 Sironko-Mbale'!C24,'24.08 Sironko-Mbale-24h'!C24,'22.08 Sironko-Mbale-24h'!C24,'25.08 Sironko-Mbale'!C24)</f>
        <v>3.7142857142857144</v>
      </c>
      <c r="D24" s="49">
        <f>AVERAGE('19.08 Sironko-Mbale'!D24,'20.08 Sironko-Mbale'!D24,'21.08 Sironko-Mbale'!D24,'23.08 Sironko-Mbale'!D24,'24.08 Sironko-Mbale-24h'!D24,'22.08 Sironko-Mbale-24h'!D24,'25.08 Sironko-Mbale'!D24)</f>
        <v>1</v>
      </c>
      <c r="E24" s="49">
        <f>AVERAGE('19.08 Sironko-Mbale'!E24,'20.08 Sironko-Mbale'!E24,'21.08 Sironko-Mbale'!E24,'23.08 Sironko-Mbale'!E24,'24.08 Sironko-Mbale-24h'!E24,'22.08 Sironko-Mbale-24h'!E24,'25.08 Sironko-Mbale'!E24)</f>
        <v>5.1428571428571432</v>
      </c>
      <c r="F24" s="49">
        <f>AVERAGE('19.08 Sironko-Mbale'!F24,'20.08 Sironko-Mbale'!F24,'21.08 Sironko-Mbale'!F24,'23.08 Sironko-Mbale'!F24,'24.08 Sironko-Mbale-24h'!F24,'22.08 Sironko-Mbale-24h'!F24,'25.08 Sironko-Mbale'!F24)</f>
        <v>3.4285714285714284</v>
      </c>
      <c r="G24" s="49">
        <f>AVERAGE('19.08 Sironko-Mbale'!G24,'20.08 Sironko-Mbale'!G24,'21.08 Sironko-Mbale'!G24,'23.08 Sironko-Mbale'!G24,'24.08 Sironko-Mbale-24h'!G24,'22.08 Sironko-Mbale-24h'!G24,'25.08 Sironko-Mbale'!G24)</f>
        <v>0</v>
      </c>
      <c r="H24" s="49">
        <f>AVERAGE('19.08 Sironko-Mbale'!H24,'20.08 Sironko-Mbale'!H24,'21.08 Sironko-Mbale'!H24,'23.08 Sironko-Mbale'!H24,'24.08 Sironko-Mbale-24h'!H24,'22.08 Sironko-Mbale-24h'!H24,'25.08 Sironko-Mbale'!H24)</f>
        <v>0.14285714285714285</v>
      </c>
      <c r="I24" s="49">
        <f>AVERAGE('19.08 Sironko-Mbale'!I24,'20.08 Sironko-Mbale'!I24,'21.08 Sironko-Mbale'!I24,'23.08 Sironko-Mbale'!I24,'24.08 Sironko-Mbale-24h'!I24,'22.08 Sironko-Mbale-24h'!I24,'25.08 Sironko-Mbale'!I24)</f>
        <v>1.7142857142857142</v>
      </c>
      <c r="J24" s="49">
        <f>AVERAGE('19.08 Sironko-Mbale'!J24,'20.08 Sironko-Mbale'!J24,'21.08 Sironko-Mbale'!J24,'23.08 Sironko-Mbale'!J24,'24.08 Sironko-Mbale-24h'!J24,'22.08 Sironko-Mbale-24h'!J24,'25.08 Sironko-Mbale'!J24)</f>
        <v>0</v>
      </c>
      <c r="K24" s="49">
        <f>AVERAGE('19.08 Sironko-Mbale'!K24,'20.08 Sironko-Mbale'!K24,'21.08 Sironko-Mbale'!K24,'23.08 Sironko-Mbale'!K24,'24.08 Sironko-Mbale-24h'!K24,'22.08 Sironko-Mbale-24h'!K24,'25.08 Sironko-Mbale'!K24)</f>
        <v>0</v>
      </c>
      <c r="L24" s="49">
        <f>AVERAGE('19.08 Sironko-Mbale'!L24,'20.08 Sironko-Mbale'!L24,'21.08 Sironko-Mbale'!L24,'23.08 Sironko-Mbale'!L24,'24.08 Sironko-Mbale-24h'!L24,'22.08 Sironko-Mbale-24h'!L24,'25.08 Sironko-Mbale'!L24)</f>
        <v>0</v>
      </c>
      <c r="M24" s="49">
        <f>AVERAGE('19.08 Sironko-Mbale'!M24,'20.08 Sironko-Mbale'!M24,'21.08 Sironko-Mbale'!M24,'23.08 Sironko-Mbale'!M24,'24.08 Sironko-Mbale-24h'!M24,'22.08 Sironko-Mbale-24h'!M24,'25.08 Sironko-Mbale'!M24)</f>
        <v>33.428571428571431</v>
      </c>
      <c r="N24" s="49">
        <f>AVERAGE('19.08 Sironko-Mbale'!N24,'20.08 Sironko-Mbale'!N24,'21.08 Sironko-Mbale'!N24,'23.08 Sironko-Mbale'!N24,'24.08 Sironko-Mbale-24h'!N24,'22.08 Sironko-Mbale-24h'!N24,'25.08 Sironko-Mbale'!N24)</f>
        <v>0.14285714285714285</v>
      </c>
      <c r="O24" s="15">
        <f t="shared" si="0"/>
        <v>15.285714285714285</v>
      </c>
      <c r="P24" s="15">
        <f t="shared" si="1"/>
        <v>48.714285714285715</v>
      </c>
      <c r="R24" s="1" t="s">
        <v>148</v>
      </c>
      <c r="S24" s="34">
        <f>SUM(C66:C69)</f>
        <v>11</v>
      </c>
      <c r="T24" s="34">
        <f t="shared" ref="T24:AF24" si="16">SUM(D66:D69)</f>
        <v>1</v>
      </c>
      <c r="U24" s="34">
        <f t="shared" si="16"/>
        <v>8</v>
      </c>
      <c r="V24" s="34">
        <f t="shared" si="16"/>
        <v>1.5</v>
      </c>
      <c r="W24" s="34">
        <f t="shared" si="16"/>
        <v>0</v>
      </c>
      <c r="X24" s="34">
        <f t="shared" si="16"/>
        <v>0</v>
      </c>
      <c r="Y24" s="34">
        <f t="shared" si="16"/>
        <v>8.5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41.5</v>
      </c>
      <c r="AD24" s="34">
        <f t="shared" si="16"/>
        <v>0</v>
      </c>
      <c r="AE24" s="31">
        <f t="shared" si="16"/>
        <v>31</v>
      </c>
      <c r="AF24" s="31">
        <f t="shared" si="16"/>
        <v>72.5</v>
      </c>
    </row>
    <row r="25" spans="2:32" ht="23.1" customHeight="1" x14ac:dyDescent="0.25">
      <c r="B25" s="23" t="s">
        <v>52</v>
      </c>
      <c r="C25" s="49">
        <f>AVERAGE('19.08 Sironko-Mbale'!C25,'20.08 Sironko-Mbale'!C25,'21.08 Sironko-Mbale'!C25,'23.08 Sironko-Mbale'!C25,'24.08 Sironko-Mbale-24h'!C25,'22.08 Sironko-Mbale-24h'!C25,'25.08 Sironko-Mbale'!C25)</f>
        <v>1.7142857142857142</v>
      </c>
      <c r="D25" s="49">
        <f>AVERAGE('19.08 Sironko-Mbale'!D25,'20.08 Sironko-Mbale'!D25,'21.08 Sironko-Mbale'!D25,'23.08 Sironko-Mbale'!D25,'24.08 Sironko-Mbale-24h'!D25,'22.08 Sironko-Mbale-24h'!D25,'25.08 Sironko-Mbale'!D25)</f>
        <v>0.42857142857142855</v>
      </c>
      <c r="E25" s="49">
        <f>AVERAGE('19.08 Sironko-Mbale'!E25,'20.08 Sironko-Mbale'!E25,'21.08 Sironko-Mbale'!E25,'23.08 Sironko-Mbale'!E25,'24.08 Sironko-Mbale-24h'!E25,'22.08 Sironko-Mbale-24h'!E25,'25.08 Sironko-Mbale'!E25)</f>
        <v>3.4285714285714284</v>
      </c>
      <c r="F25" s="49">
        <f>AVERAGE('19.08 Sironko-Mbale'!F25,'20.08 Sironko-Mbale'!F25,'21.08 Sironko-Mbale'!F25,'23.08 Sironko-Mbale'!F25,'24.08 Sironko-Mbale-24h'!F25,'22.08 Sironko-Mbale-24h'!F25,'25.08 Sironko-Mbale'!F25)</f>
        <v>3.8571428571428572</v>
      </c>
      <c r="G25" s="49">
        <f>AVERAGE('19.08 Sironko-Mbale'!G25,'20.08 Sironko-Mbale'!G25,'21.08 Sironko-Mbale'!G25,'23.08 Sironko-Mbale'!G25,'24.08 Sironko-Mbale-24h'!G25,'22.08 Sironko-Mbale-24h'!G25,'25.08 Sironko-Mbale'!G25)</f>
        <v>0.14285714285714285</v>
      </c>
      <c r="H25" s="49">
        <f>AVERAGE('19.08 Sironko-Mbale'!H25,'20.08 Sironko-Mbale'!H25,'21.08 Sironko-Mbale'!H25,'23.08 Sironko-Mbale'!H25,'24.08 Sironko-Mbale-24h'!H25,'22.08 Sironko-Mbale-24h'!H25,'25.08 Sironko-Mbale'!H25)</f>
        <v>0</v>
      </c>
      <c r="I25" s="49">
        <f>AVERAGE('19.08 Sironko-Mbale'!I25,'20.08 Sironko-Mbale'!I25,'21.08 Sironko-Mbale'!I25,'23.08 Sironko-Mbale'!I25,'24.08 Sironko-Mbale-24h'!I25,'22.08 Sironko-Mbale-24h'!I25,'25.08 Sironko-Mbale'!I25)</f>
        <v>1.7142857142857142</v>
      </c>
      <c r="J25" s="49">
        <f>AVERAGE('19.08 Sironko-Mbale'!J25,'20.08 Sironko-Mbale'!J25,'21.08 Sironko-Mbale'!J25,'23.08 Sironko-Mbale'!J25,'24.08 Sironko-Mbale-24h'!J25,'22.08 Sironko-Mbale-24h'!J25,'25.08 Sironko-Mbale'!J25)</f>
        <v>0</v>
      </c>
      <c r="K25" s="49">
        <f>AVERAGE('19.08 Sironko-Mbale'!K25,'20.08 Sironko-Mbale'!K25,'21.08 Sironko-Mbale'!K25,'23.08 Sironko-Mbale'!K25,'24.08 Sironko-Mbale-24h'!K25,'22.08 Sironko-Mbale-24h'!K25,'25.08 Sironko-Mbale'!K25)</f>
        <v>0.14285714285714285</v>
      </c>
      <c r="L25" s="49">
        <f>AVERAGE('19.08 Sironko-Mbale'!L25,'20.08 Sironko-Mbale'!L25,'21.08 Sironko-Mbale'!L25,'23.08 Sironko-Mbale'!L25,'24.08 Sironko-Mbale-24h'!L25,'22.08 Sironko-Mbale-24h'!L25,'25.08 Sironko-Mbale'!L25)</f>
        <v>0</v>
      </c>
      <c r="M25" s="49">
        <f>AVERAGE('19.08 Sironko-Mbale'!M25,'20.08 Sironko-Mbale'!M25,'21.08 Sironko-Mbale'!M25,'23.08 Sironko-Mbale'!M25,'24.08 Sironko-Mbale-24h'!M25,'22.08 Sironko-Mbale-24h'!M25,'25.08 Sironko-Mbale'!M25)</f>
        <v>26.142857142857142</v>
      </c>
      <c r="N25" s="49">
        <f>AVERAGE('19.08 Sironko-Mbale'!N25,'20.08 Sironko-Mbale'!N25,'21.08 Sironko-Mbale'!N25,'23.08 Sironko-Mbale'!N25,'24.08 Sironko-Mbale-24h'!N25,'22.08 Sironko-Mbale-24h'!N25,'25.08 Sironko-Mbale'!N25)</f>
        <v>0</v>
      </c>
      <c r="O25" s="15">
        <f t="shared" si="0"/>
        <v>11.428571428571427</v>
      </c>
      <c r="P25" s="15">
        <f t="shared" si="1"/>
        <v>37.571428571428569</v>
      </c>
      <c r="R25" s="1" t="s">
        <v>149</v>
      </c>
      <c r="S25" s="34">
        <f>SUM(C70:C73)</f>
        <v>6.5</v>
      </c>
      <c r="T25" s="34">
        <f t="shared" ref="T25:AF25" si="17">SUM(D70:D73)</f>
        <v>0</v>
      </c>
      <c r="U25" s="34">
        <f t="shared" si="17"/>
        <v>4.5</v>
      </c>
      <c r="V25" s="34">
        <f t="shared" si="17"/>
        <v>2</v>
      </c>
      <c r="W25" s="34">
        <f t="shared" si="17"/>
        <v>0</v>
      </c>
      <c r="X25" s="34">
        <f t="shared" si="17"/>
        <v>0</v>
      </c>
      <c r="Y25" s="34">
        <f t="shared" si="17"/>
        <v>10.5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25</v>
      </c>
      <c r="AD25" s="34">
        <f t="shared" si="17"/>
        <v>0</v>
      </c>
      <c r="AE25" s="31">
        <f t="shared" si="17"/>
        <v>24</v>
      </c>
      <c r="AF25" s="31">
        <f t="shared" si="17"/>
        <v>49</v>
      </c>
    </row>
    <row r="26" spans="2:32" ht="23.1" customHeight="1" x14ac:dyDescent="0.25">
      <c r="B26" s="23" t="s">
        <v>53</v>
      </c>
      <c r="C26" s="49">
        <f>AVERAGE('19.08 Sironko-Mbale'!C26,'20.08 Sironko-Mbale'!C26,'21.08 Sironko-Mbale'!C26,'23.08 Sironko-Mbale'!C26,'24.08 Sironko-Mbale-24h'!C26,'22.08 Sironko-Mbale-24h'!C26,'25.08 Sironko-Mbale'!C26)</f>
        <v>2.2857142857142856</v>
      </c>
      <c r="D26" s="49">
        <f>AVERAGE('19.08 Sironko-Mbale'!D26,'20.08 Sironko-Mbale'!D26,'21.08 Sironko-Mbale'!D26,'23.08 Sironko-Mbale'!D26,'24.08 Sironko-Mbale-24h'!D26,'22.08 Sironko-Mbale-24h'!D26,'25.08 Sironko-Mbale'!D26)</f>
        <v>0.8571428571428571</v>
      </c>
      <c r="E26" s="49">
        <f>AVERAGE('19.08 Sironko-Mbale'!E26,'20.08 Sironko-Mbale'!E26,'21.08 Sironko-Mbale'!E26,'23.08 Sironko-Mbale'!E26,'24.08 Sironko-Mbale-24h'!E26,'22.08 Sironko-Mbale-24h'!E26,'25.08 Sironko-Mbale'!E26)</f>
        <v>4</v>
      </c>
      <c r="F26" s="49">
        <f>AVERAGE('19.08 Sironko-Mbale'!F26,'20.08 Sironko-Mbale'!F26,'21.08 Sironko-Mbale'!F26,'23.08 Sironko-Mbale'!F26,'24.08 Sironko-Mbale-24h'!F26,'22.08 Sironko-Mbale-24h'!F26,'25.08 Sironko-Mbale'!F26)</f>
        <v>3.4285714285714284</v>
      </c>
      <c r="G26" s="49">
        <f>AVERAGE('19.08 Sironko-Mbale'!G26,'20.08 Sironko-Mbale'!G26,'21.08 Sironko-Mbale'!G26,'23.08 Sironko-Mbale'!G26,'24.08 Sironko-Mbale-24h'!G26,'22.08 Sironko-Mbale-24h'!G26,'25.08 Sironko-Mbale'!G26)</f>
        <v>0.2857142857142857</v>
      </c>
      <c r="H26" s="49">
        <f>AVERAGE('19.08 Sironko-Mbale'!H26,'20.08 Sironko-Mbale'!H26,'21.08 Sironko-Mbale'!H26,'23.08 Sironko-Mbale'!H26,'24.08 Sironko-Mbale-24h'!H26,'22.08 Sironko-Mbale-24h'!H26,'25.08 Sironko-Mbale'!H26)</f>
        <v>0</v>
      </c>
      <c r="I26" s="49">
        <f>AVERAGE('19.08 Sironko-Mbale'!I26,'20.08 Sironko-Mbale'!I26,'21.08 Sironko-Mbale'!I26,'23.08 Sironko-Mbale'!I26,'24.08 Sironko-Mbale-24h'!I26,'22.08 Sironko-Mbale-24h'!I26,'25.08 Sironko-Mbale'!I26)</f>
        <v>1.2857142857142858</v>
      </c>
      <c r="J26" s="49">
        <f>AVERAGE('19.08 Sironko-Mbale'!J26,'20.08 Sironko-Mbale'!J26,'21.08 Sironko-Mbale'!J26,'23.08 Sironko-Mbale'!J26,'24.08 Sironko-Mbale-24h'!J26,'22.08 Sironko-Mbale-24h'!J26,'25.08 Sironko-Mbale'!J26)</f>
        <v>0.14285714285714285</v>
      </c>
      <c r="K26" s="49">
        <f>AVERAGE('19.08 Sironko-Mbale'!K26,'20.08 Sironko-Mbale'!K26,'21.08 Sironko-Mbale'!K26,'23.08 Sironko-Mbale'!K26,'24.08 Sironko-Mbale-24h'!K26,'22.08 Sironko-Mbale-24h'!K26,'25.08 Sironko-Mbale'!K26)</f>
        <v>0</v>
      </c>
      <c r="L26" s="49">
        <f>AVERAGE('19.08 Sironko-Mbale'!L26,'20.08 Sironko-Mbale'!L26,'21.08 Sironko-Mbale'!L26,'23.08 Sironko-Mbale'!L26,'24.08 Sironko-Mbale-24h'!L26,'22.08 Sironko-Mbale-24h'!L26,'25.08 Sironko-Mbale'!L26)</f>
        <v>0</v>
      </c>
      <c r="M26" s="49">
        <f>AVERAGE('19.08 Sironko-Mbale'!M26,'20.08 Sironko-Mbale'!M26,'21.08 Sironko-Mbale'!M26,'23.08 Sironko-Mbale'!M26,'24.08 Sironko-Mbale-24h'!M26,'22.08 Sironko-Mbale-24h'!M26,'25.08 Sironko-Mbale'!M26)</f>
        <v>26.142857142857142</v>
      </c>
      <c r="N26" s="49">
        <f>AVERAGE('19.08 Sironko-Mbale'!N26,'20.08 Sironko-Mbale'!N26,'21.08 Sironko-Mbale'!N26,'23.08 Sironko-Mbale'!N26,'24.08 Sironko-Mbale-24h'!N26,'22.08 Sironko-Mbale-24h'!N26,'25.08 Sironko-Mbale'!N26)</f>
        <v>0</v>
      </c>
      <c r="O26" s="15">
        <f t="shared" si="0"/>
        <v>12.285714285714286</v>
      </c>
      <c r="P26" s="15">
        <f t="shared" si="1"/>
        <v>38.428571428571431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3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6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14</v>
      </c>
      <c r="AD26" s="34">
        <f t="shared" si="18"/>
        <v>0</v>
      </c>
      <c r="AE26" s="31">
        <f t="shared" si="18"/>
        <v>11</v>
      </c>
      <c r="AF26" s="31">
        <f t="shared" si="18"/>
        <v>25</v>
      </c>
    </row>
    <row r="27" spans="2:32" ht="23.1" customHeight="1" x14ac:dyDescent="0.25">
      <c r="B27" s="23" t="s">
        <v>54</v>
      </c>
      <c r="C27" s="49">
        <f>AVERAGE('19.08 Sironko-Mbale'!C27,'20.08 Sironko-Mbale'!C27,'21.08 Sironko-Mbale'!C27,'23.08 Sironko-Mbale'!C27,'24.08 Sironko-Mbale-24h'!C27,'22.08 Sironko-Mbale-24h'!C27,'25.08 Sironko-Mbale'!C27)</f>
        <v>3.7142857142857144</v>
      </c>
      <c r="D27" s="49">
        <f>AVERAGE('19.08 Sironko-Mbale'!D27,'20.08 Sironko-Mbale'!D27,'21.08 Sironko-Mbale'!D27,'23.08 Sironko-Mbale'!D27,'24.08 Sironko-Mbale-24h'!D27,'22.08 Sironko-Mbale-24h'!D27,'25.08 Sironko-Mbale'!D27)</f>
        <v>1.2857142857142858</v>
      </c>
      <c r="E27" s="49">
        <f>AVERAGE('19.08 Sironko-Mbale'!E27,'20.08 Sironko-Mbale'!E27,'21.08 Sironko-Mbale'!E27,'23.08 Sironko-Mbale'!E27,'24.08 Sironko-Mbale-24h'!E27,'22.08 Sironko-Mbale-24h'!E27,'25.08 Sironko-Mbale'!E27)</f>
        <v>5.7142857142857144</v>
      </c>
      <c r="F27" s="49">
        <f>AVERAGE('19.08 Sironko-Mbale'!F27,'20.08 Sironko-Mbale'!F27,'21.08 Sironko-Mbale'!F27,'23.08 Sironko-Mbale'!F27,'24.08 Sironko-Mbale-24h'!F27,'22.08 Sironko-Mbale-24h'!F27,'25.08 Sironko-Mbale'!F27)</f>
        <v>4</v>
      </c>
      <c r="G27" s="49">
        <f>AVERAGE('19.08 Sironko-Mbale'!G27,'20.08 Sironko-Mbale'!G27,'21.08 Sironko-Mbale'!G27,'23.08 Sironko-Mbale'!G27,'24.08 Sironko-Mbale-24h'!G27,'22.08 Sironko-Mbale-24h'!G27,'25.08 Sironko-Mbale'!G27)</f>
        <v>0.14285714285714285</v>
      </c>
      <c r="H27" s="49">
        <f>AVERAGE('19.08 Sironko-Mbale'!H27,'20.08 Sironko-Mbale'!H27,'21.08 Sironko-Mbale'!H27,'23.08 Sironko-Mbale'!H27,'24.08 Sironko-Mbale-24h'!H27,'22.08 Sironko-Mbale-24h'!H27,'25.08 Sironko-Mbale'!H27)</f>
        <v>0.14285714285714285</v>
      </c>
      <c r="I27" s="49">
        <f>AVERAGE('19.08 Sironko-Mbale'!I27,'20.08 Sironko-Mbale'!I27,'21.08 Sironko-Mbale'!I27,'23.08 Sironko-Mbale'!I27,'24.08 Sironko-Mbale-24h'!I27,'22.08 Sironko-Mbale-24h'!I27,'25.08 Sironko-Mbale'!I27)</f>
        <v>1.5714285714285714</v>
      </c>
      <c r="J27" s="49">
        <f>AVERAGE('19.08 Sironko-Mbale'!J27,'20.08 Sironko-Mbale'!J27,'21.08 Sironko-Mbale'!J27,'23.08 Sironko-Mbale'!J27,'24.08 Sironko-Mbale-24h'!J27,'22.08 Sironko-Mbale-24h'!J27,'25.08 Sironko-Mbale'!J27)</f>
        <v>0.14285714285714285</v>
      </c>
      <c r="K27" s="49">
        <f>AVERAGE('19.08 Sironko-Mbale'!K27,'20.08 Sironko-Mbale'!K27,'21.08 Sironko-Mbale'!K27,'23.08 Sironko-Mbale'!K27,'24.08 Sironko-Mbale-24h'!K27,'22.08 Sironko-Mbale-24h'!K27,'25.08 Sironko-Mbale'!K27)</f>
        <v>0</v>
      </c>
      <c r="L27" s="49">
        <f>AVERAGE('19.08 Sironko-Mbale'!L27,'20.08 Sironko-Mbale'!L27,'21.08 Sironko-Mbale'!L27,'23.08 Sironko-Mbale'!L27,'24.08 Sironko-Mbale-24h'!L27,'22.08 Sironko-Mbale-24h'!L27,'25.08 Sironko-Mbale'!L27)</f>
        <v>0</v>
      </c>
      <c r="M27" s="49">
        <f>AVERAGE('19.08 Sironko-Mbale'!M27,'20.08 Sironko-Mbale'!M27,'21.08 Sironko-Mbale'!M27,'23.08 Sironko-Mbale'!M27,'24.08 Sironko-Mbale-24h'!M27,'22.08 Sironko-Mbale-24h'!M27,'25.08 Sironko-Mbale'!M27)</f>
        <v>28.285714285714285</v>
      </c>
      <c r="N27" s="49">
        <f>AVERAGE('19.08 Sironko-Mbale'!N27,'20.08 Sironko-Mbale'!N27,'21.08 Sironko-Mbale'!N27,'23.08 Sironko-Mbale'!N27,'24.08 Sironko-Mbale-24h'!N27,'22.08 Sironko-Mbale-24h'!N27,'25.08 Sironko-Mbale'!N27)</f>
        <v>0</v>
      </c>
      <c r="O27" s="15">
        <f t="shared" si="0"/>
        <v>16.714285714285715</v>
      </c>
      <c r="P27" s="15">
        <f t="shared" si="1"/>
        <v>45</v>
      </c>
      <c r="R27" s="1" t="s">
        <v>151</v>
      </c>
      <c r="S27" s="34">
        <f>SUM(C78:C81)</f>
        <v>1.5</v>
      </c>
      <c r="T27" s="34">
        <f t="shared" ref="T27:AF27" si="19">SUM(D78:D81)</f>
        <v>0</v>
      </c>
      <c r="U27" s="34">
        <f t="shared" si="19"/>
        <v>2.5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</v>
      </c>
      <c r="AD27" s="34">
        <f t="shared" si="19"/>
        <v>0</v>
      </c>
      <c r="AE27" s="31">
        <f t="shared" si="19"/>
        <v>9</v>
      </c>
      <c r="AF27" s="31">
        <f t="shared" si="19"/>
        <v>16</v>
      </c>
    </row>
    <row r="28" spans="2:32" ht="23.1" customHeight="1" x14ac:dyDescent="0.25">
      <c r="B28" s="23" t="s">
        <v>55</v>
      </c>
      <c r="C28" s="49">
        <f>AVERAGE('19.08 Sironko-Mbale'!C28,'20.08 Sironko-Mbale'!C28,'21.08 Sironko-Mbale'!C28,'23.08 Sironko-Mbale'!C28,'24.08 Sironko-Mbale-24h'!C28,'22.08 Sironko-Mbale-24h'!C28,'25.08 Sironko-Mbale'!C28)</f>
        <v>3.8571428571428572</v>
      </c>
      <c r="D28" s="49">
        <f>AVERAGE('19.08 Sironko-Mbale'!D28,'20.08 Sironko-Mbale'!D28,'21.08 Sironko-Mbale'!D28,'23.08 Sironko-Mbale'!D28,'24.08 Sironko-Mbale-24h'!D28,'22.08 Sironko-Mbale-24h'!D28,'25.08 Sironko-Mbale'!D28)</f>
        <v>1.2857142857142858</v>
      </c>
      <c r="E28" s="49">
        <f>AVERAGE('19.08 Sironko-Mbale'!E28,'20.08 Sironko-Mbale'!E28,'21.08 Sironko-Mbale'!E28,'23.08 Sironko-Mbale'!E28,'24.08 Sironko-Mbale-24h'!E28,'22.08 Sironko-Mbale-24h'!E28,'25.08 Sironko-Mbale'!E28)</f>
        <v>5.4285714285714288</v>
      </c>
      <c r="F28" s="49">
        <f>AVERAGE('19.08 Sironko-Mbale'!F28,'20.08 Sironko-Mbale'!F28,'21.08 Sironko-Mbale'!F28,'23.08 Sironko-Mbale'!F28,'24.08 Sironko-Mbale-24h'!F28,'22.08 Sironko-Mbale-24h'!F28,'25.08 Sironko-Mbale'!F28)</f>
        <v>5</v>
      </c>
      <c r="G28" s="49">
        <f>AVERAGE('19.08 Sironko-Mbale'!G28,'20.08 Sironko-Mbale'!G28,'21.08 Sironko-Mbale'!G28,'23.08 Sironko-Mbale'!G28,'24.08 Sironko-Mbale-24h'!G28,'22.08 Sironko-Mbale-24h'!G28,'25.08 Sironko-Mbale'!G28)</f>
        <v>0</v>
      </c>
      <c r="H28" s="49">
        <f>AVERAGE('19.08 Sironko-Mbale'!H28,'20.08 Sironko-Mbale'!H28,'21.08 Sironko-Mbale'!H28,'23.08 Sironko-Mbale'!H28,'24.08 Sironko-Mbale-24h'!H28,'22.08 Sironko-Mbale-24h'!H28,'25.08 Sironko-Mbale'!H28)</f>
        <v>0</v>
      </c>
      <c r="I28" s="49">
        <f>AVERAGE('19.08 Sironko-Mbale'!I28,'20.08 Sironko-Mbale'!I28,'21.08 Sironko-Mbale'!I28,'23.08 Sironko-Mbale'!I28,'24.08 Sironko-Mbale-24h'!I28,'22.08 Sironko-Mbale-24h'!I28,'25.08 Sironko-Mbale'!I28)</f>
        <v>2.7142857142857144</v>
      </c>
      <c r="J28" s="49">
        <f>AVERAGE('19.08 Sironko-Mbale'!J28,'20.08 Sironko-Mbale'!J28,'21.08 Sironko-Mbale'!J28,'23.08 Sironko-Mbale'!J28,'24.08 Sironko-Mbale-24h'!J28,'22.08 Sironko-Mbale-24h'!J28,'25.08 Sironko-Mbale'!J28)</f>
        <v>0.5714285714285714</v>
      </c>
      <c r="K28" s="49">
        <f>AVERAGE('19.08 Sironko-Mbale'!K28,'20.08 Sironko-Mbale'!K28,'21.08 Sironko-Mbale'!K28,'23.08 Sironko-Mbale'!K28,'24.08 Sironko-Mbale-24h'!K28,'22.08 Sironko-Mbale-24h'!K28,'25.08 Sironko-Mbale'!K28)</f>
        <v>0</v>
      </c>
      <c r="L28" s="49">
        <f>AVERAGE('19.08 Sironko-Mbale'!L28,'20.08 Sironko-Mbale'!L28,'21.08 Sironko-Mbale'!L28,'23.08 Sironko-Mbale'!L28,'24.08 Sironko-Mbale-24h'!L28,'22.08 Sironko-Mbale-24h'!L28,'25.08 Sironko-Mbale'!L28)</f>
        <v>0</v>
      </c>
      <c r="M28" s="49">
        <f>AVERAGE('19.08 Sironko-Mbale'!M28,'20.08 Sironko-Mbale'!M28,'21.08 Sironko-Mbale'!M28,'23.08 Sironko-Mbale'!M28,'24.08 Sironko-Mbale-24h'!M28,'22.08 Sironko-Mbale-24h'!M28,'25.08 Sironko-Mbale'!M28)</f>
        <v>31.142857142857142</v>
      </c>
      <c r="N28" s="49">
        <f>AVERAGE('19.08 Sironko-Mbale'!N28,'20.08 Sironko-Mbale'!N28,'21.08 Sironko-Mbale'!N28,'23.08 Sironko-Mbale'!N28,'24.08 Sironko-Mbale-24h'!N28,'22.08 Sironko-Mbale-24h'!N28,'25.08 Sironko-Mbale'!N28)</f>
        <v>0</v>
      </c>
      <c r="O28" s="15">
        <f t="shared" si="0"/>
        <v>18.857142857142861</v>
      </c>
      <c r="P28" s="15">
        <f t="shared" si="1"/>
        <v>50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9</v>
      </c>
      <c r="AF28" s="31">
        <f t="shared" si="20"/>
        <v>13</v>
      </c>
    </row>
    <row r="29" spans="2:32" ht="23.1" customHeight="1" x14ac:dyDescent="0.25">
      <c r="B29" s="23" t="s">
        <v>56</v>
      </c>
      <c r="C29" s="49">
        <f>AVERAGE('19.08 Sironko-Mbale'!C29,'20.08 Sironko-Mbale'!C29,'21.08 Sironko-Mbale'!C29,'23.08 Sironko-Mbale'!C29,'24.08 Sironko-Mbale-24h'!C29,'22.08 Sironko-Mbale-24h'!C29,'25.08 Sironko-Mbale'!C29)</f>
        <v>2.8571428571428572</v>
      </c>
      <c r="D29" s="49">
        <f>AVERAGE('19.08 Sironko-Mbale'!D29,'20.08 Sironko-Mbale'!D29,'21.08 Sironko-Mbale'!D29,'23.08 Sironko-Mbale'!D29,'24.08 Sironko-Mbale-24h'!D29,'22.08 Sironko-Mbale-24h'!D29,'25.08 Sironko-Mbale'!D29)</f>
        <v>0.8571428571428571</v>
      </c>
      <c r="E29" s="49">
        <f>AVERAGE('19.08 Sironko-Mbale'!E29,'20.08 Sironko-Mbale'!E29,'21.08 Sironko-Mbale'!E29,'23.08 Sironko-Mbale'!E29,'24.08 Sironko-Mbale-24h'!E29,'22.08 Sironko-Mbale-24h'!E29,'25.08 Sironko-Mbale'!E29)</f>
        <v>4.2857142857142856</v>
      </c>
      <c r="F29" s="49">
        <f>AVERAGE('19.08 Sironko-Mbale'!F29,'20.08 Sironko-Mbale'!F29,'21.08 Sironko-Mbale'!F29,'23.08 Sironko-Mbale'!F29,'24.08 Sironko-Mbale-24h'!F29,'22.08 Sironko-Mbale-24h'!F29,'25.08 Sironko-Mbale'!F29)</f>
        <v>3</v>
      </c>
      <c r="G29" s="49">
        <f>AVERAGE('19.08 Sironko-Mbale'!G29,'20.08 Sironko-Mbale'!G29,'21.08 Sironko-Mbale'!G29,'23.08 Sironko-Mbale'!G29,'24.08 Sironko-Mbale-24h'!G29,'22.08 Sironko-Mbale-24h'!G29,'25.08 Sironko-Mbale'!G29)</f>
        <v>0.14285714285714285</v>
      </c>
      <c r="H29" s="49">
        <f>AVERAGE('19.08 Sironko-Mbale'!H29,'20.08 Sironko-Mbale'!H29,'21.08 Sironko-Mbale'!H29,'23.08 Sironko-Mbale'!H29,'24.08 Sironko-Mbale-24h'!H29,'22.08 Sironko-Mbale-24h'!H29,'25.08 Sironko-Mbale'!H29)</f>
        <v>0</v>
      </c>
      <c r="I29" s="49">
        <f>AVERAGE('19.08 Sironko-Mbale'!I29,'20.08 Sironko-Mbale'!I29,'21.08 Sironko-Mbale'!I29,'23.08 Sironko-Mbale'!I29,'24.08 Sironko-Mbale-24h'!I29,'22.08 Sironko-Mbale-24h'!I29,'25.08 Sironko-Mbale'!I29)</f>
        <v>1.8571428571428572</v>
      </c>
      <c r="J29" s="49">
        <f>AVERAGE('19.08 Sironko-Mbale'!J29,'20.08 Sironko-Mbale'!J29,'21.08 Sironko-Mbale'!J29,'23.08 Sironko-Mbale'!J29,'24.08 Sironko-Mbale-24h'!J29,'22.08 Sironko-Mbale-24h'!J29,'25.08 Sironko-Mbale'!J29)</f>
        <v>0.14285714285714285</v>
      </c>
      <c r="K29" s="49">
        <f>AVERAGE('19.08 Sironko-Mbale'!K29,'20.08 Sironko-Mbale'!K29,'21.08 Sironko-Mbale'!K29,'23.08 Sironko-Mbale'!K29,'24.08 Sironko-Mbale-24h'!K29,'22.08 Sironko-Mbale-24h'!K29,'25.08 Sironko-Mbale'!K29)</f>
        <v>0</v>
      </c>
      <c r="L29" s="49">
        <f>AVERAGE('19.08 Sironko-Mbale'!L29,'20.08 Sironko-Mbale'!L29,'21.08 Sironko-Mbale'!L29,'23.08 Sironko-Mbale'!L29,'24.08 Sironko-Mbale-24h'!L29,'22.08 Sironko-Mbale-24h'!L29,'25.08 Sironko-Mbale'!L29)</f>
        <v>0</v>
      </c>
      <c r="M29" s="49">
        <f>AVERAGE('19.08 Sironko-Mbale'!M29,'20.08 Sironko-Mbale'!M29,'21.08 Sironko-Mbale'!M29,'23.08 Sironko-Mbale'!M29,'24.08 Sironko-Mbale-24h'!M29,'22.08 Sironko-Mbale-24h'!M29,'25.08 Sironko-Mbale'!M29)</f>
        <v>26.428571428571427</v>
      </c>
      <c r="N29" s="49">
        <f>AVERAGE('19.08 Sironko-Mbale'!N29,'20.08 Sironko-Mbale'!N29,'21.08 Sironko-Mbale'!N29,'23.08 Sironko-Mbale'!N29,'24.08 Sironko-Mbale-24h'!N29,'22.08 Sironko-Mbale-24h'!N29,'25.08 Sironko-Mbale'!N29)</f>
        <v>0</v>
      </c>
      <c r="O29" s="15">
        <f t="shared" si="0"/>
        <v>13.142857142857142</v>
      </c>
      <c r="P29" s="15">
        <f t="shared" si="1"/>
        <v>39.571428571428569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5</v>
      </c>
      <c r="AD29" s="34">
        <f t="shared" si="21"/>
        <v>0</v>
      </c>
      <c r="AE29" s="31">
        <f t="shared" si="21"/>
        <v>6.5</v>
      </c>
      <c r="AF29" s="31">
        <f t="shared" si="21"/>
        <v>11.5</v>
      </c>
    </row>
    <row r="30" spans="2:32" ht="23.1" customHeight="1" x14ac:dyDescent="0.25">
      <c r="B30" s="23" t="s">
        <v>57</v>
      </c>
      <c r="C30" s="49">
        <f>AVERAGE('19.08 Sironko-Mbale'!C30,'20.08 Sironko-Mbale'!C30,'21.08 Sironko-Mbale'!C30,'23.08 Sironko-Mbale'!C30,'24.08 Sironko-Mbale-24h'!C30,'22.08 Sironko-Mbale-24h'!C30,'25.08 Sironko-Mbale'!C30)</f>
        <v>4.8571428571428568</v>
      </c>
      <c r="D30" s="49">
        <f>AVERAGE('19.08 Sironko-Mbale'!D30,'20.08 Sironko-Mbale'!D30,'21.08 Sironko-Mbale'!D30,'23.08 Sironko-Mbale'!D30,'24.08 Sironko-Mbale-24h'!D30,'22.08 Sironko-Mbale-24h'!D30,'25.08 Sironko-Mbale'!D30)</f>
        <v>1.7142857142857142</v>
      </c>
      <c r="E30" s="49">
        <f>AVERAGE('19.08 Sironko-Mbale'!E30,'20.08 Sironko-Mbale'!E30,'21.08 Sironko-Mbale'!E30,'23.08 Sironko-Mbale'!E30,'24.08 Sironko-Mbale-24h'!E30,'22.08 Sironko-Mbale-24h'!E30,'25.08 Sironko-Mbale'!E30)</f>
        <v>7.5714285714285712</v>
      </c>
      <c r="F30" s="49">
        <f>AVERAGE('19.08 Sironko-Mbale'!F30,'20.08 Sironko-Mbale'!F30,'21.08 Sironko-Mbale'!F30,'23.08 Sironko-Mbale'!F30,'24.08 Sironko-Mbale-24h'!F30,'22.08 Sironko-Mbale-24h'!F30,'25.08 Sironko-Mbale'!F30)</f>
        <v>4.5714285714285712</v>
      </c>
      <c r="G30" s="49">
        <f>AVERAGE('19.08 Sironko-Mbale'!G30,'20.08 Sironko-Mbale'!G30,'21.08 Sironko-Mbale'!G30,'23.08 Sironko-Mbale'!G30,'24.08 Sironko-Mbale-24h'!G30,'22.08 Sironko-Mbale-24h'!G30,'25.08 Sironko-Mbale'!G30)</f>
        <v>0</v>
      </c>
      <c r="H30" s="49">
        <f>AVERAGE('19.08 Sironko-Mbale'!H30,'20.08 Sironko-Mbale'!H30,'21.08 Sironko-Mbale'!H30,'23.08 Sironko-Mbale'!H30,'24.08 Sironko-Mbale-24h'!H30,'22.08 Sironko-Mbale-24h'!H30,'25.08 Sironko-Mbale'!H30)</f>
        <v>0</v>
      </c>
      <c r="I30" s="49">
        <f>AVERAGE('19.08 Sironko-Mbale'!I30,'20.08 Sironko-Mbale'!I30,'21.08 Sironko-Mbale'!I30,'23.08 Sironko-Mbale'!I30,'24.08 Sironko-Mbale-24h'!I30,'22.08 Sironko-Mbale-24h'!I30,'25.08 Sironko-Mbale'!I30)</f>
        <v>3</v>
      </c>
      <c r="J30" s="49">
        <f>AVERAGE('19.08 Sironko-Mbale'!J30,'20.08 Sironko-Mbale'!J30,'21.08 Sironko-Mbale'!J30,'23.08 Sironko-Mbale'!J30,'24.08 Sironko-Mbale-24h'!J30,'22.08 Sironko-Mbale-24h'!J30,'25.08 Sironko-Mbale'!J30)</f>
        <v>0.14285714285714285</v>
      </c>
      <c r="K30" s="49">
        <f>AVERAGE('19.08 Sironko-Mbale'!K30,'20.08 Sironko-Mbale'!K30,'21.08 Sironko-Mbale'!K30,'23.08 Sironko-Mbale'!K30,'24.08 Sironko-Mbale-24h'!K30,'22.08 Sironko-Mbale-24h'!K30,'25.08 Sironko-Mbale'!K30)</f>
        <v>0</v>
      </c>
      <c r="L30" s="49">
        <f>AVERAGE('19.08 Sironko-Mbale'!L30,'20.08 Sironko-Mbale'!L30,'21.08 Sironko-Mbale'!L30,'23.08 Sironko-Mbale'!L30,'24.08 Sironko-Mbale-24h'!L30,'22.08 Sironko-Mbale-24h'!L30,'25.08 Sironko-Mbale'!L30)</f>
        <v>0</v>
      </c>
      <c r="M30" s="49">
        <f>AVERAGE('19.08 Sironko-Mbale'!M30,'20.08 Sironko-Mbale'!M30,'21.08 Sironko-Mbale'!M30,'23.08 Sironko-Mbale'!M30,'24.08 Sironko-Mbale-24h'!M30,'22.08 Sironko-Mbale-24h'!M30,'25.08 Sironko-Mbale'!M30)</f>
        <v>31.714285714285715</v>
      </c>
      <c r="N30" s="49">
        <f>AVERAGE('19.08 Sironko-Mbale'!N30,'20.08 Sironko-Mbale'!N30,'21.08 Sironko-Mbale'!N30,'23.08 Sironko-Mbale'!N30,'24.08 Sironko-Mbale-24h'!N30,'22.08 Sironko-Mbale-24h'!N30,'25.08 Sironko-Mbale'!N30)</f>
        <v>0</v>
      </c>
      <c r="O30" s="15">
        <f t="shared" si="0"/>
        <v>21.857142857142858</v>
      </c>
      <c r="P30" s="15">
        <f t="shared" si="1"/>
        <v>53.571428571428569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3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4</v>
      </c>
      <c r="AF30" s="31">
        <f t="shared" si="22"/>
        <v>6</v>
      </c>
    </row>
    <row r="31" spans="2:32" ht="23.1" customHeight="1" x14ac:dyDescent="0.25">
      <c r="B31" s="24" t="s">
        <v>58</v>
      </c>
      <c r="C31" s="49">
        <f>AVERAGE('19.08 Sironko-Mbale'!C31,'20.08 Sironko-Mbale'!C31,'21.08 Sironko-Mbale'!C31,'23.08 Sironko-Mbale'!C31,'24.08 Sironko-Mbale-24h'!C31,'22.08 Sironko-Mbale-24h'!C31,'25.08 Sironko-Mbale'!C31)</f>
        <v>2.2857142857142856</v>
      </c>
      <c r="D31" s="49">
        <f>AVERAGE('19.08 Sironko-Mbale'!D31,'20.08 Sironko-Mbale'!D31,'21.08 Sironko-Mbale'!D31,'23.08 Sironko-Mbale'!D31,'24.08 Sironko-Mbale-24h'!D31,'22.08 Sironko-Mbale-24h'!D31,'25.08 Sironko-Mbale'!D31)</f>
        <v>0.8571428571428571</v>
      </c>
      <c r="E31" s="49">
        <f>AVERAGE('19.08 Sironko-Mbale'!E31,'20.08 Sironko-Mbale'!E31,'21.08 Sironko-Mbale'!E31,'23.08 Sironko-Mbale'!E31,'24.08 Sironko-Mbale-24h'!E31,'22.08 Sironko-Mbale-24h'!E31,'25.08 Sironko-Mbale'!E31)</f>
        <v>4.8571428571428568</v>
      </c>
      <c r="F31" s="49">
        <f>AVERAGE('19.08 Sironko-Mbale'!F31,'20.08 Sironko-Mbale'!F31,'21.08 Sironko-Mbale'!F31,'23.08 Sironko-Mbale'!F31,'24.08 Sironko-Mbale-24h'!F31,'22.08 Sironko-Mbale-24h'!F31,'25.08 Sironko-Mbale'!F31)</f>
        <v>3.7142857142857144</v>
      </c>
      <c r="G31" s="49">
        <f>AVERAGE('19.08 Sironko-Mbale'!G31,'20.08 Sironko-Mbale'!G31,'21.08 Sironko-Mbale'!G31,'23.08 Sironko-Mbale'!G31,'24.08 Sironko-Mbale-24h'!G31,'22.08 Sironko-Mbale-24h'!G31,'25.08 Sironko-Mbale'!G31)</f>
        <v>0.2857142857142857</v>
      </c>
      <c r="H31" s="49">
        <f>AVERAGE('19.08 Sironko-Mbale'!H31,'20.08 Sironko-Mbale'!H31,'21.08 Sironko-Mbale'!H31,'23.08 Sironko-Mbale'!H31,'24.08 Sironko-Mbale-24h'!H31,'22.08 Sironko-Mbale-24h'!H31,'25.08 Sironko-Mbale'!H31)</f>
        <v>0.5714285714285714</v>
      </c>
      <c r="I31" s="49">
        <f>AVERAGE('19.08 Sironko-Mbale'!I31,'20.08 Sironko-Mbale'!I31,'21.08 Sironko-Mbale'!I31,'23.08 Sironko-Mbale'!I31,'24.08 Sironko-Mbale-24h'!I31,'22.08 Sironko-Mbale-24h'!I31,'25.08 Sironko-Mbale'!I31)</f>
        <v>2.8571428571428572</v>
      </c>
      <c r="J31" s="49">
        <f>AVERAGE('19.08 Sironko-Mbale'!J31,'20.08 Sironko-Mbale'!J31,'21.08 Sironko-Mbale'!J31,'23.08 Sironko-Mbale'!J31,'24.08 Sironko-Mbale-24h'!J31,'22.08 Sironko-Mbale-24h'!J31,'25.08 Sironko-Mbale'!J31)</f>
        <v>0</v>
      </c>
      <c r="K31" s="49">
        <f>AVERAGE('19.08 Sironko-Mbale'!K31,'20.08 Sironko-Mbale'!K31,'21.08 Sironko-Mbale'!K31,'23.08 Sironko-Mbale'!K31,'24.08 Sironko-Mbale-24h'!K31,'22.08 Sironko-Mbale-24h'!K31,'25.08 Sironko-Mbale'!K31)</f>
        <v>0</v>
      </c>
      <c r="L31" s="49">
        <f>AVERAGE('19.08 Sironko-Mbale'!L31,'20.08 Sironko-Mbale'!L31,'21.08 Sironko-Mbale'!L31,'23.08 Sironko-Mbale'!L31,'24.08 Sironko-Mbale-24h'!L31,'22.08 Sironko-Mbale-24h'!L31,'25.08 Sironko-Mbale'!L31)</f>
        <v>0</v>
      </c>
      <c r="M31" s="49">
        <f>AVERAGE('19.08 Sironko-Mbale'!M31,'20.08 Sironko-Mbale'!M31,'21.08 Sironko-Mbale'!M31,'23.08 Sironko-Mbale'!M31,'24.08 Sironko-Mbale-24h'!M31,'22.08 Sironko-Mbale-24h'!M31,'25.08 Sironko-Mbale'!M31)</f>
        <v>32.428571428571431</v>
      </c>
      <c r="N31" s="49">
        <f>AVERAGE('19.08 Sironko-Mbale'!N31,'20.08 Sironko-Mbale'!N31,'21.08 Sironko-Mbale'!N31,'23.08 Sironko-Mbale'!N31,'24.08 Sironko-Mbale-24h'!N31,'22.08 Sironko-Mbale-24h'!N31,'25.08 Sironko-Mbale'!N31)</f>
        <v>0</v>
      </c>
      <c r="O31" s="15">
        <f t="shared" si="0"/>
        <v>15.428571428571431</v>
      </c>
      <c r="P31" s="15">
        <f t="shared" si="1"/>
        <v>47.857142857142861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3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6</v>
      </c>
      <c r="AD31" s="34">
        <f t="shared" si="23"/>
        <v>0</v>
      </c>
      <c r="AE31" s="31">
        <f t="shared" si="23"/>
        <v>8</v>
      </c>
      <c r="AF31" s="31">
        <f t="shared" si="23"/>
        <v>14</v>
      </c>
    </row>
    <row r="32" spans="2:32" ht="23.1" customHeight="1" x14ac:dyDescent="0.25">
      <c r="B32" s="24" t="s">
        <v>59</v>
      </c>
      <c r="C32" s="49">
        <f>AVERAGE('19.08 Sironko-Mbale'!C32,'20.08 Sironko-Mbale'!C32,'21.08 Sironko-Mbale'!C32,'23.08 Sironko-Mbale'!C32,'24.08 Sironko-Mbale-24h'!C32,'22.08 Sironko-Mbale-24h'!C32,'25.08 Sironko-Mbale'!C32)</f>
        <v>3.4285714285714284</v>
      </c>
      <c r="D32" s="49">
        <f>AVERAGE('19.08 Sironko-Mbale'!D32,'20.08 Sironko-Mbale'!D32,'21.08 Sironko-Mbale'!D32,'23.08 Sironko-Mbale'!D32,'24.08 Sironko-Mbale-24h'!D32,'22.08 Sironko-Mbale-24h'!D32,'25.08 Sironko-Mbale'!D32)</f>
        <v>0.8571428571428571</v>
      </c>
      <c r="E32" s="49">
        <f>AVERAGE('19.08 Sironko-Mbale'!E32,'20.08 Sironko-Mbale'!E32,'21.08 Sironko-Mbale'!E32,'23.08 Sironko-Mbale'!E32,'24.08 Sironko-Mbale-24h'!E32,'22.08 Sironko-Mbale-24h'!E32,'25.08 Sironko-Mbale'!E32)</f>
        <v>4.1428571428571432</v>
      </c>
      <c r="F32" s="49">
        <f>AVERAGE('19.08 Sironko-Mbale'!F32,'20.08 Sironko-Mbale'!F32,'21.08 Sironko-Mbale'!F32,'23.08 Sironko-Mbale'!F32,'24.08 Sironko-Mbale-24h'!F32,'22.08 Sironko-Mbale-24h'!F32,'25.08 Sironko-Mbale'!F32)</f>
        <v>3.4285714285714284</v>
      </c>
      <c r="G32" s="49">
        <f>AVERAGE('19.08 Sironko-Mbale'!G32,'20.08 Sironko-Mbale'!G32,'21.08 Sironko-Mbale'!G32,'23.08 Sironko-Mbale'!G32,'24.08 Sironko-Mbale-24h'!G32,'22.08 Sironko-Mbale-24h'!G32,'25.08 Sironko-Mbale'!G32)</f>
        <v>0</v>
      </c>
      <c r="H32" s="49">
        <f>AVERAGE('19.08 Sironko-Mbale'!H32,'20.08 Sironko-Mbale'!H32,'21.08 Sironko-Mbale'!H32,'23.08 Sironko-Mbale'!H32,'24.08 Sironko-Mbale-24h'!H32,'22.08 Sironko-Mbale-24h'!H32,'25.08 Sironko-Mbale'!H32)</f>
        <v>0.14285714285714285</v>
      </c>
      <c r="I32" s="49">
        <f>AVERAGE('19.08 Sironko-Mbale'!I32,'20.08 Sironko-Mbale'!I32,'21.08 Sironko-Mbale'!I32,'23.08 Sironko-Mbale'!I32,'24.08 Sironko-Mbale-24h'!I32,'22.08 Sironko-Mbale-24h'!I32,'25.08 Sironko-Mbale'!I32)</f>
        <v>3.7142857142857144</v>
      </c>
      <c r="J32" s="49">
        <f>AVERAGE('19.08 Sironko-Mbale'!J32,'20.08 Sironko-Mbale'!J32,'21.08 Sironko-Mbale'!J32,'23.08 Sironko-Mbale'!J32,'24.08 Sironko-Mbale-24h'!J32,'22.08 Sironko-Mbale-24h'!J32,'25.08 Sironko-Mbale'!J32)</f>
        <v>0.2857142857142857</v>
      </c>
      <c r="K32" s="49">
        <f>AVERAGE('19.08 Sironko-Mbale'!K32,'20.08 Sironko-Mbale'!K32,'21.08 Sironko-Mbale'!K32,'23.08 Sironko-Mbale'!K32,'24.08 Sironko-Mbale-24h'!K32,'22.08 Sironko-Mbale-24h'!K32,'25.08 Sironko-Mbale'!K32)</f>
        <v>0</v>
      </c>
      <c r="L32" s="49">
        <f>AVERAGE('19.08 Sironko-Mbale'!L32,'20.08 Sironko-Mbale'!L32,'21.08 Sironko-Mbale'!L32,'23.08 Sironko-Mbale'!L32,'24.08 Sironko-Mbale-24h'!L32,'22.08 Sironko-Mbale-24h'!L32,'25.08 Sironko-Mbale'!L32)</f>
        <v>0</v>
      </c>
      <c r="M32" s="49">
        <f>AVERAGE('19.08 Sironko-Mbale'!M32,'20.08 Sironko-Mbale'!M32,'21.08 Sironko-Mbale'!M32,'23.08 Sironko-Mbale'!M32,'24.08 Sironko-Mbale-24h'!M32,'22.08 Sironko-Mbale-24h'!M32,'25.08 Sironko-Mbale'!M32)</f>
        <v>31.714285714285715</v>
      </c>
      <c r="N32" s="49">
        <f>AVERAGE('19.08 Sironko-Mbale'!N32,'20.08 Sironko-Mbale'!N32,'21.08 Sironko-Mbale'!N32,'23.08 Sironko-Mbale'!N32,'24.08 Sironko-Mbale-24h'!N32,'22.08 Sironko-Mbale-24h'!N32,'25.08 Sironko-Mbale'!N32)</f>
        <v>0.2857142857142857</v>
      </c>
      <c r="O32" s="15">
        <f t="shared" si="0"/>
        <v>16.285714285714285</v>
      </c>
      <c r="P32" s="15">
        <f t="shared" si="1"/>
        <v>48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3.5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5.5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6.5</v>
      </c>
      <c r="AD32" s="34">
        <f t="shared" si="24"/>
        <v>0</v>
      </c>
      <c r="AE32" s="31">
        <f t="shared" si="24"/>
        <v>10</v>
      </c>
      <c r="AF32" s="31">
        <f t="shared" si="24"/>
        <v>16.5</v>
      </c>
    </row>
    <row r="33" spans="2:32" ht="23.1" customHeight="1" x14ac:dyDescent="0.25">
      <c r="B33" s="23" t="s">
        <v>60</v>
      </c>
      <c r="C33" s="49">
        <f>AVERAGE('19.08 Sironko-Mbale'!C33,'20.08 Sironko-Mbale'!C33,'21.08 Sironko-Mbale'!C33,'23.08 Sironko-Mbale'!C33,'24.08 Sironko-Mbale-24h'!C33,'22.08 Sironko-Mbale-24h'!C33,'25.08 Sironko-Mbale'!C33)</f>
        <v>2.5714285714285716</v>
      </c>
      <c r="D33" s="49">
        <f>AVERAGE('19.08 Sironko-Mbale'!D33,'20.08 Sironko-Mbale'!D33,'21.08 Sironko-Mbale'!D33,'23.08 Sironko-Mbale'!D33,'24.08 Sironko-Mbale-24h'!D33,'22.08 Sironko-Mbale-24h'!D33,'25.08 Sironko-Mbale'!D33)</f>
        <v>1.5714285714285714</v>
      </c>
      <c r="E33" s="49">
        <f>AVERAGE('19.08 Sironko-Mbale'!E33,'20.08 Sironko-Mbale'!E33,'21.08 Sironko-Mbale'!E33,'23.08 Sironko-Mbale'!E33,'24.08 Sironko-Mbale-24h'!E33,'22.08 Sironko-Mbale-24h'!E33,'25.08 Sironko-Mbale'!E33)</f>
        <v>6.5714285714285712</v>
      </c>
      <c r="F33" s="49">
        <f>AVERAGE('19.08 Sironko-Mbale'!F33,'20.08 Sironko-Mbale'!F33,'21.08 Sironko-Mbale'!F33,'23.08 Sironko-Mbale'!F33,'24.08 Sironko-Mbale-24h'!F33,'22.08 Sironko-Mbale-24h'!F33,'25.08 Sironko-Mbale'!F33)</f>
        <v>3.7142857142857144</v>
      </c>
      <c r="G33" s="49">
        <f>AVERAGE('19.08 Sironko-Mbale'!G33,'20.08 Sironko-Mbale'!G33,'21.08 Sironko-Mbale'!G33,'23.08 Sironko-Mbale'!G33,'24.08 Sironko-Mbale-24h'!G33,'22.08 Sironko-Mbale-24h'!G33,'25.08 Sironko-Mbale'!G33)</f>
        <v>0</v>
      </c>
      <c r="H33" s="49">
        <f>AVERAGE('19.08 Sironko-Mbale'!H33,'20.08 Sironko-Mbale'!H33,'21.08 Sironko-Mbale'!H33,'23.08 Sironko-Mbale'!H33,'24.08 Sironko-Mbale-24h'!H33,'22.08 Sironko-Mbale-24h'!H33,'25.08 Sironko-Mbale'!H33)</f>
        <v>0</v>
      </c>
      <c r="I33" s="49">
        <f>AVERAGE('19.08 Sironko-Mbale'!I33,'20.08 Sironko-Mbale'!I33,'21.08 Sironko-Mbale'!I33,'23.08 Sironko-Mbale'!I33,'24.08 Sironko-Mbale-24h'!I33,'22.08 Sironko-Mbale-24h'!I33,'25.08 Sironko-Mbale'!I33)</f>
        <v>1.8571428571428572</v>
      </c>
      <c r="J33" s="49">
        <f>AVERAGE('19.08 Sironko-Mbale'!J33,'20.08 Sironko-Mbale'!J33,'21.08 Sironko-Mbale'!J33,'23.08 Sironko-Mbale'!J33,'24.08 Sironko-Mbale-24h'!J33,'22.08 Sironko-Mbale-24h'!J33,'25.08 Sironko-Mbale'!J33)</f>
        <v>0.14285714285714285</v>
      </c>
      <c r="K33" s="49">
        <f>AVERAGE('19.08 Sironko-Mbale'!K33,'20.08 Sironko-Mbale'!K33,'21.08 Sironko-Mbale'!K33,'23.08 Sironko-Mbale'!K33,'24.08 Sironko-Mbale-24h'!K33,'22.08 Sironko-Mbale-24h'!K33,'25.08 Sironko-Mbale'!K33)</f>
        <v>0.14285714285714285</v>
      </c>
      <c r="L33" s="49">
        <f>AVERAGE('19.08 Sironko-Mbale'!L33,'20.08 Sironko-Mbale'!L33,'21.08 Sironko-Mbale'!L33,'23.08 Sironko-Mbale'!L33,'24.08 Sironko-Mbale-24h'!L33,'22.08 Sironko-Mbale-24h'!L33,'25.08 Sironko-Mbale'!L33)</f>
        <v>0</v>
      </c>
      <c r="M33" s="49">
        <f>AVERAGE('19.08 Sironko-Mbale'!M33,'20.08 Sironko-Mbale'!M33,'21.08 Sironko-Mbale'!M33,'23.08 Sironko-Mbale'!M33,'24.08 Sironko-Mbale-24h'!M33,'22.08 Sironko-Mbale-24h'!M33,'25.08 Sironko-Mbale'!M33)</f>
        <v>26.857142857142858</v>
      </c>
      <c r="N33" s="49">
        <f>AVERAGE('19.08 Sironko-Mbale'!N33,'20.08 Sironko-Mbale'!N33,'21.08 Sironko-Mbale'!N33,'23.08 Sironko-Mbale'!N33,'24.08 Sironko-Mbale-24h'!N33,'22.08 Sironko-Mbale-24h'!N33,'25.08 Sironko-Mbale'!N33)</f>
        <v>0</v>
      </c>
      <c r="O33" s="15">
        <f t="shared" si="0"/>
        <v>16.571428571428573</v>
      </c>
      <c r="P33" s="15">
        <f t="shared" si="1"/>
        <v>43.428571428571431</v>
      </c>
      <c r="R33" s="1" t="s">
        <v>157</v>
      </c>
      <c r="S33" s="34">
        <f>SUM(C102:C105)</f>
        <v>1.5</v>
      </c>
      <c r="T33" s="34">
        <f t="shared" ref="T33:AF33" si="25">SUM(D102:D105)</f>
        <v>0.5</v>
      </c>
      <c r="U33" s="34">
        <f t="shared" si="25"/>
        <v>7.5</v>
      </c>
      <c r="V33" s="34">
        <f t="shared" si="25"/>
        <v>8.5</v>
      </c>
      <c r="W33" s="34">
        <f t="shared" si="25"/>
        <v>0</v>
      </c>
      <c r="X33" s="34">
        <f t="shared" si="25"/>
        <v>0</v>
      </c>
      <c r="Y33" s="34">
        <f t="shared" si="25"/>
        <v>8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28.5</v>
      </c>
      <c r="AD33" s="34">
        <f t="shared" si="25"/>
        <v>0</v>
      </c>
      <c r="AE33" s="31">
        <f t="shared" si="25"/>
        <v>26</v>
      </c>
      <c r="AF33" s="31">
        <f t="shared" si="25"/>
        <v>54.5</v>
      </c>
    </row>
    <row r="34" spans="2:32" ht="23.1" customHeight="1" x14ac:dyDescent="0.25">
      <c r="B34" s="24" t="s">
        <v>61</v>
      </c>
      <c r="C34" s="49">
        <f>AVERAGE('19.08 Sironko-Mbale'!C34,'20.08 Sironko-Mbale'!C34,'21.08 Sironko-Mbale'!C34,'23.08 Sironko-Mbale'!C34,'24.08 Sironko-Mbale-24h'!C34,'22.08 Sironko-Mbale-24h'!C34,'25.08 Sironko-Mbale'!C34)</f>
        <v>3.2857142857142856</v>
      </c>
      <c r="D34" s="49">
        <f>AVERAGE('19.08 Sironko-Mbale'!D34,'20.08 Sironko-Mbale'!D34,'21.08 Sironko-Mbale'!D34,'23.08 Sironko-Mbale'!D34,'24.08 Sironko-Mbale-24h'!D34,'22.08 Sironko-Mbale-24h'!D34,'25.08 Sironko-Mbale'!D34)</f>
        <v>1.2857142857142858</v>
      </c>
      <c r="E34" s="49">
        <f>AVERAGE('19.08 Sironko-Mbale'!E34,'20.08 Sironko-Mbale'!E34,'21.08 Sironko-Mbale'!E34,'23.08 Sironko-Mbale'!E34,'24.08 Sironko-Mbale-24h'!E34,'22.08 Sironko-Mbale-24h'!E34,'25.08 Sironko-Mbale'!E34)</f>
        <v>6.2857142857142856</v>
      </c>
      <c r="F34" s="49">
        <f>AVERAGE('19.08 Sironko-Mbale'!F34,'20.08 Sironko-Mbale'!F34,'21.08 Sironko-Mbale'!F34,'23.08 Sironko-Mbale'!F34,'24.08 Sironko-Mbale-24h'!F34,'22.08 Sironko-Mbale-24h'!F34,'25.08 Sironko-Mbale'!F34)</f>
        <v>2.4285714285714284</v>
      </c>
      <c r="G34" s="49">
        <f>AVERAGE('19.08 Sironko-Mbale'!G34,'20.08 Sironko-Mbale'!G34,'21.08 Sironko-Mbale'!G34,'23.08 Sironko-Mbale'!G34,'24.08 Sironko-Mbale-24h'!G34,'22.08 Sironko-Mbale-24h'!G34,'25.08 Sironko-Mbale'!G34)</f>
        <v>0</v>
      </c>
      <c r="H34" s="49">
        <f>AVERAGE('19.08 Sironko-Mbale'!H34,'20.08 Sironko-Mbale'!H34,'21.08 Sironko-Mbale'!H34,'23.08 Sironko-Mbale'!H34,'24.08 Sironko-Mbale-24h'!H34,'22.08 Sironko-Mbale-24h'!H34,'25.08 Sironko-Mbale'!H34)</f>
        <v>0</v>
      </c>
      <c r="I34" s="49">
        <f>AVERAGE('19.08 Sironko-Mbale'!I34,'20.08 Sironko-Mbale'!I34,'21.08 Sironko-Mbale'!I34,'23.08 Sironko-Mbale'!I34,'24.08 Sironko-Mbale-24h'!I34,'22.08 Sironko-Mbale-24h'!I34,'25.08 Sironko-Mbale'!I34)</f>
        <v>3</v>
      </c>
      <c r="J34" s="49">
        <f>AVERAGE('19.08 Sironko-Mbale'!J34,'20.08 Sironko-Mbale'!J34,'21.08 Sironko-Mbale'!J34,'23.08 Sironko-Mbale'!J34,'24.08 Sironko-Mbale-24h'!J34,'22.08 Sironko-Mbale-24h'!J34,'25.08 Sironko-Mbale'!J34)</f>
        <v>0</v>
      </c>
      <c r="K34" s="49">
        <f>AVERAGE('19.08 Sironko-Mbale'!K34,'20.08 Sironko-Mbale'!K34,'21.08 Sironko-Mbale'!K34,'23.08 Sironko-Mbale'!K34,'24.08 Sironko-Mbale-24h'!K34,'22.08 Sironko-Mbale-24h'!K34,'25.08 Sironko-Mbale'!K34)</f>
        <v>0</v>
      </c>
      <c r="L34" s="49">
        <f>AVERAGE('19.08 Sironko-Mbale'!L34,'20.08 Sironko-Mbale'!L34,'21.08 Sironko-Mbale'!L34,'23.08 Sironko-Mbale'!L34,'24.08 Sironko-Mbale-24h'!L34,'22.08 Sironko-Mbale-24h'!L34,'25.08 Sironko-Mbale'!L34)</f>
        <v>0</v>
      </c>
      <c r="M34" s="49">
        <f>AVERAGE('19.08 Sironko-Mbale'!M34,'20.08 Sironko-Mbale'!M34,'21.08 Sironko-Mbale'!M34,'23.08 Sironko-Mbale'!M34,'24.08 Sironko-Mbale-24h'!M34,'22.08 Sironko-Mbale-24h'!M34,'25.08 Sironko-Mbale'!M34)</f>
        <v>34.142857142857146</v>
      </c>
      <c r="N34" s="49">
        <f>AVERAGE('19.08 Sironko-Mbale'!N34,'20.08 Sironko-Mbale'!N34,'21.08 Sironko-Mbale'!N34,'23.08 Sironko-Mbale'!N34,'24.08 Sironko-Mbale-24h'!N34,'22.08 Sironko-Mbale-24h'!N34,'25.08 Sironko-Mbale'!N34)</f>
        <v>0</v>
      </c>
      <c r="O34" s="15">
        <f t="shared" si="0"/>
        <v>16.285714285714285</v>
      </c>
      <c r="P34" s="15">
        <f t="shared" si="1"/>
        <v>50.428571428571431</v>
      </c>
      <c r="R34" s="51" t="s">
        <v>90</v>
      </c>
      <c r="S34" s="52">
        <f t="shared" ref="S34:AF34" si="26">MAX(S10:S12)</f>
        <v>14</v>
      </c>
      <c r="T34" s="52">
        <f t="shared" si="26"/>
        <v>4.4285714285714288</v>
      </c>
      <c r="U34" s="52">
        <f t="shared" si="26"/>
        <v>22.571428571428573</v>
      </c>
      <c r="V34" s="52">
        <f t="shared" si="26"/>
        <v>12.571428571428573</v>
      </c>
      <c r="W34" s="52">
        <f t="shared" si="26"/>
        <v>0.42857142857142855</v>
      </c>
      <c r="X34" s="52">
        <f t="shared" si="26"/>
        <v>0.14285714285714285</v>
      </c>
      <c r="Y34" s="52">
        <f t="shared" si="26"/>
        <v>6.1428571428571423</v>
      </c>
      <c r="Z34" s="52">
        <f t="shared" si="26"/>
        <v>0.5714285714285714</v>
      </c>
      <c r="AA34" s="52">
        <f t="shared" si="26"/>
        <v>0</v>
      </c>
      <c r="AB34" s="52">
        <f t="shared" si="26"/>
        <v>0</v>
      </c>
      <c r="AC34" s="52">
        <f t="shared" si="26"/>
        <v>115</v>
      </c>
      <c r="AD34" s="52">
        <f t="shared" si="26"/>
        <v>0.14285714285714285</v>
      </c>
      <c r="AE34" s="40">
        <f t="shared" si="26"/>
        <v>60</v>
      </c>
      <c r="AF34" s="40">
        <f t="shared" si="26"/>
        <v>175</v>
      </c>
    </row>
    <row r="35" spans="2:32" ht="23.1" customHeight="1" x14ac:dyDescent="0.25">
      <c r="B35" s="24" t="s">
        <v>62</v>
      </c>
      <c r="C35" s="49">
        <f>AVERAGE('19.08 Sironko-Mbale'!C35,'20.08 Sironko-Mbale'!C35,'21.08 Sironko-Mbale'!C35,'23.08 Sironko-Mbale'!C35,'24.08 Sironko-Mbale-24h'!C35,'22.08 Sironko-Mbale-24h'!C35,'25.08 Sironko-Mbale'!C35)</f>
        <v>3.5714285714285716</v>
      </c>
      <c r="D35" s="49">
        <f>AVERAGE('19.08 Sironko-Mbale'!D35,'20.08 Sironko-Mbale'!D35,'21.08 Sironko-Mbale'!D35,'23.08 Sironko-Mbale'!D35,'24.08 Sironko-Mbale-24h'!D35,'22.08 Sironko-Mbale-24h'!D35,'25.08 Sironko-Mbale'!D35)</f>
        <v>1.2857142857142858</v>
      </c>
      <c r="E35" s="49">
        <f>AVERAGE('19.08 Sironko-Mbale'!E35,'20.08 Sironko-Mbale'!E35,'21.08 Sironko-Mbale'!E35,'23.08 Sironko-Mbale'!E35,'24.08 Sironko-Mbale-24h'!E35,'22.08 Sironko-Mbale-24h'!E35,'25.08 Sironko-Mbale'!E35)</f>
        <v>5.5714285714285712</v>
      </c>
      <c r="F35" s="49">
        <f>AVERAGE('19.08 Sironko-Mbale'!F35,'20.08 Sironko-Mbale'!F35,'21.08 Sironko-Mbale'!F35,'23.08 Sironko-Mbale'!F35,'24.08 Sironko-Mbale-24h'!F35,'22.08 Sironko-Mbale-24h'!F35,'25.08 Sironko-Mbale'!F35)</f>
        <v>3</v>
      </c>
      <c r="G35" s="49">
        <f>AVERAGE('19.08 Sironko-Mbale'!G35,'20.08 Sironko-Mbale'!G35,'21.08 Sironko-Mbale'!G35,'23.08 Sironko-Mbale'!G35,'24.08 Sironko-Mbale-24h'!G35,'22.08 Sironko-Mbale-24h'!G35,'25.08 Sironko-Mbale'!G35)</f>
        <v>0</v>
      </c>
      <c r="H35" s="49">
        <f>AVERAGE('19.08 Sironko-Mbale'!H35,'20.08 Sironko-Mbale'!H35,'21.08 Sironko-Mbale'!H35,'23.08 Sironko-Mbale'!H35,'24.08 Sironko-Mbale-24h'!H35,'22.08 Sironko-Mbale-24h'!H35,'25.08 Sironko-Mbale'!H35)</f>
        <v>0</v>
      </c>
      <c r="I35" s="49">
        <f>AVERAGE('19.08 Sironko-Mbale'!I35,'20.08 Sironko-Mbale'!I35,'21.08 Sironko-Mbale'!I35,'23.08 Sironko-Mbale'!I35,'24.08 Sironko-Mbale-24h'!I35,'22.08 Sironko-Mbale-24h'!I35,'25.08 Sironko-Mbale'!I35)</f>
        <v>3.1428571428571428</v>
      </c>
      <c r="J35" s="49">
        <f>AVERAGE('19.08 Sironko-Mbale'!J35,'20.08 Sironko-Mbale'!J35,'21.08 Sironko-Mbale'!J35,'23.08 Sironko-Mbale'!J35,'24.08 Sironko-Mbale-24h'!J35,'22.08 Sironko-Mbale-24h'!J35,'25.08 Sironko-Mbale'!J35)</f>
        <v>0</v>
      </c>
      <c r="K35" s="49">
        <f>AVERAGE('19.08 Sironko-Mbale'!K35,'20.08 Sironko-Mbale'!K35,'21.08 Sironko-Mbale'!K35,'23.08 Sironko-Mbale'!K35,'24.08 Sironko-Mbale-24h'!K35,'22.08 Sironko-Mbale-24h'!K35,'25.08 Sironko-Mbale'!K35)</f>
        <v>0</v>
      </c>
      <c r="L35" s="49">
        <f>AVERAGE('19.08 Sironko-Mbale'!L35,'20.08 Sironko-Mbale'!L35,'21.08 Sironko-Mbale'!L35,'23.08 Sironko-Mbale'!L35,'24.08 Sironko-Mbale-24h'!L35,'22.08 Sironko-Mbale-24h'!L35,'25.08 Sironko-Mbale'!L35)</f>
        <v>0</v>
      </c>
      <c r="M35" s="49">
        <f>AVERAGE('19.08 Sironko-Mbale'!M35,'20.08 Sironko-Mbale'!M35,'21.08 Sironko-Mbale'!M35,'23.08 Sironko-Mbale'!M35,'24.08 Sironko-Mbale-24h'!M35,'22.08 Sironko-Mbale-24h'!M35,'25.08 Sironko-Mbale'!M35)</f>
        <v>25.714285714285715</v>
      </c>
      <c r="N35" s="49">
        <f>AVERAGE('19.08 Sironko-Mbale'!N35,'20.08 Sironko-Mbale'!N35,'21.08 Sironko-Mbale'!N35,'23.08 Sironko-Mbale'!N35,'24.08 Sironko-Mbale-24h'!N35,'22.08 Sironko-Mbale-24h'!N35,'25.08 Sironko-Mbale'!N35)</f>
        <v>0</v>
      </c>
      <c r="O35" s="15">
        <f t="shared" si="0"/>
        <v>16.571428571428573</v>
      </c>
      <c r="P35" s="15">
        <f t="shared" si="1"/>
        <v>42.285714285714292</v>
      </c>
      <c r="R35" s="51" t="s">
        <v>91</v>
      </c>
      <c r="S35" s="52">
        <f t="shared" ref="S35:AF35" si="27">MAX(S13:S18)</f>
        <v>14.714285714285714</v>
      </c>
      <c r="T35" s="52">
        <f t="shared" si="27"/>
        <v>5.4285714285714288</v>
      </c>
      <c r="U35" s="52">
        <f t="shared" si="27"/>
        <v>25.285714285714285</v>
      </c>
      <c r="V35" s="52">
        <f t="shared" si="27"/>
        <v>16.714285714285715</v>
      </c>
      <c r="W35" s="52">
        <f t="shared" si="27"/>
        <v>0.5714285714285714</v>
      </c>
      <c r="X35" s="52">
        <f t="shared" si="27"/>
        <v>0.71428571428571419</v>
      </c>
      <c r="Y35" s="52">
        <f t="shared" si="27"/>
        <v>12.714285714285715</v>
      </c>
      <c r="Z35" s="52">
        <f t="shared" si="27"/>
        <v>1</v>
      </c>
      <c r="AA35" s="52">
        <f t="shared" si="27"/>
        <v>0.14285714285714285</v>
      </c>
      <c r="AB35" s="52">
        <f t="shared" si="27"/>
        <v>0</v>
      </c>
      <c r="AC35" s="52">
        <f t="shared" si="27"/>
        <v>122.71428571428572</v>
      </c>
      <c r="AD35" s="52">
        <f t="shared" si="27"/>
        <v>0.2857142857142857</v>
      </c>
      <c r="AE35" s="40">
        <f t="shared" si="27"/>
        <v>72.714285714285708</v>
      </c>
      <c r="AF35" s="40">
        <f t="shared" si="27"/>
        <v>192.85714285714289</v>
      </c>
    </row>
    <row r="36" spans="2:32" ht="23.1" customHeight="1" x14ac:dyDescent="0.25">
      <c r="B36" s="24" t="s">
        <v>63</v>
      </c>
      <c r="C36" s="49">
        <f>AVERAGE('19.08 Sironko-Mbale'!C36,'20.08 Sironko-Mbale'!C36,'21.08 Sironko-Mbale'!C36,'23.08 Sironko-Mbale'!C36,'24.08 Sironko-Mbale-24h'!C36,'22.08 Sironko-Mbale-24h'!C36,'25.08 Sironko-Mbale'!C36)</f>
        <v>3.2857142857142856</v>
      </c>
      <c r="D36" s="49">
        <f>AVERAGE('19.08 Sironko-Mbale'!D36,'20.08 Sironko-Mbale'!D36,'21.08 Sironko-Mbale'!D36,'23.08 Sironko-Mbale'!D36,'24.08 Sironko-Mbale-24h'!D36,'22.08 Sironko-Mbale-24h'!D36,'25.08 Sironko-Mbale'!D36)</f>
        <v>1.5714285714285714</v>
      </c>
      <c r="E36" s="49">
        <f>AVERAGE('19.08 Sironko-Mbale'!E36,'20.08 Sironko-Mbale'!E36,'21.08 Sironko-Mbale'!E36,'23.08 Sironko-Mbale'!E36,'24.08 Sironko-Mbale-24h'!E36,'22.08 Sironko-Mbale-24h'!E36,'25.08 Sironko-Mbale'!E36)</f>
        <v>7.2857142857142856</v>
      </c>
      <c r="F36" s="49">
        <f>AVERAGE('19.08 Sironko-Mbale'!F36,'20.08 Sironko-Mbale'!F36,'21.08 Sironko-Mbale'!F36,'23.08 Sironko-Mbale'!F36,'24.08 Sironko-Mbale-24h'!F36,'22.08 Sironko-Mbale-24h'!F36,'25.08 Sironko-Mbale'!F36)</f>
        <v>4.1428571428571432</v>
      </c>
      <c r="G36" s="49">
        <f>AVERAGE('19.08 Sironko-Mbale'!G36,'20.08 Sironko-Mbale'!G36,'21.08 Sironko-Mbale'!G36,'23.08 Sironko-Mbale'!G36,'24.08 Sironko-Mbale-24h'!G36,'22.08 Sironko-Mbale-24h'!G36,'25.08 Sironko-Mbale'!G36)</f>
        <v>0</v>
      </c>
      <c r="H36" s="49">
        <f>AVERAGE('19.08 Sironko-Mbale'!H36,'20.08 Sironko-Mbale'!H36,'21.08 Sironko-Mbale'!H36,'23.08 Sironko-Mbale'!H36,'24.08 Sironko-Mbale-24h'!H36,'22.08 Sironko-Mbale-24h'!H36,'25.08 Sironko-Mbale'!H36)</f>
        <v>0</v>
      </c>
      <c r="I36" s="49">
        <f>AVERAGE('19.08 Sironko-Mbale'!I36,'20.08 Sironko-Mbale'!I36,'21.08 Sironko-Mbale'!I36,'23.08 Sironko-Mbale'!I36,'24.08 Sironko-Mbale-24h'!I36,'22.08 Sironko-Mbale-24h'!I36,'25.08 Sironko-Mbale'!I36)</f>
        <v>3.1428571428571428</v>
      </c>
      <c r="J36" s="49">
        <f>AVERAGE('19.08 Sironko-Mbale'!J36,'20.08 Sironko-Mbale'!J36,'21.08 Sironko-Mbale'!J36,'23.08 Sironko-Mbale'!J36,'24.08 Sironko-Mbale-24h'!J36,'22.08 Sironko-Mbale-24h'!J36,'25.08 Sironko-Mbale'!J36)</f>
        <v>0.14285714285714285</v>
      </c>
      <c r="K36" s="49">
        <f>AVERAGE('19.08 Sironko-Mbale'!K36,'20.08 Sironko-Mbale'!K36,'21.08 Sironko-Mbale'!K36,'23.08 Sironko-Mbale'!K36,'24.08 Sironko-Mbale-24h'!K36,'22.08 Sironko-Mbale-24h'!K36,'25.08 Sironko-Mbale'!K36)</f>
        <v>0</v>
      </c>
      <c r="L36" s="49">
        <f>AVERAGE('19.08 Sironko-Mbale'!L36,'20.08 Sironko-Mbale'!L36,'21.08 Sironko-Mbale'!L36,'23.08 Sironko-Mbale'!L36,'24.08 Sironko-Mbale-24h'!L36,'22.08 Sironko-Mbale-24h'!L36,'25.08 Sironko-Mbale'!L36)</f>
        <v>0</v>
      </c>
      <c r="M36" s="49">
        <f>AVERAGE('19.08 Sironko-Mbale'!M36,'20.08 Sironko-Mbale'!M36,'21.08 Sironko-Mbale'!M36,'23.08 Sironko-Mbale'!M36,'24.08 Sironko-Mbale-24h'!M36,'22.08 Sironko-Mbale-24h'!M36,'25.08 Sironko-Mbale'!M36)</f>
        <v>31.142857142857142</v>
      </c>
      <c r="N36" s="49">
        <f>AVERAGE('19.08 Sironko-Mbale'!N36,'20.08 Sironko-Mbale'!N36,'21.08 Sironko-Mbale'!N36,'23.08 Sironko-Mbale'!N36,'24.08 Sironko-Mbale-24h'!N36,'22.08 Sironko-Mbale-24h'!N36,'25.08 Sironko-Mbale'!N36)</f>
        <v>0</v>
      </c>
      <c r="O36" s="15">
        <f t="shared" si="0"/>
        <v>19.571428571428569</v>
      </c>
      <c r="P36" s="15">
        <f t="shared" si="1"/>
        <v>50.714285714285708</v>
      </c>
      <c r="R36" s="51" t="s">
        <v>92</v>
      </c>
      <c r="S36" s="52">
        <f t="shared" ref="S36:AF36" si="28">MAX(S19:S21)</f>
        <v>21.571428571428573</v>
      </c>
      <c r="T36" s="52">
        <f t="shared" si="28"/>
        <v>8</v>
      </c>
      <c r="U36" s="52">
        <f t="shared" si="28"/>
        <v>32.714285714285722</v>
      </c>
      <c r="V36" s="52">
        <f t="shared" si="28"/>
        <v>16</v>
      </c>
      <c r="W36" s="52">
        <f t="shared" si="28"/>
        <v>2.1428571428571428</v>
      </c>
      <c r="X36" s="52">
        <f t="shared" si="28"/>
        <v>0.71428571428571419</v>
      </c>
      <c r="Y36" s="52">
        <f t="shared" si="28"/>
        <v>14.142857142857142</v>
      </c>
      <c r="Z36" s="52">
        <f t="shared" si="28"/>
        <v>1.1428571428571428</v>
      </c>
      <c r="AA36" s="52">
        <f t="shared" si="28"/>
        <v>0.42857142857142855</v>
      </c>
      <c r="AB36" s="52">
        <f t="shared" si="28"/>
        <v>0</v>
      </c>
      <c r="AC36" s="52">
        <f t="shared" si="28"/>
        <v>148.14285714285714</v>
      </c>
      <c r="AD36" s="52">
        <f t="shared" si="28"/>
        <v>0</v>
      </c>
      <c r="AE36" s="40">
        <f t="shared" si="28"/>
        <v>95</v>
      </c>
      <c r="AF36" s="40">
        <f t="shared" si="28"/>
        <v>243.14285714285711</v>
      </c>
    </row>
    <row r="37" spans="2:32" ht="23.1" customHeight="1" x14ac:dyDescent="0.25">
      <c r="B37" s="23" t="s">
        <v>64</v>
      </c>
      <c r="C37" s="49">
        <f>AVERAGE('19.08 Sironko-Mbale'!C37,'20.08 Sironko-Mbale'!C37,'21.08 Sironko-Mbale'!C37,'23.08 Sironko-Mbale'!C37,'24.08 Sironko-Mbale-24h'!C37,'22.08 Sironko-Mbale-24h'!C37,'25.08 Sironko-Mbale'!C37)</f>
        <v>3.1428571428571428</v>
      </c>
      <c r="D37" s="49">
        <f>AVERAGE('19.08 Sironko-Mbale'!D37,'20.08 Sironko-Mbale'!D37,'21.08 Sironko-Mbale'!D37,'23.08 Sironko-Mbale'!D37,'24.08 Sironko-Mbale-24h'!D37,'22.08 Sironko-Mbale-24h'!D37,'25.08 Sironko-Mbale'!D37)</f>
        <v>1.2857142857142858</v>
      </c>
      <c r="E37" s="49">
        <f>AVERAGE('19.08 Sironko-Mbale'!E37,'20.08 Sironko-Mbale'!E37,'21.08 Sironko-Mbale'!E37,'23.08 Sironko-Mbale'!E37,'24.08 Sironko-Mbale-24h'!E37,'22.08 Sironko-Mbale-24h'!E37,'25.08 Sironko-Mbale'!E37)</f>
        <v>6.1428571428571432</v>
      </c>
      <c r="F37" s="49">
        <f>AVERAGE('19.08 Sironko-Mbale'!F37,'20.08 Sironko-Mbale'!F37,'21.08 Sironko-Mbale'!F37,'23.08 Sironko-Mbale'!F37,'24.08 Sironko-Mbale-24h'!F37,'22.08 Sironko-Mbale-24h'!F37,'25.08 Sironko-Mbale'!F37)</f>
        <v>3.4285714285714284</v>
      </c>
      <c r="G37" s="49">
        <f>AVERAGE('19.08 Sironko-Mbale'!G37,'20.08 Sironko-Mbale'!G37,'21.08 Sironko-Mbale'!G37,'23.08 Sironko-Mbale'!G37,'24.08 Sironko-Mbale-24h'!G37,'22.08 Sironko-Mbale-24h'!G37,'25.08 Sironko-Mbale'!G37)</f>
        <v>0</v>
      </c>
      <c r="H37" s="49">
        <f>AVERAGE('19.08 Sironko-Mbale'!H37,'20.08 Sironko-Mbale'!H37,'21.08 Sironko-Mbale'!H37,'23.08 Sironko-Mbale'!H37,'24.08 Sironko-Mbale-24h'!H37,'22.08 Sironko-Mbale-24h'!H37,'25.08 Sironko-Mbale'!H37)</f>
        <v>0</v>
      </c>
      <c r="I37" s="49">
        <f>AVERAGE('19.08 Sironko-Mbale'!I37,'20.08 Sironko-Mbale'!I37,'21.08 Sironko-Mbale'!I37,'23.08 Sironko-Mbale'!I37,'24.08 Sironko-Mbale-24h'!I37,'22.08 Sironko-Mbale-24h'!I37,'25.08 Sironko-Mbale'!I37)</f>
        <v>2.1428571428571428</v>
      </c>
      <c r="J37" s="49">
        <f>AVERAGE('19.08 Sironko-Mbale'!J37,'20.08 Sironko-Mbale'!J37,'21.08 Sironko-Mbale'!J37,'23.08 Sironko-Mbale'!J37,'24.08 Sironko-Mbale-24h'!J37,'22.08 Sironko-Mbale-24h'!J37,'25.08 Sironko-Mbale'!J37)</f>
        <v>0.14285714285714285</v>
      </c>
      <c r="K37" s="49">
        <f>AVERAGE('19.08 Sironko-Mbale'!K37,'20.08 Sironko-Mbale'!K37,'21.08 Sironko-Mbale'!K37,'23.08 Sironko-Mbale'!K37,'24.08 Sironko-Mbale-24h'!K37,'22.08 Sironko-Mbale-24h'!K37,'25.08 Sironko-Mbale'!K37)</f>
        <v>0.14285714285714285</v>
      </c>
      <c r="L37" s="49">
        <f>AVERAGE('19.08 Sironko-Mbale'!L37,'20.08 Sironko-Mbale'!L37,'21.08 Sironko-Mbale'!L37,'23.08 Sironko-Mbale'!L37,'24.08 Sironko-Mbale-24h'!L37,'22.08 Sironko-Mbale-24h'!L37,'25.08 Sironko-Mbale'!L37)</f>
        <v>0</v>
      </c>
      <c r="M37" s="49">
        <f>AVERAGE('19.08 Sironko-Mbale'!M37,'20.08 Sironko-Mbale'!M37,'21.08 Sironko-Mbale'!M37,'23.08 Sironko-Mbale'!M37,'24.08 Sironko-Mbale-24h'!M37,'22.08 Sironko-Mbale-24h'!M37,'25.08 Sironko-Mbale'!M37)</f>
        <v>25.142857142857142</v>
      </c>
      <c r="N37" s="49">
        <f>AVERAGE('19.08 Sironko-Mbale'!N37,'20.08 Sironko-Mbale'!N37,'21.08 Sironko-Mbale'!N37,'23.08 Sironko-Mbale'!N37,'24.08 Sironko-Mbale-24h'!N37,'22.08 Sironko-Mbale-24h'!N37,'25.08 Sironko-Mbale'!N37)</f>
        <v>0</v>
      </c>
      <c r="O37" s="15">
        <f t="shared" si="0"/>
        <v>16.428571428571431</v>
      </c>
      <c r="P37" s="15">
        <f t="shared" si="1"/>
        <v>41.571428571428569</v>
      </c>
      <c r="R37" s="37" t="s">
        <v>85</v>
      </c>
      <c r="S37" s="53">
        <f t="shared" ref="S37:AF37" si="29">SUM(S10:S12)</f>
        <v>31.571428571428569</v>
      </c>
      <c r="T37" s="54">
        <f t="shared" si="29"/>
        <v>9.7142857142857153</v>
      </c>
      <c r="U37" s="54">
        <f t="shared" si="29"/>
        <v>53.571428571428569</v>
      </c>
      <c r="V37" s="54">
        <f t="shared" si="29"/>
        <v>32.714285714285715</v>
      </c>
      <c r="W37" s="54">
        <f t="shared" si="29"/>
        <v>0.8571428571428571</v>
      </c>
      <c r="X37" s="54">
        <f t="shared" si="29"/>
        <v>0.14285714285714285</v>
      </c>
      <c r="Y37" s="54">
        <f t="shared" si="29"/>
        <v>17.285714285714285</v>
      </c>
      <c r="Z37" s="54">
        <f t="shared" si="29"/>
        <v>1.1428571428571428</v>
      </c>
      <c r="AA37" s="54">
        <f t="shared" si="29"/>
        <v>0</v>
      </c>
      <c r="AB37" s="54">
        <f t="shared" si="29"/>
        <v>0</v>
      </c>
      <c r="AC37" s="54">
        <f t="shared" si="29"/>
        <v>317.28571428571428</v>
      </c>
      <c r="AD37" s="54">
        <f t="shared" si="29"/>
        <v>0.14285714285714285</v>
      </c>
      <c r="AE37" s="55">
        <f t="shared" si="29"/>
        <v>147.14285714285714</v>
      </c>
      <c r="AF37" s="55">
        <f t="shared" si="29"/>
        <v>464.42857142857144</v>
      </c>
    </row>
    <row r="38" spans="2:32" ht="23.1" customHeight="1" x14ac:dyDescent="0.25">
      <c r="B38" s="24" t="s">
        <v>65</v>
      </c>
      <c r="C38" s="49">
        <f>AVERAGE('19.08 Sironko-Mbale'!C38,'20.08 Sironko-Mbale'!C38,'21.08 Sironko-Mbale'!C38,'23.08 Sironko-Mbale'!C38,'24.08 Sironko-Mbale-24h'!C38,'22.08 Sironko-Mbale-24h'!C38,'25.08 Sironko-Mbale'!C38)</f>
        <v>2.8571428571428572</v>
      </c>
      <c r="D38" s="49">
        <f>AVERAGE('19.08 Sironko-Mbale'!D38,'20.08 Sironko-Mbale'!D38,'21.08 Sironko-Mbale'!D38,'23.08 Sironko-Mbale'!D38,'24.08 Sironko-Mbale-24h'!D38,'22.08 Sironko-Mbale-24h'!D38,'25.08 Sironko-Mbale'!D38)</f>
        <v>0.7142857142857143</v>
      </c>
      <c r="E38" s="49">
        <f>AVERAGE('19.08 Sironko-Mbale'!E38,'20.08 Sironko-Mbale'!E38,'21.08 Sironko-Mbale'!E38,'23.08 Sironko-Mbale'!E38,'24.08 Sironko-Mbale-24h'!E38,'22.08 Sironko-Mbale-24h'!E38,'25.08 Sironko-Mbale'!E38)</f>
        <v>4.5714285714285712</v>
      </c>
      <c r="F38" s="49">
        <f>AVERAGE('19.08 Sironko-Mbale'!F38,'20.08 Sironko-Mbale'!F38,'21.08 Sironko-Mbale'!F38,'23.08 Sironko-Mbale'!F38,'24.08 Sironko-Mbale-24h'!F38,'22.08 Sironko-Mbale-24h'!F38,'25.08 Sironko-Mbale'!F38)</f>
        <v>4.2857142857142856</v>
      </c>
      <c r="G38" s="49">
        <f>AVERAGE('19.08 Sironko-Mbale'!G38,'20.08 Sironko-Mbale'!G38,'21.08 Sironko-Mbale'!G38,'23.08 Sironko-Mbale'!G38,'24.08 Sironko-Mbale-24h'!G38,'22.08 Sironko-Mbale-24h'!G38,'25.08 Sironko-Mbale'!G38)</f>
        <v>0</v>
      </c>
      <c r="H38" s="49">
        <f>AVERAGE('19.08 Sironko-Mbale'!H38,'20.08 Sironko-Mbale'!H38,'21.08 Sironko-Mbale'!H38,'23.08 Sironko-Mbale'!H38,'24.08 Sironko-Mbale-24h'!H38,'22.08 Sironko-Mbale-24h'!H38,'25.08 Sironko-Mbale'!H38)</f>
        <v>0</v>
      </c>
      <c r="I38" s="49">
        <f>AVERAGE('19.08 Sironko-Mbale'!I38,'20.08 Sironko-Mbale'!I38,'21.08 Sironko-Mbale'!I38,'23.08 Sironko-Mbale'!I38,'24.08 Sironko-Mbale-24h'!I38,'22.08 Sironko-Mbale-24h'!I38,'25.08 Sironko-Mbale'!I38)</f>
        <v>2.4285714285714284</v>
      </c>
      <c r="J38" s="49">
        <f>AVERAGE('19.08 Sironko-Mbale'!J38,'20.08 Sironko-Mbale'!J38,'21.08 Sironko-Mbale'!J38,'23.08 Sironko-Mbale'!J38,'24.08 Sironko-Mbale-24h'!J38,'22.08 Sironko-Mbale-24h'!J38,'25.08 Sironko-Mbale'!J38)</f>
        <v>0</v>
      </c>
      <c r="K38" s="49">
        <f>AVERAGE('19.08 Sironko-Mbale'!K38,'20.08 Sironko-Mbale'!K38,'21.08 Sironko-Mbale'!K38,'23.08 Sironko-Mbale'!K38,'24.08 Sironko-Mbale-24h'!K38,'22.08 Sironko-Mbale-24h'!K38,'25.08 Sironko-Mbale'!K38)</f>
        <v>0</v>
      </c>
      <c r="L38" s="49">
        <f>AVERAGE('19.08 Sironko-Mbale'!L38,'20.08 Sironko-Mbale'!L38,'21.08 Sironko-Mbale'!L38,'23.08 Sironko-Mbale'!L38,'24.08 Sironko-Mbale-24h'!L38,'22.08 Sironko-Mbale-24h'!L38,'25.08 Sironko-Mbale'!L38)</f>
        <v>0</v>
      </c>
      <c r="M38" s="49">
        <f>AVERAGE('19.08 Sironko-Mbale'!M38,'20.08 Sironko-Mbale'!M38,'21.08 Sironko-Mbale'!M38,'23.08 Sironko-Mbale'!M38,'24.08 Sironko-Mbale-24h'!M38,'22.08 Sironko-Mbale-24h'!M38,'25.08 Sironko-Mbale'!M38)</f>
        <v>27.428571428571427</v>
      </c>
      <c r="N38" s="49">
        <f>AVERAGE('19.08 Sironko-Mbale'!N38,'20.08 Sironko-Mbale'!N38,'21.08 Sironko-Mbale'!N38,'23.08 Sironko-Mbale'!N38,'24.08 Sironko-Mbale-24h'!N38,'22.08 Sironko-Mbale-24h'!N38,'25.08 Sironko-Mbale'!N38)</f>
        <v>0</v>
      </c>
      <c r="O38" s="15">
        <f t="shared" si="0"/>
        <v>14.857142857142856</v>
      </c>
      <c r="P38" s="15">
        <f t="shared" si="1"/>
        <v>42.285714285714285</v>
      </c>
      <c r="R38" s="28" t="s">
        <v>86</v>
      </c>
      <c r="S38" s="54">
        <f t="shared" ref="S38:AF38" si="30">SUM(S13:S18)</f>
        <v>80.714285714285708</v>
      </c>
      <c r="T38" s="54">
        <f t="shared" si="30"/>
        <v>27.857142857142858</v>
      </c>
      <c r="U38" s="54">
        <f t="shared" si="30"/>
        <v>132.42857142857144</v>
      </c>
      <c r="V38" s="54">
        <f t="shared" si="30"/>
        <v>88.714285714285722</v>
      </c>
      <c r="W38" s="54">
        <f t="shared" si="30"/>
        <v>1.4285714285714284</v>
      </c>
      <c r="X38" s="54">
        <f t="shared" si="30"/>
        <v>1.5714285714285712</v>
      </c>
      <c r="Y38" s="54">
        <f t="shared" si="30"/>
        <v>63.571428571428577</v>
      </c>
      <c r="Z38" s="54">
        <f t="shared" si="30"/>
        <v>3.5714285714285716</v>
      </c>
      <c r="AA38" s="54">
        <f t="shared" si="30"/>
        <v>0.71428571428571419</v>
      </c>
      <c r="AB38" s="54">
        <f t="shared" si="30"/>
        <v>0</v>
      </c>
      <c r="AC38" s="54">
        <f t="shared" si="30"/>
        <v>676</v>
      </c>
      <c r="AD38" s="54">
        <f t="shared" si="30"/>
        <v>0.42857142857142855</v>
      </c>
      <c r="AE38" s="55">
        <f t="shared" si="30"/>
        <v>400.99999999999994</v>
      </c>
      <c r="AF38" s="55">
        <f t="shared" si="30"/>
        <v>1077</v>
      </c>
    </row>
    <row r="39" spans="2:32" ht="23.1" customHeight="1" x14ac:dyDescent="0.25">
      <c r="B39" s="24" t="s">
        <v>66</v>
      </c>
      <c r="C39" s="49">
        <f>AVERAGE('19.08 Sironko-Mbale'!C39,'20.08 Sironko-Mbale'!C39,'21.08 Sironko-Mbale'!C39,'23.08 Sironko-Mbale'!C39,'24.08 Sironko-Mbale-24h'!C39,'22.08 Sironko-Mbale-24h'!C39,'25.08 Sironko-Mbale'!C39)</f>
        <v>3.2857142857142856</v>
      </c>
      <c r="D39" s="49">
        <f>AVERAGE('19.08 Sironko-Mbale'!D39,'20.08 Sironko-Mbale'!D39,'21.08 Sironko-Mbale'!D39,'23.08 Sironko-Mbale'!D39,'24.08 Sironko-Mbale-24h'!D39,'22.08 Sironko-Mbale-24h'!D39,'25.08 Sironko-Mbale'!D39)</f>
        <v>1.1428571428571428</v>
      </c>
      <c r="E39" s="49">
        <f>AVERAGE('19.08 Sironko-Mbale'!E39,'20.08 Sironko-Mbale'!E39,'21.08 Sironko-Mbale'!E39,'23.08 Sironko-Mbale'!E39,'24.08 Sironko-Mbale-24h'!E39,'22.08 Sironko-Mbale-24h'!E39,'25.08 Sironko-Mbale'!E39)</f>
        <v>5.7142857142857144</v>
      </c>
      <c r="F39" s="49">
        <f>AVERAGE('19.08 Sironko-Mbale'!F39,'20.08 Sironko-Mbale'!F39,'21.08 Sironko-Mbale'!F39,'23.08 Sironko-Mbale'!F39,'24.08 Sironko-Mbale-24h'!F39,'22.08 Sironko-Mbale-24h'!F39,'25.08 Sironko-Mbale'!F39)</f>
        <v>2.4285714285714284</v>
      </c>
      <c r="G39" s="49">
        <f>AVERAGE('19.08 Sironko-Mbale'!G39,'20.08 Sironko-Mbale'!G39,'21.08 Sironko-Mbale'!G39,'23.08 Sironko-Mbale'!G39,'24.08 Sironko-Mbale-24h'!G39,'22.08 Sironko-Mbale-24h'!G39,'25.08 Sironko-Mbale'!G39)</f>
        <v>0</v>
      </c>
      <c r="H39" s="49">
        <f>AVERAGE('19.08 Sironko-Mbale'!H39,'20.08 Sironko-Mbale'!H39,'21.08 Sironko-Mbale'!H39,'23.08 Sironko-Mbale'!H39,'24.08 Sironko-Mbale-24h'!H39,'22.08 Sironko-Mbale-24h'!H39,'25.08 Sironko-Mbale'!H39)</f>
        <v>0</v>
      </c>
      <c r="I39" s="49">
        <f>AVERAGE('19.08 Sironko-Mbale'!I39,'20.08 Sironko-Mbale'!I39,'21.08 Sironko-Mbale'!I39,'23.08 Sironko-Mbale'!I39,'24.08 Sironko-Mbale-24h'!I39,'22.08 Sironko-Mbale-24h'!I39,'25.08 Sironko-Mbale'!I39)</f>
        <v>3</v>
      </c>
      <c r="J39" s="49">
        <f>AVERAGE('19.08 Sironko-Mbale'!J39,'20.08 Sironko-Mbale'!J39,'21.08 Sironko-Mbale'!J39,'23.08 Sironko-Mbale'!J39,'24.08 Sironko-Mbale-24h'!J39,'22.08 Sironko-Mbale-24h'!J39,'25.08 Sironko-Mbale'!J39)</f>
        <v>0.14285714285714285</v>
      </c>
      <c r="K39" s="49">
        <f>AVERAGE('19.08 Sironko-Mbale'!K39,'20.08 Sironko-Mbale'!K39,'21.08 Sironko-Mbale'!K39,'23.08 Sironko-Mbale'!K39,'24.08 Sironko-Mbale-24h'!K39,'22.08 Sironko-Mbale-24h'!K39,'25.08 Sironko-Mbale'!K39)</f>
        <v>0</v>
      </c>
      <c r="L39" s="49">
        <f>AVERAGE('19.08 Sironko-Mbale'!L39,'20.08 Sironko-Mbale'!L39,'21.08 Sironko-Mbale'!L39,'23.08 Sironko-Mbale'!L39,'24.08 Sironko-Mbale-24h'!L39,'22.08 Sironko-Mbale-24h'!L39,'25.08 Sironko-Mbale'!L39)</f>
        <v>0</v>
      </c>
      <c r="M39" s="49">
        <f>AVERAGE('19.08 Sironko-Mbale'!M39,'20.08 Sironko-Mbale'!M39,'21.08 Sironko-Mbale'!M39,'23.08 Sironko-Mbale'!M39,'24.08 Sironko-Mbale-24h'!M39,'22.08 Sironko-Mbale-24h'!M39,'25.08 Sironko-Mbale'!M39)</f>
        <v>30.714285714285715</v>
      </c>
      <c r="N39" s="49">
        <f>AVERAGE('19.08 Sironko-Mbale'!N39,'20.08 Sironko-Mbale'!N39,'21.08 Sironko-Mbale'!N39,'23.08 Sironko-Mbale'!N39,'24.08 Sironko-Mbale-24h'!N39,'22.08 Sironko-Mbale-24h'!N39,'25.08 Sironko-Mbale'!N39)</f>
        <v>0</v>
      </c>
      <c r="O39" s="15">
        <f t="shared" si="0"/>
        <v>15.714285714285714</v>
      </c>
      <c r="P39" s="15">
        <f t="shared" si="1"/>
        <v>46.428571428571431</v>
      </c>
      <c r="R39" s="29" t="s">
        <v>87</v>
      </c>
      <c r="S39" s="54">
        <f t="shared" ref="S39:AF39" si="31">SUM(S19:S21)</f>
        <v>57.142857142857139</v>
      </c>
      <c r="T39" s="54">
        <f t="shared" si="31"/>
        <v>18.428571428571427</v>
      </c>
      <c r="U39" s="54">
        <f t="shared" si="31"/>
        <v>80.142857142857153</v>
      </c>
      <c r="V39" s="54">
        <f t="shared" si="31"/>
        <v>46</v>
      </c>
      <c r="W39" s="54">
        <f t="shared" si="31"/>
        <v>3.5714285714285712</v>
      </c>
      <c r="X39" s="54">
        <f t="shared" si="31"/>
        <v>0.85714285714285698</v>
      </c>
      <c r="Y39" s="54">
        <f t="shared" si="31"/>
        <v>39.857142857142854</v>
      </c>
      <c r="Z39" s="54">
        <f t="shared" si="31"/>
        <v>3</v>
      </c>
      <c r="AA39" s="54">
        <f t="shared" si="31"/>
        <v>0.42857142857142855</v>
      </c>
      <c r="AB39" s="54">
        <f t="shared" si="31"/>
        <v>0</v>
      </c>
      <c r="AC39" s="54">
        <f t="shared" si="31"/>
        <v>391.57142857142861</v>
      </c>
      <c r="AD39" s="54">
        <f t="shared" si="31"/>
        <v>0</v>
      </c>
      <c r="AE39" s="55">
        <f t="shared" si="31"/>
        <v>249.42857142857144</v>
      </c>
      <c r="AF39" s="55">
        <f t="shared" si="31"/>
        <v>641</v>
      </c>
    </row>
    <row r="40" spans="2:32" ht="23.1" customHeight="1" x14ac:dyDescent="0.25">
      <c r="B40" s="24" t="s">
        <v>67</v>
      </c>
      <c r="C40" s="49">
        <f>AVERAGE('19.08 Sironko-Mbale'!C40,'20.08 Sironko-Mbale'!C40,'21.08 Sironko-Mbale'!C40,'23.08 Sironko-Mbale'!C40,'24.08 Sironko-Mbale-24h'!C40,'22.08 Sironko-Mbale-24h'!C40,'25.08 Sironko-Mbale'!C40)</f>
        <v>4.4285714285714288</v>
      </c>
      <c r="D40" s="49">
        <f>AVERAGE('19.08 Sironko-Mbale'!D40,'20.08 Sironko-Mbale'!D40,'21.08 Sironko-Mbale'!D40,'23.08 Sironko-Mbale'!D40,'24.08 Sironko-Mbale-24h'!D40,'22.08 Sironko-Mbale-24h'!D40,'25.08 Sironko-Mbale'!D40)</f>
        <v>1.5714285714285714</v>
      </c>
      <c r="E40" s="49">
        <f>AVERAGE('19.08 Sironko-Mbale'!E40,'20.08 Sironko-Mbale'!E40,'21.08 Sironko-Mbale'!E40,'23.08 Sironko-Mbale'!E40,'24.08 Sironko-Mbale-24h'!E40,'22.08 Sironko-Mbale-24h'!E40,'25.08 Sironko-Mbale'!E40)</f>
        <v>6.7142857142857144</v>
      </c>
      <c r="F40" s="49">
        <f>AVERAGE('19.08 Sironko-Mbale'!F40,'20.08 Sironko-Mbale'!F40,'21.08 Sironko-Mbale'!F40,'23.08 Sironko-Mbale'!F40,'24.08 Sironko-Mbale-24h'!F40,'22.08 Sironko-Mbale-24h'!F40,'25.08 Sironko-Mbale'!F40)</f>
        <v>4.1428571428571432</v>
      </c>
      <c r="G40" s="49">
        <f>AVERAGE('19.08 Sironko-Mbale'!G40,'20.08 Sironko-Mbale'!G40,'21.08 Sironko-Mbale'!G40,'23.08 Sironko-Mbale'!G40,'24.08 Sironko-Mbale-24h'!G40,'22.08 Sironko-Mbale-24h'!G40,'25.08 Sironko-Mbale'!G40)</f>
        <v>0</v>
      </c>
      <c r="H40" s="49">
        <f>AVERAGE('19.08 Sironko-Mbale'!H40,'20.08 Sironko-Mbale'!H40,'21.08 Sironko-Mbale'!H40,'23.08 Sironko-Mbale'!H40,'24.08 Sironko-Mbale-24h'!H40,'22.08 Sironko-Mbale-24h'!H40,'25.08 Sironko-Mbale'!H40)</f>
        <v>0.14285714285714285</v>
      </c>
      <c r="I40" s="49">
        <f>AVERAGE('19.08 Sironko-Mbale'!I40,'20.08 Sironko-Mbale'!I40,'21.08 Sironko-Mbale'!I40,'23.08 Sironko-Mbale'!I40,'24.08 Sironko-Mbale-24h'!I40,'22.08 Sironko-Mbale-24h'!I40,'25.08 Sironko-Mbale'!I40)</f>
        <v>3.5714285714285716</v>
      </c>
      <c r="J40" s="49">
        <f>AVERAGE('19.08 Sironko-Mbale'!J40,'20.08 Sironko-Mbale'!J40,'21.08 Sironko-Mbale'!J40,'23.08 Sironko-Mbale'!J40,'24.08 Sironko-Mbale-24h'!J40,'22.08 Sironko-Mbale-24h'!J40,'25.08 Sironko-Mbale'!J40)</f>
        <v>0.14285714285714285</v>
      </c>
      <c r="K40" s="49">
        <f>AVERAGE('19.08 Sironko-Mbale'!K40,'20.08 Sironko-Mbale'!K40,'21.08 Sironko-Mbale'!K40,'23.08 Sironko-Mbale'!K40,'24.08 Sironko-Mbale-24h'!K40,'22.08 Sironko-Mbale-24h'!K40,'25.08 Sironko-Mbale'!K40)</f>
        <v>0</v>
      </c>
      <c r="L40" s="49">
        <f>AVERAGE('19.08 Sironko-Mbale'!L40,'20.08 Sironko-Mbale'!L40,'21.08 Sironko-Mbale'!L40,'23.08 Sironko-Mbale'!L40,'24.08 Sironko-Mbale-24h'!L40,'22.08 Sironko-Mbale-24h'!L40,'25.08 Sironko-Mbale'!L40)</f>
        <v>0</v>
      </c>
      <c r="M40" s="49">
        <f>AVERAGE('19.08 Sironko-Mbale'!M40,'20.08 Sironko-Mbale'!M40,'21.08 Sironko-Mbale'!M40,'23.08 Sironko-Mbale'!M40,'24.08 Sironko-Mbale-24h'!M40,'22.08 Sironko-Mbale-24h'!M40,'25.08 Sironko-Mbale'!M40)</f>
        <v>28</v>
      </c>
      <c r="N40" s="49">
        <f>AVERAGE('19.08 Sironko-Mbale'!N40,'20.08 Sironko-Mbale'!N40,'21.08 Sironko-Mbale'!N40,'23.08 Sironko-Mbale'!N40,'24.08 Sironko-Mbale-24h'!N40,'22.08 Sironko-Mbale-24h'!N40,'25.08 Sironko-Mbale'!N40)</f>
        <v>0</v>
      </c>
      <c r="O40" s="15">
        <f t="shared" si="0"/>
        <v>20.714285714285715</v>
      </c>
      <c r="P40" s="15">
        <f t="shared" si="1"/>
        <v>48.714285714285715</v>
      </c>
      <c r="R40" s="5" t="s">
        <v>17</v>
      </c>
      <c r="S40" s="54">
        <f t="shared" ref="S40:AF40" si="32">SUM(S10:S21)</f>
        <v>169.42857142857144</v>
      </c>
      <c r="T40" s="54">
        <f t="shared" si="32"/>
        <v>56</v>
      </c>
      <c r="U40" s="54">
        <f t="shared" si="32"/>
        <v>266.14285714285717</v>
      </c>
      <c r="V40" s="54">
        <f t="shared" si="32"/>
        <v>167.42857142857144</v>
      </c>
      <c r="W40" s="54">
        <f t="shared" si="32"/>
        <v>5.8571428571428568</v>
      </c>
      <c r="X40" s="54">
        <f t="shared" si="32"/>
        <v>2.5714285714285712</v>
      </c>
      <c r="Y40" s="54">
        <f t="shared" si="32"/>
        <v>120.71428571428572</v>
      </c>
      <c r="Z40" s="54">
        <f t="shared" si="32"/>
        <v>7.7142857142857135</v>
      </c>
      <c r="AA40" s="54">
        <f t="shared" si="32"/>
        <v>1.1428571428571428</v>
      </c>
      <c r="AB40" s="54">
        <f t="shared" si="32"/>
        <v>0</v>
      </c>
      <c r="AC40" s="54">
        <f t="shared" si="32"/>
        <v>1384.8571428571429</v>
      </c>
      <c r="AD40" s="54">
        <f t="shared" si="32"/>
        <v>0.5714285714285714</v>
      </c>
      <c r="AE40" s="55">
        <f t="shared" si="32"/>
        <v>797.57142857142844</v>
      </c>
      <c r="AF40" s="55">
        <f t="shared" si="32"/>
        <v>2182.4285714285716</v>
      </c>
    </row>
    <row r="41" spans="2:32" ht="23.1" customHeight="1" x14ac:dyDescent="0.25">
      <c r="B41" s="23" t="s">
        <v>68</v>
      </c>
      <c r="C41" s="49">
        <f>AVERAGE('19.08 Sironko-Mbale'!C41,'20.08 Sironko-Mbale'!C41,'21.08 Sironko-Mbale'!C41,'23.08 Sironko-Mbale'!C41,'24.08 Sironko-Mbale-24h'!C41,'22.08 Sironko-Mbale-24h'!C41,'25.08 Sironko-Mbale'!C41)</f>
        <v>3.1428571428571428</v>
      </c>
      <c r="D41" s="49">
        <f>AVERAGE('19.08 Sironko-Mbale'!D41,'20.08 Sironko-Mbale'!D41,'21.08 Sironko-Mbale'!D41,'23.08 Sironko-Mbale'!D41,'24.08 Sironko-Mbale-24h'!D41,'22.08 Sironko-Mbale-24h'!D41,'25.08 Sironko-Mbale'!D41)</f>
        <v>1.1428571428571428</v>
      </c>
      <c r="E41" s="49">
        <f>AVERAGE('19.08 Sironko-Mbale'!E41,'20.08 Sironko-Mbale'!E41,'21.08 Sironko-Mbale'!E41,'23.08 Sironko-Mbale'!E41,'24.08 Sironko-Mbale-24h'!E41,'22.08 Sironko-Mbale-24h'!E41,'25.08 Sironko-Mbale'!E41)</f>
        <v>5.8571428571428568</v>
      </c>
      <c r="F41" s="49">
        <f>AVERAGE('19.08 Sironko-Mbale'!F41,'20.08 Sironko-Mbale'!F41,'21.08 Sironko-Mbale'!F41,'23.08 Sironko-Mbale'!F41,'24.08 Sironko-Mbale-24h'!F41,'22.08 Sironko-Mbale-24h'!F41,'25.08 Sironko-Mbale'!F41)</f>
        <v>3.4285714285714284</v>
      </c>
      <c r="G41" s="49">
        <f>AVERAGE('19.08 Sironko-Mbale'!G41,'20.08 Sironko-Mbale'!G41,'21.08 Sironko-Mbale'!G41,'23.08 Sironko-Mbale'!G41,'24.08 Sironko-Mbale-24h'!G41,'22.08 Sironko-Mbale-24h'!G41,'25.08 Sironko-Mbale'!G41)</f>
        <v>0</v>
      </c>
      <c r="H41" s="49">
        <f>AVERAGE('19.08 Sironko-Mbale'!H41,'20.08 Sironko-Mbale'!H41,'21.08 Sironko-Mbale'!H41,'23.08 Sironko-Mbale'!H41,'24.08 Sironko-Mbale-24h'!H41,'22.08 Sironko-Mbale-24h'!H41,'25.08 Sironko-Mbale'!H41)</f>
        <v>0.14285714285714285</v>
      </c>
      <c r="I41" s="49">
        <f>AVERAGE('19.08 Sironko-Mbale'!I41,'20.08 Sironko-Mbale'!I41,'21.08 Sironko-Mbale'!I41,'23.08 Sironko-Mbale'!I41,'24.08 Sironko-Mbale-24h'!I41,'22.08 Sironko-Mbale-24h'!I41,'25.08 Sironko-Mbale'!I41)</f>
        <v>3.7142857142857144</v>
      </c>
      <c r="J41" s="49">
        <f>AVERAGE('19.08 Sironko-Mbale'!J41,'20.08 Sironko-Mbale'!J41,'21.08 Sironko-Mbale'!J41,'23.08 Sironko-Mbale'!J41,'24.08 Sironko-Mbale-24h'!J41,'22.08 Sironko-Mbale-24h'!J41,'25.08 Sironko-Mbale'!J41)</f>
        <v>0.2857142857142857</v>
      </c>
      <c r="K41" s="49">
        <f>AVERAGE('19.08 Sironko-Mbale'!K41,'20.08 Sironko-Mbale'!K41,'21.08 Sironko-Mbale'!K41,'23.08 Sironko-Mbale'!K41,'24.08 Sironko-Mbale-24h'!K41,'22.08 Sironko-Mbale-24h'!K41,'25.08 Sironko-Mbale'!K41)</f>
        <v>0.14285714285714285</v>
      </c>
      <c r="L41" s="49">
        <f>AVERAGE('19.08 Sironko-Mbale'!L41,'20.08 Sironko-Mbale'!L41,'21.08 Sironko-Mbale'!L41,'23.08 Sironko-Mbale'!L41,'24.08 Sironko-Mbale-24h'!L41,'22.08 Sironko-Mbale-24h'!L41,'25.08 Sironko-Mbale'!L41)</f>
        <v>0</v>
      </c>
      <c r="M41" s="49">
        <f>AVERAGE('19.08 Sironko-Mbale'!M41,'20.08 Sironko-Mbale'!M41,'21.08 Sironko-Mbale'!M41,'23.08 Sironko-Mbale'!M41,'24.08 Sironko-Mbale-24h'!M41,'22.08 Sironko-Mbale-24h'!M41,'25.08 Sironko-Mbale'!M41)</f>
        <v>23</v>
      </c>
      <c r="N41" s="49">
        <f>AVERAGE('19.08 Sironko-Mbale'!N41,'20.08 Sironko-Mbale'!N41,'21.08 Sironko-Mbale'!N41,'23.08 Sironko-Mbale'!N41,'24.08 Sironko-Mbale-24h'!N41,'22.08 Sironko-Mbale-24h'!N41,'25.08 Sironko-Mbale'!N41)</f>
        <v>0</v>
      </c>
      <c r="O41" s="15">
        <f t="shared" si="0"/>
        <v>17.857142857142854</v>
      </c>
      <c r="P41" s="15">
        <f t="shared" si="1"/>
        <v>40.857142857142854</v>
      </c>
      <c r="R41" s="5" t="s">
        <v>174</v>
      </c>
      <c r="S41" s="54">
        <f>SUM(S10:S33)</f>
        <v>216.42857142857144</v>
      </c>
      <c r="T41" s="54">
        <f t="shared" ref="T41:AD41" si="33">SUM(T10:T33)</f>
        <v>69</v>
      </c>
      <c r="U41" s="54">
        <f t="shared" si="33"/>
        <v>360.14285714285717</v>
      </c>
      <c r="V41" s="54">
        <f t="shared" si="33"/>
        <v>205.92857142857144</v>
      </c>
      <c r="W41" s="54">
        <f t="shared" si="33"/>
        <v>6.8571428571428568</v>
      </c>
      <c r="X41" s="54">
        <f t="shared" si="33"/>
        <v>2.5714285714285712</v>
      </c>
      <c r="Y41" s="54">
        <f t="shared" si="33"/>
        <v>223.71428571428572</v>
      </c>
      <c r="Z41" s="54">
        <f t="shared" si="33"/>
        <v>8.7142857142857135</v>
      </c>
      <c r="AA41" s="54">
        <f t="shared" si="33"/>
        <v>3.1428571428571428</v>
      </c>
      <c r="AB41" s="54">
        <f t="shared" si="33"/>
        <v>0</v>
      </c>
      <c r="AC41" s="54">
        <f t="shared" si="33"/>
        <v>1705.3571428571429</v>
      </c>
      <c r="AD41" s="54">
        <f t="shared" si="33"/>
        <v>0.5714285714285714</v>
      </c>
      <c r="AE41" s="55">
        <f>SUM(AE10:AE33)</f>
        <v>1097.0714285714284</v>
      </c>
      <c r="AF41" s="55">
        <f>SUM(AF10:AF33)</f>
        <v>2802.4285714285716</v>
      </c>
    </row>
    <row r="42" spans="2:32" ht="23.1" customHeight="1" x14ac:dyDescent="0.25">
      <c r="B42" s="24" t="s">
        <v>69</v>
      </c>
      <c r="C42" s="49">
        <f>AVERAGE('19.08 Sironko-Mbale'!C42,'20.08 Sironko-Mbale'!C42,'21.08 Sironko-Mbale'!C42,'23.08 Sironko-Mbale'!C42,'24.08 Sironko-Mbale-24h'!C42,'22.08 Sironko-Mbale-24h'!C42,'25.08 Sironko-Mbale'!C42)</f>
        <v>3.4285714285714284</v>
      </c>
      <c r="D42" s="49">
        <f>AVERAGE('19.08 Sironko-Mbale'!D42,'20.08 Sironko-Mbale'!D42,'21.08 Sironko-Mbale'!D42,'23.08 Sironko-Mbale'!D42,'24.08 Sironko-Mbale-24h'!D42,'22.08 Sironko-Mbale-24h'!D42,'25.08 Sironko-Mbale'!D42)</f>
        <v>1.2857142857142858</v>
      </c>
      <c r="E42" s="49">
        <f>AVERAGE('19.08 Sironko-Mbale'!E42,'20.08 Sironko-Mbale'!E42,'21.08 Sironko-Mbale'!E42,'23.08 Sironko-Mbale'!E42,'24.08 Sironko-Mbale-24h'!E42,'22.08 Sironko-Mbale-24h'!E42,'25.08 Sironko-Mbale'!E42)</f>
        <v>5.4285714285714288</v>
      </c>
      <c r="F42" s="49">
        <f>AVERAGE('19.08 Sironko-Mbale'!F42,'20.08 Sironko-Mbale'!F42,'21.08 Sironko-Mbale'!F42,'23.08 Sironko-Mbale'!F42,'24.08 Sironko-Mbale-24h'!F42,'22.08 Sironko-Mbale-24h'!F42,'25.08 Sironko-Mbale'!F42)</f>
        <v>2.7142857142857144</v>
      </c>
      <c r="G42" s="49">
        <f>AVERAGE('19.08 Sironko-Mbale'!G42,'20.08 Sironko-Mbale'!G42,'21.08 Sironko-Mbale'!G42,'23.08 Sironko-Mbale'!G42,'24.08 Sironko-Mbale-24h'!G42,'22.08 Sironko-Mbale-24h'!G42,'25.08 Sironko-Mbale'!G42)</f>
        <v>0</v>
      </c>
      <c r="H42" s="49">
        <f>AVERAGE('19.08 Sironko-Mbale'!H42,'20.08 Sironko-Mbale'!H42,'21.08 Sironko-Mbale'!H42,'23.08 Sironko-Mbale'!H42,'24.08 Sironko-Mbale-24h'!H42,'22.08 Sironko-Mbale-24h'!H42,'25.08 Sironko-Mbale'!H42)</f>
        <v>0</v>
      </c>
      <c r="I42" s="49">
        <f>AVERAGE('19.08 Sironko-Mbale'!I42,'20.08 Sironko-Mbale'!I42,'21.08 Sironko-Mbale'!I42,'23.08 Sironko-Mbale'!I42,'24.08 Sironko-Mbale-24h'!I42,'22.08 Sironko-Mbale-24h'!I42,'25.08 Sironko-Mbale'!I42)</f>
        <v>3.1428571428571428</v>
      </c>
      <c r="J42" s="49">
        <f>AVERAGE('19.08 Sironko-Mbale'!J42,'20.08 Sironko-Mbale'!J42,'21.08 Sironko-Mbale'!J42,'23.08 Sironko-Mbale'!J42,'24.08 Sironko-Mbale-24h'!J42,'22.08 Sironko-Mbale-24h'!J42,'25.08 Sironko-Mbale'!J42)</f>
        <v>0.2857142857142857</v>
      </c>
      <c r="K42" s="49">
        <f>AVERAGE('19.08 Sironko-Mbale'!K42,'20.08 Sironko-Mbale'!K42,'21.08 Sironko-Mbale'!K42,'23.08 Sironko-Mbale'!K42,'24.08 Sironko-Mbale-24h'!K42,'22.08 Sironko-Mbale-24h'!K42,'25.08 Sironko-Mbale'!K42)</f>
        <v>0</v>
      </c>
      <c r="L42" s="49">
        <f>AVERAGE('19.08 Sironko-Mbale'!L42,'20.08 Sironko-Mbale'!L42,'21.08 Sironko-Mbale'!L42,'23.08 Sironko-Mbale'!L42,'24.08 Sironko-Mbale-24h'!L42,'22.08 Sironko-Mbale-24h'!L42,'25.08 Sironko-Mbale'!L42)</f>
        <v>0</v>
      </c>
      <c r="M42" s="49">
        <f>AVERAGE('19.08 Sironko-Mbale'!M42,'20.08 Sironko-Mbale'!M42,'21.08 Sironko-Mbale'!M42,'23.08 Sironko-Mbale'!M42,'24.08 Sironko-Mbale-24h'!M42,'22.08 Sironko-Mbale-24h'!M42,'25.08 Sironko-Mbale'!M42)</f>
        <v>21.142857142857142</v>
      </c>
      <c r="N42" s="49">
        <f>AVERAGE('19.08 Sironko-Mbale'!N42,'20.08 Sironko-Mbale'!N42,'21.08 Sironko-Mbale'!N42,'23.08 Sironko-Mbale'!N42,'24.08 Sironko-Mbale-24h'!N42,'22.08 Sironko-Mbale-24h'!N42,'25.08 Sironko-Mbale'!N42)</f>
        <v>0</v>
      </c>
      <c r="O42" s="15">
        <f t="shared" si="0"/>
        <v>16.285714285714285</v>
      </c>
      <c r="P42" s="15">
        <f t="shared" si="1"/>
        <v>37.428571428571431</v>
      </c>
      <c r="R42" s="5" t="s">
        <v>160</v>
      </c>
      <c r="S42" s="48">
        <f>S41/S40</f>
        <v>1.2774030354131534</v>
      </c>
      <c r="T42" s="48">
        <f t="shared" ref="T42:AF42" si="34">T41/T40</f>
        <v>1.2321428571428572</v>
      </c>
      <c r="U42" s="48">
        <f t="shared" si="34"/>
        <v>1.3531937734836286</v>
      </c>
      <c r="V42" s="48">
        <f t="shared" si="34"/>
        <v>1.2299488054607508</v>
      </c>
      <c r="W42" s="48">
        <f t="shared" si="34"/>
        <v>1.1707317073170731</v>
      </c>
      <c r="X42" s="48">
        <f t="shared" si="34"/>
        <v>1</v>
      </c>
      <c r="Y42" s="48">
        <f t="shared" si="34"/>
        <v>1.8532544378698224</v>
      </c>
      <c r="Z42" s="48">
        <f t="shared" si="34"/>
        <v>1.1296296296296295</v>
      </c>
      <c r="AA42" s="48">
        <f t="shared" si="34"/>
        <v>2.75</v>
      </c>
      <c r="AB42" s="48" t="e">
        <f t="shared" si="34"/>
        <v>#DIV/0!</v>
      </c>
      <c r="AC42" s="48">
        <f t="shared" si="34"/>
        <v>1.2314318134928821</v>
      </c>
      <c r="AD42" s="48">
        <f t="shared" si="34"/>
        <v>1</v>
      </c>
      <c r="AE42" s="56">
        <f t="shared" si="34"/>
        <v>1.3755149561167832</v>
      </c>
      <c r="AF42" s="56">
        <f t="shared" si="34"/>
        <v>1.2840871898933037</v>
      </c>
    </row>
    <row r="43" spans="2:32" ht="23.1" customHeight="1" x14ac:dyDescent="0.25">
      <c r="B43" s="23" t="s">
        <v>70</v>
      </c>
      <c r="C43" s="49">
        <f>AVERAGE('19.08 Sironko-Mbale'!C43,'20.08 Sironko-Mbale'!C43,'21.08 Sironko-Mbale'!C43,'23.08 Sironko-Mbale'!C43,'24.08 Sironko-Mbale-24h'!C43,'22.08 Sironko-Mbale-24h'!C43,'25.08 Sironko-Mbale'!C43)</f>
        <v>3.5714285714285716</v>
      </c>
      <c r="D43" s="49">
        <f>AVERAGE('19.08 Sironko-Mbale'!D43,'20.08 Sironko-Mbale'!D43,'21.08 Sironko-Mbale'!D43,'23.08 Sironko-Mbale'!D43,'24.08 Sironko-Mbale-24h'!D43,'22.08 Sironko-Mbale-24h'!D43,'25.08 Sironko-Mbale'!D43)</f>
        <v>1</v>
      </c>
      <c r="E43" s="49">
        <f>AVERAGE('19.08 Sironko-Mbale'!E43,'20.08 Sironko-Mbale'!E43,'21.08 Sironko-Mbale'!E43,'23.08 Sironko-Mbale'!E43,'24.08 Sironko-Mbale-24h'!E43,'22.08 Sironko-Mbale-24h'!E43,'25.08 Sironko-Mbale'!E43)</f>
        <v>5.2857142857142856</v>
      </c>
      <c r="F43" s="49">
        <f>AVERAGE('19.08 Sironko-Mbale'!F43,'20.08 Sironko-Mbale'!F43,'21.08 Sironko-Mbale'!F43,'23.08 Sironko-Mbale'!F43,'24.08 Sironko-Mbale-24h'!F43,'22.08 Sironko-Mbale-24h'!F43,'25.08 Sironko-Mbale'!F43)</f>
        <v>3.2857142857142856</v>
      </c>
      <c r="G43" s="49">
        <f>AVERAGE('19.08 Sironko-Mbale'!G43,'20.08 Sironko-Mbale'!G43,'21.08 Sironko-Mbale'!G43,'23.08 Sironko-Mbale'!G43,'24.08 Sironko-Mbale-24h'!G43,'22.08 Sironko-Mbale-24h'!G43,'25.08 Sironko-Mbale'!G43)</f>
        <v>0</v>
      </c>
      <c r="H43" s="49">
        <f>AVERAGE('19.08 Sironko-Mbale'!H43,'20.08 Sironko-Mbale'!H43,'21.08 Sironko-Mbale'!H43,'23.08 Sironko-Mbale'!H43,'24.08 Sironko-Mbale-24h'!H43,'22.08 Sironko-Mbale-24h'!H43,'25.08 Sironko-Mbale'!H43)</f>
        <v>0</v>
      </c>
      <c r="I43" s="49">
        <f>AVERAGE('19.08 Sironko-Mbale'!I43,'20.08 Sironko-Mbale'!I43,'21.08 Sironko-Mbale'!I43,'23.08 Sironko-Mbale'!I43,'24.08 Sironko-Mbale-24h'!I43,'22.08 Sironko-Mbale-24h'!I43,'25.08 Sironko-Mbale'!I43)</f>
        <v>2.5714285714285716</v>
      </c>
      <c r="J43" s="49">
        <f>AVERAGE('19.08 Sironko-Mbale'!J43,'20.08 Sironko-Mbale'!J43,'21.08 Sironko-Mbale'!J43,'23.08 Sironko-Mbale'!J43,'24.08 Sironko-Mbale-24h'!J43,'22.08 Sironko-Mbale-24h'!J43,'25.08 Sironko-Mbale'!J43)</f>
        <v>0.14285714285714285</v>
      </c>
      <c r="K43" s="49">
        <f>AVERAGE('19.08 Sironko-Mbale'!K43,'20.08 Sironko-Mbale'!K43,'21.08 Sironko-Mbale'!K43,'23.08 Sironko-Mbale'!K43,'24.08 Sironko-Mbale-24h'!K43,'22.08 Sironko-Mbale-24h'!K43,'25.08 Sironko-Mbale'!K43)</f>
        <v>0.14285714285714285</v>
      </c>
      <c r="L43" s="49">
        <f>AVERAGE('19.08 Sironko-Mbale'!L43,'20.08 Sironko-Mbale'!L43,'21.08 Sironko-Mbale'!L43,'23.08 Sironko-Mbale'!L43,'24.08 Sironko-Mbale-24h'!L43,'22.08 Sironko-Mbale-24h'!L43,'25.08 Sironko-Mbale'!L43)</f>
        <v>0</v>
      </c>
      <c r="M43" s="49">
        <f>AVERAGE('19.08 Sironko-Mbale'!M43,'20.08 Sironko-Mbale'!M43,'21.08 Sironko-Mbale'!M43,'23.08 Sironko-Mbale'!M43,'24.08 Sironko-Mbale-24h'!M43,'22.08 Sironko-Mbale-24h'!M43,'25.08 Sironko-Mbale'!M43)</f>
        <v>21</v>
      </c>
      <c r="N43" s="49">
        <f>AVERAGE('19.08 Sironko-Mbale'!N43,'20.08 Sironko-Mbale'!N43,'21.08 Sironko-Mbale'!N43,'23.08 Sironko-Mbale'!N43,'24.08 Sironko-Mbale-24h'!N43,'22.08 Sironko-Mbale-24h'!N43,'25.08 Sironko-Mbale'!N43)</f>
        <v>0</v>
      </c>
      <c r="O43" s="15">
        <f t="shared" si="0"/>
        <v>15.999999999999998</v>
      </c>
      <c r="P43" s="15">
        <f t="shared" si="1"/>
        <v>37</v>
      </c>
    </row>
    <row r="44" spans="2:32" ht="23.1" customHeight="1" x14ac:dyDescent="0.25">
      <c r="B44" s="25" t="s">
        <v>71</v>
      </c>
      <c r="C44" s="49">
        <f>AVERAGE('19.08 Sironko-Mbale'!C44,'20.08 Sironko-Mbale'!C44,'21.08 Sironko-Mbale'!C44,'23.08 Sironko-Mbale'!C44,'24.08 Sironko-Mbale-24h'!C44,'22.08 Sironko-Mbale-24h'!C44,'25.08 Sironko-Mbale'!C44)</f>
        <v>4.2857142857142856</v>
      </c>
      <c r="D44" s="49">
        <f>AVERAGE('19.08 Sironko-Mbale'!D44,'20.08 Sironko-Mbale'!D44,'21.08 Sironko-Mbale'!D44,'23.08 Sironko-Mbale'!D44,'24.08 Sironko-Mbale-24h'!D44,'22.08 Sironko-Mbale-24h'!D44,'25.08 Sironko-Mbale'!D44)</f>
        <v>1.7142857142857142</v>
      </c>
      <c r="E44" s="49">
        <f>AVERAGE('19.08 Sironko-Mbale'!E44,'20.08 Sironko-Mbale'!E44,'21.08 Sironko-Mbale'!E44,'23.08 Sironko-Mbale'!E44,'24.08 Sironko-Mbale-24h'!E44,'22.08 Sironko-Mbale-24h'!E44,'25.08 Sironko-Mbale'!E44)</f>
        <v>7</v>
      </c>
      <c r="F44" s="49">
        <f>AVERAGE('19.08 Sironko-Mbale'!F44,'20.08 Sironko-Mbale'!F44,'21.08 Sironko-Mbale'!F44,'23.08 Sironko-Mbale'!F44,'24.08 Sironko-Mbale-24h'!F44,'22.08 Sironko-Mbale-24h'!F44,'25.08 Sironko-Mbale'!F44)</f>
        <v>5.5714285714285712</v>
      </c>
      <c r="G44" s="49">
        <f>AVERAGE('19.08 Sironko-Mbale'!G44,'20.08 Sironko-Mbale'!G44,'21.08 Sironko-Mbale'!G44,'23.08 Sironko-Mbale'!G44,'24.08 Sironko-Mbale-24h'!G44,'22.08 Sironko-Mbale-24h'!G44,'25.08 Sironko-Mbale'!G44)</f>
        <v>0.2857142857142857</v>
      </c>
      <c r="H44" s="49">
        <f>AVERAGE('19.08 Sironko-Mbale'!H44,'20.08 Sironko-Mbale'!H44,'21.08 Sironko-Mbale'!H44,'23.08 Sironko-Mbale'!H44,'24.08 Sironko-Mbale-24h'!H44,'22.08 Sironko-Mbale-24h'!H44,'25.08 Sironko-Mbale'!H44)</f>
        <v>0</v>
      </c>
      <c r="I44" s="49">
        <f>AVERAGE('19.08 Sironko-Mbale'!I44,'20.08 Sironko-Mbale'!I44,'21.08 Sironko-Mbale'!I44,'23.08 Sironko-Mbale'!I44,'24.08 Sironko-Mbale-24h'!I44,'22.08 Sironko-Mbale-24h'!I44,'25.08 Sironko-Mbale'!I44)</f>
        <v>2.7142857142857144</v>
      </c>
      <c r="J44" s="49">
        <f>AVERAGE('19.08 Sironko-Mbale'!J44,'20.08 Sironko-Mbale'!J44,'21.08 Sironko-Mbale'!J44,'23.08 Sironko-Mbale'!J44,'24.08 Sironko-Mbale-24h'!J44,'22.08 Sironko-Mbale-24h'!J44,'25.08 Sironko-Mbale'!J44)</f>
        <v>0</v>
      </c>
      <c r="K44" s="49">
        <f>AVERAGE('19.08 Sironko-Mbale'!K44,'20.08 Sironko-Mbale'!K44,'21.08 Sironko-Mbale'!K44,'23.08 Sironko-Mbale'!K44,'24.08 Sironko-Mbale-24h'!K44,'22.08 Sironko-Mbale-24h'!K44,'25.08 Sironko-Mbale'!K44)</f>
        <v>0</v>
      </c>
      <c r="L44" s="49">
        <f>AVERAGE('19.08 Sironko-Mbale'!L44,'20.08 Sironko-Mbale'!L44,'21.08 Sironko-Mbale'!L44,'23.08 Sironko-Mbale'!L44,'24.08 Sironko-Mbale-24h'!L44,'22.08 Sironko-Mbale-24h'!L44,'25.08 Sironko-Mbale'!L44)</f>
        <v>0</v>
      </c>
      <c r="M44" s="49">
        <f>AVERAGE('19.08 Sironko-Mbale'!M44,'20.08 Sironko-Mbale'!M44,'21.08 Sironko-Mbale'!M44,'23.08 Sironko-Mbale'!M44,'24.08 Sironko-Mbale-24h'!M44,'22.08 Sironko-Mbale-24h'!M44,'25.08 Sironko-Mbale'!M44)</f>
        <v>31.714285714285715</v>
      </c>
      <c r="N44" s="49">
        <f>AVERAGE('19.08 Sironko-Mbale'!N44,'20.08 Sironko-Mbale'!N44,'21.08 Sironko-Mbale'!N44,'23.08 Sironko-Mbale'!N44,'24.08 Sironko-Mbale-24h'!N44,'22.08 Sironko-Mbale-24h'!N44,'25.08 Sironko-Mbale'!N44)</f>
        <v>0</v>
      </c>
      <c r="O44" s="15">
        <f t="shared" si="0"/>
        <v>21.571428571428569</v>
      </c>
      <c r="P44" s="15">
        <f t="shared" si="1"/>
        <v>53.285714285714285</v>
      </c>
    </row>
    <row r="45" spans="2:32" ht="23.1" customHeight="1" x14ac:dyDescent="0.25">
      <c r="B45" s="23" t="s">
        <v>72</v>
      </c>
      <c r="C45" s="49">
        <f>AVERAGE('19.08 Sironko-Mbale'!C45,'20.08 Sironko-Mbale'!C45,'21.08 Sironko-Mbale'!C45,'23.08 Sironko-Mbale'!C45,'24.08 Sironko-Mbale-24h'!C45,'22.08 Sironko-Mbale-24h'!C45,'25.08 Sironko-Mbale'!C45)</f>
        <v>3.4285714285714284</v>
      </c>
      <c r="D45" s="49">
        <f>AVERAGE('19.08 Sironko-Mbale'!D45,'20.08 Sironko-Mbale'!D45,'21.08 Sironko-Mbale'!D45,'23.08 Sironko-Mbale'!D45,'24.08 Sironko-Mbale-24h'!D45,'22.08 Sironko-Mbale-24h'!D45,'25.08 Sironko-Mbale'!D45)</f>
        <v>1.1428571428571428</v>
      </c>
      <c r="E45" s="49">
        <f>AVERAGE('19.08 Sironko-Mbale'!E45,'20.08 Sironko-Mbale'!E45,'21.08 Sironko-Mbale'!E45,'23.08 Sironko-Mbale'!E45,'24.08 Sironko-Mbale-24h'!E45,'22.08 Sironko-Mbale-24h'!E45,'25.08 Sironko-Mbale'!E45)</f>
        <v>5</v>
      </c>
      <c r="F45" s="49">
        <f>AVERAGE('19.08 Sironko-Mbale'!F45,'20.08 Sironko-Mbale'!F45,'21.08 Sironko-Mbale'!F45,'23.08 Sironko-Mbale'!F45,'24.08 Sironko-Mbale-24h'!F45,'22.08 Sironko-Mbale-24h'!F45,'25.08 Sironko-Mbale'!F45)</f>
        <v>5.1428571428571432</v>
      </c>
      <c r="G45" s="49">
        <f>AVERAGE('19.08 Sironko-Mbale'!G45,'20.08 Sironko-Mbale'!G45,'21.08 Sironko-Mbale'!G45,'23.08 Sironko-Mbale'!G45,'24.08 Sironko-Mbale-24h'!G45,'22.08 Sironko-Mbale-24h'!G45,'25.08 Sironko-Mbale'!G45)</f>
        <v>0</v>
      </c>
      <c r="H45" s="49">
        <f>AVERAGE('19.08 Sironko-Mbale'!H45,'20.08 Sironko-Mbale'!H45,'21.08 Sironko-Mbale'!H45,'23.08 Sironko-Mbale'!H45,'24.08 Sironko-Mbale-24h'!H45,'22.08 Sironko-Mbale-24h'!H45,'25.08 Sironko-Mbale'!H45)</f>
        <v>0.14285714285714285</v>
      </c>
      <c r="I45" s="49">
        <f>AVERAGE('19.08 Sironko-Mbale'!I45,'20.08 Sironko-Mbale'!I45,'21.08 Sironko-Mbale'!I45,'23.08 Sironko-Mbale'!I45,'24.08 Sironko-Mbale-24h'!I45,'22.08 Sironko-Mbale-24h'!I45,'25.08 Sironko-Mbale'!I45)</f>
        <v>3.5714285714285716</v>
      </c>
      <c r="J45" s="49">
        <f>AVERAGE('19.08 Sironko-Mbale'!J45,'20.08 Sironko-Mbale'!J45,'21.08 Sironko-Mbale'!J45,'23.08 Sironko-Mbale'!J45,'24.08 Sironko-Mbale-24h'!J45,'22.08 Sironko-Mbale-24h'!J45,'25.08 Sironko-Mbale'!J45)</f>
        <v>0.42857142857142855</v>
      </c>
      <c r="K45" s="49">
        <f>AVERAGE('19.08 Sironko-Mbale'!K45,'20.08 Sironko-Mbale'!K45,'21.08 Sironko-Mbale'!K45,'23.08 Sironko-Mbale'!K45,'24.08 Sironko-Mbale-24h'!K45,'22.08 Sironko-Mbale-24h'!K45,'25.08 Sironko-Mbale'!K45)</f>
        <v>0</v>
      </c>
      <c r="L45" s="49">
        <f>AVERAGE('19.08 Sironko-Mbale'!L45,'20.08 Sironko-Mbale'!L45,'21.08 Sironko-Mbale'!L45,'23.08 Sironko-Mbale'!L45,'24.08 Sironko-Mbale-24h'!L45,'22.08 Sironko-Mbale-24h'!L45,'25.08 Sironko-Mbale'!L45)</f>
        <v>0</v>
      </c>
      <c r="M45" s="49">
        <f>AVERAGE('19.08 Sironko-Mbale'!M45,'20.08 Sironko-Mbale'!M45,'21.08 Sironko-Mbale'!M45,'23.08 Sironko-Mbale'!M45,'24.08 Sironko-Mbale-24h'!M45,'22.08 Sironko-Mbale-24h'!M45,'25.08 Sironko-Mbale'!M45)</f>
        <v>26.857142857142858</v>
      </c>
      <c r="N45" s="49">
        <f>AVERAGE('19.08 Sironko-Mbale'!N45,'20.08 Sironko-Mbale'!N45,'21.08 Sironko-Mbale'!N45,'23.08 Sironko-Mbale'!N45,'24.08 Sironko-Mbale-24h'!N45,'22.08 Sironko-Mbale-24h'!N45,'25.08 Sironko-Mbale'!N45)</f>
        <v>0</v>
      </c>
      <c r="O45" s="15">
        <f t="shared" si="0"/>
        <v>18.857142857142858</v>
      </c>
      <c r="P45" s="15">
        <f t="shared" si="1"/>
        <v>45.714285714285715</v>
      </c>
    </row>
    <row r="46" spans="2:32" ht="23.1" customHeight="1" x14ac:dyDescent="0.25">
      <c r="B46" s="24" t="s">
        <v>73</v>
      </c>
      <c r="C46" s="49">
        <f>AVERAGE('19.08 Sironko-Mbale'!C46,'20.08 Sironko-Mbale'!C46,'21.08 Sironko-Mbale'!C46,'23.08 Sironko-Mbale'!C46,'24.08 Sironko-Mbale-24h'!C46,'22.08 Sironko-Mbale-24h'!C46,'25.08 Sironko-Mbale'!C46)</f>
        <v>3.4285714285714284</v>
      </c>
      <c r="D46" s="49">
        <f>AVERAGE('19.08 Sironko-Mbale'!D46,'20.08 Sironko-Mbale'!D46,'21.08 Sironko-Mbale'!D46,'23.08 Sironko-Mbale'!D46,'24.08 Sironko-Mbale-24h'!D46,'22.08 Sironko-Mbale-24h'!D46,'25.08 Sironko-Mbale'!D46)</f>
        <v>0.7142857142857143</v>
      </c>
      <c r="E46" s="49">
        <f>AVERAGE('19.08 Sironko-Mbale'!E46,'20.08 Sironko-Mbale'!E46,'21.08 Sironko-Mbale'!E46,'23.08 Sironko-Mbale'!E46,'24.08 Sironko-Mbale-24h'!E46,'22.08 Sironko-Mbale-24h'!E46,'25.08 Sironko-Mbale'!E46)</f>
        <v>4.4285714285714288</v>
      </c>
      <c r="F46" s="49">
        <f>AVERAGE('19.08 Sironko-Mbale'!F46,'20.08 Sironko-Mbale'!F46,'21.08 Sironko-Mbale'!F46,'23.08 Sironko-Mbale'!F46,'24.08 Sironko-Mbale-24h'!F46,'22.08 Sironko-Mbale-24h'!F46,'25.08 Sironko-Mbale'!F46)</f>
        <v>4.4285714285714288</v>
      </c>
      <c r="G46" s="49">
        <f>AVERAGE('19.08 Sironko-Mbale'!G46,'20.08 Sironko-Mbale'!G46,'21.08 Sironko-Mbale'!G46,'23.08 Sironko-Mbale'!G46,'24.08 Sironko-Mbale-24h'!G46,'22.08 Sironko-Mbale-24h'!G46,'25.08 Sironko-Mbale'!G46)</f>
        <v>0</v>
      </c>
      <c r="H46" s="49">
        <f>AVERAGE('19.08 Sironko-Mbale'!H46,'20.08 Sironko-Mbale'!H46,'21.08 Sironko-Mbale'!H46,'23.08 Sironko-Mbale'!H46,'24.08 Sironko-Mbale-24h'!H46,'22.08 Sironko-Mbale-24h'!H46,'25.08 Sironko-Mbale'!H46)</f>
        <v>0</v>
      </c>
      <c r="I46" s="49">
        <f>AVERAGE('19.08 Sironko-Mbale'!I46,'20.08 Sironko-Mbale'!I46,'21.08 Sironko-Mbale'!I46,'23.08 Sironko-Mbale'!I46,'24.08 Sironko-Mbale-24h'!I46,'22.08 Sironko-Mbale-24h'!I46,'25.08 Sironko-Mbale'!I46)</f>
        <v>3.7142857142857144</v>
      </c>
      <c r="J46" s="49">
        <f>AVERAGE('19.08 Sironko-Mbale'!J46,'20.08 Sironko-Mbale'!J46,'21.08 Sironko-Mbale'!J46,'23.08 Sironko-Mbale'!J46,'24.08 Sironko-Mbale-24h'!J46,'22.08 Sironko-Mbale-24h'!J46,'25.08 Sironko-Mbale'!J46)</f>
        <v>0.42857142857142855</v>
      </c>
      <c r="K46" s="49">
        <f>AVERAGE('19.08 Sironko-Mbale'!K46,'20.08 Sironko-Mbale'!K46,'21.08 Sironko-Mbale'!K46,'23.08 Sironko-Mbale'!K46,'24.08 Sironko-Mbale-24h'!K46,'22.08 Sironko-Mbale-24h'!K46,'25.08 Sironko-Mbale'!K46)</f>
        <v>0</v>
      </c>
      <c r="L46" s="49">
        <f>AVERAGE('19.08 Sironko-Mbale'!L46,'20.08 Sironko-Mbale'!L46,'21.08 Sironko-Mbale'!L46,'23.08 Sironko-Mbale'!L46,'24.08 Sironko-Mbale-24h'!L46,'22.08 Sironko-Mbale-24h'!L46,'25.08 Sironko-Mbale'!L46)</f>
        <v>0</v>
      </c>
      <c r="M46" s="49">
        <f>AVERAGE('19.08 Sironko-Mbale'!M46,'20.08 Sironko-Mbale'!M46,'21.08 Sironko-Mbale'!M46,'23.08 Sironko-Mbale'!M46,'24.08 Sironko-Mbale-24h'!M46,'22.08 Sironko-Mbale-24h'!M46,'25.08 Sironko-Mbale'!M46)</f>
        <v>32.428571428571431</v>
      </c>
      <c r="N46" s="49">
        <f>AVERAGE('19.08 Sironko-Mbale'!N46,'20.08 Sironko-Mbale'!N46,'21.08 Sironko-Mbale'!N46,'23.08 Sironko-Mbale'!N46,'24.08 Sironko-Mbale-24h'!N46,'22.08 Sironko-Mbale-24h'!N46,'25.08 Sironko-Mbale'!N46)</f>
        <v>0</v>
      </c>
      <c r="O46" s="15">
        <f t="shared" si="0"/>
        <v>17.142857142857142</v>
      </c>
      <c r="P46" s="15">
        <f t="shared" si="1"/>
        <v>49.571428571428569</v>
      </c>
      <c r="R46" s="8"/>
      <c r="T46"/>
    </row>
    <row r="47" spans="2:32" ht="23.1" customHeight="1" x14ac:dyDescent="0.25">
      <c r="B47" s="24" t="s">
        <v>74</v>
      </c>
      <c r="C47" s="49">
        <f>AVERAGE('19.08 Sironko-Mbale'!C47,'20.08 Sironko-Mbale'!C47,'21.08 Sironko-Mbale'!C47,'23.08 Sironko-Mbale'!C47,'24.08 Sironko-Mbale-24h'!C47,'22.08 Sironko-Mbale-24h'!C47,'25.08 Sironko-Mbale'!C47)</f>
        <v>4</v>
      </c>
      <c r="D47" s="49">
        <f>AVERAGE('19.08 Sironko-Mbale'!D47,'20.08 Sironko-Mbale'!D47,'21.08 Sironko-Mbale'!D47,'23.08 Sironko-Mbale'!D47,'24.08 Sironko-Mbale-24h'!D47,'22.08 Sironko-Mbale-24h'!D47,'25.08 Sironko-Mbale'!D47)</f>
        <v>1.5714285714285714</v>
      </c>
      <c r="E47" s="49">
        <f>AVERAGE('19.08 Sironko-Mbale'!E47,'20.08 Sironko-Mbale'!E47,'21.08 Sironko-Mbale'!E47,'23.08 Sironko-Mbale'!E47,'24.08 Sironko-Mbale-24h'!E47,'22.08 Sironko-Mbale-24h'!E47,'25.08 Sironko-Mbale'!E47)</f>
        <v>6.4285714285714288</v>
      </c>
      <c r="F47" s="49">
        <f>AVERAGE('19.08 Sironko-Mbale'!F47,'20.08 Sironko-Mbale'!F47,'21.08 Sironko-Mbale'!F47,'23.08 Sironko-Mbale'!F47,'24.08 Sironko-Mbale-24h'!F47,'22.08 Sironko-Mbale-24h'!F47,'25.08 Sironko-Mbale'!F47)</f>
        <v>3.2857142857142856</v>
      </c>
      <c r="G47" s="49">
        <f>AVERAGE('19.08 Sironko-Mbale'!G47,'20.08 Sironko-Mbale'!G47,'21.08 Sironko-Mbale'!G47,'23.08 Sironko-Mbale'!G47,'24.08 Sironko-Mbale-24h'!G47,'22.08 Sironko-Mbale-24h'!G47,'25.08 Sironko-Mbale'!G47)</f>
        <v>0.14285714285714285</v>
      </c>
      <c r="H47" s="49">
        <f>AVERAGE('19.08 Sironko-Mbale'!H47,'20.08 Sironko-Mbale'!H47,'21.08 Sironko-Mbale'!H47,'23.08 Sironko-Mbale'!H47,'24.08 Sironko-Mbale-24h'!H47,'22.08 Sironko-Mbale-24h'!H47,'25.08 Sironko-Mbale'!H47)</f>
        <v>0</v>
      </c>
      <c r="I47" s="49">
        <f>AVERAGE('19.08 Sironko-Mbale'!I47,'20.08 Sironko-Mbale'!I47,'21.08 Sironko-Mbale'!I47,'23.08 Sironko-Mbale'!I47,'24.08 Sironko-Mbale-24h'!I47,'22.08 Sironko-Mbale-24h'!I47,'25.08 Sironko-Mbale'!I47)</f>
        <v>3.4285714285714284</v>
      </c>
      <c r="J47" s="49">
        <f>AVERAGE('19.08 Sironko-Mbale'!J47,'20.08 Sironko-Mbale'!J47,'21.08 Sironko-Mbale'!J47,'23.08 Sironko-Mbale'!J47,'24.08 Sironko-Mbale-24h'!J47,'22.08 Sironko-Mbale-24h'!J47,'25.08 Sironko-Mbale'!J47)</f>
        <v>0</v>
      </c>
      <c r="K47" s="49">
        <f>AVERAGE('19.08 Sironko-Mbale'!K47,'20.08 Sironko-Mbale'!K47,'21.08 Sironko-Mbale'!K47,'23.08 Sironko-Mbale'!K47,'24.08 Sironko-Mbale-24h'!K47,'22.08 Sironko-Mbale-24h'!K47,'25.08 Sironko-Mbale'!K47)</f>
        <v>0</v>
      </c>
      <c r="L47" s="49">
        <f>AVERAGE('19.08 Sironko-Mbale'!L47,'20.08 Sironko-Mbale'!L47,'21.08 Sironko-Mbale'!L47,'23.08 Sironko-Mbale'!L47,'24.08 Sironko-Mbale-24h'!L47,'22.08 Sironko-Mbale-24h'!L47,'25.08 Sironko-Mbale'!L47)</f>
        <v>0</v>
      </c>
      <c r="M47" s="49">
        <f>AVERAGE('19.08 Sironko-Mbale'!M47,'20.08 Sironko-Mbale'!M47,'21.08 Sironko-Mbale'!M47,'23.08 Sironko-Mbale'!M47,'24.08 Sironko-Mbale-24h'!M47,'22.08 Sironko-Mbale-24h'!M47,'25.08 Sironko-Mbale'!M47)</f>
        <v>29</v>
      </c>
      <c r="N47" s="49">
        <f>AVERAGE('19.08 Sironko-Mbale'!N47,'20.08 Sironko-Mbale'!N47,'21.08 Sironko-Mbale'!N47,'23.08 Sironko-Mbale'!N47,'24.08 Sironko-Mbale-24h'!N47,'22.08 Sironko-Mbale-24h'!N47,'25.08 Sironko-Mbale'!N47)</f>
        <v>0</v>
      </c>
      <c r="O47" s="15">
        <f t="shared" si="0"/>
        <v>18.857142857142854</v>
      </c>
      <c r="P47" s="15">
        <f t="shared" si="1"/>
        <v>47.857142857142854</v>
      </c>
      <c r="R47" s="8"/>
      <c r="T47"/>
    </row>
    <row r="48" spans="2:32" ht="23.1" customHeight="1" x14ac:dyDescent="0.25">
      <c r="B48" s="24" t="s">
        <v>75</v>
      </c>
      <c r="C48" s="49">
        <f>AVERAGE('19.08 Sironko-Mbale'!C48,'20.08 Sironko-Mbale'!C48,'21.08 Sironko-Mbale'!C48,'23.08 Sironko-Mbale'!C48,'24.08 Sironko-Mbale-24h'!C48,'22.08 Sironko-Mbale-24h'!C48,'25.08 Sironko-Mbale'!C48)</f>
        <v>5</v>
      </c>
      <c r="D48" s="49">
        <f>AVERAGE('19.08 Sironko-Mbale'!D48,'20.08 Sironko-Mbale'!D48,'21.08 Sironko-Mbale'!D48,'23.08 Sironko-Mbale'!D48,'24.08 Sironko-Mbale-24h'!D48,'22.08 Sironko-Mbale-24h'!D48,'25.08 Sironko-Mbale'!D48)</f>
        <v>1.2857142857142858</v>
      </c>
      <c r="E48" s="49">
        <f>AVERAGE('19.08 Sironko-Mbale'!E48,'20.08 Sironko-Mbale'!E48,'21.08 Sironko-Mbale'!E48,'23.08 Sironko-Mbale'!E48,'24.08 Sironko-Mbale-24h'!E48,'22.08 Sironko-Mbale-24h'!E48,'25.08 Sironko-Mbale'!E48)</f>
        <v>6.1428571428571432</v>
      </c>
      <c r="F48" s="49">
        <f>AVERAGE('19.08 Sironko-Mbale'!F48,'20.08 Sironko-Mbale'!F48,'21.08 Sironko-Mbale'!F48,'23.08 Sironko-Mbale'!F48,'24.08 Sironko-Mbale-24h'!F48,'22.08 Sironko-Mbale-24h'!F48,'25.08 Sironko-Mbale'!F48)</f>
        <v>3.4285714285714284</v>
      </c>
      <c r="G48" s="49">
        <f>AVERAGE('19.08 Sironko-Mbale'!G48,'20.08 Sironko-Mbale'!G48,'21.08 Sironko-Mbale'!G48,'23.08 Sironko-Mbale'!G48,'24.08 Sironko-Mbale-24h'!G48,'22.08 Sironko-Mbale-24h'!G48,'25.08 Sironko-Mbale'!G48)</f>
        <v>0.14285714285714285</v>
      </c>
      <c r="H48" s="49">
        <f>AVERAGE('19.08 Sironko-Mbale'!H48,'20.08 Sironko-Mbale'!H48,'21.08 Sironko-Mbale'!H48,'23.08 Sironko-Mbale'!H48,'24.08 Sironko-Mbale-24h'!H48,'22.08 Sironko-Mbale-24h'!H48,'25.08 Sironko-Mbale'!H48)</f>
        <v>0</v>
      </c>
      <c r="I48" s="49">
        <f>AVERAGE('19.08 Sironko-Mbale'!I48,'20.08 Sironko-Mbale'!I48,'21.08 Sironko-Mbale'!I48,'23.08 Sironko-Mbale'!I48,'24.08 Sironko-Mbale-24h'!I48,'22.08 Sironko-Mbale-24h'!I48,'25.08 Sironko-Mbale'!I48)</f>
        <v>3.2857142857142856</v>
      </c>
      <c r="J48" s="49">
        <f>AVERAGE('19.08 Sironko-Mbale'!J48,'20.08 Sironko-Mbale'!J48,'21.08 Sironko-Mbale'!J48,'23.08 Sironko-Mbale'!J48,'24.08 Sironko-Mbale-24h'!J48,'22.08 Sironko-Mbale-24h'!J48,'25.08 Sironko-Mbale'!J48)</f>
        <v>0.42857142857142855</v>
      </c>
      <c r="K48" s="49">
        <f>AVERAGE('19.08 Sironko-Mbale'!K48,'20.08 Sironko-Mbale'!K48,'21.08 Sironko-Mbale'!K48,'23.08 Sironko-Mbale'!K48,'24.08 Sironko-Mbale-24h'!K48,'22.08 Sironko-Mbale-24h'!K48,'25.08 Sironko-Mbale'!K48)</f>
        <v>0</v>
      </c>
      <c r="L48" s="49">
        <f>AVERAGE('19.08 Sironko-Mbale'!L48,'20.08 Sironko-Mbale'!L48,'21.08 Sironko-Mbale'!L48,'23.08 Sironko-Mbale'!L48,'24.08 Sironko-Mbale-24h'!L48,'22.08 Sironko-Mbale-24h'!L48,'25.08 Sironko-Mbale'!L48)</f>
        <v>0</v>
      </c>
      <c r="M48" s="49">
        <f>AVERAGE('19.08 Sironko-Mbale'!M48,'20.08 Sironko-Mbale'!M48,'21.08 Sironko-Mbale'!M48,'23.08 Sironko-Mbale'!M48,'24.08 Sironko-Mbale-24h'!M48,'22.08 Sironko-Mbale-24h'!M48,'25.08 Sironko-Mbale'!M48)</f>
        <v>28.857142857142858</v>
      </c>
      <c r="N48" s="49">
        <f>AVERAGE('19.08 Sironko-Mbale'!N48,'20.08 Sironko-Mbale'!N48,'21.08 Sironko-Mbale'!N48,'23.08 Sironko-Mbale'!N48,'24.08 Sironko-Mbale-24h'!N48,'22.08 Sironko-Mbale-24h'!N48,'25.08 Sironko-Mbale'!N48)</f>
        <v>0</v>
      </c>
      <c r="O48" s="15">
        <f t="shared" si="0"/>
        <v>19.714285714285712</v>
      </c>
      <c r="P48" s="15">
        <f t="shared" si="1"/>
        <v>48.571428571428569</v>
      </c>
      <c r="R48" s="8"/>
      <c r="T48"/>
    </row>
    <row r="49" spans="2:20" ht="23.1" customHeight="1" x14ac:dyDescent="0.25">
      <c r="B49" s="23" t="s">
        <v>76</v>
      </c>
      <c r="C49" s="49">
        <f>AVERAGE('19.08 Sironko-Mbale'!C49,'20.08 Sironko-Mbale'!C49,'21.08 Sironko-Mbale'!C49,'23.08 Sironko-Mbale'!C49,'24.08 Sironko-Mbale-24h'!C49,'22.08 Sironko-Mbale-24h'!C49,'25.08 Sironko-Mbale'!C49)</f>
        <v>4</v>
      </c>
      <c r="D49" s="49">
        <f>AVERAGE('19.08 Sironko-Mbale'!D49,'20.08 Sironko-Mbale'!D49,'21.08 Sironko-Mbale'!D49,'23.08 Sironko-Mbale'!D49,'24.08 Sironko-Mbale-24h'!D49,'22.08 Sironko-Mbale-24h'!D49,'25.08 Sironko-Mbale'!D49)</f>
        <v>0.8571428571428571</v>
      </c>
      <c r="E49" s="49">
        <f>AVERAGE('19.08 Sironko-Mbale'!E49,'20.08 Sironko-Mbale'!E49,'21.08 Sironko-Mbale'!E49,'23.08 Sironko-Mbale'!E49,'24.08 Sironko-Mbale-24h'!E49,'22.08 Sironko-Mbale-24h'!E49,'25.08 Sironko-Mbale'!E49)</f>
        <v>3.8571428571428572</v>
      </c>
      <c r="F49" s="49">
        <f>AVERAGE('19.08 Sironko-Mbale'!F49,'20.08 Sironko-Mbale'!F49,'21.08 Sironko-Mbale'!F49,'23.08 Sironko-Mbale'!F49,'24.08 Sironko-Mbale-24h'!F49,'22.08 Sironko-Mbale-24h'!F49,'25.08 Sironko-Mbale'!F49)</f>
        <v>4.5714285714285712</v>
      </c>
      <c r="G49" s="49">
        <f>AVERAGE('19.08 Sironko-Mbale'!G49,'20.08 Sironko-Mbale'!G49,'21.08 Sironko-Mbale'!G49,'23.08 Sironko-Mbale'!G49,'24.08 Sironko-Mbale-24h'!G49,'22.08 Sironko-Mbale-24h'!G49,'25.08 Sironko-Mbale'!G49)</f>
        <v>1</v>
      </c>
      <c r="H49" s="49">
        <f>AVERAGE('19.08 Sironko-Mbale'!H49,'20.08 Sironko-Mbale'!H49,'21.08 Sironko-Mbale'!H49,'23.08 Sironko-Mbale'!H49,'24.08 Sironko-Mbale-24h'!H49,'22.08 Sironko-Mbale-24h'!H49,'25.08 Sironko-Mbale'!H49)</f>
        <v>0.14285714285714285</v>
      </c>
      <c r="I49" s="49">
        <f>AVERAGE('19.08 Sironko-Mbale'!I49,'20.08 Sironko-Mbale'!I49,'21.08 Sironko-Mbale'!I49,'23.08 Sironko-Mbale'!I49,'24.08 Sironko-Mbale-24h'!I49,'22.08 Sironko-Mbale-24h'!I49,'25.08 Sironko-Mbale'!I49)</f>
        <v>2.5714285714285716</v>
      </c>
      <c r="J49" s="49">
        <f>AVERAGE('19.08 Sironko-Mbale'!J49,'20.08 Sironko-Mbale'!J49,'21.08 Sironko-Mbale'!J49,'23.08 Sironko-Mbale'!J49,'24.08 Sironko-Mbale-24h'!J49,'22.08 Sironko-Mbale-24h'!J49,'25.08 Sironko-Mbale'!J49)</f>
        <v>0</v>
      </c>
      <c r="K49" s="49">
        <f>AVERAGE('19.08 Sironko-Mbale'!K49,'20.08 Sironko-Mbale'!K49,'21.08 Sironko-Mbale'!K49,'23.08 Sironko-Mbale'!K49,'24.08 Sironko-Mbale-24h'!K49,'22.08 Sironko-Mbale-24h'!K49,'25.08 Sironko-Mbale'!K49)</f>
        <v>0</v>
      </c>
      <c r="L49" s="49">
        <f>AVERAGE('19.08 Sironko-Mbale'!L49,'20.08 Sironko-Mbale'!L49,'21.08 Sironko-Mbale'!L49,'23.08 Sironko-Mbale'!L49,'24.08 Sironko-Mbale-24h'!L49,'22.08 Sironko-Mbale-24h'!L49,'25.08 Sironko-Mbale'!L49)</f>
        <v>0</v>
      </c>
      <c r="M49" s="49">
        <f>AVERAGE('19.08 Sironko-Mbale'!M49,'20.08 Sironko-Mbale'!M49,'21.08 Sironko-Mbale'!M49,'23.08 Sironko-Mbale'!M49,'24.08 Sironko-Mbale-24h'!M49,'22.08 Sironko-Mbale-24h'!M49,'25.08 Sironko-Mbale'!M49)</f>
        <v>36.428571428571431</v>
      </c>
      <c r="N49" s="49">
        <f>AVERAGE('19.08 Sironko-Mbale'!N49,'20.08 Sironko-Mbale'!N49,'21.08 Sironko-Mbale'!N49,'23.08 Sironko-Mbale'!N49,'24.08 Sironko-Mbale-24h'!N49,'22.08 Sironko-Mbale-24h'!N49,'25.08 Sironko-Mbale'!N49)</f>
        <v>0</v>
      </c>
      <c r="O49" s="15">
        <f t="shared" si="0"/>
        <v>17</v>
      </c>
      <c r="P49" s="15">
        <f t="shared" si="1"/>
        <v>53.428571428571431</v>
      </c>
      <c r="R49" s="8"/>
      <c r="T49"/>
    </row>
    <row r="50" spans="2:20" ht="23.1" customHeight="1" x14ac:dyDescent="0.25">
      <c r="B50" s="24" t="s">
        <v>77</v>
      </c>
      <c r="C50" s="49">
        <f>AVERAGE('19.08 Sironko-Mbale'!C50,'20.08 Sironko-Mbale'!C50,'21.08 Sironko-Mbale'!C50,'23.08 Sironko-Mbale'!C50,'24.08 Sironko-Mbale-24h'!C50,'22.08 Sironko-Mbale-24h'!C50,'25.08 Sironko-Mbale'!C50)</f>
        <v>5</v>
      </c>
      <c r="D50" s="49">
        <f>AVERAGE('19.08 Sironko-Mbale'!D50,'20.08 Sironko-Mbale'!D50,'21.08 Sironko-Mbale'!D50,'23.08 Sironko-Mbale'!D50,'24.08 Sironko-Mbale-24h'!D50,'22.08 Sironko-Mbale-24h'!D50,'25.08 Sironko-Mbale'!D50)</f>
        <v>1</v>
      </c>
      <c r="E50" s="49">
        <f>AVERAGE('19.08 Sironko-Mbale'!E50,'20.08 Sironko-Mbale'!E50,'21.08 Sironko-Mbale'!E50,'23.08 Sironko-Mbale'!E50,'24.08 Sironko-Mbale-24h'!E50,'22.08 Sironko-Mbale-24h'!E50,'25.08 Sironko-Mbale'!E50)</f>
        <v>5.2857142857142856</v>
      </c>
      <c r="F50" s="49">
        <f>AVERAGE('19.08 Sironko-Mbale'!F50,'20.08 Sironko-Mbale'!F50,'21.08 Sironko-Mbale'!F50,'23.08 Sironko-Mbale'!F50,'24.08 Sironko-Mbale-24h'!F50,'22.08 Sironko-Mbale-24h'!F50,'25.08 Sironko-Mbale'!F50)</f>
        <v>4.4285714285714288</v>
      </c>
      <c r="G50" s="49">
        <f>AVERAGE('19.08 Sironko-Mbale'!G50,'20.08 Sironko-Mbale'!G50,'21.08 Sironko-Mbale'!G50,'23.08 Sironko-Mbale'!G50,'24.08 Sironko-Mbale-24h'!G50,'22.08 Sironko-Mbale-24h'!G50,'25.08 Sironko-Mbale'!G50)</f>
        <v>0</v>
      </c>
      <c r="H50" s="49">
        <f>AVERAGE('19.08 Sironko-Mbale'!H50,'20.08 Sironko-Mbale'!H50,'21.08 Sironko-Mbale'!H50,'23.08 Sironko-Mbale'!H50,'24.08 Sironko-Mbale-24h'!H50,'22.08 Sironko-Mbale-24h'!H50,'25.08 Sironko-Mbale'!H50)</f>
        <v>0</v>
      </c>
      <c r="I50" s="49">
        <f>AVERAGE('19.08 Sironko-Mbale'!I50,'20.08 Sironko-Mbale'!I50,'21.08 Sironko-Mbale'!I50,'23.08 Sironko-Mbale'!I50,'24.08 Sironko-Mbale-24h'!I50,'22.08 Sironko-Mbale-24h'!I50,'25.08 Sironko-Mbale'!I50)</f>
        <v>3.7142857142857144</v>
      </c>
      <c r="J50" s="49">
        <f>AVERAGE('19.08 Sironko-Mbale'!J50,'20.08 Sironko-Mbale'!J50,'21.08 Sironko-Mbale'!J50,'23.08 Sironko-Mbale'!J50,'24.08 Sironko-Mbale-24h'!J50,'22.08 Sironko-Mbale-24h'!J50,'25.08 Sironko-Mbale'!J50)</f>
        <v>0.14285714285714285</v>
      </c>
      <c r="K50" s="49">
        <f>AVERAGE('19.08 Sironko-Mbale'!K50,'20.08 Sironko-Mbale'!K50,'21.08 Sironko-Mbale'!K50,'23.08 Sironko-Mbale'!K50,'24.08 Sironko-Mbale-24h'!K50,'22.08 Sironko-Mbale-24h'!K50,'25.08 Sironko-Mbale'!K50)</f>
        <v>0.2857142857142857</v>
      </c>
      <c r="L50" s="49">
        <f>AVERAGE('19.08 Sironko-Mbale'!L50,'20.08 Sironko-Mbale'!L50,'21.08 Sironko-Mbale'!L50,'23.08 Sironko-Mbale'!L50,'24.08 Sironko-Mbale-24h'!L50,'22.08 Sironko-Mbale-24h'!L50,'25.08 Sironko-Mbale'!L50)</f>
        <v>0</v>
      </c>
      <c r="M50" s="49">
        <f>AVERAGE('19.08 Sironko-Mbale'!M50,'20.08 Sironko-Mbale'!M50,'21.08 Sironko-Mbale'!M50,'23.08 Sironko-Mbale'!M50,'24.08 Sironko-Mbale-24h'!M50,'22.08 Sironko-Mbale-24h'!M50,'25.08 Sironko-Mbale'!M50)</f>
        <v>36.571428571428569</v>
      </c>
      <c r="N50" s="49">
        <f>AVERAGE('19.08 Sironko-Mbale'!N50,'20.08 Sironko-Mbale'!N50,'21.08 Sironko-Mbale'!N50,'23.08 Sironko-Mbale'!N50,'24.08 Sironko-Mbale-24h'!N50,'22.08 Sironko-Mbale-24h'!N50,'25.08 Sironko-Mbale'!N50)</f>
        <v>0</v>
      </c>
      <c r="O50" s="15">
        <f t="shared" si="0"/>
        <v>19.857142857142854</v>
      </c>
      <c r="P50" s="15">
        <f t="shared" si="1"/>
        <v>56.428571428571423</v>
      </c>
      <c r="R50" s="8"/>
      <c r="T50"/>
    </row>
    <row r="51" spans="2:20" ht="23.1" customHeight="1" x14ac:dyDescent="0.25">
      <c r="B51" s="24" t="s">
        <v>78</v>
      </c>
      <c r="C51" s="49">
        <f>AVERAGE('19.08 Sironko-Mbale'!C51,'20.08 Sironko-Mbale'!C51,'21.08 Sironko-Mbale'!C51,'23.08 Sironko-Mbale'!C51,'24.08 Sironko-Mbale-24h'!C51,'22.08 Sironko-Mbale-24h'!C51,'25.08 Sironko-Mbale'!C51)</f>
        <v>6.4285714285714288</v>
      </c>
      <c r="D51" s="49">
        <f>AVERAGE('19.08 Sironko-Mbale'!D51,'20.08 Sironko-Mbale'!D51,'21.08 Sironko-Mbale'!D51,'23.08 Sironko-Mbale'!D51,'24.08 Sironko-Mbale-24h'!D51,'22.08 Sironko-Mbale-24h'!D51,'25.08 Sironko-Mbale'!D51)</f>
        <v>2.1428571428571428</v>
      </c>
      <c r="E51" s="49">
        <f>AVERAGE('19.08 Sironko-Mbale'!E51,'20.08 Sironko-Mbale'!E51,'21.08 Sironko-Mbale'!E51,'23.08 Sironko-Mbale'!E51,'24.08 Sironko-Mbale-24h'!E51,'22.08 Sironko-Mbale-24h'!E51,'25.08 Sironko-Mbale'!E51)</f>
        <v>8.2857142857142865</v>
      </c>
      <c r="F51" s="49">
        <f>AVERAGE('19.08 Sironko-Mbale'!F51,'20.08 Sironko-Mbale'!F51,'21.08 Sironko-Mbale'!F51,'23.08 Sironko-Mbale'!F51,'24.08 Sironko-Mbale-24h'!F51,'22.08 Sironko-Mbale-24h'!F51,'25.08 Sironko-Mbale'!F51)</f>
        <v>2.8571428571428572</v>
      </c>
      <c r="G51" s="49">
        <f>AVERAGE('19.08 Sironko-Mbale'!G51,'20.08 Sironko-Mbale'!G51,'21.08 Sironko-Mbale'!G51,'23.08 Sironko-Mbale'!G51,'24.08 Sironko-Mbale-24h'!G51,'22.08 Sironko-Mbale-24h'!G51,'25.08 Sironko-Mbale'!G51)</f>
        <v>0.5714285714285714</v>
      </c>
      <c r="H51" s="49">
        <f>AVERAGE('19.08 Sironko-Mbale'!H51,'20.08 Sironko-Mbale'!H51,'21.08 Sironko-Mbale'!H51,'23.08 Sironko-Mbale'!H51,'24.08 Sironko-Mbale-24h'!H51,'22.08 Sironko-Mbale-24h'!H51,'25.08 Sironko-Mbale'!H51)</f>
        <v>0</v>
      </c>
      <c r="I51" s="49">
        <f>AVERAGE('19.08 Sironko-Mbale'!I51,'20.08 Sironko-Mbale'!I51,'21.08 Sironko-Mbale'!I51,'23.08 Sironko-Mbale'!I51,'24.08 Sironko-Mbale-24h'!I51,'22.08 Sironko-Mbale-24h'!I51,'25.08 Sironko-Mbale'!I51)</f>
        <v>3.2857142857142856</v>
      </c>
      <c r="J51" s="49">
        <f>AVERAGE('19.08 Sironko-Mbale'!J51,'20.08 Sironko-Mbale'!J51,'21.08 Sironko-Mbale'!J51,'23.08 Sironko-Mbale'!J51,'24.08 Sironko-Mbale-24h'!J51,'22.08 Sironko-Mbale-24h'!J51,'25.08 Sironko-Mbale'!J51)</f>
        <v>0.2857142857142857</v>
      </c>
      <c r="K51" s="49">
        <f>AVERAGE('19.08 Sironko-Mbale'!K51,'20.08 Sironko-Mbale'!K51,'21.08 Sironko-Mbale'!K51,'23.08 Sironko-Mbale'!K51,'24.08 Sironko-Mbale-24h'!K51,'22.08 Sironko-Mbale-24h'!K51,'25.08 Sironko-Mbale'!K51)</f>
        <v>0</v>
      </c>
      <c r="L51" s="49">
        <f>AVERAGE('19.08 Sironko-Mbale'!L51,'20.08 Sironko-Mbale'!L51,'21.08 Sironko-Mbale'!L51,'23.08 Sironko-Mbale'!L51,'24.08 Sironko-Mbale-24h'!L51,'22.08 Sironko-Mbale-24h'!L51,'25.08 Sironko-Mbale'!L51)</f>
        <v>0</v>
      </c>
      <c r="M51" s="49">
        <f>AVERAGE('19.08 Sironko-Mbale'!M51,'20.08 Sironko-Mbale'!M51,'21.08 Sironko-Mbale'!M51,'23.08 Sironko-Mbale'!M51,'24.08 Sironko-Mbale-24h'!M51,'22.08 Sironko-Mbale-24h'!M51,'25.08 Sironko-Mbale'!M51)</f>
        <v>36.285714285714285</v>
      </c>
      <c r="N51" s="49">
        <f>AVERAGE('19.08 Sironko-Mbale'!N51,'20.08 Sironko-Mbale'!N51,'21.08 Sironko-Mbale'!N51,'23.08 Sironko-Mbale'!N51,'24.08 Sironko-Mbale-24h'!N51,'22.08 Sironko-Mbale-24h'!N51,'25.08 Sironko-Mbale'!N51)</f>
        <v>0</v>
      </c>
      <c r="O51" s="15">
        <f t="shared" si="0"/>
        <v>23.857142857142858</v>
      </c>
      <c r="P51" s="15">
        <f t="shared" si="1"/>
        <v>60.142857142857139</v>
      </c>
      <c r="R51" s="8"/>
      <c r="T51"/>
    </row>
    <row r="52" spans="2:20" ht="23.1" customHeight="1" x14ac:dyDescent="0.25">
      <c r="B52" s="24" t="s">
        <v>79</v>
      </c>
      <c r="C52" s="49">
        <f>AVERAGE('19.08 Sironko-Mbale'!C52,'20.08 Sironko-Mbale'!C52,'21.08 Sironko-Mbale'!C52,'23.08 Sironko-Mbale'!C52,'24.08 Sironko-Mbale-24h'!C52,'22.08 Sironko-Mbale-24h'!C52,'25.08 Sironko-Mbale'!C52)</f>
        <v>5.4285714285714288</v>
      </c>
      <c r="D52" s="49">
        <f>AVERAGE('19.08 Sironko-Mbale'!D52,'20.08 Sironko-Mbale'!D52,'21.08 Sironko-Mbale'!D52,'23.08 Sironko-Mbale'!D52,'24.08 Sironko-Mbale-24h'!D52,'22.08 Sironko-Mbale-24h'!D52,'25.08 Sironko-Mbale'!D52)</f>
        <v>2.5714285714285716</v>
      </c>
      <c r="E52" s="49">
        <f>AVERAGE('19.08 Sironko-Mbale'!E52,'20.08 Sironko-Mbale'!E52,'21.08 Sironko-Mbale'!E52,'23.08 Sironko-Mbale'!E52,'24.08 Sironko-Mbale-24h'!E52,'22.08 Sironko-Mbale-24h'!E52,'25.08 Sironko-Mbale'!E52)</f>
        <v>10.285714285714286</v>
      </c>
      <c r="F52" s="49">
        <f>AVERAGE('19.08 Sironko-Mbale'!F52,'20.08 Sironko-Mbale'!F52,'21.08 Sironko-Mbale'!F52,'23.08 Sironko-Mbale'!F52,'24.08 Sironko-Mbale-24h'!F52,'22.08 Sironko-Mbale-24h'!F52,'25.08 Sironko-Mbale'!F52)</f>
        <v>3.4285714285714284</v>
      </c>
      <c r="G52" s="49">
        <f>AVERAGE('19.08 Sironko-Mbale'!G52,'20.08 Sironko-Mbale'!G52,'21.08 Sironko-Mbale'!G52,'23.08 Sironko-Mbale'!G52,'24.08 Sironko-Mbale-24h'!G52,'22.08 Sironko-Mbale-24h'!G52,'25.08 Sironko-Mbale'!G52)</f>
        <v>0</v>
      </c>
      <c r="H52" s="49">
        <f>AVERAGE('19.08 Sironko-Mbale'!H52,'20.08 Sironko-Mbale'!H52,'21.08 Sironko-Mbale'!H52,'23.08 Sironko-Mbale'!H52,'24.08 Sironko-Mbale-24h'!H52,'22.08 Sironko-Mbale-24h'!H52,'25.08 Sironko-Mbale'!H52)</f>
        <v>0.5714285714285714</v>
      </c>
      <c r="I52" s="49">
        <f>AVERAGE('19.08 Sironko-Mbale'!I52,'20.08 Sironko-Mbale'!I52,'21.08 Sironko-Mbale'!I52,'23.08 Sironko-Mbale'!I52,'24.08 Sironko-Mbale-24h'!I52,'22.08 Sironko-Mbale-24h'!I52,'25.08 Sironko-Mbale'!I52)</f>
        <v>3.2857142857142856</v>
      </c>
      <c r="J52" s="49">
        <f>AVERAGE('19.08 Sironko-Mbale'!J52,'20.08 Sironko-Mbale'!J52,'21.08 Sironko-Mbale'!J52,'23.08 Sironko-Mbale'!J52,'24.08 Sironko-Mbale-24h'!J52,'22.08 Sironko-Mbale-24h'!J52,'25.08 Sironko-Mbale'!J52)</f>
        <v>0.2857142857142857</v>
      </c>
      <c r="K52" s="49">
        <f>AVERAGE('19.08 Sironko-Mbale'!K52,'20.08 Sironko-Mbale'!K52,'21.08 Sironko-Mbale'!K52,'23.08 Sironko-Mbale'!K52,'24.08 Sironko-Mbale-24h'!K52,'22.08 Sironko-Mbale-24h'!K52,'25.08 Sironko-Mbale'!K52)</f>
        <v>0.14285714285714285</v>
      </c>
      <c r="L52" s="49">
        <f>AVERAGE('19.08 Sironko-Mbale'!L52,'20.08 Sironko-Mbale'!L52,'21.08 Sironko-Mbale'!L52,'23.08 Sironko-Mbale'!L52,'24.08 Sironko-Mbale-24h'!L52,'22.08 Sironko-Mbale-24h'!L52,'25.08 Sironko-Mbale'!L52)</f>
        <v>0</v>
      </c>
      <c r="M52" s="49">
        <f>AVERAGE('19.08 Sironko-Mbale'!M52,'20.08 Sironko-Mbale'!M52,'21.08 Sironko-Mbale'!M52,'23.08 Sironko-Mbale'!M52,'24.08 Sironko-Mbale-24h'!M52,'22.08 Sironko-Mbale-24h'!M52,'25.08 Sironko-Mbale'!M52)</f>
        <v>40</v>
      </c>
      <c r="N52" s="49">
        <f>AVERAGE('19.08 Sironko-Mbale'!N52,'20.08 Sironko-Mbale'!N52,'21.08 Sironko-Mbale'!N52,'23.08 Sironko-Mbale'!N52,'24.08 Sironko-Mbale-24h'!N52,'22.08 Sironko-Mbale-24h'!N52,'25.08 Sironko-Mbale'!N52)</f>
        <v>0</v>
      </c>
      <c r="O52" s="15">
        <f t="shared" si="0"/>
        <v>25.999999999999996</v>
      </c>
      <c r="P52" s="15">
        <f t="shared" si="1"/>
        <v>66</v>
      </c>
      <c r="R52" s="8"/>
      <c r="T52"/>
    </row>
    <row r="53" spans="2:20" ht="23.1" customHeight="1" x14ac:dyDescent="0.25">
      <c r="B53" s="23" t="s">
        <v>80</v>
      </c>
      <c r="C53" s="49">
        <f>AVERAGE('19.08 Sironko-Mbale'!C53,'20.08 Sironko-Mbale'!C53,'21.08 Sironko-Mbale'!C53,'23.08 Sironko-Mbale'!C53,'24.08 Sironko-Mbale-24h'!C53,'22.08 Sironko-Mbale-24h'!C53,'25.08 Sironko-Mbale'!C53)</f>
        <v>4.7142857142857144</v>
      </c>
      <c r="D53" s="49">
        <f>AVERAGE('19.08 Sironko-Mbale'!D53,'20.08 Sironko-Mbale'!D53,'21.08 Sironko-Mbale'!D53,'23.08 Sironko-Mbale'!D53,'24.08 Sironko-Mbale-24h'!D53,'22.08 Sironko-Mbale-24h'!D53,'25.08 Sironko-Mbale'!D53)</f>
        <v>2.2857142857142856</v>
      </c>
      <c r="E53" s="49">
        <f>AVERAGE('19.08 Sironko-Mbale'!E53,'20.08 Sironko-Mbale'!E53,'21.08 Sironko-Mbale'!E53,'23.08 Sironko-Mbale'!E53,'24.08 Sironko-Mbale-24h'!E53,'22.08 Sironko-Mbale-24h'!E53,'25.08 Sironko-Mbale'!E53)</f>
        <v>8.8571428571428577</v>
      </c>
      <c r="F53" s="49">
        <f>AVERAGE('19.08 Sironko-Mbale'!F53,'20.08 Sironko-Mbale'!F53,'21.08 Sironko-Mbale'!F53,'23.08 Sironko-Mbale'!F53,'24.08 Sironko-Mbale-24h'!F53,'22.08 Sironko-Mbale-24h'!F53,'25.08 Sironko-Mbale'!F53)</f>
        <v>3.5714285714285716</v>
      </c>
      <c r="G53" s="49">
        <f>AVERAGE('19.08 Sironko-Mbale'!G53,'20.08 Sironko-Mbale'!G53,'21.08 Sironko-Mbale'!G53,'23.08 Sironko-Mbale'!G53,'24.08 Sironko-Mbale-24h'!G53,'22.08 Sironko-Mbale-24h'!G53,'25.08 Sironko-Mbale'!G53)</f>
        <v>1.5714285714285714</v>
      </c>
      <c r="H53" s="49">
        <f>AVERAGE('19.08 Sironko-Mbale'!H53,'20.08 Sironko-Mbale'!H53,'21.08 Sironko-Mbale'!H53,'23.08 Sironko-Mbale'!H53,'24.08 Sironko-Mbale-24h'!H53,'22.08 Sironko-Mbale-24h'!H53,'25.08 Sironko-Mbale'!H53)</f>
        <v>0.14285714285714285</v>
      </c>
      <c r="I53" s="49">
        <f>AVERAGE('19.08 Sironko-Mbale'!I53,'20.08 Sironko-Mbale'!I53,'21.08 Sironko-Mbale'!I53,'23.08 Sironko-Mbale'!I53,'24.08 Sironko-Mbale-24h'!I53,'22.08 Sironko-Mbale-24h'!I53,'25.08 Sironko-Mbale'!I53)</f>
        <v>3.8571428571428572</v>
      </c>
      <c r="J53" s="49">
        <f>AVERAGE('19.08 Sironko-Mbale'!J53,'20.08 Sironko-Mbale'!J53,'21.08 Sironko-Mbale'!J53,'23.08 Sironko-Mbale'!J53,'24.08 Sironko-Mbale-24h'!J53,'22.08 Sironko-Mbale-24h'!J53,'25.08 Sironko-Mbale'!J53)</f>
        <v>0.2857142857142857</v>
      </c>
      <c r="K53" s="49">
        <f>AVERAGE('19.08 Sironko-Mbale'!K53,'20.08 Sironko-Mbale'!K53,'21.08 Sironko-Mbale'!K53,'23.08 Sironko-Mbale'!K53,'24.08 Sironko-Mbale-24h'!K53,'22.08 Sironko-Mbale-24h'!K53,'25.08 Sironko-Mbale'!K53)</f>
        <v>0</v>
      </c>
      <c r="L53" s="49">
        <f>AVERAGE('19.08 Sironko-Mbale'!L53,'20.08 Sironko-Mbale'!L53,'21.08 Sironko-Mbale'!L53,'23.08 Sironko-Mbale'!L53,'24.08 Sironko-Mbale-24h'!L53,'22.08 Sironko-Mbale-24h'!L53,'25.08 Sironko-Mbale'!L53)</f>
        <v>0</v>
      </c>
      <c r="M53" s="49">
        <f>AVERAGE('19.08 Sironko-Mbale'!M53,'20.08 Sironko-Mbale'!M53,'21.08 Sironko-Mbale'!M53,'23.08 Sironko-Mbale'!M53,'24.08 Sironko-Mbale-24h'!M53,'22.08 Sironko-Mbale-24h'!M53,'25.08 Sironko-Mbale'!M53)</f>
        <v>35.285714285714285</v>
      </c>
      <c r="N53" s="49">
        <f>AVERAGE('19.08 Sironko-Mbale'!N53,'20.08 Sironko-Mbale'!N53,'21.08 Sironko-Mbale'!N53,'23.08 Sironko-Mbale'!N53,'24.08 Sironko-Mbale-24h'!N53,'22.08 Sironko-Mbale-24h'!N53,'25.08 Sironko-Mbale'!N53)</f>
        <v>0</v>
      </c>
      <c r="O53" s="15">
        <f t="shared" si="0"/>
        <v>25.285714285714288</v>
      </c>
      <c r="P53" s="15">
        <f t="shared" si="1"/>
        <v>60.571428571428569</v>
      </c>
      <c r="R53" s="8"/>
      <c r="T53"/>
    </row>
    <row r="54" spans="2:20" ht="23.1" customHeight="1" x14ac:dyDescent="0.25">
      <c r="B54" s="23" t="s">
        <v>81</v>
      </c>
      <c r="C54" s="49">
        <f>AVERAGE('19.08 Sironko-Mbale'!C54,'20.08 Sironko-Mbale'!C54,'21.08 Sironko-Mbale'!C54,'23.08 Sironko-Mbale'!C54,'24.08 Sironko-Mbale-24h'!C54,'22.08 Sironko-Mbale-24h'!C54,'25.08 Sironko-Mbale'!C54)</f>
        <v>4.5714285714285712</v>
      </c>
      <c r="D54" s="49">
        <f>AVERAGE('19.08 Sironko-Mbale'!D54,'20.08 Sironko-Mbale'!D54,'21.08 Sironko-Mbale'!D54,'23.08 Sironko-Mbale'!D54,'24.08 Sironko-Mbale-24h'!D54,'22.08 Sironko-Mbale-24h'!D54,'25.08 Sironko-Mbale'!D54)</f>
        <v>1.8571428571428572</v>
      </c>
      <c r="E54" s="49">
        <f>AVERAGE('19.08 Sironko-Mbale'!E54,'20.08 Sironko-Mbale'!E54,'21.08 Sironko-Mbale'!E54,'23.08 Sironko-Mbale'!E54,'24.08 Sironko-Mbale-24h'!E54,'22.08 Sironko-Mbale-24h'!E54,'25.08 Sironko-Mbale'!E54)</f>
        <v>7.5714285714285712</v>
      </c>
      <c r="F54" s="49">
        <f>AVERAGE('19.08 Sironko-Mbale'!F54,'20.08 Sironko-Mbale'!F54,'21.08 Sironko-Mbale'!F54,'23.08 Sironko-Mbale'!F54,'24.08 Sironko-Mbale-24h'!F54,'22.08 Sironko-Mbale-24h'!F54,'25.08 Sironko-Mbale'!F54)</f>
        <v>4.7142857142857144</v>
      </c>
      <c r="G54" s="49">
        <f>AVERAGE('19.08 Sironko-Mbale'!G54,'20.08 Sironko-Mbale'!G54,'21.08 Sironko-Mbale'!G54,'23.08 Sironko-Mbale'!G54,'24.08 Sironko-Mbale-24h'!G54,'22.08 Sironko-Mbale-24h'!G54,'25.08 Sironko-Mbale'!G54)</f>
        <v>0.14285714285714285</v>
      </c>
      <c r="H54" s="49">
        <f>AVERAGE('19.08 Sironko-Mbale'!H54,'20.08 Sironko-Mbale'!H54,'21.08 Sironko-Mbale'!H54,'23.08 Sironko-Mbale'!H54,'24.08 Sironko-Mbale-24h'!H54,'22.08 Sironko-Mbale-24h'!H54,'25.08 Sironko-Mbale'!H54)</f>
        <v>0</v>
      </c>
      <c r="I54" s="49">
        <f>AVERAGE('19.08 Sironko-Mbale'!I54,'20.08 Sironko-Mbale'!I54,'21.08 Sironko-Mbale'!I54,'23.08 Sironko-Mbale'!I54,'24.08 Sironko-Mbale-24h'!I54,'22.08 Sironko-Mbale-24h'!I54,'25.08 Sironko-Mbale'!I54)</f>
        <v>3.5714285714285716</v>
      </c>
      <c r="J54" s="49">
        <f>AVERAGE('19.08 Sironko-Mbale'!J54,'20.08 Sironko-Mbale'!J54,'21.08 Sironko-Mbale'!J54,'23.08 Sironko-Mbale'!J54,'24.08 Sironko-Mbale-24h'!J54,'22.08 Sironko-Mbale-24h'!J54,'25.08 Sironko-Mbale'!J54)</f>
        <v>0.7142857142857143</v>
      </c>
      <c r="K54" s="49">
        <f>AVERAGE('19.08 Sironko-Mbale'!K54,'20.08 Sironko-Mbale'!K54,'21.08 Sironko-Mbale'!K54,'23.08 Sironko-Mbale'!K54,'24.08 Sironko-Mbale-24h'!K54,'22.08 Sironko-Mbale-24h'!K54,'25.08 Sironko-Mbale'!K54)</f>
        <v>0</v>
      </c>
      <c r="L54" s="49">
        <f>AVERAGE('19.08 Sironko-Mbale'!L54,'20.08 Sironko-Mbale'!L54,'21.08 Sironko-Mbale'!L54,'23.08 Sironko-Mbale'!L54,'24.08 Sironko-Mbale-24h'!L54,'22.08 Sironko-Mbale-24h'!L54,'25.08 Sironko-Mbale'!L54)</f>
        <v>0</v>
      </c>
      <c r="M54" s="49">
        <f>AVERAGE('19.08 Sironko-Mbale'!M54,'20.08 Sironko-Mbale'!M54,'21.08 Sironko-Mbale'!M54,'23.08 Sironko-Mbale'!M54,'24.08 Sironko-Mbale-24h'!M54,'22.08 Sironko-Mbale-24h'!M54,'25.08 Sironko-Mbale'!M54)</f>
        <v>31.428571428571427</v>
      </c>
      <c r="N54" s="49">
        <f>AVERAGE('19.08 Sironko-Mbale'!N54,'20.08 Sironko-Mbale'!N54,'21.08 Sironko-Mbale'!N54,'23.08 Sironko-Mbale'!N54,'24.08 Sironko-Mbale-24h'!N54,'22.08 Sironko-Mbale-24h'!N54,'25.08 Sironko-Mbale'!N54)</f>
        <v>0</v>
      </c>
      <c r="O54" s="15">
        <f t="shared" si="0"/>
        <v>23.142857142857146</v>
      </c>
      <c r="P54" s="15">
        <f t="shared" si="1"/>
        <v>54.571428571428569</v>
      </c>
      <c r="R54" s="8"/>
      <c r="T54"/>
    </row>
    <row r="55" spans="2:20" ht="23.1" customHeight="1" x14ac:dyDescent="0.25">
      <c r="B55" s="23" t="s">
        <v>82</v>
      </c>
      <c r="C55" s="49">
        <f>AVERAGE('19.08 Sironko-Mbale'!C55,'20.08 Sironko-Mbale'!C55,'21.08 Sironko-Mbale'!C55,'23.08 Sironko-Mbale'!C55,'24.08 Sironko-Mbale-24h'!C55,'22.08 Sironko-Mbale-24h'!C55,'25.08 Sironko-Mbale'!C55)</f>
        <v>5.5714285714285712</v>
      </c>
      <c r="D55" s="49">
        <f>AVERAGE('19.08 Sironko-Mbale'!D55,'20.08 Sironko-Mbale'!D55,'21.08 Sironko-Mbale'!D55,'23.08 Sironko-Mbale'!D55,'24.08 Sironko-Mbale-24h'!D55,'22.08 Sironko-Mbale-24h'!D55,'25.08 Sironko-Mbale'!D55)</f>
        <v>1.7142857142857142</v>
      </c>
      <c r="E55" s="49">
        <f>AVERAGE('19.08 Sironko-Mbale'!E55,'20.08 Sironko-Mbale'!E55,'21.08 Sironko-Mbale'!E55,'23.08 Sironko-Mbale'!E55,'24.08 Sironko-Mbale-24h'!E55,'22.08 Sironko-Mbale-24h'!E55,'25.08 Sironko-Mbale'!E55)</f>
        <v>8</v>
      </c>
      <c r="F55" s="49">
        <f>AVERAGE('19.08 Sironko-Mbale'!F55,'20.08 Sironko-Mbale'!F55,'21.08 Sironko-Mbale'!F55,'23.08 Sironko-Mbale'!F55,'24.08 Sironko-Mbale-24h'!F55,'22.08 Sironko-Mbale-24h'!F55,'25.08 Sironko-Mbale'!F55)</f>
        <v>4.8571428571428568</v>
      </c>
      <c r="G55" s="49">
        <f>AVERAGE('19.08 Sironko-Mbale'!G55,'20.08 Sironko-Mbale'!G55,'21.08 Sironko-Mbale'!G55,'23.08 Sironko-Mbale'!G55,'24.08 Sironko-Mbale-24h'!G55,'22.08 Sironko-Mbale-24h'!G55,'25.08 Sironko-Mbale'!G55)</f>
        <v>0</v>
      </c>
      <c r="H55" s="49">
        <f>AVERAGE('19.08 Sironko-Mbale'!H55,'20.08 Sironko-Mbale'!H55,'21.08 Sironko-Mbale'!H55,'23.08 Sironko-Mbale'!H55,'24.08 Sironko-Mbale-24h'!H55,'22.08 Sironko-Mbale-24h'!H55,'25.08 Sironko-Mbale'!H55)</f>
        <v>0</v>
      </c>
      <c r="I55" s="49">
        <f>AVERAGE('19.08 Sironko-Mbale'!I55,'20.08 Sironko-Mbale'!I55,'21.08 Sironko-Mbale'!I55,'23.08 Sironko-Mbale'!I55,'24.08 Sironko-Mbale-24h'!I55,'22.08 Sironko-Mbale-24h'!I55,'25.08 Sironko-Mbale'!I55)</f>
        <v>3.2857142857142856</v>
      </c>
      <c r="J55" s="49">
        <f>AVERAGE('19.08 Sironko-Mbale'!J55,'20.08 Sironko-Mbale'!J55,'21.08 Sironko-Mbale'!J55,'23.08 Sironko-Mbale'!J55,'24.08 Sironko-Mbale-24h'!J55,'22.08 Sironko-Mbale-24h'!J55,'25.08 Sironko-Mbale'!J55)</f>
        <v>0.2857142857142857</v>
      </c>
      <c r="K55" s="49">
        <f>AVERAGE('19.08 Sironko-Mbale'!K55,'20.08 Sironko-Mbale'!K55,'21.08 Sironko-Mbale'!K55,'23.08 Sironko-Mbale'!K55,'24.08 Sironko-Mbale-24h'!K55,'22.08 Sironko-Mbale-24h'!K55,'25.08 Sironko-Mbale'!K55)</f>
        <v>0</v>
      </c>
      <c r="L55" s="49">
        <f>AVERAGE('19.08 Sironko-Mbale'!L55,'20.08 Sironko-Mbale'!L55,'21.08 Sironko-Mbale'!L55,'23.08 Sironko-Mbale'!L55,'24.08 Sironko-Mbale-24h'!L55,'22.08 Sironko-Mbale-24h'!L55,'25.08 Sironko-Mbale'!L55)</f>
        <v>0</v>
      </c>
      <c r="M55" s="49">
        <f>AVERAGE('19.08 Sironko-Mbale'!M55,'20.08 Sironko-Mbale'!M55,'21.08 Sironko-Mbale'!M55,'23.08 Sironko-Mbale'!M55,'24.08 Sironko-Mbale-24h'!M55,'22.08 Sironko-Mbale-24h'!M55,'25.08 Sironko-Mbale'!M55)</f>
        <v>31.857142857142858</v>
      </c>
      <c r="N55" s="49">
        <f>AVERAGE('19.08 Sironko-Mbale'!N55,'20.08 Sironko-Mbale'!N55,'21.08 Sironko-Mbale'!N55,'23.08 Sironko-Mbale'!N55,'24.08 Sironko-Mbale-24h'!N55,'22.08 Sironko-Mbale-24h'!N55,'25.08 Sironko-Mbale'!N55)</f>
        <v>0</v>
      </c>
      <c r="O55" s="15">
        <f t="shared" si="0"/>
        <v>23.714285714285712</v>
      </c>
      <c r="P55" s="15">
        <f t="shared" si="1"/>
        <v>55.571428571428569</v>
      </c>
      <c r="R55" s="8"/>
      <c r="T55"/>
    </row>
    <row r="56" spans="2:20" ht="23.1" customHeight="1" x14ac:dyDescent="0.25">
      <c r="B56" s="23" t="s">
        <v>83</v>
      </c>
      <c r="C56" s="49">
        <f>AVERAGE('19.08 Sironko-Mbale'!C56,'20.08 Sironko-Mbale'!C56,'21.08 Sironko-Mbale'!C56,'23.08 Sironko-Mbale'!C56,'24.08 Sironko-Mbale-24h'!C56,'22.08 Sironko-Mbale-24h'!C56,'25.08 Sironko-Mbale'!C56)</f>
        <v>4.8571428571428568</v>
      </c>
      <c r="D56" s="49">
        <f>AVERAGE('19.08 Sironko-Mbale'!D56,'20.08 Sironko-Mbale'!D56,'21.08 Sironko-Mbale'!D56,'23.08 Sironko-Mbale'!D56,'24.08 Sironko-Mbale-24h'!D56,'22.08 Sironko-Mbale-24h'!D56,'25.08 Sironko-Mbale'!D56)</f>
        <v>1.4285714285714286</v>
      </c>
      <c r="E56" s="49">
        <f>AVERAGE('19.08 Sironko-Mbale'!E56,'20.08 Sironko-Mbale'!E56,'21.08 Sironko-Mbale'!E56,'23.08 Sironko-Mbale'!E56,'24.08 Sironko-Mbale-24h'!E56,'22.08 Sironko-Mbale-24h'!E56,'25.08 Sironko-Mbale'!E56)</f>
        <v>6.4285714285714288</v>
      </c>
      <c r="F56" s="49">
        <f>AVERAGE('19.08 Sironko-Mbale'!F56,'20.08 Sironko-Mbale'!F56,'21.08 Sironko-Mbale'!F56,'23.08 Sironko-Mbale'!F56,'24.08 Sironko-Mbale-24h'!F56,'22.08 Sironko-Mbale-24h'!F56,'25.08 Sironko-Mbale'!F56)</f>
        <v>3.4285714285714284</v>
      </c>
      <c r="G56" s="49">
        <f>AVERAGE('19.08 Sironko-Mbale'!G56,'20.08 Sironko-Mbale'!G56,'21.08 Sironko-Mbale'!G56,'23.08 Sironko-Mbale'!G56,'24.08 Sironko-Mbale-24h'!G56,'22.08 Sironko-Mbale-24h'!G56,'25.08 Sironko-Mbale'!G56)</f>
        <v>0</v>
      </c>
      <c r="H56" s="49">
        <f>AVERAGE('19.08 Sironko-Mbale'!H56,'20.08 Sironko-Mbale'!H56,'21.08 Sironko-Mbale'!H56,'23.08 Sironko-Mbale'!H56,'24.08 Sironko-Mbale-24h'!H56,'22.08 Sironko-Mbale-24h'!H56,'25.08 Sironko-Mbale'!H56)</f>
        <v>0</v>
      </c>
      <c r="I56" s="49">
        <f>AVERAGE('19.08 Sironko-Mbale'!I56,'20.08 Sironko-Mbale'!I56,'21.08 Sironko-Mbale'!I56,'23.08 Sironko-Mbale'!I56,'24.08 Sironko-Mbale-24h'!I56,'22.08 Sironko-Mbale-24h'!I56,'25.08 Sironko-Mbale'!I56)</f>
        <v>3.1428571428571428</v>
      </c>
      <c r="J56" s="49">
        <f>AVERAGE('19.08 Sironko-Mbale'!J56,'20.08 Sironko-Mbale'!J56,'21.08 Sironko-Mbale'!J56,'23.08 Sironko-Mbale'!J56,'24.08 Sironko-Mbale-24h'!J56,'22.08 Sironko-Mbale-24h'!J56,'25.08 Sironko-Mbale'!J56)</f>
        <v>0</v>
      </c>
      <c r="K56" s="49">
        <f>AVERAGE('19.08 Sironko-Mbale'!K56,'20.08 Sironko-Mbale'!K56,'21.08 Sironko-Mbale'!K56,'23.08 Sironko-Mbale'!K56,'24.08 Sironko-Mbale-24h'!K56,'22.08 Sironko-Mbale-24h'!K56,'25.08 Sironko-Mbale'!K56)</f>
        <v>0</v>
      </c>
      <c r="L56" s="49">
        <f>AVERAGE('19.08 Sironko-Mbale'!L56,'20.08 Sironko-Mbale'!L56,'21.08 Sironko-Mbale'!L56,'23.08 Sironko-Mbale'!L56,'24.08 Sironko-Mbale-24h'!L56,'22.08 Sironko-Mbale-24h'!L56,'25.08 Sironko-Mbale'!L56)</f>
        <v>0</v>
      </c>
      <c r="M56" s="49">
        <f>AVERAGE('19.08 Sironko-Mbale'!M56,'20.08 Sironko-Mbale'!M56,'21.08 Sironko-Mbale'!M56,'23.08 Sironko-Mbale'!M56,'24.08 Sironko-Mbale-24h'!M56,'22.08 Sironko-Mbale-24h'!M56,'25.08 Sironko-Mbale'!M56)</f>
        <v>28.714285714285715</v>
      </c>
      <c r="N56" s="49">
        <f>AVERAGE('19.08 Sironko-Mbale'!N56,'20.08 Sironko-Mbale'!N56,'21.08 Sironko-Mbale'!N56,'23.08 Sironko-Mbale'!N56,'24.08 Sironko-Mbale-24h'!N56,'22.08 Sironko-Mbale-24h'!N56,'25.08 Sironko-Mbale'!N56)</f>
        <v>0</v>
      </c>
      <c r="O56" s="15">
        <f t="shared" si="0"/>
        <v>19.285714285714285</v>
      </c>
      <c r="P56" s="15">
        <f t="shared" si="1"/>
        <v>48</v>
      </c>
      <c r="R56" s="8"/>
      <c r="T56"/>
    </row>
    <row r="57" spans="2:20" ht="23.1" customHeight="1" x14ac:dyDescent="0.25">
      <c r="B57" s="23" t="s">
        <v>84</v>
      </c>
      <c r="C57" s="49">
        <f>AVERAGE('19.08 Sironko-Mbale'!C57,'20.08 Sironko-Mbale'!C57,'21.08 Sironko-Mbale'!C57,'23.08 Sironko-Mbale'!C57,'24.08 Sironko-Mbale-24h'!C57,'22.08 Sironko-Mbale-24h'!C57,'25.08 Sironko-Mbale'!C57)</f>
        <v>4.1428571428571432</v>
      </c>
      <c r="D57" s="49">
        <f>AVERAGE('19.08 Sironko-Mbale'!D57,'20.08 Sironko-Mbale'!D57,'21.08 Sironko-Mbale'!D57,'23.08 Sironko-Mbale'!D57,'24.08 Sironko-Mbale-24h'!D57,'22.08 Sironko-Mbale-24h'!D57,'25.08 Sironko-Mbale'!D57)</f>
        <v>1</v>
      </c>
      <c r="E57" s="49">
        <f>AVERAGE('19.08 Sironko-Mbale'!E57,'20.08 Sironko-Mbale'!E57,'21.08 Sironko-Mbale'!E57,'23.08 Sironko-Mbale'!E57,'24.08 Sironko-Mbale-24h'!E57,'22.08 Sironko-Mbale-24h'!E57,'25.08 Sironko-Mbale'!E57)</f>
        <v>4.5714285714285712</v>
      </c>
      <c r="F57" s="49">
        <f>AVERAGE('19.08 Sironko-Mbale'!F57,'20.08 Sironko-Mbale'!F57,'21.08 Sironko-Mbale'!F57,'23.08 Sironko-Mbale'!F57,'24.08 Sironko-Mbale-24h'!F57,'22.08 Sironko-Mbale-24h'!F57,'25.08 Sironko-Mbale'!F57)</f>
        <v>3</v>
      </c>
      <c r="G57" s="49">
        <f>AVERAGE('19.08 Sironko-Mbale'!G57,'20.08 Sironko-Mbale'!G57,'21.08 Sironko-Mbale'!G57,'23.08 Sironko-Mbale'!G57,'24.08 Sironko-Mbale-24h'!G57,'22.08 Sironko-Mbale-24h'!G57,'25.08 Sironko-Mbale'!G57)</f>
        <v>0</v>
      </c>
      <c r="H57" s="49">
        <f>AVERAGE('19.08 Sironko-Mbale'!H57,'20.08 Sironko-Mbale'!H57,'21.08 Sironko-Mbale'!H57,'23.08 Sironko-Mbale'!H57,'24.08 Sironko-Mbale-24h'!H57,'22.08 Sironko-Mbale-24h'!H57,'25.08 Sironko-Mbale'!H57)</f>
        <v>0</v>
      </c>
      <c r="I57" s="49">
        <f>AVERAGE('19.08 Sironko-Mbale'!I57,'20.08 Sironko-Mbale'!I57,'21.08 Sironko-Mbale'!I57,'23.08 Sironko-Mbale'!I57,'24.08 Sironko-Mbale-24h'!I57,'22.08 Sironko-Mbale-24h'!I57,'25.08 Sironko-Mbale'!I57)</f>
        <v>2.7142857142857144</v>
      </c>
      <c r="J57" s="49">
        <f>AVERAGE('19.08 Sironko-Mbale'!J57,'20.08 Sironko-Mbale'!J57,'21.08 Sironko-Mbale'!J57,'23.08 Sironko-Mbale'!J57,'24.08 Sironko-Mbale-24h'!J57,'22.08 Sironko-Mbale-24h'!J57,'25.08 Sironko-Mbale'!J57)</f>
        <v>0.14285714285714285</v>
      </c>
      <c r="K57" s="49">
        <f>AVERAGE('19.08 Sironko-Mbale'!K57,'20.08 Sironko-Mbale'!K57,'21.08 Sironko-Mbale'!K57,'23.08 Sironko-Mbale'!K57,'24.08 Sironko-Mbale-24h'!K57,'22.08 Sironko-Mbale-24h'!K57,'25.08 Sironko-Mbale'!K57)</f>
        <v>0</v>
      </c>
      <c r="L57" s="49">
        <f>AVERAGE('19.08 Sironko-Mbale'!L57,'20.08 Sironko-Mbale'!L57,'21.08 Sironko-Mbale'!L57,'23.08 Sironko-Mbale'!L57,'24.08 Sironko-Mbale-24h'!L57,'22.08 Sironko-Mbale-24h'!L57,'25.08 Sironko-Mbale'!L57)</f>
        <v>0</v>
      </c>
      <c r="M57" s="49">
        <f>AVERAGE('19.08 Sironko-Mbale'!M57,'20.08 Sironko-Mbale'!M57,'21.08 Sironko-Mbale'!M57,'23.08 Sironko-Mbale'!M57,'24.08 Sironko-Mbale-24h'!M57,'22.08 Sironko-Mbale-24h'!M57,'25.08 Sironko-Mbale'!M57)</f>
        <v>24.714285714285715</v>
      </c>
      <c r="N57" s="49">
        <f>AVERAGE('19.08 Sironko-Mbale'!N57,'20.08 Sironko-Mbale'!N57,'21.08 Sironko-Mbale'!N57,'23.08 Sironko-Mbale'!N57,'24.08 Sironko-Mbale-24h'!N57,'22.08 Sironko-Mbale-24h'!N57,'25.08 Sironko-Mbale'!N57)</f>
        <v>0</v>
      </c>
      <c r="O57" s="15">
        <f t="shared" si="0"/>
        <v>15.571428571428573</v>
      </c>
      <c r="P57" s="15">
        <f t="shared" si="1"/>
        <v>40.285714285714292</v>
      </c>
      <c r="R57" s="8"/>
      <c r="T57"/>
    </row>
    <row r="58" spans="2:20" ht="23.1" customHeight="1" x14ac:dyDescent="0.25">
      <c r="B58" s="23" t="s">
        <v>99</v>
      </c>
      <c r="C58" s="49">
        <f>AVERAGE('22.08 Sironko-Mbale-24h'!C58,'24.08 Sironko-Mbale-24h'!C58)</f>
        <v>3</v>
      </c>
      <c r="D58" s="49">
        <f>AVERAGE('22.08 Sironko-Mbale-24h'!D58,'24.08 Sironko-Mbale-24h'!D58)</f>
        <v>1.5</v>
      </c>
      <c r="E58" s="49">
        <f>AVERAGE('22.08 Sironko-Mbale-24h'!E58,'24.08 Sironko-Mbale-24h'!E58)</f>
        <v>6</v>
      </c>
      <c r="F58" s="49">
        <f>AVERAGE('22.08 Sironko-Mbale-24h'!F58,'24.08 Sironko-Mbale-24h'!F58)</f>
        <v>3</v>
      </c>
      <c r="G58" s="49">
        <f>AVERAGE('22.08 Sironko-Mbale-24h'!G58,'24.08 Sironko-Mbale-24h'!G58)</f>
        <v>0</v>
      </c>
      <c r="H58" s="49">
        <f>AVERAGE('22.08 Sironko-Mbale-24h'!H58,'24.08 Sironko-Mbale-24h'!H58)</f>
        <v>0</v>
      </c>
      <c r="I58" s="49">
        <f>AVERAGE('22.08 Sironko-Mbale-24h'!I58,'24.08 Sironko-Mbale-24h'!I58)</f>
        <v>3.5</v>
      </c>
      <c r="J58" s="49">
        <f>AVERAGE('22.08 Sironko-Mbale-24h'!J58,'24.08 Sironko-Mbale-24h'!J58)</f>
        <v>0</v>
      </c>
      <c r="K58" s="49">
        <f>AVERAGE('22.08 Sironko-Mbale-24h'!K58,'24.08 Sironko-Mbale-24h'!K58)</f>
        <v>0</v>
      </c>
      <c r="L58" s="49">
        <f>AVERAGE('22.08 Sironko-Mbale-24h'!L58,'24.08 Sironko-Mbale-24h'!L58)</f>
        <v>0</v>
      </c>
      <c r="M58" s="49">
        <f>AVERAGE('22.08 Sironko-Mbale-24h'!M58,'24.08 Sironko-Mbale-24h'!M58)</f>
        <v>24.5</v>
      </c>
      <c r="N58" s="49">
        <f>AVERAGE('22.08 Sironko-Mbale-24h'!N58,'24.08 Sironko-Mbale-24h'!N58)</f>
        <v>0</v>
      </c>
      <c r="O58" s="15">
        <f t="shared" si="0"/>
        <v>17</v>
      </c>
      <c r="P58" s="15">
        <f t="shared" si="1"/>
        <v>41.5</v>
      </c>
      <c r="R58" s="8"/>
      <c r="T58"/>
    </row>
    <row r="59" spans="2:20" ht="23.1" customHeight="1" x14ac:dyDescent="0.25">
      <c r="B59" s="23" t="s">
        <v>100</v>
      </c>
      <c r="C59" s="49">
        <f>AVERAGE('22.08 Sironko-Mbale-24h'!C59,'24.08 Sironko-Mbale-24h'!C59)</f>
        <v>4</v>
      </c>
      <c r="D59" s="49">
        <f>AVERAGE('22.08 Sironko-Mbale-24h'!D59,'24.08 Sironko-Mbale-24h'!D59)</f>
        <v>2</v>
      </c>
      <c r="E59" s="49">
        <f>AVERAGE('22.08 Sironko-Mbale-24h'!E59,'24.08 Sironko-Mbale-24h'!E59)</f>
        <v>7.5</v>
      </c>
      <c r="F59" s="49">
        <f>AVERAGE('22.08 Sironko-Mbale-24h'!F59,'24.08 Sironko-Mbale-24h'!F59)</f>
        <v>4</v>
      </c>
      <c r="G59" s="49">
        <f>AVERAGE('22.08 Sironko-Mbale-24h'!G59,'24.08 Sironko-Mbale-24h'!G59)</f>
        <v>0</v>
      </c>
      <c r="H59" s="49">
        <f>AVERAGE('22.08 Sironko-Mbale-24h'!H59,'24.08 Sironko-Mbale-24h'!H59)</f>
        <v>0</v>
      </c>
      <c r="I59" s="49">
        <f>AVERAGE('22.08 Sironko-Mbale-24h'!I59,'24.08 Sironko-Mbale-24h'!I59)</f>
        <v>4</v>
      </c>
      <c r="J59" s="49">
        <f>AVERAGE('22.08 Sironko-Mbale-24h'!J59,'24.08 Sironko-Mbale-24h'!J59)</f>
        <v>0</v>
      </c>
      <c r="K59" s="49">
        <f>AVERAGE('22.08 Sironko-Mbale-24h'!K59,'24.08 Sironko-Mbale-24h'!K59)</f>
        <v>0</v>
      </c>
      <c r="L59" s="49">
        <f>AVERAGE('22.08 Sironko-Mbale-24h'!L59,'24.08 Sironko-Mbale-24h'!L59)</f>
        <v>0</v>
      </c>
      <c r="M59" s="49">
        <f>AVERAGE('22.08 Sironko-Mbale-24h'!M59,'24.08 Sironko-Mbale-24h'!M59)</f>
        <v>35.5</v>
      </c>
      <c r="N59" s="49">
        <f>AVERAGE('22.08 Sironko-Mbale-24h'!N59,'24.08 Sironko-Mbale-24h'!N59)</f>
        <v>0</v>
      </c>
      <c r="O59" s="15">
        <f t="shared" si="0"/>
        <v>21.5</v>
      </c>
      <c r="P59" s="15">
        <f t="shared" si="1"/>
        <v>57</v>
      </c>
      <c r="R59" s="8"/>
      <c r="T59"/>
    </row>
    <row r="60" spans="2:20" ht="23.1" customHeight="1" x14ac:dyDescent="0.25">
      <c r="B60" s="23" t="s">
        <v>101</v>
      </c>
      <c r="C60" s="49">
        <f>AVERAGE('22.08 Sironko-Mbale-24h'!C60,'24.08 Sironko-Mbale-24h'!C60)</f>
        <v>1</v>
      </c>
      <c r="D60" s="49">
        <f>AVERAGE('22.08 Sironko-Mbale-24h'!D60,'24.08 Sironko-Mbale-24h'!D60)</f>
        <v>0.5</v>
      </c>
      <c r="E60" s="49">
        <f>AVERAGE('22.08 Sironko-Mbale-24h'!E60,'24.08 Sironko-Mbale-24h'!E60)</f>
        <v>4.5</v>
      </c>
      <c r="F60" s="49">
        <f>AVERAGE('22.08 Sironko-Mbale-24h'!F60,'24.08 Sironko-Mbale-24h'!F60)</f>
        <v>2.5</v>
      </c>
      <c r="G60" s="49">
        <f>AVERAGE('22.08 Sironko-Mbale-24h'!G60,'24.08 Sironko-Mbale-24h'!G60)</f>
        <v>0</v>
      </c>
      <c r="H60" s="49">
        <f>AVERAGE('22.08 Sironko-Mbale-24h'!H60,'24.08 Sironko-Mbale-24h'!H60)</f>
        <v>0</v>
      </c>
      <c r="I60" s="49">
        <f>AVERAGE('22.08 Sironko-Mbale-24h'!I60,'24.08 Sironko-Mbale-24h'!I60)</f>
        <v>6</v>
      </c>
      <c r="J60" s="49">
        <f>AVERAGE('22.08 Sironko-Mbale-24h'!J60,'24.08 Sironko-Mbale-24h'!J60)</f>
        <v>0.5</v>
      </c>
      <c r="K60" s="49">
        <f>AVERAGE('22.08 Sironko-Mbale-24h'!K60,'24.08 Sironko-Mbale-24h'!K60)</f>
        <v>0.5</v>
      </c>
      <c r="L60" s="49">
        <f>AVERAGE('22.08 Sironko-Mbale-24h'!L60,'24.08 Sironko-Mbale-24h'!L60)</f>
        <v>0</v>
      </c>
      <c r="M60" s="49">
        <f>AVERAGE('22.08 Sironko-Mbale-24h'!M60,'24.08 Sironko-Mbale-24h'!M60)</f>
        <v>31</v>
      </c>
      <c r="N60" s="49">
        <f>AVERAGE('22.08 Sironko-Mbale-24h'!N60,'24.08 Sironko-Mbale-24h'!N60)</f>
        <v>0</v>
      </c>
      <c r="O60" s="15">
        <f t="shared" si="0"/>
        <v>15.5</v>
      </c>
      <c r="P60" s="15">
        <f t="shared" si="1"/>
        <v>46.5</v>
      </c>
      <c r="R60" s="8"/>
      <c r="T60"/>
    </row>
    <row r="61" spans="2:20" ht="23.1" customHeight="1" x14ac:dyDescent="0.25">
      <c r="B61" s="23" t="s">
        <v>102</v>
      </c>
      <c r="C61" s="49">
        <f>AVERAGE('22.08 Sironko-Mbale-24h'!C61,'24.08 Sironko-Mbale-24h'!C61)</f>
        <v>4</v>
      </c>
      <c r="D61" s="49">
        <f>AVERAGE('22.08 Sironko-Mbale-24h'!D61,'24.08 Sironko-Mbale-24h'!D61)</f>
        <v>1.5</v>
      </c>
      <c r="E61" s="49">
        <f>AVERAGE('22.08 Sironko-Mbale-24h'!E61,'24.08 Sironko-Mbale-24h'!E61)</f>
        <v>7</v>
      </c>
      <c r="F61" s="49">
        <f>AVERAGE('22.08 Sironko-Mbale-24h'!F61,'24.08 Sironko-Mbale-24h'!F61)</f>
        <v>5</v>
      </c>
      <c r="G61" s="49">
        <f>AVERAGE('22.08 Sironko-Mbale-24h'!G61,'24.08 Sironko-Mbale-24h'!G61)</f>
        <v>0</v>
      </c>
      <c r="H61" s="49">
        <f>AVERAGE('22.08 Sironko-Mbale-24h'!H61,'24.08 Sironko-Mbale-24h'!H61)</f>
        <v>0</v>
      </c>
      <c r="I61" s="49">
        <f>AVERAGE('22.08 Sironko-Mbale-24h'!I61,'24.08 Sironko-Mbale-24h'!I61)</f>
        <v>4.5</v>
      </c>
      <c r="J61" s="49">
        <f>AVERAGE('22.08 Sironko-Mbale-24h'!J61,'24.08 Sironko-Mbale-24h'!J61)</f>
        <v>0</v>
      </c>
      <c r="K61" s="49">
        <f>AVERAGE('22.08 Sironko-Mbale-24h'!K61,'24.08 Sironko-Mbale-24h'!K61)</f>
        <v>0.5</v>
      </c>
      <c r="L61" s="49">
        <f>AVERAGE('22.08 Sironko-Mbale-24h'!L61,'24.08 Sironko-Mbale-24h'!L61)</f>
        <v>0</v>
      </c>
      <c r="M61" s="49">
        <f>AVERAGE('22.08 Sironko-Mbale-24h'!M61,'24.08 Sironko-Mbale-24h'!M61)</f>
        <v>19.5</v>
      </c>
      <c r="N61" s="49">
        <f>AVERAGE('22.08 Sironko-Mbale-24h'!N61,'24.08 Sironko-Mbale-24h'!N61)</f>
        <v>0</v>
      </c>
      <c r="O61" s="15">
        <f t="shared" si="0"/>
        <v>22.5</v>
      </c>
      <c r="P61" s="15">
        <f t="shared" si="1"/>
        <v>42</v>
      </c>
      <c r="R61" s="8"/>
      <c r="T61"/>
    </row>
    <row r="62" spans="2:20" ht="23.1" customHeight="1" x14ac:dyDescent="0.25">
      <c r="B62" s="23" t="s">
        <v>107</v>
      </c>
      <c r="C62" s="49">
        <f>AVERAGE('22.08 Sironko-Mbale-24h'!C62,'24.08 Sironko-Mbale-24h'!C62)</f>
        <v>5.5</v>
      </c>
      <c r="D62" s="49">
        <f>AVERAGE('22.08 Sironko-Mbale-24h'!D62,'24.08 Sironko-Mbale-24h'!D62)</f>
        <v>3</v>
      </c>
      <c r="E62" s="49">
        <f>AVERAGE('22.08 Sironko-Mbale-24h'!E62,'24.08 Sironko-Mbale-24h'!E62)</f>
        <v>11</v>
      </c>
      <c r="F62" s="49">
        <f>AVERAGE('22.08 Sironko-Mbale-24h'!F62,'24.08 Sironko-Mbale-24h'!F62)</f>
        <v>3.5</v>
      </c>
      <c r="G62" s="49">
        <f>AVERAGE('22.08 Sironko-Mbale-24h'!G62,'24.08 Sironko-Mbale-24h'!G62)</f>
        <v>0</v>
      </c>
      <c r="H62" s="49">
        <f>AVERAGE('22.08 Sironko-Mbale-24h'!H62,'24.08 Sironko-Mbale-24h'!H62)</f>
        <v>0</v>
      </c>
      <c r="I62" s="49">
        <f>AVERAGE('22.08 Sironko-Mbale-24h'!I62,'24.08 Sironko-Mbale-24h'!I62)</f>
        <v>8.5</v>
      </c>
      <c r="J62" s="49">
        <f>AVERAGE('22.08 Sironko-Mbale-24h'!J62,'24.08 Sironko-Mbale-24h'!J62)</f>
        <v>0</v>
      </c>
      <c r="K62" s="49">
        <f>AVERAGE('22.08 Sironko-Mbale-24h'!K62,'24.08 Sironko-Mbale-24h'!K62)</f>
        <v>0</v>
      </c>
      <c r="L62" s="49">
        <f>AVERAGE('22.08 Sironko-Mbale-24h'!L62,'24.08 Sironko-Mbale-24h'!L62)</f>
        <v>0</v>
      </c>
      <c r="M62" s="49">
        <f>AVERAGE('22.08 Sironko-Mbale-24h'!M62,'24.08 Sironko-Mbale-24h'!M62)</f>
        <v>17</v>
      </c>
      <c r="N62" s="49">
        <f>AVERAGE('22.08 Sironko-Mbale-24h'!N62,'24.08 Sironko-Mbale-24h'!N62)</f>
        <v>0</v>
      </c>
      <c r="O62" s="15">
        <f t="shared" si="0"/>
        <v>31.5</v>
      </c>
      <c r="P62" s="15">
        <f t="shared" si="1"/>
        <v>48.5</v>
      </c>
      <c r="R62" s="8"/>
      <c r="T62"/>
    </row>
    <row r="63" spans="2:20" ht="23.1" customHeight="1" x14ac:dyDescent="0.25">
      <c r="B63" s="23" t="s">
        <v>108</v>
      </c>
      <c r="C63" s="49">
        <f>AVERAGE('22.08 Sironko-Mbale-24h'!C63,'24.08 Sironko-Mbale-24h'!C63)</f>
        <v>0</v>
      </c>
      <c r="D63" s="49">
        <f>AVERAGE('22.08 Sironko-Mbale-24h'!D63,'24.08 Sironko-Mbale-24h'!D63)</f>
        <v>1</v>
      </c>
      <c r="E63" s="49">
        <f>AVERAGE('22.08 Sironko-Mbale-24h'!E63,'24.08 Sironko-Mbale-24h'!E63)</f>
        <v>5.5</v>
      </c>
      <c r="F63" s="49">
        <f>AVERAGE('22.08 Sironko-Mbale-24h'!F63,'24.08 Sironko-Mbale-24h'!F63)</f>
        <v>3.5</v>
      </c>
      <c r="G63" s="49">
        <f>AVERAGE('22.08 Sironko-Mbale-24h'!G63,'24.08 Sironko-Mbale-24h'!G63)</f>
        <v>0</v>
      </c>
      <c r="H63" s="49">
        <f>AVERAGE('22.08 Sironko-Mbale-24h'!H63,'24.08 Sironko-Mbale-24h'!H63)</f>
        <v>0</v>
      </c>
      <c r="I63" s="49">
        <f>AVERAGE('22.08 Sironko-Mbale-24h'!I63,'24.08 Sironko-Mbale-24h'!I63)</f>
        <v>5.5</v>
      </c>
      <c r="J63" s="49">
        <f>AVERAGE('22.08 Sironko-Mbale-24h'!J63,'24.08 Sironko-Mbale-24h'!J63)</f>
        <v>0</v>
      </c>
      <c r="K63" s="49">
        <f>AVERAGE('22.08 Sironko-Mbale-24h'!K63,'24.08 Sironko-Mbale-24h'!K63)</f>
        <v>0</v>
      </c>
      <c r="L63" s="49">
        <f>AVERAGE('22.08 Sironko-Mbale-24h'!L63,'24.08 Sironko-Mbale-24h'!L63)</f>
        <v>0</v>
      </c>
      <c r="M63" s="49">
        <f>AVERAGE('22.08 Sironko-Mbale-24h'!M63,'24.08 Sironko-Mbale-24h'!M63)</f>
        <v>19.5</v>
      </c>
      <c r="N63" s="49">
        <f>AVERAGE('22.08 Sironko-Mbale-24h'!N63,'24.08 Sironko-Mbale-24h'!N63)</f>
        <v>0</v>
      </c>
      <c r="O63" s="15">
        <f t="shared" si="0"/>
        <v>15.5</v>
      </c>
      <c r="P63" s="15">
        <f t="shared" si="1"/>
        <v>35</v>
      </c>
      <c r="R63" s="8"/>
      <c r="T63"/>
    </row>
    <row r="64" spans="2:20" ht="23.1" customHeight="1" x14ac:dyDescent="0.25">
      <c r="B64" s="23" t="s">
        <v>109</v>
      </c>
      <c r="C64" s="49">
        <f>AVERAGE('22.08 Sironko-Mbale-24h'!C64,'24.08 Sironko-Mbale-24h'!C64)</f>
        <v>4.5</v>
      </c>
      <c r="D64" s="49">
        <f>AVERAGE('22.08 Sironko-Mbale-24h'!D64,'24.08 Sironko-Mbale-24h'!D64)</f>
        <v>1</v>
      </c>
      <c r="E64" s="49">
        <f>AVERAGE('22.08 Sironko-Mbale-24h'!E64,'24.08 Sironko-Mbale-24h'!E64)</f>
        <v>4.5</v>
      </c>
      <c r="F64" s="49">
        <f>AVERAGE('22.08 Sironko-Mbale-24h'!F64,'24.08 Sironko-Mbale-24h'!F64)</f>
        <v>1</v>
      </c>
      <c r="G64" s="49">
        <f>AVERAGE('22.08 Sironko-Mbale-24h'!G64,'24.08 Sironko-Mbale-24h'!G64)</f>
        <v>0</v>
      </c>
      <c r="H64" s="49">
        <f>AVERAGE('22.08 Sironko-Mbale-24h'!H64,'24.08 Sironko-Mbale-24h'!H64)</f>
        <v>0</v>
      </c>
      <c r="I64" s="49">
        <f>AVERAGE('22.08 Sironko-Mbale-24h'!I64,'24.08 Sironko-Mbale-24h'!I64)</f>
        <v>11</v>
      </c>
      <c r="J64" s="49">
        <f>AVERAGE('22.08 Sironko-Mbale-24h'!J64,'24.08 Sironko-Mbale-24h'!J64)</f>
        <v>0</v>
      </c>
      <c r="K64" s="49">
        <f>AVERAGE('22.08 Sironko-Mbale-24h'!K64,'24.08 Sironko-Mbale-24h'!K64)</f>
        <v>0</v>
      </c>
      <c r="L64" s="49">
        <f>AVERAGE('22.08 Sironko-Mbale-24h'!L64,'24.08 Sironko-Mbale-24h'!L64)</f>
        <v>0</v>
      </c>
      <c r="M64" s="49">
        <f>AVERAGE('22.08 Sironko-Mbale-24h'!M64,'24.08 Sironko-Mbale-24h'!M64)</f>
        <v>19.5</v>
      </c>
      <c r="N64" s="49">
        <f>AVERAGE('22.08 Sironko-Mbale-24h'!N64,'24.08 Sironko-Mbale-24h'!N64)</f>
        <v>0</v>
      </c>
      <c r="O64" s="15">
        <f t="shared" si="0"/>
        <v>22</v>
      </c>
      <c r="P64" s="15">
        <f t="shared" si="1"/>
        <v>41.5</v>
      </c>
      <c r="R64" s="8"/>
      <c r="T64"/>
    </row>
    <row r="65" spans="2:20" ht="23.1" customHeight="1" x14ac:dyDescent="0.25">
      <c r="B65" s="23" t="s">
        <v>158</v>
      </c>
      <c r="C65" s="49">
        <f>AVERAGE('22.08 Sironko-Mbale-24h'!C65,'24.08 Sironko-Mbale-24h'!C65)</f>
        <v>2.5</v>
      </c>
      <c r="D65" s="49">
        <f>AVERAGE('22.08 Sironko-Mbale-24h'!D65,'24.08 Sironko-Mbale-24h'!D65)</f>
        <v>1</v>
      </c>
      <c r="E65" s="49">
        <f>AVERAGE('22.08 Sironko-Mbale-24h'!E65,'24.08 Sironko-Mbale-24h'!E65)</f>
        <v>5</v>
      </c>
      <c r="F65" s="49">
        <f>AVERAGE('22.08 Sironko-Mbale-24h'!F65,'24.08 Sironko-Mbale-24h'!F65)</f>
        <v>1</v>
      </c>
      <c r="G65" s="49">
        <f>AVERAGE('22.08 Sironko-Mbale-24h'!G65,'24.08 Sironko-Mbale-24h'!G65)</f>
        <v>0</v>
      </c>
      <c r="H65" s="49">
        <f>AVERAGE('22.08 Sironko-Mbale-24h'!H65,'24.08 Sironko-Mbale-24h'!H65)</f>
        <v>0</v>
      </c>
      <c r="I65" s="49">
        <f>AVERAGE('22.08 Sironko-Mbale-24h'!I65,'24.08 Sironko-Mbale-24h'!I65)</f>
        <v>6</v>
      </c>
      <c r="J65" s="49">
        <f>AVERAGE('22.08 Sironko-Mbale-24h'!J65,'24.08 Sironko-Mbale-24h'!J65)</f>
        <v>0</v>
      </c>
      <c r="K65" s="49">
        <f>AVERAGE('22.08 Sironko-Mbale-24h'!K65,'24.08 Sironko-Mbale-24h'!K65)</f>
        <v>0</v>
      </c>
      <c r="L65" s="49">
        <f>AVERAGE('22.08 Sironko-Mbale-24h'!L65,'24.08 Sironko-Mbale-24h'!L65)</f>
        <v>0</v>
      </c>
      <c r="M65" s="49">
        <f>AVERAGE('22.08 Sironko-Mbale-24h'!M65,'24.08 Sironko-Mbale-24h'!M65)</f>
        <v>14.5</v>
      </c>
      <c r="N65" s="49">
        <f>AVERAGE('22.08 Sironko-Mbale-24h'!N65,'24.08 Sironko-Mbale-24h'!N65)</f>
        <v>0</v>
      </c>
      <c r="O65" s="15">
        <f t="shared" si="0"/>
        <v>15.5</v>
      </c>
      <c r="P65" s="15">
        <f t="shared" si="1"/>
        <v>30</v>
      </c>
      <c r="R65" s="8"/>
      <c r="T65"/>
    </row>
    <row r="66" spans="2:20" ht="23.1" customHeight="1" x14ac:dyDescent="0.25">
      <c r="B66" s="23" t="s">
        <v>103</v>
      </c>
      <c r="C66" s="49">
        <f>AVERAGE('22.08 Sironko-Mbale-24h'!C66,'24.08 Sironko-Mbale-24h'!C66)</f>
        <v>2.5</v>
      </c>
      <c r="D66" s="49">
        <f>AVERAGE('22.08 Sironko-Mbale-24h'!D66,'24.08 Sironko-Mbale-24h'!D66)</f>
        <v>0.5</v>
      </c>
      <c r="E66" s="49">
        <f>AVERAGE('22.08 Sironko-Mbale-24h'!E66,'24.08 Sironko-Mbale-24h'!E66)</f>
        <v>2.5</v>
      </c>
      <c r="F66" s="49">
        <f>AVERAGE('22.08 Sironko-Mbale-24h'!F66,'24.08 Sironko-Mbale-24h'!F66)</f>
        <v>0.5</v>
      </c>
      <c r="G66" s="49">
        <f>AVERAGE('22.08 Sironko-Mbale-24h'!G66,'24.08 Sironko-Mbale-24h'!G66)</f>
        <v>0</v>
      </c>
      <c r="H66" s="49">
        <f>AVERAGE('22.08 Sironko-Mbale-24h'!H66,'24.08 Sironko-Mbale-24h'!H66)</f>
        <v>0</v>
      </c>
      <c r="I66" s="49">
        <f>AVERAGE('22.08 Sironko-Mbale-24h'!I66,'24.08 Sironko-Mbale-24h'!I66)</f>
        <v>0.5</v>
      </c>
      <c r="J66" s="49">
        <f>AVERAGE('22.08 Sironko-Mbale-24h'!J66,'24.08 Sironko-Mbale-24h'!J66)</f>
        <v>0</v>
      </c>
      <c r="K66" s="49">
        <f>AVERAGE('22.08 Sironko-Mbale-24h'!K66,'24.08 Sironko-Mbale-24h'!K66)</f>
        <v>0</v>
      </c>
      <c r="L66" s="49">
        <f>AVERAGE('22.08 Sironko-Mbale-24h'!L66,'24.08 Sironko-Mbale-24h'!L66)</f>
        <v>0</v>
      </c>
      <c r="M66" s="49">
        <f>AVERAGE('22.08 Sironko-Mbale-24h'!M66,'24.08 Sironko-Mbale-24h'!M66)</f>
        <v>15</v>
      </c>
      <c r="N66" s="49">
        <f>AVERAGE('22.08 Sironko-Mbale-24h'!N66,'24.08 Sironko-Mbale-24h'!N66)</f>
        <v>0</v>
      </c>
      <c r="O66" s="15">
        <f t="shared" si="0"/>
        <v>6.5</v>
      </c>
      <c r="P66" s="15">
        <f t="shared" si="1"/>
        <v>21.5</v>
      </c>
      <c r="R66" s="8"/>
      <c r="T66"/>
    </row>
    <row r="67" spans="2:20" ht="23.1" customHeight="1" x14ac:dyDescent="0.25">
      <c r="B67" s="23" t="s">
        <v>104</v>
      </c>
      <c r="C67" s="49">
        <f>AVERAGE('22.08 Sironko-Mbale-24h'!C67,'24.08 Sironko-Mbale-24h'!C67)</f>
        <v>2</v>
      </c>
      <c r="D67" s="49">
        <f>AVERAGE('22.08 Sironko-Mbale-24h'!D67,'24.08 Sironko-Mbale-24h'!D67)</f>
        <v>0</v>
      </c>
      <c r="E67" s="49">
        <f>AVERAGE('22.08 Sironko-Mbale-24h'!E67,'24.08 Sironko-Mbale-24h'!E67)</f>
        <v>1</v>
      </c>
      <c r="F67" s="49">
        <f>AVERAGE('22.08 Sironko-Mbale-24h'!F67,'24.08 Sironko-Mbale-24h'!F67)</f>
        <v>0.5</v>
      </c>
      <c r="G67" s="49">
        <f>AVERAGE('22.08 Sironko-Mbale-24h'!G67,'24.08 Sironko-Mbale-24h'!G67)</f>
        <v>0</v>
      </c>
      <c r="H67" s="49">
        <f>AVERAGE('22.08 Sironko-Mbale-24h'!H67,'24.08 Sironko-Mbale-24h'!H67)</f>
        <v>0</v>
      </c>
      <c r="I67" s="49">
        <f>AVERAGE('22.08 Sironko-Mbale-24h'!I67,'24.08 Sironko-Mbale-24h'!I67)</f>
        <v>2.5</v>
      </c>
      <c r="J67" s="49">
        <f>AVERAGE('22.08 Sironko-Mbale-24h'!J67,'24.08 Sironko-Mbale-24h'!J67)</f>
        <v>0</v>
      </c>
      <c r="K67" s="49">
        <f>AVERAGE('22.08 Sironko-Mbale-24h'!K67,'24.08 Sironko-Mbale-24h'!K67)</f>
        <v>1</v>
      </c>
      <c r="L67" s="49">
        <f>AVERAGE('22.08 Sironko-Mbale-24h'!L67,'24.08 Sironko-Mbale-24h'!L67)</f>
        <v>0</v>
      </c>
      <c r="M67" s="49">
        <f>AVERAGE('22.08 Sironko-Mbale-24h'!M67,'24.08 Sironko-Mbale-24h'!M67)</f>
        <v>10.5</v>
      </c>
      <c r="N67" s="49">
        <f>AVERAGE('22.08 Sironko-Mbale-24h'!N67,'24.08 Sironko-Mbale-24h'!N67)</f>
        <v>0</v>
      </c>
      <c r="O67" s="15">
        <f t="shared" si="0"/>
        <v>7</v>
      </c>
      <c r="P67" s="15">
        <f t="shared" si="1"/>
        <v>17.5</v>
      </c>
      <c r="R67" s="8"/>
      <c r="T67"/>
    </row>
    <row r="68" spans="2:20" ht="23.1" customHeight="1" x14ac:dyDescent="0.25">
      <c r="B68" s="23" t="s">
        <v>105</v>
      </c>
      <c r="C68" s="49">
        <f>AVERAGE('22.08 Sironko-Mbale-24h'!C68,'24.08 Sironko-Mbale-24h'!C68)</f>
        <v>4</v>
      </c>
      <c r="D68" s="49">
        <f>AVERAGE('22.08 Sironko-Mbale-24h'!D68,'24.08 Sironko-Mbale-24h'!D68)</f>
        <v>0</v>
      </c>
      <c r="E68" s="49">
        <f>AVERAGE('22.08 Sironko-Mbale-24h'!E68,'24.08 Sironko-Mbale-24h'!E68)</f>
        <v>2</v>
      </c>
      <c r="F68" s="49">
        <f>AVERAGE('22.08 Sironko-Mbale-24h'!F68,'24.08 Sironko-Mbale-24h'!F68)</f>
        <v>0.5</v>
      </c>
      <c r="G68" s="49">
        <f>AVERAGE('22.08 Sironko-Mbale-24h'!G68,'24.08 Sironko-Mbale-24h'!G68)</f>
        <v>0</v>
      </c>
      <c r="H68" s="49">
        <f>AVERAGE('22.08 Sironko-Mbale-24h'!H68,'24.08 Sironko-Mbale-24h'!H68)</f>
        <v>0</v>
      </c>
      <c r="I68" s="49">
        <f>AVERAGE('22.08 Sironko-Mbale-24h'!I68,'24.08 Sironko-Mbale-24h'!I68)</f>
        <v>2.5</v>
      </c>
      <c r="J68" s="49">
        <f>AVERAGE('22.08 Sironko-Mbale-24h'!J68,'24.08 Sironko-Mbale-24h'!J68)</f>
        <v>0</v>
      </c>
      <c r="K68" s="49">
        <f>AVERAGE('22.08 Sironko-Mbale-24h'!K68,'24.08 Sironko-Mbale-24h'!K68)</f>
        <v>0</v>
      </c>
      <c r="L68" s="49">
        <f>AVERAGE('22.08 Sironko-Mbale-24h'!L68,'24.08 Sironko-Mbale-24h'!L68)</f>
        <v>0</v>
      </c>
      <c r="M68" s="49">
        <f>AVERAGE('22.08 Sironko-Mbale-24h'!M68,'24.08 Sironko-Mbale-24h'!M68)</f>
        <v>7.5</v>
      </c>
      <c r="N68" s="49">
        <f>AVERAGE('22.08 Sironko-Mbale-24h'!N68,'24.08 Sironko-Mbale-24h'!N68)</f>
        <v>0</v>
      </c>
      <c r="O68" s="15">
        <f t="shared" si="0"/>
        <v>9</v>
      </c>
      <c r="P68" s="15">
        <f t="shared" si="1"/>
        <v>16.5</v>
      </c>
      <c r="R68" s="8"/>
      <c r="T68"/>
    </row>
    <row r="69" spans="2:20" ht="23.1" customHeight="1" x14ac:dyDescent="0.25">
      <c r="B69" s="23" t="s">
        <v>106</v>
      </c>
      <c r="C69" s="49">
        <f>AVERAGE('22.08 Sironko-Mbale-24h'!C69,'24.08 Sironko-Mbale-24h'!C69)</f>
        <v>2.5</v>
      </c>
      <c r="D69" s="49">
        <f>AVERAGE('22.08 Sironko-Mbale-24h'!D69,'24.08 Sironko-Mbale-24h'!D69)</f>
        <v>0.5</v>
      </c>
      <c r="E69" s="49">
        <f>AVERAGE('22.08 Sironko-Mbale-24h'!E69,'24.08 Sironko-Mbale-24h'!E69)</f>
        <v>2.5</v>
      </c>
      <c r="F69" s="49">
        <f>AVERAGE('22.08 Sironko-Mbale-24h'!F69,'24.08 Sironko-Mbale-24h'!F69)</f>
        <v>0</v>
      </c>
      <c r="G69" s="49">
        <f>AVERAGE('22.08 Sironko-Mbale-24h'!G69,'24.08 Sironko-Mbale-24h'!G69)</f>
        <v>0</v>
      </c>
      <c r="H69" s="49">
        <f>AVERAGE('22.08 Sironko-Mbale-24h'!H69,'24.08 Sironko-Mbale-24h'!H69)</f>
        <v>0</v>
      </c>
      <c r="I69" s="49">
        <f>AVERAGE('22.08 Sironko-Mbale-24h'!I69,'24.08 Sironko-Mbale-24h'!I69)</f>
        <v>3</v>
      </c>
      <c r="J69" s="49">
        <f>AVERAGE('22.08 Sironko-Mbale-24h'!J69,'24.08 Sironko-Mbale-24h'!J69)</f>
        <v>0</v>
      </c>
      <c r="K69" s="49">
        <f>AVERAGE('22.08 Sironko-Mbale-24h'!K69,'24.08 Sironko-Mbale-24h'!K69)</f>
        <v>0</v>
      </c>
      <c r="L69" s="49">
        <f>AVERAGE('22.08 Sironko-Mbale-24h'!L69,'24.08 Sironko-Mbale-24h'!L69)</f>
        <v>0</v>
      </c>
      <c r="M69" s="49">
        <f>AVERAGE('22.08 Sironko-Mbale-24h'!M69,'24.08 Sironko-Mbale-24h'!M69)</f>
        <v>8.5</v>
      </c>
      <c r="N69" s="49">
        <f>AVERAGE('22.08 Sironko-Mbale-24h'!N69,'24.08 Sironko-Mbale-24h'!N69)</f>
        <v>0</v>
      </c>
      <c r="O69" s="15">
        <f t="shared" si="0"/>
        <v>8.5</v>
      </c>
      <c r="P69" s="15">
        <f t="shared" si="1"/>
        <v>17</v>
      </c>
      <c r="R69" s="8"/>
      <c r="T69"/>
    </row>
    <row r="70" spans="2:20" ht="23.1" customHeight="1" x14ac:dyDescent="0.25">
      <c r="B70" s="23" t="s">
        <v>110</v>
      </c>
      <c r="C70" s="49">
        <f>AVERAGE('22.08 Sironko-Mbale-24h'!C70,'24.08 Sironko-Mbale-24h'!C70)</f>
        <v>2</v>
      </c>
      <c r="D70" s="49">
        <f>AVERAGE('22.08 Sironko-Mbale-24h'!D70,'24.08 Sironko-Mbale-24h'!D70)</f>
        <v>0</v>
      </c>
      <c r="E70" s="49">
        <f>AVERAGE('22.08 Sironko-Mbale-24h'!E70,'24.08 Sironko-Mbale-24h'!E70)</f>
        <v>2.5</v>
      </c>
      <c r="F70" s="49">
        <f>AVERAGE('22.08 Sironko-Mbale-24h'!F70,'24.08 Sironko-Mbale-24h'!F70)</f>
        <v>2</v>
      </c>
      <c r="G70" s="49">
        <f>AVERAGE('22.08 Sironko-Mbale-24h'!G70,'24.08 Sironko-Mbale-24h'!G70)</f>
        <v>0</v>
      </c>
      <c r="H70" s="49">
        <f>AVERAGE('22.08 Sironko-Mbale-24h'!H70,'24.08 Sironko-Mbale-24h'!H70)</f>
        <v>0</v>
      </c>
      <c r="I70" s="49">
        <f>AVERAGE('22.08 Sironko-Mbale-24h'!I70,'24.08 Sironko-Mbale-24h'!I70)</f>
        <v>4.5</v>
      </c>
      <c r="J70" s="49">
        <f>AVERAGE('22.08 Sironko-Mbale-24h'!J70,'24.08 Sironko-Mbale-24h'!J70)</f>
        <v>0.5</v>
      </c>
      <c r="K70" s="49">
        <f>AVERAGE('22.08 Sironko-Mbale-24h'!K70,'24.08 Sironko-Mbale-24h'!K70)</f>
        <v>0</v>
      </c>
      <c r="L70" s="49">
        <f>AVERAGE('22.08 Sironko-Mbale-24h'!L70,'24.08 Sironko-Mbale-24h'!L70)</f>
        <v>0</v>
      </c>
      <c r="M70" s="49">
        <f>AVERAGE('22.08 Sironko-Mbale-24h'!M70,'24.08 Sironko-Mbale-24h'!M70)</f>
        <v>11</v>
      </c>
      <c r="N70" s="49">
        <f>AVERAGE('22.08 Sironko-Mbale-24h'!N70,'24.08 Sironko-Mbale-24h'!N70)</f>
        <v>0</v>
      </c>
      <c r="O70" s="15">
        <f t="shared" si="0"/>
        <v>11.5</v>
      </c>
      <c r="P70" s="15">
        <f t="shared" si="1"/>
        <v>22.5</v>
      </c>
      <c r="R70" s="8"/>
      <c r="T70"/>
    </row>
    <row r="71" spans="2:20" ht="23.1" customHeight="1" x14ac:dyDescent="0.25">
      <c r="B71" s="23" t="s">
        <v>111</v>
      </c>
      <c r="C71" s="49">
        <f>AVERAGE('22.08 Sironko-Mbale-24h'!C71,'24.08 Sironko-Mbale-24h'!C71)</f>
        <v>2</v>
      </c>
      <c r="D71" s="49">
        <f>AVERAGE('22.08 Sironko-Mbale-24h'!D71,'24.08 Sironko-Mbale-24h'!D71)</f>
        <v>0</v>
      </c>
      <c r="E71" s="49">
        <f>AVERAGE('22.08 Sironko-Mbale-24h'!E71,'24.08 Sironko-Mbale-24h'!E71)</f>
        <v>1</v>
      </c>
      <c r="F71" s="49">
        <f>AVERAGE('22.08 Sironko-Mbale-24h'!F71,'24.08 Sironko-Mbale-24h'!F71)</f>
        <v>0</v>
      </c>
      <c r="G71" s="49">
        <f>AVERAGE('22.08 Sironko-Mbale-24h'!G71,'24.08 Sironko-Mbale-24h'!G71)</f>
        <v>0</v>
      </c>
      <c r="H71" s="49">
        <f>AVERAGE('22.08 Sironko-Mbale-24h'!H71,'24.08 Sironko-Mbale-24h'!H71)</f>
        <v>0</v>
      </c>
      <c r="I71" s="49">
        <f>AVERAGE('22.08 Sironko-Mbale-24h'!I71,'24.08 Sironko-Mbale-24h'!I71)</f>
        <v>3</v>
      </c>
      <c r="J71" s="49">
        <f>AVERAGE('22.08 Sironko-Mbale-24h'!J71,'24.08 Sironko-Mbale-24h'!J71)</f>
        <v>0</v>
      </c>
      <c r="K71" s="49">
        <f>AVERAGE('22.08 Sironko-Mbale-24h'!K71,'24.08 Sironko-Mbale-24h'!K71)</f>
        <v>0</v>
      </c>
      <c r="L71" s="49">
        <f>AVERAGE('22.08 Sironko-Mbale-24h'!L71,'24.08 Sironko-Mbale-24h'!L71)</f>
        <v>0</v>
      </c>
      <c r="M71" s="49">
        <f>AVERAGE('22.08 Sironko-Mbale-24h'!M71,'24.08 Sironko-Mbale-24h'!M71)</f>
        <v>4.5</v>
      </c>
      <c r="N71" s="49">
        <f>AVERAGE('22.08 Sironko-Mbale-24h'!N71,'24.08 Sironko-Mbale-24h'!N71)</f>
        <v>0</v>
      </c>
      <c r="O71" s="15">
        <f t="shared" si="0"/>
        <v>6</v>
      </c>
      <c r="P71" s="15">
        <f t="shared" si="1"/>
        <v>10.5</v>
      </c>
      <c r="R71" s="8"/>
      <c r="T71"/>
    </row>
    <row r="72" spans="2:20" ht="23.1" customHeight="1" x14ac:dyDescent="0.25">
      <c r="B72" s="23" t="s">
        <v>112</v>
      </c>
      <c r="C72" s="49">
        <f>AVERAGE('22.08 Sironko-Mbale-24h'!C72,'24.08 Sironko-Mbale-24h'!C72)</f>
        <v>1.5</v>
      </c>
      <c r="D72" s="49">
        <f>AVERAGE('22.08 Sironko-Mbale-24h'!D72,'24.08 Sironko-Mbale-24h'!D72)</f>
        <v>0</v>
      </c>
      <c r="E72" s="49">
        <f>AVERAGE('22.08 Sironko-Mbale-24h'!E72,'24.08 Sironko-Mbale-24h'!E72)</f>
        <v>0.5</v>
      </c>
      <c r="F72" s="49">
        <f>AVERAGE('22.08 Sironko-Mbale-24h'!F72,'24.08 Sironko-Mbale-24h'!F72)</f>
        <v>0</v>
      </c>
      <c r="G72" s="49">
        <f>AVERAGE('22.08 Sironko-Mbale-24h'!G72,'24.08 Sironko-Mbale-24h'!G72)</f>
        <v>0</v>
      </c>
      <c r="H72" s="49">
        <f>AVERAGE('22.08 Sironko-Mbale-24h'!H72,'24.08 Sironko-Mbale-24h'!H72)</f>
        <v>0</v>
      </c>
      <c r="I72" s="49">
        <f>AVERAGE('22.08 Sironko-Mbale-24h'!I72,'24.08 Sironko-Mbale-24h'!I72)</f>
        <v>2</v>
      </c>
      <c r="J72" s="49">
        <f>AVERAGE('22.08 Sironko-Mbale-24h'!J72,'24.08 Sironko-Mbale-24h'!J72)</f>
        <v>0</v>
      </c>
      <c r="K72" s="49">
        <f>AVERAGE('22.08 Sironko-Mbale-24h'!K72,'24.08 Sironko-Mbale-24h'!K72)</f>
        <v>0</v>
      </c>
      <c r="L72" s="49">
        <f>AVERAGE('22.08 Sironko-Mbale-24h'!L72,'24.08 Sironko-Mbale-24h'!L72)</f>
        <v>0</v>
      </c>
      <c r="M72" s="49">
        <f>AVERAGE('22.08 Sironko-Mbale-24h'!M72,'24.08 Sironko-Mbale-24h'!M72)</f>
        <v>6</v>
      </c>
      <c r="N72" s="49">
        <f>AVERAGE('22.08 Sironko-Mbale-24h'!N72,'24.08 Sironko-Mbale-24h'!N72)</f>
        <v>0</v>
      </c>
      <c r="O72" s="15">
        <f t="shared" si="0"/>
        <v>4</v>
      </c>
      <c r="P72" s="15">
        <f t="shared" si="1"/>
        <v>10</v>
      </c>
      <c r="R72" s="8"/>
      <c r="T72"/>
    </row>
    <row r="73" spans="2:20" ht="23.1" customHeight="1" x14ac:dyDescent="0.25">
      <c r="B73" s="23" t="s">
        <v>113</v>
      </c>
      <c r="C73" s="49">
        <f>AVERAGE('22.08 Sironko-Mbale-24h'!C73,'24.08 Sironko-Mbale-24h'!C73)</f>
        <v>1</v>
      </c>
      <c r="D73" s="49">
        <f>AVERAGE('22.08 Sironko-Mbale-24h'!D73,'24.08 Sironko-Mbale-24h'!D73)</f>
        <v>0</v>
      </c>
      <c r="E73" s="49">
        <f>AVERAGE('22.08 Sironko-Mbale-24h'!E73,'24.08 Sironko-Mbale-24h'!E73)</f>
        <v>0.5</v>
      </c>
      <c r="F73" s="49">
        <f>AVERAGE('22.08 Sironko-Mbale-24h'!F73,'24.08 Sironko-Mbale-24h'!F73)</f>
        <v>0</v>
      </c>
      <c r="G73" s="49">
        <f>AVERAGE('22.08 Sironko-Mbale-24h'!G73,'24.08 Sironko-Mbale-24h'!G73)</f>
        <v>0</v>
      </c>
      <c r="H73" s="49">
        <f>AVERAGE('22.08 Sironko-Mbale-24h'!H73,'24.08 Sironko-Mbale-24h'!H73)</f>
        <v>0</v>
      </c>
      <c r="I73" s="49">
        <f>AVERAGE('22.08 Sironko-Mbale-24h'!I73,'24.08 Sironko-Mbale-24h'!I73)</f>
        <v>1</v>
      </c>
      <c r="J73" s="49">
        <f>AVERAGE('22.08 Sironko-Mbale-24h'!J73,'24.08 Sironko-Mbale-24h'!J73)</f>
        <v>0</v>
      </c>
      <c r="K73" s="49">
        <f>AVERAGE('22.08 Sironko-Mbale-24h'!K73,'24.08 Sironko-Mbale-24h'!K73)</f>
        <v>0</v>
      </c>
      <c r="L73" s="49">
        <f>AVERAGE('22.08 Sironko-Mbale-24h'!L73,'24.08 Sironko-Mbale-24h'!L73)</f>
        <v>0</v>
      </c>
      <c r="M73" s="49">
        <f>AVERAGE('22.08 Sironko-Mbale-24h'!M73,'24.08 Sironko-Mbale-24h'!M73)</f>
        <v>3.5</v>
      </c>
      <c r="N73" s="49">
        <f>AVERAGE('22.08 Sironko-Mbale-24h'!N73,'24.08 Sironko-Mbale-24h'!N73)</f>
        <v>0</v>
      </c>
      <c r="O73" s="15">
        <f t="shared" si="0"/>
        <v>2.5</v>
      </c>
      <c r="P73" s="15">
        <f t="shared" si="1"/>
        <v>6</v>
      </c>
      <c r="R73" s="8"/>
      <c r="T73"/>
    </row>
    <row r="74" spans="2:20" ht="23.1" customHeight="1" x14ac:dyDescent="0.25">
      <c r="B74" s="23" t="s">
        <v>114</v>
      </c>
      <c r="C74" s="49">
        <f>AVERAGE('22.08 Sironko-Mbale-24h'!C74,'24.08 Sironko-Mbale-24h'!C74)</f>
        <v>0</v>
      </c>
      <c r="D74" s="49">
        <f>AVERAGE('22.08 Sironko-Mbale-24h'!D74,'24.08 Sironko-Mbale-24h'!D74)</f>
        <v>0</v>
      </c>
      <c r="E74" s="49">
        <f>AVERAGE('22.08 Sironko-Mbale-24h'!E74,'24.08 Sironko-Mbale-24h'!E74)</f>
        <v>0</v>
      </c>
      <c r="F74" s="49">
        <f>AVERAGE('22.08 Sironko-Mbale-24h'!F74,'24.08 Sironko-Mbale-24h'!F74)</f>
        <v>0</v>
      </c>
      <c r="G74" s="49">
        <f>AVERAGE('22.08 Sironko-Mbale-24h'!G74,'24.08 Sironko-Mbale-24h'!G74)</f>
        <v>0</v>
      </c>
      <c r="H74" s="49">
        <f>AVERAGE('22.08 Sironko-Mbale-24h'!H74,'24.08 Sironko-Mbale-24h'!H74)</f>
        <v>0</v>
      </c>
      <c r="I74" s="49">
        <f>AVERAGE('22.08 Sironko-Mbale-24h'!I74,'24.08 Sironko-Mbale-24h'!I74)</f>
        <v>2.5</v>
      </c>
      <c r="J74" s="49">
        <f>AVERAGE('22.08 Sironko-Mbale-24h'!J74,'24.08 Sironko-Mbale-24h'!J74)</f>
        <v>0</v>
      </c>
      <c r="K74" s="49">
        <f>AVERAGE('22.08 Sironko-Mbale-24h'!K74,'24.08 Sironko-Mbale-24h'!K74)</f>
        <v>0</v>
      </c>
      <c r="L74" s="49">
        <f>AVERAGE('22.08 Sironko-Mbale-24h'!L74,'24.08 Sironko-Mbale-24h'!L74)</f>
        <v>0</v>
      </c>
      <c r="M74" s="49">
        <f>AVERAGE('22.08 Sironko-Mbale-24h'!M74,'24.08 Sironko-Mbale-24h'!M74)</f>
        <v>3.5</v>
      </c>
      <c r="N74" s="49">
        <f>AVERAGE('22.08 Sironko-Mbale-24h'!N74,'24.08 Sironko-Mbale-24h'!N74)</f>
        <v>0</v>
      </c>
      <c r="O74" s="15">
        <f t="shared" ref="O74:O105" si="35">SUM(C74:L74,N74)</f>
        <v>2.5</v>
      </c>
      <c r="P74" s="15">
        <f t="shared" ref="P74:P105" si="36">SUM(C74:N74)</f>
        <v>6</v>
      </c>
      <c r="R74" s="8"/>
      <c r="T74"/>
    </row>
    <row r="75" spans="2:20" ht="23.1" customHeight="1" x14ac:dyDescent="0.25">
      <c r="B75" s="23" t="s">
        <v>115</v>
      </c>
      <c r="C75" s="49">
        <f>AVERAGE('22.08 Sironko-Mbale-24h'!C75,'24.08 Sironko-Mbale-24h'!C75)</f>
        <v>0.5</v>
      </c>
      <c r="D75" s="49">
        <f>AVERAGE('22.08 Sironko-Mbale-24h'!D75,'24.08 Sironko-Mbale-24h'!D75)</f>
        <v>0</v>
      </c>
      <c r="E75" s="49">
        <f>AVERAGE('22.08 Sironko-Mbale-24h'!E75,'24.08 Sironko-Mbale-24h'!E75)</f>
        <v>0.5</v>
      </c>
      <c r="F75" s="49">
        <f>AVERAGE('22.08 Sironko-Mbale-24h'!F75,'24.08 Sironko-Mbale-24h'!F75)</f>
        <v>0.5</v>
      </c>
      <c r="G75" s="49">
        <f>AVERAGE('22.08 Sironko-Mbale-24h'!G75,'24.08 Sironko-Mbale-24h'!G75)</f>
        <v>0</v>
      </c>
      <c r="H75" s="49">
        <f>AVERAGE('22.08 Sironko-Mbale-24h'!H75,'24.08 Sironko-Mbale-24h'!H75)</f>
        <v>0</v>
      </c>
      <c r="I75" s="49">
        <f>AVERAGE('22.08 Sironko-Mbale-24h'!I75,'24.08 Sironko-Mbale-24h'!I75)</f>
        <v>2</v>
      </c>
      <c r="J75" s="49">
        <f>AVERAGE('22.08 Sironko-Mbale-24h'!J75,'24.08 Sironko-Mbale-24h'!J75)</f>
        <v>0</v>
      </c>
      <c r="K75" s="49">
        <f>AVERAGE('22.08 Sironko-Mbale-24h'!K75,'24.08 Sironko-Mbale-24h'!K75)</f>
        <v>0</v>
      </c>
      <c r="L75" s="49">
        <f>AVERAGE('22.08 Sironko-Mbale-24h'!L75,'24.08 Sironko-Mbale-24h'!L75)</f>
        <v>0</v>
      </c>
      <c r="M75" s="49">
        <f>AVERAGE('22.08 Sironko-Mbale-24h'!M75,'24.08 Sironko-Mbale-24h'!M75)</f>
        <v>1.5</v>
      </c>
      <c r="N75" s="49">
        <f>AVERAGE('22.08 Sironko-Mbale-24h'!N75,'24.08 Sironko-Mbale-24h'!N75)</f>
        <v>0</v>
      </c>
      <c r="O75" s="15">
        <f t="shared" si="35"/>
        <v>3.5</v>
      </c>
      <c r="P75" s="15">
        <f t="shared" si="36"/>
        <v>5</v>
      </c>
      <c r="R75" s="8"/>
      <c r="T75"/>
    </row>
    <row r="76" spans="2:20" ht="23.1" customHeight="1" x14ac:dyDescent="0.25">
      <c r="B76" s="23" t="s">
        <v>116</v>
      </c>
      <c r="C76" s="49">
        <f>AVERAGE('22.08 Sironko-Mbale-24h'!C76,'24.08 Sironko-Mbale-24h'!C76)</f>
        <v>0</v>
      </c>
      <c r="D76" s="49">
        <f>AVERAGE('22.08 Sironko-Mbale-24h'!D76,'24.08 Sironko-Mbale-24h'!D76)</f>
        <v>0</v>
      </c>
      <c r="E76" s="49">
        <f>AVERAGE('22.08 Sironko-Mbale-24h'!E76,'24.08 Sironko-Mbale-24h'!E76)</f>
        <v>0.5</v>
      </c>
      <c r="F76" s="49">
        <f>AVERAGE('22.08 Sironko-Mbale-24h'!F76,'24.08 Sironko-Mbale-24h'!F76)</f>
        <v>1</v>
      </c>
      <c r="G76" s="49">
        <f>AVERAGE('22.08 Sironko-Mbale-24h'!G76,'24.08 Sironko-Mbale-24h'!G76)</f>
        <v>0</v>
      </c>
      <c r="H76" s="49">
        <f>AVERAGE('22.08 Sironko-Mbale-24h'!H76,'24.08 Sironko-Mbale-24h'!H76)</f>
        <v>0</v>
      </c>
      <c r="I76" s="49">
        <f>AVERAGE('22.08 Sironko-Mbale-24h'!I76,'24.08 Sironko-Mbale-24h'!I76)</f>
        <v>0.5</v>
      </c>
      <c r="J76" s="49">
        <f>AVERAGE('22.08 Sironko-Mbale-24h'!J76,'24.08 Sironko-Mbale-24h'!J76)</f>
        <v>0</v>
      </c>
      <c r="K76" s="49">
        <f>AVERAGE('22.08 Sironko-Mbale-24h'!K76,'24.08 Sironko-Mbale-24h'!K76)</f>
        <v>0</v>
      </c>
      <c r="L76" s="49">
        <f>AVERAGE('22.08 Sironko-Mbale-24h'!L76,'24.08 Sironko-Mbale-24h'!L76)</f>
        <v>0</v>
      </c>
      <c r="M76" s="49">
        <f>AVERAGE('22.08 Sironko-Mbale-24h'!M76,'24.08 Sironko-Mbale-24h'!M76)</f>
        <v>3</v>
      </c>
      <c r="N76" s="49">
        <f>AVERAGE('22.08 Sironko-Mbale-24h'!N76,'24.08 Sironko-Mbale-24h'!N76)</f>
        <v>0</v>
      </c>
      <c r="O76" s="15">
        <f t="shared" si="35"/>
        <v>2</v>
      </c>
      <c r="P76" s="15">
        <f t="shared" si="36"/>
        <v>5</v>
      </c>
      <c r="R76" s="8"/>
      <c r="T76"/>
    </row>
    <row r="77" spans="2:20" ht="23.1" customHeight="1" x14ac:dyDescent="0.25">
      <c r="B77" s="23" t="s">
        <v>117</v>
      </c>
      <c r="C77" s="49">
        <f>AVERAGE('22.08 Sironko-Mbale-24h'!C77,'24.08 Sironko-Mbale-24h'!C77)</f>
        <v>0</v>
      </c>
      <c r="D77" s="49">
        <f>AVERAGE('22.08 Sironko-Mbale-24h'!D77,'24.08 Sironko-Mbale-24h'!D77)</f>
        <v>0</v>
      </c>
      <c r="E77" s="49">
        <f>AVERAGE('22.08 Sironko-Mbale-24h'!E77,'24.08 Sironko-Mbale-24h'!E77)</f>
        <v>2</v>
      </c>
      <c r="F77" s="49">
        <f>AVERAGE('22.08 Sironko-Mbale-24h'!F77,'24.08 Sironko-Mbale-24h'!F77)</f>
        <v>0</v>
      </c>
      <c r="G77" s="49">
        <f>AVERAGE('22.08 Sironko-Mbale-24h'!G77,'24.08 Sironko-Mbale-24h'!G77)</f>
        <v>0</v>
      </c>
      <c r="H77" s="49">
        <f>AVERAGE('22.08 Sironko-Mbale-24h'!H77,'24.08 Sironko-Mbale-24h'!H77)</f>
        <v>0</v>
      </c>
      <c r="I77" s="49">
        <f>AVERAGE('22.08 Sironko-Mbale-24h'!I77,'24.08 Sironko-Mbale-24h'!I77)</f>
        <v>1</v>
      </c>
      <c r="J77" s="49">
        <f>AVERAGE('22.08 Sironko-Mbale-24h'!J77,'24.08 Sironko-Mbale-24h'!J77)</f>
        <v>0</v>
      </c>
      <c r="K77" s="49">
        <f>AVERAGE('22.08 Sironko-Mbale-24h'!K77,'24.08 Sironko-Mbale-24h'!K77)</f>
        <v>0</v>
      </c>
      <c r="L77" s="49">
        <f>AVERAGE('22.08 Sironko-Mbale-24h'!L77,'24.08 Sironko-Mbale-24h'!L77)</f>
        <v>0</v>
      </c>
      <c r="M77" s="49">
        <f>AVERAGE('22.08 Sironko-Mbale-24h'!M77,'24.08 Sironko-Mbale-24h'!M77)</f>
        <v>6</v>
      </c>
      <c r="N77" s="49">
        <f>AVERAGE('22.08 Sironko-Mbale-24h'!N77,'24.08 Sironko-Mbale-24h'!N77)</f>
        <v>0</v>
      </c>
      <c r="O77" s="15">
        <f t="shared" si="35"/>
        <v>3</v>
      </c>
      <c r="P77" s="15">
        <f t="shared" si="36"/>
        <v>9</v>
      </c>
      <c r="R77" s="8"/>
      <c r="T77"/>
    </row>
    <row r="78" spans="2:20" ht="23.1" customHeight="1" x14ac:dyDescent="0.25">
      <c r="B78" s="24" t="s">
        <v>118</v>
      </c>
      <c r="C78" s="49">
        <f>AVERAGE('22.08 Sironko-Mbale-24h'!C78,'24.08 Sironko-Mbale-24h'!C78)</f>
        <v>0.5</v>
      </c>
      <c r="D78" s="49">
        <f>AVERAGE('22.08 Sironko-Mbale-24h'!D78,'24.08 Sironko-Mbale-24h'!D78)</f>
        <v>0</v>
      </c>
      <c r="E78" s="49">
        <f>AVERAGE('22.08 Sironko-Mbale-24h'!E78,'24.08 Sironko-Mbale-24h'!E78)</f>
        <v>1</v>
      </c>
      <c r="F78" s="49">
        <f>AVERAGE('22.08 Sironko-Mbale-24h'!F78,'24.08 Sironko-Mbale-24h'!F78)</f>
        <v>0.5</v>
      </c>
      <c r="G78" s="49">
        <f>AVERAGE('22.08 Sironko-Mbale-24h'!G78,'24.08 Sironko-Mbale-24h'!G78)</f>
        <v>0</v>
      </c>
      <c r="H78" s="49">
        <f>AVERAGE('22.08 Sironko-Mbale-24h'!H78,'24.08 Sironko-Mbale-24h'!H78)</f>
        <v>0</v>
      </c>
      <c r="I78" s="49">
        <f>AVERAGE('22.08 Sironko-Mbale-24h'!I78,'24.08 Sironko-Mbale-24h'!I78)</f>
        <v>1</v>
      </c>
      <c r="J78" s="49">
        <f>AVERAGE('22.08 Sironko-Mbale-24h'!J78,'24.08 Sironko-Mbale-24h'!J78)</f>
        <v>0</v>
      </c>
      <c r="K78" s="49">
        <f>AVERAGE('22.08 Sironko-Mbale-24h'!K78,'24.08 Sironko-Mbale-24h'!K78)</f>
        <v>0</v>
      </c>
      <c r="L78" s="49">
        <f>AVERAGE('22.08 Sironko-Mbale-24h'!L78,'24.08 Sironko-Mbale-24h'!L78)</f>
        <v>0</v>
      </c>
      <c r="M78" s="49">
        <f>AVERAGE('22.08 Sironko-Mbale-24h'!M78,'24.08 Sironko-Mbale-24h'!M78)</f>
        <v>2.5</v>
      </c>
      <c r="N78" s="49">
        <f>AVERAGE('22.08 Sironko-Mbale-24h'!N78,'24.08 Sironko-Mbale-24h'!N78)</f>
        <v>0</v>
      </c>
      <c r="O78" s="15">
        <f t="shared" si="35"/>
        <v>3</v>
      </c>
      <c r="P78" s="15">
        <f t="shared" si="36"/>
        <v>5.5</v>
      </c>
      <c r="R78" s="8"/>
      <c r="T78"/>
    </row>
    <row r="79" spans="2:20" ht="23.1" customHeight="1" x14ac:dyDescent="0.25">
      <c r="B79" s="23" t="s">
        <v>119</v>
      </c>
      <c r="C79" s="49">
        <f>AVERAGE('22.08 Sironko-Mbale-24h'!C79,'24.08 Sironko-Mbale-24h'!C79)</f>
        <v>0.5</v>
      </c>
      <c r="D79" s="49">
        <f>AVERAGE('22.08 Sironko-Mbale-24h'!D79,'24.08 Sironko-Mbale-24h'!D79)</f>
        <v>0</v>
      </c>
      <c r="E79" s="49">
        <f>AVERAGE('22.08 Sironko-Mbale-24h'!E79,'24.08 Sironko-Mbale-24h'!E79)</f>
        <v>0.5</v>
      </c>
      <c r="F79" s="49">
        <f>AVERAGE('22.08 Sironko-Mbale-24h'!F79,'24.08 Sironko-Mbale-24h'!F79)</f>
        <v>0</v>
      </c>
      <c r="G79" s="49">
        <f>AVERAGE('22.08 Sironko-Mbale-24h'!G79,'24.08 Sironko-Mbale-24h'!G79)</f>
        <v>0</v>
      </c>
      <c r="H79" s="49">
        <f>AVERAGE('22.08 Sironko-Mbale-24h'!H79,'24.08 Sironko-Mbale-24h'!H79)</f>
        <v>0</v>
      </c>
      <c r="I79" s="49">
        <f>AVERAGE('22.08 Sironko-Mbale-24h'!I79,'24.08 Sironko-Mbale-24h'!I79)</f>
        <v>0.5</v>
      </c>
      <c r="J79" s="49">
        <f>AVERAGE('22.08 Sironko-Mbale-24h'!J79,'24.08 Sironko-Mbale-24h'!J79)</f>
        <v>0</v>
      </c>
      <c r="K79" s="49">
        <f>AVERAGE('22.08 Sironko-Mbale-24h'!K79,'24.08 Sironko-Mbale-24h'!K79)</f>
        <v>0</v>
      </c>
      <c r="L79" s="49">
        <f>AVERAGE('22.08 Sironko-Mbale-24h'!L79,'24.08 Sironko-Mbale-24h'!L79)</f>
        <v>0</v>
      </c>
      <c r="M79" s="49">
        <f>AVERAGE('22.08 Sironko-Mbale-24h'!M79,'24.08 Sironko-Mbale-24h'!M79)</f>
        <v>2.5</v>
      </c>
      <c r="N79" s="49">
        <f>AVERAGE('22.08 Sironko-Mbale-24h'!N79,'24.08 Sironko-Mbale-24h'!N79)</f>
        <v>0</v>
      </c>
      <c r="O79" s="15">
        <f t="shared" si="35"/>
        <v>1.5</v>
      </c>
      <c r="P79" s="15">
        <f t="shared" si="36"/>
        <v>4</v>
      </c>
      <c r="R79" s="8"/>
      <c r="T79"/>
    </row>
    <row r="80" spans="2:20" ht="23.1" customHeight="1" x14ac:dyDescent="0.25">
      <c r="B80" s="25" t="s">
        <v>120</v>
      </c>
      <c r="C80" s="49">
        <f>AVERAGE('22.08 Sironko-Mbale-24h'!C80,'24.08 Sironko-Mbale-24h'!C80)</f>
        <v>0</v>
      </c>
      <c r="D80" s="49">
        <f>AVERAGE('22.08 Sironko-Mbale-24h'!D80,'24.08 Sironko-Mbale-24h'!D80)</f>
        <v>0</v>
      </c>
      <c r="E80" s="49">
        <f>AVERAGE('22.08 Sironko-Mbale-24h'!E80,'24.08 Sironko-Mbale-24h'!E80)</f>
        <v>0</v>
      </c>
      <c r="F80" s="49">
        <f>AVERAGE('22.08 Sironko-Mbale-24h'!F80,'24.08 Sironko-Mbale-24h'!F80)</f>
        <v>0.5</v>
      </c>
      <c r="G80" s="49">
        <f>AVERAGE('22.08 Sironko-Mbale-24h'!G80,'24.08 Sironko-Mbale-24h'!G80)</f>
        <v>0</v>
      </c>
      <c r="H80" s="49">
        <f>AVERAGE('22.08 Sironko-Mbale-24h'!H80,'24.08 Sironko-Mbale-24h'!H80)</f>
        <v>0</v>
      </c>
      <c r="I80" s="49">
        <f>AVERAGE('22.08 Sironko-Mbale-24h'!I80,'24.08 Sironko-Mbale-24h'!I80)</f>
        <v>0.5</v>
      </c>
      <c r="J80" s="49">
        <f>AVERAGE('22.08 Sironko-Mbale-24h'!J80,'24.08 Sironko-Mbale-24h'!J80)</f>
        <v>0</v>
      </c>
      <c r="K80" s="49">
        <f>AVERAGE('22.08 Sironko-Mbale-24h'!K80,'24.08 Sironko-Mbale-24h'!K80)</f>
        <v>0</v>
      </c>
      <c r="L80" s="49">
        <f>AVERAGE('22.08 Sironko-Mbale-24h'!L80,'24.08 Sironko-Mbale-24h'!L80)</f>
        <v>0</v>
      </c>
      <c r="M80" s="49">
        <f>AVERAGE('22.08 Sironko-Mbale-24h'!M80,'24.08 Sironko-Mbale-24h'!M80)</f>
        <v>1</v>
      </c>
      <c r="N80" s="49">
        <f>AVERAGE('22.08 Sironko-Mbale-24h'!N80,'24.08 Sironko-Mbale-24h'!N80)</f>
        <v>0</v>
      </c>
      <c r="O80" s="15">
        <f t="shared" si="35"/>
        <v>1</v>
      </c>
      <c r="P80" s="15">
        <f t="shared" si="36"/>
        <v>2</v>
      </c>
      <c r="R80" s="8"/>
      <c r="T80"/>
    </row>
    <row r="81" spans="2:20" ht="23.1" customHeight="1" x14ac:dyDescent="0.25">
      <c r="B81" s="23" t="s">
        <v>121</v>
      </c>
      <c r="C81" s="49">
        <f>AVERAGE('22.08 Sironko-Mbale-24h'!C81,'24.08 Sironko-Mbale-24h'!C81)</f>
        <v>0.5</v>
      </c>
      <c r="D81" s="49">
        <f>AVERAGE('22.08 Sironko-Mbale-24h'!D81,'24.08 Sironko-Mbale-24h'!D81)</f>
        <v>0</v>
      </c>
      <c r="E81" s="49">
        <f>AVERAGE('22.08 Sironko-Mbale-24h'!E81,'24.08 Sironko-Mbale-24h'!E81)</f>
        <v>1</v>
      </c>
      <c r="F81" s="49">
        <f>AVERAGE('22.08 Sironko-Mbale-24h'!F81,'24.08 Sironko-Mbale-24h'!F81)</f>
        <v>0</v>
      </c>
      <c r="G81" s="49">
        <f>AVERAGE('22.08 Sironko-Mbale-24h'!G81,'24.08 Sironko-Mbale-24h'!G81)</f>
        <v>0</v>
      </c>
      <c r="H81" s="49">
        <f>AVERAGE('22.08 Sironko-Mbale-24h'!H81,'24.08 Sironko-Mbale-24h'!H81)</f>
        <v>0</v>
      </c>
      <c r="I81" s="49">
        <f>AVERAGE('22.08 Sironko-Mbale-24h'!I81,'24.08 Sironko-Mbale-24h'!I81)</f>
        <v>2</v>
      </c>
      <c r="J81" s="49">
        <f>AVERAGE('22.08 Sironko-Mbale-24h'!J81,'24.08 Sironko-Mbale-24h'!J81)</f>
        <v>0</v>
      </c>
      <c r="K81" s="49">
        <f>AVERAGE('22.08 Sironko-Mbale-24h'!K81,'24.08 Sironko-Mbale-24h'!K81)</f>
        <v>0</v>
      </c>
      <c r="L81" s="49">
        <f>AVERAGE('22.08 Sironko-Mbale-24h'!L81,'24.08 Sironko-Mbale-24h'!L81)</f>
        <v>0</v>
      </c>
      <c r="M81" s="49">
        <f>AVERAGE('22.08 Sironko-Mbale-24h'!M81,'24.08 Sironko-Mbale-24h'!M81)</f>
        <v>1</v>
      </c>
      <c r="N81" s="49">
        <f>AVERAGE('22.08 Sironko-Mbale-24h'!N81,'24.08 Sironko-Mbale-24h'!N81)</f>
        <v>0</v>
      </c>
      <c r="O81" s="15">
        <f t="shared" si="35"/>
        <v>3.5</v>
      </c>
      <c r="P81" s="15">
        <f t="shared" si="36"/>
        <v>4.5</v>
      </c>
      <c r="R81" s="8"/>
      <c r="T81"/>
    </row>
    <row r="82" spans="2:20" ht="23.1" customHeight="1" x14ac:dyDescent="0.25">
      <c r="B82" s="24" t="s">
        <v>122</v>
      </c>
      <c r="C82" s="49">
        <f>AVERAGE('22.08 Sironko-Mbale-24h'!C82,'24.08 Sironko-Mbale-24h'!C82)</f>
        <v>0</v>
      </c>
      <c r="D82" s="49">
        <f>AVERAGE('22.08 Sironko-Mbale-24h'!D82,'24.08 Sironko-Mbale-24h'!D82)</f>
        <v>0</v>
      </c>
      <c r="E82" s="49">
        <f>AVERAGE('22.08 Sironko-Mbale-24h'!E82,'24.08 Sironko-Mbale-24h'!E82)</f>
        <v>1</v>
      </c>
      <c r="F82" s="49">
        <f>AVERAGE('22.08 Sironko-Mbale-24h'!F82,'24.08 Sironko-Mbale-24h'!F82)</f>
        <v>0</v>
      </c>
      <c r="G82" s="49">
        <f>AVERAGE('22.08 Sironko-Mbale-24h'!G82,'24.08 Sironko-Mbale-24h'!G82)</f>
        <v>0</v>
      </c>
      <c r="H82" s="49">
        <f>AVERAGE('22.08 Sironko-Mbale-24h'!H82,'24.08 Sironko-Mbale-24h'!H82)</f>
        <v>0</v>
      </c>
      <c r="I82" s="49">
        <f>AVERAGE('22.08 Sironko-Mbale-24h'!I82,'24.08 Sironko-Mbale-24h'!I82)</f>
        <v>1.5</v>
      </c>
      <c r="J82" s="49">
        <f>AVERAGE('22.08 Sironko-Mbale-24h'!J82,'24.08 Sironko-Mbale-24h'!J82)</f>
        <v>0</v>
      </c>
      <c r="K82" s="49">
        <f>AVERAGE('22.08 Sironko-Mbale-24h'!K82,'24.08 Sironko-Mbale-24h'!K82)</f>
        <v>0</v>
      </c>
      <c r="L82" s="49">
        <f>AVERAGE('22.08 Sironko-Mbale-24h'!L82,'24.08 Sironko-Mbale-24h'!L82)</f>
        <v>0</v>
      </c>
      <c r="M82" s="49">
        <f>AVERAGE('22.08 Sironko-Mbale-24h'!M82,'24.08 Sironko-Mbale-24h'!M82)</f>
        <v>0.5</v>
      </c>
      <c r="N82" s="49">
        <f>AVERAGE('22.08 Sironko-Mbale-24h'!N82,'24.08 Sironko-Mbale-24h'!N82)</f>
        <v>0</v>
      </c>
      <c r="O82" s="15">
        <f t="shared" si="35"/>
        <v>2.5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AVERAGE('22.08 Sironko-Mbale-24h'!C83,'24.08 Sironko-Mbale-24h'!C83)</f>
        <v>0</v>
      </c>
      <c r="D83" s="49">
        <f>AVERAGE('22.08 Sironko-Mbale-24h'!D83,'24.08 Sironko-Mbale-24h'!D83)</f>
        <v>0</v>
      </c>
      <c r="E83" s="49">
        <f>AVERAGE('22.08 Sironko-Mbale-24h'!E83,'24.08 Sironko-Mbale-24h'!E83)</f>
        <v>1</v>
      </c>
      <c r="F83" s="49">
        <f>AVERAGE('22.08 Sironko-Mbale-24h'!F83,'24.08 Sironko-Mbale-24h'!F83)</f>
        <v>0</v>
      </c>
      <c r="G83" s="49">
        <f>AVERAGE('22.08 Sironko-Mbale-24h'!G83,'24.08 Sironko-Mbale-24h'!G83)</f>
        <v>0</v>
      </c>
      <c r="H83" s="49">
        <f>AVERAGE('22.08 Sironko-Mbale-24h'!H83,'24.08 Sironko-Mbale-24h'!H83)</f>
        <v>0</v>
      </c>
      <c r="I83" s="49">
        <f>AVERAGE('22.08 Sironko-Mbale-24h'!I83,'24.08 Sironko-Mbale-24h'!I83)</f>
        <v>0.5</v>
      </c>
      <c r="J83" s="49">
        <f>AVERAGE('22.08 Sironko-Mbale-24h'!J83,'24.08 Sironko-Mbale-24h'!J83)</f>
        <v>0</v>
      </c>
      <c r="K83" s="49">
        <f>AVERAGE('22.08 Sironko-Mbale-24h'!K83,'24.08 Sironko-Mbale-24h'!K83)</f>
        <v>0</v>
      </c>
      <c r="L83" s="49">
        <f>AVERAGE('22.08 Sironko-Mbale-24h'!L83,'24.08 Sironko-Mbale-24h'!L83)</f>
        <v>0</v>
      </c>
      <c r="M83" s="49">
        <f>AVERAGE('22.08 Sironko-Mbale-24h'!M83,'24.08 Sironko-Mbale-24h'!M83)</f>
        <v>1</v>
      </c>
      <c r="N83" s="49">
        <f>AVERAGE('22.08 Sironko-Mbale-24h'!N83,'24.08 Sironko-Mbale-24h'!N83)</f>
        <v>0</v>
      </c>
      <c r="O83" s="15">
        <f t="shared" si="35"/>
        <v>1.5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AVERAGE('22.08 Sironko-Mbale-24h'!C84,'24.08 Sironko-Mbale-24h'!C84)</f>
        <v>0</v>
      </c>
      <c r="D84" s="49">
        <f>AVERAGE('22.08 Sironko-Mbale-24h'!D84,'24.08 Sironko-Mbale-24h'!D84)</f>
        <v>0</v>
      </c>
      <c r="E84" s="49">
        <f>AVERAGE('22.08 Sironko-Mbale-24h'!E84,'24.08 Sironko-Mbale-24h'!E84)</f>
        <v>1</v>
      </c>
      <c r="F84" s="49">
        <f>AVERAGE('22.08 Sironko-Mbale-24h'!F84,'24.08 Sironko-Mbale-24h'!F84)</f>
        <v>0</v>
      </c>
      <c r="G84" s="49">
        <f>AVERAGE('22.08 Sironko-Mbale-24h'!G84,'24.08 Sironko-Mbale-24h'!G84)</f>
        <v>0</v>
      </c>
      <c r="H84" s="49">
        <f>AVERAGE('22.08 Sironko-Mbale-24h'!H84,'24.08 Sironko-Mbale-24h'!H84)</f>
        <v>0</v>
      </c>
      <c r="I84" s="49">
        <f>AVERAGE('22.08 Sironko-Mbale-24h'!I84,'24.08 Sironko-Mbale-24h'!I84)</f>
        <v>0.5</v>
      </c>
      <c r="J84" s="49">
        <f>AVERAGE('22.08 Sironko-Mbale-24h'!J84,'24.08 Sironko-Mbale-24h'!J84)</f>
        <v>0</v>
      </c>
      <c r="K84" s="49">
        <f>AVERAGE('22.08 Sironko-Mbale-24h'!K84,'24.08 Sironko-Mbale-24h'!K84)</f>
        <v>0</v>
      </c>
      <c r="L84" s="49">
        <f>AVERAGE('22.08 Sironko-Mbale-24h'!L84,'24.08 Sironko-Mbale-24h'!L84)</f>
        <v>0</v>
      </c>
      <c r="M84" s="49">
        <f>AVERAGE('22.08 Sironko-Mbale-24h'!M84,'24.08 Sironko-Mbale-24h'!M84)</f>
        <v>1.5</v>
      </c>
      <c r="N84" s="49">
        <f>AVERAGE('22.08 Sironko-Mbale-24h'!N84,'24.08 Sironko-Mbale-24h'!N84)</f>
        <v>0</v>
      </c>
      <c r="O84" s="15">
        <f t="shared" si="35"/>
        <v>1.5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AVERAGE('22.08 Sironko-Mbale-24h'!C85,'24.08 Sironko-Mbale-24h'!C85)</f>
        <v>0</v>
      </c>
      <c r="D85" s="49">
        <f>AVERAGE('22.08 Sironko-Mbale-24h'!D85,'24.08 Sironko-Mbale-24h'!D85)</f>
        <v>0</v>
      </c>
      <c r="E85" s="49">
        <f>AVERAGE('22.08 Sironko-Mbale-24h'!E85,'24.08 Sironko-Mbale-24h'!E85)</f>
        <v>2</v>
      </c>
      <c r="F85" s="49">
        <f>AVERAGE('22.08 Sironko-Mbale-24h'!F85,'24.08 Sironko-Mbale-24h'!F85)</f>
        <v>0</v>
      </c>
      <c r="G85" s="49">
        <f>AVERAGE('22.08 Sironko-Mbale-24h'!G85,'24.08 Sironko-Mbale-24h'!G85)</f>
        <v>0</v>
      </c>
      <c r="H85" s="49">
        <f>AVERAGE('22.08 Sironko-Mbale-24h'!H85,'24.08 Sironko-Mbale-24h'!H85)</f>
        <v>0</v>
      </c>
      <c r="I85" s="49">
        <f>AVERAGE('22.08 Sironko-Mbale-24h'!I85,'24.08 Sironko-Mbale-24h'!I85)</f>
        <v>1.5</v>
      </c>
      <c r="J85" s="49">
        <f>AVERAGE('22.08 Sironko-Mbale-24h'!J85,'24.08 Sironko-Mbale-24h'!J85)</f>
        <v>0</v>
      </c>
      <c r="K85" s="49">
        <f>AVERAGE('22.08 Sironko-Mbale-24h'!K85,'24.08 Sironko-Mbale-24h'!K85)</f>
        <v>0</v>
      </c>
      <c r="L85" s="49">
        <f>AVERAGE('22.08 Sironko-Mbale-24h'!L85,'24.08 Sironko-Mbale-24h'!L85)</f>
        <v>0</v>
      </c>
      <c r="M85" s="49">
        <f>AVERAGE('22.08 Sironko-Mbale-24h'!M85,'24.08 Sironko-Mbale-24h'!M85)</f>
        <v>1</v>
      </c>
      <c r="N85" s="49">
        <f>AVERAGE('22.08 Sironko-Mbale-24h'!N85,'24.08 Sironko-Mbale-24h'!N85)</f>
        <v>0</v>
      </c>
      <c r="O85" s="15">
        <f t="shared" si="35"/>
        <v>3.5</v>
      </c>
      <c r="P85" s="15">
        <f t="shared" si="36"/>
        <v>4.5</v>
      </c>
      <c r="R85" s="8"/>
      <c r="T85"/>
    </row>
    <row r="86" spans="2:20" ht="23.1" customHeight="1" x14ac:dyDescent="0.25">
      <c r="B86" s="24" t="s">
        <v>126</v>
      </c>
      <c r="C86" s="49">
        <f>AVERAGE('22.08 Sironko-Mbale-24h'!C86,'24.08 Sironko-Mbale-24h'!C86)</f>
        <v>0</v>
      </c>
      <c r="D86" s="49">
        <f>AVERAGE('22.08 Sironko-Mbale-24h'!D86,'24.08 Sironko-Mbale-24h'!D86)</f>
        <v>0</v>
      </c>
      <c r="E86" s="49">
        <f>AVERAGE('22.08 Sironko-Mbale-24h'!E86,'24.08 Sironko-Mbale-24h'!E86)</f>
        <v>1.5</v>
      </c>
      <c r="F86" s="49">
        <f>AVERAGE('22.08 Sironko-Mbale-24h'!F86,'24.08 Sironko-Mbale-24h'!F86)</f>
        <v>0</v>
      </c>
      <c r="G86" s="49">
        <f>AVERAGE('22.08 Sironko-Mbale-24h'!G86,'24.08 Sironko-Mbale-24h'!G86)</f>
        <v>0</v>
      </c>
      <c r="H86" s="49">
        <f>AVERAGE('22.08 Sironko-Mbale-24h'!H86,'24.08 Sironko-Mbale-24h'!H86)</f>
        <v>0</v>
      </c>
      <c r="I86" s="49">
        <f>AVERAGE('22.08 Sironko-Mbale-24h'!I86,'24.08 Sironko-Mbale-24h'!I86)</f>
        <v>1</v>
      </c>
      <c r="J86" s="49">
        <f>AVERAGE('22.08 Sironko-Mbale-24h'!J86,'24.08 Sironko-Mbale-24h'!J86)</f>
        <v>0</v>
      </c>
      <c r="K86" s="49">
        <f>AVERAGE('22.08 Sironko-Mbale-24h'!K86,'24.08 Sironko-Mbale-24h'!K86)</f>
        <v>0</v>
      </c>
      <c r="L86" s="49">
        <f>AVERAGE('22.08 Sironko-Mbale-24h'!L86,'24.08 Sironko-Mbale-24h'!L86)</f>
        <v>0</v>
      </c>
      <c r="M86" s="49">
        <f>AVERAGE('22.08 Sironko-Mbale-24h'!M86,'24.08 Sironko-Mbale-24h'!M86)</f>
        <v>2</v>
      </c>
      <c r="N86" s="49">
        <f>AVERAGE('22.08 Sironko-Mbale-24h'!N86,'24.08 Sironko-Mbale-24h'!N86)</f>
        <v>0</v>
      </c>
      <c r="O86" s="15">
        <f t="shared" si="35"/>
        <v>2.5</v>
      </c>
      <c r="P86" s="15">
        <f t="shared" si="36"/>
        <v>4.5</v>
      </c>
      <c r="R86" s="8"/>
      <c r="T86"/>
    </row>
    <row r="87" spans="2:20" ht="23.1" customHeight="1" x14ac:dyDescent="0.25">
      <c r="B87" s="23" t="s">
        <v>127</v>
      </c>
      <c r="C87" s="49">
        <f>AVERAGE('22.08 Sironko-Mbale-24h'!C87,'24.08 Sironko-Mbale-24h'!C87)</f>
        <v>0</v>
      </c>
      <c r="D87" s="49">
        <f>AVERAGE('22.08 Sironko-Mbale-24h'!D87,'24.08 Sironko-Mbale-24h'!D87)</f>
        <v>0</v>
      </c>
      <c r="E87" s="49">
        <f>AVERAGE('22.08 Sironko-Mbale-24h'!E87,'24.08 Sironko-Mbale-24h'!E87)</f>
        <v>0.5</v>
      </c>
      <c r="F87" s="49">
        <f>AVERAGE('22.08 Sironko-Mbale-24h'!F87,'24.08 Sironko-Mbale-24h'!F87)</f>
        <v>0</v>
      </c>
      <c r="G87" s="49">
        <f>AVERAGE('22.08 Sironko-Mbale-24h'!G87,'24.08 Sironko-Mbale-24h'!G87)</f>
        <v>0</v>
      </c>
      <c r="H87" s="49">
        <f>AVERAGE('22.08 Sironko-Mbale-24h'!H87,'24.08 Sironko-Mbale-24h'!H87)</f>
        <v>0</v>
      </c>
      <c r="I87" s="49">
        <f>AVERAGE('22.08 Sironko-Mbale-24h'!I87,'24.08 Sironko-Mbale-24h'!I87)</f>
        <v>1</v>
      </c>
      <c r="J87" s="49">
        <f>AVERAGE('22.08 Sironko-Mbale-24h'!J87,'24.08 Sironko-Mbale-24h'!J87)</f>
        <v>0</v>
      </c>
      <c r="K87" s="49">
        <f>AVERAGE('22.08 Sironko-Mbale-24h'!K87,'24.08 Sironko-Mbale-24h'!K87)</f>
        <v>0</v>
      </c>
      <c r="L87" s="49">
        <f>AVERAGE('22.08 Sironko-Mbale-24h'!L87,'24.08 Sironko-Mbale-24h'!L87)</f>
        <v>0</v>
      </c>
      <c r="M87" s="49">
        <f>AVERAGE('22.08 Sironko-Mbale-24h'!M87,'24.08 Sironko-Mbale-24h'!M87)</f>
        <v>0.5</v>
      </c>
      <c r="N87" s="49">
        <f>AVERAGE('22.08 Sironko-Mbale-24h'!N87,'24.08 Sironko-Mbale-24h'!N87)</f>
        <v>0</v>
      </c>
      <c r="O87" s="15">
        <f t="shared" si="35"/>
        <v>1.5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AVERAGE('22.08 Sironko-Mbale-24h'!C88,'24.08 Sironko-Mbale-24h'!C88)</f>
        <v>0</v>
      </c>
      <c r="D88" s="49">
        <f>AVERAGE('22.08 Sironko-Mbale-24h'!D88,'24.08 Sironko-Mbale-24h'!D88)</f>
        <v>0</v>
      </c>
      <c r="E88" s="49">
        <f>AVERAGE('22.08 Sironko-Mbale-24h'!E88,'24.08 Sironko-Mbale-24h'!E88)</f>
        <v>1</v>
      </c>
      <c r="F88" s="49">
        <f>AVERAGE('22.08 Sironko-Mbale-24h'!F88,'24.08 Sironko-Mbale-24h'!F88)</f>
        <v>0</v>
      </c>
      <c r="G88" s="49">
        <f>AVERAGE('22.08 Sironko-Mbale-24h'!G88,'24.08 Sironko-Mbale-24h'!G88)</f>
        <v>0</v>
      </c>
      <c r="H88" s="49">
        <f>AVERAGE('22.08 Sironko-Mbale-24h'!H88,'24.08 Sironko-Mbale-24h'!H88)</f>
        <v>0</v>
      </c>
      <c r="I88" s="49">
        <f>AVERAGE('22.08 Sironko-Mbale-24h'!I88,'24.08 Sironko-Mbale-24h'!I88)</f>
        <v>1.5</v>
      </c>
      <c r="J88" s="49">
        <f>AVERAGE('22.08 Sironko-Mbale-24h'!J88,'24.08 Sironko-Mbale-24h'!J88)</f>
        <v>0</v>
      </c>
      <c r="K88" s="49">
        <f>AVERAGE('22.08 Sironko-Mbale-24h'!K88,'24.08 Sironko-Mbale-24h'!K88)</f>
        <v>0</v>
      </c>
      <c r="L88" s="49">
        <f>AVERAGE('22.08 Sironko-Mbale-24h'!L88,'24.08 Sironko-Mbale-24h'!L88)</f>
        <v>0</v>
      </c>
      <c r="M88" s="49">
        <f>AVERAGE('22.08 Sironko-Mbale-24h'!M88,'24.08 Sironko-Mbale-24h'!M88)</f>
        <v>1.5</v>
      </c>
      <c r="N88" s="49">
        <f>AVERAGE('22.08 Sironko-Mbale-24h'!N88,'24.08 Sironko-Mbale-24h'!N88)</f>
        <v>0</v>
      </c>
      <c r="O88" s="15">
        <f t="shared" si="35"/>
        <v>2.5</v>
      </c>
      <c r="P88" s="15">
        <f t="shared" si="36"/>
        <v>4</v>
      </c>
      <c r="R88" s="8"/>
      <c r="T88"/>
    </row>
    <row r="89" spans="2:20" ht="23.1" customHeight="1" x14ac:dyDescent="0.25">
      <c r="B89" s="23" t="s">
        <v>129</v>
      </c>
      <c r="C89" s="49">
        <f>AVERAGE('22.08 Sironko-Mbale-24h'!C89,'24.08 Sironko-Mbale-24h'!C89)</f>
        <v>0</v>
      </c>
      <c r="D89" s="49">
        <f>AVERAGE('22.08 Sironko-Mbale-24h'!D89,'24.08 Sironko-Mbale-24h'!D89)</f>
        <v>0</v>
      </c>
      <c r="E89" s="49">
        <f>AVERAGE('22.08 Sironko-Mbale-24h'!E89,'24.08 Sironko-Mbale-24h'!E89)</f>
        <v>0</v>
      </c>
      <c r="F89" s="49">
        <f>AVERAGE('22.08 Sironko-Mbale-24h'!F89,'24.08 Sironko-Mbale-24h'!F89)</f>
        <v>0</v>
      </c>
      <c r="G89" s="49">
        <f>AVERAGE('22.08 Sironko-Mbale-24h'!G89,'24.08 Sironko-Mbale-24h'!G89)</f>
        <v>0</v>
      </c>
      <c r="H89" s="49">
        <f>AVERAGE('22.08 Sironko-Mbale-24h'!H89,'24.08 Sironko-Mbale-24h'!H89)</f>
        <v>0</v>
      </c>
      <c r="I89" s="49">
        <f>AVERAGE('22.08 Sironko-Mbale-24h'!I89,'24.08 Sironko-Mbale-24h'!I89)</f>
        <v>0</v>
      </c>
      <c r="J89" s="49">
        <f>AVERAGE('22.08 Sironko-Mbale-24h'!J89,'24.08 Sironko-Mbale-24h'!J89)</f>
        <v>0</v>
      </c>
      <c r="K89" s="49">
        <f>AVERAGE('22.08 Sironko-Mbale-24h'!K89,'24.08 Sironko-Mbale-24h'!K89)</f>
        <v>0</v>
      </c>
      <c r="L89" s="49">
        <f>AVERAGE('22.08 Sironko-Mbale-24h'!L89,'24.08 Sironko-Mbale-24h'!L89)</f>
        <v>0</v>
      </c>
      <c r="M89" s="49">
        <f>AVERAGE('22.08 Sironko-Mbale-24h'!M89,'24.08 Sironko-Mbale-24h'!M89)</f>
        <v>1</v>
      </c>
      <c r="N89" s="49">
        <f>AVERAGE('22.08 Sironko-Mbale-24h'!N89,'24.08 Sironko-Mbale-24h'!N89)</f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24" t="s">
        <v>130</v>
      </c>
      <c r="C90" s="49">
        <f>AVERAGE('22.08 Sironko-Mbale-24h'!C90,'24.08 Sironko-Mbale-24h'!C90)</f>
        <v>0</v>
      </c>
      <c r="D90" s="49">
        <f>AVERAGE('22.08 Sironko-Mbale-24h'!D90,'24.08 Sironko-Mbale-24h'!D90)</f>
        <v>0</v>
      </c>
      <c r="E90" s="49">
        <f>AVERAGE('22.08 Sironko-Mbale-24h'!E90,'24.08 Sironko-Mbale-24h'!E90)</f>
        <v>0</v>
      </c>
      <c r="F90" s="49">
        <f>AVERAGE('22.08 Sironko-Mbale-24h'!F90,'24.08 Sironko-Mbale-24h'!F90)</f>
        <v>0</v>
      </c>
      <c r="G90" s="49">
        <f>AVERAGE('22.08 Sironko-Mbale-24h'!G90,'24.08 Sironko-Mbale-24h'!G90)</f>
        <v>0</v>
      </c>
      <c r="H90" s="49">
        <f>AVERAGE('22.08 Sironko-Mbale-24h'!H90,'24.08 Sironko-Mbale-24h'!H90)</f>
        <v>0</v>
      </c>
      <c r="I90" s="49">
        <f>AVERAGE('22.08 Sironko-Mbale-24h'!I90,'24.08 Sironko-Mbale-24h'!I90)</f>
        <v>0</v>
      </c>
      <c r="J90" s="49">
        <f>AVERAGE('22.08 Sironko-Mbale-24h'!J90,'24.08 Sironko-Mbale-24h'!J90)</f>
        <v>0</v>
      </c>
      <c r="K90" s="49">
        <f>AVERAGE('22.08 Sironko-Mbale-24h'!K90,'24.08 Sironko-Mbale-24h'!K90)</f>
        <v>0</v>
      </c>
      <c r="L90" s="49">
        <f>AVERAGE('22.08 Sironko-Mbale-24h'!L90,'24.08 Sironko-Mbale-24h'!L90)</f>
        <v>0</v>
      </c>
      <c r="M90" s="49">
        <f>AVERAGE('22.08 Sironko-Mbale-24h'!M90,'24.08 Sironko-Mbale-24h'!M90)</f>
        <v>0</v>
      </c>
      <c r="N90" s="49">
        <f>AVERAGE('22.08 Sironko-Mbale-24h'!N90,'24.08 Sironko-Mbale-24h'!N90)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AVERAGE('22.08 Sironko-Mbale-24h'!C91,'24.08 Sironko-Mbale-24h'!C91)</f>
        <v>0</v>
      </c>
      <c r="D91" s="49">
        <f>AVERAGE('22.08 Sironko-Mbale-24h'!D91,'24.08 Sironko-Mbale-24h'!D91)</f>
        <v>0</v>
      </c>
      <c r="E91" s="49">
        <f>AVERAGE('22.08 Sironko-Mbale-24h'!E91,'24.08 Sironko-Mbale-24h'!E91)</f>
        <v>0.5</v>
      </c>
      <c r="F91" s="49">
        <f>AVERAGE('22.08 Sironko-Mbale-24h'!F91,'24.08 Sironko-Mbale-24h'!F91)</f>
        <v>0</v>
      </c>
      <c r="G91" s="49">
        <f>AVERAGE('22.08 Sironko-Mbale-24h'!G91,'24.08 Sironko-Mbale-24h'!G91)</f>
        <v>0</v>
      </c>
      <c r="H91" s="49">
        <f>AVERAGE('22.08 Sironko-Mbale-24h'!H91,'24.08 Sironko-Mbale-24h'!H91)</f>
        <v>0</v>
      </c>
      <c r="I91" s="49">
        <f>AVERAGE('22.08 Sironko-Mbale-24h'!I91,'24.08 Sironko-Mbale-24h'!I91)</f>
        <v>0</v>
      </c>
      <c r="J91" s="49">
        <f>AVERAGE('22.08 Sironko-Mbale-24h'!J91,'24.08 Sironko-Mbale-24h'!J91)</f>
        <v>0</v>
      </c>
      <c r="K91" s="49">
        <f>AVERAGE('22.08 Sironko-Mbale-24h'!K91,'24.08 Sironko-Mbale-24h'!K91)</f>
        <v>0</v>
      </c>
      <c r="L91" s="49">
        <f>AVERAGE('22.08 Sironko-Mbale-24h'!L91,'24.08 Sironko-Mbale-24h'!L91)</f>
        <v>0</v>
      </c>
      <c r="M91" s="49">
        <f>AVERAGE('22.08 Sironko-Mbale-24h'!M91,'24.08 Sironko-Mbale-24h'!M91)</f>
        <v>0</v>
      </c>
      <c r="N91" s="49">
        <f>AVERAGE('22.08 Sironko-Mbale-24h'!N91,'24.08 Sironko-Mbale-24h'!N91)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AVERAGE('22.08 Sironko-Mbale-24h'!C92,'24.08 Sironko-Mbale-24h'!C92)</f>
        <v>0</v>
      </c>
      <c r="D92" s="49">
        <f>AVERAGE('22.08 Sironko-Mbale-24h'!D92,'24.08 Sironko-Mbale-24h'!D92)</f>
        <v>0</v>
      </c>
      <c r="E92" s="49">
        <f>AVERAGE('22.08 Sironko-Mbale-24h'!E92,'24.08 Sironko-Mbale-24h'!E92)</f>
        <v>1</v>
      </c>
      <c r="F92" s="49">
        <f>AVERAGE('22.08 Sironko-Mbale-24h'!F92,'24.08 Sironko-Mbale-24h'!F92)</f>
        <v>0</v>
      </c>
      <c r="G92" s="49">
        <f>AVERAGE('22.08 Sironko-Mbale-24h'!G92,'24.08 Sironko-Mbale-24h'!G92)</f>
        <v>0</v>
      </c>
      <c r="H92" s="49">
        <f>AVERAGE('22.08 Sironko-Mbale-24h'!H92,'24.08 Sironko-Mbale-24h'!H92)</f>
        <v>0</v>
      </c>
      <c r="I92" s="49">
        <f>AVERAGE('22.08 Sironko-Mbale-24h'!I92,'24.08 Sironko-Mbale-24h'!I92)</f>
        <v>0</v>
      </c>
      <c r="J92" s="49">
        <f>AVERAGE('22.08 Sironko-Mbale-24h'!J92,'24.08 Sironko-Mbale-24h'!J92)</f>
        <v>0</v>
      </c>
      <c r="K92" s="49">
        <f>AVERAGE('22.08 Sironko-Mbale-24h'!K92,'24.08 Sironko-Mbale-24h'!K92)</f>
        <v>0</v>
      </c>
      <c r="L92" s="49">
        <f>AVERAGE('22.08 Sironko-Mbale-24h'!L92,'24.08 Sironko-Mbale-24h'!L92)</f>
        <v>0</v>
      </c>
      <c r="M92" s="49">
        <f>AVERAGE('22.08 Sironko-Mbale-24h'!M92,'24.08 Sironko-Mbale-24h'!M92)</f>
        <v>0</v>
      </c>
      <c r="N92" s="49">
        <f>AVERAGE('22.08 Sironko-Mbale-24h'!N92,'24.08 Sironko-Mbale-24h'!N92)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AVERAGE('22.08 Sironko-Mbale-24h'!C93,'24.08 Sironko-Mbale-24h'!C93)</f>
        <v>0</v>
      </c>
      <c r="D93" s="49">
        <f>AVERAGE('22.08 Sironko-Mbale-24h'!D93,'24.08 Sironko-Mbale-24h'!D93)</f>
        <v>0</v>
      </c>
      <c r="E93" s="49">
        <f>AVERAGE('22.08 Sironko-Mbale-24h'!E93,'24.08 Sironko-Mbale-24h'!E93)</f>
        <v>1.5</v>
      </c>
      <c r="F93" s="49">
        <f>AVERAGE('22.08 Sironko-Mbale-24h'!F93,'24.08 Sironko-Mbale-24h'!F93)</f>
        <v>0</v>
      </c>
      <c r="G93" s="49">
        <f>AVERAGE('22.08 Sironko-Mbale-24h'!G93,'24.08 Sironko-Mbale-24h'!G93)</f>
        <v>0</v>
      </c>
      <c r="H93" s="49">
        <f>AVERAGE('22.08 Sironko-Mbale-24h'!H93,'24.08 Sironko-Mbale-24h'!H93)</f>
        <v>0</v>
      </c>
      <c r="I93" s="49">
        <f>AVERAGE('22.08 Sironko-Mbale-24h'!I93,'24.08 Sironko-Mbale-24h'!I93)</f>
        <v>1</v>
      </c>
      <c r="J93" s="49">
        <f>AVERAGE('22.08 Sironko-Mbale-24h'!J93,'24.08 Sironko-Mbale-24h'!J93)</f>
        <v>0</v>
      </c>
      <c r="K93" s="49">
        <f>AVERAGE('22.08 Sironko-Mbale-24h'!K93,'24.08 Sironko-Mbale-24h'!K93)</f>
        <v>0</v>
      </c>
      <c r="L93" s="49">
        <f>AVERAGE('22.08 Sironko-Mbale-24h'!L93,'24.08 Sironko-Mbale-24h'!L93)</f>
        <v>0</v>
      </c>
      <c r="M93" s="49">
        <f>AVERAGE('22.08 Sironko-Mbale-24h'!M93,'24.08 Sironko-Mbale-24h'!M93)</f>
        <v>2</v>
      </c>
      <c r="N93" s="49">
        <f>AVERAGE('22.08 Sironko-Mbale-24h'!N93,'24.08 Sironko-Mbale-24h'!N93)</f>
        <v>0</v>
      </c>
      <c r="O93" s="15">
        <f t="shared" si="35"/>
        <v>2.5</v>
      </c>
      <c r="P93" s="15">
        <f t="shared" si="36"/>
        <v>4.5</v>
      </c>
      <c r="R93" s="8"/>
      <c r="T93"/>
    </row>
    <row r="94" spans="2:20" ht="23.1" customHeight="1" x14ac:dyDescent="0.25">
      <c r="B94" s="24" t="s">
        <v>134</v>
      </c>
      <c r="C94" s="49">
        <f>AVERAGE('22.08 Sironko-Mbale-24h'!C94,'24.08 Sironko-Mbale-24h'!C94)</f>
        <v>0</v>
      </c>
      <c r="D94" s="49">
        <f>AVERAGE('22.08 Sironko-Mbale-24h'!D94,'24.08 Sironko-Mbale-24h'!D94)</f>
        <v>0</v>
      </c>
      <c r="E94" s="49">
        <f>AVERAGE('22.08 Sironko-Mbale-24h'!E94,'24.08 Sironko-Mbale-24h'!E94)</f>
        <v>0.5</v>
      </c>
      <c r="F94" s="49">
        <f>AVERAGE('22.08 Sironko-Mbale-24h'!F94,'24.08 Sironko-Mbale-24h'!F94)</f>
        <v>0</v>
      </c>
      <c r="G94" s="49">
        <f>AVERAGE('22.08 Sironko-Mbale-24h'!G94,'24.08 Sironko-Mbale-24h'!G94)</f>
        <v>0</v>
      </c>
      <c r="H94" s="49">
        <f>AVERAGE('22.08 Sironko-Mbale-24h'!H94,'24.08 Sironko-Mbale-24h'!H94)</f>
        <v>0</v>
      </c>
      <c r="I94" s="49">
        <f>AVERAGE('22.08 Sironko-Mbale-24h'!I94,'24.08 Sironko-Mbale-24h'!I94)</f>
        <v>1</v>
      </c>
      <c r="J94" s="49">
        <f>AVERAGE('22.08 Sironko-Mbale-24h'!J94,'24.08 Sironko-Mbale-24h'!J94)</f>
        <v>0</v>
      </c>
      <c r="K94" s="49">
        <f>AVERAGE('22.08 Sironko-Mbale-24h'!K94,'24.08 Sironko-Mbale-24h'!K94)</f>
        <v>0</v>
      </c>
      <c r="L94" s="49">
        <f>AVERAGE('22.08 Sironko-Mbale-24h'!L94,'24.08 Sironko-Mbale-24h'!L94)</f>
        <v>0</v>
      </c>
      <c r="M94" s="49">
        <f>AVERAGE('22.08 Sironko-Mbale-24h'!M94,'24.08 Sironko-Mbale-24h'!M94)</f>
        <v>0</v>
      </c>
      <c r="N94" s="49">
        <f>AVERAGE('22.08 Sironko-Mbale-24h'!N94,'24.08 Sironko-Mbale-24h'!N94)</f>
        <v>0</v>
      </c>
      <c r="O94" s="15">
        <f t="shared" si="35"/>
        <v>1.5</v>
      </c>
      <c r="P94" s="15">
        <f t="shared" si="36"/>
        <v>1.5</v>
      </c>
      <c r="R94" s="8"/>
      <c r="T94"/>
    </row>
    <row r="95" spans="2:20" ht="23.1" customHeight="1" x14ac:dyDescent="0.25">
      <c r="B95" s="23" t="s">
        <v>135</v>
      </c>
      <c r="C95" s="49">
        <f>AVERAGE('22.08 Sironko-Mbale-24h'!C95,'24.08 Sironko-Mbale-24h'!C95)</f>
        <v>0</v>
      </c>
      <c r="D95" s="49">
        <f>AVERAGE('22.08 Sironko-Mbale-24h'!D95,'24.08 Sironko-Mbale-24h'!D95)</f>
        <v>0</v>
      </c>
      <c r="E95" s="49">
        <f>AVERAGE('22.08 Sironko-Mbale-24h'!E95,'24.08 Sironko-Mbale-24h'!E95)</f>
        <v>0</v>
      </c>
      <c r="F95" s="49">
        <f>AVERAGE('22.08 Sironko-Mbale-24h'!F95,'24.08 Sironko-Mbale-24h'!F95)</f>
        <v>0</v>
      </c>
      <c r="G95" s="49">
        <f>AVERAGE('22.08 Sironko-Mbale-24h'!G95,'24.08 Sironko-Mbale-24h'!G95)</f>
        <v>0</v>
      </c>
      <c r="H95" s="49">
        <f>AVERAGE('22.08 Sironko-Mbale-24h'!H95,'24.08 Sironko-Mbale-24h'!H95)</f>
        <v>0</v>
      </c>
      <c r="I95" s="49">
        <f>AVERAGE('22.08 Sironko-Mbale-24h'!I95,'24.08 Sironko-Mbale-24h'!I95)</f>
        <v>0.5</v>
      </c>
      <c r="J95" s="49">
        <f>AVERAGE('22.08 Sironko-Mbale-24h'!J95,'24.08 Sironko-Mbale-24h'!J95)</f>
        <v>0</v>
      </c>
      <c r="K95" s="49">
        <f>AVERAGE('22.08 Sironko-Mbale-24h'!K95,'24.08 Sironko-Mbale-24h'!K95)</f>
        <v>0</v>
      </c>
      <c r="L95" s="49">
        <f>AVERAGE('22.08 Sironko-Mbale-24h'!L95,'24.08 Sironko-Mbale-24h'!L95)</f>
        <v>0</v>
      </c>
      <c r="M95" s="49">
        <f>AVERAGE('22.08 Sironko-Mbale-24h'!M95,'24.08 Sironko-Mbale-24h'!M95)</f>
        <v>2</v>
      </c>
      <c r="N95" s="49">
        <f>AVERAGE('22.08 Sironko-Mbale-24h'!N95,'24.08 Sironko-Mbale-24h'!N95)</f>
        <v>0</v>
      </c>
      <c r="O95" s="15">
        <f t="shared" si="35"/>
        <v>0.5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AVERAGE('22.08 Sironko-Mbale-24h'!C96,'24.08 Sironko-Mbale-24h'!C96)</f>
        <v>0.5</v>
      </c>
      <c r="D96" s="49">
        <f>AVERAGE('22.08 Sironko-Mbale-24h'!D96,'24.08 Sironko-Mbale-24h'!D96)</f>
        <v>0</v>
      </c>
      <c r="E96" s="49">
        <f>AVERAGE('22.08 Sironko-Mbale-24h'!E96,'24.08 Sironko-Mbale-24h'!E96)</f>
        <v>1</v>
      </c>
      <c r="F96" s="49">
        <f>AVERAGE('22.08 Sironko-Mbale-24h'!F96,'24.08 Sironko-Mbale-24h'!F96)</f>
        <v>0</v>
      </c>
      <c r="G96" s="49">
        <f>AVERAGE('22.08 Sironko-Mbale-24h'!G96,'24.08 Sironko-Mbale-24h'!G96)</f>
        <v>1</v>
      </c>
      <c r="H96" s="49">
        <f>AVERAGE('22.08 Sironko-Mbale-24h'!H96,'24.08 Sironko-Mbale-24h'!H96)</f>
        <v>0</v>
      </c>
      <c r="I96" s="49">
        <f>AVERAGE('22.08 Sironko-Mbale-24h'!I96,'24.08 Sironko-Mbale-24h'!I96)</f>
        <v>0</v>
      </c>
      <c r="J96" s="49">
        <f>AVERAGE('22.08 Sironko-Mbale-24h'!J96,'24.08 Sironko-Mbale-24h'!J96)</f>
        <v>0</v>
      </c>
      <c r="K96" s="49">
        <f>AVERAGE('22.08 Sironko-Mbale-24h'!K96,'24.08 Sironko-Mbale-24h'!K96)</f>
        <v>0</v>
      </c>
      <c r="L96" s="49">
        <f>AVERAGE('22.08 Sironko-Mbale-24h'!L96,'24.08 Sironko-Mbale-24h'!L96)</f>
        <v>0</v>
      </c>
      <c r="M96" s="49">
        <f>AVERAGE('22.08 Sironko-Mbale-24h'!M96,'24.08 Sironko-Mbale-24h'!M96)</f>
        <v>1</v>
      </c>
      <c r="N96" s="49">
        <f>AVERAGE('22.08 Sironko-Mbale-24h'!N96,'24.08 Sironko-Mbale-24h'!N96)</f>
        <v>0</v>
      </c>
      <c r="O96" s="15">
        <f t="shared" si="35"/>
        <v>2.5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AVERAGE('22.08 Sironko-Mbale-24h'!C97,'24.08 Sironko-Mbale-24h'!C97)</f>
        <v>0.5</v>
      </c>
      <c r="D97" s="49">
        <f>AVERAGE('22.08 Sironko-Mbale-24h'!D97,'24.08 Sironko-Mbale-24h'!D97)</f>
        <v>0</v>
      </c>
      <c r="E97" s="49">
        <f>AVERAGE('22.08 Sironko-Mbale-24h'!E97,'24.08 Sironko-Mbale-24h'!E97)</f>
        <v>1.5</v>
      </c>
      <c r="F97" s="49">
        <f>AVERAGE('22.08 Sironko-Mbale-24h'!F97,'24.08 Sironko-Mbale-24h'!F97)</f>
        <v>0</v>
      </c>
      <c r="G97" s="49">
        <f>AVERAGE('22.08 Sironko-Mbale-24h'!G97,'24.08 Sironko-Mbale-24h'!G97)</f>
        <v>0</v>
      </c>
      <c r="H97" s="49">
        <f>AVERAGE('22.08 Sironko-Mbale-24h'!H97,'24.08 Sironko-Mbale-24h'!H97)</f>
        <v>0</v>
      </c>
      <c r="I97" s="49">
        <f>AVERAGE('22.08 Sironko-Mbale-24h'!I97,'24.08 Sironko-Mbale-24h'!I97)</f>
        <v>1.5</v>
      </c>
      <c r="J97" s="49">
        <f>AVERAGE('22.08 Sironko-Mbale-24h'!J97,'24.08 Sironko-Mbale-24h'!J97)</f>
        <v>0</v>
      </c>
      <c r="K97" s="49">
        <f>AVERAGE('22.08 Sironko-Mbale-24h'!K97,'24.08 Sironko-Mbale-24h'!K97)</f>
        <v>0</v>
      </c>
      <c r="L97" s="49">
        <f>AVERAGE('22.08 Sironko-Mbale-24h'!L97,'24.08 Sironko-Mbale-24h'!L97)</f>
        <v>0</v>
      </c>
      <c r="M97" s="49">
        <f>AVERAGE('22.08 Sironko-Mbale-24h'!M97,'24.08 Sironko-Mbale-24h'!M97)</f>
        <v>3</v>
      </c>
      <c r="N97" s="49">
        <f>AVERAGE('22.08 Sironko-Mbale-24h'!N97,'24.08 Sironko-Mbale-24h'!N97)</f>
        <v>0</v>
      </c>
      <c r="O97" s="15">
        <f t="shared" si="35"/>
        <v>3.5</v>
      </c>
      <c r="P97" s="15">
        <f t="shared" si="36"/>
        <v>6.5</v>
      </c>
      <c r="R97" s="8"/>
      <c r="T97"/>
    </row>
    <row r="98" spans="2:20" ht="23.1" customHeight="1" x14ac:dyDescent="0.25">
      <c r="B98" s="24" t="s">
        <v>138</v>
      </c>
      <c r="C98" s="49">
        <f>AVERAGE('22.08 Sironko-Mbale-24h'!C98,'24.08 Sironko-Mbale-24h'!C98)</f>
        <v>0</v>
      </c>
      <c r="D98" s="49">
        <f>AVERAGE('22.08 Sironko-Mbale-24h'!D98,'24.08 Sironko-Mbale-24h'!D98)</f>
        <v>0</v>
      </c>
      <c r="E98" s="49">
        <f>AVERAGE('22.08 Sironko-Mbale-24h'!E98,'24.08 Sironko-Mbale-24h'!E98)</f>
        <v>0</v>
      </c>
      <c r="F98" s="49">
        <f>AVERAGE('22.08 Sironko-Mbale-24h'!F98,'24.08 Sironko-Mbale-24h'!F98)</f>
        <v>0</v>
      </c>
      <c r="G98" s="49">
        <f>AVERAGE('22.08 Sironko-Mbale-24h'!G98,'24.08 Sironko-Mbale-24h'!G98)</f>
        <v>0</v>
      </c>
      <c r="H98" s="49">
        <f>AVERAGE('22.08 Sironko-Mbale-24h'!H98,'24.08 Sironko-Mbale-24h'!H98)</f>
        <v>0</v>
      </c>
      <c r="I98" s="49">
        <f>AVERAGE('22.08 Sironko-Mbale-24h'!I98,'24.08 Sironko-Mbale-24h'!I98)</f>
        <v>0.5</v>
      </c>
      <c r="J98" s="49">
        <f>AVERAGE('22.08 Sironko-Mbale-24h'!J98,'24.08 Sironko-Mbale-24h'!J98)</f>
        <v>0</v>
      </c>
      <c r="K98" s="49">
        <f>AVERAGE('22.08 Sironko-Mbale-24h'!K98,'24.08 Sironko-Mbale-24h'!K98)</f>
        <v>0</v>
      </c>
      <c r="L98" s="49">
        <f>AVERAGE('22.08 Sironko-Mbale-24h'!L98,'24.08 Sironko-Mbale-24h'!L98)</f>
        <v>0</v>
      </c>
      <c r="M98" s="49">
        <f>AVERAGE('22.08 Sironko-Mbale-24h'!M98,'24.08 Sironko-Mbale-24h'!M98)</f>
        <v>2</v>
      </c>
      <c r="N98" s="49">
        <f>AVERAGE('22.08 Sironko-Mbale-24h'!N98,'24.08 Sironko-Mbale-24h'!N98)</f>
        <v>0</v>
      </c>
      <c r="O98" s="15">
        <f t="shared" si="35"/>
        <v>0.5</v>
      </c>
      <c r="P98" s="15">
        <f t="shared" si="36"/>
        <v>2.5</v>
      </c>
      <c r="R98" s="8"/>
      <c r="T98"/>
    </row>
    <row r="99" spans="2:20" ht="23.1" customHeight="1" x14ac:dyDescent="0.25">
      <c r="B99" s="23" t="s">
        <v>139</v>
      </c>
      <c r="C99" s="49">
        <f>AVERAGE('22.08 Sironko-Mbale-24h'!C99,'24.08 Sironko-Mbale-24h'!C99)</f>
        <v>0</v>
      </c>
      <c r="D99" s="49">
        <f>AVERAGE('22.08 Sironko-Mbale-24h'!D99,'24.08 Sironko-Mbale-24h'!D99)</f>
        <v>0</v>
      </c>
      <c r="E99" s="49">
        <f>AVERAGE('22.08 Sironko-Mbale-24h'!E99,'24.08 Sironko-Mbale-24h'!E99)</f>
        <v>1.5</v>
      </c>
      <c r="F99" s="49">
        <f>AVERAGE('22.08 Sironko-Mbale-24h'!F99,'24.08 Sironko-Mbale-24h'!F99)</f>
        <v>0</v>
      </c>
      <c r="G99" s="49">
        <f>AVERAGE('22.08 Sironko-Mbale-24h'!G99,'24.08 Sironko-Mbale-24h'!G99)</f>
        <v>0</v>
      </c>
      <c r="H99" s="49">
        <f>AVERAGE('22.08 Sironko-Mbale-24h'!H99,'24.08 Sironko-Mbale-24h'!H99)</f>
        <v>0</v>
      </c>
      <c r="I99" s="49">
        <f>AVERAGE('22.08 Sironko-Mbale-24h'!I99,'24.08 Sironko-Mbale-24h'!I99)</f>
        <v>2</v>
      </c>
      <c r="J99" s="49">
        <f>AVERAGE('22.08 Sironko-Mbale-24h'!J99,'24.08 Sironko-Mbale-24h'!J99)</f>
        <v>0</v>
      </c>
      <c r="K99" s="49">
        <f>AVERAGE('22.08 Sironko-Mbale-24h'!K99,'24.08 Sironko-Mbale-24h'!K99)</f>
        <v>0</v>
      </c>
      <c r="L99" s="49">
        <f>AVERAGE('22.08 Sironko-Mbale-24h'!L99,'24.08 Sironko-Mbale-24h'!L99)</f>
        <v>0</v>
      </c>
      <c r="M99" s="49">
        <f>AVERAGE('22.08 Sironko-Mbale-24h'!M99,'24.08 Sironko-Mbale-24h'!M99)</f>
        <v>0.5</v>
      </c>
      <c r="N99" s="49">
        <f>AVERAGE('22.08 Sironko-Mbale-24h'!N99,'24.08 Sironko-Mbale-24h'!N99)</f>
        <v>0</v>
      </c>
      <c r="O99" s="15">
        <f t="shared" si="35"/>
        <v>3.5</v>
      </c>
      <c r="P99" s="15">
        <f t="shared" si="36"/>
        <v>4</v>
      </c>
      <c r="R99" s="8"/>
      <c r="T99"/>
    </row>
    <row r="100" spans="2:20" ht="23.1" customHeight="1" x14ac:dyDescent="0.25">
      <c r="B100" s="25" t="s">
        <v>140</v>
      </c>
      <c r="C100" s="49">
        <f>AVERAGE('22.08 Sironko-Mbale-24h'!C100,'24.08 Sironko-Mbale-24h'!C100)</f>
        <v>0</v>
      </c>
      <c r="D100" s="49">
        <f>AVERAGE('22.08 Sironko-Mbale-24h'!D100,'24.08 Sironko-Mbale-24h'!D100)</f>
        <v>0</v>
      </c>
      <c r="E100" s="49">
        <f>AVERAGE('22.08 Sironko-Mbale-24h'!E100,'24.08 Sironko-Mbale-24h'!E100)</f>
        <v>1</v>
      </c>
      <c r="F100" s="49">
        <f>AVERAGE('22.08 Sironko-Mbale-24h'!F100,'24.08 Sironko-Mbale-24h'!F100)</f>
        <v>0</v>
      </c>
      <c r="G100" s="49">
        <f>AVERAGE('22.08 Sironko-Mbale-24h'!G100,'24.08 Sironko-Mbale-24h'!G100)</f>
        <v>0</v>
      </c>
      <c r="H100" s="49">
        <f>AVERAGE('22.08 Sironko-Mbale-24h'!H100,'24.08 Sironko-Mbale-24h'!H100)</f>
        <v>0</v>
      </c>
      <c r="I100" s="49">
        <f>AVERAGE('22.08 Sironko-Mbale-24h'!I100,'24.08 Sironko-Mbale-24h'!I100)</f>
        <v>0.5</v>
      </c>
      <c r="J100" s="49">
        <f>AVERAGE('22.08 Sironko-Mbale-24h'!J100,'24.08 Sironko-Mbale-24h'!J100)</f>
        <v>0</v>
      </c>
      <c r="K100" s="49">
        <f>AVERAGE('22.08 Sironko-Mbale-24h'!K100,'24.08 Sironko-Mbale-24h'!K100)</f>
        <v>0</v>
      </c>
      <c r="L100" s="49">
        <f>AVERAGE('22.08 Sironko-Mbale-24h'!L100,'24.08 Sironko-Mbale-24h'!L100)</f>
        <v>0</v>
      </c>
      <c r="M100" s="49">
        <f>AVERAGE('22.08 Sironko-Mbale-24h'!M100,'24.08 Sironko-Mbale-24h'!M100)</f>
        <v>1.5</v>
      </c>
      <c r="N100" s="49">
        <f>AVERAGE('22.08 Sironko-Mbale-24h'!N100,'24.08 Sironko-Mbale-24h'!N100)</f>
        <v>0</v>
      </c>
      <c r="O100" s="15">
        <f t="shared" si="35"/>
        <v>1.5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AVERAGE('22.08 Sironko-Mbale-24h'!C101,'24.08 Sironko-Mbale-24h'!C101)</f>
        <v>0.5</v>
      </c>
      <c r="D101" s="49">
        <f>AVERAGE('22.08 Sironko-Mbale-24h'!D101,'24.08 Sironko-Mbale-24h'!D101)</f>
        <v>0</v>
      </c>
      <c r="E101" s="49">
        <f>AVERAGE('22.08 Sironko-Mbale-24h'!E101,'24.08 Sironko-Mbale-24h'!E101)</f>
        <v>1</v>
      </c>
      <c r="F101" s="49">
        <f>AVERAGE('22.08 Sironko-Mbale-24h'!F101,'24.08 Sironko-Mbale-24h'!F101)</f>
        <v>0.5</v>
      </c>
      <c r="G101" s="49">
        <f>AVERAGE('22.08 Sironko-Mbale-24h'!G101,'24.08 Sironko-Mbale-24h'!G101)</f>
        <v>0</v>
      </c>
      <c r="H101" s="49">
        <f>AVERAGE('22.08 Sironko-Mbale-24h'!H101,'24.08 Sironko-Mbale-24h'!H101)</f>
        <v>0</v>
      </c>
      <c r="I101" s="49">
        <f>AVERAGE('22.08 Sironko-Mbale-24h'!I101,'24.08 Sironko-Mbale-24h'!I101)</f>
        <v>2.5</v>
      </c>
      <c r="J101" s="49">
        <f>AVERAGE('22.08 Sironko-Mbale-24h'!J101,'24.08 Sironko-Mbale-24h'!J101)</f>
        <v>0</v>
      </c>
      <c r="K101" s="49">
        <f>AVERAGE('22.08 Sironko-Mbale-24h'!K101,'24.08 Sironko-Mbale-24h'!K101)</f>
        <v>0</v>
      </c>
      <c r="L101" s="49">
        <f>AVERAGE('22.08 Sironko-Mbale-24h'!L101,'24.08 Sironko-Mbale-24h'!L101)</f>
        <v>0</v>
      </c>
      <c r="M101" s="49">
        <f>AVERAGE('22.08 Sironko-Mbale-24h'!M101,'24.08 Sironko-Mbale-24h'!M101)</f>
        <v>2.5</v>
      </c>
      <c r="N101" s="49">
        <f>AVERAGE('22.08 Sironko-Mbale-24h'!N101,'24.08 Sironko-Mbale-24h'!N101)</f>
        <v>0</v>
      </c>
      <c r="O101" s="15">
        <f t="shared" si="35"/>
        <v>4.5</v>
      </c>
      <c r="P101" s="15">
        <f t="shared" si="36"/>
        <v>7</v>
      </c>
      <c r="R101" s="8"/>
      <c r="T101"/>
    </row>
    <row r="102" spans="2:20" ht="23.1" customHeight="1" x14ac:dyDescent="0.25">
      <c r="B102" s="24" t="s">
        <v>142</v>
      </c>
      <c r="C102" s="49">
        <f>AVERAGE('22.08 Sironko-Mbale-24h'!C102,'24.08 Sironko-Mbale-24h'!C102)</f>
        <v>0</v>
      </c>
      <c r="D102" s="49">
        <f>AVERAGE('22.08 Sironko-Mbale-24h'!D102,'24.08 Sironko-Mbale-24h'!D102)</f>
        <v>0</v>
      </c>
      <c r="E102" s="49">
        <f>AVERAGE('22.08 Sironko-Mbale-24h'!E102,'24.08 Sironko-Mbale-24h'!E102)</f>
        <v>1.5</v>
      </c>
      <c r="F102" s="49">
        <f>AVERAGE('22.08 Sironko-Mbale-24h'!F102,'24.08 Sironko-Mbale-24h'!F102)</f>
        <v>0.5</v>
      </c>
      <c r="G102" s="49">
        <f>AVERAGE('22.08 Sironko-Mbale-24h'!G102,'24.08 Sironko-Mbale-24h'!G102)</f>
        <v>0</v>
      </c>
      <c r="H102" s="49">
        <f>AVERAGE('22.08 Sironko-Mbale-24h'!H102,'24.08 Sironko-Mbale-24h'!H102)</f>
        <v>0</v>
      </c>
      <c r="I102" s="49">
        <f>AVERAGE('22.08 Sironko-Mbale-24h'!I102,'24.08 Sironko-Mbale-24h'!I102)</f>
        <v>2</v>
      </c>
      <c r="J102" s="49">
        <f>AVERAGE('22.08 Sironko-Mbale-24h'!J102,'24.08 Sironko-Mbale-24h'!J102)</f>
        <v>0</v>
      </c>
      <c r="K102" s="49">
        <f>AVERAGE('22.08 Sironko-Mbale-24h'!K102,'24.08 Sironko-Mbale-24h'!K102)</f>
        <v>0</v>
      </c>
      <c r="L102" s="49">
        <f>AVERAGE('22.08 Sironko-Mbale-24h'!L102,'24.08 Sironko-Mbale-24h'!L102)</f>
        <v>0</v>
      </c>
      <c r="M102" s="49">
        <f>AVERAGE('22.08 Sironko-Mbale-24h'!M102,'24.08 Sironko-Mbale-24h'!M102)</f>
        <v>4</v>
      </c>
      <c r="N102" s="49">
        <f>AVERAGE('22.08 Sironko-Mbale-24h'!N102,'24.08 Sironko-Mbale-24h'!N102)</f>
        <v>0</v>
      </c>
      <c r="O102" s="15">
        <f t="shared" si="35"/>
        <v>4</v>
      </c>
      <c r="P102" s="15">
        <f t="shared" si="36"/>
        <v>8</v>
      </c>
      <c r="R102" s="8"/>
      <c r="T102"/>
    </row>
    <row r="103" spans="2:20" ht="23.1" customHeight="1" x14ac:dyDescent="0.25">
      <c r="B103" s="23" t="s">
        <v>143</v>
      </c>
      <c r="C103" s="49">
        <f>AVERAGE('22.08 Sironko-Mbale-24h'!C103,'24.08 Sironko-Mbale-24h'!C103)</f>
        <v>1</v>
      </c>
      <c r="D103" s="49">
        <f>AVERAGE('22.08 Sironko-Mbale-24h'!D103,'24.08 Sironko-Mbale-24h'!D103)</f>
        <v>0</v>
      </c>
      <c r="E103" s="49">
        <f>AVERAGE('22.08 Sironko-Mbale-24h'!E103,'24.08 Sironko-Mbale-24h'!E103)</f>
        <v>1.5</v>
      </c>
      <c r="F103" s="49">
        <f>AVERAGE('22.08 Sironko-Mbale-24h'!F103,'24.08 Sironko-Mbale-24h'!F103)</f>
        <v>0.5</v>
      </c>
      <c r="G103" s="49">
        <f>AVERAGE('22.08 Sironko-Mbale-24h'!G103,'24.08 Sironko-Mbale-24h'!G103)</f>
        <v>0</v>
      </c>
      <c r="H103" s="49">
        <f>AVERAGE('22.08 Sironko-Mbale-24h'!H103,'24.08 Sironko-Mbale-24h'!H103)</f>
        <v>0</v>
      </c>
      <c r="I103" s="49">
        <f>AVERAGE('22.08 Sironko-Mbale-24h'!I103,'24.08 Sironko-Mbale-24h'!I103)</f>
        <v>2.5</v>
      </c>
      <c r="J103" s="49">
        <f>AVERAGE('22.08 Sironko-Mbale-24h'!J103,'24.08 Sironko-Mbale-24h'!J103)</f>
        <v>0</v>
      </c>
      <c r="K103" s="49">
        <f>AVERAGE('22.08 Sironko-Mbale-24h'!K103,'24.08 Sironko-Mbale-24h'!K103)</f>
        <v>0</v>
      </c>
      <c r="L103" s="49">
        <f>AVERAGE('22.08 Sironko-Mbale-24h'!L103,'24.08 Sironko-Mbale-24h'!L103)</f>
        <v>0</v>
      </c>
      <c r="M103" s="49">
        <f>AVERAGE('22.08 Sironko-Mbale-24h'!M103,'24.08 Sironko-Mbale-24h'!M103)</f>
        <v>10</v>
      </c>
      <c r="N103" s="49">
        <f>AVERAGE('22.08 Sironko-Mbale-24h'!N103,'24.08 Sironko-Mbale-24h'!N103)</f>
        <v>0</v>
      </c>
      <c r="O103" s="15">
        <f t="shared" si="35"/>
        <v>5.5</v>
      </c>
      <c r="P103" s="15">
        <f t="shared" si="36"/>
        <v>15.5</v>
      </c>
      <c r="R103" s="8"/>
      <c r="T103"/>
    </row>
    <row r="104" spans="2:20" ht="23.1" customHeight="1" x14ac:dyDescent="0.25">
      <c r="B104" s="25" t="s">
        <v>144</v>
      </c>
      <c r="C104" s="49">
        <f>AVERAGE('22.08 Sironko-Mbale-24h'!C104,'24.08 Sironko-Mbale-24h'!C104)</f>
        <v>0.5</v>
      </c>
      <c r="D104" s="49">
        <f>AVERAGE('22.08 Sironko-Mbale-24h'!D104,'24.08 Sironko-Mbale-24h'!D104)</f>
        <v>0.5</v>
      </c>
      <c r="E104" s="49">
        <f>AVERAGE('22.08 Sironko-Mbale-24h'!E104,'24.08 Sironko-Mbale-24h'!E104)</f>
        <v>2.5</v>
      </c>
      <c r="F104" s="49">
        <f>AVERAGE('22.08 Sironko-Mbale-24h'!F104,'24.08 Sironko-Mbale-24h'!F104)</f>
        <v>3.5</v>
      </c>
      <c r="G104" s="49">
        <f>AVERAGE('22.08 Sironko-Mbale-24h'!G104,'24.08 Sironko-Mbale-24h'!G104)</f>
        <v>0</v>
      </c>
      <c r="H104" s="49">
        <f>AVERAGE('22.08 Sironko-Mbale-24h'!H104,'24.08 Sironko-Mbale-24h'!H104)</f>
        <v>0</v>
      </c>
      <c r="I104" s="49">
        <f>AVERAGE('22.08 Sironko-Mbale-24h'!I104,'24.08 Sironko-Mbale-24h'!I104)</f>
        <v>1.5</v>
      </c>
      <c r="J104" s="49">
        <f>AVERAGE('22.08 Sironko-Mbale-24h'!J104,'24.08 Sironko-Mbale-24h'!J104)</f>
        <v>0</v>
      </c>
      <c r="K104" s="49">
        <f>AVERAGE('22.08 Sironko-Mbale-24h'!K104,'24.08 Sironko-Mbale-24h'!K104)</f>
        <v>0</v>
      </c>
      <c r="L104" s="49">
        <f>AVERAGE('22.08 Sironko-Mbale-24h'!L104,'24.08 Sironko-Mbale-24h'!L104)</f>
        <v>0</v>
      </c>
      <c r="M104" s="49">
        <f>AVERAGE('22.08 Sironko-Mbale-24h'!M104,'24.08 Sironko-Mbale-24h'!M104)</f>
        <v>6.5</v>
      </c>
      <c r="N104" s="49">
        <f>AVERAGE('22.08 Sironko-Mbale-24h'!N104,'24.08 Sironko-Mbale-24h'!N104)</f>
        <v>0</v>
      </c>
      <c r="O104" s="15">
        <f t="shared" si="35"/>
        <v>8.5</v>
      </c>
      <c r="P104" s="15">
        <f t="shared" si="36"/>
        <v>15</v>
      </c>
      <c r="R104" s="8"/>
      <c r="T104"/>
    </row>
    <row r="105" spans="2:20" ht="23.1" customHeight="1" x14ac:dyDescent="0.25">
      <c r="B105" s="23" t="s">
        <v>145</v>
      </c>
      <c r="C105" s="49">
        <f>AVERAGE('22.08 Sironko-Mbale-24h'!C105,'24.08 Sironko-Mbale-24h'!C105)</f>
        <v>0</v>
      </c>
      <c r="D105" s="49">
        <f>AVERAGE('22.08 Sironko-Mbale-24h'!D105,'24.08 Sironko-Mbale-24h'!D105)</f>
        <v>0</v>
      </c>
      <c r="E105" s="49">
        <f>AVERAGE('22.08 Sironko-Mbale-24h'!E105,'24.08 Sironko-Mbale-24h'!E105)</f>
        <v>2</v>
      </c>
      <c r="F105" s="49">
        <f>AVERAGE('22.08 Sironko-Mbale-24h'!F105,'24.08 Sironko-Mbale-24h'!F105)</f>
        <v>4</v>
      </c>
      <c r="G105" s="49">
        <f>AVERAGE('22.08 Sironko-Mbale-24h'!G105,'24.08 Sironko-Mbale-24h'!G105)</f>
        <v>0</v>
      </c>
      <c r="H105" s="49">
        <f>AVERAGE('22.08 Sironko-Mbale-24h'!H105,'24.08 Sironko-Mbale-24h'!H105)</f>
        <v>0</v>
      </c>
      <c r="I105" s="49">
        <f>AVERAGE('22.08 Sironko-Mbale-24h'!I105,'24.08 Sironko-Mbale-24h'!I105)</f>
        <v>2</v>
      </c>
      <c r="J105" s="49">
        <f>AVERAGE('22.08 Sironko-Mbale-24h'!J105,'24.08 Sironko-Mbale-24h'!J105)</f>
        <v>0</v>
      </c>
      <c r="K105" s="49">
        <f>AVERAGE('22.08 Sironko-Mbale-24h'!K105,'24.08 Sironko-Mbale-24h'!K105)</f>
        <v>0</v>
      </c>
      <c r="L105" s="49">
        <f>AVERAGE('22.08 Sironko-Mbale-24h'!L105,'24.08 Sironko-Mbale-24h'!L105)</f>
        <v>0</v>
      </c>
      <c r="M105" s="49">
        <f>AVERAGE('22.08 Sironko-Mbale-24h'!M105,'24.08 Sironko-Mbale-24h'!M105)</f>
        <v>8</v>
      </c>
      <c r="N105" s="49">
        <f>AVERAGE('22.08 Sironko-Mbale-24h'!N105,'24.08 Sironko-Mbale-24h'!N105)</f>
        <v>0</v>
      </c>
      <c r="O105" s="15">
        <f t="shared" si="35"/>
        <v>8</v>
      </c>
      <c r="P105" s="15">
        <f t="shared" si="36"/>
        <v>16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216.42857142857144</v>
      </c>
      <c r="D106" s="16">
        <f t="shared" ref="D106:P106" si="37">SUM(D10:D105)</f>
        <v>69</v>
      </c>
      <c r="E106" s="16">
        <f t="shared" si="37"/>
        <v>360.14285714285711</v>
      </c>
      <c r="F106" s="16">
        <f t="shared" si="37"/>
        <v>205.92857142857142</v>
      </c>
      <c r="G106" s="16">
        <f t="shared" si="37"/>
        <v>6.8571428571428568</v>
      </c>
      <c r="H106" s="16">
        <f t="shared" si="37"/>
        <v>2.5714285714285707</v>
      </c>
      <c r="I106" s="16">
        <f t="shared" si="37"/>
        <v>223.71428571428572</v>
      </c>
      <c r="J106" s="16">
        <f t="shared" si="37"/>
        <v>8.7142857142857153</v>
      </c>
      <c r="K106" s="16">
        <f t="shared" si="37"/>
        <v>3.1428571428571428</v>
      </c>
      <c r="L106" s="16">
        <f t="shared" si="37"/>
        <v>0</v>
      </c>
      <c r="M106" s="16">
        <f t="shared" si="37"/>
        <v>1705.3571428571427</v>
      </c>
      <c r="N106" s="16">
        <f t="shared" si="37"/>
        <v>0.5714285714285714</v>
      </c>
      <c r="O106" s="16">
        <f t="shared" si="37"/>
        <v>1097.0714285714284</v>
      </c>
      <c r="P106" s="16">
        <f t="shared" si="37"/>
        <v>2802.4285714285716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7.7228934087781004E-2</v>
      </c>
      <c r="D107" s="43">
        <f t="shared" si="38"/>
        <v>2.4621501758678697E-2</v>
      </c>
      <c r="E107" s="43">
        <f t="shared" si="38"/>
        <v>0.12851098536983227</v>
      </c>
      <c r="F107" s="43">
        <f t="shared" si="38"/>
        <v>7.3482183820155977E-2</v>
      </c>
      <c r="G107" s="43">
        <f t="shared" si="38"/>
        <v>2.4468573176326652E-3</v>
      </c>
      <c r="H107" s="43">
        <f t="shared" si="38"/>
        <v>9.1757149411224933E-4</v>
      </c>
      <c r="I107" s="43">
        <f t="shared" si="38"/>
        <v>7.9828719987765709E-2</v>
      </c>
      <c r="J107" s="43">
        <f t="shared" si="38"/>
        <v>3.1095478411581794E-3</v>
      </c>
      <c r="K107" s="43">
        <f t="shared" si="38"/>
        <v>1.1214762705816382E-3</v>
      </c>
      <c r="L107" s="43">
        <f t="shared" si="38"/>
        <v>0</v>
      </c>
      <c r="M107" s="43">
        <f t="shared" si="38"/>
        <v>0.60852831727583212</v>
      </c>
      <c r="N107" s="43">
        <f t="shared" si="38"/>
        <v>2.0390477646938876E-4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0.1972784686503028</v>
      </c>
      <c r="D108" s="44">
        <f t="shared" ref="D108:N108" si="39">D106/$O$106</f>
        <v>6.2894719708314353E-2</v>
      </c>
      <c r="E108" s="44">
        <f t="shared" si="39"/>
        <v>0.3282765805065434</v>
      </c>
      <c r="F108" s="44">
        <f t="shared" si="39"/>
        <v>0.18770753304251581</v>
      </c>
      <c r="G108" s="44">
        <f t="shared" si="39"/>
        <v>6.2504069275343454E-3</v>
      </c>
      <c r="H108" s="44">
        <f t="shared" si="39"/>
        <v>2.3439025978253787E-3</v>
      </c>
      <c r="I108" s="44">
        <f t="shared" si="39"/>
        <v>0.20391952601080804</v>
      </c>
      <c r="J108" s="44">
        <f t="shared" si="39"/>
        <v>7.9432254704082314E-3</v>
      </c>
      <c r="K108" s="44">
        <f t="shared" si="39"/>
        <v>2.864769841786575E-3</v>
      </c>
      <c r="L108" s="44">
        <f t="shared" si="39"/>
        <v>0</v>
      </c>
      <c r="M108" s="44"/>
      <c r="N108" s="44">
        <f t="shared" si="39"/>
        <v>5.2086724396119537E-4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O43" zoomScale="60" workbookViewId="0">
      <selection activeCell="AE58" sqref="AE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163</v>
      </c>
      <c r="E5" s="69"/>
      <c r="F5" s="41" t="s">
        <v>1</v>
      </c>
      <c r="G5" s="66" t="str">
        <f>'25.08 Mbale-Sironko'!G5:H5</f>
        <v>xxx</v>
      </c>
      <c r="H5" s="67"/>
      <c r="I5" s="14"/>
      <c r="J5" s="2" t="s">
        <v>5</v>
      </c>
      <c r="K5" s="66" t="str">
        <f>'25.08 Mbale-Sironko'!K5:L5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'25.08 Mbale-Sironko'!D6:E6</f>
        <v>Mbale</v>
      </c>
      <c r="E6" s="67"/>
      <c r="F6" s="2" t="s">
        <v>2</v>
      </c>
      <c r="G6" s="66" t="str">
        <f>'25.08 Mbale-Sironko'!G6:H6</f>
        <v>Sironko</v>
      </c>
      <c r="H6" s="67"/>
      <c r="J6" s="2" t="s">
        <v>21</v>
      </c>
      <c r="K6" s="66" t="str">
        <f>'25.08 Mbale-Sironko'!K6:L6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AVERAGE('19.08 Mbale-Sironko'!C10,'20.08 Mbale-Sironko'!C10,'21.08 Mbale-Sironko'!C10,'23.08 Mbale-Sironko'!C10,'24.08 Mbale-Sironko-24h'!C10,'22.08 Mbale-Sironko-24h'!C10,'25.08 Mbale-Sironko'!C10)</f>
        <v>0.8571428571428571</v>
      </c>
      <c r="D10" s="49">
        <f>AVERAGE('19.08 Mbale-Sironko'!D10,'20.08 Mbale-Sironko'!D10,'21.08 Mbale-Sironko'!D10,'23.08 Mbale-Sironko'!D10,'24.08 Mbale-Sironko-24h'!D10,'22.08 Mbale-Sironko-24h'!D10,'25.08 Mbale-Sironko'!D10)</f>
        <v>0.14285714285714285</v>
      </c>
      <c r="E10" s="49">
        <f>AVERAGE('19.08 Mbale-Sironko'!E10,'20.08 Mbale-Sironko'!E10,'21.08 Mbale-Sironko'!E10,'23.08 Mbale-Sironko'!E10,'24.08 Mbale-Sironko-24h'!E10,'22.08 Mbale-Sironko-24h'!E10,'25.08 Mbale-Sironko'!E10)</f>
        <v>2.7142857142857144</v>
      </c>
      <c r="F10" s="49">
        <f>AVERAGE('19.08 Mbale-Sironko'!F10,'20.08 Mbale-Sironko'!F10,'21.08 Mbale-Sironko'!F10,'23.08 Mbale-Sironko'!F10,'24.08 Mbale-Sironko-24h'!F10,'22.08 Mbale-Sironko-24h'!F10,'25.08 Mbale-Sironko'!F10)</f>
        <v>1.8571428571428572</v>
      </c>
      <c r="G10" s="49">
        <f>AVERAGE('19.08 Mbale-Sironko'!G10,'20.08 Mbale-Sironko'!G10,'21.08 Mbale-Sironko'!G10,'23.08 Mbale-Sironko'!G10,'24.08 Mbale-Sironko-24h'!G10,'22.08 Mbale-Sironko-24h'!G10,'25.08 Mbale-Sironko'!G10)</f>
        <v>0.2857142857142857</v>
      </c>
      <c r="H10" s="49">
        <f>AVERAGE('19.08 Mbale-Sironko'!H10,'20.08 Mbale-Sironko'!H10,'21.08 Mbale-Sironko'!H10,'23.08 Mbale-Sironko'!H10,'24.08 Mbale-Sironko-24h'!H10,'22.08 Mbale-Sironko-24h'!H10,'25.08 Mbale-Sironko'!H10)</f>
        <v>0</v>
      </c>
      <c r="I10" s="49">
        <f>AVERAGE('19.08 Mbale-Sironko'!I10,'20.08 Mbale-Sironko'!I10,'21.08 Mbale-Sironko'!I10,'23.08 Mbale-Sironko'!I10,'24.08 Mbale-Sironko-24h'!I10,'22.08 Mbale-Sironko-24h'!I10,'25.08 Mbale-Sironko'!I10)</f>
        <v>1.2857142857142858</v>
      </c>
      <c r="J10" s="49">
        <f>AVERAGE('19.08 Mbale-Sironko'!J10,'20.08 Mbale-Sironko'!J10,'21.08 Mbale-Sironko'!J10,'23.08 Mbale-Sironko'!J10,'24.08 Mbale-Sironko-24h'!J10,'22.08 Mbale-Sironko-24h'!J10,'25.08 Mbale-Sironko'!J10)</f>
        <v>0</v>
      </c>
      <c r="K10" s="49">
        <f>AVERAGE('19.08 Mbale-Sironko'!K10,'20.08 Mbale-Sironko'!K10,'21.08 Mbale-Sironko'!K10,'23.08 Mbale-Sironko'!K10,'24.08 Mbale-Sironko-24h'!K10,'22.08 Mbale-Sironko-24h'!K10,'25.08 Mbale-Sironko'!K10)</f>
        <v>0</v>
      </c>
      <c r="L10" s="49">
        <f>AVERAGE('19.08 Mbale-Sironko'!L10,'20.08 Mbale-Sironko'!L10,'21.08 Mbale-Sironko'!L10,'23.08 Mbale-Sironko'!L10,'24.08 Mbale-Sironko-24h'!L10,'22.08 Mbale-Sironko-24h'!L10,'25.08 Mbale-Sironko'!L10)</f>
        <v>0.14285714285714285</v>
      </c>
      <c r="M10" s="49">
        <f>AVERAGE('19.08 Mbale-Sironko'!M10,'20.08 Mbale-Sironko'!M10,'21.08 Mbale-Sironko'!M10,'23.08 Mbale-Sironko'!M10,'24.08 Mbale-Sironko-24h'!M10,'22.08 Mbale-Sironko-24h'!M10,'25.08 Mbale-Sironko'!M10)</f>
        <v>10.857142857142858</v>
      </c>
      <c r="N10" s="49">
        <f>AVERAGE('19.08 Mbale-Sironko'!N10,'20.08 Mbale-Sironko'!N10,'21.08 Mbale-Sironko'!N10,'23.08 Mbale-Sironko'!N10,'24.08 Mbale-Sironko-24h'!N10,'22.08 Mbale-Sironko-24h'!N10,'25.08 Mbale-Sironko'!N10)</f>
        <v>0</v>
      </c>
      <c r="O10" s="15">
        <f t="shared" ref="O10:O73" si="0">SUM(C10:L10,N10)</f>
        <v>7.2857142857142856</v>
      </c>
      <c r="P10" s="15">
        <f t="shared" ref="P10:P73" si="1">SUM(C10:N10)</f>
        <v>18.142857142857142</v>
      </c>
      <c r="R10" s="1" t="s">
        <v>6</v>
      </c>
      <c r="S10" s="17">
        <f t="shared" ref="S10:AF10" si="2">SUM(C10:C13)</f>
        <v>5.1428571428571423</v>
      </c>
      <c r="T10" s="17">
        <f t="shared" si="2"/>
        <v>1.5714285714285712</v>
      </c>
      <c r="U10" s="17">
        <f t="shared" si="2"/>
        <v>13</v>
      </c>
      <c r="V10" s="17">
        <f t="shared" si="2"/>
        <v>7.8571428571428568</v>
      </c>
      <c r="W10" s="17">
        <f t="shared" si="2"/>
        <v>0.42857142857142855</v>
      </c>
      <c r="X10" s="17">
        <f t="shared" si="2"/>
        <v>0.2857142857142857</v>
      </c>
      <c r="Y10" s="17">
        <f t="shared" si="2"/>
        <v>8.571428571428573</v>
      </c>
      <c r="Z10" s="17">
        <f t="shared" si="2"/>
        <v>0.14285714285714285</v>
      </c>
      <c r="AA10" s="17">
        <f t="shared" si="2"/>
        <v>0</v>
      </c>
      <c r="AB10" s="17">
        <f t="shared" si="2"/>
        <v>0.71428571428571419</v>
      </c>
      <c r="AC10" s="17">
        <f t="shared" si="2"/>
        <v>58.857142857142861</v>
      </c>
      <c r="AD10" s="17">
        <f t="shared" si="2"/>
        <v>0</v>
      </c>
      <c r="AE10" s="31">
        <f t="shared" si="2"/>
        <v>37.714285714285715</v>
      </c>
      <c r="AF10" s="31">
        <f t="shared" si="2"/>
        <v>96.571428571428584</v>
      </c>
    </row>
    <row r="11" spans="2:32" s="6" customFormat="1" ht="23.1" customHeight="1" x14ac:dyDescent="0.25">
      <c r="B11" s="23" t="s">
        <v>38</v>
      </c>
      <c r="C11" s="49">
        <f>AVERAGE('19.08 Mbale-Sironko'!C11,'20.08 Mbale-Sironko'!C11,'21.08 Mbale-Sironko'!C11,'23.08 Mbale-Sironko'!C11,'24.08 Mbale-Sironko-24h'!C11,'22.08 Mbale-Sironko-24h'!C11,'25.08 Mbale-Sironko'!C11)</f>
        <v>0.7142857142857143</v>
      </c>
      <c r="D11" s="49">
        <f>AVERAGE('19.08 Mbale-Sironko'!D11,'20.08 Mbale-Sironko'!D11,'21.08 Mbale-Sironko'!D11,'23.08 Mbale-Sironko'!D11,'24.08 Mbale-Sironko-24h'!D11,'22.08 Mbale-Sironko-24h'!D11,'25.08 Mbale-Sironko'!D11)</f>
        <v>0.2857142857142857</v>
      </c>
      <c r="E11" s="49">
        <f>AVERAGE('19.08 Mbale-Sironko'!E11,'20.08 Mbale-Sironko'!E11,'21.08 Mbale-Sironko'!E11,'23.08 Mbale-Sironko'!E11,'24.08 Mbale-Sironko-24h'!E11,'22.08 Mbale-Sironko-24h'!E11,'25.08 Mbale-Sironko'!E11)</f>
        <v>2.1428571428571428</v>
      </c>
      <c r="F11" s="49">
        <f>AVERAGE('19.08 Mbale-Sironko'!F11,'20.08 Mbale-Sironko'!F11,'21.08 Mbale-Sironko'!F11,'23.08 Mbale-Sironko'!F11,'24.08 Mbale-Sironko-24h'!F11,'22.08 Mbale-Sironko-24h'!F11,'25.08 Mbale-Sironko'!F11)</f>
        <v>2.2857142857142856</v>
      </c>
      <c r="G11" s="49">
        <f>AVERAGE('19.08 Mbale-Sironko'!G11,'20.08 Mbale-Sironko'!G11,'21.08 Mbale-Sironko'!G11,'23.08 Mbale-Sironko'!G11,'24.08 Mbale-Sironko-24h'!G11,'22.08 Mbale-Sironko-24h'!G11,'25.08 Mbale-Sironko'!G11)</f>
        <v>0</v>
      </c>
      <c r="H11" s="49">
        <f>AVERAGE('19.08 Mbale-Sironko'!H11,'20.08 Mbale-Sironko'!H11,'21.08 Mbale-Sironko'!H11,'23.08 Mbale-Sironko'!H11,'24.08 Mbale-Sironko-24h'!H11,'22.08 Mbale-Sironko-24h'!H11,'25.08 Mbale-Sironko'!H11)</f>
        <v>0</v>
      </c>
      <c r="I11" s="49">
        <f>AVERAGE('19.08 Mbale-Sironko'!I11,'20.08 Mbale-Sironko'!I11,'21.08 Mbale-Sironko'!I11,'23.08 Mbale-Sironko'!I11,'24.08 Mbale-Sironko-24h'!I11,'22.08 Mbale-Sironko-24h'!I11,'25.08 Mbale-Sironko'!I11)</f>
        <v>2.8571428571428572</v>
      </c>
      <c r="J11" s="49">
        <f>AVERAGE('19.08 Mbale-Sironko'!J11,'20.08 Mbale-Sironko'!J11,'21.08 Mbale-Sironko'!J11,'23.08 Mbale-Sironko'!J11,'24.08 Mbale-Sironko-24h'!J11,'22.08 Mbale-Sironko-24h'!J11,'25.08 Mbale-Sironko'!J11)</f>
        <v>0</v>
      </c>
      <c r="K11" s="49">
        <f>AVERAGE('19.08 Mbale-Sironko'!K11,'20.08 Mbale-Sironko'!K11,'21.08 Mbale-Sironko'!K11,'23.08 Mbale-Sironko'!K11,'24.08 Mbale-Sironko-24h'!K11,'22.08 Mbale-Sironko-24h'!K11,'25.08 Mbale-Sironko'!K11)</f>
        <v>0</v>
      </c>
      <c r="L11" s="49">
        <f>AVERAGE('19.08 Mbale-Sironko'!L11,'20.08 Mbale-Sironko'!L11,'21.08 Mbale-Sironko'!L11,'23.08 Mbale-Sironko'!L11,'24.08 Mbale-Sironko-24h'!L11,'22.08 Mbale-Sironko-24h'!L11,'25.08 Mbale-Sironko'!L11)</f>
        <v>0.2857142857142857</v>
      </c>
      <c r="M11" s="49">
        <f>AVERAGE('19.08 Mbale-Sironko'!M11,'20.08 Mbale-Sironko'!M11,'21.08 Mbale-Sironko'!M11,'23.08 Mbale-Sironko'!M11,'24.08 Mbale-Sironko-24h'!M11,'22.08 Mbale-Sironko-24h'!M11,'25.08 Mbale-Sironko'!M11)</f>
        <v>12</v>
      </c>
      <c r="N11" s="49">
        <f>AVERAGE('19.08 Mbale-Sironko'!N11,'20.08 Mbale-Sironko'!N11,'21.08 Mbale-Sironko'!N11,'23.08 Mbale-Sironko'!N11,'24.08 Mbale-Sironko-24h'!N11,'22.08 Mbale-Sironko-24h'!N11,'25.08 Mbale-Sironko'!N11)</f>
        <v>0</v>
      </c>
      <c r="O11" s="15">
        <f t="shared" si="0"/>
        <v>8.571428571428573</v>
      </c>
      <c r="P11" s="15">
        <f t="shared" si="1"/>
        <v>20.571428571428573</v>
      </c>
      <c r="R11" s="1" t="s">
        <v>7</v>
      </c>
      <c r="S11" s="17">
        <f t="shared" ref="S11:AF11" si="3">SUM(C14:C17)</f>
        <v>11.571428571428573</v>
      </c>
      <c r="T11" s="17">
        <f t="shared" si="3"/>
        <v>3.4285714285714284</v>
      </c>
      <c r="U11" s="17">
        <f t="shared" si="3"/>
        <v>19.857142857142854</v>
      </c>
      <c r="V11" s="17">
        <f t="shared" si="3"/>
        <v>12.428571428571431</v>
      </c>
      <c r="W11" s="17">
        <f t="shared" si="3"/>
        <v>0.5714285714285714</v>
      </c>
      <c r="X11" s="17">
        <f t="shared" si="3"/>
        <v>0.5714285714285714</v>
      </c>
      <c r="Y11" s="17">
        <f t="shared" si="3"/>
        <v>6.7142857142857153</v>
      </c>
      <c r="Z11" s="17">
        <f t="shared" si="3"/>
        <v>0.14285714285714285</v>
      </c>
      <c r="AA11" s="17">
        <f t="shared" si="3"/>
        <v>0.14285714285714285</v>
      </c>
      <c r="AB11" s="17">
        <f t="shared" si="3"/>
        <v>1.4285714285714286</v>
      </c>
      <c r="AC11" s="17">
        <f t="shared" si="3"/>
        <v>87.714285714285722</v>
      </c>
      <c r="AD11" s="17">
        <f t="shared" si="3"/>
        <v>0.14285714285714285</v>
      </c>
      <c r="AE11" s="31">
        <f t="shared" si="3"/>
        <v>56.999999999999993</v>
      </c>
      <c r="AF11" s="31">
        <f t="shared" si="3"/>
        <v>144.71428571428572</v>
      </c>
    </row>
    <row r="12" spans="2:32" ht="23.1" customHeight="1" x14ac:dyDescent="0.25">
      <c r="B12" s="23" t="s">
        <v>39</v>
      </c>
      <c r="C12" s="49">
        <f>AVERAGE('19.08 Mbale-Sironko'!C12,'20.08 Mbale-Sironko'!C12,'21.08 Mbale-Sironko'!C12,'23.08 Mbale-Sironko'!C12,'24.08 Mbale-Sironko-24h'!C12,'22.08 Mbale-Sironko-24h'!C12,'25.08 Mbale-Sironko'!C12)</f>
        <v>2</v>
      </c>
      <c r="D12" s="49">
        <f>AVERAGE('19.08 Mbale-Sironko'!D12,'20.08 Mbale-Sironko'!D12,'21.08 Mbale-Sironko'!D12,'23.08 Mbale-Sironko'!D12,'24.08 Mbale-Sironko-24h'!D12,'22.08 Mbale-Sironko-24h'!D12,'25.08 Mbale-Sironko'!D12)</f>
        <v>0.2857142857142857</v>
      </c>
      <c r="E12" s="49">
        <f>AVERAGE('19.08 Mbale-Sironko'!E12,'20.08 Mbale-Sironko'!E12,'21.08 Mbale-Sironko'!E12,'23.08 Mbale-Sironko'!E12,'24.08 Mbale-Sironko-24h'!E12,'22.08 Mbale-Sironko-24h'!E12,'25.08 Mbale-Sironko'!E12)</f>
        <v>2.8571428571428572</v>
      </c>
      <c r="F12" s="49">
        <f>AVERAGE('19.08 Mbale-Sironko'!F12,'20.08 Mbale-Sironko'!F12,'21.08 Mbale-Sironko'!F12,'23.08 Mbale-Sironko'!F12,'24.08 Mbale-Sironko-24h'!F12,'22.08 Mbale-Sironko-24h'!F12,'25.08 Mbale-Sironko'!F12)</f>
        <v>1</v>
      </c>
      <c r="G12" s="49">
        <f>AVERAGE('19.08 Mbale-Sironko'!G12,'20.08 Mbale-Sironko'!G12,'21.08 Mbale-Sironko'!G12,'23.08 Mbale-Sironko'!G12,'24.08 Mbale-Sironko-24h'!G12,'22.08 Mbale-Sironko-24h'!G12,'25.08 Mbale-Sironko'!G12)</f>
        <v>0.14285714285714285</v>
      </c>
      <c r="H12" s="49">
        <f>AVERAGE('19.08 Mbale-Sironko'!H12,'20.08 Mbale-Sironko'!H12,'21.08 Mbale-Sironko'!H12,'23.08 Mbale-Sironko'!H12,'24.08 Mbale-Sironko-24h'!H12,'22.08 Mbale-Sironko-24h'!H12,'25.08 Mbale-Sironko'!H12)</f>
        <v>0</v>
      </c>
      <c r="I12" s="49">
        <f>AVERAGE('19.08 Mbale-Sironko'!I12,'20.08 Mbale-Sironko'!I12,'21.08 Mbale-Sironko'!I12,'23.08 Mbale-Sironko'!I12,'24.08 Mbale-Sironko-24h'!I12,'22.08 Mbale-Sironko-24h'!I12,'25.08 Mbale-Sironko'!I12)</f>
        <v>1.7142857142857142</v>
      </c>
      <c r="J12" s="49">
        <f>AVERAGE('19.08 Mbale-Sironko'!J12,'20.08 Mbale-Sironko'!J12,'21.08 Mbale-Sironko'!J12,'23.08 Mbale-Sironko'!J12,'24.08 Mbale-Sironko-24h'!J12,'22.08 Mbale-Sironko-24h'!J12,'25.08 Mbale-Sironko'!J12)</f>
        <v>0</v>
      </c>
      <c r="K12" s="49">
        <f>AVERAGE('19.08 Mbale-Sironko'!K12,'20.08 Mbale-Sironko'!K12,'21.08 Mbale-Sironko'!K12,'23.08 Mbale-Sironko'!K12,'24.08 Mbale-Sironko-24h'!K12,'22.08 Mbale-Sironko-24h'!K12,'25.08 Mbale-Sironko'!K12)</f>
        <v>0</v>
      </c>
      <c r="L12" s="49">
        <f>AVERAGE('19.08 Mbale-Sironko'!L12,'20.08 Mbale-Sironko'!L12,'21.08 Mbale-Sironko'!L12,'23.08 Mbale-Sironko'!L12,'24.08 Mbale-Sironko-24h'!L12,'22.08 Mbale-Sironko-24h'!L12,'25.08 Mbale-Sironko'!L12)</f>
        <v>0</v>
      </c>
      <c r="M12" s="49">
        <f>AVERAGE('19.08 Mbale-Sironko'!M12,'20.08 Mbale-Sironko'!M12,'21.08 Mbale-Sironko'!M12,'23.08 Mbale-Sironko'!M12,'24.08 Mbale-Sironko-24h'!M12,'22.08 Mbale-Sironko-24h'!M12,'25.08 Mbale-Sironko'!M12)</f>
        <v>13.142857142857142</v>
      </c>
      <c r="N12" s="49">
        <f>AVERAGE('19.08 Mbale-Sironko'!N12,'20.08 Mbale-Sironko'!N12,'21.08 Mbale-Sironko'!N12,'23.08 Mbale-Sironko'!N12,'24.08 Mbale-Sironko-24h'!N12,'22.08 Mbale-Sironko-24h'!N12,'25.08 Mbale-Sironko'!N12)</f>
        <v>0</v>
      </c>
      <c r="O12" s="15">
        <f t="shared" si="0"/>
        <v>8</v>
      </c>
      <c r="P12" s="15">
        <f t="shared" si="1"/>
        <v>21.142857142857142</v>
      </c>
      <c r="R12" s="1" t="s">
        <v>8</v>
      </c>
      <c r="S12" s="17">
        <f t="shared" ref="S12:AF12" si="4">SUM(C18:C21)</f>
        <v>12.428571428571431</v>
      </c>
      <c r="T12" s="17">
        <f t="shared" si="4"/>
        <v>5.1428571428571423</v>
      </c>
      <c r="U12" s="17">
        <f t="shared" si="4"/>
        <v>26.285714285714285</v>
      </c>
      <c r="V12" s="17">
        <f t="shared" si="4"/>
        <v>11.285714285714285</v>
      </c>
      <c r="W12" s="17">
        <f t="shared" si="4"/>
        <v>1.8571428571428572</v>
      </c>
      <c r="X12" s="17">
        <f t="shared" si="4"/>
        <v>0.42857142857142855</v>
      </c>
      <c r="Y12" s="17">
        <f t="shared" si="4"/>
        <v>12.571428571428569</v>
      </c>
      <c r="Z12" s="17">
        <f t="shared" si="4"/>
        <v>0.14285714285714285</v>
      </c>
      <c r="AA12" s="17">
        <f t="shared" si="4"/>
        <v>0</v>
      </c>
      <c r="AB12" s="17">
        <f t="shared" si="4"/>
        <v>1.4285714285714286</v>
      </c>
      <c r="AC12" s="17">
        <f t="shared" si="4"/>
        <v>105.57142857142857</v>
      </c>
      <c r="AD12" s="17">
        <f t="shared" si="4"/>
        <v>0</v>
      </c>
      <c r="AE12" s="31">
        <f t="shared" si="4"/>
        <v>71.571428571428569</v>
      </c>
      <c r="AF12" s="31">
        <f t="shared" si="4"/>
        <v>177.14285714285717</v>
      </c>
    </row>
    <row r="13" spans="2:32" ht="23.1" customHeight="1" x14ac:dyDescent="0.25">
      <c r="B13" s="23" t="s">
        <v>40</v>
      </c>
      <c r="C13" s="49">
        <f>AVERAGE('19.08 Mbale-Sironko'!C13,'20.08 Mbale-Sironko'!C13,'21.08 Mbale-Sironko'!C13,'23.08 Mbale-Sironko'!C13,'24.08 Mbale-Sironko-24h'!C13,'22.08 Mbale-Sironko-24h'!C13,'25.08 Mbale-Sironko'!C13)</f>
        <v>1.5714285714285714</v>
      </c>
      <c r="D13" s="49">
        <f>AVERAGE('19.08 Mbale-Sironko'!D13,'20.08 Mbale-Sironko'!D13,'21.08 Mbale-Sironko'!D13,'23.08 Mbale-Sironko'!D13,'24.08 Mbale-Sironko-24h'!D13,'22.08 Mbale-Sironko-24h'!D13,'25.08 Mbale-Sironko'!D13)</f>
        <v>0.8571428571428571</v>
      </c>
      <c r="E13" s="49">
        <f>AVERAGE('19.08 Mbale-Sironko'!E13,'20.08 Mbale-Sironko'!E13,'21.08 Mbale-Sironko'!E13,'23.08 Mbale-Sironko'!E13,'24.08 Mbale-Sironko-24h'!E13,'22.08 Mbale-Sironko-24h'!E13,'25.08 Mbale-Sironko'!E13)</f>
        <v>5.2857142857142856</v>
      </c>
      <c r="F13" s="49">
        <f>AVERAGE('19.08 Mbale-Sironko'!F13,'20.08 Mbale-Sironko'!F13,'21.08 Mbale-Sironko'!F13,'23.08 Mbale-Sironko'!F13,'24.08 Mbale-Sironko-24h'!F13,'22.08 Mbale-Sironko-24h'!F13,'25.08 Mbale-Sironko'!F13)</f>
        <v>2.7142857142857144</v>
      </c>
      <c r="G13" s="49">
        <f>AVERAGE('19.08 Mbale-Sironko'!G13,'20.08 Mbale-Sironko'!G13,'21.08 Mbale-Sironko'!G13,'23.08 Mbale-Sironko'!G13,'24.08 Mbale-Sironko-24h'!G13,'22.08 Mbale-Sironko-24h'!G13,'25.08 Mbale-Sironko'!G13)</f>
        <v>0</v>
      </c>
      <c r="H13" s="49">
        <f>AVERAGE('19.08 Mbale-Sironko'!H13,'20.08 Mbale-Sironko'!H13,'21.08 Mbale-Sironko'!H13,'23.08 Mbale-Sironko'!H13,'24.08 Mbale-Sironko-24h'!H13,'22.08 Mbale-Sironko-24h'!H13,'25.08 Mbale-Sironko'!H13)</f>
        <v>0.2857142857142857</v>
      </c>
      <c r="I13" s="49">
        <f>AVERAGE('19.08 Mbale-Sironko'!I13,'20.08 Mbale-Sironko'!I13,'21.08 Mbale-Sironko'!I13,'23.08 Mbale-Sironko'!I13,'24.08 Mbale-Sironko-24h'!I13,'22.08 Mbale-Sironko-24h'!I13,'25.08 Mbale-Sironko'!I13)</f>
        <v>2.7142857142857144</v>
      </c>
      <c r="J13" s="49">
        <f>AVERAGE('19.08 Mbale-Sironko'!J13,'20.08 Mbale-Sironko'!J13,'21.08 Mbale-Sironko'!J13,'23.08 Mbale-Sironko'!J13,'24.08 Mbale-Sironko-24h'!J13,'22.08 Mbale-Sironko-24h'!J13,'25.08 Mbale-Sironko'!J13)</f>
        <v>0.14285714285714285</v>
      </c>
      <c r="K13" s="49">
        <f>AVERAGE('19.08 Mbale-Sironko'!K13,'20.08 Mbale-Sironko'!K13,'21.08 Mbale-Sironko'!K13,'23.08 Mbale-Sironko'!K13,'24.08 Mbale-Sironko-24h'!K13,'22.08 Mbale-Sironko-24h'!K13,'25.08 Mbale-Sironko'!K13)</f>
        <v>0</v>
      </c>
      <c r="L13" s="49">
        <f>AVERAGE('19.08 Mbale-Sironko'!L13,'20.08 Mbale-Sironko'!L13,'21.08 Mbale-Sironko'!L13,'23.08 Mbale-Sironko'!L13,'24.08 Mbale-Sironko-24h'!L13,'22.08 Mbale-Sironko-24h'!L13,'25.08 Mbale-Sironko'!L13)</f>
        <v>0.2857142857142857</v>
      </c>
      <c r="M13" s="49">
        <f>AVERAGE('19.08 Mbale-Sironko'!M13,'20.08 Mbale-Sironko'!M13,'21.08 Mbale-Sironko'!M13,'23.08 Mbale-Sironko'!M13,'24.08 Mbale-Sironko-24h'!M13,'22.08 Mbale-Sironko-24h'!M13,'25.08 Mbale-Sironko'!M13)</f>
        <v>22.857142857142858</v>
      </c>
      <c r="N13" s="49">
        <f>AVERAGE('19.08 Mbale-Sironko'!N13,'20.08 Mbale-Sironko'!N13,'21.08 Mbale-Sironko'!N13,'23.08 Mbale-Sironko'!N13,'24.08 Mbale-Sironko-24h'!N13,'22.08 Mbale-Sironko-24h'!N13,'25.08 Mbale-Sironko'!N13)</f>
        <v>0</v>
      </c>
      <c r="O13" s="15">
        <f t="shared" si="0"/>
        <v>13.857142857142856</v>
      </c>
      <c r="P13" s="15">
        <f t="shared" si="1"/>
        <v>36.714285714285715</v>
      </c>
      <c r="R13" s="1" t="s">
        <v>9</v>
      </c>
      <c r="S13" s="17">
        <f t="shared" ref="S13:AF13" si="5">SUM(C22:C25)</f>
        <v>18.142857142857142</v>
      </c>
      <c r="T13" s="17">
        <f t="shared" si="5"/>
        <v>6.2857142857142865</v>
      </c>
      <c r="U13" s="17">
        <f t="shared" si="5"/>
        <v>27.285714285714285</v>
      </c>
      <c r="V13" s="17">
        <f t="shared" si="5"/>
        <v>12</v>
      </c>
      <c r="W13" s="17">
        <f t="shared" si="5"/>
        <v>0.42857142857142855</v>
      </c>
      <c r="X13" s="17">
        <f t="shared" si="5"/>
        <v>0</v>
      </c>
      <c r="Y13" s="17">
        <f t="shared" si="5"/>
        <v>14</v>
      </c>
      <c r="Z13" s="17">
        <f t="shared" si="5"/>
        <v>0.42857142857142855</v>
      </c>
      <c r="AA13" s="17">
        <f t="shared" si="5"/>
        <v>0</v>
      </c>
      <c r="AB13" s="17">
        <f t="shared" si="5"/>
        <v>1.4285714285714286</v>
      </c>
      <c r="AC13" s="17">
        <f t="shared" si="5"/>
        <v>128.42857142857142</v>
      </c>
      <c r="AD13" s="17">
        <f t="shared" si="5"/>
        <v>0</v>
      </c>
      <c r="AE13" s="31">
        <f t="shared" si="5"/>
        <v>80</v>
      </c>
      <c r="AF13" s="31">
        <f t="shared" si="5"/>
        <v>208.42857142857142</v>
      </c>
    </row>
    <row r="14" spans="2:32" ht="23.1" customHeight="1" x14ac:dyDescent="0.25">
      <c r="B14" s="23" t="s">
        <v>41</v>
      </c>
      <c r="C14" s="49">
        <f>AVERAGE('19.08 Mbale-Sironko'!C14,'20.08 Mbale-Sironko'!C14,'21.08 Mbale-Sironko'!C14,'23.08 Mbale-Sironko'!C14,'24.08 Mbale-Sironko-24h'!C14,'22.08 Mbale-Sironko-24h'!C14,'25.08 Mbale-Sironko'!C14)</f>
        <v>2.2857142857142856</v>
      </c>
      <c r="D14" s="49">
        <f>AVERAGE('19.08 Mbale-Sironko'!D14,'20.08 Mbale-Sironko'!D14,'21.08 Mbale-Sironko'!D14,'23.08 Mbale-Sironko'!D14,'24.08 Mbale-Sironko-24h'!D14,'22.08 Mbale-Sironko-24h'!D14,'25.08 Mbale-Sironko'!D14)</f>
        <v>0.5714285714285714</v>
      </c>
      <c r="E14" s="49">
        <f>AVERAGE('19.08 Mbale-Sironko'!E14,'20.08 Mbale-Sironko'!E14,'21.08 Mbale-Sironko'!E14,'23.08 Mbale-Sironko'!E14,'24.08 Mbale-Sironko-24h'!E14,'22.08 Mbale-Sironko-24h'!E14,'25.08 Mbale-Sironko'!E14)</f>
        <v>4.8571428571428568</v>
      </c>
      <c r="F14" s="49">
        <f>AVERAGE('19.08 Mbale-Sironko'!F14,'20.08 Mbale-Sironko'!F14,'21.08 Mbale-Sironko'!F14,'23.08 Mbale-Sironko'!F14,'24.08 Mbale-Sironko-24h'!F14,'22.08 Mbale-Sironko-24h'!F14,'25.08 Mbale-Sironko'!F14)</f>
        <v>2.5714285714285716</v>
      </c>
      <c r="G14" s="49">
        <f>AVERAGE('19.08 Mbale-Sironko'!G14,'20.08 Mbale-Sironko'!G14,'21.08 Mbale-Sironko'!G14,'23.08 Mbale-Sironko'!G14,'24.08 Mbale-Sironko-24h'!G14,'22.08 Mbale-Sironko-24h'!G14,'25.08 Mbale-Sironko'!G14)</f>
        <v>0.2857142857142857</v>
      </c>
      <c r="H14" s="49">
        <f>AVERAGE('19.08 Mbale-Sironko'!H14,'20.08 Mbale-Sironko'!H14,'21.08 Mbale-Sironko'!H14,'23.08 Mbale-Sironko'!H14,'24.08 Mbale-Sironko-24h'!H14,'22.08 Mbale-Sironko-24h'!H14,'25.08 Mbale-Sironko'!H14)</f>
        <v>0.42857142857142855</v>
      </c>
      <c r="I14" s="49">
        <f>AVERAGE('19.08 Mbale-Sironko'!I14,'20.08 Mbale-Sironko'!I14,'21.08 Mbale-Sironko'!I14,'23.08 Mbale-Sironko'!I14,'24.08 Mbale-Sironko-24h'!I14,'22.08 Mbale-Sironko-24h'!I14,'25.08 Mbale-Sironko'!I14)</f>
        <v>1.4285714285714286</v>
      </c>
      <c r="J14" s="49">
        <f>AVERAGE('19.08 Mbale-Sironko'!J14,'20.08 Mbale-Sironko'!J14,'21.08 Mbale-Sironko'!J14,'23.08 Mbale-Sironko'!J14,'24.08 Mbale-Sironko-24h'!J14,'22.08 Mbale-Sironko-24h'!J14,'25.08 Mbale-Sironko'!J14)</f>
        <v>0</v>
      </c>
      <c r="K14" s="49">
        <f>AVERAGE('19.08 Mbale-Sironko'!K14,'20.08 Mbale-Sironko'!K14,'21.08 Mbale-Sironko'!K14,'23.08 Mbale-Sironko'!K14,'24.08 Mbale-Sironko-24h'!K14,'22.08 Mbale-Sironko-24h'!K14,'25.08 Mbale-Sironko'!K14)</f>
        <v>0.14285714285714285</v>
      </c>
      <c r="L14" s="49">
        <f>AVERAGE('19.08 Mbale-Sironko'!L14,'20.08 Mbale-Sironko'!L14,'21.08 Mbale-Sironko'!L14,'23.08 Mbale-Sironko'!L14,'24.08 Mbale-Sironko-24h'!L14,'22.08 Mbale-Sironko-24h'!L14,'25.08 Mbale-Sironko'!L14)</f>
        <v>0.2857142857142857</v>
      </c>
      <c r="M14" s="49">
        <f>AVERAGE('19.08 Mbale-Sironko'!M14,'20.08 Mbale-Sironko'!M14,'21.08 Mbale-Sironko'!M14,'23.08 Mbale-Sironko'!M14,'24.08 Mbale-Sironko-24h'!M14,'22.08 Mbale-Sironko-24h'!M14,'25.08 Mbale-Sironko'!M14)</f>
        <v>17.285714285714285</v>
      </c>
      <c r="N14" s="49">
        <f>AVERAGE('19.08 Mbale-Sironko'!N14,'20.08 Mbale-Sironko'!N14,'21.08 Mbale-Sironko'!N14,'23.08 Mbale-Sironko'!N14,'24.08 Mbale-Sironko-24h'!N14,'22.08 Mbale-Sironko-24h'!N14,'25.08 Mbale-Sironko'!N14)</f>
        <v>0</v>
      </c>
      <c r="O14" s="15">
        <f t="shared" si="0"/>
        <v>12.857142857142858</v>
      </c>
      <c r="P14" s="15">
        <f t="shared" si="1"/>
        <v>30.142857142857142</v>
      </c>
      <c r="R14" s="1" t="s">
        <v>10</v>
      </c>
      <c r="S14" s="17">
        <f t="shared" ref="S14:AF14" si="6">SUM(C26:C29)</f>
        <v>18.714285714285715</v>
      </c>
      <c r="T14" s="17">
        <f t="shared" si="6"/>
        <v>4.7142857142857144</v>
      </c>
      <c r="U14" s="17">
        <f t="shared" si="6"/>
        <v>26.428571428571431</v>
      </c>
      <c r="V14" s="17">
        <f t="shared" si="6"/>
        <v>15.285714285714286</v>
      </c>
      <c r="W14" s="17">
        <f t="shared" si="6"/>
        <v>0.2857142857142857</v>
      </c>
      <c r="X14" s="17">
        <f t="shared" si="6"/>
        <v>0</v>
      </c>
      <c r="Y14" s="17">
        <f t="shared" si="6"/>
        <v>12.857142857142858</v>
      </c>
      <c r="Z14" s="17">
        <f t="shared" si="6"/>
        <v>0.85714285714285698</v>
      </c>
      <c r="AA14" s="17">
        <f t="shared" si="6"/>
        <v>0.14285714285714285</v>
      </c>
      <c r="AB14" s="17">
        <f t="shared" si="6"/>
        <v>1.5714285714285712</v>
      </c>
      <c r="AC14" s="17">
        <f t="shared" si="6"/>
        <v>128.57142857142856</v>
      </c>
      <c r="AD14" s="17">
        <f t="shared" si="6"/>
        <v>0</v>
      </c>
      <c r="AE14" s="31">
        <f t="shared" si="6"/>
        <v>80.857142857142861</v>
      </c>
      <c r="AF14" s="31">
        <f t="shared" si="6"/>
        <v>209.42857142857142</v>
      </c>
    </row>
    <row r="15" spans="2:32" ht="23.1" customHeight="1" x14ac:dyDescent="0.25">
      <c r="B15" s="23" t="s">
        <v>42</v>
      </c>
      <c r="C15" s="49">
        <f>AVERAGE('19.08 Mbale-Sironko'!C15,'20.08 Mbale-Sironko'!C15,'21.08 Mbale-Sironko'!C15,'23.08 Mbale-Sironko'!C15,'24.08 Mbale-Sironko-24h'!C15,'22.08 Mbale-Sironko-24h'!C15,'25.08 Mbale-Sironko'!C15)</f>
        <v>1.7142857142857142</v>
      </c>
      <c r="D15" s="49">
        <f>AVERAGE('19.08 Mbale-Sironko'!D15,'20.08 Mbale-Sironko'!D15,'21.08 Mbale-Sironko'!D15,'23.08 Mbale-Sironko'!D15,'24.08 Mbale-Sironko-24h'!D15,'22.08 Mbale-Sironko-24h'!D15,'25.08 Mbale-Sironko'!D15)</f>
        <v>0.7142857142857143</v>
      </c>
      <c r="E15" s="49">
        <f>AVERAGE('19.08 Mbale-Sironko'!E15,'20.08 Mbale-Sironko'!E15,'21.08 Mbale-Sironko'!E15,'23.08 Mbale-Sironko'!E15,'24.08 Mbale-Sironko-24h'!E15,'22.08 Mbale-Sironko-24h'!E15,'25.08 Mbale-Sironko'!E15)</f>
        <v>3.8571428571428572</v>
      </c>
      <c r="F15" s="49">
        <f>AVERAGE('19.08 Mbale-Sironko'!F15,'20.08 Mbale-Sironko'!F15,'21.08 Mbale-Sironko'!F15,'23.08 Mbale-Sironko'!F15,'24.08 Mbale-Sironko-24h'!F15,'22.08 Mbale-Sironko-24h'!F15,'25.08 Mbale-Sironko'!F15)</f>
        <v>2.8571428571428572</v>
      </c>
      <c r="G15" s="49">
        <f>AVERAGE('19.08 Mbale-Sironko'!G15,'20.08 Mbale-Sironko'!G15,'21.08 Mbale-Sironko'!G15,'23.08 Mbale-Sironko'!G15,'24.08 Mbale-Sironko-24h'!G15,'22.08 Mbale-Sironko-24h'!G15,'25.08 Mbale-Sironko'!G15)</f>
        <v>0</v>
      </c>
      <c r="H15" s="49">
        <f>AVERAGE('19.08 Mbale-Sironko'!H15,'20.08 Mbale-Sironko'!H15,'21.08 Mbale-Sironko'!H15,'23.08 Mbale-Sironko'!H15,'24.08 Mbale-Sironko-24h'!H15,'22.08 Mbale-Sironko-24h'!H15,'25.08 Mbale-Sironko'!H15)</f>
        <v>0.14285714285714285</v>
      </c>
      <c r="I15" s="49">
        <f>AVERAGE('19.08 Mbale-Sironko'!I15,'20.08 Mbale-Sironko'!I15,'21.08 Mbale-Sironko'!I15,'23.08 Mbale-Sironko'!I15,'24.08 Mbale-Sironko-24h'!I15,'22.08 Mbale-Sironko-24h'!I15,'25.08 Mbale-Sironko'!I15)</f>
        <v>2.2857142857142856</v>
      </c>
      <c r="J15" s="49">
        <f>AVERAGE('19.08 Mbale-Sironko'!J15,'20.08 Mbale-Sironko'!J15,'21.08 Mbale-Sironko'!J15,'23.08 Mbale-Sironko'!J15,'24.08 Mbale-Sironko-24h'!J15,'22.08 Mbale-Sironko-24h'!J15,'25.08 Mbale-Sironko'!J15)</f>
        <v>0</v>
      </c>
      <c r="K15" s="49">
        <f>AVERAGE('19.08 Mbale-Sironko'!K15,'20.08 Mbale-Sironko'!K15,'21.08 Mbale-Sironko'!K15,'23.08 Mbale-Sironko'!K15,'24.08 Mbale-Sironko-24h'!K15,'22.08 Mbale-Sironko-24h'!K15,'25.08 Mbale-Sironko'!K15)</f>
        <v>0</v>
      </c>
      <c r="L15" s="49">
        <f>AVERAGE('19.08 Mbale-Sironko'!L15,'20.08 Mbale-Sironko'!L15,'21.08 Mbale-Sironko'!L15,'23.08 Mbale-Sironko'!L15,'24.08 Mbale-Sironko-24h'!L15,'22.08 Mbale-Sironko-24h'!L15,'25.08 Mbale-Sironko'!L15)</f>
        <v>0</v>
      </c>
      <c r="M15" s="49">
        <f>AVERAGE('19.08 Mbale-Sironko'!M15,'20.08 Mbale-Sironko'!M15,'21.08 Mbale-Sironko'!M15,'23.08 Mbale-Sironko'!M15,'24.08 Mbale-Sironko-24h'!M15,'22.08 Mbale-Sironko-24h'!M15,'25.08 Mbale-Sironko'!M15)</f>
        <v>23.571428571428573</v>
      </c>
      <c r="N15" s="49">
        <f>AVERAGE('19.08 Mbale-Sironko'!N15,'20.08 Mbale-Sironko'!N15,'21.08 Mbale-Sironko'!N15,'23.08 Mbale-Sironko'!N15,'24.08 Mbale-Sironko-24h'!N15,'22.08 Mbale-Sironko-24h'!N15,'25.08 Mbale-Sironko'!N15)</f>
        <v>0</v>
      </c>
      <c r="O15" s="15">
        <f t="shared" si="0"/>
        <v>11.571428571428569</v>
      </c>
      <c r="P15" s="15">
        <f t="shared" si="1"/>
        <v>35.142857142857139</v>
      </c>
      <c r="R15" s="1" t="s">
        <v>11</v>
      </c>
      <c r="S15" s="17">
        <f t="shared" ref="S15:AF15" si="7">SUM(C30:C33)</f>
        <v>15.142857142857144</v>
      </c>
      <c r="T15" s="17">
        <f t="shared" si="7"/>
        <v>6</v>
      </c>
      <c r="U15" s="17">
        <f t="shared" si="7"/>
        <v>27.571428571428569</v>
      </c>
      <c r="V15" s="17">
        <f t="shared" si="7"/>
        <v>14.428571428571427</v>
      </c>
      <c r="W15" s="17">
        <f t="shared" si="7"/>
        <v>0.2857142857142857</v>
      </c>
      <c r="X15" s="17">
        <f t="shared" si="7"/>
        <v>0.14285714285714285</v>
      </c>
      <c r="Y15" s="17">
        <f t="shared" si="7"/>
        <v>12.428571428571429</v>
      </c>
      <c r="Z15" s="17">
        <f t="shared" si="7"/>
        <v>0.42857142857142855</v>
      </c>
      <c r="AA15" s="17">
        <f t="shared" si="7"/>
        <v>0.5714285714285714</v>
      </c>
      <c r="AB15" s="17">
        <f t="shared" si="7"/>
        <v>1.7142857142857144</v>
      </c>
      <c r="AC15" s="17">
        <f t="shared" si="7"/>
        <v>125.14285714285714</v>
      </c>
      <c r="AD15" s="17">
        <f t="shared" si="7"/>
        <v>0</v>
      </c>
      <c r="AE15" s="31">
        <f t="shared" si="7"/>
        <v>78.714285714285708</v>
      </c>
      <c r="AF15" s="31">
        <f t="shared" si="7"/>
        <v>203.85714285714286</v>
      </c>
    </row>
    <row r="16" spans="2:32" ht="23.1" customHeight="1" x14ac:dyDescent="0.25">
      <c r="B16" s="23" t="s">
        <v>43</v>
      </c>
      <c r="C16" s="49">
        <f>AVERAGE('19.08 Mbale-Sironko'!C16,'20.08 Mbale-Sironko'!C16,'21.08 Mbale-Sironko'!C16,'23.08 Mbale-Sironko'!C16,'24.08 Mbale-Sironko-24h'!C16,'22.08 Mbale-Sironko-24h'!C16,'25.08 Mbale-Sironko'!C16)</f>
        <v>4.8571428571428568</v>
      </c>
      <c r="D16" s="49">
        <f>AVERAGE('19.08 Mbale-Sironko'!D16,'20.08 Mbale-Sironko'!D16,'21.08 Mbale-Sironko'!D16,'23.08 Mbale-Sironko'!D16,'24.08 Mbale-Sironko-24h'!D16,'22.08 Mbale-Sironko-24h'!D16,'25.08 Mbale-Sironko'!D16)</f>
        <v>1.1428571428571428</v>
      </c>
      <c r="E16" s="49">
        <f>AVERAGE('19.08 Mbale-Sironko'!E16,'20.08 Mbale-Sironko'!E16,'21.08 Mbale-Sironko'!E16,'23.08 Mbale-Sironko'!E16,'24.08 Mbale-Sironko-24h'!E16,'22.08 Mbale-Sironko-24h'!E16,'25.08 Mbale-Sironko'!E16)</f>
        <v>5.5714285714285712</v>
      </c>
      <c r="F16" s="49">
        <f>AVERAGE('19.08 Mbale-Sironko'!F16,'20.08 Mbale-Sironko'!F16,'21.08 Mbale-Sironko'!F16,'23.08 Mbale-Sironko'!F16,'24.08 Mbale-Sironko-24h'!F16,'22.08 Mbale-Sironko-24h'!F16,'25.08 Mbale-Sironko'!F16)</f>
        <v>2.8571428571428572</v>
      </c>
      <c r="G16" s="49">
        <f>AVERAGE('19.08 Mbale-Sironko'!G16,'20.08 Mbale-Sironko'!G16,'21.08 Mbale-Sironko'!G16,'23.08 Mbale-Sironko'!G16,'24.08 Mbale-Sironko-24h'!G16,'22.08 Mbale-Sironko-24h'!G16,'25.08 Mbale-Sironko'!G16)</f>
        <v>0.14285714285714285</v>
      </c>
      <c r="H16" s="49">
        <f>AVERAGE('19.08 Mbale-Sironko'!H16,'20.08 Mbale-Sironko'!H16,'21.08 Mbale-Sironko'!H16,'23.08 Mbale-Sironko'!H16,'24.08 Mbale-Sironko-24h'!H16,'22.08 Mbale-Sironko-24h'!H16,'25.08 Mbale-Sironko'!H16)</f>
        <v>0</v>
      </c>
      <c r="I16" s="49">
        <f>AVERAGE('19.08 Mbale-Sironko'!I16,'20.08 Mbale-Sironko'!I16,'21.08 Mbale-Sironko'!I16,'23.08 Mbale-Sironko'!I16,'24.08 Mbale-Sironko-24h'!I16,'22.08 Mbale-Sironko-24h'!I16,'25.08 Mbale-Sironko'!I16)</f>
        <v>1.1428571428571428</v>
      </c>
      <c r="J16" s="49">
        <f>AVERAGE('19.08 Mbale-Sironko'!J16,'20.08 Mbale-Sironko'!J16,'21.08 Mbale-Sironko'!J16,'23.08 Mbale-Sironko'!J16,'24.08 Mbale-Sironko-24h'!J16,'22.08 Mbale-Sironko-24h'!J16,'25.08 Mbale-Sironko'!J16)</f>
        <v>0.14285714285714285</v>
      </c>
      <c r="K16" s="49">
        <f>AVERAGE('19.08 Mbale-Sironko'!K16,'20.08 Mbale-Sironko'!K16,'21.08 Mbale-Sironko'!K16,'23.08 Mbale-Sironko'!K16,'24.08 Mbale-Sironko-24h'!K16,'22.08 Mbale-Sironko-24h'!K16,'25.08 Mbale-Sironko'!K16)</f>
        <v>0</v>
      </c>
      <c r="L16" s="49">
        <f>AVERAGE('19.08 Mbale-Sironko'!L16,'20.08 Mbale-Sironko'!L16,'21.08 Mbale-Sironko'!L16,'23.08 Mbale-Sironko'!L16,'24.08 Mbale-Sironko-24h'!L16,'22.08 Mbale-Sironko-24h'!L16,'25.08 Mbale-Sironko'!L16)</f>
        <v>0.14285714285714285</v>
      </c>
      <c r="M16" s="49">
        <f>AVERAGE('19.08 Mbale-Sironko'!M16,'20.08 Mbale-Sironko'!M16,'21.08 Mbale-Sironko'!M16,'23.08 Mbale-Sironko'!M16,'24.08 Mbale-Sironko-24h'!M16,'22.08 Mbale-Sironko-24h'!M16,'25.08 Mbale-Sironko'!M16)</f>
        <v>22.714285714285715</v>
      </c>
      <c r="N16" s="49">
        <f>AVERAGE('19.08 Mbale-Sironko'!N16,'20.08 Mbale-Sironko'!N16,'21.08 Mbale-Sironko'!N16,'23.08 Mbale-Sironko'!N16,'24.08 Mbale-Sironko-24h'!N16,'22.08 Mbale-Sironko-24h'!N16,'25.08 Mbale-Sironko'!N16)</f>
        <v>0</v>
      </c>
      <c r="O16" s="15">
        <f t="shared" si="0"/>
        <v>15.999999999999998</v>
      </c>
      <c r="P16" s="15">
        <f t="shared" si="1"/>
        <v>38.714285714285715</v>
      </c>
      <c r="R16" s="1" t="s">
        <v>12</v>
      </c>
      <c r="S16" s="17">
        <f t="shared" ref="S16:AF16" si="8">SUM(C34:C37)</f>
        <v>16.571428571428573</v>
      </c>
      <c r="T16" s="17">
        <f t="shared" si="8"/>
        <v>6.4285714285714288</v>
      </c>
      <c r="U16" s="17">
        <f t="shared" si="8"/>
        <v>30.714285714285715</v>
      </c>
      <c r="V16" s="17">
        <f t="shared" si="8"/>
        <v>15.428571428571431</v>
      </c>
      <c r="W16" s="17">
        <f t="shared" si="8"/>
        <v>0.71428571428571419</v>
      </c>
      <c r="X16" s="17">
        <f t="shared" si="8"/>
        <v>0.5714285714285714</v>
      </c>
      <c r="Y16" s="17">
        <f t="shared" si="8"/>
        <v>13.285714285714285</v>
      </c>
      <c r="Z16" s="17">
        <f t="shared" si="8"/>
        <v>0.42857142857142855</v>
      </c>
      <c r="AA16" s="17">
        <f t="shared" si="8"/>
        <v>0.42857142857142855</v>
      </c>
      <c r="AB16" s="17">
        <f t="shared" si="8"/>
        <v>0.2857142857142857</v>
      </c>
      <c r="AC16" s="17">
        <f t="shared" si="8"/>
        <v>115.28571428571428</v>
      </c>
      <c r="AD16" s="17">
        <f t="shared" si="8"/>
        <v>0</v>
      </c>
      <c r="AE16" s="31">
        <f t="shared" si="8"/>
        <v>84.857142857142861</v>
      </c>
      <c r="AF16" s="31">
        <f t="shared" si="8"/>
        <v>200.14285714285714</v>
      </c>
    </row>
    <row r="17" spans="2:32" ht="23.1" customHeight="1" x14ac:dyDescent="0.25">
      <c r="B17" s="23" t="s">
        <v>44</v>
      </c>
      <c r="C17" s="49">
        <f>AVERAGE('19.08 Mbale-Sironko'!C17,'20.08 Mbale-Sironko'!C17,'21.08 Mbale-Sironko'!C17,'23.08 Mbale-Sironko'!C17,'24.08 Mbale-Sironko-24h'!C17,'22.08 Mbale-Sironko-24h'!C17,'25.08 Mbale-Sironko'!C17)</f>
        <v>2.7142857142857144</v>
      </c>
      <c r="D17" s="49">
        <f>AVERAGE('19.08 Mbale-Sironko'!D17,'20.08 Mbale-Sironko'!D17,'21.08 Mbale-Sironko'!D17,'23.08 Mbale-Sironko'!D17,'24.08 Mbale-Sironko-24h'!D17,'22.08 Mbale-Sironko-24h'!D17,'25.08 Mbale-Sironko'!D17)</f>
        <v>1</v>
      </c>
      <c r="E17" s="49">
        <f>AVERAGE('19.08 Mbale-Sironko'!E17,'20.08 Mbale-Sironko'!E17,'21.08 Mbale-Sironko'!E17,'23.08 Mbale-Sironko'!E17,'24.08 Mbale-Sironko-24h'!E17,'22.08 Mbale-Sironko-24h'!E17,'25.08 Mbale-Sironko'!E17)</f>
        <v>5.5714285714285712</v>
      </c>
      <c r="F17" s="49">
        <f>AVERAGE('19.08 Mbale-Sironko'!F17,'20.08 Mbale-Sironko'!F17,'21.08 Mbale-Sironko'!F17,'23.08 Mbale-Sironko'!F17,'24.08 Mbale-Sironko-24h'!F17,'22.08 Mbale-Sironko-24h'!F17,'25.08 Mbale-Sironko'!F17)</f>
        <v>4.1428571428571432</v>
      </c>
      <c r="G17" s="49">
        <f>AVERAGE('19.08 Mbale-Sironko'!G17,'20.08 Mbale-Sironko'!G17,'21.08 Mbale-Sironko'!G17,'23.08 Mbale-Sironko'!G17,'24.08 Mbale-Sironko-24h'!G17,'22.08 Mbale-Sironko-24h'!G17,'25.08 Mbale-Sironko'!G17)</f>
        <v>0.14285714285714285</v>
      </c>
      <c r="H17" s="49">
        <f>AVERAGE('19.08 Mbale-Sironko'!H17,'20.08 Mbale-Sironko'!H17,'21.08 Mbale-Sironko'!H17,'23.08 Mbale-Sironko'!H17,'24.08 Mbale-Sironko-24h'!H17,'22.08 Mbale-Sironko-24h'!H17,'25.08 Mbale-Sironko'!H17)</f>
        <v>0</v>
      </c>
      <c r="I17" s="49">
        <f>AVERAGE('19.08 Mbale-Sironko'!I17,'20.08 Mbale-Sironko'!I17,'21.08 Mbale-Sironko'!I17,'23.08 Mbale-Sironko'!I17,'24.08 Mbale-Sironko-24h'!I17,'22.08 Mbale-Sironko-24h'!I17,'25.08 Mbale-Sironko'!I17)</f>
        <v>1.8571428571428572</v>
      </c>
      <c r="J17" s="49">
        <f>AVERAGE('19.08 Mbale-Sironko'!J17,'20.08 Mbale-Sironko'!J17,'21.08 Mbale-Sironko'!J17,'23.08 Mbale-Sironko'!J17,'24.08 Mbale-Sironko-24h'!J17,'22.08 Mbale-Sironko-24h'!J17,'25.08 Mbale-Sironko'!J17)</f>
        <v>0</v>
      </c>
      <c r="K17" s="49">
        <f>AVERAGE('19.08 Mbale-Sironko'!K17,'20.08 Mbale-Sironko'!K17,'21.08 Mbale-Sironko'!K17,'23.08 Mbale-Sironko'!K17,'24.08 Mbale-Sironko-24h'!K17,'22.08 Mbale-Sironko-24h'!K17,'25.08 Mbale-Sironko'!K17)</f>
        <v>0</v>
      </c>
      <c r="L17" s="49">
        <f>AVERAGE('19.08 Mbale-Sironko'!L17,'20.08 Mbale-Sironko'!L17,'21.08 Mbale-Sironko'!L17,'23.08 Mbale-Sironko'!L17,'24.08 Mbale-Sironko-24h'!L17,'22.08 Mbale-Sironko-24h'!L17,'25.08 Mbale-Sironko'!L17)</f>
        <v>1</v>
      </c>
      <c r="M17" s="49">
        <f>AVERAGE('19.08 Mbale-Sironko'!M17,'20.08 Mbale-Sironko'!M17,'21.08 Mbale-Sironko'!M17,'23.08 Mbale-Sironko'!M17,'24.08 Mbale-Sironko-24h'!M17,'22.08 Mbale-Sironko-24h'!M17,'25.08 Mbale-Sironko'!M17)</f>
        <v>24.142857142857142</v>
      </c>
      <c r="N17" s="49">
        <f>AVERAGE('19.08 Mbale-Sironko'!N17,'20.08 Mbale-Sironko'!N17,'21.08 Mbale-Sironko'!N17,'23.08 Mbale-Sironko'!N17,'24.08 Mbale-Sironko-24h'!N17,'22.08 Mbale-Sironko-24h'!N17,'25.08 Mbale-Sironko'!N17)</f>
        <v>0.14285714285714285</v>
      </c>
      <c r="O17" s="15">
        <f t="shared" si="0"/>
        <v>16.571428571428569</v>
      </c>
      <c r="P17" s="15">
        <f t="shared" si="1"/>
        <v>40.714285714285715</v>
      </c>
      <c r="R17" s="1" t="s">
        <v>13</v>
      </c>
      <c r="S17" s="17">
        <f t="shared" ref="S17:AF17" si="9">SUM(C38:C41)</f>
        <v>13.571428571428571</v>
      </c>
      <c r="T17" s="17">
        <f t="shared" si="9"/>
        <v>6.1428571428571432</v>
      </c>
      <c r="U17" s="17">
        <f t="shared" si="9"/>
        <v>27.714285714285715</v>
      </c>
      <c r="V17" s="17">
        <f t="shared" si="9"/>
        <v>14.428571428571427</v>
      </c>
      <c r="W17" s="17">
        <f t="shared" si="9"/>
        <v>0.42857142857142855</v>
      </c>
      <c r="X17" s="17">
        <f t="shared" si="9"/>
        <v>0.14285714285714285</v>
      </c>
      <c r="Y17" s="17">
        <f t="shared" si="9"/>
        <v>17.285714285714285</v>
      </c>
      <c r="Z17" s="17">
        <f t="shared" si="9"/>
        <v>1.4285714285714284</v>
      </c>
      <c r="AA17" s="17">
        <f t="shared" si="9"/>
        <v>0.14285714285714285</v>
      </c>
      <c r="AB17" s="17">
        <f t="shared" si="9"/>
        <v>0.14285714285714285</v>
      </c>
      <c r="AC17" s="17">
        <f t="shared" si="9"/>
        <v>104.71428571428572</v>
      </c>
      <c r="AD17" s="17">
        <f t="shared" si="9"/>
        <v>0</v>
      </c>
      <c r="AE17" s="31">
        <f t="shared" si="9"/>
        <v>81.428571428571431</v>
      </c>
      <c r="AF17" s="31">
        <f t="shared" si="9"/>
        <v>186.14285714285714</v>
      </c>
    </row>
    <row r="18" spans="2:32" ht="23.1" customHeight="1" x14ac:dyDescent="0.25">
      <c r="B18" s="23" t="s">
        <v>45</v>
      </c>
      <c r="C18" s="49">
        <f>AVERAGE('19.08 Mbale-Sironko'!C18,'20.08 Mbale-Sironko'!C18,'21.08 Mbale-Sironko'!C18,'23.08 Mbale-Sironko'!C18,'24.08 Mbale-Sironko-24h'!C18,'22.08 Mbale-Sironko-24h'!C18,'25.08 Mbale-Sironko'!C18)</f>
        <v>2.1428571428571428</v>
      </c>
      <c r="D18" s="49">
        <f>AVERAGE('19.08 Mbale-Sironko'!D18,'20.08 Mbale-Sironko'!D18,'21.08 Mbale-Sironko'!D18,'23.08 Mbale-Sironko'!D18,'24.08 Mbale-Sironko-24h'!D18,'22.08 Mbale-Sironko-24h'!D18,'25.08 Mbale-Sironko'!D18)</f>
        <v>1.1428571428571428</v>
      </c>
      <c r="E18" s="49">
        <f>AVERAGE('19.08 Mbale-Sironko'!E18,'20.08 Mbale-Sironko'!E18,'21.08 Mbale-Sironko'!E18,'23.08 Mbale-Sironko'!E18,'24.08 Mbale-Sironko-24h'!E18,'22.08 Mbale-Sironko-24h'!E18,'25.08 Mbale-Sironko'!E18)</f>
        <v>6.4285714285714288</v>
      </c>
      <c r="F18" s="49">
        <f>AVERAGE('19.08 Mbale-Sironko'!F18,'20.08 Mbale-Sironko'!F18,'21.08 Mbale-Sironko'!F18,'23.08 Mbale-Sironko'!F18,'24.08 Mbale-Sironko-24h'!F18,'22.08 Mbale-Sironko-24h'!F18,'25.08 Mbale-Sironko'!F18)</f>
        <v>2.2857142857142856</v>
      </c>
      <c r="G18" s="49">
        <f>AVERAGE('19.08 Mbale-Sironko'!G18,'20.08 Mbale-Sironko'!G18,'21.08 Mbale-Sironko'!G18,'23.08 Mbale-Sironko'!G18,'24.08 Mbale-Sironko-24h'!G18,'22.08 Mbale-Sironko-24h'!G18,'25.08 Mbale-Sironko'!G18)</f>
        <v>0</v>
      </c>
      <c r="H18" s="49">
        <f>AVERAGE('19.08 Mbale-Sironko'!H18,'20.08 Mbale-Sironko'!H18,'21.08 Mbale-Sironko'!H18,'23.08 Mbale-Sironko'!H18,'24.08 Mbale-Sironko-24h'!H18,'22.08 Mbale-Sironko-24h'!H18,'25.08 Mbale-Sironko'!H18)</f>
        <v>0</v>
      </c>
      <c r="I18" s="49">
        <f>AVERAGE('19.08 Mbale-Sironko'!I18,'20.08 Mbale-Sironko'!I18,'21.08 Mbale-Sironko'!I18,'23.08 Mbale-Sironko'!I18,'24.08 Mbale-Sironko-24h'!I18,'22.08 Mbale-Sironko-24h'!I18,'25.08 Mbale-Sironko'!I18)</f>
        <v>2.4285714285714284</v>
      </c>
      <c r="J18" s="49">
        <f>AVERAGE('19.08 Mbale-Sironko'!J18,'20.08 Mbale-Sironko'!J18,'21.08 Mbale-Sironko'!J18,'23.08 Mbale-Sironko'!J18,'24.08 Mbale-Sironko-24h'!J18,'22.08 Mbale-Sironko-24h'!J18,'25.08 Mbale-Sironko'!J18)</f>
        <v>0</v>
      </c>
      <c r="K18" s="49">
        <f>AVERAGE('19.08 Mbale-Sironko'!K18,'20.08 Mbale-Sironko'!K18,'21.08 Mbale-Sironko'!K18,'23.08 Mbale-Sironko'!K18,'24.08 Mbale-Sironko-24h'!K18,'22.08 Mbale-Sironko-24h'!K18,'25.08 Mbale-Sironko'!K18)</f>
        <v>0</v>
      </c>
      <c r="L18" s="49">
        <f>AVERAGE('19.08 Mbale-Sironko'!L18,'20.08 Mbale-Sironko'!L18,'21.08 Mbale-Sironko'!L18,'23.08 Mbale-Sironko'!L18,'24.08 Mbale-Sironko-24h'!L18,'22.08 Mbale-Sironko-24h'!L18,'25.08 Mbale-Sironko'!L18)</f>
        <v>0.14285714285714285</v>
      </c>
      <c r="M18" s="49">
        <f>AVERAGE('19.08 Mbale-Sironko'!M18,'20.08 Mbale-Sironko'!M18,'21.08 Mbale-Sironko'!M18,'23.08 Mbale-Sironko'!M18,'24.08 Mbale-Sironko-24h'!M18,'22.08 Mbale-Sironko-24h'!M18,'25.08 Mbale-Sironko'!M18)</f>
        <v>27.285714285714285</v>
      </c>
      <c r="N18" s="49">
        <f>AVERAGE('19.08 Mbale-Sironko'!N18,'20.08 Mbale-Sironko'!N18,'21.08 Mbale-Sironko'!N18,'23.08 Mbale-Sironko'!N18,'24.08 Mbale-Sironko-24h'!N18,'22.08 Mbale-Sironko-24h'!N18,'25.08 Mbale-Sironko'!N18)</f>
        <v>0</v>
      </c>
      <c r="O18" s="15">
        <f t="shared" si="0"/>
        <v>14.571428571428571</v>
      </c>
      <c r="P18" s="15">
        <f t="shared" si="1"/>
        <v>41.857142857142854</v>
      </c>
      <c r="R18" s="1" t="s">
        <v>14</v>
      </c>
      <c r="S18" s="17">
        <f t="shared" ref="S18:AF18" si="10">SUM(C42:C45)</f>
        <v>13.285714285714286</v>
      </c>
      <c r="T18" s="17">
        <f t="shared" si="10"/>
        <v>4.2857142857142856</v>
      </c>
      <c r="U18" s="17">
        <f t="shared" si="10"/>
        <v>23.857142857142861</v>
      </c>
      <c r="V18" s="17">
        <f t="shared" si="10"/>
        <v>16.285714285714285</v>
      </c>
      <c r="W18" s="17">
        <f t="shared" si="10"/>
        <v>0</v>
      </c>
      <c r="X18" s="17">
        <f t="shared" si="10"/>
        <v>0.14285714285714285</v>
      </c>
      <c r="Y18" s="17">
        <f t="shared" si="10"/>
        <v>12.571428571428571</v>
      </c>
      <c r="Z18" s="17">
        <f t="shared" si="10"/>
        <v>1.1428571428571428</v>
      </c>
      <c r="AA18" s="17">
        <f t="shared" si="10"/>
        <v>0.5714285714285714</v>
      </c>
      <c r="AB18" s="17">
        <f t="shared" si="10"/>
        <v>0.71428571428571419</v>
      </c>
      <c r="AC18" s="17">
        <f t="shared" si="10"/>
        <v>112.42857142857143</v>
      </c>
      <c r="AD18" s="17">
        <f t="shared" si="10"/>
        <v>0</v>
      </c>
      <c r="AE18" s="31">
        <f t="shared" si="10"/>
        <v>72.857142857142847</v>
      </c>
      <c r="AF18" s="31">
        <f t="shared" si="10"/>
        <v>185.28571428571431</v>
      </c>
    </row>
    <row r="19" spans="2:32" ht="23.1" customHeight="1" x14ac:dyDescent="0.25">
      <c r="B19" s="23" t="s">
        <v>46</v>
      </c>
      <c r="C19" s="49">
        <f>AVERAGE('19.08 Mbale-Sironko'!C19,'20.08 Mbale-Sironko'!C19,'21.08 Mbale-Sironko'!C19,'23.08 Mbale-Sironko'!C19,'24.08 Mbale-Sironko-24h'!C19,'22.08 Mbale-Sironko-24h'!C19,'25.08 Mbale-Sironko'!C19)</f>
        <v>3.7142857142857144</v>
      </c>
      <c r="D19" s="49">
        <f>AVERAGE('19.08 Mbale-Sironko'!D19,'20.08 Mbale-Sironko'!D19,'21.08 Mbale-Sironko'!D19,'23.08 Mbale-Sironko'!D19,'24.08 Mbale-Sironko-24h'!D19,'22.08 Mbale-Sironko-24h'!D19,'25.08 Mbale-Sironko'!D19)</f>
        <v>1.4285714285714286</v>
      </c>
      <c r="E19" s="49">
        <f>AVERAGE('19.08 Mbale-Sironko'!E19,'20.08 Mbale-Sironko'!E19,'21.08 Mbale-Sironko'!E19,'23.08 Mbale-Sironko'!E19,'24.08 Mbale-Sironko-24h'!E19,'22.08 Mbale-Sironko-24h'!E19,'25.08 Mbale-Sironko'!E19)</f>
        <v>6.8571428571428568</v>
      </c>
      <c r="F19" s="49">
        <f>AVERAGE('19.08 Mbale-Sironko'!F19,'20.08 Mbale-Sironko'!F19,'21.08 Mbale-Sironko'!F19,'23.08 Mbale-Sironko'!F19,'24.08 Mbale-Sironko-24h'!F19,'22.08 Mbale-Sironko-24h'!F19,'25.08 Mbale-Sironko'!F19)</f>
        <v>2.1428571428571428</v>
      </c>
      <c r="G19" s="49">
        <f>AVERAGE('19.08 Mbale-Sironko'!G19,'20.08 Mbale-Sironko'!G19,'21.08 Mbale-Sironko'!G19,'23.08 Mbale-Sironko'!G19,'24.08 Mbale-Sironko-24h'!G19,'22.08 Mbale-Sironko-24h'!G19,'25.08 Mbale-Sironko'!G19)</f>
        <v>0.14285714285714285</v>
      </c>
      <c r="H19" s="49">
        <f>AVERAGE('19.08 Mbale-Sironko'!H19,'20.08 Mbale-Sironko'!H19,'21.08 Mbale-Sironko'!H19,'23.08 Mbale-Sironko'!H19,'24.08 Mbale-Sironko-24h'!H19,'22.08 Mbale-Sironko-24h'!H19,'25.08 Mbale-Sironko'!H19)</f>
        <v>0.14285714285714285</v>
      </c>
      <c r="I19" s="49">
        <f>AVERAGE('19.08 Mbale-Sironko'!I19,'20.08 Mbale-Sironko'!I19,'21.08 Mbale-Sironko'!I19,'23.08 Mbale-Sironko'!I19,'24.08 Mbale-Sironko-24h'!I19,'22.08 Mbale-Sironko-24h'!I19,'25.08 Mbale-Sironko'!I19)</f>
        <v>3.2857142857142856</v>
      </c>
      <c r="J19" s="49">
        <f>AVERAGE('19.08 Mbale-Sironko'!J19,'20.08 Mbale-Sironko'!J19,'21.08 Mbale-Sironko'!J19,'23.08 Mbale-Sironko'!J19,'24.08 Mbale-Sironko-24h'!J19,'22.08 Mbale-Sironko-24h'!J19,'25.08 Mbale-Sironko'!J19)</f>
        <v>0</v>
      </c>
      <c r="K19" s="49">
        <f>AVERAGE('19.08 Mbale-Sironko'!K19,'20.08 Mbale-Sironko'!K19,'21.08 Mbale-Sironko'!K19,'23.08 Mbale-Sironko'!K19,'24.08 Mbale-Sironko-24h'!K19,'22.08 Mbale-Sironko-24h'!K19,'25.08 Mbale-Sironko'!K19)</f>
        <v>0</v>
      </c>
      <c r="L19" s="49">
        <f>AVERAGE('19.08 Mbale-Sironko'!L19,'20.08 Mbale-Sironko'!L19,'21.08 Mbale-Sironko'!L19,'23.08 Mbale-Sironko'!L19,'24.08 Mbale-Sironko-24h'!L19,'22.08 Mbale-Sironko-24h'!L19,'25.08 Mbale-Sironko'!L19)</f>
        <v>0.14285714285714285</v>
      </c>
      <c r="M19" s="49">
        <f>AVERAGE('19.08 Mbale-Sironko'!M19,'20.08 Mbale-Sironko'!M19,'21.08 Mbale-Sironko'!M19,'23.08 Mbale-Sironko'!M19,'24.08 Mbale-Sironko-24h'!M19,'22.08 Mbale-Sironko-24h'!M19,'25.08 Mbale-Sironko'!M19)</f>
        <v>20.285714285714285</v>
      </c>
      <c r="N19" s="49">
        <f>AVERAGE('19.08 Mbale-Sironko'!N19,'20.08 Mbale-Sironko'!N19,'21.08 Mbale-Sironko'!N19,'23.08 Mbale-Sironko'!N19,'24.08 Mbale-Sironko-24h'!N19,'22.08 Mbale-Sironko-24h'!N19,'25.08 Mbale-Sironko'!N19)</f>
        <v>0</v>
      </c>
      <c r="O19" s="15">
        <f t="shared" si="0"/>
        <v>17.857142857142854</v>
      </c>
      <c r="P19" s="15">
        <f t="shared" si="1"/>
        <v>38.142857142857139</v>
      </c>
      <c r="R19" s="1" t="s">
        <v>15</v>
      </c>
      <c r="S19" s="17">
        <f t="shared" ref="S19:AF19" si="11">SUM(C46:C49)</f>
        <v>17.714285714285715</v>
      </c>
      <c r="T19" s="17">
        <f t="shared" si="11"/>
        <v>4.7142857142857144</v>
      </c>
      <c r="U19" s="17">
        <f t="shared" si="11"/>
        <v>25.428571428571427</v>
      </c>
      <c r="V19" s="17">
        <f t="shared" si="11"/>
        <v>15.285714285714286</v>
      </c>
      <c r="W19" s="17">
        <f t="shared" si="11"/>
        <v>0</v>
      </c>
      <c r="X19" s="17">
        <f t="shared" si="11"/>
        <v>0</v>
      </c>
      <c r="Y19" s="17">
        <f t="shared" si="11"/>
        <v>12.428571428571431</v>
      </c>
      <c r="Z19" s="17">
        <f t="shared" si="11"/>
        <v>1</v>
      </c>
      <c r="AA19" s="17">
        <f t="shared" si="11"/>
        <v>0.2857142857142857</v>
      </c>
      <c r="AB19" s="17">
        <f t="shared" si="11"/>
        <v>1.1428571428571428</v>
      </c>
      <c r="AC19" s="17">
        <f t="shared" si="11"/>
        <v>110.71428571428572</v>
      </c>
      <c r="AD19" s="17">
        <f t="shared" si="11"/>
        <v>0</v>
      </c>
      <c r="AE19" s="31">
        <f t="shared" si="11"/>
        <v>77.999999999999986</v>
      </c>
      <c r="AF19" s="31">
        <f t="shared" si="11"/>
        <v>188.71428571428572</v>
      </c>
    </row>
    <row r="20" spans="2:32" ht="23.1" customHeight="1" x14ac:dyDescent="0.25">
      <c r="B20" s="23" t="s">
        <v>47</v>
      </c>
      <c r="C20" s="49">
        <f>AVERAGE('19.08 Mbale-Sironko'!C20,'20.08 Mbale-Sironko'!C20,'21.08 Mbale-Sironko'!C20,'23.08 Mbale-Sironko'!C20,'24.08 Mbale-Sironko-24h'!C20,'22.08 Mbale-Sironko-24h'!C20,'25.08 Mbale-Sironko'!C20)</f>
        <v>3.7142857142857144</v>
      </c>
      <c r="D20" s="49">
        <f>AVERAGE('19.08 Mbale-Sironko'!D20,'20.08 Mbale-Sironko'!D20,'21.08 Mbale-Sironko'!D20,'23.08 Mbale-Sironko'!D20,'24.08 Mbale-Sironko-24h'!D20,'22.08 Mbale-Sironko-24h'!D20,'25.08 Mbale-Sironko'!D20)</f>
        <v>1.5714285714285714</v>
      </c>
      <c r="E20" s="49">
        <f>AVERAGE('19.08 Mbale-Sironko'!E20,'20.08 Mbale-Sironko'!E20,'21.08 Mbale-Sironko'!E20,'23.08 Mbale-Sironko'!E20,'24.08 Mbale-Sironko-24h'!E20,'22.08 Mbale-Sironko-24h'!E20,'25.08 Mbale-Sironko'!E20)</f>
        <v>7.8571428571428568</v>
      </c>
      <c r="F20" s="49">
        <f>AVERAGE('19.08 Mbale-Sironko'!F20,'20.08 Mbale-Sironko'!F20,'21.08 Mbale-Sironko'!F20,'23.08 Mbale-Sironko'!F20,'24.08 Mbale-Sironko-24h'!F20,'22.08 Mbale-Sironko-24h'!F20,'25.08 Mbale-Sironko'!F20)</f>
        <v>3.5714285714285716</v>
      </c>
      <c r="G20" s="49">
        <f>AVERAGE('19.08 Mbale-Sironko'!G20,'20.08 Mbale-Sironko'!G20,'21.08 Mbale-Sironko'!G20,'23.08 Mbale-Sironko'!G20,'24.08 Mbale-Sironko-24h'!G20,'22.08 Mbale-Sironko-24h'!G20,'25.08 Mbale-Sironko'!G20)</f>
        <v>0.42857142857142855</v>
      </c>
      <c r="H20" s="49">
        <f>AVERAGE('19.08 Mbale-Sironko'!H20,'20.08 Mbale-Sironko'!H20,'21.08 Mbale-Sironko'!H20,'23.08 Mbale-Sironko'!H20,'24.08 Mbale-Sironko-24h'!H20,'22.08 Mbale-Sironko-24h'!H20,'25.08 Mbale-Sironko'!H20)</f>
        <v>0.2857142857142857</v>
      </c>
      <c r="I20" s="49">
        <f>AVERAGE('19.08 Mbale-Sironko'!I20,'20.08 Mbale-Sironko'!I20,'21.08 Mbale-Sironko'!I20,'23.08 Mbale-Sironko'!I20,'24.08 Mbale-Sironko-24h'!I20,'22.08 Mbale-Sironko-24h'!I20,'25.08 Mbale-Sironko'!I20)</f>
        <v>3.7142857142857144</v>
      </c>
      <c r="J20" s="49">
        <f>AVERAGE('19.08 Mbale-Sironko'!J20,'20.08 Mbale-Sironko'!J20,'21.08 Mbale-Sironko'!J20,'23.08 Mbale-Sironko'!J20,'24.08 Mbale-Sironko-24h'!J20,'22.08 Mbale-Sironko-24h'!J20,'25.08 Mbale-Sironko'!J20)</f>
        <v>0</v>
      </c>
      <c r="K20" s="49">
        <f>AVERAGE('19.08 Mbale-Sironko'!K20,'20.08 Mbale-Sironko'!K20,'21.08 Mbale-Sironko'!K20,'23.08 Mbale-Sironko'!K20,'24.08 Mbale-Sironko-24h'!K20,'22.08 Mbale-Sironko-24h'!K20,'25.08 Mbale-Sironko'!K20)</f>
        <v>0</v>
      </c>
      <c r="L20" s="49">
        <f>AVERAGE('19.08 Mbale-Sironko'!L20,'20.08 Mbale-Sironko'!L20,'21.08 Mbale-Sironko'!L20,'23.08 Mbale-Sironko'!L20,'24.08 Mbale-Sironko-24h'!L20,'22.08 Mbale-Sironko-24h'!L20,'25.08 Mbale-Sironko'!L20)</f>
        <v>0.14285714285714285</v>
      </c>
      <c r="M20" s="49">
        <f>AVERAGE('19.08 Mbale-Sironko'!M20,'20.08 Mbale-Sironko'!M20,'21.08 Mbale-Sironko'!M20,'23.08 Mbale-Sironko'!M20,'24.08 Mbale-Sironko-24h'!M20,'22.08 Mbale-Sironko-24h'!M20,'25.08 Mbale-Sironko'!M20)</f>
        <v>30.428571428571427</v>
      </c>
      <c r="N20" s="49">
        <f>AVERAGE('19.08 Mbale-Sironko'!N20,'20.08 Mbale-Sironko'!N20,'21.08 Mbale-Sironko'!N20,'23.08 Mbale-Sironko'!N20,'24.08 Mbale-Sironko-24h'!N20,'22.08 Mbale-Sironko-24h'!N20,'25.08 Mbale-Sironko'!N20)</f>
        <v>0</v>
      </c>
      <c r="O20" s="15">
        <f t="shared" si="0"/>
        <v>21.285714285714285</v>
      </c>
      <c r="P20" s="15">
        <f t="shared" si="1"/>
        <v>51.714285714285708</v>
      </c>
      <c r="R20" s="1" t="s">
        <v>16</v>
      </c>
      <c r="S20" s="17">
        <f t="shared" ref="S20:AF20" si="12">SUM(C50:C53)</f>
        <v>13.285714285714285</v>
      </c>
      <c r="T20" s="17">
        <f t="shared" si="12"/>
        <v>5.2857142857142856</v>
      </c>
      <c r="U20" s="17">
        <f t="shared" si="12"/>
        <v>25.857142857142858</v>
      </c>
      <c r="V20" s="17">
        <f t="shared" si="12"/>
        <v>15.857142857142858</v>
      </c>
      <c r="W20" s="17">
        <f t="shared" si="12"/>
        <v>0</v>
      </c>
      <c r="X20" s="17">
        <f t="shared" si="12"/>
        <v>0.14285714285714285</v>
      </c>
      <c r="Y20" s="17">
        <f t="shared" si="12"/>
        <v>16.285714285714285</v>
      </c>
      <c r="Z20" s="17">
        <f t="shared" si="12"/>
        <v>1.857142857142857</v>
      </c>
      <c r="AA20" s="17">
        <f t="shared" si="12"/>
        <v>0.2857142857142857</v>
      </c>
      <c r="AB20" s="17">
        <f t="shared" si="12"/>
        <v>0.8571428571428571</v>
      </c>
      <c r="AC20" s="17">
        <f t="shared" si="12"/>
        <v>130.42857142857142</v>
      </c>
      <c r="AD20" s="17">
        <f t="shared" si="12"/>
        <v>0</v>
      </c>
      <c r="AE20" s="31">
        <f t="shared" si="12"/>
        <v>79.714285714285708</v>
      </c>
      <c r="AF20" s="31">
        <f t="shared" si="12"/>
        <v>210.14285714285711</v>
      </c>
    </row>
    <row r="21" spans="2:32" ht="23.1" customHeight="1" x14ac:dyDescent="0.25">
      <c r="B21" s="23" t="s">
        <v>48</v>
      </c>
      <c r="C21" s="49">
        <f>AVERAGE('19.08 Mbale-Sironko'!C21,'20.08 Mbale-Sironko'!C21,'21.08 Mbale-Sironko'!C21,'23.08 Mbale-Sironko'!C21,'24.08 Mbale-Sironko-24h'!C21,'22.08 Mbale-Sironko-24h'!C21,'25.08 Mbale-Sironko'!C21)</f>
        <v>2.8571428571428572</v>
      </c>
      <c r="D21" s="49">
        <f>AVERAGE('19.08 Mbale-Sironko'!D21,'20.08 Mbale-Sironko'!D21,'21.08 Mbale-Sironko'!D21,'23.08 Mbale-Sironko'!D21,'24.08 Mbale-Sironko-24h'!D21,'22.08 Mbale-Sironko-24h'!D21,'25.08 Mbale-Sironko'!D21)</f>
        <v>1</v>
      </c>
      <c r="E21" s="49">
        <f>AVERAGE('19.08 Mbale-Sironko'!E21,'20.08 Mbale-Sironko'!E21,'21.08 Mbale-Sironko'!E21,'23.08 Mbale-Sironko'!E21,'24.08 Mbale-Sironko-24h'!E21,'22.08 Mbale-Sironko-24h'!E21,'25.08 Mbale-Sironko'!E21)</f>
        <v>5.1428571428571432</v>
      </c>
      <c r="F21" s="49">
        <f>AVERAGE('19.08 Mbale-Sironko'!F21,'20.08 Mbale-Sironko'!F21,'21.08 Mbale-Sironko'!F21,'23.08 Mbale-Sironko'!F21,'24.08 Mbale-Sironko-24h'!F21,'22.08 Mbale-Sironko-24h'!F21,'25.08 Mbale-Sironko'!F21)</f>
        <v>3.2857142857142856</v>
      </c>
      <c r="G21" s="49">
        <f>AVERAGE('19.08 Mbale-Sironko'!G21,'20.08 Mbale-Sironko'!G21,'21.08 Mbale-Sironko'!G21,'23.08 Mbale-Sironko'!G21,'24.08 Mbale-Sironko-24h'!G21,'22.08 Mbale-Sironko-24h'!G21,'25.08 Mbale-Sironko'!G21)</f>
        <v>1.2857142857142858</v>
      </c>
      <c r="H21" s="49">
        <f>AVERAGE('19.08 Mbale-Sironko'!H21,'20.08 Mbale-Sironko'!H21,'21.08 Mbale-Sironko'!H21,'23.08 Mbale-Sironko'!H21,'24.08 Mbale-Sironko-24h'!H21,'22.08 Mbale-Sironko-24h'!H21,'25.08 Mbale-Sironko'!H21)</f>
        <v>0</v>
      </c>
      <c r="I21" s="49">
        <f>AVERAGE('19.08 Mbale-Sironko'!I21,'20.08 Mbale-Sironko'!I21,'21.08 Mbale-Sironko'!I21,'23.08 Mbale-Sironko'!I21,'24.08 Mbale-Sironko-24h'!I21,'22.08 Mbale-Sironko-24h'!I21,'25.08 Mbale-Sironko'!I21)</f>
        <v>3.1428571428571428</v>
      </c>
      <c r="J21" s="49">
        <f>AVERAGE('19.08 Mbale-Sironko'!J21,'20.08 Mbale-Sironko'!J21,'21.08 Mbale-Sironko'!J21,'23.08 Mbale-Sironko'!J21,'24.08 Mbale-Sironko-24h'!J21,'22.08 Mbale-Sironko-24h'!J21,'25.08 Mbale-Sironko'!J21)</f>
        <v>0.14285714285714285</v>
      </c>
      <c r="K21" s="49">
        <f>AVERAGE('19.08 Mbale-Sironko'!K21,'20.08 Mbale-Sironko'!K21,'21.08 Mbale-Sironko'!K21,'23.08 Mbale-Sironko'!K21,'24.08 Mbale-Sironko-24h'!K21,'22.08 Mbale-Sironko-24h'!K21,'25.08 Mbale-Sironko'!K21)</f>
        <v>0</v>
      </c>
      <c r="L21" s="49">
        <f>AVERAGE('19.08 Mbale-Sironko'!L21,'20.08 Mbale-Sironko'!L21,'21.08 Mbale-Sironko'!L21,'23.08 Mbale-Sironko'!L21,'24.08 Mbale-Sironko-24h'!L21,'22.08 Mbale-Sironko-24h'!L21,'25.08 Mbale-Sironko'!L21)</f>
        <v>1</v>
      </c>
      <c r="M21" s="49">
        <f>AVERAGE('19.08 Mbale-Sironko'!M21,'20.08 Mbale-Sironko'!M21,'21.08 Mbale-Sironko'!M21,'23.08 Mbale-Sironko'!M21,'24.08 Mbale-Sironko-24h'!M21,'22.08 Mbale-Sironko-24h'!M21,'25.08 Mbale-Sironko'!M21)</f>
        <v>27.571428571428573</v>
      </c>
      <c r="N21" s="49">
        <f>AVERAGE('19.08 Mbale-Sironko'!N21,'20.08 Mbale-Sironko'!N21,'21.08 Mbale-Sironko'!N21,'23.08 Mbale-Sironko'!N21,'24.08 Mbale-Sironko-24h'!N21,'22.08 Mbale-Sironko-24h'!N21,'25.08 Mbale-Sironko'!N21)</f>
        <v>0</v>
      </c>
      <c r="O21" s="15">
        <f t="shared" si="0"/>
        <v>17.857142857142858</v>
      </c>
      <c r="P21" s="15">
        <f t="shared" si="1"/>
        <v>45.428571428571431</v>
      </c>
      <c r="R21" s="36" t="s">
        <v>20</v>
      </c>
      <c r="S21" s="34">
        <f t="shared" ref="S21:AF21" si="13">SUM(C54:C57)</f>
        <v>13.571428571428571</v>
      </c>
      <c r="T21" s="17">
        <f t="shared" si="13"/>
        <v>4.5714285714285712</v>
      </c>
      <c r="U21" s="17">
        <f t="shared" si="13"/>
        <v>23.714285714285715</v>
      </c>
      <c r="V21" s="17">
        <f t="shared" si="13"/>
        <v>13.142857142857142</v>
      </c>
      <c r="W21" s="17">
        <f t="shared" si="13"/>
        <v>0.42857142857142855</v>
      </c>
      <c r="X21" s="17">
        <f t="shared" si="13"/>
        <v>0</v>
      </c>
      <c r="Y21" s="17">
        <f t="shared" si="13"/>
        <v>16.571428571428573</v>
      </c>
      <c r="Z21" s="17">
        <f t="shared" si="13"/>
        <v>0.5714285714285714</v>
      </c>
      <c r="AA21" s="17">
        <f t="shared" si="13"/>
        <v>0</v>
      </c>
      <c r="AB21" s="17">
        <f t="shared" si="13"/>
        <v>0.71428571428571419</v>
      </c>
      <c r="AC21" s="17">
        <f t="shared" si="13"/>
        <v>102.57142857142857</v>
      </c>
      <c r="AD21" s="17">
        <f t="shared" si="13"/>
        <v>0</v>
      </c>
      <c r="AE21" s="31">
        <f t="shared" si="13"/>
        <v>73.285714285714278</v>
      </c>
      <c r="AF21" s="31">
        <f t="shared" si="13"/>
        <v>175.85714285714283</v>
      </c>
    </row>
    <row r="22" spans="2:32" ht="23.1" customHeight="1" x14ac:dyDescent="0.25">
      <c r="B22" s="23" t="s">
        <v>49</v>
      </c>
      <c r="C22" s="49">
        <f>AVERAGE('19.08 Mbale-Sironko'!C22,'20.08 Mbale-Sironko'!C22,'21.08 Mbale-Sironko'!C22,'23.08 Mbale-Sironko'!C22,'24.08 Mbale-Sironko-24h'!C22,'22.08 Mbale-Sironko-24h'!C22,'25.08 Mbale-Sironko'!C22)</f>
        <v>2.4285714285714284</v>
      </c>
      <c r="D22" s="49">
        <f>AVERAGE('19.08 Mbale-Sironko'!D22,'20.08 Mbale-Sironko'!D22,'21.08 Mbale-Sironko'!D22,'23.08 Mbale-Sironko'!D22,'24.08 Mbale-Sironko-24h'!D22,'22.08 Mbale-Sironko-24h'!D22,'25.08 Mbale-Sironko'!D22)</f>
        <v>1.8571428571428572</v>
      </c>
      <c r="E22" s="49">
        <f>AVERAGE('19.08 Mbale-Sironko'!E22,'20.08 Mbale-Sironko'!E22,'21.08 Mbale-Sironko'!E22,'23.08 Mbale-Sironko'!E22,'24.08 Mbale-Sironko-24h'!E22,'22.08 Mbale-Sironko-24h'!E22,'25.08 Mbale-Sironko'!E22)</f>
        <v>8.1428571428571423</v>
      </c>
      <c r="F22" s="49">
        <f>AVERAGE('19.08 Mbale-Sironko'!F22,'20.08 Mbale-Sironko'!F22,'21.08 Mbale-Sironko'!F22,'23.08 Mbale-Sironko'!F22,'24.08 Mbale-Sironko-24h'!F22,'22.08 Mbale-Sironko-24h'!F22,'25.08 Mbale-Sironko'!F22)</f>
        <v>3.8571428571428572</v>
      </c>
      <c r="G22" s="49">
        <f>AVERAGE('19.08 Mbale-Sironko'!G22,'20.08 Mbale-Sironko'!G22,'21.08 Mbale-Sironko'!G22,'23.08 Mbale-Sironko'!G22,'24.08 Mbale-Sironko-24h'!G22,'22.08 Mbale-Sironko-24h'!G22,'25.08 Mbale-Sironko'!G22)</f>
        <v>0</v>
      </c>
      <c r="H22" s="49">
        <f>AVERAGE('19.08 Mbale-Sironko'!H22,'20.08 Mbale-Sironko'!H22,'21.08 Mbale-Sironko'!H22,'23.08 Mbale-Sironko'!H22,'24.08 Mbale-Sironko-24h'!H22,'22.08 Mbale-Sironko-24h'!H22,'25.08 Mbale-Sironko'!H22)</f>
        <v>0</v>
      </c>
      <c r="I22" s="49">
        <f>AVERAGE('19.08 Mbale-Sironko'!I22,'20.08 Mbale-Sironko'!I22,'21.08 Mbale-Sironko'!I22,'23.08 Mbale-Sironko'!I22,'24.08 Mbale-Sironko-24h'!I22,'22.08 Mbale-Sironko-24h'!I22,'25.08 Mbale-Sironko'!I22)</f>
        <v>2.8571428571428572</v>
      </c>
      <c r="J22" s="49">
        <f>AVERAGE('19.08 Mbale-Sironko'!J22,'20.08 Mbale-Sironko'!J22,'21.08 Mbale-Sironko'!J22,'23.08 Mbale-Sironko'!J22,'24.08 Mbale-Sironko-24h'!J22,'22.08 Mbale-Sironko-24h'!J22,'25.08 Mbale-Sironko'!J22)</f>
        <v>0.14285714285714285</v>
      </c>
      <c r="K22" s="49">
        <f>AVERAGE('19.08 Mbale-Sironko'!K22,'20.08 Mbale-Sironko'!K22,'21.08 Mbale-Sironko'!K22,'23.08 Mbale-Sironko'!K22,'24.08 Mbale-Sironko-24h'!K22,'22.08 Mbale-Sironko-24h'!K22,'25.08 Mbale-Sironko'!K22)</f>
        <v>0</v>
      </c>
      <c r="L22" s="49">
        <f>AVERAGE('19.08 Mbale-Sironko'!L22,'20.08 Mbale-Sironko'!L22,'21.08 Mbale-Sironko'!L22,'23.08 Mbale-Sironko'!L22,'24.08 Mbale-Sironko-24h'!L22,'22.08 Mbale-Sironko-24h'!L22,'25.08 Mbale-Sironko'!L22)</f>
        <v>0.42857142857142855</v>
      </c>
      <c r="M22" s="49">
        <f>AVERAGE('19.08 Mbale-Sironko'!M22,'20.08 Mbale-Sironko'!M22,'21.08 Mbale-Sironko'!M22,'23.08 Mbale-Sironko'!M22,'24.08 Mbale-Sironko-24h'!M22,'22.08 Mbale-Sironko-24h'!M22,'25.08 Mbale-Sironko'!M22)</f>
        <v>31.714285714285715</v>
      </c>
      <c r="N22" s="49">
        <f>AVERAGE('19.08 Mbale-Sironko'!N22,'20.08 Mbale-Sironko'!N22,'21.08 Mbale-Sironko'!N22,'23.08 Mbale-Sironko'!N22,'24.08 Mbale-Sironko-24h'!N22,'22.08 Mbale-Sironko-24h'!N22,'25.08 Mbale-Sironko'!N22)</f>
        <v>0</v>
      </c>
      <c r="O22" s="15">
        <f t="shared" si="0"/>
        <v>19.714285714285712</v>
      </c>
      <c r="P22" s="15">
        <f t="shared" si="1"/>
        <v>51.428571428571431</v>
      </c>
      <c r="R22" s="1" t="s">
        <v>146</v>
      </c>
      <c r="S22" s="34">
        <f>SUM(C58:C61)</f>
        <v>13</v>
      </c>
      <c r="T22" s="34">
        <f t="shared" ref="T22:AF22" si="14">SUM(D58:D61)</f>
        <v>0</v>
      </c>
      <c r="U22" s="34">
        <f t="shared" si="14"/>
        <v>15</v>
      </c>
      <c r="V22" s="34">
        <f t="shared" si="14"/>
        <v>15.5</v>
      </c>
      <c r="W22" s="34">
        <f t="shared" si="14"/>
        <v>0</v>
      </c>
      <c r="X22" s="34">
        <f t="shared" si="14"/>
        <v>0.5</v>
      </c>
      <c r="Y22" s="34">
        <f t="shared" si="14"/>
        <v>24.5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102</v>
      </c>
      <c r="AD22" s="34">
        <f t="shared" si="14"/>
        <v>0</v>
      </c>
      <c r="AE22" s="31">
        <f t="shared" si="14"/>
        <v>68.5</v>
      </c>
      <c r="AF22" s="31">
        <f t="shared" si="14"/>
        <v>170.5</v>
      </c>
    </row>
    <row r="23" spans="2:32" ht="23.1" customHeight="1" x14ac:dyDescent="0.25">
      <c r="B23" s="23" t="s">
        <v>50</v>
      </c>
      <c r="C23" s="49">
        <f>AVERAGE('19.08 Mbale-Sironko'!C23,'20.08 Mbale-Sironko'!C23,'21.08 Mbale-Sironko'!C23,'23.08 Mbale-Sironko'!C23,'24.08 Mbale-Sironko-24h'!C23,'22.08 Mbale-Sironko-24h'!C23,'25.08 Mbale-Sironko'!C23)</f>
        <v>4.2857142857142856</v>
      </c>
      <c r="D23" s="49">
        <f>AVERAGE('19.08 Mbale-Sironko'!D23,'20.08 Mbale-Sironko'!D23,'21.08 Mbale-Sironko'!D23,'23.08 Mbale-Sironko'!D23,'24.08 Mbale-Sironko-24h'!D23,'22.08 Mbale-Sironko-24h'!D23,'25.08 Mbale-Sironko'!D23)</f>
        <v>1.8571428571428572</v>
      </c>
      <c r="E23" s="49">
        <f>AVERAGE('19.08 Mbale-Sironko'!E23,'20.08 Mbale-Sironko'!E23,'21.08 Mbale-Sironko'!E23,'23.08 Mbale-Sironko'!E23,'24.08 Mbale-Sironko-24h'!E23,'22.08 Mbale-Sironko-24h'!E23,'25.08 Mbale-Sironko'!E23)</f>
        <v>7.1428571428571432</v>
      </c>
      <c r="F23" s="49">
        <f>AVERAGE('19.08 Mbale-Sironko'!F23,'20.08 Mbale-Sironko'!F23,'21.08 Mbale-Sironko'!F23,'23.08 Mbale-Sironko'!F23,'24.08 Mbale-Sironko-24h'!F23,'22.08 Mbale-Sironko-24h'!F23,'25.08 Mbale-Sironko'!F23)</f>
        <v>3</v>
      </c>
      <c r="G23" s="49">
        <f>AVERAGE('19.08 Mbale-Sironko'!G23,'20.08 Mbale-Sironko'!G23,'21.08 Mbale-Sironko'!G23,'23.08 Mbale-Sironko'!G23,'24.08 Mbale-Sironko-24h'!G23,'22.08 Mbale-Sironko-24h'!G23,'25.08 Mbale-Sironko'!G23)</f>
        <v>0</v>
      </c>
      <c r="H23" s="49">
        <f>AVERAGE('19.08 Mbale-Sironko'!H23,'20.08 Mbale-Sironko'!H23,'21.08 Mbale-Sironko'!H23,'23.08 Mbale-Sironko'!H23,'24.08 Mbale-Sironko-24h'!H23,'22.08 Mbale-Sironko-24h'!H23,'25.08 Mbale-Sironko'!H23)</f>
        <v>0</v>
      </c>
      <c r="I23" s="49">
        <f>AVERAGE('19.08 Mbale-Sironko'!I23,'20.08 Mbale-Sironko'!I23,'21.08 Mbale-Sironko'!I23,'23.08 Mbale-Sironko'!I23,'24.08 Mbale-Sironko-24h'!I23,'22.08 Mbale-Sironko-24h'!I23,'25.08 Mbale-Sironko'!I23)</f>
        <v>2.8571428571428572</v>
      </c>
      <c r="J23" s="49">
        <f>AVERAGE('19.08 Mbale-Sironko'!J23,'20.08 Mbale-Sironko'!J23,'21.08 Mbale-Sironko'!J23,'23.08 Mbale-Sironko'!J23,'24.08 Mbale-Sironko-24h'!J23,'22.08 Mbale-Sironko-24h'!J23,'25.08 Mbale-Sironko'!J23)</f>
        <v>0.2857142857142857</v>
      </c>
      <c r="K23" s="49">
        <f>AVERAGE('19.08 Mbale-Sironko'!K23,'20.08 Mbale-Sironko'!K23,'21.08 Mbale-Sironko'!K23,'23.08 Mbale-Sironko'!K23,'24.08 Mbale-Sironko-24h'!K23,'22.08 Mbale-Sironko-24h'!K23,'25.08 Mbale-Sironko'!K23)</f>
        <v>0</v>
      </c>
      <c r="L23" s="49">
        <f>AVERAGE('19.08 Mbale-Sironko'!L23,'20.08 Mbale-Sironko'!L23,'21.08 Mbale-Sironko'!L23,'23.08 Mbale-Sironko'!L23,'24.08 Mbale-Sironko-24h'!L23,'22.08 Mbale-Sironko-24h'!L23,'25.08 Mbale-Sironko'!L23)</f>
        <v>0.42857142857142855</v>
      </c>
      <c r="M23" s="49">
        <f>AVERAGE('19.08 Mbale-Sironko'!M23,'20.08 Mbale-Sironko'!M23,'21.08 Mbale-Sironko'!M23,'23.08 Mbale-Sironko'!M23,'24.08 Mbale-Sironko-24h'!M23,'22.08 Mbale-Sironko-24h'!M23,'25.08 Mbale-Sironko'!M23)</f>
        <v>33.714285714285715</v>
      </c>
      <c r="N23" s="49">
        <f>AVERAGE('19.08 Mbale-Sironko'!N23,'20.08 Mbale-Sironko'!N23,'21.08 Mbale-Sironko'!N23,'23.08 Mbale-Sironko'!N23,'24.08 Mbale-Sironko-24h'!N23,'22.08 Mbale-Sironko-24h'!N23,'25.08 Mbale-Sironko'!N23)</f>
        <v>0</v>
      </c>
      <c r="O23" s="15">
        <f t="shared" si="0"/>
        <v>19.857142857142854</v>
      </c>
      <c r="P23" s="15">
        <f t="shared" si="1"/>
        <v>53.571428571428569</v>
      </c>
      <c r="R23" s="1" t="s">
        <v>147</v>
      </c>
      <c r="S23" s="34">
        <f>SUM(C62:C65)</f>
        <v>10.5</v>
      </c>
      <c r="T23" s="34">
        <f t="shared" ref="T23:AF23" si="15">SUM(D62:D65)</f>
        <v>2</v>
      </c>
      <c r="U23" s="34">
        <f t="shared" si="15"/>
        <v>21</v>
      </c>
      <c r="V23" s="34">
        <f t="shared" si="15"/>
        <v>4</v>
      </c>
      <c r="W23" s="34">
        <f t="shared" si="15"/>
        <v>0</v>
      </c>
      <c r="X23" s="34">
        <f t="shared" si="15"/>
        <v>0</v>
      </c>
      <c r="Y23" s="34">
        <f t="shared" si="15"/>
        <v>19.5</v>
      </c>
      <c r="Z23" s="34">
        <f t="shared" si="15"/>
        <v>3.5</v>
      </c>
      <c r="AA23" s="34">
        <f t="shared" si="15"/>
        <v>0</v>
      </c>
      <c r="AB23" s="34">
        <f t="shared" si="15"/>
        <v>0</v>
      </c>
      <c r="AC23" s="34">
        <f t="shared" si="15"/>
        <v>70</v>
      </c>
      <c r="AD23" s="34">
        <f t="shared" si="15"/>
        <v>0</v>
      </c>
      <c r="AE23" s="31">
        <f t="shared" si="15"/>
        <v>60.5</v>
      </c>
      <c r="AF23" s="31">
        <f t="shared" si="15"/>
        <v>130.5</v>
      </c>
    </row>
    <row r="24" spans="2:32" ht="23.1" customHeight="1" x14ac:dyDescent="0.25">
      <c r="B24" s="23" t="s">
        <v>51</v>
      </c>
      <c r="C24" s="49">
        <f>AVERAGE('19.08 Mbale-Sironko'!C24,'20.08 Mbale-Sironko'!C24,'21.08 Mbale-Sironko'!C24,'23.08 Mbale-Sironko'!C24,'24.08 Mbale-Sironko-24h'!C24,'22.08 Mbale-Sironko-24h'!C24,'25.08 Mbale-Sironko'!C24)</f>
        <v>6.1428571428571432</v>
      </c>
      <c r="D24" s="49">
        <f>AVERAGE('19.08 Mbale-Sironko'!D24,'20.08 Mbale-Sironko'!D24,'21.08 Mbale-Sironko'!D24,'23.08 Mbale-Sironko'!D24,'24.08 Mbale-Sironko-24h'!D24,'22.08 Mbale-Sironko-24h'!D24,'25.08 Mbale-Sironko'!D24)</f>
        <v>1.4285714285714286</v>
      </c>
      <c r="E24" s="49">
        <f>AVERAGE('19.08 Mbale-Sironko'!E24,'20.08 Mbale-Sironko'!E24,'21.08 Mbale-Sironko'!E24,'23.08 Mbale-Sironko'!E24,'24.08 Mbale-Sironko-24h'!E24,'22.08 Mbale-Sironko-24h'!E24,'25.08 Mbale-Sironko'!E24)</f>
        <v>6.2857142857142856</v>
      </c>
      <c r="F24" s="49">
        <f>AVERAGE('19.08 Mbale-Sironko'!F24,'20.08 Mbale-Sironko'!F24,'21.08 Mbale-Sironko'!F24,'23.08 Mbale-Sironko'!F24,'24.08 Mbale-Sironko-24h'!F24,'22.08 Mbale-Sironko-24h'!F24,'25.08 Mbale-Sironko'!F24)</f>
        <v>2.8571428571428572</v>
      </c>
      <c r="G24" s="49">
        <f>AVERAGE('19.08 Mbale-Sironko'!G24,'20.08 Mbale-Sironko'!G24,'21.08 Mbale-Sironko'!G24,'23.08 Mbale-Sironko'!G24,'24.08 Mbale-Sironko-24h'!G24,'22.08 Mbale-Sironko-24h'!G24,'25.08 Mbale-Sironko'!G24)</f>
        <v>0.14285714285714285</v>
      </c>
      <c r="H24" s="49">
        <f>AVERAGE('19.08 Mbale-Sironko'!H24,'20.08 Mbale-Sironko'!H24,'21.08 Mbale-Sironko'!H24,'23.08 Mbale-Sironko'!H24,'24.08 Mbale-Sironko-24h'!H24,'22.08 Mbale-Sironko-24h'!H24,'25.08 Mbale-Sironko'!H24)</f>
        <v>0</v>
      </c>
      <c r="I24" s="49">
        <f>AVERAGE('19.08 Mbale-Sironko'!I24,'20.08 Mbale-Sironko'!I24,'21.08 Mbale-Sironko'!I24,'23.08 Mbale-Sironko'!I24,'24.08 Mbale-Sironko-24h'!I24,'22.08 Mbale-Sironko-24h'!I24,'25.08 Mbale-Sironko'!I24)</f>
        <v>3.7142857142857144</v>
      </c>
      <c r="J24" s="49">
        <f>AVERAGE('19.08 Mbale-Sironko'!J24,'20.08 Mbale-Sironko'!J24,'21.08 Mbale-Sironko'!J24,'23.08 Mbale-Sironko'!J24,'24.08 Mbale-Sironko-24h'!J24,'22.08 Mbale-Sironko-24h'!J24,'25.08 Mbale-Sironko'!J24)</f>
        <v>0</v>
      </c>
      <c r="K24" s="49">
        <f>AVERAGE('19.08 Mbale-Sironko'!K24,'20.08 Mbale-Sironko'!K24,'21.08 Mbale-Sironko'!K24,'23.08 Mbale-Sironko'!K24,'24.08 Mbale-Sironko-24h'!K24,'22.08 Mbale-Sironko-24h'!K24,'25.08 Mbale-Sironko'!K24)</f>
        <v>0</v>
      </c>
      <c r="L24" s="49">
        <f>AVERAGE('19.08 Mbale-Sironko'!L24,'20.08 Mbale-Sironko'!L24,'21.08 Mbale-Sironko'!L24,'23.08 Mbale-Sironko'!L24,'24.08 Mbale-Sironko-24h'!L24,'22.08 Mbale-Sironko-24h'!L24,'25.08 Mbale-Sironko'!L24)</f>
        <v>0.14285714285714285</v>
      </c>
      <c r="M24" s="49">
        <f>AVERAGE('19.08 Mbale-Sironko'!M24,'20.08 Mbale-Sironko'!M24,'21.08 Mbale-Sironko'!M24,'23.08 Mbale-Sironko'!M24,'24.08 Mbale-Sironko-24h'!M24,'22.08 Mbale-Sironko-24h'!M24,'25.08 Mbale-Sironko'!M24)</f>
        <v>34.571428571428569</v>
      </c>
      <c r="N24" s="49">
        <f>AVERAGE('19.08 Mbale-Sironko'!N24,'20.08 Mbale-Sironko'!N24,'21.08 Mbale-Sironko'!N24,'23.08 Mbale-Sironko'!N24,'24.08 Mbale-Sironko-24h'!N24,'22.08 Mbale-Sironko-24h'!N24,'25.08 Mbale-Sironko'!N24)</f>
        <v>0</v>
      </c>
      <c r="O24" s="15">
        <f t="shared" si="0"/>
        <v>20.714285714285715</v>
      </c>
      <c r="P24" s="15">
        <f t="shared" si="1"/>
        <v>55.285714285714285</v>
      </c>
      <c r="R24" s="1" t="s">
        <v>148</v>
      </c>
      <c r="S24" s="34">
        <f>SUM(C66:C69)</f>
        <v>11.5</v>
      </c>
      <c r="T24" s="34">
        <f t="shared" ref="T24:AF24" si="16">SUM(D66:D69)</f>
        <v>1.5</v>
      </c>
      <c r="U24" s="34">
        <f t="shared" si="16"/>
        <v>13.5</v>
      </c>
      <c r="V24" s="34">
        <f t="shared" si="16"/>
        <v>6.5</v>
      </c>
      <c r="W24" s="34">
        <f t="shared" si="16"/>
        <v>0</v>
      </c>
      <c r="X24" s="34">
        <f t="shared" si="16"/>
        <v>0</v>
      </c>
      <c r="Y24" s="34">
        <f t="shared" si="16"/>
        <v>14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49</v>
      </c>
      <c r="AD24" s="34">
        <f t="shared" si="16"/>
        <v>0</v>
      </c>
      <c r="AE24" s="31">
        <f t="shared" si="16"/>
        <v>49</v>
      </c>
      <c r="AF24" s="31">
        <f t="shared" si="16"/>
        <v>98</v>
      </c>
    </row>
    <row r="25" spans="2:32" ht="23.1" customHeight="1" x14ac:dyDescent="0.25">
      <c r="B25" s="23" t="s">
        <v>52</v>
      </c>
      <c r="C25" s="49">
        <f>AVERAGE('19.08 Mbale-Sironko'!C25,'20.08 Mbale-Sironko'!C25,'21.08 Mbale-Sironko'!C25,'23.08 Mbale-Sironko'!C25,'24.08 Mbale-Sironko-24h'!C25,'22.08 Mbale-Sironko-24h'!C25,'25.08 Mbale-Sironko'!C25)</f>
        <v>5.2857142857142856</v>
      </c>
      <c r="D25" s="49">
        <f>AVERAGE('19.08 Mbale-Sironko'!D25,'20.08 Mbale-Sironko'!D25,'21.08 Mbale-Sironko'!D25,'23.08 Mbale-Sironko'!D25,'24.08 Mbale-Sironko-24h'!D25,'22.08 Mbale-Sironko-24h'!D25,'25.08 Mbale-Sironko'!D25)</f>
        <v>1.1428571428571428</v>
      </c>
      <c r="E25" s="49">
        <f>AVERAGE('19.08 Mbale-Sironko'!E25,'20.08 Mbale-Sironko'!E25,'21.08 Mbale-Sironko'!E25,'23.08 Mbale-Sironko'!E25,'24.08 Mbale-Sironko-24h'!E25,'22.08 Mbale-Sironko-24h'!E25,'25.08 Mbale-Sironko'!E25)</f>
        <v>5.7142857142857144</v>
      </c>
      <c r="F25" s="49">
        <f>AVERAGE('19.08 Mbale-Sironko'!F25,'20.08 Mbale-Sironko'!F25,'21.08 Mbale-Sironko'!F25,'23.08 Mbale-Sironko'!F25,'24.08 Mbale-Sironko-24h'!F25,'22.08 Mbale-Sironko-24h'!F25,'25.08 Mbale-Sironko'!F25)</f>
        <v>2.2857142857142856</v>
      </c>
      <c r="G25" s="49">
        <f>AVERAGE('19.08 Mbale-Sironko'!G25,'20.08 Mbale-Sironko'!G25,'21.08 Mbale-Sironko'!G25,'23.08 Mbale-Sironko'!G25,'24.08 Mbale-Sironko-24h'!G25,'22.08 Mbale-Sironko-24h'!G25,'25.08 Mbale-Sironko'!G25)</f>
        <v>0.2857142857142857</v>
      </c>
      <c r="H25" s="49">
        <f>AVERAGE('19.08 Mbale-Sironko'!H25,'20.08 Mbale-Sironko'!H25,'21.08 Mbale-Sironko'!H25,'23.08 Mbale-Sironko'!H25,'24.08 Mbale-Sironko-24h'!H25,'22.08 Mbale-Sironko-24h'!H25,'25.08 Mbale-Sironko'!H25)</f>
        <v>0</v>
      </c>
      <c r="I25" s="49">
        <f>AVERAGE('19.08 Mbale-Sironko'!I25,'20.08 Mbale-Sironko'!I25,'21.08 Mbale-Sironko'!I25,'23.08 Mbale-Sironko'!I25,'24.08 Mbale-Sironko-24h'!I25,'22.08 Mbale-Sironko-24h'!I25,'25.08 Mbale-Sironko'!I25)</f>
        <v>4.5714285714285712</v>
      </c>
      <c r="J25" s="49">
        <f>AVERAGE('19.08 Mbale-Sironko'!J25,'20.08 Mbale-Sironko'!J25,'21.08 Mbale-Sironko'!J25,'23.08 Mbale-Sironko'!J25,'24.08 Mbale-Sironko-24h'!J25,'22.08 Mbale-Sironko-24h'!J25,'25.08 Mbale-Sironko'!J25)</f>
        <v>0</v>
      </c>
      <c r="K25" s="49">
        <f>AVERAGE('19.08 Mbale-Sironko'!K25,'20.08 Mbale-Sironko'!K25,'21.08 Mbale-Sironko'!K25,'23.08 Mbale-Sironko'!K25,'24.08 Mbale-Sironko-24h'!K25,'22.08 Mbale-Sironko-24h'!K25,'25.08 Mbale-Sironko'!K25)</f>
        <v>0</v>
      </c>
      <c r="L25" s="49">
        <f>AVERAGE('19.08 Mbale-Sironko'!L25,'20.08 Mbale-Sironko'!L25,'21.08 Mbale-Sironko'!L25,'23.08 Mbale-Sironko'!L25,'24.08 Mbale-Sironko-24h'!L25,'22.08 Mbale-Sironko-24h'!L25,'25.08 Mbale-Sironko'!L25)</f>
        <v>0.42857142857142855</v>
      </c>
      <c r="M25" s="49">
        <f>AVERAGE('19.08 Mbale-Sironko'!M25,'20.08 Mbale-Sironko'!M25,'21.08 Mbale-Sironko'!M25,'23.08 Mbale-Sironko'!M25,'24.08 Mbale-Sironko-24h'!M25,'22.08 Mbale-Sironko-24h'!M25,'25.08 Mbale-Sironko'!M25)</f>
        <v>28.428571428571427</v>
      </c>
      <c r="N25" s="49">
        <f>AVERAGE('19.08 Mbale-Sironko'!N25,'20.08 Mbale-Sironko'!N25,'21.08 Mbale-Sironko'!N25,'23.08 Mbale-Sironko'!N25,'24.08 Mbale-Sironko-24h'!N25,'22.08 Mbale-Sironko-24h'!N25,'25.08 Mbale-Sironko'!N25)</f>
        <v>0</v>
      </c>
      <c r="O25" s="15">
        <f t="shared" si="0"/>
        <v>19.714285714285712</v>
      </c>
      <c r="P25" s="15">
        <f t="shared" si="1"/>
        <v>48.142857142857139</v>
      </c>
      <c r="R25" s="1" t="s">
        <v>149</v>
      </c>
      <c r="S25" s="34">
        <f>SUM(C70:C73)</f>
        <v>7</v>
      </c>
      <c r="T25" s="34">
        <f t="shared" ref="T25:AF25" si="17">SUM(D70:D73)</f>
        <v>0</v>
      </c>
      <c r="U25" s="34">
        <f t="shared" si="17"/>
        <v>6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8.5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33.5</v>
      </c>
      <c r="AD25" s="34">
        <f t="shared" si="17"/>
        <v>0</v>
      </c>
      <c r="AE25" s="31">
        <f t="shared" si="17"/>
        <v>22</v>
      </c>
      <c r="AF25" s="31">
        <f t="shared" si="17"/>
        <v>55.5</v>
      </c>
    </row>
    <row r="26" spans="2:32" ht="23.1" customHeight="1" x14ac:dyDescent="0.25">
      <c r="B26" s="23" t="s">
        <v>53</v>
      </c>
      <c r="C26" s="49">
        <f>AVERAGE('19.08 Mbale-Sironko'!C26,'20.08 Mbale-Sironko'!C26,'21.08 Mbale-Sironko'!C26,'23.08 Mbale-Sironko'!C26,'24.08 Mbale-Sironko-24h'!C26,'22.08 Mbale-Sironko-24h'!C26,'25.08 Mbale-Sironko'!C26)</f>
        <v>4.8571428571428568</v>
      </c>
      <c r="D26" s="49">
        <f>AVERAGE('19.08 Mbale-Sironko'!D26,'20.08 Mbale-Sironko'!D26,'21.08 Mbale-Sironko'!D26,'23.08 Mbale-Sironko'!D26,'24.08 Mbale-Sironko-24h'!D26,'22.08 Mbale-Sironko-24h'!D26,'25.08 Mbale-Sironko'!D26)</f>
        <v>1.4285714285714286</v>
      </c>
      <c r="E26" s="49">
        <f>AVERAGE('19.08 Mbale-Sironko'!E26,'20.08 Mbale-Sironko'!E26,'21.08 Mbale-Sironko'!E26,'23.08 Mbale-Sironko'!E26,'24.08 Mbale-Sironko-24h'!E26,'22.08 Mbale-Sironko-24h'!E26,'25.08 Mbale-Sironko'!E26)</f>
        <v>8.4285714285714288</v>
      </c>
      <c r="F26" s="49">
        <f>AVERAGE('19.08 Mbale-Sironko'!F26,'20.08 Mbale-Sironko'!F26,'21.08 Mbale-Sironko'!F26,'23.08 Mbale-Sironko'!F26,'24.08 Mbale-Sironko-24h'!F26,'22.08 Mbale-Sironko-24h'!F26,'25.08 Mbale-Sironko'!F26)</f>
        <v>4.1428571428571432</v>
      </c>
      <c r="G26" s="49">
        <f>AVERAGE('19.08 Mbale-Sironko'!G26,'20.08 Mbale-Sironko'!G26,'21.08 Mbale-Sironko'!G26,'23.08 Mbale-Sironko'!G26,'24.08 Mbale-Sironko-24h'!G26,'22.08 Mbale-Sironko-24h'!G26,'25.08 Mbale-Sironko'!G26)</f>
        <v>0.14285714285714285</v>
      </c>
      <c r="H26" s="49">
        <f>AVERAGE('19.08 Mbale-Sironko'!H26,'20.08 Mbale-Sironko'!H26,'21.08 Mbale-Sironko'!H26,'23.08 Mbale-Sironko'!H26,'24.08 Mbale-Sironko-24h'!H26,'22.08 Mbale-Sironko-24h'!H26,'25.08 Mbale-Sironko'!H26)</f>
        <v>0</v>
      </c>
      <c r="I26" s="49">
        <f>AVERAGE('19.08 Mbale-Sironko'!I26,'20.08 Mbale-Sironko'!I26,'21.08 Mbale-Sironko'!I26,'23.08 Mbale-Sironko'!I26,'24.08 Mbale-Sironko-24h'!I26,'22.08 Mbale-Sironko-24h'!I26,'25.08 Mbale-Sironko'!I26)</f>
        <v>3.2857142857142856</v>
      </c>
      <c r="J26" s="49">
        <f>AVERAGE('19.08 Mbale-Sironko'!J26,'20.08 Mbale-Sironko'!J26,'21.08 Mbale-Sironko'!J26,'23.08 Mbale-Sironko'!J26,'24.08 Mbale-Sironko-24h'!J26,'22.08 Mbale-Sironko-24h'!J26,'25.08 Mbale-Sironko'!J26)</f>
        <v>0.14285714285714285</v>
      </c>
      <c r="K26" s="49">
        <f>AVERAGE('19.08 Mbale-Sironko'!K26,'20.08 Mbale-Sironko'!K26,'21.08 Mbale-Sironko'!K26,'23.08 Mbale-Sironko'!K26,'24.08 Mbale-Sironko-24h'!K26,'22.08 Mbale-Sironko-24h'!K26,'25.08 Mbale-Sironko'!K26)</f>
        <v>0</v>
      </c>
      <c r="L26" s="49">
        <f>AVERAGE('19.08 Mbale-Sironko'!L26,'20.08 Mbale-Sironko'!L26,'21.08 Mbale-Sironko'!L26,'23.08 Mbale-Sironko'!L26,'24.08 Mbale-Sironko-24h'!L26,'22.08 Mbale-Sironko-24h'!L26,'25.08 Mbale-Sironko'!L26)</f>
        <v>0.5714285714285714</v>
      </c>
      <c r="M26" s="49">
        <f>AVERAGE('19.08 Mbale-Sironko'!M26,'20.08 Mbale-Sironko'!M26,'21.08 Mbale-Sironko'!M26,'23.08 Mbale-Sironko'!M26,'24.08 Mbale-Sironko-24h'!M26,'22.08 Mbale-Sironko-24h'!M26,'25.08 Mbale-Sironko'!M26)</f>
        <v>29</v>
      </c>
      <c r="N26" s="49">
        <f>AVERAGE('19.08 Mbale-Sironko'!N26,'20.08 Mbale-Sironko'!N26,'21.08 Mbale-Sironko'!N26,'23.08 Mbale-Sironko'!N26,'24.08 Mbale-Sironko-24h'!N26,'22.08 Mbale-Sironko-24h'!N26,'25.08 Mbale-Sironko'!N26)</f>
        <v>0</v>
      </c>
      <c r="O26" s="15">
        <f t="shared" si="0"/>
        <v>23</v>
      </c>
      <c r="P26" s="15">
        <f t="shared" si="1"/>
        <v>52</v>
      </c>
      <c r="R26" s="1" t="s">
        <v>150</v>
      </c>
      <c r="S26" s="34">
        <f>SUM(C74:C77)</f>
        <v>5</v>
      </c>
      <c r="T26" s="34">
        <f t="shared" ref="T26:AF26" si="18">SUM(D74:D77)</f>
        <v>0.5</v>
      </c>
      <c r="U26" s="34">
        <f t="shared" si="18"/>
        <v>5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12.5</v>
      </c>
      <c r="AD26" s="34">
        <f t="shared" si="18"/>
        <v>0</v>
      </c>
      <c r="AE26" s="31">
        <f t="shared" si="18"/>
        <v>16.5</v>
      </c>
      <c r="AF26" s="31">
        <f t="shared" si="18"/>
        <v>29</v>
      </c>
    </row>
    <row r="27" spans="2:32" ht="23.1" customHeight="1" x14ac:dyDescent="0.25">
      <c r="B27" s="23" t="s">
        <v>54</v>
      </c>
      <c r="C27" s="49">
        <f>AVERAGE('19.08 Mbale-Sironko'!C27,'20.08 Mbale-Sironko'!C27,'21.08 Mbale-Sironko'!C27,'23.08 Mbale-Sironko'!C27,'24.08 Mbale-Sironko-24h'!C27,'22.08 Mbale-Sironko-24h'!C27,'25.08 Mbale-Sironko'!C27)</f>
        <v>5.4285714285714288</v>
      </c>
      <c r="D27" s="49">
        <f>AVERAGE('19.08 Mbale-Sironko'!D27,'20.08 Mbale-Sironko'!D27,'21.08 Mbale-Sironko'!D27,'23.08 Mbale-Sironko'!D27,'24.08 Mbale-Sironko-24h'!D27,'22.08 Mbale-Sironko-24h'!D27,'25.08 Mbale-Sironko'!D27)</f>
        <v>1.2857142857142858</v>
      </c>
      <c r="E27" s="49">
        <f>AVERAGE('19.08 Mbale-Sironko'!E27,'20.08 Mbale-Sironko'!E27,'21.08 Mbale-Sironko'!E27,'23.08 Mbale-Sironko'!E27,'24.08 Mbale-Sironko-24h'!E27,'22.08 Mbale-Sironko-24h'!E27,'25.08 Mbale-Sironko'!E27)</f>
        <v>6</v>
      </c>
      <c r="F27" s="49">
        <f>AVERAGE('19.08 Mbale-Sironko'!F27,'20.08 Mbale-Sironko'!F27,'21.08 Mbale-Sironko'!F27,'23.08 Mbale-Sironko'!F27,'24.08 Mbale-Sironko-24h'!F27,'22.08 Mbale-Sironko-24h'!F27,'25.08 Mbale-Sironko'!F27)</f>
        <v>3.2857142857142856</v>
      </c>
      <c r="G27" s="49">
        <f>AVERAGE('19.08 Mbale-Sironko'!G27,'20.08 Mbale-Sironko'!G27,'21.08 Mbale-Sironko'!G27,'23.08 Mbale-Sironko'!G27,'24.08 Mbale-Sironko-24h'!G27,'22.08 Mbale-Sironko-24h'!G27,'25.08 Mbale-Sironko'!G27)</f>
        <v>0</v>
      </c>
      <c r="H27" s="49">
        <f>AVERAGE('19.08 Mbale-Sironko'!H27,'20.08 Mbale-Sironko'!H27,'21.08 Mbale-Sironko'!H27,'23.08 Mbale-Sironko'!H27,'24.08 Mbale-Sironko-24h'!H27,'22.08 Mbale-Sironko-24h'!H27,'25.08 Mbale-Sironko'!H27)</f>
        <v>0</v>
      </c>
      <c r="I27" s="49">
        <f>AVERAGE('19.08 Mbale-Sironko'!I27,'20.08 Mbale-Sironko'!I27,'21.08 Mbale-Sironko'!I27,'23.08 Mbale-Sironko'!I27,'24.08 Mbale-Sironko-24h'!I27,'22.08 Mbale-Sironko-24h'!I27,'25.08 Mbale-Sironko'!I27)</f>
        <v>4</v>
      </c>
      <c r="J27" s="49">
        <f>AVERAGE('19.08 Mbale-Sironko'!J27,'20.08 Mbale-Sironko'!J27,'21.08 Mbale-Sironko'!J27,'23.08 Mbale-Sironko'!J27,'24.08 Mbale-Sironko-24h'!J27,'22.08 Mbale-Sironko-24h'!J27,'25.08 Mbale-Sironko'!J27)</f>
        <v>0</v>
      </c>
      <c r="K27" s="49">
        <f>AVERAGE('19.08 Mbale-Sironko'!K27,'20.08 Mbale-Sironko'!K27,'21.08 Mbale-Sironko'!K27,'23.08 Mbale-Sironko'!K27,'24.08 Mbale-Sironko-24h'!K27,'22.08 Mbale-Sironko-24h'!K27,'25.08 Mbale-Sironko'!K27)</f>
        <v>0.14285714285714285</v>
      </c>
      <c r="L27" s="49">
        <f>AVERAGE('19.08 Mbale-Sironko'!L27,'20.08 Mbale-Sironko'!L27,'21.08 Mbale-Sironko'!L27,'23.08 Mbale-Sironko'!L27,'24.08 Mbale-Sironko-24h'!L27,'22.08 Mbale-Sironko-24h'!L27,'25.08 Mbale-Sironko'!L27)</f>
        <v>0.14285714285714285</v>
      </c>
      <c r="M27" s="49">
        <f>AVERAGE('19.08 Mbale-Sironko'!M27,'20.08 Mbale-Sironko'!M27,'21.08 Mbale-Sironko'!M27,'23.08 Mbale-Sironko'!M27,'24.08 Mbale-Sironko-24h'!M27,'22.08 Mbale-Sironko-24h'!M27,'25.08 Mbale-Sironko'!M27)</f>
        <v>32.857142857142854</v>
      </c>
      <c r="N27" s="49">
        <f>AVERAGE('19.08 Mbale-Sironko'!N27,'20.08 Mbale-Sironko'!N27,'21.08 Mbale-Sironko'!N27,'23.08 Mbale-Sironko'!N27,'24.08 Mbale-Sironko-24h'!N27,'22.08 Mbale-Sironko-24h'!N27,'25.08 Mbale-Sironko'!N27)</f>
        <v>0</v>
      </c>
      <c r="O27" s="15">
        <f t="shared" si="0"/>
        <v>20.285714285714285</v>
      </c>
      <c r="P27" s="15">
        <f t="shared" si="1"/>
        <v>53.142857142857139</v>
      </c>
      <c r="R27" s="1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6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8</v>
      </c>
      <c r="AD27" s="34">
        <f t="shared" si="19"/>
        <v>0</v>
      </c>
      <c r="AE27" s="31">
        <f t="shared" si="19"/>
        <v>10</v>
      </c>
      <c r="AF27" s="31">
        <f t="shared" si="19"/>
        <v>18</v>
      </c>
    </row>
    <row r="28" spans="2:32" ht="23.1" customHeight="1" x14ac:dyDescent="0.25">
      <c r="B28" s="23" t="s">
        <v>55</v>
      </c>
      <c r="C28" s="49">
        <f>AVERAGE('19.08 Mbale-Sironko'!C28,'20.08 Mbale-Sironko'!C28,'21.08 Mbale-Sironko'!C28,'23.08 Mbale-Sironko'!C28,'24.08 Mbale-Sironko-24h'!C28,'22.08 Mbale-Sironko-24h'!C28,'25.08 Mbale-Sironko'!C28)</f>
        <v>3.7142857142857144</v>
      </c>
      <c r="D28" s="49">
        <f>AVERAGE('19.08 Mbale-Sironko'!D28,'20.08 Mbale-Sironko'!D28,'21.08 Mbale-Sironko'!D28,'23.08 Mbale-Sironko'!D28,'24.08 Mbale-Sironko-24h'!D28,'22.08 Mbale-Sironko-24h'!D28,'25.08 Mbale-Sironko'!D28)</f>
        <v>1</v>
      </c>
      <c r="E28" s="49">
        <f>AVERAGE('19.08 Mbale-Sironko'!E28,'20.08 Mbale-Sironko'!E28,'21.08 Mbale-Sironko'!E28,'23.08 Mbale-Sironko'!E28,'24.08 Mbale-Sironko-24h'!E28,'22.08 Mbale-Sironko-24h'!E28,'25.08 Mbale-Sironko'!E28)</f>
        <v>6.4285714285714288</v>
      </c>
      <c r="F28" s="49">
        <f>AVERAGE('19.08 Mbale-Sironko'!F28,'20.08 Mbale-Sironko'!F28,'21.08 Mbale-Sironko'!F28,'23.08 Mbale-Sironko'!F28,'24.08 Mbale-Sironko-24h'!F28,'22.08 Mbale-Sironko-24h'!F28,'25.08 Mbale-Sironko'!F28)</f>
        <v>3.2857142857142856</v>
      </c>
      <c r="G28" s="49">
        <f>AVERAGE('19.08 Mbale-Sironko'!G28,'20.08 Mbale-Sironko'!G28,'21.08 Mbale-Sironko'!G28,'23.08 Mbale-Sironko'!G28,'24.08 Mbale-Sironko-24h'!G28,'22.08 Mbale-Sironko-24h'!G28,'25.08 Mbale-Sironko'!G28)</f>
        <v>0</v>
      </c>
      <c r="H28" s="49">
        <f>AVERAGE('19.08 Mbale-Sironko'!H28,'20.08 Mbale-Sironko'!H28,'21.08 Mbale-Sironko'!H28,'23.08 Mbale-Sironko'!H28,'24.08 Mbale-Sironko-24h'!H28,'22.08 Mbale-Sironko-24h'!H28,'25.08 Mbale-Sironko'!H28)</f>
        <v>0</v>
      </c>
      <c r="I28" s="49">
        <f>AVERAGE('19.08 Mbale-Sironko'!I28,'20.08 Mbale-Sironko'!I28,'21.08 Mbale-Sironko'!I28,'23.08 Mbale-Sironko'!I28,'24.08 Mbale-Sironko-24h'!I28,'22.08 Mbale-Sironko-24h'!I28,'25.08 Mbale-Sironko'!I28)</f>
        <v>2.7142857142857144</v>
      </c>
      <c r="J28" s="49">
        <f>AVERAGE('19.08 Mbale-Sironko'!J28,'20.08 Mbale-Sironko'!J28,'21.08 Mbale-Sironko'!J28,'23.08 Mbale-Sironko'!J28,'24.08 Mbale-Sironko-24h'!J28,'22.08 Mbale-Sironko-24h'!J28,'25.08 Mbale-Sironko'!J28)</f>
        <v>0.5714285714285714</v>
      </c>
      <c r="K28" s="49">
        <f>AVERAGE('19.08 Mbale-Sironko'!K28,'20.08 Mbale-Sironko'!K28,'21.08 Mbale-Sironko'!K28,'23.08 Mbale-Sironko'!K28,'24.08 Mbale-Sironko-24h'!K28,'22.08 Mbale-Sironko-24h'!K28,'25.08 Mbale-Sironko'!K28)</f>
        <v>0</v>
      </c>
      <c r="L28" s="49">
        <f>AVERAGE('19.08 Mbale-Sironko'!L28,'20.08 Mbale-Sironko'!L28,'21.08 Mbale-Sironko'!L28,'23.08 Mbale-Sironko'!L28,'24.08 Mbale-Sironko-24h'!L28,'22.08 Mbale-Sironko-24h'!L28,'25.08 Mbale-Sironko'!L28)</f>
        <v>0.7142857142857143</v>
      </c>
      <c r="M28" s="49">
        <f>AVERAGE('19.08 Mbale-Sironko'!M28,'20.08 Mbale-Sironko'!M28,'21.08 Mbale-Sironko'!M28,'23.08 Mbale-Sironko'!M28,'24.08 Mbale-Sironko-24h'!M28,'22.08 Mbale-Sironko-24h'!M28,'25.08 Mbale-Sironko'!M28)</f>
        <v>34.571428571428569</v>
      </c>
      <c r="N28" s="49">
        <f>AVERAGE('19.08 Mbale-Sironko'!N28,'20.08 Mbale-Sironko'!N28,'21.08 Mbale-Sironko'!N28,'23.08 Mbale-Sironko'!N28,'24.08 Mbale-Sironko-24h'!N28,'22.08 Mbale-Sironko-24h'!N28,'25.08 Mbale-Sironko'!N28)</f>
        <v>0</v>
      </c>
      <c r="O28" s="15">
        <f t="shared" si="0"/>
        <v>18.428571428571431</v>
      </c>
      <c r="P28" s="15">
        <f t="shared" si="1"/>
        <v>53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3.5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5.5</v>
      </c>
      <c r="AD28" s="34">
        <f t="shared" si="20"/>
        <v>0</v>
      </c>
      <c r="AE28" s="31">
        <f t="shared" si="20"/>
        <v>6</v>
      </c>
      <c r="AF28" s="31">
        <f t="shared" si="20"/>
        <v>11.5</v>
      </c>
    </row>
    <row r="29" spans="2:32" ht="23.1" customHeight="1" x14ac:dyDescent="0.25">
      <c r="B29" s="23" t="s">
        <v>56</v>
      </c>
      <c r="C29" s="49">
        <f>AVERAGE('19.08 Mbale-Sironko'!C29,'20.08 Mbale-Sironko'!C29,'21.08 Mbale-Sironko'!C29,'23.08 Mbale-Sironko'!C29,'24.08 Mbale-Sironko-24h'!C29,'22.08 Mbale-Sironko-24h'!C29,'25.08 Mbale-Sironko'!C29)</f>
        <v>4.7142857142857144</v>
      </c>
      <c r="D29" s="49">
        <f>AVERAGE('19.08 Mbale-Sironko'!D29,'20.08 Mbale-Sironko'!D29,'21.08 Mbale-Sironko'!D29,'23.08 Mbale-Sironko'!D29,'24.08 Mbale-Sironko-24h'!D29,'22.08 Mbale-Sironko-24h'!D29,'25.08 Mbale-Sironko'!D29)</f>
        <v>1</v>
      </c>
      <c r="E29" s="49">
        <f>AVERAGE('19.08 Mbale-Sironko'!E29,'20.08 Mbale-Sironko'!E29,'21.08 Mbale-Sironko'!E29,'23.08 Mbale-Sironko'!E29,'24.08 Mbale-Sironko-24h'!E29,'22.08 Mbale-Sironko-24h'!E29,'25.08 Mbale-Sironko'!E29)</f>
        <v>5.5714285714285712</v>
      </c>
      <c r="F29" s="49">
        <f>AVERAGE('19.08 Mbale-Sironko'!F29,'20.08 Mbale-Sironko'!F29,'21.08 Mbale-Sironko'!F29,'23.08 Mbale-Sironko'!F29,'24.08 Mbale-Sironko-24h'!F29,'22.08 Mbale-Sironko-24h'!F29,'25.08 Mbale-Sironko'!F29)</f>
        <v>4.5714285714285712</v>
      </c>
      <c r="G29" s="49">
        <f>AVERAGE('19.08 Mbale-Sironko'!G29,'20.08 Mbale-Sironko'!G29,'21.08 Mbale-Sironko'!G29,'23.08 Mbale-Sironko'!G29,'24.08 Mbale-Sironko-24h'!G29,'22.08 Mbale-Sironko-24h'!G29,'25.08 Mbale-Sironko'!G29)</f>
        <v>0.14285714285714285</v>
      </c>
      <c r="H29" s="49">
        <f>AVERAGE('19.08 Mbale-Sironko'!H29,'20.08 Mbale-Sironko'!H29,'21.08 Mbale-Sironko'!H29,'23.08 Mbale-Sironko'!H29,'24.08 Mbale-Sironko-24h'!H29,'22.08 Mbale-Sironko-24h'!H29,'25.08 Mbale-Sironko'!H29)</f>
        <v>0</v>
      </c>
      <c r="I29" s="49">
        <f>AVERAGE('19.08 Mbale-Sironko'!I29,'20.08 Mbale-Sironko'!I29,'21.08 Mbale-Sironko'!I29,'23.08 Mbale-Sironko'!I29,'24.08 Mbale-Sironko-24h'!I29,'22.08 Mbale-Sironko-24h'!I29,'25.08 Mbale-Sironko'!I29)</f>
        <v>2.8571428571428572</v>
      </c>
      <c r="J29" s="49">
        <f>AVERAGE('19.08 Mbale-Sironko'!J29,'20.08 Mbale-Sironko'!J29,'21.08 Mbale-Sironko'!J29,'23.08 Mbale-Sironko'!J29,'24.08 Mbale-Sironko-24h'!J29,'22.08 Mbale-Sironko-24h'!J29,'25.08 Mbale-Sironko'!J29)</f>
        <v>0.14285714285714285</v>
      </c>
      <c r="K29" s="49">
        <f>AVERAGE('19.08 Mbale-Sironko'!K29,'20.08 Mbale-Sironko'!K29,'21.08 Mbale-Sironko'!K29,'23.08 Mbale-Sironko'!K29,'24.08 Mbale-Sironko-24h'!K29,'22.08 Mbale-Sironko-24h'!K29,'25.08 Mbale-Sironko'!K29)</f>
        <v>0</v>
      </c>
      <c r="L29" s="49">
        <f>AVERAGE('19.08 Mbale-Sironko'!L29,'20.08 Mbale-Sironko'!L29,'21.08 Mbale-Sironko'!L29,'23.08 Mbale-Sironko'!L29,'24.08 Mbale-Sironko-24h'!L29,'22.08 Mbale-Sironko-24h'!L29,'25.08 Mbale-Sironko'!L29)</f>
        <v>0.14285714285714285</v>
      </c>
      <c r="M29" s="49">
        <f>AVERAGE('19.08 Mbale-Sironko'!M29,'20.08 Mbale-Sironko'!M29,'21.08 Mbale-Sironko'!M29,'23.08 Mbale-Sironko'!M29,'24.08 Mbale-Sironko-24h'!M29,'22.08 Mbale-Sironko-24h'!M29,'25.08 Mbale-Sironko'!M29)</f>
        <v>32.142857142857146</v>
      </c>
      <c r="N29" s="49">
        <f>AVERAGE('19.08 Mbale-Sironko'!N29,'20.08 Mbale-Sironko'!N29,'21.08 Mbale-Sironko'!N29,'23.08 Mbale-Sironko'!N29,'24.08 Mbale-Sironko-24h'!N29,'22.08 Mbale-Sironko-24h'!N29,'25.08 Mbale-Sironko'!N29)</f>
        <v>0</v>
      </c>
      <c r="O29" s="15">
        <f t="shared" si="0"/>
        <v>19.142857142857139</v>
      </c>
      <c r="P29" s="15">
        <f t="shared" si="1"/>
        <v>51.285714285714285</v>
      </c>
      <c r="R29" s="1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2.5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5</v>
      </c>
      <c r="AD29" s="34">
        <f t="shared" si="21"/>
        <v>0</v>
      </c>
      <c r="AE29" s="31">
        <f t="shared" si="21"/>
        <v>7.5</v>
      </c>
      <c r="AF29" s="31">
        <f t="shared" si="21"/>
        <v>12.5</v>
      </c>
    </row>
    <row r="30" spans="2:32" ht="23.1" customHeight="1" x14ac:dyDescent="0.25">
      <c r="B30" s="23" t="s">
        <v>57</v>
      </c>
      <c r="C30" s="49">
        <f>AVERAGE('19.08 Mbale-Sironko'!C30,'20.08 Mbale-Sironko'!C30,'21.08 Mbale-Sironko'!C30,'23.08 Mbale-Sironko'!C30,'24.08 Mbale-Sironko-24h'!C30,'22.08 Mbale-Sironko-24h'!C30,'25.08 Mbale-Sironko'!C30)</f>
        <v>4.1428571428571432</v>
      </c>
      <c r="D30" s="49">
        <f>AVERAGE('19.08 Mbale-Sironko'!D30,'20.08 Mbale-Sironko'!D30,'21.08 Mbale-Sironko'!D30,'23.08 Mbale-Sironko'!D30,'24.08 Mbale-Sironko-24h'!D30,'22.08 Mbale-Sironko-24h'!D30,'25.08 Mbale-Sironko'!D30)</f>
        <v>0.8571428571428571</v>
      </c>
      <c r="E30" s="49">
        <f>AVERAGE('19.08 Mbale-Sironko'!E30,'20.08 Mbale-Sironko'!E30,'21.08 Mbale-Sironko'!E30,'23.08 Mbale-Sironko'!E30,'24.08 Mbale-Sironko-24h'!E30,'22.08 Mbale-Sironko-24h'!E30,'25.08 Mbale-Sironko'!E30)</f>
        <v>4.7142857142857144</v>
      </c>
      <c r="F30" s="49">
        <f>AVERAGE('19.08 Mbale-Sironko'!F30,'20.08 Mbale-Sironko'!F30,'21.08 Mbale-Sironko'!F30,'23.08 Mbale-Sironko'!F30,'24.08 Mbale-Sironko-24h'!F30,'22.08 Mbale-Sironko-24h'!F30,'25.08 Mbale-Sironko'!F30)</f>
        <v>3.8571428571428572</v>
      </c>
      <c r="G30" s="49">
        <f>AVERAGE('19.08 Mbale-Sironko'!G30,'20.08 Mbale-Sironko'!G30,'21.08 Mbale-Sironko'!G30,'23.08 Mbale-Sironko'!G30,'24.08 Mbale-Sironko-24h'!G30,'22.08 Mbale-Sironko-24h'!G30,'25.08 Mbale-Sironko'!G30)</f>
        <v>0</v>
      </c>
      <c r="H30" s="49">
        <f>AVERAGE('19.08 Mbale-Sironko'!H30,'20.08 Mbale-Sironko'!H30,'21.08 Mbale-Sironko'!H30,'23.08 Mbale-Sironko'!H30,'24.08 Mbale-Sironko-24h'!H30,'22.08 Mbale-Sironko-24h'!H30,'25.08 Mbale-Sironko'!H30)</f>
        <v>0</v>
      </c>
      <c r="I30" s="49">
        <f>AVERAGE('19.08 Mbale-Sironko'!I30,'20.08 Mbale-Sironko'!I30,'21.08 Mbale-Sironko'!I30,'23.08 Mbale-Sironko'!I30,'24.08 Mbale-Sironko-24h'!I30,'22.08 Mbale-Sironko-24h'!I30,'25.08 Mbale-Sironko'!I30)</f>
        <v>2.5714285714285716</v>
      </c>
      <c r="J30" s="49">
        <f>AVERAGE('19.08 Mbale-Sironko'!J30,'20.08 Mbale-Sironko'!J30,'21.08 Mbale-Sironko'!J30,'23.08 Mbale-Sironko'!J30,'24.08 Mbale-Sironko-24h'!J30,'22.08 Mbale-Sironko-24h'!J30,'25.08 Mbale-Sironko'!J30)</f>
        <v>0.2857142857142857</v>
      </c>
      <c r="K30" s="49">
        <f>AVERAGE('19.08 Mbale-Sironko'!K30,'20.08 Mbale-Sironko'!K30,'21.08 Mbale-Sironko'!K30,'23.08 Mbale-Sironko'!K30,'24.08 Mbale-Sironko-24h'!K30,'22.08 Mbale-Sironko-24h'!K30,'25.08 Mbale-Sironko'!K30)</f>
        <v>0</v>
      </c>
      <c r="L30" s="49">
        <f>AVERAGE('19.08 Mbale-Sironko'!L30,'20.08 Mbale-Sironko'!L30,'21.08 Mbale-Sironko'!L30,'23.08 Mbale-Sironko'!L30,'24.08 Mbale-Sironko-24h'!L30,'22.08 Mbale-Sironko-24h'!L30,'25.08 Mbale-Sironko'!L30)</f>
        <v>0.2857142857142857</v>
      </c>
      <c r="M30" s="49">
        <f>AVERAGE('19.08 Mbale-Sironko'!M30,'20.08 Mbale-Sironko'!M30,'21.08 Mbale-Sironko'!M30,'23.08 Mbale-Sironko'!M30,'24.08 Mbale-Sironko-24h'!M30,'22.08 Mbale-Sironko-24h'!M30,'25.08 Mbale-Sironko'!M30)</f>
        <v>30.142857142857142</v>
      </c>
      <c r="N30" s="49">
        <f>AVERAGE('19.08 Mbale-Sironko'!N30,'20.08 Mbale-Sironko'!N30,'21.08 Mbale-Sironko'!N30,'23.08 Mbale-Sironko'!N30,'24.08 Mbale-Sironko-24h'!N30,'22.08 Mbale-Sironko-24h'!N30,'25.08 Mbale-Sironko'!N30)</f>
        <v>0</v>
      </c>
      <c r="O30" s="15">
        <f t="shared" si="0"/>
        <v>16.714285714285715</v>
      </c>
      <c r="P30" s="15">
        <f t="shared" si="1"/>
        <v>46.857142857142861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2.5</v>
      </c>
      <c r="AD30" s="34">
        <f t="shared" si="22"/>
        <v>0</v>
      </c>
      <c r="AE30" s="31">
        <f t="shared" si="22"/>
        <v>6</v>
      </c>
      <c r="AF30" s="31">
        <f t="shared" si="22"/>
        <v>8.5</v>
      </c>
    </row>
    <row r="31" spans="2:32" ht="23.1" customHeight="1" x14ac:dyDescent="0.25">
      <c r="B31" s="24" t="s">
        <v>58</v>
      </c>
      <c r="C31" s="49">
        <f>AVERAGE('19.08 Mbale-Sironko'!C31,'20.08 Mbale-Sironko'!C31,'21.08 Mbale-Sironko'!C31,'23.08 Mbale-Sironko'!C31,'24.08 Mbale-Sironko-24h'!C31,'22.08 Mbale-Sironko-24h'!C31,'25.08 Mbale-Sironko'!C31)</f>
        <v>3.2857142857142856</v>
      </c>
      <c r="D31" s="49">
        <f>AVERAGE('19.08 Mbale-Sironko'!D31,'20.08 Mbale-Sironko'!D31,'21.08 Mbale-Sironko'!D31,'23.08 Mbale-Sironko'!D31,'24.08 Mbale-Sironko-24h'!D31,'22.08 Mbale-Sironko-24h'!D31,'25.08 Mbale-Sironko'!D31)</f>
        <v>1.8571428571428572</v>
      </c>
      <c r="E31" s="49">
        <f>AVERAGE('19.08 Mbale-Sironko'!E31,'20.08 Mbale-Sironko'!E31,'21.08 Mbale-Sironko'!E31,'23.08 Mbale-Sironko'!E31,'24.08 Mbale-Sironko-24h'!E31,'22.08 Mbale-Sironko-24h'!E31,'25.08 Mbale-Sironko'!E31)</f>
        <v>8.2857142857142865</v>
      </c>
      <c r="F31" s="49">
        <f>AVERAGE('19.08 Mbale-Sironko'!F31,'20.08 Mbale-Sironko'!F31,'21.08 Mbale-Sironko'!F31,'23.08 Mbale-Sironko'!F31,'24.08 Mbale-Sironko-24h'!F31,'22.08 Mbale-Sironko-24h'!F31,'25.08 Mbale-Sironko'!F31)</f>
        <v>4.1428571428571432</v>
      </c>
      <c r="G31" s="49">
        <f>AVERAGE('19.08 Mbale-Sironko'!G31,'20.08 Mbale-Sironko'!G31,'21.08 Mbale-Sironko'!G31,'23.08 Mbale-Sironko'!G31,'24.08 Mbale-Sironko-24h'!G31,'22.08 Mbale-Sironko-24h'!G31,'25.08 Mbale-Sironko'!G31)</f>
        <v>0.14285714285714285</v>
      </c>
      <c r="H31" s="49">
        <f>AVERAGE('19.08 Mbale-Sironko'!H31,'20.08 Mbale-Sironko'!H31,'21.08 Mbale-Sironko'!H31,'23.08 Mbale-Sironko'!H31,'24.08 Mbale-Sironko-24h'!H31,'22.08 Mbale-Sironko-24h'!H31,'25.08 Mbale-Sironko'!H31)</f>
        <v>0</v>
      </c>
      <c r="I31" s="49">
        <f>AVERAGE('19.08 Mbale-Sironko'!I31,'20.08 Mbale-Sironko'!I31,'21.08 Mbale-Sironko'!I31,'23.08 Mbale-Sironko'!I31,'24.08 Mbale-Sironko-24h'!I31,'22.08 Mbale-Sironko-24h'!I31,'25.08 Mbale-Sironko'!I31)</f>
        <v>3.5714285714285716</v>
      </c>
      <c r="J31" s="49">
        <f>AVERAGE('19.08 Mbale-Sironko'!J31,'20.08 Mbale-Sironko'!J31,'21.08 Mbale-Sironko'!J31,'23.08 Mbale-Sironko'!J31,'24.08 Mbale-Sironko-24h'!J31,'22.08 Mbale-Sironko-24h'!J31,'25.08 Mbale-Sironko'!J31)</f>
        <v>0</v>
      </c>
      <c r="K31" s="49">
        <f>AVERAGE('19.08 Mbale-Sironko'!K31,'20.08 Mbale-Sironko'!K31,'21.08 Mbale-Sironko'!K31,'23.08 Mbale-Sironko'!K31,'24.08 Mbale-Sironko-24h'!K31,'22.08 Mbale-Sironko-24h'!K31,'25.08 Mbale-Sironko'!K31)</f>
        <v>0</v>
      </c>
      <c r="L31" s="49">
        <f>AVERAGE('19.08 Mbale-Sironko'!L31,'20.08 Mbale-Sironko'!L31,'21.08 Mbale-Sironko'!L31,'23.08 Mbale-Sironko'!L31,'24.08 Mbale-Sironko-24h'!L31,'22.08 Mbale-Sironko-24h'!L31,'25.08 Mbale-Sironko'!L31)</f>
        <v>0.7142857142857143</v>
      </c>
      <c r="M31" s="49">
        <f>AVERAGE('19.08 Mbale-Sironko'!M31,'20.08 Mbale-Sironko'!M31,'21.08 Mbale-Sironko'!M31,'23.08 Mbale-Sironko'!M31,'24.08 Mbale-Sironko-24h'!M31,'22.08 Mbale-Sironko-24h'!M31,'25.08 Mbale-Sironko'!M31)</f>
        <v>34</v>
      </c>
      <c r="N31" s="49">
        <f>AVERAGE('19.08 Mbale-Sironko'!N31,'20.08 Mbale-Sironko'!N31,'21.08 Mbale-Sironko'!N31,'23.08 Mbale-Sironko'!N31,'24.08 Mbale-Sironko-24h'!N31,'22.08 Mbale-Sironko-24h'!N31,'25.08 Mbale-Sironko'!N31)</f>
        <v>0</v>
      </c>
      <c r="O31" s="15">
        <f t="shared" si="0"/>
        <v>22.000000000000004</v>
      </c>
      <c r="P31" s="15">
        <f t="shared" si="1"/>
        <v>56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1.5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5.5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7</v>
      </c>
      <c r="AF31" s="31">
        <f t="shared" si="23"/>
        <v>11</v>
      </c>
    </row>
    <row r="32" spans="2:32" ht="23.1" customHeight="1" x14ac:dyDescent="0.25">
      <c r="B32" s="24" t="s">
        <v>59</v>
      </c>
      <c r="C32" s="49">
        <f>AVERAGE('19.08 Mbale-Sironko'!C32,'20.08 Mbale-Sironko'!C32,'21.08 Mbale-Sironko'!C32,'23.08 Mbale-Sironko'!C32,'24.08 Mbale-Sironko-24h'!C32,'22.08 Mbale-Sironko-24h'!C32,'25.08 Mbale-Sironko'!C32)</f>
        <v>3.8571428571428572</v>
      </c>
      <c r="D32" s="49">
        <f>AVERAGE('19.08 Mbale-Sironko'!D32,'20.08 Mbale-Sironko'!D32,'21.08 Mbale-Sironko'!D32,'23.08 Mbale-Sironko'!D32,'24.08 Mbale-Sironko-24h'!D32,'22.08 Mbale-Sironko-24h'!D32,'25.08 Mbale-Sironko'!D32)</f>
        <v>1.2857142857142858</v>
      </c>
      <c r="E32" s="49">
        <f>AVERAGE('19.08 Mbale-Sironko'!E32,'20.08 Mbale-Sironko'!E32,'21.08 Mbale-Sironko'!E32,'23.08 Mbale-Sironko'!E32,'24.08 Mbale-Sironko-24h'!E32,'22.08 Mbale-Sironko-24h'!E32,'25.08 Mbale-Sironko'!E32)</f>
        <v>5.5714285714285712</v>
      </c>
      <c r="F32" s="49">
        <f>AVERAGE('19.08 Mbale-Sironko'!F32,'20.08 Mbale-Sironko'!F32,'21.08 Mbale-Sironko'!F32,'23.08 Mbale-Sironko'!F32,'24.08 Mbale-Sironko-24h'!F32,'22.08 Mbale-Sironko-24h'!F32,'25.08 Mbale-Sironko'!F32)</f>
        <v>3.2857142857142856</v>
      </c>
      <c r="G32" s="49">
        <f>AVERAGE('19.08 Mbale-Sironko'!G32,'20.08 Mbale-Sironko'!G32,'21.08 Mbale-Sironko'!G32,'23.08 Mbale-Sironko'!G32,'24.08 Mbale-Sironko-24h'!G32,'22.08 Mbale-Sironko-24h'!G32,'25.08 Mbale-Sironko'!G32)</f>
        <v>0.14285714285714285</v>
      </c>
      <c r="H32" s="49">
        <f>AVERAGE('19.08 Mbale-Sironko'!H32,'20.08 Mbale-Sironko'!H32,'21.08 Mbale-Sironko'!H32,'23.08 Mbale-Sironko'!H32,'24.08 Mbale-Sironko-24h'!H32,'22.08 Mbale-Sironko-24h'!H32,'25.08 Mbale-Sironko'!H32)</f>
        <v>0.14285714285714285</v>
      </c>
      <c r="I32" s="49">
        <f>AVERAGE('19.08 Mbale-Sironko'!I32,'20.08 Mbale-Sironko'!I32,'21.08 Mbale-Sironko'!I32,'23.08 Mbale-Sironko'!I32,'24.08 Mbale-Sironko-24h'!I32,'22.08 Mbale-Sironko-24h'!I32,'25.08 Mbale-Sironko'!I32)</f>
        <v>3.2857142857142856</v>
      </c>
      <c r="J32" s="49">
        <f>AVERAGE('19.08 Mbale-Sironko'!J32,'20.08 Mbale-Sironko'!J32,'21.08 Mbale-Sironko'!J32,'23.08 Mbale-Sironko'!J32,'24.08 Mbale-Sironko-24h'!J32,'22.08 Mbale-Sironko-24h'!J32,'25.08 Mbale-Sironko'!J32)</f>
        <v>0</v>
      </c>
      <c r="K32" s="49">
        <f>AVERAGE('19.08 Mbale-Sironko'!K32,'20.08 Mbale-Sironko'!K32,'21.08 Mbale-Sironko'!K32,'23.08 Mbale-Sironko'!K32,'24.08 Mbale-Sironko-24h'!K32,'22.08 Mbale-Sironko-24h'!K32,'25.08 Mbale-Sironko'!K32)</f>
        <v>0.2857142857142857</v>
      </c>
      <c r="L32" s="49">
        <f>AVERAGE('19.08 Mbale-Sironko'!L32,'20.08 Mbale-Sironko'!L32,'21.08 Mbale-Sironko'!L32,'23.08 Mbale-Sironko'!L32,'24.08 Mbale-Sironko-24h'!L32,'22.08 Mbale-Sironko-24h'!L32,'25.08 Mbale-Sironko'!L32)</f>
        <v>0.42857142857142855</v>
      </c>
      <c r="M32" s="49">
        <f>AVERAGE('19.08 Mbale-Sironko'!M32,'20.08 Mbale-Sironko'!M32,'21.08 Mbale-Sironko'!M32,'23.08 Mbale-Sironko'!M32,'24.08 Mbale-Sironko-24h'!M32,'22.08 Mbale-Sironko-24h'!M32,'25.08 Mbale-Sironko'!M32)</f>
        <v>29.857142857142858</v>
      </c>
      <c r="N32" s="49">
        <f>AVERAGE('19.08 Mbale-Sironko'!N32,'20.08 Mbale-Sironko'!N32,'21.08 Mbale-Sironko'!N32,'23.08 Mbale-Sironko'!N32,'24.08 Mbale-Sironko-24h'!N32,'22.08 Mbale-Sironko-24h'!N32,'25.08 Mbale-Sironko'!N32)</f>
        <v>0</v>
      </c>
      <c r="O32" s="15">
        <f t="shared" si="0"/>
        <v>18.285714285714281</v>
      </c>
      <c r="P32" s="15">
        <f t="shared" si="1"/>
        <v>48.142857142857139</v>
      </c>
      <c r="R32" s="1" t="s">
        <v>156</v>
      </c>
      <c r="S32" s="34">
        <f>SUM(C98:C101)</f>
        <v>1.5</v>
      </c>
      <c r="T32" s="34">
        <f t="shared" ref="T32:AF32" si="24">SUM(D98:D101)</f>
        <v>0</v>
      </c>
      <c r="U32" s="34">
        <f t="shared" si="24"/>
        <v>5</v>
      </c>
      <c r="V32" s="34">
        <f t="shared" si="24"/>
        <v>2</v>
      </c>
      <c r="W32" s="34">
        <f t="shared" si="24"/>
        <v>0</v>
      </c>
      <c r="X32" s="34">
        <f t="shared" si="24"/>
        <v>0.5</v>
      </c>
      <c r="Y32" s="34">
        <f t="shared" si="24"/>
        <v>3</v>
      </c>
      <c r="Z32" s="34">
        <f t="shared" si="24"/>
        <v>0</v>
      </c>
      <c r="AA32" s="34">
        <f t="shared" si="24"/>
        <v>0.5</v>
      </c>
      <c r="AB32" s="34">
        <f t="shared" si="24"/>
        <v>0</v>
      </c>
      <c r="AC32" s="34">
        <f t="shared" si="24"/>
        <v>11.5</v>
      </c>
      <c r="AD32" s="34">
        <f t="shared" si="24"/>
        <v>0</v>
      </c>
      <c r="AE32" s="31">
        <f t="shared" si="24"/>
        <v>12.5</v>
      </c>
      <c r="AF32" s="31">
        <f t="shared" si="24"/>
        <v>24</v>
      </c>
    </row>
    <row r="33" spans="2:32" ht="23.1" customHeight="1" x14ac:dyDescent="0.25">
      <c r="B33" s="23" t="s">
        <v>60</v>
      </c>
      <c r="C33" s="49">
        <f>AVERAGE('19.08 Mbale-Sironko'!C33,'20.08 Mbale-Sironko'!C33,'21.08 Mbale-Sironko'!C33,'23.08 Mbale-Sironko'!C33,'24.08 Mbale-Sironko-24h'!C33,'22.08 Mbale-Sironko-24h'!C33,'25.08 Mbale-Sironko'!C33)</f>
        <v>3.8571428571428572</v>
      </c>
      <c r="D33" s="49">
        <f>AVERAGE('19.08 Mbale-Sironko'!D33,'20.08 Mbale-Sironko'!D33,'21.08 Mbale-Sironko'!D33,'23.08 Mbale-Sironko'!D33,'24.08 Mbale-Sironko-24h'!D33,'22.08 Mbale-Sironko-24h'!D33,'25.08 Mbale-Sironko'!D33)</f>
        <v>2</v>
      </c>
      <c r="E33" s="49">
        <f>AVERAGE('19.08 Mbale-Sironko'!E33,'20.08 Mbale-Sironko'!E33,'21.08 Mbale-Sironko'!E33,'23.08 Mbale-Sironko'!E33,'24.08 Mbale-Sironko-24h'!E33,'22.08 Mbale-Sironko-24h'!E33,'25.08 Mbale-Sironko'!E33)</f>
        <v>9</v>
      </c>
      <c r="F33" s="49">
        <f>AVERAGE('19.08 Mbale-Sironko'!F33,'20.08 Mbale-Sironko'!F33,'21.08 Mbale-Sironko'!F33,'23.08 Mbale-Sironko'!F33,'24.08 Mbale-Sironko-24h'!F33,'22.08 Mbale-Sironko-24h'!F33,'25.08 Mbale-Sironko'!F33)</f>
        <v>3.1428571428571428</v>
      </c>
      <c r="G33" s="49">
        <f>AVERAGE('19.08 Mbale-Sironko'!G33,'20.08 Mbale-Sironko'!G33,'21.08 Mbale-Sironko'!G33,'23.08 Mbale-Sironko'!G33,'24.08 Mbale-Sironko-24h'!G33,'22.08 Mbale-Sironko-24h'!G33,'25.08 Mbale-Sironko'!G33)</f>
        <v>0</v>
      </c>
      <c r="H33" s="49">
        <f>AVERAGE('19.08 Mbale-Sironko'!H33,'20.08 Mbale-Sironko'!H33,'21.08 Mbale-Sironko'!H33,'23.08 Mbale-Sironko'!H33,'24.08 Mbale-Sironko-24h'!H33,'22.08 Mbale-Sironko-24h'!H33,'25.08 Mbale-Sironko'!H33)</f>
        <v>0</v>
      </c>
      <c r="I33" s="49">
        <f>AVERAGE('19.08 Mbale-Sironko'!I33,'20.08 Mbale-Sironko'!I33,'21.08 Mbale-Sironko'!I33,'23.08 Mbale-Sironko'!I33,'24.08 Mbale-Sironko-24h'!I33,'22.08 Mbale-Sironko-24h'!I33,'25.08 Mbale-Sironko'!I33)</f>
        <v>3</v>
      </c>
      <c r="J33" s="49">
        <f>AVERAGE('19.08 Mbale-Sironko'!J33,'20.08 Mbale-Sironko'!J33,'21.08 Mbale-Sironko'!J33,'23.08 Mbale-Sironko'!J33,'24.08 Mbale-Sironko-24h'!J33,'22.08 Mbale-Sironko-24h'!J33,'25.08 Mbale-Sironko'!J33)</f>
        <v>0.14285714285714285</v>
      </c>
      <c r="K33" s="49">
        <f>AVERAGE('19.08 Mbale-Sironko'!K33,'20.08 Mbale-Sironko'!K33,'21.08 Mbale-Sironko'!K33,'23.08 Mbale-Sironko'!K33,'24.08 Mbale-Sironko-24h'!K33,'22.08 Mbale-Sironko-24h'!K33,'25.08 Mbale-Sironko'!K33)</f>
        <v>0.2857142857142857</v>
      </c>
      <c r="L33" s="49">
        <f>AVERAGE('19.08 Mbale-Sironko'!L33,'20.08 Mbale-Sironko'!L33,'21.08 Mbale-Sironko'!L33,'23.08 Mbale-Sironko'!L33,'24.08 Mbale-Sironko-24h'!L33,'22.08 Mbale-Sironko-24h'!L33,'25.08 Mbale-Sironko'!L33)</f>
        <v>0.2857142857142857</v>
      </c>
      <c r="M33" s="49">
        <f>AVERAGE('19.08 Mbale-Sironko'!M33,'20.08 Mbale-Sironko'!M33,'21.08 Mbale-Sironko'!M33,'23.08 Mbale-Sironko'!M33,'24.08 Mbale-Sironko-24h'!M33,'22.08 Mbale-Sironko-24h'!M33,'25.08 Mbale-Sironko'!M33)</f>
        <v>31.142857142857142</v>
      </c>
      <c r="N33" s="49">
        <f>AVERAGE('19.08 Mbale-Sironko'!N33,'20.08 Mbale-Sironko'!N33,'21.08 Mbale-Sironko'!N33,'23.08 Mbale-Sironko'!N33,'24.08 Mbale-Sironko-24h'!N33,'22.08 Mbale-Sironko-24h'!N33,'25.08 Mbale-Sironko'!N33)</f>
        <v>0</v>
      </c>
      <c r="O33" s="15">
        <f t="shared" si="0"/>
        <v>21.714285714285712</v>
      </c>
      <c r="P33" s="15">
        <f t="shared" si="1"/>
        <v>52.857142857142854</v>
      </c>
      <c r="R33" s="1" t="s">
        <v>157</v>
      </c>
      <c r="S33" s="34">
        <f>SUM(C102:C105)</f>
        <v>3.5</v>
      </c>
      <c r="T33" s="34">
        <f t="shared" ref="T33:AF33" si="25">SUM(D102:D105)</f>
        <v>0</v>
      </c>
      <c r="U33" s="34">
        <f t="shared" si="25"/>
        <v>4.5</v>
      </c>
      <c r="V33" s="34">
        <f t="shared" si="25"/>
        <v>8</v>
      </c>
      <c r="W33" s="34">
        <f t="shared" si="25"/>
        <v>0</v>
      </c>
      <c r="X33" s="34">
        <f t="shared" si="25"/>
        <v>0</v>
      </c>
      <c r="Y33" s="34">
        <f t="shared" si="25"/>
        <v>13.5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26.5</v>
      </c>
      <c r="AD33" s="34">
        <f t="shared" si="25"/>
        <v>0</v>
      </c>
      <c r="AE33" s="31">
        <f t="shared" si="25"/>
        <v>29.5</v>
      </c>
      <c r="AF33" s="31">
        <f t="shared" si="25"/>
        <v>56</v>
      </c>
    </row>
    <row r="34" spans="2:32" ht="23.1" customHeight="1" x14ac:dyDescent="0.25">
      <c r="B34" s="24" t="s">
        <v>61</v>
      </c>
      <c r="C34" s="49">
        <f>AVERAGE('19.08 Mbale-Sironko'!C34,'20.08 Mbale-Sironko'!C34,'21.08 Mbale-Sironko'!C34,'23.08 Mbale-Sironko'!C34,'24.08 Mbale-Sironko-24h'!C34,'22.08 Mbale-Sironko-24h'!C34,'25.08 Mbale-Sironko'!C34)</f>
        <v>4</v>
      </c>
      <c r="D34" s="49">
        <f>AVERAGE('19.08 Mbale-Sironko'!D34,'20.08 Mbale-Sironko'!D34,'21.08 Mbale-Sironko'!D34,'23.08 Mbale-Sironko'!D34,'24.08 Mbale-Sironko-24h'!D34,'22.08 Mbale-Sironko-24h'!D34,'25.08 Mbale-Sironko'!D34)</f>
        <v>2.2857142857142856</v>
      </c>
      <c r="E34" s="49">
        <f>AVERAGE('19.08 Mbale-Sironko'!E34,'20.08 Mbale-Sironko'!E34,'21.08 Mbale-Sironko'!E34,'23.08 Mbale-Sironko'!E34,'24.08 Mbale-Sironko-24h'!E34,'22.08 Mbale-Sironko-24h'!E34,'25.08 Mbale-Sironko'!E34)</f>
        <v>9.1428571428571423</v>
      </c>
      <c r="F34" s="49">
        <f>AVERAGE('19.08 Mbale-Sironko'!F34,'20.08 Mbale-Sironko'!F34,'21.08 Mbale-Sironko'!F34,'23.08 Mbale-Sironko'!F34,'24.08 Mbale-Sironko-24h'!F34,'22.08 Mbale-Sironko-24h'!F34,'25.08 Mbale-Sironko'!F34)</f>
        <v>4</v>
      </c>
      <c r="G34" s="49">
        <f>AVERAGE('19.08 Mbale-Sironko'!G34,'20.08 Mbale-Sironko'!G34,'21.08 Mbale-Sironko'!G34,'23.08 Mbale-Sironko'!G34,'24.08 Mbale-Sironko-24h'!G34,'22.08 Mbale-Sironko-24h'!G34,'25.08 Mbale-Sironko'!G34)</f>
        <v>0.14285714285714285</v>
      </c>
      <c r="H34" s="49">
        <f>AVERAGE('19.08 Mbale-Sironko'!H34,'20.08 Mbale-Sironko'!H34,'21.08 Mbale-Sironko'!H34,'23.08 Mbale-Sironko'!H34,'24.08 Mbale-Sironko-24h'!H34,'22.08 Mbale-Sironko-24h'!H34,'25.08 Mbale-Sironko'!H34)</f>
        <v>0</v>
      </c>
      <c r="I34" s="49">
        <f>AVERAGE('19.08 Mbale-Sironko'!I34,'20.08 Mbale-Sironko'!I34,'21.08 Mbale-Sironko'!I34,'23.08 Mbale-Sironko'!I34,'24.08 Mbale-Sironko-24h'!I34,'22.08 Mbale-Sironko-24h'!I34,'25.08 Mbale-Sironko'!I34)</f>
        <v>3</v>
      </c>
      <c r="J34" s="49">
        <f>AVERAGE('19.08 Mbale-Sironko'!J34,'20.08 Mbale-Sironko'!J34,'21.08 Mbale-Sironko'!J34,'23.08 Mbale-Sironko'!J34,'24.08 Mbale-Sironko-24h'!J34,'22.08 Mbale-Sironko-24h'!J34,'25.08 Mbale-Sironko'!J34)</f>
        <v>0.2857142857142857</v>
      </c>
      <c r="K34" s="49">
        <f>AVERAGE('19.08 Mbale-Sironko'!K34,'20.08 Mbale-Sironko'!K34,'21.08 Mbale-Sironko'!K34,'23.08 Mbale-Sironko'!K34,'24.08 Mbale-Sironko-24h'!K34,'22.08 Mbale-Sironko-24h'!K34,'25.08 Mbale-Sironko'!K34)</f>
        <v>0</v>
      </c>
      <c r="L34" s="49">
        <f>AVERAGE('19.08 Mbale-Sironko'!L34,'20.08 Mbale-Sironko'!L34,'21.08 Mbale-Sironko'!L34,'23.08 Mbale-Sironko'!L34,'24.08 Mbale-Sironko-24h'!L34,'22.08 Mbale-Sironko-24h'!L34,'25.08 Mbale-Sironko'!L34)</f>
        <v>0</v>
      </c>
      <c r="M34" s="49">
        <f>AVERAGE('19.08 Mbale-Sironko'!M34,'20.08 Mbale-Sironko'!M34,'21.08 Mbale-Sironko'!M34,'23.08 Mbale-Sironko'!M34,'24.08 Mbale-Sironko-24h'!M34,'22.08 Mbale-Sironko-24h'!M34,'25.08 Mbale-Sironko'!M34)</f>
        <v>28.857142857142858</v>
      </c>
      <c r="N34" s="49">
        <f>AVERAGE('19.08 Mbale-Sironko'!N34,'20.08 Mbale-Sironko'!N34,'21.08 Mbale-Sironko'!N34,'23.08 Mbale-Sironko'!N34,'24.08 Mbale-Sironko-24h'!N34,'22.08 Mbale-Sironko-24h'!N34,'25.08 Mbale-Sironko'!N34)</f>
        <v>0</v>
      </c>
      <c r="O34" s="15">
        <f t="shared" si="0"/>
        <v>22.857142857142854</v>
      </c>
      <c r="P34" s="15">
        <f t="shared" si="1"/>
        <v>51.714285714285708</v>
      </c>
      <c r="R34" s="51" t="s">
        <v>90</v>
      </c>
      <c r="S34" s="52">
        <f t="shared" ref="S34:AF34" si="26">MAX(S10:S12)</f>
        <v>12.428571428571431</v>
      </c>
      <c r="T34" s="52">
        <f t="shared" si="26"/>
        <v>5.1428571428571423</v>
      </c>
      <c r="U34" s="52">
        <f t="shared" si="26"/>
        <v>26.285714285714285</v>
      </c>
      <c r="V34" s="52">
        <f t="shared" si="26"/>
        <v>12.428571428571431</v>
      </c>
      <c r="W34" s="52">
        <f t="shared" si="26"/>
        <v>1.8571428571428572</v>
      </c>
      <c r="X34" s="52">
        <f t="shared" si="26"/>
        <v>0.5714285714285714</v>
      </c>
      <c r="Y34" s="52">
        <f t="shared" si="26"/>
        <v>12.571428571428569</v>
      </c>
      <c r="Z34" s="52">
        <f t="shared" si="26"/>
        <v>0.14285714285714285</v>
      </c>
      <c r="AA34" s="52">
        <f t="shared" si="26"/>
        <v>0.14285714285714285</v>
      </c>
      <c r="AB34" s="52">
        <f t="shared" si="26"/>
        <v>1.4285714285714286</v>
      </c>
      <c r="AC34" s="52">
        <f t="shared" si="26"/>
        <v>105.57142857142857</v>
      </c>
      <c r="AD34" s="52">
        <f t="shared" si="26"/>
        <v>0.14285714285714285</v>
      </c>
      <c r="AE34" s="40">
        <f t="shared" si="26"/>
        <v>71.571428571428569</v>
      </c>
      <c r="AF34" s="40">
        <f t="shared" si="26"/>
        <v>177.14285714285717</v>
      </c>
    </row>
    <row r="35" spans="2:32" ht="23.1" customHeight="1" x14ac:dyDescent="0.25">
      <c r="B35" s="24" t="s">
        <v>62</v>
      </c>
      <c r="C35" s="49">
        <f>AVERAGE('19.08 Mbale-Sironko'!C35,'20.08 Mbale-Sironko'!C35,'21.08 Mbale-Sironko'!C35,'23.08 Mbale-Sironko'!C35,'24.08 Mbale-Sironko-24h'!C35,'22.08 Mbale-Sironko-24h'!C35,'25.08 Mbale-Sironko'!C35)</f>
        <v>3.2857142857142856</v>
      </c>
      <c r="D35" s="49">
        <f>AVERAGE('19.08 Mbale-Sironko'!D35,'20.08 Mbale-Sironko'!D35,'21.08 Mbale-Sironko'!D35,'23.08 Mbale-Sironko'!D35,'24.08 Mbale-Sironko-24h'!D35,'22.08 Mbale-Sironko-24h'!D35,'25.08 Mbale-Sironko'!D35)</f>
        <v>1.2857142857142858</v>
      </c>
      <c r="E35" s="49">
        <f>AVERAGE('19.08 Mbale-Sironko'!E35,'20.08 Mbale-Sironko'!E35,'21.08 Mbale-Sironko'!E35,'23.08 Mbale-Sironko'!E35,'24.08 Mbale-Sironko-24h'!E35,'22.08 Mbale-Sironko-24h'!E35,'25.08 Mbale-Sironko'!E35)</f>
        <v>6.1428571428571432</v>
      </c>
      <c r="F35" s="49">
        <f>AVERAGE('19.08 Mbale-Sironko'!F35,'20.08 Mbale-Sironko'!F35,'21.08 Mbale-Sironko'!F35,'23.08 Mbale-Sironko'!F35,'24.08 Mbale-Sironko-24h'!F35,'22.08 Mbale-Sironko-24h'!F35,'25.08 Mbale-Sironko'!F35)</f>
        <v>3.5714285714285716</v>
      </c>
      <c r="G35" s="49">
        <f>AVERAGE('19.08 Mbale-Sironko'!G35,'20.08 Mbale-Sironko'!G35,'21.08 Mbale-Sironko'!G35,'23.08 Mbale-Sironko'!G35,'24.08 Mbale-Sironko-24h'!G35,'22.08 Mbale-Sironko-24h'!G35,'25.08 Mbale-Sironko'!G35)</f>
        <v>0.14285714285714285</v>
      </c>
      <c r="H35" s="49">
        <f>AVERAGE('19.08 Mbale-Sironko'!H35,'20.08 Mbale-Sironko'!H35,'21.08 Mbale-Sironko'!H35,'23.08 Mbale-Sironko'!H35,'24.08 Mbale-Sironko-24h'!H35,'22.08 Mbale-Sironko-24h'!H35,'25.08 Mbale-Sironko'!H35)</f>
        <v>0</v>
      </c>
      <c r="I35" s="49">
        <f>AVERAGE('19.08 Mbale-Sironko'!I35,'20.08 Mbale-Sironko'!I35,'21.08 Mbale-Sironko'!I35,'23.08 Mbale-Sironko'!I35,'24.08 Mbale-Sironko-24h'!I35,'22.08 Mbale-Sironko-24h'!I35,'25.08 Mbale-Sironko'!I35)</f>
        <v>3.1428571428571428</v>
      </c>
      <c r="J35" s="49">
        <f>AVERAGE('19.08 Mbale-Sironko'!J35,'20.08 Mbale-Sironko'!J35,'21.08 Mbale-Sironko'!J35,'23.08 Mbale-Sironko'!J35,'24.08 Mbale-Sironko-24h'!J35,'22.08 Mbale-Sironko-24h'!J35,'25.08 Mbale-Sironko'!J35)</f>
        <v>0</v>
      </c>
      <c r="K35" s="49">
        <f>AVERAGE('19.08 Mbale-Sironko'!K35,'20.08 Mbale-Sironko'!K35,'21.08 Mbale-Sironko'!K35,'23.08 Mbale-Sironko'!K35,'24.08 Mbale-Sironko-24h'!K35,'22.08 Mbale-Sironko-24h'!K35,'25.08 Mbale-Sironko'!K35)</f>
        <v>0</v>
      </c>
      <c r="L35" s="49">
        <f>AVERAGE('19.08 Mbale-Sironko'!L35,'20.08 Mbale-Sironko'!L35,'21.08 Mbale-Sironko'!L35,'23.08 Mbale-Sironko'!L35,'24.08 Mbale-Sironko-24h'!L35,'22.08 Mbale-Sironko-24h'!L35,'25.08 Mbale-Sironko'!L35)</f>
        <v>0</v>
      </c>
      <c r="M35" s="49">
        <f>AVERAGE('19.08 Mbale-Sironko'!M35,'20.08 Mbale-Sironko'!M35,'21.08 Mbale-Sironko'!M35,'23.08 Mbale-Sironko'!M35,'24.08 Mbale-Sironko-24h'!M35,'22.08 Mbale-Sironko-24h'!M35,'25.08 Mbale-Sironko'!M35)</f>
        <v>28.142857142857142</v>
      </c>
      <c r="N35" s="49">
        <f>AVERAGE('19.08 Mbale-Sironko'!N35,'20.08 Mbale-Sironko'!N35,'21.08 Mbale-Sironko'!N35,'23.08 Mbale-Sironko'!N35,'24.08 Mbale-Sironko-24h'!N35,'22.08 Mbale-Sironko-24h'!N35,'25.08 Mbale-Sironko'!N35)</f>
        <v>0</v>
      </c>
      <c r="O35" s="15">
        <f t="shared" si="0"/>
        <v>17.571428571428573</v>
      </c>
      <c r="P35" s="15">
        <f t="shared" si="1"/>
        <v>45.714285714285715</v>
      </c>
      <c r="R35" s="51" t="s">
        <v>91</v>
      </c>
      <c r="S35" s="52">
        <f t="shared" ref="S35:AF35" si="27">MAX(S13:S18)</f>
        <v>18.714285714285715</v>
      </c>
      <c r="T35" s="52">
        <f t="shared" si="27"/>
        <v>6.4285714285714288</v>
      </c>
      <c r="U35" s="52">
        <f t="shared" si="27"/>
        <v>30.714285714285715</v>
      </c>
      <c r="V35" s="52">
        <f t="shared" si="27"/>
        <v>16.285714285714285</v>
      </c>
      <c r="W35" s="52">
        <f t="shared" si="27"/>
        <v>0.71428571428571419</v>
      </c>
      <c r="X35" s="52">
        <f t="shared" si="27"/>
        <v>0.5714285714285714</v>
      </c>
      <c r="Y35" s="52">
        <f t="shared" si="27"/>
        <v>17.285714285714285</v>
      </c>
      <c r="Z35" s="52">
        <f t="shared" si="27"/>
        <v>1.4285714285714284</v>
      </c>
      <c r="AA35" s="52">
        <f t="shared" si="27"/>
        <v>0.5714285714285714</v>
      </c>
      <c r="AB35" s="52">
        <f t="shared" si="27"/>
        <v>1.7142857142857144</v>
      </c>
      <c r="AC35" s="52">
        <f t="shared" si="27"/>
        <v>128.57142857142856</v>
      </c>
      <c r="AD35" s="52">
        <f t="shared" si="27"/>
        <v>0</v>
      </c>
      <c r="AE35" s="40">
        <f t="shared" si="27"/>
        <v>84.857142857142861</v>
      </c>
      <c r="AF35" s="40">
        <f t="shared" si="27"/>
        <v>209.42857142857142</v>
      </c>
    </row>
    <row r="36" spans="2:32" ht="23.1" customHeight="1" x14ac:dyDescent="0.25">
      <c r="B36" s="24" t="s">
        <v>63</v>
      </c>
      <c r="C36" s="49">
        <f>AVERAGE('19.08 Mbale-Sironko'!C36,'20.08 Mbale-Sironko'!C36,'21.08 Mbale-Sironko'!C36,'23.08 Mbale-Sironko'!C36,'24.08 Mbale-Sironko-24h'!C36,'22.08 Mbale-Sironko-24h'!C36,'25.08 Mbale-Sironko'!C36)</f>
        <v>4.5714285714285712</v>
      </c>
      <c r="D36" s="49">
        <f>AVERAGE('19.08 Mbale-Sironko'!D36,'20.08 Mbale-Sironko'!D36,'21.08 Mbale-Sironko'!D36,'23.08 Mbale-Sironko'!D36,'24.08 Mbale-Sironko-24h'!D36,'22.08 Mbale-Sironko-24h'!D36,'25.08 Mbale-Sironko'!D36)</f>
        <v>1.7142857142857142</v>
      </c>
      <c r="E36" s="49">
        <f>AVERAGE('19.08 Mbale-Sironko'!E36,'20.08 Mbale-Sironko'!E36,'21.08 Mbale-Sironko'!E36,'23.08 Mbale-Sironko'!E36,'24.08 Mbale-Sironko-24h'!E36,'22.08 Mbale-Sironko-24h'!E36,'25.08 Mbale-Sironko'!E36)</f>
        <v>8.7142857142857135</v>
      </c>
      <c r="F36" s="49">
        <f>AVERAGE('19.08 Mbale-Sironko'!F36,'20.08 Mbale-Sironko'!F36,'21.08 Mbale-Sironko'!F36,'23.08 Mbale-Sironko'!F36,'24.08 Mbale-Sironko-24h'!F36,'22.08 Mbale-Sironko-24h'!F36,'25.08 Mbale-Sironko'!F36)</f>
        <v>4.1428571428571432</v>
      </c>
      <c r="G36" s="49">
        <f>AVERAGE('19.08 Mbale-Sironko'!G36,'20.08 Mbale-Sironko'!G36,'21.08 Mbale-Sironko'!G36,'23.08 Mbale-Sironko'!G36,'24.08 Mbale-Sironko-24h'!G36,'22.08 Mbale-Sironko-24h'!G36,'25.08 Mbale-Sironko'!G36)</f>
        <v>0.2857142857142857</v>
      </c>
      <c r="H36" s="49">
        <f>AVERAGE('19.08 Mbale-Sironko'!H36,'20.08 Mbale-Sironko'!H36,'21.08 Mbale-Sironko'!H36,'23.08 Mbale-Sironko'!H36,'24.08 Mbale-Sironko-24h'!H36,'22.08 Mbale-Sironko-24h'!H36,'25.08 Mbale-Sironko'!H36)</f>
        <v>0.42857142857142855</v>
      </c>
      <c r="I36" s="49">
        <f>AVERAGE('19.08 Mbale-Sironko'!I36,'20.08 Mbale-Sironko'!I36,'21.08 Mbale-Sironko'!I36,'23.08 Mbale-Sironko'!I36,'24.08 Mbale-Sironko-24h'!I36,'22.08 Mbale-Sironko-24h'!I36,'25.08 Mbale-Sironko'!I36)</f>
        <v>3.2857142857142856</v>
      </c>
      <c r="J36" s="49">
        <f>AVERAGE('19.08 Mbale-Sironko'!J36,'20.08 Mbale-Sironko'!J36,'21.08 Mbale-Sironko'!J36,'23.08 Mbale-Sironko'!J36,'24.08 Mbale-Sironko-24h'!J36,'22.08 Mbale-Sironko-24h'!J36,'25.08 Mbale-Sironko'!J36)</f>
        <v>0</v>
      </c>
      <c r="K36" s="49">
        <f>AVERAGE('19.08 Mbale-Sironko'!K36,'20.08 Mbale-Sironko'!K36,'21.08 Mbale-Sironko'!K36,'23.08 Mbale-Sironko'!K36,'24.08 Mbale-Sironko-24h'!K36,'22.08 Mbale-Sironko-24h'!K36,'25.08 Mbale-Sironko'!K36)</f>
        <v>0.14285714285714285</v>
      </c>
      <c r="L36" s="49">
        <f>AVERAGE('19.08 Mbale-Sironko'!L36,'20.08 Mbale-Sironko'!L36,'21.08 Mbale-Sironko'!L36,'23.08 Mbale-Sironko'!L36,'24.08 Mbale-Sironko-24h'!L36,'22.08 Mbale-Sironko-24h'!L36,'25.08 Mbale-Sironko'!L36)</f>
        <v>0.2857142857142857</v>
      </c>
      <c r="M36" s="49">
        <f>AVERAGE('19.08 Mbale-Sironko'!M36,'20.08 Mbale-Sironko'!M36,'21.08 Mbale-Sironko'!M36,'23.08 Mbale-Sironko'!M36,'24.08 Mbale-Sironko-24h'!M36,'22.08 Mbale-Sironko-24h'!M36,'25.08 Mbale-Sironko'!M36)</f>
        <v>29</v>
      </c>
      <c r="N36" s="49">
        <f>AVERAGE('19.08 Mbale-Sironko'!N36,'20.08 Mbale-Sironko'!N36,'21.08 Mbale-Sironko'!N36,'23.08 Mbale-Sironko'!N36,'24.08 Mbale-Sironko-24h'!N36,'22.08 Mbale-Sironko-24h'!N36,'25.08 Mbale-Sironko'!N36)</f>
        <v>0</v>
      </c>
      <c r="O36" s="15">
        <f t="shared" si="0"/>
        <v>23.571428571428566</v>
      </c>
      <c r="P36" s="15">
        <f t="shared" si="1"/>
        <v>52.571428571428569</v>
      </c>
      <c r="R36" s="51" t="s">
        <v>92</v>
      </c>
      <c r="S36" s="52">
        <f t="shared" ref="S36:AF36" si="28">MAX(S19:S21)</f>
        <v>17.714285714285715</v>
      </c>
      <c r="T36" s="52">
        <f t="shared" si="28"/>
        <v>5.2857142857142856</v>
      </c>
      <c r="U36" s="52">
        <f t="shared" si="28"/>
        <v>25.857142857142858</v>
      </c>
      <c r="V36" s="52">
        <f t="shared" si="28"/>
        <v>15.857142857142858</v>
      </c>
      <c r="W36" s="52">
        <f t="shared" si="28"/>
        <v>0.42857142857142855</v>
      </c>
      <c r="X36" s="52">
        <f t="shared" si="28"/>
        <v>0.14285714285714285</v>
      </c>
      <c r="Y36" s="52">
        <f t="shared" si="28"/>
        <v>16.571428571428573</v>
      </c>
      <c r="Z36" s="52">
        <f t="shared" si="28"/>
        <v>1.857142857142857</v>
      </c>
      <c r="AA36" s="52">
        <f t="shared" si="28"/>
        <v>0.2857142857142857</v>
      </c>
      <c r="AB36" s="52">
        <f t="shared" si="28"/>
        <v>1.1428571428571428</v>
      </c>
      <c r="AC36" s="52">
        <f t="shared" si="28"/>
        <v>130.42857142857142</v>
      </c>
      <c r="AD36" s="52">
        <f t="shared" si="28"/>
        <v>0</v>
      </c>
      <c r="AE36" s="40">
        <f t="shared" si="28"/>
        <v>79.714285714285708</v>
      </c>
      <c r="AF36" s="40">
        <f t="shared" si="28"/>
        <v>210.14285714285711</v>
      </c>
    </row>
    <row r="37" spans="2:32" ht="23.1" customHeight="1" x14ac:dyDescent="0.25">
      <c r="B37" s="23" t="s">
        <v>64</v>
      </c>
      <c r="C37" s="49">
        <f>AVERAGE('19.08 Mbale-Sironko'!C37,'20.08 Mbale-Sironko'!C37,'21.08 Mbale-Sironko'!C37,'23.08 Mbale-Sironko'!C37,'24.08 Mbale-Sironko-24h'!C37,'22.08 Mbale-Sironko-24h'!C37,'25.08 Mbale-Sironko'!C37)</f>
        <v>4.7142857142857144</v>
      </c>
      <c r="D37" s="49">
        <f>AVERAGE('19.08 Mbale-Sironko'!D37,'20.08 Mbale-Sironko'!D37,'21.08 Mbale-Sironko'!D37,'23.08 Mbale-Sironko'!D37,'24.08 Mbale-Sironko-24h'!D37,'22.08 Mbale-Sironko-24h'!D37,'25.08 Mbale-Sironko'!D37)</f>
        <v>1.1428571428571428</v>
      </c>
      <c r="E37" s="49">
        <f>AVERAGE('19.08 Mbale-Sironko'!E37,'20.08 Mbale-Sironko'!E37,'21.08 Mbale-Sironko'!E37,'23.08 Mbale-Sironko'!E37,'24.08 Mbale-Sironko-24h'!E37,'22.08 Mbale-Sironko-24h'!E37,'25.08 Mbale-Sironko'!E37)</f>
        <v>6.7142857142857144</v>
      </c>
      <c r="F37" s="49">
        <f>AVERAGE('19.08 Mbale-Sironko'!F37,'20.08 Mbale-Sironko'!F37,'21.08 Mbale-Sironko'!F37,'23.08 Mbale-Sironko'!F37,'24.08 Mbale-Sironko-24h'!F37,'22.08 Mbale-Sironko-24h'!F37,'25.08 Mbale-Sironko'!F37)</f>
        <v>3.7142857142857144</v>
      </c>
      <c r="G37" s="49">
        <f>AVERAGE('19.08 Mbale-Sironko'!G37,'20.08 Mbale-Sironko'!G37,'21.08 Mbale-Sironko'!G37,'23.08 Mbale-Sironko'!G37,'24.08 Mbale-Sironko-24h'!G37,'22.08 Mbale-Sironko-24h'!G37,'25.08 Mbale-Sironko'!G37)</f>
        <v>0.14285714285714285</v>
      </c>
      <c r="H37" s="49">
        <f>AVERAGE('19.08 Mbale-Sironko'!H37,'20.08 Mbale-Sironko'!H37,'21.08 Mbale-Sironko'!H37,'23.08 Mbale-Sironko'!H37,'24.08 Mbale-Sironko-24h'!H37,'22.08 Mbale-Sironko-24h'!H37,'25.08 Mbale-Sironko'!H37)</f>
        <v>0.14285714285714285</v>
      </c>
      <c r="I37" s="49">
        <f>AVERAGE('19.08 Mbale-Sironko'!I37,'20.08 Mbale-Sironko'!I37,'21.08 Mbale-Sironko'!I37,'23.08 Mbale-Sironko'!I37,'24.08 Mbale-Sironko-24h'!I37,'22.08 Mbale-Sironko-24h'!I37,'25.08 Mbale-Sironko'!I37)</f>
        <v>3.8571428571428572</v>
      </c>
      <c r="J37" s="49">
        <f>AVERAGE('19.08 Mbale-Sironko'!J37,'20.08 Mbale-Sironko'!J37,'21.08 Mbale-Sironko'!J37,'23.08 Mbale-Sironko'!J37,'24.08 Mbale-Sironko-24h'!J37,'22.08 Mbale-Sironko-24h'!J37,'25.08 Mbale-Sironko'!J37)</f>
        <v>0.14285714285714285</v>
      </c>
      <c r="K37" s="49">
        <f>AVERAGE('19.08 Mbale-Sironko'!K37,'20.08 Mbale-Sironko'!K37,'21.08 Mbale-Sironko'!K37,'23.08 Mbale-Sironko'!K37,'24.08 Mbale-Sironko-24h'!K37,'22.08 Mbale-Sironko-24h'!K37,'25.08 Mbale-Sironko'!K37)</f>
        <v>0.2857142857142857</v>
      </c>
      <c r="L37" s="49">
        <f>AVERAGE('19.08 Mbale-Sironko'!L37,'20.08 Mbale-Sironko'!L37,'21.08 Mbale-Sironko'!L37,'23.08 Mbale-Sironko'!L37,'24.08 Mbale-Sironko-24h'!L37,'22.08 Mbale-Sironko-24h'!L37,'25.08 Mbale-Sironko'!L37)</f>
        <v>0</v>
      </c>
      <c r="M37" s="49">
        <f>AVERAGE('19.08 Mbale-Sironko'!M37,'20.08 Mbale-Sironko'!M37,'21.08 Mbale-Sironko'!M37,'23.08 Mbale-Sironko'!M37,'24.08 Mbale-Sironko-24h'!M37,'22.08 Mbale-Sironko-24h'!M37,'25.08 Mbale-Sironko'!M37)</f>
        <v>29.285714285714285</v>
      </c>
      <c r="N37" s="49">
        <f>AVERAGE('19.08 Mbale-Sironko'!N37,'20.08 Mbale-Sironko'!N37,'21.08 Mbale-Sironko'!N37,'23.08 Mbale-Sironko'!N37,'24.08 Mbale-Sironko-24h'!N37,'22.08 Mbale-Sironko-24h'!N37,'25.08 Mbale-Sironko'!N37)</f>
        <v>0</v>
      </c>
      <c r="O37" s="15">
        <f t="shared" si="0"/>
        <v>20.857142857142858</v>
      </c>
      <c r="P37" s="15">
        <f t="shared" si="1"/>
        <v>50.142857142857139</v>
      </c>
      <c r="R37" s="37" t="s">
        <v>85</v>
      </c>
      <c r="S37" s="53">
        <f t="shared" ref="S37:AF37" si="29">SUM(S10:S12)</f>
        <v>29.142857142857146</v>
      </c>
      <c r="T37" s="54">
        <f t="shared" si="29"/>
        <v>10.142857142857142</v>
      </c>
      <c r="U37" s="54">
        <f t="shared" si="29"/>
        <v>59.142857142857139</v>
      </c>
      <c r="V37" s="54">
        <f t="shared" si="29"/>
        <v>31.571428571428573</v>
      </c>
      <c r="W37" s="54">
        <f t="shared" si="29"/>
        <v>2.8571428571428572</v>
      </c>
      <c r="X37" s="54">
        <f t="shared" si="29"/>
        <v>1.2857142857142856</v>
      </c>
      <c r="Y37" s="54">
        <f t="shared" si="29"/>
        <v>27.857142857142858</v>
      </c>
      <c r="Z37" s="54">
        <f t="shared" si="29"/>
        <v>0.42857142857142855</v>
      </c>
      <c r="AA37" s="54">
        <f t="shared" si="29"/>
        <v>0.14285714285714285</v>
      </c>
      <c r="AB37" s="54">
        <f t="shared" si="29"/>
        <v>3.5714285714285712</v>
      </c>
      <c r="AC37" s="54">
        <f t="shared" si="29"/>
        <v>252.14285714285717</v>
      </c>
      <c r="AD37" s="54">
        <f t="shared" si="29"/>
        <v>0.14285714285714285</v>
      </c>
      <c r="AE37" s="55">
        <f t="shared" si="29"/>
        <v>166.28571428571428</v>
      </c>
      <c r="AF37" s="55">
        <f t="shared" si="29"/>
        <v>418.42857142857144</v>
      </c>
    </row>
    <row r="38" spans="2:32" ht="23.1" customHeight="1" x14ac:dyDescent="0.25">
      <c r="B38" s="24" t="s">
        <v>65</v>
      </c>
      <c r="C38" s="49">
        <f>AVERAGE('19.08 Mbale-Sironko'!C38,'20.08 Mbale-Sironko'!C38,'21.08 Mbale-Sironko'!C38,'23.08 Mbale-Sironko'!C38,'24.08 Mbale-Sironko-24h'!C38,'22.08 Mbale-Sironko-24h'!C38,'25.08 Mbale-Sironko'!C38)</f>
        <v>5</v>
      </c>
      <c r="D38" s="49">
        <f>AVERAGE('19.08 Mbale-Sironko'!D38,'20.08 Mbale-Sironko'!D38,'21.08 Mbale-Sironko'!D38,'23.08 Mbale-Sironko'!D38,'24.08 Mbale-Sironko-24h'!D38,'22.08 Mbale-Sironko-24h'!D38,'25.08 Mbale-Sironko'!D38)</f>
        <v>1.4285714285714286</v>
      </c>
      <c r="E38" s="49">
        <f>AVERAGE('19.08 Mbale-Sironko'!E38,'20.08 Mbale-Sironko'!E38,'21.08 Mbale-Sironko'!E38,'23.08 Mbale-Sironko'!E38,'24.08 Mbale-Sironko-24h'!E38,'22.08 Mbale-Sironko-24h'!E38,'25.08 Mbale-Sironko'!E38)</f>
        <v>6.8571428571428568</v>
      </c>
      <c r="F38" s="49">
        <f>AVERAGE('19.08 Mbale-Sironko'!F38,'20.08 Mbale-Sironko'!F38,'21.08 Mbale-Sironko'!F38,'23.08 Mbale-Sironko'!F38,'24.08 Mbale-Sironko-24h'!F38,'22.08 Mbale-Sironko-24h'!F38,'25.08 Mbale-Sironko'!F38)</f>
        <v>4.7142857142857144</v>
      </c>
      <c r="G38" s="49">
        <f>AVERAGE('19.08 Mbale-Sironko'!G38,'20.08 Mbale-Sironko'!G38,'21.08 Mbale-Sironko'!G38,'23.08 Mbale-Sironko'!G38,'24.08 Mbale-Sironko-24h'!G38,'22.08 Mbale-Sironko-24h'!G38,'25.08 Mbale-Sironko'!G38)</f>
        <v>0.2857142857142857</v>
      </c>
      <c r="H38" s="49">
        <f>AVERAGE('19.08 Mbale-Sironko'!H38,'20.08 Mbale-Sironko'!H38,'21.08 Mbale-Sironko'!H38,'23.08 Mbale-Sironko'!H38,'24.08 Mbale-Sironko-24h'!H38,'22.08 Mbale-Sironko-24h'!H38,'25.08 Mbale-Sironko'!H38)</f>
        <v>0</v>
      </c>
      <c r="I38" s="49">
        <f>AVERAGE('19.08 Mbale-Sironko'!I38,'20.08 Mbale-Sironko'!I38,'21.08 Mbale-Sironko'!I38,'23.08 Mbale-Sironko'!I38,'24.08 Mbale-Sironko-24h'!I38,'22.08 Mbale-Sironko-24h'!I38,'25.08 Mbale-Sironko'!I38)</f>
        <v>3</v>
      </c>
      <c r="J38" s="49">
        <f>AVERAGE('19.08 Mbale-Sironko'!J38,'20.08 Mbale-Sironko'!J38,'21.08 Mbale-Sironko'!J38,'23.08 Mbale-Sironko'!J38,'24.08 Mbale-Sironko-24h'!J38,'22.08 Mbale-Sironko-24h'!J38,'25.08 Mbale-Sironko'!J38)</f>
        <v>0.42857142857142855</v>
      </c>
      <c r="K38" s="49">
        <f>AVERAGE('19.08 Mbale-Sironko'!K38,'20.08 Mbale-Sironko'!K38,'21.08 Mbale-Sironko'!K38,'23.08 Mbale-Sironko'!K38,'24.08 Mbale-Sironko-24h'!K38,'22.08 Mbale-Sironko-24h'!K38,'25.08 Mbale-Sironko'!K38)</f>
        <v>0</v>
      </c>
      <c r="L38" s="49">
        <f>AVERAGE('19.08 Mbale-Sironko'!L38,'20.08 Mbale-Sironko'!L38,'21.08 Mbale-Sironko'!L38,'23.08 Mbale-Sironko'!L38,'24.08 Mbale-Sironko-24h'!L38,'22.08 Mbale-Sironko-24h'!L38,'25.08 Mbale-Sironko'!L38)</f>
        <v>0</v>
      </c>
      <c r="M38" s="49">
        <f>AVERAGE('19.08 Mbale-Sironko'!M38,'20.08 Mbale-Sironko'!M38,'21.08 Mbale-Sironko'!M38,'23.08 Mbale-Sironko'!M38,'24.08 Mbale-Sironko-24h'!M38,'22.08 Mbale-Sironko-24h'!M38,'25.08 Mbale-Sironko'!M38)</f>
        <v>30.428571428571427</v>
      </c>
      <c r="N38" s="49">
        <f>AVERAGE('19.08 Mbale-Sironko'!N38,'20.08 Mbale-Sironko'!N38,'21.08 Mbale-Sironko'!N38,'23.08 Mbale-Sironko'!N38,'24.08 Mbale-Sironko-24h'!N38,'22.08 Mbale-Sironko-24h'!N38,'25.08 Mbale-Sironko'!N38)</f>
        <v>0</v>
      </c>
      <c r="O38" s="15">
        <f t="shared" si="0"/>
        <v>21.714285714285712</v>
      </c>
      <c r="P38" s="15">
        <f t="shared" si="1"/>
        <v>52.142857142857139</v>
      </c>
      <c r="R38" s="28" t="s">
        <v>86</v>
      </c>
      <c r="S38" s="54">
        <f t="shared" ref="S38:AF38" si="30">SUM(S13:S18)</f>
        <v>95.428571428571445</v>
      </c>
      <c r="T38" s="54">
        <f t="shared" si="30"/>
        <v>33.857142857142861</v>
      </c>
      <c r="U38" s="54">
        <f t="shared" si="30"/>
        <v>163.57142857142858</v>
      </c>
      <c r="V38" s="54">
        <f t="shared" si="30"/>
        <v>87.857142857142861</v>
      </c>
      <c r="W38" s="54">
        <f t="shared" si="30"/>
        <v>2.1428571428571423</v>
      </c>
      <c r="X38" s="54">
        <f t="shared" si="30"/>
        <v>0.99999999999999978</v>
      </c>
      <c r="Y38" s="54">
        <f t="shared" si="30"/>
        <v>82.428571428571431</v>
      </c>
      <c r="Z38" s="54">
        <f t="shared" si="30"/>
        <v>4.7142857142857135</v>
      </c>
      <c r="AA38" s="54">
        <f t="shared" si="30"/>
        <v>1.857142857142857</v>
      </c>
      <c r="AB38" s="54">
        <f t="shared" si="30"/>
        <v>5.8571428571428577</v>
      </c>
      <c r="AC38" s="54">
        <f t="shared" si="30"/>
        <v>714.57142857142856</v>
      </c>
      <c r="AD38" s="54">
        <f t="shared" si="30"/>
        <v>0</v>
      </c>
      <c r="AE38" s="55">
        <f t="shared" si="30"/>
        <v>478.71428571428572</v>
      </c>
      <c r="AF38" s="55">
        <f t="shared" si="30"/>
        <v>1193.2857142857142</v>
      </c>
    </row>
    <row r="39" spans="2:32" ht="23.1" customHeight="1" x14ac:dyDescent="0.25">
      <c r="B39" s="24" t="s">
        <v>66</v>
      </c>
      <c r="C39" s="49">
        <f>AVERAGE('19.08 Mbale-Sironko'!C39,'20.08 Mbale-Sironko'!C39,'21.08 Mbale-Sironko'!C39,'23.08 Mbale-Sironko'!C39,'24.08 Mbale-Sironko-24h'!C39,'22.08 Mbale-Sironko-24h'!C39,'25.08 Mbale-Sironko'!C39)</f>
        <v>2.2857142857142856</v>
      </c>
      <c r="D39" s="49">
        <f>AVERAGE('19.08 Mbale-Sironko'!D39,'20.08 Mbale-Sironko'!D39,'21.08 Mbale-Sironko'!D39,'23.08 Mbale-Sironko'!D39,'24.08 Mbale-Sironko-24h'!D39,'22.08 Mbale-Sironko-24h'!D39,'25.08 Mbale-Sironko'!D39)</f>
        <v>1.8571428571428572</v>
      </c>
      <c r="E39" s="49">
        <f>AVERAGE('19.08 Mbale-Sironko'!E39,'20.08 Mbale-Sironko'!E39,'21.08 Mbale-Sironko'!E39,'23.08 Mbale-Sironko'!E39,'24.08 Mbale-Sironko-24h'!E39,'22.08 Mbale-Sironko-24h'!E39,'25.08 Mbale-Sironko'!E39)</f>
        <v>7.2857142857142856</v>
      </c>
      <c r="F39" s="49">
        <f>AVERAGE('19.08 Mbale-Sironko'!F39,'20.08 Mbale-Sironko'!F39,'21.08 Mbale-Sironko'!F39,'23.08 Mbale-Sironko'!F39,'24.08 Mbale-Sironko-24h'!F39,'22.08 Mbale-Sironko-24h'!F39,'25.08 Mbale-Sironko'!F39)</f>
        <v>3.4285714285714284</v>
      </c>
      <c r="G39" s="49">
        <f>AVERAGE('19.08 Mbale-Sironko'!G39,'20.08 Mbale-Sironko'!G39,'21.08 Mbale-Sironko'!G39,'23.08 Mbale-Sironko'!G39,'24.08 Mbale-Sironko-24h'!G39,'22.08 Mbale-Sironko-24h'!G39,'25.08 Mbale-Sironko'!G39)</f>
        <v>0</v>
      </c>
      <c r="H39" s="49">
        <f>AVERAGE('19.08 Mbale-Sironko'!H39,'20.08 Mbale-Sironko'!H39,'21.08 Mbale-Sironko'!H39,'23.08 Mbale-Sironko'!H39,'24.08 Mbale-Sironko-24h'!H39,'22.08 Mbale-Sironko-24h'!H39,'25.08 Mbale-Sironko'!H39)</f>
        <v>0.14285714285714285</v>
      </c>
      <c r="I39" s="49">
        <f>AVERAGE('19.08 Mbale-Sironko'!I39,'20.08 Mbale-Sironko'!I39,'21.08 Mbale-Sironko'!I39,'23.08 Mbale-Sironko'!I39,'24.08 Mbale-Sironko-24h'!I39,'22.08 Mbale-Sironko-24h'!I39,'25.08 Mbale-Sironko'!I39)</f>
        <v>6.2857142857142856</v>
      </c>
      <c r="J39" s="49">
        <f>AVERAGE('19.08 Mbale-Sironko'!J39,'20.08 Mbale-Sironko'!J39,'21.08 Mbale-Sironko'!J39,'23.08 Mbale-Sironko'!J39,'24.08 Mbale-Sironko-24h'!J39,'22.08 Mbale-Sironko-24h'!J39,'25.08 Mbale-Sironko'!J39)</f>
        <v>0.42857142857142855</v>
      </c>
      <c r="K39" s="49">
        <f>AVERAGE('19.08 Mbale-Sironko'!K39,'20.08 Mbale-Sironko'!K39,'21.08 Mbale-Sironko'!K39,'23.08 Mbale-Sironko'!K39,'24.08 Mbale-Sironko-24h'!K39,'22.08 Mbale-Sironko-24h'!K39,'25.08 Mbale-Sironko'!K39)</f>
        <v>0.14285714285714285</v>
      </c>
      <c r="L39" s="49">
        <f>AVERAGE('19.08 Mbale-Sironko'!L39,'20.08 Mbale-Sironko'!L39,'21.08 Mbale-Sironko'!L39,'23.08 Mbale-Sironko'!L39,'24.08 Mbale-Sironko-24h'!L39,'22.08 Mbale-Sironko-24h'!L39,'25.08 Mbale-Sironko'!L39)</f>
        <v>0</v>
      </c>
      <c r="M39" s="49">
        <f>AVERAGE('19.08 Mbale-Sironko'!M39,'20.08 Mbale-Sironko'!M39,'21.08 Mbale-Sironko'!M39,'23.08 Mbale-Sironko'!M39,'24.08 Mbale-Sironko-24h'!M39,'22.08 Mbale-Sironko-24h'!M39,'25.08 Mbale-Sironko'!M39)</f>
        <v>24.571428571428573</v>
      </c>
      <c r="N39" s="49">
        <f>AVERAGE('19.08 Mbale-Sironko'!N39,'20.08 Mbale-Sironko'!N39,'21.08 Mbale-Sironko'!N39,'23.08 Mbale-Sironko'!N39,'24.08 Mbale-Sironko-24h'!N39,'22.08 Mbale-Sironko-24h'!N39,'25.08 Mbale-Sironko'!N39)</f>
        <v>0</v>
      </c>
      <c r="O39" s="15">
        <f t="shared" si="0"/>
        <v>21.857142857142854</v>
      </c>
      <c r="P39" s="15">
        <f t="shared" si="1"/>
        <v>46.428571428571431</v>
      </c>
      <c r="R39" s="29" t="s">
        <v>87</v>
      </c>
      <c r="S39" s="54">
        <f t="shared" ref="S39:AF39" si="31">SUM(S19:S21)</f>
        <v>44.571428571428569</v>
      </c>
      <c r="T39" s="54">
        <f t="shared" si="31"/>
        <v>14.571428571428571</v>
      </c>
      <c r="U39" s="54">
        <f t="shared" si="31"/>
        <v>75</v>
      </c>
      <c r="V39" s="54">
        <f t="shared" si="31"/>
        <v>44.285714285714292</v>
      </c>
      <c r="W39" s="54">
        <f t="shared" si="31"/>
        <v>0.42857142857142855</v>
      </c>
      <c r="X39" s="54">
        <f t="shared" si="31"/>
        <v>0.14285714285714285</v>
      </c>
      <c r="Y39" s="54">
        <f t="shared" si="31"/>
        <v>45.285714285714292</v>
      </c>
      <c r="Z39" s="54">
        <f t="shared" si="31"/>
        <v>3.4285714285714279</v>
      </c>
      <c r="AA39" s="54">
        <f t="shared" si="31"/>
        <v>0.5714285714285714</v>
      </c>
      <c r="AB39" s="54">
        <f t="shared" si="31"/>
        <v>2.7142857142857144</v>
      </c>
      <c r="AC39" s="54">
        <f t="shared" si="31"/>
        <v>343.71428571428572</v>
      </c>
      <c r="AD39" s="54">
        <f t="shared" si="31"/>
        <v>0</v>
      </c>
      <c r="AE39" s="55">
        <f t="shared" si="31"/>
        <v>230.99999999999997</v>
      </c>
      <c r="AF39" s="55">
        <f t="shared" si="31"/>
        <v>574.71428571428567</v>
      </c>
    </row>
    <row r="40" spans="2:32" ht="23.1" customHeight="1" x14ac:dyDescent="0.25">
      <c r="B40" s="24" t="s">
        <v>67</v>
      </c>
      <c r="C40" s="49">
        <f>AVERAGE('19.08 Mbale-Sironko'!C40,'20.08 Mbale-Sironko'!C40,'21.08 Mbale-Sironko'!C40,'23.08 Mbale-Sironko'!C40,'24.08 Mbale-Sironko-24h'!C40,'22.08 Mbale-Sironko-24h'!C40,'25.08 Mbale-Sironko'!C40)</f>
        <v>3.4285714285714284</v>
      </c>
      <c r="D40" s="49">
        <f>AVERAGE('19.08 Mbale-Sironko'!D40,'20.08 Mbale-Sironko'!D40,'21.08 Mbale-Sironko'!D40,'23.08 Mbale-Sironko'!D40,'24.08 Mbale-Sironko-24h'!D40,'22.08 Mbale-Sironko-24h'!D40,'25.08 Mbale-Sironko'!D40)</f>
        <v>1.4285714285714286</v>
      </c>
      <c r="E40" s="49">
        <f>AVERAGE('19.08 Mbale-Sironko'!E40,'20.08 Mbale-Sironko'!E40,'21.08 Mbale-Sironko'!E40,'23.08 Mbale-Sironko'!E40,'24.08 Mbale-Sironko-24h'!E40,'22.08 Mbale-Sironko-24h'!E40,'25.08 Mbale-Sironko'!E40)</f>
        <v>7</v>
      </c>
      <c r="F40" s="49">
        <f>AVERAGE('19.08 Mbale-Sironko'!F40,'20.08 Mbale-Sironko'!F40,'21.08 Mbale-Sironko'!F40,'23.08 Mbale-Sironko'!F40,'24.08 Mbale-Sironko-24h'!F40,'22.08 Mbale-Sironko-24h'!F40,'25.08 Mbale-Sironko'!F40)</f>
        <v>3</v>
      </c>
      <c r="G40" s="49">
        <f>AVERAGE('19.08 Mbale-Sironko'!G40,'20.08 Mbale-Sironko'!G40,'21.08 Mbale-Sironko'!G40,'23.08 Mbale-Sironko'!G40,'24.08 Mbale-Sironko-24h'!G40,'22.08 Mbale-Sironko-24h'!G40,'25.08 Mbale-Sironko'!G40)</f>
        <v>0</v>
      </c>
      <c r="H40" s="49">
        <f>AVERAGE('19.08 Mbale-Sironko'!H40,'20.08 Mbale-Sironko'!H40,'21.08 Mbale-Sironko'!H40,'23.08 Mbale-Sironko'!H40,'24.08 Mbale-Sironko-24h'!H40,'22.08 Mbale-Sironko-24h'!H40,'25.08 Mbale-Sironko'!H40)</f>
        <v>0</v>
      </c>
      <c r="I40" s="49">
        <f>AVERAGE('19.08 Mbale-Sironko'!I40,'20.08 Mbale-Sironko'!I40,'21.08 Mbale-Sironko'!I40,'23.08 Mbale-Sironko'!I40,'24.08 Mbale-Sironko-24h'!I40,'22.08 Mbale-Sironko-24h'!I40,'25.08 Mbale-Sironko'!I40)</f>
        <v>4.2857142857142856</v>
      </c>
      <c r="J40" s="49">
        <f>AVERAGE('19.08 Mbale-Sironko'!J40,'20.08 Mbale-Sironko'!J40,'21.08 Mbale-Sironko'!J40,'23.08 Mbale-Sironko'!J40,'24.08 Mbale-Sironko-24h'!J40,'22.08 Mbale-Sironko-24h'!J40,'25.08 Mbale-Sironko'!J40)</f>
        <v>0.2857142857142857</v>
      </c>
      <c r="K40" s="49">
        <f>AVERAGE('19.08 Mbale-Sironko'!K40,'20.08 Mbale-Sironko'!K40,'21.08 Mbale-Sironko'!K40,'23.08 Mbale-Sironko'!K40,'24.08 Mbale-Sironko-24h'!K40,'22.08 Mbale-Sironko-24h'!K40,'25.08 Mbale-Sironko'!K40)</f>
        <v>0</v>
      </c>
      <c r="L40" s="49">
        <f>AVERAGE('19.08 Mbale-Sironko'!L40,'20.08 Mbale-Sironko'!L40,'21.08 Mbale-Sironko'!L40,'23.08 Mbale-Sironko'!L40,'24.08 Mbale-Sironko-24h'!L40,'22.08 Mbale-Sironko-24h'!L40,'25.08 Mbale-Sironko'!L40)</f>
        <v>0</v>
      </c>
      <c r="M40" s="49">
        <f>AVERAGE('19.08 Mbale-Sironko'!M40,'20.08 Mbale-Sironko'!M40,'21.08 Mbale-Sironko'!M40,'23.08 Mbale-Sironko'!M40,'24.08 Mbale-Sironko-24h'!M40,'22.08 Mbale-Sironko-24h'!M40,'25.08 Mbale-Sironko'!M40)</f>
        <v>24.857142857142858</v>
      </c>
      <c r="N40" s="49">
        <f>AVERAGE('19.08 Mbale-Sironko'!N40,'20.08 Mbale-Sironko'!N40,'21.08 Mbale-Sironko'!N40,'23.08 Mbale-Sironko'!N40,'24.08 Mbale-Sironko-24h'!N40,'22.08 Mbale-Sironko-24h'!N40,'25.08 Mbale-Sironko'!N40)</f>
        <v>0</v>
      </c>
      <c r="O40" s="15">
        <f t="shared" si="0"/>
        <v>19.428571428571427</v>
      </c>
      <c r="P40" s="15">
        <f t="shared" si="1"/>
        <v>44.285714285714285</v>
      </c>
      <c r="R40" s="5" t="s">
        <v>17</v>
      </c>
      <c r="S40" s="54">
        <f t="shared" ref="S40:AF40" si="32">SUM(S10:S21)</f>
        <v>169.14285714285714</v>
      </c>
      <c r="T40" s="54">
        <f t="shared" si="32"/>
        <v>58.571428571428577</v>
      </c>
      <c r="U40" s="54">
        <f t="shared" si="32"/>
        <v>297.71428571428572</v>
      </c>
      <c r="V40" s="54">
        <f t="shared" si="32"/>
        <v>163.71428571428569</v>
      </c>
      <c r="W40" s="54">
        <f t="shared" si="32"/>
        <v>5.4285714285714288</v>
      </c>
      <c r="X40" s="54">
        <f t="shared" si="32"/>
        <v>2.4285714285714284</v>
      </c>
      <c r="Y40" s="54">
        <f t="shared" si="32"/>
        <v>155.57142857142858</v>
      </c>
      <c r="Z40" s="54">
        <f t="shared" si="32"/>
        <v>8.5714285714285712</v>
      </c>
      <c r="AA40" s="54">
        <f t="shared" si="32"/>
        <v>2.5714285714285712</v>
      </c>
      <c r="AB40" s="54">
        <f t="shared" si="32"/>
        <v>12.142857142857141</v>
      </c>
      <c r="AC40" s="54">
        <f t="shared" si="32"/>
        <v>1310.4285714285713</v>
      </c>
      <c r="AD40" s="54">
        <f t="shared" si="32"/>
        <v>0.14285714285714285</v>
      </c>
      <c r="AE40" s="55">
        <f t="shared" si="32"/>
        <v>876</v>
      </c>
      <c r="AF40" s="55">
        <f t="shared" si="32"/>
        <v>2186.4285714285711</v>
      </c>
    </row>
    <row r="41" spans="2:32" ht="23.1" customHeight="1" x14ac:dyDescent="0.25">
      <c r="B41" s="23" t="s">
        <v>68</v>
      </c>
      <c r="C41" s="49">
        <f>AVERAGE('19.08 Mbale-Sironko'!C41,'20.08 Mbale-Sironko'!C41,'21.08 Mbale-Sironko'!C41,'23.08 Mbale-Sironko'!C41,'24.08 Mbale-Sironko-24h'!C41,'22.08 Mbale-Sironko-24h'!C41,'25.08 Mbale-Sironko'!C41)</f>
        <v>2.8571428571428572</v>
      </c>
      <c r="D41" s="49">
        <f>AVERAGE('19.08 Mbale-Sironko'!D41,'20.08 Mbale-Sironko'!D41,'21.08 Mbale-Sironko'!D41,'23.08 Mbale-Sironko'!D41,'24.08 Mbale-Sironko-24h'!D41,'22.08 Mbale-Sironko-24h'!D41,'25.08 Mbale-Sironko'!D41)</f>
        <v>1.4285714285714286</v>
      </c>
      <c r="E41" s="49">
        <f>AVERAGE('19.08 Mbale-Sironko'!E41,'20.08 Mbale-Sironko'!E41,'21.08 Mbale-Sironko'!E41,'23.08 Mbale-Sironko'!E41,'24.08 Mbale-Sironko-24h'!E41,'22.08 Mbale-Sironko-24h'!E41,'25.08 Mbale-Sironko'!E41)</f>
        <v>6.5714285714285712</v>
      </c>
      <c r="F41" s="49">
        <f>AVERAGE('19.08 Mbale-Sironko'!F41,'20.08 Mbale-Sironko'!F41,'21.08 Mbale-Sironko'!F41,'23.08 Mbale-Sironko'!F41,'24.08 Mbale-Sironko-24h'!F41,'22.08 Mbale-Sironko-24h'!F41,'25.08 Mbale-Sironko'!F41)</f>
        <v>3.2857142857142856</v>
      </c>
      <c r="G41" s="49">
        <f>AVERAGE('19.08 Mbale-Sironko'!G41,'20.08 Mbale-Sironko'!G41,'21.08 Mbale-Sironko'!G41,'23.08 Mbale-Sironko'!G41,'24.08 Mbale-Sironko-24h'!G41,'22.08 Mbale-Sironko-24h'!G41,'25.08 Mbale-Sironko'!G41)</f>
        <v>0.14285714285714285</v>
      </c>
      <c r="H41" s="49">
        <f>AVERAGE('19.08 Mbale-Sironko'!H41,'20.08 Mbale-Sironko'!H41,'21.08 Mbale-Sironko'!H41,'23.08 Mbale-Sironko'!H41,'24.08 Mbale-Sironko-24h'!H41,'22.08 Mbale-Sironko-24h'!H41,'25.08 Mbale-Sironko'!H41)</f>
        <v>0</v>
      </c>
      <c r="I41" s="49">
        <f>AVERAGE('19.08 Mbale-Sironko'!I41,'20.08 Mbale-Sironko'!I41,'21.08 Mbale-Sironko'!I41,'23.08 Mbale-Sironko'!I41,'24.08 Mbale-Sironko-24h'!I41,'22.08 Mbale-Sironko-24h'!I41,'25.08 Mbale-Sironko'!I41)</f>
        <v>3.7142857142857144</v>
      </c>
      <c r="J41" s="49">
        <f>AVERAGE('19.08 Mbale-Sironko'!J41,'20.08 Mbale-Sironko'!J41,'21.08 Mbale-Sironko'!J41,'23.08 Mbale-Sironko'!J41,'24.08 Mbale-Sironko-24h'!J41,'22.08 Mbale-Sironko-24h'!J41,'25.08 Mbale-Sironko'!J41)</f>
        <v>0.2857142857142857</v>
      </c>
      <c r="K41" s="49">
        <f>AVERAGE('19.08 Mbale-Sironko'!K41,'20.08 Mbale-Sironko'!K41,'21.08 Mbale-Sironko'!K41,'23.08 Mbale-Sironko'!K41,'24.08 Mbale-Sironko-24h'!K41,'22.08 Mbale-Sironko-24h'!K41,'25.08 Mbale-Sironko'!K41)</f>
        <v>0</v>
      </c>
      <c r="L41" s="49">
        <f>AVERAGE('19.08 Mbale-Sironko'!L41,'20.08 Mbale-Sironko'!L41,'21.08 Mbale-Sironko'!L41,'23.08 Mbale-Sironko'!L41,'24.08 Mbale-Sironko-24h'!L41,'22.08 Mbale-Sironko-24h'!L41,'25.08 Mbale-Sironko'!L41)</f>
        <v>0.14285714285714285</v>
      </c>
      <c r="M41" s="49">
        <f>AVERAGE('19.08 Mbale-Sironko'!M41,'20.08 Mbale-Sironko'!M41,'21.08 Mbale-Sironko'!M41,'23.08 Mbale-Sironko'!M41,'24.08 Mbale-Sironko-24h'!M41,'22.08 Mbale-Sironko-24h'!M41,'25.08 Mbale-Sironko'!M41)</f>
        <v>24.857142857142858</v>
      </c>
      <c r="N41" s="49">
        <f>AVERAGE('19.08 Mbale-Sironko'!N41,'20.08 Mbale-Sironko'!N41,'21.08 Mbale-Sironko'!N41,'23.08 Mbale-Sironko'!N41,'24.08 Mbale-Sironko-24h'!N41,'22.08 Mbale-Sironko-24h'!N41,'25.08 Mbale-Sironko'!N41)</f>
        <v>0</v>
      </c>
      <c r="O41" s="15">
        <f t="shared" si="0"/>
        <v>18.428571428571427</v>
      </c>
      <c r="P41" s="15">
        <f t="shared" si="1"/>
        <v>43.285714285714285</v>
      </c>
      <c r="R41" s="5" t="s">
        <v>174</v>
      </c>
      <c r="S41" s="54">
        <f>SUM(S10:S33)</f>
        <v>224.64285714285714</v>
      </c>
      <c r="T41" s="54">
        <f t="shared" ref="T41:AD41" si="33">SUM(T10:T33)</f>
        <v>62.571428571428577</v>
      </c>
      <c r="U41" s="54">
        <f t="shared" si="33"/>
        <v>379.21428571428572</v>
      </c>
      <c r="V41" s="54">
        <f t="shared" si="33"/>
        <v>201.71428571428569</v>
      </c>
      <c r="W41" s="54">
        <f t="shared" si="33"/>
        <v>5.4285714285714288</v>
      </c>
      <c r="X41" s="54">
        <f t="shared" si="33"/>
        <v>3.4285714285714284</v>
      </c>
      <c r="Y41" s="54">
        <f t="shared" si="33"/>
        <v>263.57142857142856</v>
      </c>
      <c r="Z41" s="54">
        <f t="shared" si="33"/>
        <v>13.571428571428571</v>
      </c>
      <c r="AA41" s="54">
        <f t="shared" si="33"/>
        <v>4.5714285714285712</v>
      </c>
      <c r="AB41" s="54">
        <f t="shared" si="33"/>
        <v>12.142857142857141</v>
      </c>
      <c r="AC41" s="54">
        <f t="shared" si="33"/>
        <v>1640.4285714285713</v>
      </c>
      <c r="AD41" s="54">
        <f t="shared" si="33"/>
        <v>0.14285714285714285</v>
      </c>
      <c r="AE41" s="55">
        <f>SUM(AE10:AE33)</f>
        <v>1171</v>
      </c>
      <c r="AF41" s="55">
        <f>SUM(AF10:AF33)</f>
        <v>2811.4285714285711</v>
      </c>
    </row>
    <row r="42" spans="2:32" ht="23.1" customHeight="1" x14ac:dyDescent="0.25">
      <c r="B42" s="24" t="s">
        <v>69</v>
      </c>
      <c r="C42" s="49">
        <f>AVERAGE('19.08 Mbale-Sironko'!C42,'20.08 Mbale-Sironko'!C42,'21.08 Mbale-Sironko'!C42,'23.08 Mbale-Sironko'!C42,'24.08 Mbale-Sironko-24h'!C42,'22.08 Mbale-Sironko-24h'!C42,'25.08 Mbale-Sironko'!C42)</f>
        <v>2.4285714285714284</v>
      </c>
      <c r="D42" s="49">
        <f>AVERAGE('19.08 Mbale-Sironko'!D42,'20.08 Mbale-Sironko'!D42,'21.08 Mbale-Sironko'!D42,'23.08 Mbale-Sironko'!D42,'24.08 Mbale-Sironko-24h'!D42,'22.08 Mbale-Sironko-24h'!D42,'25.08 Mbale-Sironko'!D42)</f>
        <v>1.1428571428571428</v>
      </c>
      <c r="E42" s="49">
        <f>AVERAGE('19.08 Mbale-Sironko'!E42,'20.08 Mbale-Sironko'!E42,'21.08 Mbale-Sironko'!E42,'23.08 Mbale-Sironko'!E42,'24.08 Mbale-Sironko-24h'!E42,'22.08 Mbale-Sironko-24h'!E42,'25.08 Mbale-Sironko'!E42)</f>
        <v>6.4285714285714288</v>
      </c>
      <c r="F42" s="49">
        <f>AVERAGE('19.08 Mbale-Sironko'!F42,'20.08 Mbale-Sironko'!F42,'21.08 Mbale-Sironko'!F42,'23.08 Mbale-Sironko'!F42,'24.08 Mbale-Sironko-24h'!F42,'22.08 Mbale-Sironko-24h'!F42,'25.08 Mbale-Sironko'!F42)</f>
        <v>5.5714285714285712</v>
      </c>
      <c r="G42" s="49">
        <f>AVERAGE('19.08 Mbale-Sironko'!G42,'20.08 Mbale-Sironko'!G42,'21.08 Mbale-Sironko'!G42,'23.08 Mbale-Sironko'!G42,'24.08 Mbale-Sironko-24h'!G42,'22.08 Mbale-Sironko-24h'!G42,'25.08 Mbale-Sironko'!G42)</f>
        <v>0</v>
      </c>
      <c r="H42" s="49">
        <f>AVERAGE('19.08 Mbale-Sironko'!H42,'20.08 Mbale-Sironko'!H42,'21.08 Mbale-Sironko'!H42,'23.08 Mbale-Sironko'!H42,'24.08 Mbale-Sironko-24h'!H42,'22.08 Mbale-Sironko-24h'!H42,'25.08 Mbale-Sironko'!H42)</f>
        <v>0.14285714285714285</v>
      </c>
      <c r="I42" s="49">
        <f>AVERAGE('19.08 Mbale-Sironko'!I42,'20.08 Mbale-Sironko'!I42,'21.08 Mbale-Sironko'!I42,'23.08 Mbale-Sironko'!I42,'24.08 Mbale-Sironko-24h'!I42,'22.08 Mbale-Sironko-24h'!I42,'25.08 Mbale-Sironko'!I42)</f>
        <v>3.1428571428571428</v>
      </c>
      <c r="J42" s="49">
        <f>AVERAGE('19.08 Mbale-Sironko'!J42,'20.08 Mbale-Sironko'!J42,'21.08 Mbale-Sironko'!J42,'23.08 Mbale-Sironko'!J42,'24.08 Mbale-Sironko-24h'!J42,'22.08 Mbale-Sironko-24h'!J42,'25.08 Mbale-Sironko'!J42)</f>
        <v>0.14285714285714285</v>
      </c>
      <c r="K42" s="49">
        <f>AVERAGE('19.08 Mbale-Sironko'!K42,'20.08 Mbale-Sironko'!K42,'21.08 Mbale-Sironko'!K42,'23.08 Mbale-Sironko'!K42,'24.08 Mbale-Sironko-24h'!K42,'22.08 Mbale-Sironko-24h'!K42,'25.08 Mbale-Sironko'!K42)</f>
        <v>0</v>
      </c>
      <c r="L42" s="49">
        <f>AVERAGE('19.08 Mbale-Sironko'!L42,'20.08 Mbale-Sironko'!L42,'21.08 Mbale-Sironko'!L42,'23.08 Mbale-Sironko'!L42,'24.08 Mbale-Sironko-24h'!L42,'22.08 Mbale-Sironko-24h'!L42,'25.08 Mbale-Sironko'!L42)</f>
        <v>0</v>
      </c>
      <c r="M42" s="49">
        <f>AVERAGE('19.08 Mbale-Sironko'!M42,'20.08 Mbale-Sironko'!M42,'21.08 Mbale-Sironko'!M42,'23.08 Mbale-Sironko'!M42,'24.08 Mbale-Sironko-24h'!M42,'22.08 Mbale-Sironko-24h'!M42,'25.08 Mbale-Sironko'!M42)</f>
        <v>31.285714285714285</v>
      </c>
      <c r="N42" s="49">
        <f>AVERAGE('19.08 Mbale-Sironko'!N42,'20.08 Mbale-Sironko'!N42,'21.08 Mbale-Sironko'!N42,'23.08 Mbale-Sironko'!N42,'24.08 Mbale-Sironko-24h'!N42,'22.08 Mbale-Sironko-24h'!N42,'25.08 Mbale-Sironko'!N42)</f>
        <v>0</v>
      </c>
      <c r="O42" s="15">
        <f t="shared" si="0"/>
        <v>19</v>
      </c>
      <c r="P42" s="15">
        <f t="shared" si="1"/>
        <v>50.285714285714285</v>
      </c>
      <c r="R42" s="5" t="s">
        <v>160</v>
      </c>
      <c r="S42" s="48">
        <f>S41/S40</f>
        <v>1.328125</v>
      </c>
      <c r="T42" s="48">
        <f t="shared" ref="T42:AF42" si="34">T41/T40</f>
        <v>1.0682926829268293</v>
      </c>
      <c r="U42" s="48">
        <f t="shared" si="34"/>
        <v>1.2737523992322457</v>
      </c>
      <c r="V42" s="48">
        <f t="shared" si="34"/>
        <v>1.2321116928446771</v>
      </c>
      <c r="W42" s="48">
        <f t="shared" si="34"/>
        <v>1</v>
      </c>
      <c r="X42" s="48">
        <f t="shared" si="34"/>
        <v>1.411764705882353</v>
      </c>
      <c r="Y42" s="48">
        <f t="shared" si="34"/>
        <v>1.6942148760330575</v>
      </c>
      <c r="Z42" s="48">
        <f t="shared" si="34"/>
        <v>1.5833333333333333</v>
      </c>
      <c r="AA42" s="48">
        <f t="shared" si="34"/>
        <v>1.7777777777777779</v>
      </c>
      <c r="AB42" s="48">
        <f t="shared" si="34"/>
        <v>1</v>
      </c>
      <c r="AC42" s="48">
        <f t="shared" si="34"/>
        <v>1.25182601111959</v>
      </c>
      <c r="AD42" s="48">
        <f t="shared" si="34"/>
        <v>1</v>
      </c>
      <c r="AE42" s="56">
        <f t="shared" si="34"/>
        <v>1.33675799086758</v>
      </c>
      <c r="AF42" s="56">
        <f t="shared" si="34"/>
        <v>1.2858542959817054</v>
      </c>
    </row>
    <row r="43" spans="2:32" ht="23.1" customHeight="1" x14ac:dyDescent="0.25">
      <c r="B43" s="23" t="s">
        <v>70</v>
      </c>
      <c r="C43" s="49">
        <f>AVERAGE('19.08 Mbale-Sironko'!C43,'20.08 Mbale-Sironko'!C43,'21.08 Mbale-Sironko'!C43,'23.08 Mbale-Sironko'!C43,'24.08 Mbale-Sironko-24h'!C43,'22.08 Mbale-Sironko-24h'!C43,'25.08 Mbale-Sironko'!C43)</f>
        <v>3</v>
      </c>
      <c r="D43" s="49">
        <f>AVERAGE('19.08 Mbale-Sironko'!D43,'20.08 Mbale-Sironko'!D43,'21.08 Mbale-Sironko'!D43,'23.08 Mbale-Sironko'!D43,'24.08 Mbale-Sironko-24h'!D43,'22.08 Mbale-Sironko-24h'!D43,'25.08 Mbale-Sironko'!D43)</f>
        <v>1</v>
      </c>
      <c r="E43" s="49">
        <f>AVERAGE('19.08 Mbale-Sironko'!E43,'20.08 Mbale-Sironko'!E43,'21.08 Mbale-Sironko'!E43,'23.08 Mbale-Sironko'!E43,'24.08 Mbale-Sironko-24h'!E43,'22.08 Mbale-Sironko-24h'!E43,'25.08 Mbale-Sironko'!E43)</f>
        <v>5.2857142857142856</v>
      </c>
      <c r="F43" s="49">
        <f>AVERAGE('19.08 Mbale-Sironko'!F43,'20.08 Mbale-Sironko'!F43,'21.08 Mbale-Sironko'!F43,'23.08 Mbale-Sironko'!F43,'24.08 Mbale-Sironko-24h'!F43,'22.08 Mbale-Sironko-24h'!F43,'25.08 Mbale-Sironko'!F43)</f>
        <v>4.1428571428571432</v>
      </c>
      <c r="G43" s="49">
        <f>AVERAGE('19.08 Mbale-Sironko'!G43,'20.08 Mbale-Sironko'!G43,'21.08 Mbale-Sironko'!G43,'23.08 Mbale-Sironko'!G43,'24.08 Mbale-Sironko-24h'!G43,'22.08 Mbale-Sironko-24h'!G43,'25.08 Mbale-Sironko'!G43)</f>
        <v>0</v>
      </c>
      <c r="H43" s="49">
        <f>AVERAGE('19.08 Mbale-Sironko'!H43,'20.08 Mbale-Sironko'!H43,'21.08 Mbale-Sironko'!H43,'23.08 Mbale-Sironko'!H43,'24.08 Mbale-Sironko-24h'!H43,'22.08 Mbale-Sironko-24h'!H43,'25.08 Mbale-Sironko'!H43)</f>
        <v>0</v>
      </c>
      <c r="I43" s="49">
        <f>AVERAGE('19.08 Mbale-Sironko'!I43,'20.08 Mbale-Sironko'!I43,'21.08 Mbale-Sironko'!I43,'23.08 Mbale-Sironko'!I43,'24.08 Mbale-Sironko-24h'!I43,'22.08 Mbale-Sironko-24h'!I43,'25.08 Mbale-Sironko'!I43)</f>
        <v>3.1428571428571428</v>
      </c>
      <c r="J43" s="49">
        <f>AVERAGE('19.08 Mbale-Sironko'!J43,'20.08 Mbale-Sironko'!J43,'21.08 Mbale-Sironko'!J43,'23.08 Mbale-Sironko'!J43,'24.08 Mbale-Sironko-24h'!J43,'22.08 Mbale-Sironko-24h'!J43,'25.08 Mbale-Sironko'!J43)</f>
        <v>0.7142857142857143</v>
      </c>
      <c r="K43" s="49">
        <f>AVERAGE('19.08 Mbale-Sironko'!K43,'20.08 Mbale-Sironko'!K43,'21.08 Mbale-Sironko'!K43,'23.08 Mbale-Sironko'!K43,'24.08 Mbale-Sironko-24h'!K43,'22.08 Mbale-Sironko-24h'!K43,'25.08 Mbale-Sironko'!K43)</f>
        <v>0</v>
      </c>
      <c r="L43" s="49">
        <f>AVERAGE('19.08 Mbale-Sironko'!L43,'20.08 Mbale-Sironko'!L43,'21.08 Mbale-Sironko'!L43,'23.08 Mbale-Sironko'!L43,'24.08 Mbale-Sironko-24h'!L43,'22.08 Mbale-Sironko-24h'!L43,'25.08 Mbale-Sironko'!L43)</f>
        <v>0</v>
      </c>
      <c r="M43" s="49">
        <f>AVERAGE('19.08 Mbale-Sironko'!M43,'20.08 Mbale-Sironko'!M43,'21.08 Mbale-Sironko'!M43,'23.08 Mbale-Sironko'!M43,'24.08 Mbale-Sironko-24h'!M43,'22.08 Mbale-Sironko-24h'!M43,'25.08 Mbale-Sironko'!M43)</f>
        <v>24.142857142857142</v>
      </c>
      <c r="N43" s="49">
        <f>AVERAGE('19.08 Mbale-Sironko'!N43,'20.08 Mbale-Sironko'!N43,'21.08 Mbale-Sironko'!N43,'23.08 Mbale-Sironko'!N43,'24.08 Mbale-Sironko-24h'!N43,'22.08 Mbale-Sironko-24h'!N43,'25.08 Mbale-Sironko'!N43)</f>
        <v>0</v>
      </c>
      <c r="O43" s="15">
        <f t="shared" si="0"/>
        <v>17.285714285714285</v>
      </c>
      <c r="P43" s="15">
        <f t="shared" si="1"/>
        <v>41.428571428571431</v>
      </c>
    </row>
    <row r="44" spans="2:32" ht="23.1" customHeight="1" x14ac:dyDescent="0.25">
      <c r="B44" s="25" t="s">
        <v>71</v>
      </c>
      <c r="C44" s="49">
        <f>AVERAGE('19.08 Mbale-Sironko'!C44,'20.08 Mbale-Sironko'!C44,'21.08 Mbale-Sironko'!C44,'23.08 Mbale-Sironko'!C44,'24.08 Mbale-Sironko-24h'!C44,'22.08 Mbale-Sironko-24h'!C44,'25.08 Mbale-Sironko'!C44)</f>
        <v>4</v>
      </c>
      <c r="D44" s="49">
        <f>AVERAGE('19.08 Mbale-Sironko'!D44,'20.08 Mbale-Sironko'!D44,'21.08 Mbale-Sironko'!D44,'23.08 Mbale-Sironko'!D44,'24.08 Mbale-Sironko-24h'!D44,'22.08 Mbale-Sironko-24h'!D44,'25.08 Mbale-Sironko'!D44)</f>
        <v>1.2857142857142858</v>
      </c>
      <c r="E44" s="49">
        <f>AVERAGE('19.08 Mbale-Sironko'!E44,'20.08 Mbale-Sironko'!E44,'21.08 Mbale-Sironko'!E44,'23.08 Mbale-Sironko'!E44,'24.08 Mbale-Sironko-24h'!E44,'22.08 Mbale-Sironko-24h'!E44,'25.08 Mbale-Sironko'!E44)</f>
        <v>6.7142857142857144</v>
      </c>
      <c r="F44" s="49">
        <f>AVERAGE('19.08 Mbale-Sironko'!F44,'20.08 Mbale-Sironko'!F44,'21.08 Mbale-Sironko'!F44,'23.08 Mbale-Sironko'!F44,'24.08 Mbale-Sironko-24h'!F44,'22.08 Mbale-Sironko-24h'!F44,'25.08 Mbale-Sironko'!F44)</f>
        <v>3.1428571428571428</v>
      </c>
      <c r="G44" s="49">
        <f>AVERAGE('19.08 Mbale-Sironko'!G44,'20.08 Mbale-Sironko'!G44,'21.08 Mbale-Sironko'!G44,'23.08 Mbale-Sironko'!G44,'24.08 Mbale-Sironko-24h'!G44,'22.08 Mbale-Sironko-24h'!G44,'25.08 Mbale-Sironko'!G44)</f>
        <v>0</v>
      </c>
      <c r="H44" s="49">
        <f>AVERAGE('19.08 Mbale-Sironko'!H44,'20.08 Mbale-Sironko'!H44,'21.08 Mbale-Sironko'!H44,'23.08 Mbale-Sironko'!H44,'24.08 Mbale-Sironko-24h'!H44,'22.08 Mbale-Sironko-24h'!H44,'25.08 Mbale-Sironko'!H44)</f>
        <v>0</v>
      </c>
      <c r="I44" s="49">
        <f>AVERAGE('19.08 Mbale-Sironko'!I44,'20.08 Mbale-Sironko'!I44,'21.08 Mbale-Sironko'!I44,'23.08 Mbale-Sironko'!I44,'24.08 Mbale-Sironko-24h'!I44,'22.08 Mbale-Sironko-24h'!I44,'25.08 Mbale-Sironko'!I44)</f>
        <v>3.8571428571428572</v>
      </c>
      <c r="J44" s="49">
        <f>AVERAGE('19.08 Mbale-Sironko'!J44,'20.08 Mbale-Sironko'!J44,'21.08 Mbale-Sironko'!J44,'23.08 Mbale-Sironko'!J44,'24.08 Mbale-Sironko-24h'!J44,'22.08 Mbale-Sironko-24h'!J44,'25.08 Mbale-Sironko'!J44)</f>
        <v>0.14285714285714285</v>
      </c>
      <c r="K44" s="49">
        <f>AVERAGE('19.08 Mbale-Sironko'!K44,'20.08 Mbale-Sironko'!K44,'21.08 Mbale-Sironko'!K44,'23.08 Mbale-Sironko'!K44,'24.08 Mbale-Sironko-24h'!K44,'22.08 Mbale-Sironko-24h'!K44,'25.08 Mbale-Sironko'!K44)</f>
        <v>0.42857142857142855</v>
      </c>
      <c r="L44" s="49">
        <f>AVERAGE('19.08 Mbale-Sironko'!L44,'20.08 Mbale-Sironko'!L44,'21.08 Mbale-Sironko'!L44,'23.08 Mbale-Sironko'!L44,'24.08 Mbale-Sironko-24h'!L44,'22.08 Mbale-Sironko-24h'!L44,'25.08 Mbale-Sironko'!L44)</f>
        <v>0.2857142857142857</v>
      </c>
      <c r="M44" s="49">
        <f>AVERAGE('19.08 Mbale-Sironko'!M44,'20.08 Mbale-Sironko'!M44,'21.08 Mbale-Sironko'!M44,'23.08 Mbale-Sironko'!M44,'24.08 Mbale-Sironko-24h'!M44,'22.08 Mbale-Sironko-24h'!M44,'25.08 Mbale-Sironko'!M44)</f>
        <v>29.571428571428573</v>
      </c>
      <c r="N44" s="49">
        <f>AVERAGE('19.08 Mbale-Sironko'!N44,'20.08 Mbale-Sironko'!N44,'21.08 Mbale-Sironko'!N44,'23.08 Mbale-Sironko'!N44,'24.08 Mbale-Sironko-24h'!N44,'22.08 Mbale-Sironko-24h'!N44,'25.08 Mbale-Sironko'!N44)</f>
        <v>0</v>
      </c>
      <c r="O44" s="15">
        <f t="shared" si="0"/>
        <v>19.857142857142854</v>
      </c>
      <c r="P44" s="15">
        <f t="shared" si="1"/>
        <v>49.428571428571431</v>
      </c>
    </row>
    <row r="45" spans="2:32" ht="23.1" customHeight="1" x14ac:dyDescent="0.25">
      <c r="B45" s="23" t="s">
        <v>72</v>
      </c>
      <c r="C45" s="49">
        <f>AVERAGE('19.08 Mbale-Sironko'!C45,'20.08 Mbale-Sironko'!C45,'21.08 Mbale-Sironko'!C45,'23.08 Mbale-Sironko'!C45,'24.08 Mbale-Sironko-24h'!C45,'22.08 Mbale-Sironko-24h'!C45,'25.08 Mbale-Sironko'!C45)</f>
        <v>3.8571428571428572</v>
      </c>
      <c r="D45" s="49">
        <f>AVERAGE('19.08 Mbale-Sironko'!D45,'20.08 Mbale-Sironko'!D45,'21.08 Mbale-Sironko'!D45,'23.08 Mbale-Sironko'!D45,'24.08 Mbale-Sironko-24h'!D45,'22.08 Mbale-Sironko-24h'!D45,'25.08 Mbale-Sironko'!D45)</f>
        <v>0.8571428571428571</v>
      </c>
      <c r="E45" s="49">
        <f>AVERAGE('19.08 Mbale-Sironko'!E45,'20.08 Mbale-Sironko'!E45,'21.08 Mbale-Sironko'!E45,'23.08 Mbale-Sironko'!E45,'24.08 Mbale-Sironko-24h'!E45,'22.08 Mbale-Sironko-24h'!E45,'25.08 Mbale-Sironko'!E45)</f>
        <v>5.4285714285714288</v>
      </c>
      <c r="F45" s="49">
        <f>AVERAGE('19.08 Mbale-Sironko'!F45,'20.08 Mbale-Sironko'!F45,'21.08 Mbale-Sironko'!F45,'23.08 Mbale-Sironko'!F45,'24.08 Mbale-Sironko-24h'!F45,'22.08 Mbale-Sironko-24h'!F45,'25.08 Mbale-Sironko'!F45)</f>
        <v>3.4285714285714284</v>
      </c>
      <c r="G45" s="49">
        <f>AVERAGE('19.08 Mbale-Sironko'!G45,'20.08 Mbale-Sironko'!G45,'21.08 Mbale-Sironko'!G45,'23.08 Mbale-Sironko'!G45,'24.08 Mbale-Sironko-24h'!G45,'22.08 Mbale-Sironko-24h'!G45,'25.08 Mbale-Sironko'!G45)</f>
        <v>0</v>
      </c>
      <c r="H45" s="49">
        <f>AVERAGE('19.08 Mbale-Sironko'!H45,'20.08 Mbale-Sironko'!H45,'21.08 Mbale-Sironko'!H45,'23.08 Mbale-Sironko'!H45,'24.08 Mbale-Sironko-24h'!H45,'22.08 Mbale-Sironko-24h'!H45,'25.08 Mbale-Sironko'!H45)</f>
        <v>0</v>
      </c>
      <c r="I45" s="49">
        <f>AVERAGE('19.08 Mbale-Sironko'!I45,'20.08 Mbale-Sironko'!I45,'21.08 Mbale-Sironko'!I45,'23.08 Mbale-Sironko'!I45,'24.08 Mbale-Sironko-24h'!I45,'22.08 Mbale-Sironko-24h'!I45,'25.08 Mbale-Sironko'!I45)</f>
        <v>2.4285714285714284</v>
      </c>
      <c r="J45" s="49">
        <f>AVERAGE('19.08 Mbale-Sironko'!J45,'20.08 Mbale-Sironko'!J45,'21.08 Mbale-Sironko'!J45,'23.08 Mbale-Sironko'!J45,'24.08 Mbale-Sironko-24h'!J45,'22.08 Mbale-Sironko-24h'!J45,'25.08 Mbale-Sironko'!J45)</f>
        <v>0.14285714285714285</v>
      </c>
      <c r="K45" s="49">
        <f>AVERAGE('19.08 Mbale-Sironko'!K45,'20.08 Mbale-Sironko'!K45,'21.08 Mbale-Sironko'!K45,'23.08 Mbale-Sironko'!K45,'24.08 Mbale-Sironko-24h'!K45,'22.08 Mbale-Sironko-24h'!K45,'25.08 Mbale-Sironko'!K45)</f>
        <v>0.14285714285714285</v>
      </c>
      <c r="L45" s="49">
        <f>AVERAGE('19.08 Mbale-Sironko'!L45,'20.08 Mbale-Sironko'!L45,'21.08 Mbale-Sironko'!L45,'23.08 Mbale-Sironko'!L45,'24.08 Mbale-Sironko-24h'!L45,'22.08 Mbale-Sironko-24h'!L45,'25.08 Mbale-Sironko'!L45)</f>
        <v>0.42857142857142855</v>
      </c>
      <c r="M45" s="49">
        <f>AVERAGE('19.08 Mbale-Sironko'!M45,'20.08 Mbale-Sironko'!M45,'21.08 Mbale-Sironko'!M45,'23.08 Mbale-Sironko'!M45,'24.08 Mbale-Sironko-24h'!M45,'22.08 Mbale-Sironko-24h'!M45,'25.08 Mbale-Sironko'!M45)</f>
        <v>27.428571428571427</v>
      </c>
      <c r="N45" s="49">
        <f>AVERAGE('19.08 Mbale-Sironko'!N45,'20.08 Mbale-Sironko'!N45,'21.08 Mbale-Sironko'!N45,'23.08 Mbale-Sironko'!N45,'24.08 Mbale-Sironko-24h'!N45,'22.08 Mbale-Sironko-24h'!N45,'25.08 Mbale-Sironko'!N45)</f>
        <v>0</v>
      </c>
      <c r="O45" s="15">
        <f t="shared" si="0"/>
        <v>16.714285714285712</v>
      </c>
      <c r="P45" s="15">
        <f t="shared" si="1"/>
        <v>44.142857142857139</v>
      </c>
    </row>
    <row r="46" spans="2:32" ht="23.1" customHeight="1" x14ac:dyDescent="0.25">
      <c r="B46" s="24" t="s">
        <v>73</v>
      </c>
      <c r="C46" s="49">
        <f>AVERAGE('19.08 Mbale-Sironko'!C46,'20.08 Mbale-Sironko'!C46,'21.08 Mbale-Sironko'!C46,'23.08 Mbale-Sironko'!C46,'24.08 Mbale-Sironko-24h'!C46,'22.08 Mbale-Sironko-24h'!C46,'25.08 Mbale-Sironko'!C46)</f>
        <v>3.4285714285714284</v>
      </c>
      <c r="D46" s="49">
        <f>AVERAGE('19.08 Mbale-Sironko'!D46,'20.08 Mbale-Sironko'!D46,'21.08 Mbale-Sironko'!D46,'23.08 Mbale-Sironko'!D46,'24.08 Mbale-Sironko-24h'!D46,'22.08 Mbale-Sironko-24h'!D46,'25.08 Mbale-Sironko'!D46)</f>
        <v>1.4285714285714286</v>
      </c>
      <c r="E46" s="49">
        <f>AVERAGE('19.08 Mbale-Sironko'!E46,'20.08 Mbale-Sironko'!E46,'21.08 Mbale-Sironko'!E46,'23.08 Mbale-Sironko'!E46,'24.08 Mbale-Sironko-24h'!E46,'22.08 Mbale-Sironko-24h'!E46,'25.08 Mbale-Sironko'!E46)</f>
        <v>6.7142857142857144</v>
      </c>
      <c r="F46" s="49">
        <f>AVERAGE('19.08 Mbale-Sironko'!F46,'20.08 Mbale-Sironko'!F46,'21.08 Mbale-Sironko'!F46,'23.08 Mbale-Sironko'!F46,'24.08 Mbale-Sironko-24h'!F46,'22.08 Mbale-Sironko-24h'!F46,'25.08 Mbale-Sironko'!F46)</f>
        <v>4</v>
      </c>
      <c r="G46" s="49">
        <f>AVERAGE('19.08 Mbale-Sironko'!G46,'20.08 Mbale-Sironko'!G46,'21.08 Mbale-Sironko'!G46,'23.08 Mbale-Sironko'!G46,'24.08 Mbale-Sironko-24h'!G46,'22.08 Mbale-Sironko-24h'!G46,'25.08 Mbale-Sironko'!G46)</f>
        <v>0</v>
      </c>
      <c r="H46" s="49">
        <f>AVERAGE('19.08 Mbale-Sironko'!H46,'20.08 Mbale-Sironko'!H46,'21.08 Mbale-Sironko'!H46,'23.08 Mbale-Sironko'!H46,'24.08 Mbale-Sironko-24h'!H46,'22.08 Mbale-Sironko-24h'!H46,'25.08 Mbale-Sironko'!H46)</f>
        <v>0</v>
      </c>
      <c r="I46" s="49">
        <f>AVERAGE('19.08 Mbale-Sironko'!I46,'20.08 Mbale-Sironko'!I46,'21.08 Mbale-Sironko'!I46,'23.08 Mbale-Sironko'!I46,'24.08 Mbale-Sironko-24h'!I46,'22.08 Mbale-Sironko-24h'!I46,'25.08 Mbale-Sironko'!I46)</f>
        <v>2.8571428571428572</v>
      </c>
      <c r="J46" s="49">
        <f>AVERAGE('19.08 Mbale-Sironko'!J46,'20.08 Mbale-Sironko'!J46,'21.08 Mbale-Sironko'!J46,'23.08 Mbale-Sironko'!J46,'24.08 Mbale-Sironko-24h'!J46,'22.08 Mbale-Sironko-24h'!J46,'25.08 Mbale-Sironko'!J46)</f>
        <v>0.2857142857142857</v>
      </c>
      <c r="K46" s="49">
        <f>AVERAGE('19.08 Mbale-Sironko'!K46,'20.08 Mbale-Sironko'!K46,'21.08 Mbale-Sironko'!K46,'23.08 Mbale-Sironko'!K46,'24.08 Mbale-Sironko-24h'!K46,'22.08 Mbale-Sironko-24h'!K46,'25.08 Mbale-Sironko'!K46)</f>
        <v>0</v>
      </c>
      <c r="L46" s="49">
        <f>AVERAGE('19.08 Mbale-Sironko'!L46,'20.08 Mbale-Sironko'!L46,'21.08 Mbale-Sironko'!L46,'23.08 Mbale-Sironko'!L46,'24.08 Mbale-Sironko-24h'!L46,'22.08 Mbale-Sironko-24h'!L46,'25.08 Mbale-Sironko'!L46)</f>
        <v>0.42857142857142855</v>
      </c>
      <c r="M46" s="49">
        <f>AVERAGE('19.08 Mbale-Sironko'!M46,'20.08 Mbale-Sironko'!M46,'21.08 Mbale-Sironko'!M46,'23.08 Mbale-Sironko'!M46,'24.08 Mbale-Sironko-24h'!M46,'22.08 Mbale-Sironko-24h'!M46,'25.08 Mbale-Sironko'!M46)</f>
        <v>27</v>
      </c>
      <c r="N46" s="49">
        <f>AVERAGE('19.08 Mbale-Sironko'!N46,'20.08 Mbale-Sironko'!N46,'21.08 Mbale-Sironko'!N46,'23.08 Mbale-Sironko'!N46,'24.08 Mbale-Sironko-24h'!N46,'22.08 Mbale-Sironko-24h'!N46,'25.08 Mbale-Sironko'!N46)</f>
        <v>0</v>
      </c>
      <c r="O46" s="15">
        <f t="shared" si="0"/>
        <v>19.142857142857139</v>
      </c>
      <c r="P46" s="15">
        <f t="shared" si="1"/>
        <v>46.142857142857139</v>
      </c>
      <c r="R46" s="8"/>
      <c r="T46"/>
    </row>
    <row r="47" spans="2:32" ht="23.1" customHeight="1" x14ac:dyDescent="0.25">
      <c r="B47" s="24" t="s">
        <v>74</v>
      </c>
      <c r="C47" s="49">
        <f>AVERAGE('19.08 Mbale-Sironko'!C47,'20.08 Mbale-Sironko'!C47,'21.08 Mbale-Sironko'!C47,'23.08 Mbale-Sironko'!C47,'24.08 Mbale-Sironko-24h'!C47,'22.08 Mbale-Sironko-24h'!C47,'25.08 Mbale-Sironko'!C47)</f>
        <v>4.4285714285714288</v>
      </c>
      <c r="D47" s="49">
        <f>AVERAGE('19.08 Mbale-Sironko'!D47,'20.08 Mbale-Sironko'!D47,'21.08 Mbale-Sironko'!D47,'23.08 Mbale-Sironko'!D47,'24.08 Mbale-Sironko-24h'!D47,'22.08 Mbale-Sironko-24h'!D47,'25.08 Mbale-Sironko'!D47)</f>
        <v>1.1428571428571428</v>
      </c>
      <c r="E47" s="49">
        <f>AVERAGE('19.08 Mbale-Sironko'!E47,'20.08 Mbale-Sironko'!E47,'21.08 Mbale-Sironko'!E47,'23.08 Mbale-Sironko'!E47,'24.08 Mbale-Sironko-24h'!E47,'22.08 Mbale-Sironko-24h'!E47,'25.08 Mbale-Sironko'!E47)</f>
        <v>6.8571428571428568</v>
      </c>
      <c r="F47" s="49">
        <f>AVERAGE('19.08 Mbale-Sironko'!F47,'20.08 Mbale-Sironko'!F47,'21.08 Mbale-Sironko'!F47,'23.08 Mbale-Sironko'!F47,'24.08 Mbale-Sironko-24h'!F47,'22.08 Mbale-Sironko-24h'!F47,'25.08 Mbale-Sironko'!F47)</f>
        <v>2.8571428571428572</v>
      </c>
      <c r="G47" s="49">
        <f>AVERAGE('19.08 Mbale-Sironko'!G47,'20.08 Mbale-Sironko'!G47,'21.08 Mbale-Sironko'!G47,'23.08 Mbale-Sironko'!G47,'24.08 Mbale-Sironko-24h'!G47,'22.08 Mbale-Sironko-24h'!G47,'25.08 Mbale-Sironko'!G47)</f>
        <v>0</v>
      </c>
      <c r="H47" s="49">
        <f>AVERAGE('19.08 Mbale-Sironko'!H47,'20.08 Mbale-Sironko'!H47,'21.08 Mbale-Sironko'!H47,'23.08 Mbale-Sironko'!H47,'24.08 Mbale-Sironko-24h'!H47,'22.08 Mbale-Sironko-24h'!H47,'25.08 Mbale-Sironko'!H47)</f>
        <v>0</v>
      </c>
      <c r="I47" s="49">
        <f>AVERAGE('19.08 Mbale-Sironko'!I47,'20.08 Mbale-Sironko'!I47,'21.08 Mbale-Sironko'!I47,'23.08 Mbale-Sironko'!I47,'24.08 Mbale-Sironko-24h'!I47,'22.08 Mbale-Sironko-24h'!I47,'25.08 Mbale-Sironko'!I47)</f>
        <v>3.1428571428571428</v>
      </c>
      <c r="J47" s="49">
        <f>AVERAGE('19.08 Mbale-Sironko'!J47,'20.08 Mbale-Sironko'!J47,'21.08 Mbale-Sironko'!J47,'23.08 Mbale-Sironko'!J47,'24.08 Mbale-Sironko-24h'!J47,'22.08 Mbale-Sironko-24h'!J47,'25.08 Mbale-Sironko'!J47)</f>
        <v>0.14285714285714285</v>
      </c>
      <c r="K47" s="49">
        <f>AVERAGE('19.08 Mbale-Sironko'!K47,'20.08 Mbale-Sironko'!K47,'21.08 Mbale-Sironko'!K47,'23.08 Mbale-Sironko'!K47,'24.08 Mbale-Sironko-24h'!K47,'22.08 Mbale-Sironko-24h'!K47,'25.08 Mbale-Sironko'!K47)</f>
        <v>0.14285714285714285</v>
      </c>
      <c r="L47" s="49">
        <f>AVERAGE('19.08 Mbale-Sironko'!L47,'20.08 Mbale-Sironko'!L47,'21.08 Mbale-Sironko'!L47,'23.08 Mbale-Sironko'!L47,'24.08 Mbale-Sironko-24h'!L47,'22.08 Mbale-Sironko-24h'!L47,'25.08 Mbale-Sironko'!L47)</f>
        <v>0.42857142857142855</v>
      </c>
      <c r="M47" s="49">
        <f>AVERAGE('19.08 Mbale-Sironko'!M47,'20.08 Mbale-Sironko'!M47,'21.08 Mbale-Sironko'!M47,'23.08 Mbale-Sironko'!M47,'24.08 Mbale-Sironko-24h'!M47,'22.08 Mbale-Sironko-24h'!M47,'25.08 Mbale-Sironko'!M47)</f>
        <v>27</v>
      </c>
      <c r="N47" s="49">
        <f>AVERAGE('19.08 Mbale-Sironko'!N47,'20.08 Mbale-Sironko'!N47,'21.08 Mbale-Sironko'!N47,'23.08 Mbale-Sironko'!N47,'24.08 Mbale-Sironko-24h'!N47,'22.08 Mbale-Sironko-24h'!N47,'25.08 Mbale-Sironko'!N47)</f>
        <v>0</v>
      </c>
      <c r="O47" s="15">
        <f t="shared" si="0"/>
        <v>19.142857142857139</v>
      </c>
      <c r="P47" s="15">
        <f t="shared" si="1"/>
        <v>46.142857142857139</v>
      </c>
      <c r="R47" s="8"/>
      <c r="T47"/>
    </row>
    <row r="48" spans="2:32" ht="23.1" customHeight="1" x14ac:dyDescent="0.25">
      <c r="B48" s="24" t="s">
        <v>75</v>
      </c>
      <c r="C48" s="49">
        <f>AVERAGE('19.08 Mbale-Sironko'!C48,'20.08 Mbale-Sironko'!C48,'21.08 Mbale-Sironko'!C48,'23.08 Mbale-Sironko'!C48,'24.08 Mbale-Sironko-24h'!C48,'22.08 Mbale-Sironko-24h'!C48,'25.08 Mbale-Sironko'!C48)</f>
        <v>4.7142857142857144</v>
      </c>
      <c r="D48" s="49">
        <f>AVERAGE('19.08 Mbale-Sironko'!D48,'20.08 Mbale-Sironko'!D48,'21.08 Mbale-Sironko'!D48,'23.08 Mbale-Sironko'!D48,'24.08 Mbale-Sironko-24h'!D48,'22.08 Mbale-Sironko-24h'!D48,'25.08 Mbale-Sironko'!D48)</f>
        <v>0.8571428571428571</v>
      </c>
      <c r="E48" s="49">
        <f>AVERAGE('19.08 Mbale-Sironko'!E48,'20.08 Mbale-Sironko'!E48,'21.08 Mbale-Sironko'!E48,'23.08 Mbale-Sironko'!E48,'24.08 Mbale-Sironko-24h'!E48,'22.08 Mbale-Sironko-24h'!E48,'25.08 Mbale-Sironko'!E48)</f>
        <v>5.5714285714285712</v>
      </c>
      <c r="F48" s="49">
        <f>AVERAGE('19.08 Mbale-Sironko'!F48,'20.08 Mbale-Sironko'!F48,'21.08 Mbale-Sironko'!F48,'23.08 Mbale-Sironko'!F48,'24.08 Mbale-Sironko-24h'!F48,'22.08 Mbale-Sironko-24h'!F48,'25.08 Mbale-Sironko'!F48)</f>
        <v>4.4285714285714288</v>
      </c>
      <c r="G48" s="49">
        <f>AVERAGE('19.08 Mbale-Sironko'!G48,'20.08 Mbale-Sironko'!G48,'21.08 Mbale-Sironko'!G48,'23.08 Mbale-Sironko'!G48,'24.08 Mbale-Sironko-24h'!G48,'22.08 Mbale-Sironko-24h'!G48,'25.08 Mbale-Sironko'!G48)</f>
        <v>0</v>
      </c>
      <c r="H48" s="49">
        <f>AVERAGE('19.08 Mbale-Sironko'!H48,'20.08 Mbale-Sironko'!H48,'21.08 Mbale-Sironko'!H48,'23.08 Mbale-Sironko'!H48,'24.08 Mbale-Sironko-24h'!H48,'22.08 Mbale-Sironko-24h'!H48,'25.08 Mbale-Sironko'!H48)</f>
        <v>0</v>
      </c>
      <c r="I48" s="49">
        <f>AVERAGE('19.08 Mbale-Sironko'!I48,'20.08 Mbale-Sironko'!I48,'21.08 Mbale-Sironko'!I48,'23.08 Mbale-Sironko'!I48,'24.08 Mbale-Sironko-24h'!I48,'22.08 Mbale-Sironko-24h'!I48,'25.08 Mbale-Sironko'!I48)</f>
        <v>3.7142857142857144</v>
      </c>
      <c r="J48" s="49">
        <f>AVERAGE('19.08 Mbale-Sironko'!J48,'20.08 Mbale-Sironko'!J48,'21.08 Mbale-Sironko'!J48,'23.08 Mbale-Sironko'!J48,'24.08 Mbale-Sironko-24h'!J48,'22.08 Mbale-Sironko-24h'!J48,'25.08 Mbale-Sironko'!J48)</f>
        <v>0.14285714285714285</v>
      </c>
      <c r="K48" s="49">
        <f>AVERAGE('19.08 Mbale-Sironko'!K48,'20.08 Mbale-Sironko'!K48,'21.08 Mbale-Sironko'!K48,'23.08 Mbale-Sironko'!K48,'24.08 Mbale-Sironko-24h'!K48,'22.08 Mbale-Sironko-24h'!K48,'25.08 Mbale-Sironko'!K48)</f>
        <v>0.14285714285714285</v>
      </c>
      <c r="L48" s="49">
        <f>AVERAGE('19.08 Mbale-Sironko'!L48,'20.08 Mbale-Sironko'!L48,'21.08 Mbale-Sironko'!L48,'23.08 Mbale-Sironko'!L48,'24.08 Mbale-Sironko-24h'!L48,'22.08 Mbale-Sironko-24h'!L48,'25.08 Mbale-Sironko'!L48)</f>
        <v>0.14285714285714285</v>
      </c>
      <c r="M48" s="49">
        <f>AVERAGE('19.08 Mbale-Sironko'!M48,'20.08 Mbale-Sironko'!M48,'21.08 Mbale-Sironko'!M48,'23.08 Mbale-Sironko'!M48,'24.08 Mbale-Sironko-24h'!M48,'22.08 Mbale-Sironko-24h'!M48,'25.08 Mbale-Sironko'!M48)</f>
        <v>29.714285714285715</v>
      </c>
      <c r="N48" s="49">
        <f>AVERAGE('19.08 Mbale-Sironko'!N48,'20.08 Mbale-Sironko'!N48,'21.08 Mbale-Sironko'!N48,'23.08 Mbale-Sironko'!N48,'24.08 Mbale-Sironko-24h'!N48,'22.08 Mbale-Sironko-24h'!N48,'25.08 Mbale-Sironko'!N48)</f>
        <v>0</v>
      </c>
      <c r="O48" s="15">
        <f t="shared" si="0"/>
        <v>19.714285714285712</v>
      </c>
      <c r="P48" s="15">
        <f t="shared" si="1"/>
        <v>49.428571428571431</v>
      </c>
      <c r="R48" s="8"/>
      <c r="T48"/>
    </row>
    <row r="49" spans="2:20" ht="23.1" customHeight="1" x14ac:dyDescent="0.25">
      <c r="B49" s="23" t="s">
        <v>76</v>
      </c>
      <c r="C49" s="49">
        <f>AVERAGE('19.08 Mbale-Sironko'!C49,'20.08 Mbale-Sironko'!C49,'21.08 Mbale-Sironko'!C49,'23.08 Mbale-Sironko'!C49,'24.08 Mbale-Sironko-24h'!C49,'22.08 Mbale-Sironko-24h'!C49,'25.08 Mbale-Sironko'!C49)</f>
        <v>5.1428571428571432</v>
      </c>
      <c r="D49" s="49">
        <f>AVERAGE('19.08 Mbale-Sironko'!D49,'20.08 Mbale-Sironko'!D49,'21.08 Mbale-Sironko'!D49,'23.08 Mbale-Sironko'!D49,'24.08 Mbale-Sironko-24h'!D49,'22.08 Mbale-Sironko-24h'!D49,'25.08 Mbale-Sironko'!D49)</f>
        <v>1.2857142857142858</v>
      </c>
      <c r="E49" s="49">
        <f>AVERAGE('19.08 Mbale-Sironko'!E49,'20.08 Mbale-Sironko'!E49,'21.08 Mbale-Sironko'!E49,'23.08 Mbale-Sironko'!E49,'24.08 Mbale-Sironko-24h'!E49,'22.08 Mbale-Sironko-24h'!E49,'25.08 Mbale-Sironko'!E49)</f>
        <v>6.2857142857142856</v>
      </c>
      <c r="F49" s="49">
        <f>AVERAGE('19.08 Mbale-Sironko'!F49,'20.08 Mbale-Sironko'!F49,'21.08 Mbale-Sironko'!F49,'23.08 Mbale-Sironko'!F49,'24.08 Mbale-Sironko-24h'!F49,'22.08 Mbale-Sironko-24h'!F49,'25.08 Mbale-Sironko'!F49)</f>
        <v>4</v>
      </c>
      <c r="G49" s="49">
        <f>AVERAGE('19.08 Mbale-Sironko'!G49,'20.08 Mbale-Sironko'!G49,'21.08 Mbale-Sironko'!G49,'23.08 Mbale-Sironko'!G49,'24.08 Mbale-Sironko-24h'!G49,'22.08 Mbale-Sironko-24h'!G49,'25.08 Mbale-Sironko'!G49)</f>
        <v>0</v>
      </c>
      <c r="H49" s="49">
        <f>AVERAGE('19.08 Mbale-Sironko'!H49,'20.08 Mbale-Sironko'!H49,'21.08 Mbale-Sironko'!H49,'23.08 Mbale-Sironko'!H49,'24.08 Mbale-Sironko-24h'!H49,'22.08 Mbale-Sironko-24h'!H49,'25.08 Mbale-Sironko'!H49)</f>
        <v>0</v>
      </c>
      <c r="I49" s="49">
        <f>AVERAGE('19.08 Mbale-Sironko'!I49,'20.08 Mbale-Sironko'!I49,'21.08 Mbale-Sironko'!I49,'23.08 Mbale-Sironko'!I49,'24.08 Mbale-Sironko-24h'!I49,'22.08 Mbale-Sironko-24h'!I49,'25.08 Mbale-Sironko'!I49)</f>
        <v>2.7142857142857144</v>
      </c>
      <c r="J49" s="49">
        <f>AVERAGE('19.08 Mbale-Sironko'!J49,'20.08 Mbale-Sironko'!J49,'21.08 Mbale-Sironko'!J49,'23.08 Mbale-Sironko'!J49,'24.08 Mbale-Sironko-24h'!J49,'22.08 Mbale-Sironko-24h'!J49,'25.08 Mbale-Sironko'!J49)</f>
        <v>0.42857142857142855</v>
      </c>
      <c r="K49" s="49">
        <f>AVERAGE('19.08 Mbale-Sironko'!K49,'20.08 Mbale-Sironko'!K49,'21.08 Mbale-Sironko'!K49,'23.08 Mbale-Sironko'!K49,'24.08 Mbale-Sironko-24h'!K49,'22.08 Mbale-Sironko-24h'!K49,'25.08 Mbale-Sironko'!K49)</f>
        <v>0</v>
      </c>
      <c r="L49" s="49">
        <f>AVERAGE('19.08 Mbale-Sironko'!L49,'20.08 Mbale-Sironko'!L49,'21.08 Mbale-Sironko'!L49,'23.08 Mbale-Sironko'!L49,'24.08 Mbale-Sironko-24h'!L49,'22.08 Mbale-Sironko-24h'!L49,'25.08 Mbale-Sironko'!L49)</f>
        <v>0.14285714285714285</v>
      </c>
      <c r="M49" s="49">
        <f>AVERAGE('19.08 Mbale-Sironko'!M49,'20.08 Mbale-Sironko'!M49,'21.08 Mbale-Sironko'!M49,'23.08 Mbale-Sironko'!M49,'24.08 Mbale-Sironko-24h'!M49,'22.08 Mbale-Sironko-24h'!M49,'25.08 Mbale-Sironko'!M49)</f>
        <v>27</v>
      </c>
      <c r="N49" s="49">
        <f>AVERAGE('19.08 Mbale-Sironko'!N49,'20.08 Mbale-Sironko'!N49,'21.08 Mbale-Sironko'!N49,'23.08 Mbale-Sironko'!N49,'24.08 Mbale-Sironko-24h'!N49,'22.08 Mbale-Sironko-24h'!N49,'25.08 Mbale-Sironko'!N49)</f>
        <v>0</v>
      </c>
      <c r="O49" s="15">
        <f t="shared" si="0"/>
        <v>20</v>
      </c>
      <c r="P49" s="15">
        <f t="shared" si="1"/>
        <v>47</v>
      </c>
      <c r="R49" s="8"/>
      <c r="T49"/>
    </row>
    <row r="50" spans="2:20" ht="23.1" customHeight="1" x14ac:dyDescent="0.25">
      <c r="B50" s="24" t="s">
        <v>77</v>
      </c>
      <c r="C50" s="49">
        <f>AVERAGE('19.08 Mbale-Sironko'!C50,'20.08 Mbale-Sironko'!C50,'21.08 Mbale-Sironko'!C50,'23.08 Mbale-Sironko'!C50,'24.08 Mbale-Sironko-24h'!C50,'22.08 Mbale-Sironko-24h'!C50,'25.08 Mbale-Sironko'!C50)</f>
        <v>2.5714285714285716</v>
      </c>
      <c r="D50" s="49">
        <f>AVERAGE('19.08 Mbale-Sironko'!D50,'20.08 Mbale-Sironko'!D50,'21.08 Mbale-Sironko'!D50,'23.08 Mbale-Sironko'!D50,'24.08 Mbale-Sironko-24h'!D50,'22.08 Mbale-Sironko-24h'!D50,'25.08 Mbale-Sironko'!D50)</f>
        <v>1</v>
      </c>
      <c r="E50" s="49">
        <f>AVERAGE('19.08 Mbale-Sironko'!E50,'20.08 Mbale-Sironko'!E50,'21.08 Mbale-Sironko'!E50,'23.08 Mbale-Sironko'!E50,'24.08 Mbale-Sironko-24h'!E50,'22.08 Mbale-Sironko-24h'!E50,'25.08 Mbale-Sironko'!E50)</f>
        <v>6</v>
      </c>
      <c r="F50" s="49">
        <f>AVERAGE('19.08 Mbale-Sironko'!F50,'20.08 Mbale-Sironko'!F50,'21.08 Mbale-Sironko'!F50,'23.08 Mbale-Sironko'!F50,'24.08 Mbale-Sironko-24h'!F50,'22.08 Mbale-Sironko-24h'!F50,'25.08 Mbale-Sironko'!F50)</f>
        <v>4</v>
      </c>
      <c r="G50" s="49">
        <f>AVERAGE('19.08 Mbale-Sironko'!G50,'20.08 Mbale-Sironko'!G50,'21.08 Mbale-Sironko'!G50,'23.08 Mbale-Sironko'!G50,'24.08 Mbale-Sironko-24h'!G50,'22.08 Mbale-Sironko-24h'!G50,'25.08 Mbale-Sironko'!G50)</f>
        <v>0</v>
      </c>
      <c r="H50" s="49">
        <f>AVERAGE('19.08 Mbale-Sironko'!H50,'20.08 Mbale-Sironko'!H50,'21.08 Mbale-Sironko'!H50,'23.08 Mbale-Sironko'!H50,'24.08 Mbale-Sironko-24h'!H50,'22.08 Mbale-Sironko-24h'!H50,'25.08 Mbale-Sironko'!H50)</f>
        <v>0</v>
      </c>
      <c r="I50" s="49">
        <f>AVERAGE('19.08 Mbale-Sironko'!I50,'20.08 Mbale-Sironko'!I50,'21.08 Mbale-Sironko'!I50,'23.08 Mbale-Sironko'!I50,'24.08 Mbale-Sironko-24h'!I50,'22.08 Mbale-Sironko-24h'!I50,'25.08 Mbale-Sironko'!I50)</f>
        <v>4.8571428571428568</v>
      </c>
      <c r="J50" s="49">
        <f>AVERAGE('19.08 Mbale-Sironko'!J50,'20.08 Mbale-Sironko'!J50,'21.08 Mbale-Sironko'!J50,'23.08 Mbale-Sironko'!J50,'24.08 Mbale-Sironko-24h'!J50,'22.08 Mbale-Sironko-24h'!J50,'25.08 Mbale-Sironko'!J50)</f>
        <v>0.42857142857142855</v>
      </c>
      <c r="K50" s="49">
        <f>AVERAGE('19.08 Mbale-Sironko'!K50,'20.08 Mbale-Sironko'!K50,'21.08 Mbale-Sironko'!K50,'23.08 Mbale-Sironko'!K50,'24.08 Mbale-Sironko-24h'!K50,'22.08 Mbale-Sironko-24h'!K50,'25.08 Mbale-Sironko'!K50)</f>
        <v>0</v>
      </c>
      <c r="L50" s="49">
        <f>AVERAGE('19.08 Mbale-Sironko'!L50,'20.08 Mbale-Sironko'!L50,'21.08 Mbale-Sironko'!L50,'23.08 Mbale-Sironko'!L50,'24.08 Mbale-Sironko-24h'!L50,'22.08 Mbale-Sironko-24h'!L50,'25.08 Mbale-Sironko'!L50)</f>
        <v>0</v>
      </c>
      <c r="M50" s="49">
        <f>AVERAGE('19.08 Mbale-Sironko'!M50,'20.08 Mbale-Sironko'!M50,'21.08 Mbale-Sironko'!M50,'23.08 Mbale-Sironko'!M50,'24.08 Mbale-Sironko-24h'!M50,'22.08 Mbale-Sironko-24h'!M50,'25.08 Mbale-Sironko'!M50)</f>
        <v>32</v>
      </c>
      <c r="N50" s="49">
        <f>AVERAGE('19.08 Mbale-Sironko'!N50,'20.08 Mbale-Sironko'!N50,'21.08 Mbale-Sironko'!N50,'23.08 Mbale-Sironko'!N50,'24.08 Mbale-Sironko-24h'!N50,'22.08 Mbale-Sironko-24h'!N50,'25.08 Mbale-Sironko'!N50)</f>
        <v>0</v>
      </c>
      <c r="O50" s="15">
        <f t="shared" si="0"/>
        <v>18.857142857142854</v>
      </c>
      <c r="P50" s="15">
        <f t="shared" si="1"/>
        <v>50.857142857142854</v>
      </c>
      <c r="R50" s="8"/>
      <c r="T50"/>
    </row>
    <row r="51" spans="2:20" ht="23.1" customHeight="1" x14ac:dyDescent="0.25">
      <c r="B51" s="24" t="s">
        <v>78</v>
      </c>
      <c r="C51" s="49">
        <f>AVERAGE('19.08 Mbale-Sironko'!C51,'20.08 Mbale-Sironko'!C51,'21.08 Mbale-Sironko'!C51,'23.08 Mbale-Sironko'!C51,'24.08 Mbale-Sironko-24h'!C51,'22.08 Mbale-Sironko-24h'!C51,'25.08 Mbale-Sironko'!C51)</f>
        <v>3.4285714285714284</v>
      </c>
      <c r="D51" s="49">
        <f>AVERAGE('19.08 Mbale-Sironko'!D51,'20.08 Mbale-Sironko'!D51,'21.08 Mbale-Sironko'!D51,'23.08 Mbale-Sironko'!D51,'24.08 Mbale-Sironko-24h'!D51,'22.08 Mbale-Sironko-24h'!D51,'25.08 Mbale-Sironko'!D51)</f>
        <v>1.8571428571428572</v>
      </c>
      <c r="E51" s="49">
        <f>AVERAGE('19.08 Mbale-Sironko'!E51,'20.08 Mbale-Sironko'!E51,'21.08 Mbale-Sironko'!E51,'23.08 Mbale-Sironko'!E51,'24.08 Mbale-Sironko-24h'!E51,'22.08 Mbale-Sironko-24h'!E51,'25.08 Mbale-Sironko'!E51)</f>
        <v>7.7142857142857144</v>
      </c>
      <c r="F51" s="49">
        <f>AVERAGE('19.08 Mbale-Sironko'!F51,'20.08 Mbale-Sironko'!F51,'21.08 Mbale-Sironko'!F51,'23.08 Mbale-Sironko'!F51,'24.08 Mbale-Sironko-24h'!F51,'22.08 Mbale-Sironko-24h'!F51,'25.08 Mbale-Sironko'!F51)</f>
        <v>4.2857142857142856</v>
      </c>
      <c r="G51" s="49">
        <f>AVERAGE('19.08 Mbale-Sironko'!G51,'20.08 Mbale-Sironko'!G51,'21.08 Mbale-Sironko'!G51,'23.08 Mbale-Sironko'!G51,'24.08 Mbale-Sironko-24h'!G51,'22.08 Mbale-Sironko-24h'!G51,'25.08 Mbale-Sironko'!G51)</f>
        <v>0</v>
      </c>
      <c r="H51" s="49">
        <f>AVERAGE('19.08 Mbale-Sironko'!H51,'20.08 Mbale-Sironko'!H51,'21.08 Mbale-Sironko'!H51,'23.08 Mbale-Sironko'!H51,'24.08 Mbale-Sironko-24h'!H51,'22.08 Mbale-Sironko-24h'!H51,'25.08 Mbale-Sironko'!H51)</f>
        <v>0</v>
      </c>
      <c r="I51" s="49">
        <f>AVERAGE('19.08 Mbale-Sironko'!I51,'20.08 Mbale-Sironko'!I51,'21.08 Mbale-Sironko'!I51,'23.08 Mbale-Sironko'!I51,'24.08 Mbale-Sironko-24h'!I51,'22.08 Mbale-Sironko-24h'!I51,'25.08 Mbale-Sironko'!I51)</f>
        <v>4</v>
      </c>
      <c r="J51" s="49">
        <f>AVERAGE('19.08 Mbale-Sironko'!J51,'20.08 Mbale-Sironko'!J51,'21.08 Mbale-Sironko'!J51,'23.08 Mbale-Sironko'!J51,'24.08 Mbale-Sironko-24h'!J51,'22.08 Mbale-Sironko-24h'!J51,'25.08 Mbale-Sironko'!J51)</f>
        <v>0.2857142857142857</v>
      </c>
      <c r="K51" s="49">
        <f>AVERAGE('19.08 Mbale-Sironko'!K51,'20.08 Mbale-Sironko'!K51,'21.08 Mbale-Sironko'!K51,'23.08 Mbale-Sironko'!K51,'24.08 Mbale-Sironko-24h'!K51,'22.08 Mbale-Sironko-24h'!K51,'25.08 Mbale-Sironko'!K51)</f>
        <v>0.2857142857142857</v>
      </c>
      <c r="L51" s="49">
        <f>AVERAGE('19.08 Mbale-Sironko'!L51,'20.08 Mbale-Sironko'!L51,'21.08 Mbale-Sironko'!L51,'23.08 Mbale-Sironko'!L51,'24.08 Mbale-Sironko-24h'!L51,'22.08 Mbale-Sironko-24h'!L51,'25.08 Mbale-Sironko'!L51)</f>
        <v>0.2857142857142857</v>
      </c>
      <c r="M51" s="49">
        <f>AVERAGE('19.08 Mbale-Sironko'!M51,'20.08 Mbale-Sironko'!M51,'21.08 Mbale-Sironko'!M51,'23.08 Mbale-Sironko'!M51,'24.08 Mbale-Sironko-24h'!M51,'22.08 Mbale-Sironko-24h'!M51,'25.08 Mbale-Sironko'!M51)</f>
        <v>35.571428571428569</v>
      </c>
      <c r="N51" s="49">
        <f>AVERAGE('19.08 Mbale-Sironko'!N51,'20.08 Mbale-Sironko'!N51,'21.08 Mbale-Sironko'!N51,'23.08 Mbale-Sironko'!N51,'24.08 Mbale-Sironko-24h'!N51,'22.08 Mbale-Sironko-24h'!N51,'25.08 Mbale-Sironko'!N51)</f>
        <v>0</v>
      </c>
      <c r="O51" s="15">
        <f t="shared" si="0"/>
        <v>22.142857142857139</v>
      </c>
      <c r="P51" s="15">
        <f t="shared" si="1"/>
        <v>57.714285714285708</v>
      </c>
      <c r="R51" s="8"/>
      <c r="T51"/>
    </row>
    <row r="52" spans="2:20" ht="23.1" customHeight="1" x14ac:dyDescent="0.25">
      <c r="B52" s="24" t="s">
        <v>79</v>
      </c>
      <c r="C52" s="49">
        <f>AVERAGE('19.08 Mbale-Sironko'!C52,'20.08 Mbale-Sironko'!C52,'21.08 Mbale-Sironko'!C52,'23.08 Mbale-Sironko'!C52,'24.08 Mbale-Sironko-24h'!C52,'22.08 Mbale-Sironko-24h'!C52,'25.08 Mbale-Sironko'!C52)</f>
        <v>3.1428571428571428</v>
      </c>
      <c r="D52" s="49">
        <f>AVERAGE('19.08 Mbale-Sironko'!D52,'20.08 Mbale-Sironko'!D52,'21.08 Mbale-Sironko'!D52,'23.08 Mbale-Sironko'!D52,'24.08 Mbale-Sironko-24h'!D52,'22.08 Mbale-Sironko-24h'!D52,'25.08 Mbale-Sironko'!D52)</f>
        <v>1.1428571428571428</v>
      </c>
      <c r="E52" s="49">
        <f>AVERAGE('19.08 Mbale-Sironko'!E52,'20.08 Mbale-Sironko'!E52,'21.08 Mbale-Sironko'!E52,'23.08 Mbale-Sironko'!E52,'24.08 Mbale-Sironko-24h'!E52,'22.08 Mbale-Sironko-24h'!E52,'25.08 Mbale-Sironko'!E52)</f>
        <v>5.8571428571428568</v>
      </c>
      <c r="F52" s="49">
        <f>AVERAGE('19.08 Mbale-Sironko'!F52,'20.08 Mbale-Sironko'!F52,'21.08 Mbale-Sironko'!F52,'23.08 Mbale-Sironko'!F52,'24.08 Mbale-Sironko-24h'!F52,'22.08 Mbale-Sironko-24h'!F52,'25.08 Mbale-Sironko'!F52)</f>
        <v>3.7142857142857144</v>
      </c>
      <c r="G52" s="49">
        <f>AVERAGE('19.08 Mbale-Sironko'!G52,'20.08 Mbale-Sironko'!G52,'21.08 Mbale-Sironko'!G52,'23.08 Mbale-Sironko'!G52,'24.08 Mbale-Sironko-24h'!G52,'22.08 Mbale-Sironko-24h'!G52,'25.08 Mbale-Sironko'!G52)</f>
        <v>0</v>
      </c>
      <c r="H52" s="49">
        <f>AVERAGE('19.08 Mbale-Sironko'!H52,'20.08 Mbale-Sironko'!H52,'21.08 Mbale-Sironko'!H52,'23.08 Mbale-Sironko'!H52,'24.08 Mbale-Sironko-24h'!H52,'22.08 Mbale-Sironko-24h'!H52,'25.08 Mbale-Sironko'!H52)</f>
        <v>0</v>
      </c>
      <c r="I52" s="49">
        <f>AVERAGE('19.08 Mbale-Sironko'!I52,'20.08 Mbale-Sironko'!I52,'21.08 Mbale-Sironko'!I52,'23.08 Mbale-Sironko'!I52,'24.08 Mbale-Sironko-24h'!I52,'22.08 Mbale-Sironko-24h'!I52,'25.08 Mbale-Sironko'!I52)</f>
        <v>4</v>
      </c>
      <c r="J52" s="49">
        <f>AVERAGE('19.08 Mbale-Sironko'!J52,'20.08 Mbale-Sironko'!J52,'21.08 Mbale-Sironko'!J52,'23.08 Mbale-Sironko'!J52,'24.08 Mbale-Sironko-24h'!J52,'22.08 Mbale-Sironko-24h'!J52,'25.08 Mbale-Sironko'!J52)</f>
        <v>0.14285714285714285</v>
      </c>
      <c r="K52" s="49">
        <f>AVERAGE('19.08 Mbale-Sironko'!K52,'20.08 Mbale-Sironko'!K52,'21.08 Mbale-Sironko'!K52,'23.08 Mbale-Sironko'!K52,'24.08 Mbale-Sironko-24h'!K52,'22.08 Mbale-Sironko-24h'!K52,'25.08 Mbale-Sironko'!K52)</f>
        <v>0</v>
      </c>
      <c r="L52" s="49">
        <f>AVERAGE('19.08 Mbale-Sironko'!L52,'20.08 Mbale-Sironko'!L52,'21.08 Mbale-Sironko'!L52,'23.08 Mbale-Sironko'!L52,'24.08 Mbale-Sironko-24h'!L52,'22.08 Mbale-Sironko-24h'!L52,'25.08 Mbale-Sironko'!L52)</f>
        <v>0.5714285714285714</v>
      </c>
      <c r="M52" s="49">
        <f>AVERAGE('19.08 Mbale-Sironko'!M52,'20.08 Mbale-Sironko'!M52,'21.08 Mbale-Sironko'!M52,'23.08 Mbale-Sironko'!M52,'24.08 Mbale-Sironko-24h'!M52,'22.08 Mbale-Sironko-24h'!M52,'25.08 Mbale-Sironko'!M52)</f>
        <v>29.571428571428573</v>
      </c>
      <c r="N52" s="49">
        <f>AVERAGE('19.08 Mbale-Sironko'!N52,'20.08 Mbale-Sironko'!N52,'21.08 Mbale-Sironko'!N52,'23.08 Mbale-Sironko'!N52,'24.08 Mbale-Sironko-24h'!N52,'22.08 Mbale-Sironko-24h'!N52,'25.08 Mbale-Sironko'!N52)</f>
        <v>0</v>
      </c>
      <c r="O52" s="15">
        <f t="shared" si="0"/>
        <v>18.571428571428573</v>
      </c>
      <c r="P52" s="15">
        <f t="shared" si="1"/>
        <v>48.142857142857146</v>
      </c>
      <c r="R52" s="8"/>
      <c r="T52"/>
    </row>
    <row r="53" spans="2:20" ht="23.1" customHeight="1" x14ac:dyDescent="0.25">
      <c r="B53" s="23" t="s">
        <v>80</v>
      </c>
      <c r="C53" s="49">
        <f>AVERAGE('19.08 Mbale-Sironko'!C53,'20.08 Mbale-Sironko'!C53,'21.08 Mbale-Sironko'!C53,'23.08 Mbale-Sironko'!C53,'24.08 Mbale-Sironko-24h'!C53,'22.08 Mbale-Sironko-24h'!C53,'25.08 Mbale-Sironko'!C53)</f>
        <v>4.1428571428571432</v>
      </c>
      <c r="D53" s="49">
        <f>AVERAGE('19.08 Mbale-Sironko'!D53,'20.08 Mbale-Sironko'!D53,'21.08 Mbale-Sironko'!D53,'23.08 Mbale-Sironko'!D53,'24.08 Mbale-Sironko-24h'!D53,'22.08 Mbale-Sironko-24h'!D53,'25.08 Mbale-Sironko'!D53)</f>
        <v>1.2857142857142858</v>
      </c>
      <c r="E53" s="49">
        <f>AVERAGE('19.08 Mbale-Sironko'!E53,'20.08 Mbale-Sironko'!E53,'21.08 Mbale-Sironko'!E53,'23.08 Mbale-Sironko'!E53,'24.08 Mbale-Sironko-24h'!E53,'22.08 Mbale-Sironko-24h'!E53,'25.08 Mbale-Sironko'!E53)</f>
        <v>6.2857142857142856</v>
      </c>
      <c r="F53" s="49">
        <f>AVERAGE('19.08 Mbale-Sironko'!F53,'20.08 Mbale-Sironko'!F53,'21.08 Mbale-Sironko'!F53,'23.08 Mbale-Sironko'!F53,'24.08 Mbale-Sironko-24h'!F53,'22.08 Mbale-Sironko-24h'!F53,'25.08 Mbale-Sironko'!F53)</f>
        <v>3.8571428571428572</v>
      </c>
      <c r="G53" s="49">
        <f>AVERAGE('19.08 Mbale-Sironko'!G53,'20.08 Mbale-Sironko'!G53,'21.08 Mbale-Sironko'!G53,'23.08 Mbale-Sironko'!G53,'24.08 Mbale-Sironko-24h'!G53,'22.08 Mbale-Sironko-24h'!G53,'25.08 Mbale-Sironko'!G53)</f>
        <v>0</v>
      </c>
      <c r="H53" s="49">
        <f>AVERAGE('19.08 Mbale-Sironko'!H53,'20.08 Mbale-Sironko'!H53,'21.08 Mbale-Sironko'!H53,'23.08 Mbale-Sironko'!H53,'24.08 Mbale-Sironko-24h'!H53,'22.08 Mbale-Sironko-24h'!H53,'25.08 Mbale-Sironko'!H53)</f>
        <v>0.14285714285714285</v>
      </c>
      <c r="I53" s="49">
        <f>AVERAGE('19.08 Mbale-Sironko'!I53,'20.08 Mbale-Sironko'!I53,'21.08 Mbale-Sironko'!I53,'23.08 Mbale-Sironko'!I53,'24.08 Mbale-Sironko-24h'!I53,'22.08 Mbale-Sironko-24h'!I53,'25.08 Mbale-Sironko'!I53)</f>
        <v>3.4285714285714284</v>
      </c>
      <c r="J53" s="49">
        <f>AVERAGE('19.08 Mbale-Sironko'!J53,'20.08 Mbale-Sironko'!J53,'21.08 Mbale-Sironko'!J53,'23.08 Mbale-Sironko'!J53,'24.08 Mbale-Sironko-24h'!J53,'22.08 Mbale-Sironko-24h'!J53,'25.08 Mbale-Sironko'!J53)</f>
        <v>1</v>
      </c>
      <c r="K53" s="49">
        <f>AVERAGE('19.08 Mbale-Sironko'!K53,'20.08 Mbale-Sironko'!K53,'21.08 Mbale-Sironko'!K53,'23.08 Mbale-Sironko'!K53,'24.08 Mbale-Sironko-24h'!K53,'22.08 Mbale-Sironko-24h'!K53,'25.08 Mbale-Sironko'!K53)</f>
        <v>0</v>
      </c>
      <c r="L53" s="49">
        <f>AVERAGE('19.08 Mbale-Sironko'!L53,'20.08 Mbale-Sironko'!L53,'21.08 Mbale-Sironko'!L53,'23.08 Mbale-Sironko'!L53,'24.08 Mbale-Sironko-24h'!L53,'22.08 Mbale-Sironko-24h'!L53,'25.08 Mbale-Sironko'!L53)</f>
        <v>0</v>
      </c>
      <c r="M53" s="49">
        <f>AVERAGE('19.08 Mbale-Sironko'!M53,'20.08 Mbale-Sironko'!M53,'21.08 Mbale-Sironko'!M53,'23.08 Mbale-Sironko'!M53,'24.08 Mbale-Sironko-24h'!M53,'22.08 Mbale-Sironko-24h'!M53,'25.08 Mbale-Sironko'!M53)</f>
        <v>33.285714285714285</v>
      </c>
      <c r="N53" s="49">
        <f>AVERAGE('19.08 Mbale-Sironko'!N53,'20.08 Mbale-Sironko'!N53,'21.08 Mbale-Sironko'!N53,'23.08 Mbale-Sironko'!N53,'24.08 Mbale-Sironko-24h'!N53,'22.08 Mbale-Sironko-24h'!N53,'25.08 Mbale-Sironko'!N53)</f>
        <v>0</v>
      </c>
      <c r="O53" s="15">
        <f t="shared" si="0"/>
        <v>20.142857142857142</v>
      </c>
      <c r="P53" s="15">
        <f t="shared" si="1"/>
        <v>53.428571428571431</v>
      </c>
      <c r="R53" s="8"/>
      <c r="T53"/>
    </row>
    <row r="54" spans="2:20" ht="23.1" customHeight="1" x14ac:dyDescent="0.25">
      <c r="B54" s="23" t="s">
        <v>81</v>
      </c>
      <c r="C54" s="49">
        <f>AVERAGE('19.08 Mbale-Sironko'!C54,'20.08 Mbale-Sironko'!C54,'21.08 Mbale-Sironko'!C54,'23.08 Mbale-Sironko'!C54,'24.08 Mbale-Sironko-24h'!C54,'22.08 Mbale-Sironko-24h'!C54,'25.08 Mbale-Sironko'!C54)</f>
        <v>3.7142857142857144</v>
      </c>
      <c r="D54" s="49">
        <f>AVERAGE('19.08 Mbale-Sironko'!D54,'20.08 Mbale-Sironko'!D54,'21.08 Mbale-Sironko'!D54,'23.08 Mbale-Sironko'!D54,'24.08 Mbale-Sironko-24h'!D54,'22.08 Mbale-Sironko-24h'!D54,'25.08 Mbale-Sironko'!D54)</f>
        <v>0.8571428571428571</v>
      </c>
      <c r="E54" s="49">
        <f>AVERAGE('19.08 Mbale-Sironko'!E54,'20.08 Mbale-Sironko'!E54,'21.08 Mbale-Sironko'!E54,'23.08 Mbale-Sironko'!E54,'24.08 Mbale-Sironko-24h'!E54,'22.08 Mbale-Sironko-24h'!E54,'25.08 Mbale-Sironko'!E54)</f>
        <v>5.5714285714285712</v>
      </c>
      <c r="F54" s="49">
        <f>AVERAGE('19.08 Mbale-Sironko'!F54,'20.08 Mbale-Sironko'!F54,'21.08 Mbale-Sironko'!F54,'23.08 Mbale-Sironko'!F54,'24.08 Mbale-Sironko-24h'!F54,'22.08 Mbale-Sironko-24h'!F54,'25.08 Mbale-Sironko'!F54)</f>
        <v>4.1428571428571432</v>
      </c>
      <c r="G54" s="49">
        <f>AVERAGE('19.08 Mbale-Sironko'!G54,'20.08 Mbale-Sironko'!G54,'21.08 Mbale-Sironko'!G54,'23.08 Mbale-Sironko'!G54,'24.08 Mbale-Sironko-24h'!G54,'22.08 Mbale-Sironko-24h'!G54,'25.08 Mbale-Sironko'!G54)</f>
        <v>0</v>
      </c>
      <c r="H54" s="49">
        <f>AVERAGE('19.08 Mbale-Sironko'!H54,'20.08 Mbale-Sironko'!H54,'21.08 Mbale-Sironko'!H54,'23.08 Mbale-Sironko'!H54,'24.08 Mbale-Sironko-24h'!H54,'22.08 Mbale-Sironko-24h'!H54,'25.08 Mbale-Sironko'!H54)</f>
        <v>0</v>
      </c>
      <c r="I54" s="49">
        <f>AVERAGE('19.08 Mbale-Sironko'!I54,'20.08 Mbale-Sironko'!I54,'21.08 Mbale-Sironko'!I54,'23.08 Mbale-Sironko'!I54,'24.08 Mbale-Sironko-24h'!I54,'22.08 Mbale-Sironko-24h'!I54,'25.08 Mbale-Sironko'!I54)</f>
        <v>4</v>
      </c>
      <c r="J54" s="49">
        <f>AVERAGE('19.08 Mbale-Sironko'!J54,'20.08 Mbale-Sironko'!J54,'21.08 Mbale-Sironko'!J54,'23.08 Mbale-Sironko'!J54,'24.08 Mbale-Sironko-24h'!J54,'22.08 Mbale-Sironko-24h'!J54,'25.08 Mbale-Sironko'!J54)</f>
        <v>0.14285714285714285</v>
      </c>
      <c r="K54" s="49">
        <f>AVERAGE('19.08 Mbale-Sironko'!K54,'20.08 Mbale-Sironko'!K54,'21.08 Mbale-Sironko'!K54,'23.08 Mbale-Sironko'!K54,'24.08 Mbale-Sironko-24h'!K54,'22.08 Mbale-Sironko-24h'!K54,'25.08 Mbale-Sironko'!K54)</f>
        <v>0</v>
      </c>
      <c r="L54" s="49">
        <f>AVERAGE('19.08 Mbale-Sironko'!L54,'20.08 Mbale-Sironko'!L54,'21.08 Mbale-Sironko'!L54,'23.08 Mbale-Sironko'!L54,'24.08 Mbale-Sironko-24h'!L54,'22.08 Mbale-Sironko-24h'!L54,'25.08 Mbale-Sironko'!L54)</f>
        <v>0.2857142857142857</v>
      </c>
      <c r="M54" s="49">
        <f>AVERAGE('19.08 Mbale-Sironko'!M54,'20.08 Mbale-Sironko'!M54,'21.08 Mbale-Sironko'!M54,'23.08 Mbale-Sironko'!M54,'24.08 Mbale-Sironko-24h'!M54,'22.08 Mbale-Sironko-24h'!M54,'25.08 Mbale-Sironko'!M54)</f>
        <v>26</v>
      </c>
      <c r="N54" s="49">
        <f>AVERAGE('19.08 Mbale-Sironko'!N54,'20.08 Mbale-Sironko'!N54,'21.08 Mbale-Sironko'!N54,'23.08 Mbale-Sironko'!N54,'24.08 Mbale-Sironko-24h'!N54,'22.08 Mbale-Sironko-24h'!N54,'25.08 Mbale-Sironko'!N54)</f>
        <v>0</v>
      </c>
      <c r="O54" s="15">
        <f t="shared" si="0"/>
        <v>18.714285714285712</v>
      </c>
      <c r="P54" s="15">
        <f t="shared" si="1"/>
        <v>44.714285714285708</v>
      </c>
      <c r="R54" s="8"/>
      <c r="T54"/>
    </row>
    <row r="55" spans="2:20" ht="23.1" customHeight="1" x14ac:dyDescent="0.25">
      <c r="B55" s="23" t="s">
        <v>82</v>
      </c>
      <c r="C55" s="49">
        <f>AVERAGE('19.08 Mbale-Sironko'!C55,'20.08 Mbale-Sironko'!C55,'21.08 Mbale-Sironko'!C55,'23.08 Mbale-Sironko'!C55,'24.08 Mbale-Sironko-24h'!C55,'22.08 Mbale-Sironko-24h'!C55,'25.08 Mbale-Sironko'!C55)</f>
        <v>3.8571428571428572</v>
      </c>
      <c r="D55" s="49">
        <f>AVERAGE('19.08 Mbale-Sironko'!D55,'20.08 Mbale-Sironko'!D55,'21.08 Mbale-Sironko'!D55,'23.08 Mbale-Sironko'!D55,'24.08 Mbale-Sironko-24h'!D55,'22.08 Mbale-Sironko-24h'!D55,'25.08 Mbale-Sironko'!D55)</f>
        <v>1.5714285714285714</v>
      </c>
      <c r="E55" s="49">
        <f>AVERAGE('19.08 Mbale-Sironko'!E55,'20.08 Mbale-Sironko'!E55,'21.08 Mbale-Sironko'!E55,'23.08 Mbale-Sironko'!E55,'24.08 Mbale-Sironko-24h'!E55,'22.08 Mbale-Sironko-24h'!E55,'25.08 Mbale-Sironko'!E55)</f>
        <v>6.7142857142857144</v>
      </c>
      <c r="F55" s="49">
        <f>AVERAGE('19.08 Mbale-Sironko'!F55,'20.08 Mbale-Sironko'!F55,'21.08 Mbale-Sironko'!F55,'23.08 Mbale-Sironko'!F55,'24.08 Mbale-Sironko-24h'!F55,'22.08 Mbale-Sironko-24h'!F55,'25.08 Mbale-Sironko'!F55)</f>
        <v>3</v>
      </c>
      <c r="G55" s="49">
        <f>AVERAGE('19.08 Mbale-Sironko'!G55,'20.08 Mbale-Sironko'!G55,'21.08 Mbale-Sironko'!G55,'23.08 Mbale-Sironko'!G55,'24.08 Mbale-Sironko-24h'!G55,'22.08 Mbale-Sironko-24h'!G55,'25.08 Mbale-Sironko'!G55)</f>
        <v>0</v>
      </c>
      <c r="H55" s="49">
        <f>AVERAGE('19.08 Mbale-Sironko'!H55,'20.08 Mbale-Sironko'!H55,'21.08 Mbale-Sironko'!H55,'23.08 Mbale-Sironko'!H55,'24.08 Mbale-Sironko-24h'!H55,'22.08 Mbale-Sironko-24h'!H55,'25.08 Mbale-Sironko'!H55)</f>
        <v>0</v>
      </c>
      <c r="I55" s="49">
        <f>AVERAGE('19.08 Mbale-Sironko'!I55,'20.08 Mbale-Sironko'!I55,'21.08 Mbale-Sironko'!I55,'23.08 Mbale-Sironko'!I55,'24.08 Mbale-Sironko-24h'!I55,'22.08 Mbale-Sironko-24h'!I55,'25.08 Mbale-Sironko'!I55)</f>
        <v>3.2857142857142856</v>
      </c>
      <c r="J55" s="49">
        <f>AVERAGE('19.08 Mbale-Sironko'!J55,'20.08 Mbale-Sironko'!J55,'21.08 Mbale-Sironko'!J55,'23.08 Mbale-Sironko'!J55,'24.08 Mbale-Sironko-24h'!J55,'22.08 Mbale-Sironko-24h'!J55,'25.08 Mbale-Sironko'!J55)</f>
        <v>0.14285714285714285</v>
      </c>
      <c r="K55" s="49">
        <f>AVERAGE('19.08 Mbale-Sironko'!K55,'20.08 Mbale-Sironko'!K55,'21.08 Mbale-Sironko'!K55,'23.08 Mbale-Sironko'!K55,'24.08 Mbale-Sironko-24h'!K55,'22.08 Mbale-Sironko-24h'!K55,'25.08 Mbale-Sironko'!K55)</f>
        <v>0</v>
      </c>
      <c r="L55" s="49">
        <f>AVERAGE('19.08 Mbale-Sironko'!L55,'20.08 Mbale-Sironko'!L55,'21.08 Mbale-Sironko'!L55,'23.08 Mbale-Sironko'!L55,'24.08 Mbale-Sironko-24h'!L55,'22.08 Mbale-Sironko-24h'!L55,'25.08 Mbale-Sironko'!L55)</f>
        <v>0</v>
      </c>
      <c r="M55" s="49">
        <f>AVERAGE('19.08 Mbale-Sironko'!M55,'20.08 Mbale-Sironko'!M55,'21.08 Mbale-Sironko'!M55,'23.08 Mbale-Sironko'!M55,'24.08 Mbale-Sironko-24h'!M55,'22.08 Mbale-Sironko-24h'!M55,'25.08 Mbale-Sironko'!M55)</f>
        <v>27.857142857142858</v>
      </c>
      <c r="N55" s="49">
        <f>AVERAGE('19.08 Mbale-Sironko'!N55,'20.08 Mbale-Sironko'!N55,'21.08 Mbale-Sironko'!N55,'23.08 Mbale-Sironko'!N55,'24.08 Mbale-Sironko-24h'!N55,'22.08 Mbale-Sironko-24h'!N55,'25.08 Mbale-Sironko'!N55)</f>
        <v>0</v>
      </c>
      <c r="O55" s="15">
        <f t="shared" si="0"/>
        <v>18.571428571428569</v>
      </c>
      <c r="P55" s="15">
        <f t="shared" si="1"/>
        <v>46.428571428571431</v>
      </c>
      <c r="R55" s="8"/>
      <c r="T55"/>
    </row>
    <row r="56" spans="2:20" ht="23.1" customHeight="1" x14ac:dyDescent="0.25">
      <c r="B56" s="23" t="s">
        <v>83</v>
      </c>
      <c r="C56" s="49">
        <f>AVERAGE('19.08 Mbale-Sironko'!C56,'20.08 Mbale-Sironko'!C56,'21.08 Mbale-Sironko'!C56,'23.08 Mbale-Sironko'!C56,'24.08 Mbale-Sironko-24h'!C56,'22.08 Mbale-Sironko-24h'!C56,'25.08 Mbale-Sironko'!C56)</f>
        <v>2.5714285714285716</v>
      </c>
      <c r="D56" s="49">
        <f>AVERAGE('19.08 Mbale-Sironko'!D56,'20.08 Mbale-Sironko'!D56,'21.08 Mbale-Sironko'!D56,'23.08 Mbale-Sironko'!D56,'24.08 Mbale-Sironko-24h'!D56,'22.08 Mbale-Sironko-24h'!D56,'25.08 Mbale-Sironko'!D56)</f>
        <v>1.2857142857142858</v>
      </c>
      <c r="E56" s="49">
        <f>AVERAGE('19.08 Mbale-Sironko'!E56,'20.08 Mbale-Sironko'!E56,'21.08 Mbale-Sironko'!E56,'23.08 Mbale-Sironko'!E56,'24.08 Mbale-Sironko-24h'!E56,'22.08 Mbale-Sironko-24h'!E56,'25.08 Mbale-Sironko'!E56)</f>
        <v>6.4285714285714288</v>
      </c>
      <c r="F56" s="49">
        <f>AVERAGE('19.08 Mbale-Sironko'!F56,'20.08 Mbale-Sironko'!F56,'21.08 Mbale-Sironko'!F56,'23.08 Mbale-Sironko'!F56,'24.08 Mbale-Sironko-24h'!F56,'22.08 Mbale-Sironko-24h'!F56,'25.08 Mbale-Sironko'!F56)</f>
        <v>2.7142857142857144</v>
      </c>
      <c r="G56" s="49">
        <f>AVERAGE('19.08 Mbale-Sironko'!G56,'20.08 Mbale-Sironko'!G56,'21.08 Mbale-Sironko'!G56,'23.08 Mbale-Sironko'!G56,'24.08 Mbale-Sironko-24h'!G56,'22.08 Mbale-Sironko-24h'!G56,'25.08 Mbale-Sironko'!G56)</f>
        <v>0.42857142857142855</v>
      </c>
      <c r="H56" s="49">
        <f>AVERAGE('19.08 Mbale-Sironko'!H56,'20.08 Mbale-Sironko'!H56,'21.08 Mbale-Sironko'!H56,'23.08 Mbale-Sironko'!H56,'24.08 Mbale-Sironko-24h'!H56,'22.08 Mbale-Sironko-24h'!H56,'25.08 Mbale-Sironko'!H56)</f>
        <v>0</v>
      </c>
      <c r="I56" s="49">
        <f>AVERAGE('19.08 Mbale-Sironko'!I56,'20.08 Mbale-Sironko'!I56,'21.08 Mbale-Sironko'!I56,'23.08 Mbale-Sironko'!I56,'24.08 Mbale-Sironko-24h'!I56,'22.08 Mbale-Sironko-24h'!I56,'25.08 Mbale-Sironko'!I56)</f>
        <v>5.1428571428571432</v>
      </c>
      <c r="J56" s="49">
        <f>AVERAGE('19.08 Mbale-Sironko'!J56,'20.08 Mbale-Sironko'!J56,'21.08 Mbale-Sironko'!J56,'23.08 Mbale-Sironko'!J56,'24.08 Mbale-Sironko-24h'!J56,'22.08 Mbale-Sironko-24h'!J56,'25.08 Mbale-Sironko'!J56)</f>
        <v>0.14285714285714285</v>
      </c>
      <c r="K56" s="49">
        <f>AVERAGE('19.08 Mbale-Sironko'!K56,'20.08 Mbale-Sironko'!K56,'21.08 Mbale-Sironko'!K56,'23.08 Mbale-Sironko'!K56,'24.08 Mbale-Sironko-24h'!K56,'22.08 Mbale-Sironko-24h'!K56,'25.08 Mbale-Sironko'!K56)</f>
        <v>0</v>
      </c>
      <c r="L56" s="49">
        <f>AVERAGE('19.08 Mbale-Sironko'!L56,'20.08 Mbale-Sironko'!L56,'21.08 Mbale-Sironko'!L56,'23.08 Mbale-Sironko'!L56,'24.08 Mbale-Sironko-24h'!L56,'22.08 Mbale-Sironko-24h'!L56,'25.08 Mbale-Sironko'!L56)</f>
        <v>0.42857142857142855</v>
      </c>
      <c r="M56" s="49">
        <f>AVERAGE('19.08 Mbale-Sironko'!M56,'20.08 Mbale-Sironko'!M56,'21.08 Mbale-Sironko'!M56,'23.08 Mbale-Sironko'!M56,'24.08 Mbale-Sironko-24h'!M56,'22.08 Mbale-Sironko-24h'!M56,'25.08 Mbale-Sironko'!M56)</f>
        <v>24.285714285714285</v>
      </c>
      <c r="N56" s="49">
        <f>AVERAGE('19.08 Mbale-Sironko'!N56,'20.08 Mbale-Sironko'!N56,'21.08 Mbale-Sironko'!N56,'23.08 Mbale-Sironko'!N56,'24.08 Mbale-Sironko-24h'!N56,'22.08 Mbale-Sironko-24h'!N56,'25.08 Mbale-Sironko'!N56)</f>
        <v>0</v>
      </c>
      <c r="O56" s="15">
        <f t="shared" si="0"/>
        <v>19.142857142857142</v>
      </c>
      <c r="P56" s="15">
        <f t="shared" si="1"/>
        <v>43.428571428571431</v>
      </c>
      <c r="R56" s="8"/>
      <c r="T56"/>
    </row>
    <row r="57" spans="2:20" ht="23.1" customHeight="1" x14ac:dyDescent="0.25">
      <c r="B57" s="23" t="s">
        <v>84</v>
      </c>
      <c r="C57" s="49">
        <f>AVERAGE('19.08 Mbale-Sironko'!C57,'20.08 Mbale-Sironko'!C57,'21.08 Mbale-Sironko'!C57,'23.08 Mbale-Sironko'!C57,'24.08 Mbale-Sironko-24h'!C57,'22.08 Mbale-Sironko-24h'!C57,'25.08 Mbale-Sironko'!C57)</f>
        <v>3.4285714285714284</v>
      </c>
      <c r="D57" s="49">
        <f>AVERAGE('19.08 Mbale-Sironko'!D57,'20.08 Mbale-Sironko'!D57,'21.08 Mbale-Sironko'!D57,'23.08 Mbale-Sironko'!D57,'24.08 Mbale-Sironko-24h'!D57,'22.08 Mbale-Sironko-24h'!D57,'25.08 Mbale-Sironko'!D57)</f>
        <v>0.8571428571428571</v>
      </c>
      <c r="E57" s="49">
        <f>AVERAGE('19.08 Mbale-Sironko'!E57,'20.08 Mbale-Sironko'!E57,'21.08 Mbale-Sironko'!E57,'23.08 Mbale-Sironko'!E57,'24.08 Mbale-Sironko-24h'!E57,'22.08 Mbale-Sironko-24h'!E57,'25.08 Mbale-Sironko'!E57)</f>
        <v>5</v>
      </c>
      <c r="F57" s="49">
        <f>AVERAGE('19.08 Mbale-Sironko'!F57,'20.08 Mbale-Sironko'!F57,'21.08 Mbale-Sironko'!F57,'23.08 Mbale-Sironko'!F57,'24.08 Mbale-Sironko-24h'!F57,'22.08 Mbale-Sironko-24h'!F57,'25.08 Mbale-Sironko'!F57)</f>
        <v>3.2857142857142856</v>
      </c>
      <c r="G57" s="49">
        <f>AVERAGE('19.08 Mbale-Sironko'!G57,'20.08 Mbale-Sironko'!G57,'21.08 Mbale-Sironko'!G57,'23.08 Mbale-Sironko'!G57,'24.08 Mbale-Sironko-24h'!G57,'22.08 Mbale-Sironko-24h'!G57,'25.08 Mbale-Sironko'!G57)</f>
        <v>0</v>
      </c>
      <c r="H57" s="49">
        <f>AVERAGE('19.08 Mbale-Sironko'!H57,'20.08 Mbale-Sironko'!H57,'21.08 Mbale-Sironko'!H57,'23.08 Mbale-Sironko'!H57,'24.08 Mbale-Sironko-24h'!H57,'22.08 Mbale-Sironko-24h'!H57,'25.08 Mbale-Sironko'!H57)</f>
        <v>0</v>
      </c>
      <c r="I57" s="49">
        <f>AVERAGE('19.08 Mbale-Sironko'!I57,'20.08 Mbale-Sironko'!I57,'21.08 Mbale-Sironko'!I57,'23.08 Mbale-Sironko'!I57,'24.08 Mbale-Sironko-24h'!I57,'22.08 Mbale-Sironko-24h'!I57,'25.08 Mbale-Sironko'!I57)</f>
        <v>4.1428571428571432</v>
      </c>
      <c r="J57" s="49">
        <f>AVERAGE('19.08 Mbale-Sironko'!J57,'20.08 Mbale-Sironko'!J57,'21.08 Mbale-Sironko'!J57,'23.08 Mbale-Sironko'!J57,'24.08 Mbale-Sironko-24h'!J57,'22.08 Mbale-Sironko-24h'!J57,'25.08 Mbale-Sironko'!J57)</f>
        <v>0.14285714285714285</v>
      </c>
      <c r="K57" s="49">
        <f>AVERAGE('19.08 Mbale-Sironko'!K57,'20.08 Mbale-Sironko'!K57,'21.08 Mbale-Sironko'!K57,'23.08 Mbale-Sironko'!K57,'24.08 Mbale-Sironko-24h'!K57,'22.08 Mbale-Sironko-24h'!K57,'25.08 Mbale-Sironko'!K57)</f>
        <v>0</v>
      </c>
      <c r="L57" s="49">
        <f>AVERAGE('19.08 Mbale-Sironko'!L57,'20.08 Mbale-Sironko'!L57,'21.08 Mbale-Sironko'!L57,'23.08 Mbale-Sironko'!L57,'24.08 Mbale-Sironko-24h'!L57,'22.08 Mbale-Sironko-24h'!L57,'25.08 Mbale-Sironko'!L57)</f>
        <v>0</v>
      </c>
      <c r="M57" s="49">
        <f>AVERAGE('19.08 Mbale-Sironko'!M57,'20.08 Mbale-Sironko'!M57,'21.08 Mbale-Sironko'!M57,'23.08 Mbale-Sironko'!M57,'24.08 Mbale-Sironko-24h'!M57,'22.08 Mbale-Sironko-24h'!M57,'25.08 Mbale-Sironko'!M57)</f>
        <v>24.428571428571427</v>
      </c>
      <c r="N57" s="49">
        <f>AVERAGE('19.08 Mbale-Sironko'!N57,'20.08 Mbale-Sironko'!N57,'21.08 Mbale-Sironko'!N57,'23.08 Mbale-Sironko'!N57,'24.08 Mbale-Sironko-24h'!N57,'22.08 Mbale-Sironko-24h'!N57,'25.08 Mbale-Sironko'!N57)</f>
        <v>0</v>
      </c>
      <c r="O57" s="15">
        <f t="shared" si="0"/>
        <v>16.857142857142854</v>
      </c>
      <c r="P57" s="15">
        <f t="shared" si="1"/>
        <v>41.285714285714278</v>
      </c>
      <c r="R57" s="8"/>
      <c r="T57"/>
    </row>
    <row r="58" spans="2:20" ht="23.1" customHeight="1" x14ac:dyDescent="0.25">
      <c r="B58" s="23" t="s">
        <v>99</v>
      </c>
      <c r="C58" s="49">
        <f>AVERAGE('22.08 Mbale-Sironko-24h'!C58,'24.08 Mbale-Sironko-24h'!C58)</f>
        <v>4.5</v>
      </c>
      <c r="D58" s="49">
        <f>AVERAGE('22.08 Mbale-Sironko-24h'!D58,'24.08 Mbale-Sironko-24h'!D58)</f>
        <v>0</v>
      </c>
      <c r="E58" s="49">
        <f>AVERAGE('22.08 Mbale-Sironko-24h'!E58,'24.08 Mbale-Sironko-24h'!E58)</f>
        <v>4</v>
      </c>
      <c r="F58" s="49">
        <f>AVERAGE('22.08 Mbale-Sironko-24h'!F58,'24.08 Mbale-Sironko-24h'!F58)</f>
        <v>5.5</v>
      </c>
      <c r="G58" s="49">
        <f>AVERAGE('22.08 Mbale-Sironko-24h'!G58,'24.08 Mbale-Sironko-24h'!G58)</f>
        <v>0</v>
      </c>
      <c r="H58" s="49">
        <f>AVERAGE('22.08 Mbale-Sironko-24h'!H58,'24.08 Mbale-Sironko-24h'!H58)</f>
        <v>0</v>
      </c>
      <c r="I58" s="49">
        <f>AVERAGE('22.08 Mbale-Sironko-24h'!I58,'24.08 Mbale-Sironko-24h'!I58)</f>
        <v>9</v>
      </c>
      <c r="J58" s="49">
        <f>AVERAGE('22.08 Mbale-Sironko-24h'!J58,'24.08 Mbale-Sironko-24h'!J58)</f>
        <v>0</v>
      </c>
      <c r="K58" s="49">
        <f>AVERAGE('22.08 Mbale-Sironko-24h'!K58,'24.08 Mbale-Sironko-24h'!K58)</f>
        <v>0</v>
      </c>
      <c r="L58" s="49">
        <f>AVERAGE('22.08 Mbale-Sironko-24h'!L58,'24.08 Mbale-Sironko-24h'!L58)</f>
        <v>0</v>
      </c>
      <c r="M58" s="49">
        <f>AVERAGE('22.08 Mbale-Sironko-24h'!M58,'24.08 Mbale-Sironko-24h'!M58)</f>
        <v>30</v>
      </c>
      <c r="N58" s="49">
        <f>AVERAGE('22.08 Mbale-Sironko-24h'!N58,'24.08 Mbale-Sironko-24h'!N58)</f>
        <v>0</v>
      </c>
      <c r="O58" s="15">
        <f t="shared" si="0"/>
        <v>23</v>
      </c>
      <c r="P58" s="15">
        <f t="shared" si="1"/>
        <v>53</v>
      </c>
      <c r="R58" s="8"/>
      <c r="T58"/>
    </row>
    <row r="59" spans="2:20" ht="23.1" customHeight="1" x14ac:dyDescent="0.25">
      <c r="B59" s="23" t="s">
        <v>100</v>
      </c>
      <c r="C59" s="49">
        <f>AVERAGE('22.08 Mbale-Sironko-24h'!C59,'24.08 Mbale-Sironko-24h'!C59)</f>
        <v>2.5</v>
      </c>
      <c r="D59" s="49">
        <f>AVERAGE('22.08 Mbale-Sironko-24h'!D59,'24.08 Mbale-Sironko-24h'!D59)</f>
        <v>0</v>
      </c>
      <c r="E59" s="49">
        <f>AVERAGE('22.08 Mbale-Sironko-24h'!E59,'24.08 Mbale-Sironko-24h'!E59)</f>
        <v>3.5</v>
      </c>
      <c r="F59" s="49">
        <f>AVERAGE('22.08 Mbale-Sironko-24h'!F59,'24.08 Mbale-Sironko-24h'!F59)</f>
        <v>2.5</v>
      </c>
      <c r="G59" s="49">
        <f>AVERAGE('22.08 Mbale-Sironko-24h'!G59,'24.08 Mbale-Sironko-24h'!G59)</f>
        <v>0</v>
      </c>
      <c r="H59" s="49">
        <f>AVERAGE('22.08 Mbale-Sironko-24h'!H59,'24.08 Mbale-Sironko-24h'!H59)</f>
        <v>0</v>
      </c>
      <c r="I59" s="49">
        <f>AVERAGE('22.08 Mbale-Sironko-24h'!I59,'24.08 Mbale-Sironko-24h'!I59)</f>
        <v>7.5</v>
      </c>
      <c r="J59" s="49">
        <f>AVERAGE('22.08 Mbale-Sironko-24h'!J59,'24.08 Mbale-Sironko-24h'!J59)</f>
        <v>0</v>
      </c>
      <c r="K59" s="49">
        <f>AVERAGE('22.08 Mbale-Sironko-24h'!K59,'24.08 Mbale-Sironko-24h'!K59)</f>
        <v>0</v>
      </c>
      <c r="L59" s="49">
        <f>AVERAGE('22.08 Mbale-Sironko-24h'!L59,'24.08 Mbale-Sironko-24h'!L59)</f>
        <v>0</v>
      </c>
      <c r="M59" s="49">
        <f>AVERAGE('22.08 Mbale-Sironko-24h'!M59,'24.08 Mbale-Sironko-24h'!M59)</f>
        <v>19.5</v>
      </c>
      <c r="N59" s="49">
        <f>AVERAGE('22.08 Mbale-Sironko-24h'!N59,'24.08 Mbale-Sironko-24h'!N59)</f>
        <v>0</v>
      </c>
      <c r="O59" s="15">
        <f t="shared" si="0"/>
        <v>16</v>
      </c>
      <c r="P59" s="15">
        <f t="shared" si="1"/>
        <v>35.5</v>
      </c>
      <c r="R59" s="8"/>
      <c r="T59"/>
    </row>
    <row r="60" spans="2:20" ht="23.1" customHeight="1" x14ac:dyDescent="0.25">
      <c r="B60" s="23" t="s">
        <v>101</v>
      </c>
      <c r="C60" s="49">
        <f>AVERAGE('22.08 Mbale-Sironko-24h'!C60,'24.08 Mbale-Sironko-24h'!C60)</f>
        <v>3.5</v>
      </c>
      <c r="D60" s="49">
        <f>AVERAGE('22.08 Mbale-Sironko-24h'!D60,'24.08 Mbale-Sironko-24h'!D60)</f>
        <v>0</v>
      </c>
      <c r="E60" s="49">
        <f>AVERAGE('22.08 Mbale-Sironko-24h'!E60,'24.08 Mbale-Sironko-24h'!E60)</f>
        <v>2.5</v>
      </c>
      <c r="F60" s="49">
        <f>AVERAGE('22.08 Mbale-Sironko-24h'!F60,'24.08 Mbale-Sironko-24h'!F60)</f>
        <v>2.5</v>
      </c>
      <c r="G60" s="49">
        <f>AVERAGE('22.08 Mbale-Sironko-24h'!G60,'24.08 Mbale-Sironko-24h'!G60)</f>
        <v>0</v>
      </c>
      <c r="H60" s="49">
        <f>AVERAGE('22.08 Mbale-Sironko-24h'!H60,'24.08 Mbale-Sironko-24h'!H60)</f>
        <v>0.5</v>
      </c>
      <c r="I60" s="49">
        <f>AVERAGE('22.08 Mbale-Sironko-24h'!I60,'24.08 Mbale-Sironko-24h'!I60)</f>
        <v>3.5</v>
      </c>
      <c r="J60" s="49">
        <f>AVERAGE('22.08 Mbale-Sironko-24h'!J60,'24.08 Mbale-Sironko-24h'!J60)</f>
        <v>0</v>
      </c>
      <c r="K60" s="49">
        <f>AVERAGE('22.08 Mbale-Sironko-24h'!K60,'24.08 Mbale-Sironko-24h'!K60)</f>
        <v>0</v>
      </c>
      <c r="L60" s="49">
        <f>AVERAGE('22.08 Mbale-Sironko-24h'!L60,'24.08 Mbale-Sironko-24h'!L60)</f>
        <v>0</v>
      </c>
      <c r="M60" s="49">
        <f>AVERAGE('22.08 Mbale-Sironko-24h'!M60,'24.08 Mbale-Sironko-24h'!M60)</f>
        <v>29.5</v>
      </c>
      <c r="N60" s="49">
        <f>AVERAGE('22.08 Mbale-Sironko-24h'!N60,'24.08 Mbale-Sironko-24h'!N60)</f>
        <v>0</v>
      </c>
      <c r="O60" s="15">
        <f t="shared" si="0"/>
        <v>12.5</v>
      </c>
      <c r="P60" s="15">
        <f t="shared" si="1"/>
        <v>42</v>
      </c>
      <c r="R60" s="8"/>
      <c r="T60"/>
    </row>
    <row r="61" spans="2:20" ht="23.1" customHeight="1" x14ac:dyDescent="0.25">
      <c r="B61" s="23" t="s">
        <v>102</v>
      </c>
      <c r="C61" s="49">
        <f>AVERAGE('22.08 Mbale-Sironko-24h'!C61,'24.08 Mbale-Sironko-24h'!C61)</f>
        <v>2.5</v>
      </c>
      <c r="D61" s="49">
        <f>AVERAGE('22.08 Mbale-Sironko-24h'!D61,'24.08 Mbale-Sironko-24h'!D61)</f>
        <v>0</v>
      </c>
      <c r="E61" s="49">
        <f>AVERAGE('22.08 Mbale-Sironko-24h'!E61,'24.08 Mbale-Sironko-24h'!E61)</f>
        <v>5</v>
      </c>
      <c r="F61" s="49">
        <f>AVERAGE('22.08 Mbale-Sironko-24h'!F61,'24.08 Mbale-Sironko-24h'!F61)</f>
        <v>5</v>
      </c>
      <c r="G61" s="49">
        <f>AVERAGE('22.08 Mbale-Sironko-24h'!G61,'24.08 Mbale-Sironko-24h'!G61)</f>
        <v>0</v>
      </c>
      <c r="H61" s="49">
        <f>AVERAGE('22.08 Mbale-Sironko-24h'!H61,'24.08 Mbale-Sironko-24h'!H61)</f>
        <v>0</v>
      </c>
      <c r="I61" s="49">
        <f>AVERAGE('22.08 Mbale-Sironko-24h'!I61,'24.08 Mbale-Sironko-24h'!I61)</f>
        <v>4.5</v>
      </c>
      <c r="J61" s="49">
        <f>AVERAGE('22.08 Mbale-Sironko-24h'!J61,'24.08 Mbale-Sironko-24h'!J61)</f>
        <v>0</v>
      </c>
      <c r="K61" s="49">
        <f>AVERAGE('22.08 Mbale-Sironko-24h'!K61,'24.08 Mbale-Sironko-24h'!K61)</f>
        <v>0</v>
      </c>
      <c r="L61" s="49">
        <f>AVERAGE('22.08 Mbale-Sironko-24h'!L61,'24.08 Mbale-Sironko-24h'!L61)</f>
        <v>0</v>
      </c>
      <c r="M61" s="49">
        <f>AVERAGE('22.08 Mbale-Sironko-24h'!M61,'24.08 Mbale-Sironko-24h'!M61)</f>
        <v>23</v>
      </c>
      <c r="N61" s="49">
        <f>AVERAGE('22.08 Mbale-Sironko-24h'!N61,'24.08 Mbale-Sironko-24h'!N61)</f>
        <v>0</v>
      </c>
      <c r="O61" s="15">
        <f t="shared" si="0"/>
        <v>17</v>
      </c>
      <c r="P61" s="15">
        <f t="shared" si="1"/>
        <v>40</v>
      </c>
      <c r="R61" s="8"/>
      <c r="T61"/>
    </row>
    <row r="62" spans="2:20" ht="23.1" customHeight="1" x14ac:dyDescent="0.25">
      <c r="B62" s="23" t="s">
        <v>107</v>
      </c>
      <c r="C62" s="49">
        <f>AVERAGE('22.08 Mbale-Sironko-24h'!C62,'24.08 Mbale-Sironko-24h'!C62)</f>
        <v>4.5</v>
      </c>
      <c r="D62" s="49">
        <f>AVERAGE('22.08 Mbale-Sironko-24h'!D62,'24.08 Mbale-Sironko-24h'!D62)</f>
        <v>0.5</v>
      </c>
      <c r="E62" s="49">
        <f>AVERAGE('22.08 Mbale-Sironko-24h'!E62,'24.08 Mbale-Sironko-24h'!E62)</f>
        <v>6</v>
      </c>
      <c r="F62" s="49">
        <f>AVERAGE('22.08 Mbale-Sironko-24h'!F62,'24.08 Mbale-Sironko-24h'!F62)</f>
        <v>2</v>
      </c>
      <c r="G62" s="49">
        <f>AVERAGE('22.08 Mbale-Sironko-24h'!G62,'24.08 Mbale-Sironko-24h'!G62)</f>
        <v>0</v>
      </c>
      <c r="H62" s="49">
        <f>AVERAGE('22.08 Mbale-Sironko-24h'!H62,'24.08 Mbale-Sironko-24h'!H62)</f>
        <v>0</v>
      </c>
      <c r="I62" s="49">
        <f>AVERAGE('22.08 Mbale-Sironko-24h'!I62,'24.08 Mbale-Sironko-24h'!I62)</f>
        <v>5</v>
      </c>
      <c r="J62" s="49">
        <f>AVERAGE('22.08 Mbale-Sironko-24h'!J62,'24.08 Mbale-Sironko-24h'!J62)</f>
        <v>0</v>
      </c>
      <c r="K62" s="49">
        <f>AVERAGE('22.08 Mbale-Sironko-24h'!K62,'24.08 Mbale-Sironko-24h'!K62)</f>
        <v>0</v>
      </c>
      <c r="L62" s="49">
        <f>AVERAGE('22.08 Mbale-Sironko-24h'!L62,'24.08 Mbale-Sironko-24h'!L62)</f>
        <v>0</v>
      </c>
      <c r="M62" s="49">
        <f>AVERAGE('22.08 Mbale-Sironko-24h'!M62,'24.08 Mbale-Sironko-24h'!M62)</f>
        <v>21.5</v>
      </c>
      <c r="N62" s="49">
        <f>AVERAGE('22.08 Mbale-Sironko-24h'!N62,'24.08 Mbale-Sironko-24h'!N62)</f>
        <v>0</v>
      </c>
      <c r="O62" s="15">
        <f t="shared" si="0"/>
        <v>18</v>
      </c>
      <c r="P62" s="15">
        <f t="shared" si="1"/>
        <v>39.5</v>
      </c>
      <c r="R62" s="8"/>
      <c r="T62"/>
    </row>
    <row r="63" spans="2:20" ht="23.1" customHeight="1" x14ac:dyDescent="0.25">
      <c r="B63" s="23" t="s">
        <v>108</v>
      </c>
      <c r="C63" s="49">
        <f>AVERAGE('22.08 Mbale-Sironko-24h'!C63,'24.08 Mbale-Sironko-24h'!C63)</f>
        <v>2.5</v>
      </c>
      <c r="D63" s="49">
        <f>AVERAGE('22.08 Mbale-Sironko-24h'!D63,'24.08 Mbale-Sironko-24h'!D63)</f>
        <v>0.5</v>
      </c>
      <c r="E63" s="49">
        <f>AVERAGE('22.08 Mbale-Sironko-24h'!E63,'24.08 Mbale-Sironko-24h'!E63)</f>
        <v>6</v>
      </c>
      <c r="F63" s="49">
        <f>AVERAGE('22.08 Mbale-Sironko-24h'!F63,'24.08 Mbale-Sironko-24h'!F63)</f>
        <v>1.5</v>
      </c>
      <c r="G63" s="49">
        <f>AVERAGE('22.08 Mbale-Sironko-24h'!G63,'24.08 Mbale-Sironko-24h'!G63)</f>
        <v>0</v>
      </c>
      <c r="H63" s="49">
        <f>AVERAGE('22.08 Mbale-Sironko-24h'!H63,'24.08 Mbale-Sironko-24h'!H63)</f>
        <v>0</v>
      </c>
      <c r="I63" s="49">
        <f>AVERAGE('22.08 Mbale-Sironko-24h'!I63,'24.08 Mbale-Sironko-24h'!I63)</f>
        <v>5</v>
      </c>
      <c r="J63" s="49">
        <f>AVERAGE('22.08 Mbale-Sironko-24h'!J63,'24.08 Mbale-Sironko-24h'!J63)</f>
        <v>2</v>
      </c>
      <c r="K63" s="49">
        <f>AVERAGE('22.08 Mbale-Sironko-24h'!K63,'24.08 Mbale-Sironko-24h'!K63)</f>
        <v>0</v>
      </c>
      <c r="L63" s="49">
        <f>AVERAGE('22.08 Mbale-Sironko-24h'!L63,'24.08 Mbale-Sironko-24h'!L63)</f>
        <v>0</v>
      </c>
      <c r="M63" s="49">
        <f>AVERAGE('22.08 Mbale-Sironko-24h'!M63,'24.08 Mbale-Sironko-24h'!M63)</f>
        <v>16</v>
      </c>
      <c r="N63" s="49">
        <f>AVERAGE('22.08 Mbale-Sironko-24h'!N63,'24.08 Mbale-Sironko-24h'!N63)</f>
        <v>0</v>
      </c>
      <c r="O63" s="15">
        <f t="shared" si="0"/>
        <v>17.5</v>
      </c>
      <c r="P63" s="15">
        <f t="shared" si="1"/>
        <v>33.5</v>
      </c>
      <c r="R63" s="8"/>
      <c r="T63"/>
    </row>
    <row r="64" spans="2:20" ht="23.1" customHeight="1" x14ac:dyDescent="0.25">
      <c r="B64" s="23" t="s">
        <v>109</v>
      </c>
      <c r="C64" s="49">
        <f>AVERAGE('22.08 Mbale-Sironko-24h'!C64,'24.08 Mbale-Sironko-24h'!C64)</f>
        <v>2</v>
      </c>
      <c r="D64" s="49">
        <f>AVERAGE('22.08 Mbale-Sironko-24h'!D64,'24.08 Mbale-Sironko-24h'!D64)</f>
        <v>1</v>
      </c>
      <c r="E64" s="49">
        <f>AVERAGE('22.08 Mbale-Sironko-24h'!E64,'24.08 Mbale-Sironko-24h'!E64)</f>
        <v>6.5</v>
      </c>
      <c r="F64" s="49">
        <f>AVERAGE('22.08 Mbale-Sironko-24h'!F64,'24.08 Mbale-Sironko-24h'!F64)</f>
        <v>0.5</v>
      </c>
      <c r="G64" s="49">
        <f>AVERAGE('22.08 Mbale-Sironko-24h'!G64,'24.08 Mbale-Sironko-24h'!G64)</f>
        <v>0</v>
      </c>
      <c r="H64" s="49">
        <f>AVERAGE('22.08 Mbale-Sironko-24h'!H64,'24.08 Mbale-Sironko-24h'!H64)</f>
        <v>0</v>
      </c>
      <c r="I64" s="49">
        <f>AVERAGE('22.08 Mbale-Sironko-24h'!I64,'24.08 Mbale-Sironko-24h'!I64)</f>
        <v>6</v>
      </c>
      <c r="J64" s="49">
        <f>AVERAGE('22.08 Mbale-Sironko-24h'!J64,'24.08 Mbale-Sironko-24h'!J64)</f>
        <v>0.5</v>
      </c>
      <c r="K64" s="49">
        <f>AVERAGE('22.08 Mbale-Sironko-24h'!K64,'24.08 Mbale-Sironko-24h'!K64)</f>
        <v>0</v>
      </c>
      <c r="L64" s="49">
        <f>AVERAGE('22.08 Mbale-Sironko-24h'!L64,'24.08 Mbale-Sironko-24h'!L64)</f>
        <v>0</v>
      </c>
      <c r="M64" s="49">
        <f>AVERAGE('22.08 Mbale-Sironko-24h'!M64,'24.08 Mbale-Sironko-24h'!M64)</f>
        <v>16.5</v>
      </c>
      <c r="N64" s="49">
        <f>AVERAGE('22.08 Mbale-Sironko-24h'!N64,'24.08 Mbale-Sironko-24h'!N64)</f>
        <v>0</v>
      </c>
      <c r="O64" s="15">
        <f t="shared" si="0"/>
        <v>16.5</v>
      </c>
      <c r="P64" s="15">
        <f t="shared" si="1"/>
        <v>33</v>
      </c>
      <c r="R64" s="8"/>
      <c r="T64"/>
    </row>
    <row r="65" spans="2:20" ht="23.1" customHeight="1" x14ac:dyDescent="0.25">
      <c r="B65" s="23" t="s">
        <v>158</v>
      </c>
      <c r="C65" s="49">
        <f>AVERAGE('22.08 Mbale-Sironko-24h'!C65,'24.08 Mbale-Sironko-24h'!C65)</f>
        <v>1.5</v>
      </c>
      <c r="D65" s="49">
        <f>AVERAGE('22.08 Mbale-Sironko-24h'!D65,'24.08 Mbale-Sironko-24h'!D65)</f>
        <v>0</v>
      </c>
      <c r="E65" s="49">
        <f>AVERAGE('22.08 Mbale-Sironko-24h'!E65,'24.08 Mbale-Sironko-24h'!E65)</f>
        <v>2.5</v>
      </c>
      <c r="F65" s="49">
        <f>AVERAGE('22.08 Mbale-Sironko-24h'!F65,'24.08 Mbale-Sironko-24h'!F65)</f>
        <v>0</v>
      </c>
      <c r="G65" s="49">
        <f>AVERAGE('22.08 Mbale-Sironko-24h'!G65,'24.08 Mbale-Sironko-24h'!G65)</f>
        <v>0</v>
      </c>
      <c r="H65" s="49">
        <f>AVERAGE('22.08 Mbale-Sironko-24h'!H65,'24.08 Mbale-Sironko-24h'!H65)</f>
        <v>0</v>
      </c>
      <c r="I65" s="49">
        <f>AVERAGE('22.08 Mbale-Sironko-24h'!I65,'24.08 Mbale-Sironko-24h'!I65)</f>
        <v>3.5</v>
      </c>
      <c r="J65" s="49">
        <f>AVERAGE('22.08 Mbale-Sironko-24h'!J65,'24.08 Mbale-Sironko-24h'!J65)</f>
        <v>1</v>
      </c>
      <c r="K65" s="49">
        <f>AVERAGE('22.08 Mbale-Sironko-24h'!K65,'24.08 Mbale-Sironko-24h'!K65)</f>
        <v>0</v>
      </c>
      <c r="L65" s="49">
        <f>AVERAGE('22.08 Mbale-Sironko-24h'!L65,'24.08 Mbale-Sironko-24h'!L65)</f>
        <v>0</v>
      </c>
      <c r="M65" s="49">
        <f>AVERAGE('22.08 Mbale-Sironko-24h'!M65,'24.08 Mbale-Sironko-24h'!M65)</f>
        <v>16</v>
      </c>
      <c r="N65" s="49">
        <f>AVERAGE('22.08 Mbale-Sironko-24h'!N65,'24.08 Mbale-Sironko-24h'!N65)</f>
        <v>0</v>
      </c>
      <c r="O65" s="15">
        <f t="shared" si="0"/>
        <v>8.5</v>
      </c>
      <c r="P65" s="15">
        <f t="shared" si="1"/>
        <v>24.5</v>
      </c>
      <c r="R65" s="8"/>
      <c r="T65"/>
    </row>
    <row r="66" spans="2:20" ht="23.1" customHeight="1" x14ac:dyDescent="0.25">
      <c r="B66" s="23" t="s">
        <v>103</v>
      </c>
      <c r="C66" s="49">
        <f>AVERAGE('22.08 Mbale-Sironko-24h'!C66,'24.08 Mbale-Sironko-24h'!C66)</f>
        <v>3.5</v>
      </c>
      <c r="D66" s="49">
        <f>AVERAGE('22.08 Mbale-Sironko-24h'!D66,'24.08 Mbale-Sironko-24h'!D66)</f>
        <v>0.5</v>
      </c>
      <c r="E66" s="49">
        <f>AVERAGE('22.08 Mbale-Sironko-24h'!E66,'24.08 Mbale-Sironko-24h'!E66)</f>
        <v>3.5</v>
      </c>
      <c r="F66" s="49">
        <f>AVERAGE('22.08 Mbale-Sironko-24h'!F66,'24.08 Mbale-Sironko-24h'!F66)</f>
        <v>4</v>
      </c>
      <c r="G66" s="49">
        <f>AVERAGE('22.08 Mbale-Sironko-24h'!G66,'24.08 Mbale-Sironko-24h'!G66)</f>
        <v>0</v>
      </c>
      <c r="H66" s="49">
        <f>AVERAGE('22.08 Mbale-Sironko-24h'!H66,'24.08 Mbale-Sironko-24h'!H66)</f>
        <v>0</v>
      </c>
      <c r="I66" s="49">
        <f>AVERAGE('22.08 Mbale-Sironko-24h'!I66,'24.08 Mbale-Sironko-24h'!I66)</f>
        <v>2.5</v>
      </c>
      <c r="J66" s="49">
        <f>AVERAGE('22.08 Mbale-Sironko-24h'!J66,'24.08 Mbale-Sironko-24h'!J66)</f>
        <v>0</v>
      </c>
      <c r="K66" s="49">
        <f>AVERAGE('22.08 Mbale-Sironko-24h'!K66,'24.08 Mbale-Sironko-24h'!K66)</f>
        <v>0</v>
      </c>
      <c r="L66" s="49">
        <f>AVERAGE('22.08 Mbale-Sironko-24h'!L66,'24.08 Mbale-Sironko-24h'!L66)</f>
        <v>0</v>
      </c>
      <c r="M66" s="49">
        <f>AVERAGE('22.08 Mbale-Sironko-24h'!M66,'24.08 Mbale-Sironko-24h'!M66)</f>
        <v>21</v>
      </c>
      <c r="N66" s="49">
        <f>AVERAGE('22.08 Mbale-Sironko-24h'!N66,'24.08 Mbale-Sironko-24h'!N66)</f>
        <v>0</v>
      </c>
      <c r="O66" s="15">
        <f t="shared" si="0"/>
        <v>14</v>
      </c>
      <c r="P66" s="15">
        <f t="shared" si="1"/>
        <v>35</v>
      </c>
      <c r="R66" s="8"/>
      <c r="T66"/>
    </row>
    <row r="67" spans="2:20" ht="23.1" customHeight="1" x14ac:dyDescent="0.25">
      <c r="B67" s="23" t="s">
        <v>104</v>
      </c>
      <c r="C67" s="49">
        <f>AVERAGE('22.08 Mbale-Sironko-24h'!C67,'24.08 Mbale-Sironko-24h'!C67)</f>
        <v>3.5</v>
      </c>
      <c r="D67" s="49">
        <f>AVERAGE('22.08 Mbale-Sironko-24h'!D67,'24.08 Mbale-Sironko-24h'!D67)</f>
        <v>0.5</v>
      </c>
      <c r="E67" s="49">
        <f>AVERAGE('22.08 Mbale-Sironko-24h'!E67,'24.08 Mbale-Sironko-24h'!E67)</f>
        <v>3.5</v>
      </c>
      <c r="F67" s="49">
        <f>AVERAGE('22.08 Mbale-Sironko-24h'!F67,'24.08 Mbale-Sironko-24h'!F67)</f>
        <v>0</v>
      </c>
      <c r="G67" s="49">
        <f>AVERAGE('22.08 Mbale-Sironko-24h'!G67,'24.08 Mbale-Sironko-24h'!G67)</f>
        <v>0</v>
      </c>
      <c r="H67" s="49">
        <f>AVERAGE('22.08 Mbale-Sironko-24h'!H67,'24.08 Mbale-Sironko-24h'!H67)</f>
        <v>0</v>
      </c>
      <c r="I67" s="49">
        <f>AVERAGE('22.08 Mbale-Sironko-24h'!I67,'24.08 Mbale-Sironko-24h'!I67)</f>
        <v>3</v>
      </c>
      <c r="J67" s="49">
        <f>AVERAGE('22.08 Mbale-Sironko-24h'!J67,'24.08 Mbale-Sironko-24h'!J67)</f>
        <v>0.5</v>
      </c>
      <c r="K67" s="49">
        <f>AVERAGE('22.08 Mbale-Sironko-24h'!K67,'24.08 Mbale-Sironko-24h'!K67)</f>
        <v>0.5</v>
      </c>
      <c r="L67" s="49">
        <f>AVERAGE('22.08 Mbale-Sironko-24h'!L67,'24.08 Mbale-Sironko-24h'!L67)</f>
        <v>0</v>
      </c>
      <c r="M67" s="49">
        <f>AVERAGE('22.08 Mbale-Sironko-24h'!M67,'24.08 Mbale-Sironko-24h'!M67)</f>
        <v>8</v>
      </c>
      <c r="N67" s="49">
        <f>AVERAGE('22.08 Mbale-Sironko-24h'!N67,'24.08 Mbale-Sironko-24h'!N67)</f>
        <v>0</v>
      </c>
      <c r="O67" s="15">
        <f t="shared" si="0"/>
        <v>11.5</v>
      </c>
      <c r="P67" s="15">
        <f t="shared" si="1"/>
        <v>19.5</v>
      </c>
      <c r="R67" s="8"/>
      <c r="T67"/>
    </row>
    <row r="68" spans="2:20" ht="23.1" customHeight="1" x14ac:dyDescent="0.25">
      <c r="B68" s="23" t="s">
        <v>105</v>
      </c>
      <c r="C68" s="49">
        <f>AVERAGE('22.08 Mbale-Sironko-24h'!C68,'24.08 Mbale-Sironko-24h'!C68)</f>
        <v>3</v>
      </c>
      <c r="D68" s="49">
        <f>AVERAGE('22.08 Mbale-Sironko-24h'!D68,'24.08 Mbale-Sironko-24h'!D68)</f>
        <v>0.5</v>
      </c>
      <c r="E68" s="49">
        <f>AVERAGE('22.08 Mbale-Sironko-24h'!E68,'24.08 Mbale-Sironko-24h'!E68)</f>
        <v>4</v>
      </c>
      <c r="F68" s="49">
        <f>AVERAGE('22.08 Mbale-Sironko-24h'!F68,'24.08 Mbale-Sironko-24h'!F68)</f>
        <v>0.5</v>
      </c>
      <c r="G68" s="49">
        <f>AVERAGE('22.08 Mbale-Sironko-24h'!G68,'24.08 Mbale-Sironko-24h'!G68)</f>
        <v>0</v>
      </c>
      <c r="H68" s="49">
        <f>AVERAGE('22.08 Mbale-Sironko-24h'!H68,'24.08 Mbale-Sironko-24h'!H68)</f>
        <v>0</v>
      </c>
      <c r="I68" s="49">
        <f>AVERAGE('22.08 Mbale-Sironko-24h'!I68,'24.08 Mbale-Sironko-24h'!I68)</f>
        <v>3</v>
      </c>
      <c r="J68" s="49">
        <f>AVERAGE('22.08 Mbale-Sironko-24h'!J68,'24.08 Mbale-Sironko-24h'!J68)</f>
        <v>0.5</v>
      </c>
      <c r="K68" s="49">
        <f>AVERAGE('22.08 Mbale-Sironko-24h'!K68,'24.08 Mbale-Sironko-24h'!K68)</f>
        <v>0.5</v>
      </c>
      <c r="L68" s="49">
        <f>AVERAGE('22.08 Mbale-Sironko-24h'!L68,'24.08 Mbale-Sironko-24h'!L68)</f>
        <v>0</v>
      </c>
      <c r="M68" s="49">
        <f>AVERAGE('22.08 Mbale-Sironko-24h'!M68,'24.08 Mbale-Sironko-24h'!M68)</f>
        <v>11</v>
      </c>
      <c r="N68" s="49">
        <f>AVERAGE('22.08 Mbale-Sironko-24h'!N68,'24.08 Mbale-Sironko-24h'!N68)</f>
        <v>0</v>
      </c>
      <c r="O68" s="15">
        <f t="shared" si="0"/>
        <v>12</v>
      </c>
      <c r="P68" s="15">
        <f t="shared" si="1"/>
        <v>23</v>
      </c>
      <c r="R68" s="8"/>
      <c r="T68"/>
    </row>
    <row r="69" spans="2:20" ht="23.1" customHeight="1" x14ac:dyDescent="0.25">
      <c r="B69" s="23" t="s">
        <v>106</v>
      </c>
      <c r="C69" s="49">
        <f>AVERAGE('22.08 Mbale-Sironko-24h'!C69,'24.08 Mbale-Sironko-24h'!C69)</f>
        <v>1.5</v>
      </c>
      <c r="D69" s="49">
        <f>AVERAGE('22.08 Mbale-Sironko-24h'!D69,'24.08 Mbale-Sironko-24h'!D69)</f>
        <v>0</v>
      </c>
      <c r="E69" s="49">
        <f>AVERAGE('22.08 Mbale-Sironko-24h'!E69,'24.08 Mbale-Sironko-24h'!E69)</f>
        <v>2.5</v>
      </c>
      <c r="F69" s="49">
        <f>AVERAGE('22.08 Mbale-Sironko-24h'!F69,'24.08 Mbale-Sironko-24h'!F69)</f>
        <v>2</v>
      </c>
      <c r="G69" s="49">
        <f>AVERAGE('22.08 Mbale-Sironko-24h'!G69,'24.08 Mbale-Sironko-24h'!G69)</f>
        <v>0</v>
      </c>
      <c r="H69" s="49">
        <f>AVERAGE('22.08 Mbale-Sironko-24h'!H69,'24.08 Mbale-Sironko-24h'!H69)</f>
        <v>0</v>
      </c>
      <c r="I69" s="49">
        <f>AVERAGE('22.08 Mbale-Sironko-24h'!I69,'24.08 Mbale-Sironko-24h'!I69)</f>
        <v>5.5</v>
      </c>
      <c r="J69" s="49">
        <f>AVERAGE('22.08 Mbale-Sironko-24h'!J69,'24.08 Mbale-Sironko-24h'!J69)</f>
        <v>0</v>
      </c>
      <c r="K69" s="49">
        <f>AVERAGE('22.08 Mbale-Sironko-24h'!K69,'24.08 Mbale-Sironko-24h'!K69)</f>
        <v>0</v>
      </c>
      <c r="L69" s="49">
        <f>AVERAGE('22.08 Mbale-Sironko-24h'!L69,'24.08 Mbale-Sironko-24h'!L69)</f>
        <v>0</v>
      </c>
      <c r="M69" s="49">
        <f>AVERAGE('22.08 Mbale-Sironko-24h'!M69,'24.08 Mbale-Sironko-24h'!M69)</f>
        <v>9</v>
      </c>
      <c r="N69" s="49">
        <f>AVERAGE('22.08 Mbale-Sironko-24h'!N69,'24.08 Mbale-Sironko-24h'!N69)</f>
        <v>0</v>
      </c>
      <c r="O69" s="15">
        <f t="shared" si="0"/>
        <v>11.5</v>
      </c>
      <c r="P69" s="15">
        <f t="shared" si="1"/>
        <v>20.5</v>
      </c>
      <c r="R69" s="8"/>
      <c r="T69"/>
    </row>
    <row r="70" spans="2:20" ht="23.1" customHeight="1" x14ac:dyDescent="0.25">
      <c r="B70" s="23" t="s">
        <v>110</v>
      </c>
      <c r="C70" s="49">
        <f>AVERAGE('22.08 Mbale-Sironko-24h'!C70,'24.08 Mbale-Sironko-24h'!C70)</f>
        <v>1.5</v>
      </c>
      <c r="D70" s="49">
        <f>AVERAGE('22.08 Mbale-Sironko-24h'!D70,'24.08 Mbale-Sironko-24h'!D70)</f>
        <v>0</v>
      </c>
      <c r="E70" s="49">
        <f>AVERAGE('22.08 Mbale-Sironko-24h'!E70,'24.08 Mbale-Sironko-24h'!E70)</f>
        <v>2.5</v>
      </c>
      <c r="F70" s="49">
        <f>AVERAGE('22.08 Mbale-Sironko-24h'!F70,'24.08 Mbale-Sironko-24h'!F70)</f>
        <v>0</v>
      </c>
      <c r="G70" s="49">
        <f>AVERAGE('22.08 Mbale-Sironko-24h'!G70,'24.08 Mbale-Sironko-24h'!G70)</f>
        <v>0</v>
      </c>
      <c r="H70" s="49">
        <f>AVERAGE('22.08 Mbale-Sironko-24h'!H70,'24.08 Mbale-Sironko-24h'!H70)</f>
        <v>0</v>
      </c>
      <c r="I70" s="49">
        <f>AVERAGE('22.08 Mbale-Sironko-24h'!I70,'24.08 Mbale-Sironko-24h'!I70)</f>
        <v>2</v>
      </c>
      <c r="J70" s="49">
        <f>AVERAGE('22.08 Mbale-Sironko-24h'!J70,'24.08 Mbale-Sironko-24h'!J70)</f>
        <v>0</v>
      </c>
      <c r="K70" s="49">
        <f>AVERAGE('22.08 Mbale-Sironko-24h'!K70,'24.08 Mbale-Sironko-24h'!K70)</f>
        <v>0</v>
      </c>
      <c r="L70" s="49">
        <f>AVERAGE('22.08 Mbale-Sironko-24h'!L70,'24.08 Mbale-Sironko-24h'!L70)</f>
        <v>0</v>
      </c>
      <c r="M70" s="49">
        <f>AVERAGE('22.08 Mbale-Sironko-24h'!M70,'24.08 Mbale-Sironko-24h'!M70)</f>
        <v>12.5</v>
      </c>
      <c r="N70" s="49">
        <f>AVERAGE('22.08 Mbale-Sironko-24h'!N70,'24.08 Mbale-Sironko-24h'!N70)</f>
        <v>0</v>
      </c>
      <c r="O70" s="15">
        <f t="shared" si="0"/>
        <v>6</v>
      </c>
      <c r="P70" s="15">
        <f t="shared" si="1"/>
        <v>18.5</v>
      </c>
      <c r="R70" s="8"/>
      <c r="T70"/>
    </row>
    <row r="71" spans="2:20" ht="23.1" customHeight="1" x14ac:dyDescent="0.25">
      <c r="B71" s="23" t="s">
        <v>111</v>
      </c>
      <c r="C71" s="49">
        <f>AVERAGE('22.08 Mbale-Sironko-24h'!C71,'24.08 Mbale-Sironko-24h'!C71)</f>
        <v>2</v>
      </c>
      <c r="D71" s="49">
        <f>AVERAGE('22.08 Mbale-Sironko-24h'!D71,'24.08 Mbale-Sironko-24h'!D71)</f>
        <v>0</v>
      </c>
      <c r="E71" s="49">
        <f>AVERAGE('22.08 Mbale-Sironko-24h'!E71,'24.08 Mbale-Sironko-24h'!E71)</f>
        <v>1.5</v>
      </c>
      <c r="F71" s="49">
        <f>AVERAGE('22.08 Mbale-Sironko-24h'!F71,'24.08 Mbale-Sironko-24h'!F71)</f>
        <v>0</v>
      </c>
      <c r="G71" s="49">
        <f>AVERAGE('22.08 Mbale-Sironko-24h'!G71,'24.08 Mbale-Sironko-24h'!G71)</f>
        <v>0</v>
      </c>
      <c r="H71" s="49">
        <f>AVERAGE('22.08 Mbale-Sironko-24h'!H71,'24.08 Mbale-Sironko-24h'!H71)</f>
        <v>0</v>
      </c>
      <c r="I71" s="49">
        <f>AVERAGE('22.08 Mbale-Sironko-24h'!I71,'24.08 Mbale-Sironko-24h'!I71)</f>
        <v>4</v>
      </c>
      <c r="J71" s="49">
        <f>AVERAGE('22.08 Mbale-Sironko-24h'!J71,'24.08 Mbale-Sironko-24h'!J71)</f>
        <v>0</v>
      </c>
      <c r="K71" s="49">
        <f>AVERAGE('22.08 Mbale-Sironko-24h'!K71,'24.08 Mbale-Sironko-24h'!K71)</f>
        <v>0</v>
      </c>
      <c r="L71" s="49">
        <f>AVERAGE('22.08 Mbale-Sironko-24h'!L71,'24.08 Mbale-Sironko-24h'!L71)</f>
        <v>0</v>
      </c>
      <c r="M71" s="49">
        <f>AVERAGE('22.08 Mbale-Sironko-24h'!M71,'24.08 Mbale-Sironko-24h'!M71)</f>
        <v>8</v>
      </c>
      <c r="N71" s="49">
        <f>AVERAGE('22.08 Mbale-Sironko-24h'!N71,'24.08 Mbale-Sironko-24h'!N71)</f>
        <v>0</v>
      </c>
      <c r="O71" s="15">
        <f t="shared" si="0"/>
        <v>7.5</v>
      </c>
      <c r="P71" s="15">
        <f t="shared" si="1"/>
        <v>15.5</v>
      </c>
      <c r="R71" s="8"/>
      <c r="T71"/>
    </row>
    <row r="72" spans="2:20" ht="23.1" customHeight="1" x14ac:dyDescent="0.25">
      <c r="B72" s="23" t="s">
        <v>112</v>
      </c>
      <c r="C72" s="49">
        <f>AVERAGE('22.08 Mbale-Sironko-24h'!C72,'24.08 Mbale-Sironko-24h'!C72)</f>
        <v>1.5</v>
      </c>
      <c r="D72" s="49">
        <f>AVERAGE('22.08 Mbale-Sironko-24h'!D72,'24.08 Mbale-Sironko-24h'!D72)</f>
        <v>0</v>
      </c>
      <c r="E72" s="49">
        <f>AVERAGE('22.08 Mbale-Sironko-24h'!E72,'24.08 Mbale-Sironko-24h'!E72)</f>
        <v>0</v>
      </c>
      <c r="F72" s="49">
        <f>AVERAGE('22.08 Mbale-Sironko-24h'!F72,'24.08 Mbale-Sironko-24h'!F72)</f>
        <v>0.5</v>
      </c>
      <c r="G72" s="49">
        <f>AVERAGE('22.08 Mbale-Sironko-24h'!G72,'24.08 Mbale-Sironko-24h'!G72)</f>
        <v>0</v>
      </c>
      <c r="H72" s="49">
        <f>AVERAGE('22.08 Mbale-Sironko-24h'!H72,'24.08 Mbale-Sironko-24h'!H72)</f>
        <v>0</v>
      </c>
      <c r="I72" s="49">
        <f>AVERAGE('22.08 Mbale-Sironko-24h'!I72,'24.08 Mbale-Sironko-24h'!I72)</f>
        <v>2</v>
      </c>
      <c r="J72" s="49">
        <f>AVERAGE('22.08 Mbale-Sironko-24h'!J72,'24.08 Mbale-Sironko-24h'!J72)</f>
        <v>0</v>
      </c>
      <c r="K72" s="49">
        <f>AVERAGE('22.08 Mbale-Sironko-24h'!K72,'24.08 Mbale-Sironko-24h'!K72)</f>
        <v>0</v>
      </c>
      <c r="L72" s="49">
        <f>AVERAGE('22.08 Mbale-Sironko-24h'!L72,'24.08 Mbale-Sironko-24h'!L72)</f>
        <v>0</v>
      </c>
      <c r="M72" s="49">
        <f>AVERAGE('22.08 Mbale-Sironko-24h'!M72,'24.08 Mbale-Sironko-24h'!M72)</f>
        <v>10</v>
      </c>
      <c r="N72" s="49">
        <f>AVERAGE('22.08 Mbale-Sironko-24h'!N72,'24.08 Mbale-Sironko-24h'!N72)</f>
        <v>0</v>
      </c>
      <c r="O72" s="15">
        <f t="shared" si="0"/>
        <v>4</v>
      </c>
      <c r="P72" s="15">
        <f t="shared" si="1"/>
        <v>14</v>
      </c>
      <c r="R72" s="8"/>
      <c r="T72"/>
    </row>
    <row r="73" spans="2:20" ht="23.1" customHeight="1" x14ac:dyDescent="0.25">
      <c r="B73" s="23" t="s">
        <v>113</v>
      </c>
      <c r="C73" s="49">
        <f>AVERAGE('22.08 Mbale-Sironko-24h'!C73,'24.08 Mbale-Sironko-24h'!C73)</f>
        <v>2</v>
      </c>
      <c r="D73" s="49">
        <f>AVERAGE('22.08 Mbale-Sironko-24h'!D73,'24.08 Mbale-Sironko-24h'!D73)</f>
        <v>0</v>
      </c>
      <c r="E73" s="49">
        <f>AVERAGE('22.08 Mbale-Sironko-24h'!E73,'24.08 Mbale-Sironko-24h'!E73)</f>
        <v>2</v>
      </c>
      <c r="F73" s="49">
        <f>AVERAGE('22.08 Mbale-Sironko-24h'!F73,'24.08 Mbale-Sironko-24h'!F73)</f>
        <v>0</v>
      </c>
      <c r="G73" s="49">
        <f>AVERAGE('22.08 Mbale-Sironko-24h'!G73,'24.08 Mbale-Sironko-24h'!G73)</f>
        <v>0</v>
      </c>
      <c r="H73" s="49">
        <f>AVERAGE('22.08 Mbale-Sironko-24h'!H73,'24.08 Mbale-Sironko-24h'!H73)</f>
        <v>0</v>
      </c>
      <c r="I73" s="49">
        <f>AVERAGE('22.08 Mbale-Sironko-24h'!I73,'24.08 Mbale-Sironko-24h'!I73)</f>
        <v>0.5</v>
      </c>
      <c r="J73" s="49">
        <f>AVERAGE('22.08 Mbale-Sironko-24h'!J73,'24.08 Mbale-Sironko-24h'!J73)</f>
        <v>0</v>
      </c>
      <c r="K73" s="49">
        <f>AVERAGE('22.08 Mbale-Sironko-24h'!K73,'24.08 Mbale-Sironko-24h'!K73)</f>
        <v>0</v>
      </c>
      <c r="L73" s="49">
        <f>AVERAGE('22.08 Mbale-Sironko-24h'!L73,'24.08 Mbale-Sironko-24h'!L73)</f>
        <v>0</v>
      </c>
      <c r="M73" s="49">
        <f>AVERAGE('22.08 Mbale-Sironko-24h'!M73,'24.08 Mbale-Sironko-24h'!M73)</f>
        <v>3</v>
      </c>
      <c r="N73" s="49">
        <f>AVERAGE('22.08 Mbale-Sironko-24h'!N73,'24.08 Mbale-Sironko-24h'!N73)</f>
        <v>0</v>
      </c>
      <c r="O73" s="15">
        <f t="shared" si="0"/>
        <v>4.5</v>
      </c>
      <c r="P73" s="15">
        <f t="shared" si="1"/>
        <v>7.5</v>
      </c>
      <c r="R73" s="8"/>
      <c r="T73"/>
    </row>
    <row r="74" spans="2:20" ht="23.1" customHeight="1" x14ac:dyDescent="0.25">
      <c r="B74" s="23" t="s">
        <v>114</v>
      </c>
      <c r="C74" s="49">
        <f>AVERAGE('22.08 Mbale-Sironko-24h'!C74,'24.08 Mbale-Sironko-24h'!C74)</f>
        <v>1.5</v>
      </c>
      <c r="D74" s="49">
        <f>AVERAGE('22.08 Mbale-Sironko-24h'!D74,'24.08 Mbale-Sironko-24h'!D74)</f>
        <v>0</v>
      </c>
      <c r="E74" s="49">
        <f>AVERAGE('22.08 Mbale-Sironko-24h'!E74,'24.08 Mbale-Sironko-24h'!E74)</f>
        <v>0.5</v>
      </c>
      <c r="F74" s="49">
        <f>AVERAGE('22.08 Mbale-Sironko-24h'!F74,'24.08 Mbale-Sironko-24h'!F74)</f>
        <v>0.5</v>
      </c>
      <c r="G74" s="49">
        <f>AVERAGE('22.08 Mbale-Sironko-24h'!G74,'24.08 Mbale-Sironko-24h'!G74)</f>
        <v>0</v>
      </c>
      <c r="H74" s="49">
        <f>AVERAGE('22.08 Mbale-Sironko-24h'!H74,'24.08 Mbale-Sironko-24h'!H74)</f>
        <v>0</v>
      </c>
      <c r="I74" s="49">
        <f>AVERAGE('22.08 Mbale-Sironko-24h'!I74,'24.08 Mbale-Sironko-24h'!I74)</f>
        <v>1.5</v>
      </c>
      <c r="J74" s="49">
        <f>AVERAGE('22.08 Mbale-Sironko-24h'!J74,'24.08 Mbale-Sironko-24h'!J74)</f>
        <v>0</v>
      </c>
      <c r="K74" s="49">
        <f>AVERAGE('22.08 Mbale-Sironko-24h'!K74,'24.08 Mbale-Sironko-24h'!K74)</f>
        <v>0</v>
      </c>
      <c r="L74" s="49">
        <f>AVERAGE('22.08 Mbale-Sironko-24h'!L74,'24.08 Mbale-Sironko-24h'!L74)</f>
        <v>0</v>
      </c>
      <c r="M74" s="49">
        <f>AVERAGE('22.08 Mbale-Sironko-24h'!M74,'24.08 Mbale-Sironko-24h'!M74)</f>
        <v>3</v>
      </c>
      <c r="N74" s="49">
        <f>AVERAGE('22.08 Mbale-Sironko-24h'!N74,'24.08 Mbale-Sironko-24h'!N74)</f>
        <v>0</v>
      </c>
      <c r="O74" s="15">
        <f t="shared" ref="O74:O105" si="35">SUM(C74:L74,N74)</f>
        <v>4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23" t="s">
        <v>115</v>
      </c>
      <c r="C75" s="49">
        <f>AVERAGE('22.08 Mbale-Sironko-24h'!C75,'24.08 Mbale-Sironko-24h'!C75)</f>
        <v>2</v>
      </c>
      <c r="D75" s="49">
        <f>AVERAGE('22.08 Mbale-Sironko-24h'!D75,'24.08 Mbale-Sironko-24h'!D75)</f>
        <v>0.5</v>
      </c>
      <c r="E75" s="49">
        <f>AVERAGE('22.08 Mbale-Sironko-24h'!E75,'24.08 Mbale-Sironko-24h'!E75)</f>
        <v>2</v>
      </c>
      <c r="F75" s="49">
        <f>AVERAGE('22.08 Mbale-Sironko-24h'!F75,'24.08 Mbale-Sironko-24h'!F75)</f>
        <v>1</v>
      </c>
      <c r="G75" s="49">
        <f>AVERAGE('22.08 Mbale-Sironko-24h'!G75,'24.08 Mbale-Sironko-24h'!G75)</f>
        <v>0</v>
      </c>
      <c r="H75" s="49">
        <f>AVERAGE('22.08 Mbale-Sironko-24h'!H75,'24.08 Mbale-Sironko-24h'!H75)</f>
        <v>0</v>
      </c>
      <c r="I75" s="49">
        <f>AVERAGE('22.08 Mbale-Sironko-24h'!I75,'24.08 Mbale-Sironko-24h'!I75)</f>
        <v>1</v>
      </c>
      <c r="J75" s="49">
        <f>AVERAGE('22.08 Mbale-Sironko-24h'!J75,'24.08 Mbale-Sironko-24h'!J75)</f>
        <v>0</v>
      </c>
      <c r="K75" s="49">
        <f>AVERAGE('22.08 Mbale-Sironko-24h'!K75,'24.08 Mbale-Sironko-24h'!K75)</f>
        <v>0</v>
      </c>
      <c r="L75" s="49">
        <f>AVERAGE('22.08 Mbale-Sironko-24h'!L75,'24.08 Mbale-Sironko-24h'!L75)</f>
        <v>0</v>
      </c>
      <c r="M75" s="49">
        <f>AVERAGE('22.08 Mbale-Sironko-24h'!M75,'24.08 Mbale-Sironko-24h'!M75)</f>
        <v>4.5</v>
      </c>
      <c r="N75" s="49">
        <f>AVERAGE('22.08 Mbale-Sironko-24h'!N75,'24.08 Mbale-Sironko-24h'!N75)</f>
        <v>0</v>
      </c>
      <c r="O75" s="15">
        <f t="shared" si="35"/>
        <v>6.5</v>
      </c>
      <c r="P75" s="15">
        <f t="shared" si="36"/>
        <v>11</v>
      </c>
      <c r="R75" s="8"/>
      <c r="T75"/>
    </row>
    <row r="76" spans="2:20" ht="23.1" customHeight="1" x14ac:dyDescent="0.25">
      <c r="B76" s="23" t="s">
        <v>116</v>
      </c>
      <c r="C76" s="49">
        <f>AVERAGE('22.08 Mbale-Sironko-24h'!C76,'24.08 Mbale-Sironko-24h'!C76)</f>
        <v>1</v>
      </c>
      <c r="D76" s="49">
        <f>AVERAGE('22.08 Mbale-Sironko-24h'!D76,'24.08 Mbale-Sironko-24h'!D76)</f>
        <v>0</v>
      </c>
      <c r="E76" s="49">
        <f>AVERAGE('22.08 Mbale-Sironko-24h'!E76,'24.08 Mbale-Sironko-24h'!E76)</f>
        <v>1</v>
      </c>
      <c r="F76" s="49">
        <f>AVERAGE('22.08 Mbale-Sironko-24h'!F76,'24.08 Mbale-Sironko-24h'!F76)</f>
        <v>0</v>
      </c>
      <c r="G76" s="49">
        <f>AVERAGE('22.08 Mbale-Sironko-24h'!G76,'24.08 Mbale-Sironko-24h'!G76)</f>
        <v>0</v>
      </c>
      <c r="H76" s="49">
        <f>AVERAGE('22.08 Mbale-Sironko-24h'!H76,'24.08 Mbale-Sironko-24h'!H76)</f>
        <v>0</v>
      </c>
      <c r="I76" s="49">
        <f>AVERAGE('22.08 Mbale-Sironko-24h'!I76,'24.08 Mbale-Sironko-24h'!I76)</f>
        <v>0.5</v>
      </c>
      <c r="J76" s="49">
        <f>AVERAGE('22.08 Mbale-Sironko-24h'!J76,'24.08 Mbale-Sironko-24h'!J76)</f>
        <v>0</v>
      </c>
      <c r="K76" s="49">
        <f>AVERAGE('22.08 Mbale-Sironko-24h'!K76,'24.08 Mbale-Sironko-24h'!K76)</f>
        <v>0.5</v>
      </c>
      <c r="L76" s="49">
        <f>AVERAGE('22.08 Mbale-Sironko-24h'!L76,'24.08 Mbale-Sironko-24h'!L76)</f>
        <v>0</v>
      </c>
      <c r="M76" s="49">
        <f>AVERAGE('22.08 Mbale-Sironko-24h'!M76,'24.08 Mbale-Sironko-24h'!M76)</f>
        <v>2</v>
      </c>
      <c r="N76" s="49">
        <f>AVERAGE('22.08 Mbale-Sironko-24h'!N76,'24.08 Mbale-Sironko-24h'!N76)</f>
        <v>0</v>
      </c>
      <c r="O76" s="15">
        <f t="shared" si="35"/>
        <v>3</v>
      </c>
      <c r="P76" s="15">
        <f t="shared" si="36"/>
        <v>5</v>
      </c>
      <c r="R76" s="8"/>
      <c r="T76"/>
    </row>
    <row r="77" spans="2:20" ht="23.1" customHeight="1" x14ac:dyDescent="0.25">
      <c r="B77" s="23" t="s">
        <v>117</v>
      </c>
      <c r="C77" s="49">
        <f>AVERAGE('22.08 Mbale-Sironko-24h'!C77,'24.08 Mbale-Sironko-24h'!C77)</f>
        <v>0.5</v>
      </c>
      <c r="D77" s="49">
        <f>AVERAGE('22.08 Mbale-Sironko-24h'!D77,'24.08 Mbale-Sironko-24h'!D77)</f>
        <v>0</v>
      </c>
      <c r="E77" s="49">
        <f>AVERAGE('22.08 Mbale-Sironko-24h'!E77,'24.08 Mbale-Sironko-24h'!E77)</f>
        <v>1.5</v>
      </c>
      <c r="F77" s="49">
        <f>AVERAGE('22.08 Mbale-Sironko-24h'!F77,'24.08 Mbale-Sironko-24h'!F77)</f>
        <v>0</v>
      </c>
      <c r="G77" s="49">
        <f>AVERAGE('22.08 Mbale-Sironko-24h'!G77,'24.08 Mbale-Sironko-24h'!G77)</f>
        <v>0</v>
      </c>
      <c r="H77" s="49">
        <f>AVERAGE('22.08 Mbale-Sironko-24h'!H77,'24.08 Mbale-Sironko-24h'!H77)</f>
        <v>0</v>
      </c>
      <c r="I77" s="49">
        <f>AVERAGE('22.08 Mbale-Sironko-24h'!I77,'24.08 Mbale-Sironko-24h'!I77)</f>
        <v>1</v>
      </c>
      <c r="J77" s="49">
        <f>AVERAGE('22.08 Mbale-Sironko-24h'!J77,'24.08 Mbale-Sironko-24h'!J77)</f>
        <v>0</v>
      </c>
      <c r="K77" s="49">
        <f>AVERAGE('22.08 Mbale-Sironko-24h'!K77,'24.08 Mbale-Sironko-24h'!K77)</f>
        <v>0</v>
      </c>
      <c r="L77" s="49">
        <f>AVERAGE('22.08 Mbale-Sironko-24h'!L77,'24.08 Mbale-Sironko-24h'!L77)</f>
        <v>0</v>
      </c>
      <c r="M77" s="49">
        <f>AVERAGE('22.08 Mbale-Sironko-24h'!M77,'24.08 Mbale-Sironko-24h'!M77)</f>
        <v>3</v>
      </c>
      <c r="N77" s="49">
        <f>AVERAGE('22.08 Mbale-Sironko-24h'!N77,'24.08 Mbale-Sironko-24h'!N77)</f>
        <v>0</v>
      </c>
      <c r="O77" s="15">
        <f t="shared" si="35"/>
        <v>3</v>
      </c>
      <c r="P77" s="15">
        <f t="shared" si="36"/>
        <v>6</v>
      </c>
      <c r="R77" s="8"/>
      <c r="T77"/>
    </row>
    <row r="78" spans="2:20" ht="23.1" customHeight="1" x14ac:dyDescent="0.25">
      <c r="B78" s="24" t="s">
        <v>118</v>
      </c>
      <c r="C78" s="49">
        <f>AVERAGE('22.08 Mbale-Sironko-24h'!C78,'24.08 Mbale-Sironko-24h'!C78)</f>
        <v>1.5</v>
      </c>
      <c r="D78" s="49">
        <f>AVERAGE('22.08 Mbale-Sironko-24h'!D78,'24.08 Mbale-Sironko-24h'!D78)</f>
        <v>0</v>
      </c>
      <c r="E78" s="49">
        <f>AVERAGE('22.08 Mbale-Sironko-24h'!E78,'24.08 Mbale-Sironko-24h'!E78)</f>
        <v>1</v>
      </c>
      <c r="F78" s="49">
        <f>AVERAGE('22.08 Mbale-Sironko-24h'!F78,'24.08 Mbale-Sironko-24h'!F78)</f>
        <v>0</v>
      </c>
      <c r="G78" s="49">
        <f>AVERAGE('22.08 Mbale-Sironko-24h'!G78,'24.08 Mbale-Sironko-24h'!G78)</f>
        <v>0</v>
      </c>
      <c r="H78" s="49">
        <f>AVERAGE('22.08 Mbale-Sironko-24h'!H78,'24.08 Mbale-Sironko-24h'!H78)</f>
        <v>0</v>
      </c>
      <c r="I78" s="49">
        <f>AVERAGE('22.08 Mbale-Sironko-24h'!I78,'24.08 Mbale-Sironko-24h'!I78)</f>
        <v>2.5</v>
      </c>
      <c r="J78" s="49">
        <f>AVERAGE('22.08 Mbale-Sironko-24h'!J78,'24.08 Mbale-Sironko-24h'!J78)</f>
        <v>0</v>
      </c>
      <c r="K78" s="49">
        <f>AVERAGE('22.08 Mbale-Sironko-24h'!K78,'24.08 Mbale-Sironko-24h'!K78)</f>
        <v>0</v>
      </c>
      <c r="L78" s="49">
        <f>AVERAGE('22.08 Mbale-Sironko-24h'!L78,'24.08 Mbale-Sironko-24h'!L78)</f>
        <v>0</v>
      </c>
      <c r="M78" s="49">
        <f>AVERAGE('22.08 Mbale-Sironko-24h'!M78,'24.08 Mbale-Sironko-24h'!M78)</f>
        <v>3.5</v>
      </c>
      <c r="N78" s="49">
        <f>AVERAGE('22.08 Mbale-Sironko-24h'!N78,'24.08 Mbale-Sironko-24h'!N78)</f>
        <v>0</v>
      </c>
      <c r="O78" s="15">
        <f t="shared" si="35"/>
        <v>5</v>
      </c>
      <c r="P78" s="15">
        <f t="shared" si="36"/>
        <v>8.5</v>
      </c>
      <c r="R78" s="8"/>
      <c r="T78"/>
    </row>
    <row r="79" spans="2:20" ht="23.1" customHeight="1" x14ac:dyDescent="0.25">
      <c r="B79" s="23" t="s">
        <v>119</v>
      </c>
      <c r="C79" s="49">
        <f>AVERAGE('22.08 Mbale-Sironko-24h'!C79,'24.08 Mbale-Sironko-24h'!C79)</f>
        <v>0</v>
      </c>
      <c r="D79" s="49">
        <f>AVERAGE('22.08 Mbale-Sironko-24h'!D79,'24.08 Mbale-Sironko-24h'!D79)</f>
        <v>0</v>
      </c>
      <c r="E79" s="49">
        <f>AVERAGE('22.08 Mbale-Sironko-24h'!E79,'24.08 Mbale-Sironko-24h'!E79)</f>
        <v>0</v>
      </c>
      <c r="F79" s="49">
        <f>AVERAGE('22.08 Mbale-Sironko-24h'!F79,'24.08 Mbale-Sironko-24h'!F79)</f>
        <v>0</v>
      </c>
      <c r="G79" s="49">
        <f>AVERAGE('22.08 Mbale-Sironko-24h'!G79,'24.08 Mbale-Sironko-24h'!G79)</f>
        <v>0</v>
      </c>
      <c r="H79" s="49">
        <f>AVERAGE('22.08 Mbale-Sironko-24h'!H79,'24.08 Mbale-Sironko-24h'!H79)</f>
        <v>0</v>
      </c>
      <c r="I79" s="49">
        <f>AVERAGE('22.08 Mbale-Sironko-24h'!I79,'24.08 Mbale-Sironko-24h'!I79)</f>
        <v>1.5</v>
      </c>
      <c r="J79" s="49">
        <f>AVERAGE('22.08 Mbale-Sironko-24h'!J79,'24.08 Mbale-Sironko-24h'!J79)</f>
        <v>0</v>
      </c>
      <c r="K79" s="49">
        <f>AVERAGE('22.08 Mbale-Sironko-24h'!K79,'24.08 Mbale-Sironko-24h'!K79)</f>
        <v>0</v>
      </c>
      <c r="L79" s="49">
        <f>AVERAGE('22.08 Mbale-Sironko-24h'!L79,'24.08 Mbale-Sironko-24h'!L79)</f>
        <v>0</v>
      </c>
      <c r="M79" s="49">
        <f>AVERAGE('22.08 Mbale-Sironko-24h'!M79,'24.08 Mbale-Sironko-24h'!M79)</f>
        <v>1.5</v>
      </c>
      <c r="N79" s="49">
        <f>AVERAGE('22.08 Mbale-Sironko-24h'!N79,'24.08 Mbale-Sironko-24h'!N79)</f>
        <v>0</v>
      </c>
      <c r="O79" s="15">
        <f t="shared" si="35"/>
        <v>1.5</v>
      </c>
      <c r="P79" s="15">
        <f t="shared" si="36"/>
        <v>3</v>
      </c>
      <c r="R79" s="8"/>
      <c r="T79"/>
    </row>
    <row r="80" spans="2:20" ht="23.1" customHeight="1" x14ac:dyDescent="0.25">
      <c r="B80" s="25" t="s">
        <v>120</v>
      </c>
      <c r="C80" s="49">
        <f>AVERAGE('22.08 Mbale-Sironko-24h'!C80,'24.08 Mbale-Sironko-24h'!C80)</f>
        <v>0</v>
      </c>
      <c r="D80" s="49">
        <f>AVERAGE('22.08 Mbale-Sironko-24h'!D80,'24.08 Mbale-Sironko-24h'!D80)</f>
        <v>0</v>
      </c>
      <c r="E80" s="49">
        <f>AVERAGE('22.08 Mbale-Sironko-24h'!E80,'24.08 Mbale-Sironko-24h'!E80)</f>
        <v>0.5</v>
      </c>
      <c r="F80" s="49">
        <f>AVERAGE('22.08 Mbale-Sironko-24h'!F80,'24.08 Mbale-Sironko-24h'!F80)</f>
        <v>0</v>
      </c>
      <c r="G80" s="49">
        <f>AVERAGE('22.08 Mbale-Sironko-24h'!G80,'24.08 Mbale-Sironko-24h'!G80)</f>
        <v>0</v>
      </c>
      <c r="H80" s="49">
        <f>AVERAGE('22.08 Mbale-Sironko-24h'!H80,'24.08 Mbale-Sironko-24h'!H80)</f>
        <v>0</v>
      </c>
      <c r="I80" s="49">
        <f>AVERAGE('22.08 Mbale-Sironko-24h'!I80,'24.08 Mbale-Sironko-24h'!I80)</f>
        <v>0.5</v>
      </c>
      <c r="J80" s="49">
        <f>AVERAGE('22.08 Mbale-Sironko-24h'!J80,'24.08 Mbale-Sironko-24h'!J80)</f>
        <v>0</v>
      </c>
      <c r="K80" s="49">
        <f>AVERAGE('22.08 Mbale-Sironko-24h'!K80,'24.08 Mbale-Sironko-24h'!K80)</f>
        <v>0</v>
      </c>
      <c r="L80" s="49">
        <f>AVERAGE('22.08 Mbale-Sironko-24h'!L80,'24.08 Mbale-Sironko-24h'!L80)</f>
        <v>0</v>
      </c>
      <c r="M80" s="49">
        <f>AVERAGE('22.08 Mbale-Sironko-24h'!M80,'24.08 Mbale-Sironko-24h'!M80)</f>
        <v>1.5</v>
      </c>
      <c r="N80" s="49">
        <f>AVERAGE('22.08 Mbale-Sironko-24h'!N80,'24.08 Mbale-Sironko-24h'!N80)</f>
        <v>0</v>
      </c>
      <c r="O80" s="15">
        <f t="shared" si="35"/>
        <v>1</v>
      </c>
      <c r="P80" s="15">
        <f t="shared" si="36"/>
        <v>2.5</v>
      </c>
      <c r="R80" s="8"/>
      <c r="T80"/>
    </row>
    <row r="81" spans="2:20" ht="23.1" customHeight="1" x14ac:dyDescent="0.25">
      <c r="B81" s="23" t="s">
        <v>121</v>
      </c>
      <c r="C81" s="49">
        <f>AVERAGE('22.08 Mbale-Sironko-24h'!C81,'24.08 Mbale-Sironko-24h'!C81)</f>
        <v>0.5</v>
      </c>
      <c r="D81" s="49">
        <f>AVERAGE('22.08 Mbale-Sironko-24h'!D81,'24.08 Mbale-Sironko-24h'!D81)</f>
        <v>0</v>
      </c>
      <c r="E81" s="49">
        <f>AVERAGE('22.08 Mbale-Sironko-24h'!E81,'24.08 Mbale-Sironko-24h'!E81)</f>
        <v>0.5</v>
      </c>
      <c r="F81" s="49">
        <f>AVERAGE('22.08 Mbale-Sironko-24h'!F81,'24.08 Mbale-Sironko-24h'!F81)</f>
        <v>0</v>
      </c>
      <c r="G81" s="49">
        <f>AVERAGE('22.08 Mbale-Sironko-24h'!G81,'24.08 Mbale-Sironko-24h'!G81)</f>
        <v>0</v>
      </c>
      <c r="H81" s="49">
        <f>AVERAGE('22.08 Mbale-Sironko-24h'!H81,'24.08 Mbale-Sironko-24h'!H81)</f>
        <v>0</v>
      </c>
      <c r="I81" s="49">
        <f>AVERAGE('22.08 Mbale-Sironko-24h'!I81,'24.08 Mbale-Sironko-24h'!I81)</f>
        <v>1.5</v>
      </c>
      <c r="J81" s="49">
        <f>AVERAGE('22.08 Mbale-Sironko-24h'!J81,'24.08 Mbale-Sironko-24h'!J81)</f>
        <v>0</v>
      </c>
      <c r="K81" s="49">
        <f>AVERAGE('22.08 Mbale-Sironko-24h'!K81,'24.08 Mbale-Sironko-24h'!K81)</f>
        <v>0</v>
      </c>
      <c r="L81" s="49">
        <f>AVERAGE('22.08 Mbale-Sironko-24h'!L81,'24.08 Mbale-Sironko-24h'!L81)</f>
        <v>0</v>
      </c>
      <c r="M81" s="49">
        <f>AVERAGE('22.08 Mbale-Sironko-24h'!M81,'24.08 Mbale-Sironko-24h'!M81)</f>
        <v>1.5</v>
      </c>
      <c r="N81" s="49">
        <f>AVERAGE('22.08 Mbale-Sironko-24h'!N81,'24.08 Mbale-Sironko-24h'!N81)</f>
        <v>0</v>
      </c>
      <c r="O81" s="15">
        <f t="shared" si="35"/>
        <v>2.5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AVERAGE('22.08 Mbale-Sironko-24h'!C82,'24.08 Mbale-Sironko-24h'!C82)</f>
        <v>0</v>
      </c>
      <c r="D82" s="49">
        <f>AVERAGE('22.08 Mbale-Sironko-24h'!D82,'24.08 Mbale-Sironko-24h'!D82)</f>
        <v>0</v>
      </c>
      <c r="E82" s="49">
        <f>AVERAGE('22.08 Mbale-Sironko-24h'!E82,'24.08 Mbale-Sironko-24h'!E82)</f>
        <v>0.5</v>
      </c>
      <c r="F82" s="49">
        <f>AVERAGE('22.08 Mbale-Sironko-24h'!F82,'24.08 Mbale-Sironko-24h'!F82)</f>
        <v>0</v>
      </c>
      <c r="G82" s="49">
        <f>AVERAGE('22.08 Mbale-Sironko-24h'!G82,'24.08 Mbale-Sironko-24h'!G82)</f>
        <v>0</v>
      </c>
      <c r="H82" s="49">
        <f>AVERAGE('22.08 Mbale-Sironko-24h'!H82,'24.08 Mbale-Sironko-24h'!H82)</f>
        <v>0</v>
      </c>
      <c r="I82" s="49">
        <f>AVERAGE('22.08 Mbale-Sironko-24h'!I82,'24.08 Mbale-Sironko-24h'!I82)</f>
        <v>1</v>
      </c>
      <c r="J82" s="49">
        <f>AVERAGE('22.08 Mbale-Sironko-24h'!J82,'24.08 Mbale-Sironko-24h'!J82)</f>
        <v>0</v>
      </c>
      <c r="K82" s="49">
        <f>AVERAGE('22.08 Mbale-Sironko-24h'!K82,'24.08 Mbale-Sironko-24h'!K82)</f>
        <v>0</v>
      </c>
      <c r="L82" s="49">
        <f>AVERAGE('22.08 Mbale-Sironko-24h'!L82,'24.08 Mbale-Sironko-24h'!L82)</f>
        <v>0</v>
      </c>
      <c r="M82" s="49">
        <f>AVERAGE('22.08 Mbale-Sironko-24h'!M82,'24.08 Mbale-Sironko-24h'!M82)</f>
        <v>1.5</v>
      </c>
      <c r="N82" s="49">
        <f>AVERAGE('22.08 Mbale-Sironko-24h'!N82,'24.08 Mbale-Sironko-24h'!N82)</f>
        <v>0</v>
      </c>
      <c r="O82" s="15">
        <f t="shared" si="35"/>
        <v>1.5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AVERAGE('22.08 Mbale-Sironko-24h'!C83,'24.08 Mbale-Sironko-24h'!C83)</f>
        <v>0</v>
      </c>
      <c r="D83" s="49">
        <f>AVERAGE('22.08 Mbale-Sironko-24h'!D83,'24.08 Mbale-Sironko-24h'!D83)</f>
        <v>0</v>
      </c>
      <c r="E83" s="49">
        <f>AVERAGE('22.08 Mbale-Sironko-24h'!E83,'24.08 Mbale-Sironko-24h'!E83)</f>
        <v>1</v>
      </c>
      <c r="F83" s="49">
        <f>AVERAGE('22.08 Mbale-Sironko-24h'!F83,'24.08 Mbale-Sironko-24h'!F83)</f>
        <v>0</v>
      </c>
      <c r="G83" s="49">
        <f>AVERAGE('22.08 Mbale-Sironko-24h'!G83,'24.08 Mbale-Sironko-24h'!G83)</f>
        <v>0</v>
      </c>
      <c r="H83" s="49">
        <f>AVERAGE('22.08 Mbale-Sironko-24h'!H83,'24.08 Mbale-Sironko-24h'!H83)</f>
        <v>0</v>
      </c>
      <c r="I83" s="49">
        <f>AVERAGE('22.08 Mbale-Sironko-24h'!I83,'24.08 Mbale-Sironko-24h'!I83)</f>
        <v>0.5</v>
      </c>
      <c r="J83" s="49">
        <f>AVERAGE('22.08 Mbale-Sironko-24h'!J83,'24.08 Mbale-Sironko-24h'!J83)</f>
        <v>0</v>
      </c>
      <c r="K83" s="49">
        <f>AVERAGE('22.08 Mbale-Sironko-24h'!K83,'24.08 Mbale-Sironko-24h'!K83)</f>
        <v>0</v>
      </c>
      <c r="L83" s="49">
        <f>AVERAGE('22.08 Mbale-Sironko-24h'!L83,'24.08 Mbale-Sironko-24h'!L83)</f>
        <v>0</v>
      </c>
      <c r="M83" s="49">
        <f>AVERAGE('22.08 Mbale-Sironko-24h'!M83,'24.08 Mbale-Sironko-24h'!M83)</f>
        <v>1</v>
      </c>
      <c r="N83" s="49">
        <f>AVERAGE('22.08 Mbale-Sironko-24h'!N83,'24.08 Mbale-Sironko-24h'!N83)</f>
        <v>0</v>
      </c>
      <c r="O83" s="15">
        <f t="shared" si="35"/>
        <v>1.5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AVERAGE('22.08 Mbale-Sironko-24h'!C84,'24.08 Mbale-Sironko-24h'!C84)</f>
        <v>0</v>
      </c>
      <c r="D84" s="49">
        <f>AVERAGE('22.08 Mbale-Sironko-24h'!D84,'24.08 Mbale-Sironko-24h'!D84)</f>
        <v>0</v>
      </c>
      <c r="E84" s="49">
        <f>AVERAGE('22.08 Mbale-Sironko-24h'!E84,'24.08 Mbale-Sironko-24h'!E84)</f>
        <v>1.5</v>
      </c>
      <c r="F84" s="49">
        <f>AVERAGE('22.08 Mbale-Sironko-24h'!F84,'24.08 Mbale-Sironko-24h'!F84)</f>
        <v>0</v>
      </c>
      <c r="G84" s="49">
        <f>AVERAGE('22.08 Mbale-Sironko-24h'!G84,'24.08 Mbale-Sironko-24h'!G84)</f>
        <v>0</v>
      </c>
      <c r="H84" s="49">
        <f>AVERAGE('22.08 Mbale-Sironko-24h'!H84,'24.08 Mbale-Sironko-24h'!H84)</f>
        <v>0</v>
      </c>
      <c r="I84" s="49">
        <f>AVERAGE('22.08 Mbale-Sironko-24h'!I84,'24.08 Mbale-Sironko-24h'!I84)</f>
        <v>0.5</v>
      </c>
      <c r="J84" s="49">
        <f>AVERAGE('22.08 Mbale-Sironko-24h'!J84,'24.08 Mbale-Sironko-24h'!J84)</f>
        <v>0</v>
      </c>
      <c r="K84" s="49">
        <f>AVERAGE('22.08 Mbale-Sironko-24h'!K84,'24.08 Mbale-Sironko-24h'!K84)</f>
        <v>0</v>
      </c>
      <c r="L84" s="49">
        <f>AVERAGE('22.08 Mbale-Sironko-24h'!L84,'24.08 Mbale-Sironko-24h'!L84)</f>
        <v>0</v>
      </c>
      <c r="M84" s="49">
        <f>AVERAGE('22.08 Mbale-Sironko-24h'!M84,'24.08 Mbale-Sironko-24h'!M84)</f>
        <v>1.5</v>
      </c>
      <c r="N84" s="49">
        <f>AVERAGE('22.08 Mbale-Sironko-24h'!N84,'24.08 Mbale-Sironko-24h'!N84)</f>
        <v>0</v>
      </c>
      <c r="O84" s="15">
        <f t="shared" si="35"/>
        <v>2</v>
      </c>
      <c r="P84" s="15">
        <f t="shared" si="36"/>
        <v>3.5</v>
      </c>
      <c r="R84" s="8"/>
      <c r="T84"/>
    </row>
    <row r="85" spans="2:20" ht="23.1" customHeight="1" x14ac:dyDescent="0.25">
      <c r="B85" s="23" t="s">
        <v>125</v>
      </c>
      <c r="C85" s="49">
        <f>AVERAGE('22.08 Mbale-Sironko-24h'!C85,'24.08 Mbale-Sironko-24h'!C85)</f>
        <v>0</v>
      </c>
      <c r="D85" s="49">
        <f>AVERAGE('22.08 Mbale-Sironko-24h'!D85,'24.08 Mbale-Sironko-24h'!D85)</f>
        <v>0</v>
      </c>
      <c r="E85" s="49">
        <f>AVERAGE('22.08 Mbale-Sironko-24h'!E85,'24.08 Mbale-Sironko-24h'!E85)</f>
        <v>0.5</v>
      </c>
      <c r="F85" s="49">
        <f>AVERAGE('22.08 Mbale-Sironko-24h'!F85,'24.08 Mbale-Sironko-24h'!F85)</f>
        <v>0</v>
      </c>
      <c r="G85" s="49">
        <f>AVERAGE('22.08 Mbale-Sironko-24h'!G85,'24.08 Mbale-Sironko-24h'!G85)</f>
        <v>0</v>
      </c>
      <c r="H85" s="49">
        <f>AVERAGE('22.08 Mbale-Sironko-24h'!H85,'24.08 Mbale-Sironko-24h'!H85)</f>
        <v>0</v>
      </c>
      <c r="I85" s="49">
        <f>AVERAGE('22.08 Mbale-Sironko-24h'!I85,'24.08 Mbale-Sironko-24h'!I85)</f>
        <v>0.5</v>
      </c>
      <c r="J85" s="49">
        <f>AVERAGE('22.08 Mbale-Sironko-24h'!J85,'24.08 Mbale-Sironko-24h'!J85)</f>
        <v>0</v>
      </c>
      <c r="K85" s="49">
        <f>AVERAGE('22.08 Mbale-Sironko-24h'!K85,'24.08 Mbale-Sironko-24h'!K85)</f>
        <v>0</v>
      </c>
      <c r="L85" s="49">
        <f>AVERAGE('22.08 Mbale-Sironko-24h'!L85,'24.08 Mbale-Sironko-24h'!L85)</f>
        <v>0</v>
      </c>
      <c r="M85" s="49">
        <f>AVERAGE('22.08 Mbale-Sironko-24h'!M85,'24.08 Mbale-Sironko-24h'!M85)</f>
        <v>1.5</v>
      </c>
      <c r="N85" s="49">
        <f>AVERAGE('22.08 Mbale-Sironko-24h'!N85,'24.08 Mbale-Sironko-24h'!N85)</f>
        <v>0</v>
      </c>
      <c r="O85" s="15">
        <f t="shared" si="35"/>
        <v>1</v>
      </c>
      <c r="P85" s="15">
        <f t="shared" si="36"/>
        <v>2.5</v>
      </c>
      <c r="R85" s="8"/>
      <c r="T85"/>
    </row>
    <row r="86" spans="2:20" ht="23.1" customHeight="1" x14ac:dyDescent="0.25">
      <c r="B86" s="24" t="s">
        <v>126</v>
      </c>
      <c r="C86" s="49">
        <f>AVERAGE('22.08 Mbale-Sironko-24h'!C86,'24.08 Mbale-Sironko-24h'!C86)</f>
        <v>0</v>
      </c>
      <c r="D86" s="49">
        <f>AVERAGE('22.08 Mbale-Sironko-24h'!D86,'24.08 Mbale-Sironko-24h'!D86)</f>
        <v>0</v>
      </c>
      <c r="E86" s="49">
        <f>AVERAGE('22.08 Mbale-Sironko-24h'!E86,'24.08 Mbale-Sironko-24h'!E86)</f>
        <v>1</v>
      </c>
      <c r="F86" s="49">
        <f>AVERAGE('22.08 Mbale-Sironko-24h'!F86,'24.08 Mbale-Sironko-24h'!F86)</f>
        <v>0</v>
      </c>
      <c r="G86" s="49">
        <f>AVERAGE('22.08 Mbale-Sironko-24h'!G86,'24.08 Mbale-Sironko-24h'!G86)</f>
        <v>0</v>
      </c>
      <c r="H86" s="49">
        <f>AVERAGE('22.08 Mbale-Sironko-24h'!H86,'24.08 Mbale-Sironko-24h'!H86)</f>
        <v>0</v>
      </c>
      <c r="I86" s="49">
        <f>AVERAGE('22.08 Mbale-Sironko-24h'!I86,'24.08 Mbale-Sironko-24h'!I86)</f>
        <v>0.5</v>
      </c>
      <c r="J86" s="49">
        <f>AVERAGE('22.08 Mbale-Sironko-24h'!J86,'24.08 Mbale-Sironko-24h'!J86)</f>
        <v>0</v>
      </c>
      <c r="K86" s="49">
        <f>AVERAGE('22.08 Mbale-Sironko-24h'!K86,'24.08 Mbale-Sironko-24h'!K86)</f>
        <v>0</v>
      </c>
      <c r="L86" s="49">
        <f>AVERAGE('22.08 Mbale-Sironko-24h'!L86,'24.08 Mbale-Sironko-24h'!L86)</f>
        <v>0</v>
      </c>
      <c r="M86" s="49">
        <f>AVERAGE('22.08 Mbale-Sironko-24h'!M86,'24.08 Mbale-Sironko-24h'!M86)</f>
        <v>0.5</v>
      </c>
      <c r="N86" s="49">
        <f>AVERAGE('22.08 Mbale-Sironko-24h'!N86,'24.08 Mbale-Sironko-24h'!N86)</f>
        <v>0</v>
      </c>
      <c r="O86" s="15">
        <f t="shared" si="35"/>
        <v>1.5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AVERAGE('22.08 Mbale-Sironko-24h'!C87,'24.08 Mbale-Sironko-24h'!C87)</f>
        <v>1</v>
      </c>
      <c r="D87" s="49">
        <f>AVERAGE('22.08 Mbale-Sironko-24h'!D87,'24.08 Mbale-Sironko-24h'!D87)</f>
        <v>0</v>
      </c>
      <c r="E87" s="49">
        <f>AVERAGE('22.08 Mbale-Sironko-24h'!E87,'24.08 Mbale-Sironko-24h'!E87)</f>
        <v>0.5</v>
      </c>
      <c r="F87" s="49">
        <f>AVERAGE('22.08 Mbale-Sironko-24h'!F87,'24.08 Mbale-Sironko-24h'!F87)</f>
        <v>0</v>
      </c>
      <c r="G87" s="49">
        <f>AVERAGE('22.08 Mbale-Sironko-24h'!G87,'24.08 Mbale-Sironko-24h'!G87)</f>
        <v>0</v>
      </c>
      <c r="H87" s="49">
        <f>AVERAGE('22.08 Mbale-Sironko-24h'!H87,'24.08 Mbale-Sironko-24h'!H87)</f>
        <v>0</v>
      </c>
      <c r="I87" s="49">
        <f>AVERAGE('22.08 Mbale-Sironko-24h'!I87,'24.08 Mbale-Sironko-24h'!I87)</f>
        <v>0</v>
      </c>
      <c r="J87" s="49">
        <f>AVERAGE('22.08 Mbale-Sironko-24h'!J87,'24.08 Mbale-Sironko-24h'!J87)</f>
        <v>0</v>
      </c>
      <c r="K87" s="49">
        <f>AVERAGE('22.08 Mbale-Sironko-24h'!K87,'24.08 Mbale-Sironko-24h'!K87)</f>
        <v>0</v>
      </c>
      <c r="L87" s="49">
        <f>AVERAGE('22.08 Mbale-Sironko-24h'!L87,'24.08 Mbale-Sironko-24h'!L87)</f>
        <v>0</v>
      </c>
      <c r="M87" s="49">
        <f>AVERAGE('22.08 Mbale-Sironko-24h'!M87,'24.08 Mbale-Sironko-24h'!M87)</f>
        <v>2</v>
      </c>
      <c r="N87" s="49">
        <f>AVERAGE('22.08 Mbale-Sironko-24h'!N87,'24.08 Mbale-Sironko-24h'!N87)</f>
        <v>0</v>
      </c>
      <c r="O87" s="15">
        <f t="shared" si="35"/>
        <v>1.5</v>
      </c>
      <c r="P87" s="15">
        <f t="shared" si="36"/>
        <v>3.5</v>
      </c>
      <c r="R87" s="8"/>
      <c r="T87"/>
    </row>
    <row r="88" spans="2:20" ht="23.1" customHeight="1" x14ac:dyDescent="0.25">
      <c r="B88" s="25" t="s">
        <v>128</v>
      </c>
      <c r="C88" s="49">
        <f>AVERAGE('22.08 Mbale-Sironko-24h'!C88,'24.08 Mbale-Sironko-24h'!C88)</f>
        <v>0</v>
      </c>
      <c r="D88" s="49">
        <f>AVERAGE('22.08 Mbale-Sironko-24h'!D88,'24.08 Mbale-Sironko-24h'!D88)</f>
        <v>0</v>
      </c>
      <c r="E88" s="49">
        <f>AVERAGE('22.08 Mbale-Sironko-24h'!E88,'24.08 Mbale-Sironko-24h'!E88)</f>
        <v>0.5</v>
      </c>
      <c r="F88" s="49">
        <f>AVERAGE('22.08 Mbale-Sironko-24h'!F88,'24.08 Mbale-Sironko-24h'!F88)</f>
        <v>0</v>
      </c>
      <c r="G88" s="49">
        <f>AVERAGE('22.08 Mbale-Sironko-24h'!G88,'24.08 Mbale-Sironko-24h'!G88)</f>
        <v>0</v>
      </c>
      <c r="H88" s="49">
        <f>AVERAGE('22.08 Mbale-Sironko-24h'!H88,'24.08 Mbale-Sironko-24h'!H88)</f>
        <v>0</v>
      </c>
      <c r="I88" s="49">
        <f>AVERAGE('22.08 Mbale-Sironko-24h'!I88,'24.08 Mbale-Sironko-24h'!I88)</f>
        <v>0.5</v>
      </c>
      <c r="J88" s="49">
        <f>AVERAGE('22.08 Mbale-Sironko-24h'!J88,'24.08 Mbale-Sironko-24h'!J88)</f>
        <v>0</v>
      </c>
      <c r="K88" s="49">
        <f>AVERAGE('22.08 Mbale-Sironko-24h'!K88,'24.08 Mbale-Sironko-24h'!K88)</f>
        <v>0</v>
      </c>
      <c r="L88" s="49">
        <f>AVERAGE('22.08 Mbale-Sironko-24h'!L88,'24.08 Mbale-Sironko-24h'!L88)</f>
        <v>0</v>
      </c>
      <c r="M88" s="49">
        <f>AVERAGE('22.08 Mbale-Sironko-24h'!M88,'24.08 Mbale-Sironko-24h'!M88)</f>
        <v>2</v>
      </c>
      <c r="N88" s="49">
        <f>AVERAGE('22.08 Mbale-Sironko-24h'!N88,'24.08 Mbale-Sironko-24h'!N88)</f>
        <v>0</v>
      </c>
      <c r="O88" s="15">
        <f t="shared" si="35"/>
        <v>1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AVERAGE('22.08 Mbale-Sironko-24h'!C89,'24.08 Mbale-Sironko-24h'!C89)</f>
        <v>0</v>
      </c>
      <c r="D89" s="49">
        <f>AVERAGE('22.08 Mbale-Sironko-24h'!D89,'24.08 Mbale-Sironko-24h'!D89)</f>
        <v>0</v>
      </c>
      <c r="E89" s="49">
        <f>AVERAGE('22.08 Mbale-Sironko-24h'!E89,'24.08 Mbale-Sironko-24h'!E89)</f>
        <v>0.5</v>
      </c>
      <c r="F89" s="49">
        <f>AVERAGE('22.08 Mbale-Sironko-24h'!F89,'24.08 Mbale-Sironko-24h'!F89)</f>
        <v>0</v>
      </c>
      <c r="G89" s="49">
        <f>AVERAGE('22.08 Mbale-Sironko-24h'!G89,'24.08 Mbale-Sironko-24h'!G89)</f>
        <v>0</v>
      </c>
      <c r="H89" s="49">
        <f>AVERAGE('22.08 Mbale-Sironko-24h'!H89,'24.08 Mbale-Sironko-24h'!H89)</f>
        <v>0</v>
      </c>
      <c r="I89" s="49">
        <f>AVERAGE('22.08 Mbale-Sironko-24h'!I89,'24.08 Mbale-Sironko-24h'!I89)</f>
        <v>2.5</v>
      </c>
      <c r="J89" s="49">
        <f>AVERAGE('22.08 Mbale-Sironko-24h'!J89,'24.08 Mbale-Sironko-24h'!J89)</f>
        <v>0.5</v>
      </c>
      <c r="K89" s="49">
        <f>AVERAGE('22.08 Mbale-Sironko-24h'!K89,'24.08 Mbale-Sironko-24h'!K89)</f>
        <v>0</v>
      </c>
      <c r="L89" s="49">
        <f>AVERAGE('22.08 Mbale-Sironko-24h'!L89,'24.08 Mbale-Sironko-24h'!L89)</f>
        <v>0</v>
      </c>
      <c r="M89" s="49">
        <f>AVERAGE('22.08 Mbale-Sironko-24h'!M89,'24.08 Mbale-Sironko-24h'!M89)</f>
        <v>0.5</v>
      </c>
      <c r="N89" s="49">
        <f>AVERAGE('22.08 Mbale-Sironko-24h'!N89,'24.08 Mbale-Sironko-24h'!N89)</f>
        <v>0</v>
      </c>
      <c r="O89" s="15">
        <f t="shared" si="35"/>
        <v>3.5</v>
      </c>
      <c r="P89" s="15">
        <f t="shared" si="36"/>
        <v>4</v>
      </c>
      <c r="R89" s="8"/>
      <c r="T89"/>
    </row>
    <row r="90" spans="2:20" ht="23.1" customHeight="1" x14ac:dyDescent="0.25">
      <c r="B90" s="24" t="s">
        <v>130</v>
      </c>
      <c r="C90" s="49">
        <f>AVERAGE('22.08 Mbale-Sironko-24h'!C90,'24.08 Mbale-Sironko-24h'!C90)</f>
        <v>0</v>
      </c>
      <c r="D90" s="49">
        <f>AVERAGE('22.08 Mbale-Sironko-24h'!D90,'24.08 Mbale-Sironko-24h'!D90)</f>
        <v>0</v>
      </c>
      <c r="E90" s="49">
        <f>AVERAGE('22.08 Mbale-Sironko-24h'!E90,'24.08 Mbale-Sironko-24h'!E90)</f>
        <v>0</v>
      </c>
      <c r="F90" s="49">
        <f>AVERAGE('22.08 Mbale-Sironko-24h'!F90,'24.08 Mbale-Sironko-24h'!F90)</f>
        <v>0</v>
      </c>
      <c r="G90" s="49">
        <f>AVERAGE('22.08 Mbale-Sironko-24h'!G90,'24.08 Mbale-Sironko-24h'!G90)</f>
        <v>0</v>
      </c>
      <c r="H90" s="49">
        <f>AVERAGE('22.08 Mbale-Sironko-24h'!H90,'24.08 Mbale-Sironko-24h'!H90)</f>
        <v>0</v>
      </c>
      <c r="I90" s="49">
        <f>AVERAGE('22.08 Mbale-Sironko-24h'!I90,'24.08 Mbale-Sironko-24h'!I90)</f>
        <v>1</v>
      </c>
      <c r="J90" s="49">
        <f>AVERAGE('22.08 Mbale-Sironko-24h'!J90,'24.08 Mbale-Sironko-24h'!J90)</f>
        <v>0</v>
      </c>
      <c r="K90" s="49">
        <f>AVERAGE('22.08 Mbale-Sironko-24h'!K90,'24.08 Mbale-Sironko-24h'!K90)</f>
        <v>0</v>
      </c>
      <c r="L90" s="49">
        <f>AVERAGE('22.08 Mbale-Sironko-24h'!L90,'24.08 Mbale-Sironko-24h'!L90)</f>
        <v>0</v>
      </c>
      <c r="M90" s="49">
        <f>AVERAGE('22.08 Mbale-Sironko-24h'!M90,'24.08 Mbale-Sironko-24h'!M90)</f>
        <v>0</v>
      </c>
      <c r="N90" s="49">
        <f>AVERAGE('22.08 Mbale-Sironko-24h'!N90,'24.08 Mbale-Sironko-24h'!N90)</f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AVERAGE('22.08 Mbale-Sironko-24h'!C91,'24.08 Mbale-Sironko-24h'!C91)</f>
        <v>0</v>
      </c>
      <c r="D91" s="49">
        <f>AVERAGE('22.08 Mbale-Sironko-24h'!D91,'24.08 Mbale-Sironko-24h'!D91)</f>
        <v>0</v>
      </c>
      <c r="E91" s="49">
        <f>AVERAGE('22.08 Mbale-Sironko-24h'!E91,'24.08 Mbale-Sironko-24h'!E91)</f>
        <v>0</v>
      </c>
      <c r="F91" s="49">
        <f>AVERAGE('22.08 Mbale-Sironko-24h'!F91,'24.08 Mbale-Sironko-24h'!F91)</f>
        <v>0</v>
      </c>
      <c r="G91" s="49">
        <f>AVERAGE('22.08 Mbale-Sironko-24h'!G91,'24.08 Mbale-Sironko-24h'!G91)</f>
        <v>0</v>
      </c>
      <c r="H91" s="49">
        <f>AVERAGE('22.08 Mbale-Sironko-24h'!H91,'24.08 Mbale-Sironko-24h'!H91)</f>
        <v>0</v>
      </c>
      <c r="I91" s="49">
        <f>AVERAGE('22.08 Mbale-Sironko-24h'!I91,'24.08 Mbale-Sironko-24h'!I91)</f>
        <v>0.5</v>
      </c>
      <c r="J91" s="49">
        <f>AVERAGE('22.08 Mbale-Sironko-24h'!J91,'24.08 Mbale-Sironko-24h'!J91)</f>
        <v>0</v>
      </c>
      <c r="K91" s="49">
        <f>AVERAGE('22.08 Mbale-Sironko-24h'!K91,'24.08 Mbale-Sironko-24h'!K91)</f>
        <v>0</v>
      </c>
      <c r="L91" s="49">
        <f>AVERAGE('22.08 Mbale-Sironko-24h'!L91,'24.08 Mbale-Sironko-24h'!L91)</f>
        <v>0</v>
      </c>
      <c r="M91" s="49">
        <f>AVERAGE('22.08 Mbale-Sironko-24h'!M91,'24.08 Mbale-Sironko-24h'!M91)</f>
        <v>0</v>
      </c>
      <c r="N91" s="49">
        <f>AVERAGE('22.08 Mbale-Sironko-24h'!N91,'24.08 Mbale-Sironko-24h'!N91)</f>
        <v>0</v>
      </c>
      <c r="O91" s="15">
        <f t="shared" si="35"/>
        <v>0.5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AVERAGE('22.08 Mbale-Sironko-24h'!C92,'24.08 Mbale-Sironko-24h'!C92)</f>
        <v>0.5</v>
      </c>
      <c r="D92" s="49">
        <f>AVERAGE('22.08 Mbale-Sironko-24h'!D92,'24.08 Mbale-Sironko-24h'!D92)</f>
        <v>0</v>
      </c>
      <c r="E92" s="49">
        <f>AVERAGE('22.08 Mbale-Sironko-24h'!E92,'24.08 Mbale-Sironko-24h'!E92)</f>
        <v>1</v>
      </c>
      <c r="F92" s="49">
        <f>AVERAGE('22.08 Mbale-Sironko-24h'!F92,'24.08 Mbale-Sironko-24h'!F92)</f>
        <v>0</v>
      </c>
      <c r="G92" s="49">
        <f>AVERAGE('22.08 Mbale-Sironko-24h'!G92,'24.08 Mbale-Sironko-24h'!G92)</f>
        <v>0</v>
      </c>
      <c r="H92" s="49">
        <f>AVERAGE('22.08 Mbale-Sironko-24h'!H92,'24.08 Mbale-Sironko-24h'!H92)</f>
        <v>0</v>
      </c>
      <c r="I92" s="49">
        <f>AVERAGE('22.08 Mbale-Sironko-24h'!I92,'24.08 Mbale-Sironko-24h'!I92)</f>
        <v>1</v>
      </c>
      <c r="J92" s="49">
        <f>AVERAGE('22.08 Mbale-Sironko-24h'!J92,'24.08 Mbale-Sironko-24h'!J92)</f>
        <v>0</v>
      </c>
      <c r="K92" s="49">
        <f>AVERAGE('22.08 Mbale-Sironko-24h'!K92,'24.08 Mbale-Sironko-24h'!K92)</f>
        <v>0</v>
      </c>
      <c r="L92" s="49">
        <f>AVERAGE('22.08 Mbale-Sironko-24h'!L92,'24.08 Mbale-Sironko-24h'!L92)</f>
        <v>0</v>
      </c>
      <c r="M92" s="49">
        <f>AVERAGE('22.08 Mbale-Sironko-24h'!M92,'24.08 Mbale-Sironko-24h'!M92)</f>
        <v>1</v>
      </c>
      <c r="N92" s="49">
        <f>AVERAGE('22.08 Mbale-Sironko-24h'!N92,'24.08 Mbale-Sironko-24h'!N92)</f>
        <v>0</v>
      </c>
      <c r="O92" s="15">
        <f t="shared" si="35"/>
        <v>2.5</v>
      </c>
      <c r="P92" s="15">
        <f t="shared" si="36"/>
        <v>3.5</v>
      </c>
      <c r="R92" s="8"/>
      <c r="T92"/>
    </row>
    <row r="93" spans="2:20" ht="23.1" customHeight="1" x14ac:dyDescent="0.25">
      <c r="B93" s="23" t="s">
        <v>133</v>
      </c>
      <c r="C93" s="49">
        <f>AVERAGE('22.08 Mbale-Sironko-24h'!C93,'24.08 Mbale-Sironko-24h'!C93)</f>
        <v>0</v>
      </c>
      <c r="D93" s="49">
        <f>AVERAGE('22.08 Mbale-Sironko-24h'!D93,'24.08 Mbale-Sironko-24h'!D93)</f>
        <v>0</v>
      </c>
      <c r="E93" s="49">
        <f>AVERAGE('22.08 Mbale-Sironko-24h'!E93,'24.08 Mbale-Sironko-24h'!E93)</f>
        <v>1</v>
      </c>
      <c r="F93" s="49">
        <f>AVERAGE('22.08 Mbale-Sironko-24h'!F93,'24.08 Mbale-Sironko-24h'!F93)</f>
        <v>0</v>
      </c>
      <c r="G93" s="49">
        <f>AVERAGE('22.08 Mbale-Sironko-24h'!G93,'24.08 Mbale-Sironko-24h'!G93)</f>
        <v>0</v>
      </c>
      <c r="H93" s="49">
        <f>AVERAGE('22.08 Mbale-Sironko-24h'!H93,'24.08 Mbale-Sironko-24h'!H93)</f>
        <v>0</v>
      </c>
      <c r="I93" s="49">
        <f>AVERAGE('22.08 Mbale-Sironko-24h'!I93,'24.08 Mbale-Sironko-24h'!I93)</f>
        <v>1</v>
      </c>
      <c r="J93" s="49">
        <f>AVERAGE('22.08 Mbale-Sironko-24h'!J93,'24.08 Mbale-Sironko-24h'!J93)</f>
        <v>0</v>
      </c>
      <c r="K93" s="49">
        <f>AVERAGE('22.08 Mbale-Sironko-24h'!K93,'24.08 Mbale-Sironko-24h'!K93)</f>
        <v>0</v>
      </c>
      <c r="L93" s="49">
        <f>AVERAGE('22.08 Mbale-Sironko-24h'!L93,'24.08 Mbale-Sironko-24h'!L93)</f>
        <v>0</v>
      </c>
      <c r="M93" s="49">
        <f>AVERAGE('22.08 Mbale-Sironko-24h'!M93,'24.08 Mbale-Sironko-24h'!M93)</f>
        <v>1.5</v>
      </c>
      <c r="N93" s="49">
        <f>AVERAGE('22.08 Mbale-Sironko-24h'!N93,'24.08 Mbale-Sironko-24h'!N93)</f>
        <v>0</v>
      </c>
      <c r="O93" s="15">
        <f t="shared" si="35"/>
        <v>2</v>
      </c>
      <c r="P93" s="15">
        <f t="shared" si="36"/>
        <v>3.5</v>
      </c>
      <c r="R93" s="8"/>
      <c r="T93"/>
    </row>
    <row r="94" spans="2:20" ht="23.1" customHeight="1" x14ac:dyDescent="0.25">
      <c r="B94" s="24" t="s">
        <v>134</v>
      </c>
      <c r="C94" s="49">
        <f>AVERAGE('22.08 Mbale-Sironko-24h'!C94,'24.08 Mbale-Sironko-24h'!C94)</f>
        <v>0</v>
      </c>
      <c r="D94" s="49">
        <f>AVERAGE('22.08 Mbale-Sironko-24h'!D94,'24.08 Mbale-Sironko-24h'!D94)</f>
        <v>0</v>
      </c>
      <c r="E94" s="49">
        <f>AVERAGE('22.08 Mbale-Sironko-24h'!E94,'24.08 Mbale-Sironko-24h'!E94)</f>
        <v>0.5</v>
      </c>
      <c r="F94" s="49">
        <f>AVERAGE('22.08 Mbale-Sironko-24h'!F94,'24.08 Mbale-Sironko-24h'!F94)</f>
        <v>0</v>
      </c>
      <c r="G94" s="49">
        <f>AVERAGE('22.08 Mbale-Sironko-24h'!G94,'24.08 Mbale-Sironko-24h'!G94)</f>
        <v>0</v>
      </c>
      <c r="H94" s="49">
        <f>AVERAGE('22.08 Mbale-Sironko-24h'!H94,'24.08 Mbale-Sironko-24h'!H94)</f>
        <v>0</v>
      </c>
      <c r="I94" s="49">
        <f>AVERAGE('22.08 Mbale-Sironko-24h'!I94,'24.08 Mbale-Sironko-24h'!I94)</f>
        <v>0.5</v>
      </c>
      <c r="J94" s="49">
        <f>AVERAGE('22.08 Mbale-Sironko-24h'!J94,'24.08 Mbale-Sironko-24h'!J94)</f>
        <v>0</v>
      </c>
      <c r="K94" s="49">
        <f>AVERAGE('22.08 Mbale-Sironko-24h'!K94,'24.08 Mbale-Sironko-24h'!K94)</f>
        <v>0</v>
      </c>
      <c r="L94" s="49">
        <f>AVERAGE('22.08 Mbale-Sironko-24h'!L94,'24.08 Mbale-Sironko-24h'!L94)</f>
        <v>0</v>
      </c>
      <c r="M94" s="49">
        <f>AVERAGE('22.08 Mbale-Sironko-24h'!M94,'24.08 Mbale-Sironko-24h'!M94)</f>
        <v>1.5</v>
      </c>
      <c r="N94" s="49">
        <f>AVERAGE('22.08 Mbale-Sironko-24h'!N94,'24.08 Mbale-Sironko-24h'!N94)</f>
        <v>0</v>
      </c>
      <c r="O94" s="15">
        <f t="shared" si="35"/>
        <v>1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AVERAGE('22.08 Mbale-Sironko-24h'!C95,'24.08 Mbale-Sironko-24h'!C95)</f>
        <v>0</v>
      </c>
      <c r="D95" s="49">
        <f>AVERAGE('22.08 Mbale-Sironko-24h'!D95,'24.08 Mbale-Sironko-24h'!D95)</f>
        <v>0</v>
      </c>
      <c r="E95" s="49">
        <f>AVERAGE('22.08 Mbale-Sironko-24h'!E95,'24.08 Mbale-Sironko-24h'!E95)</f>
        <v>0</v>
      </c>
      <c r="F95" s="49">
        <f>AVERAGE('22.08 Mbale-Sironko-24h'!F95,'24.08 Mbale-Sironko-24h'!F95)</f>
        <v>0</v>
      </c>
      <c r="G95" s="49">
        <f>AVERAGE('22.08 Mbale-Sironko-24h'!G95,'24.08 Mbale-Sironko-24h'!G95)</f>
        <v>0</v>
      </c>
      <c r="H95" s="49">
        <f>AVERAGE('22.08 Mbale-Sironko-24h'!H95,'24.08 Mbale-Sironko-24h'!H95)</f>
        <v>0</v>
      </c>
      <c r="I95" s="49">
        <f>AVERAGE('22.08 Mbale-Sironko-24h'!I95,'24.08 Mbale-Sironko-24h'!I95)</f>
        <v>0.5</v>
      </c>
      <c r="J95" s="49">
        <f>AVERAGE('22.08 Mbale-Sironko-24h'!J95,'24.08 Mbale-Sironko-24h'!J95)</f>
        <v>0</v>
      </c>
      <c r="K95" s="49">
        <f>AVERAGE('22.08 Mbale-Sironko-24h'!K95,'24.08 Mbale-Sironko-24h'!K95)</f>
        <v>0</v>
      </c>
      <c r="L95" s="49">
        <f>AVERAGE('22.08 Mbale-Sironko-24h'!L95,'24.08 Mbale-Sironko-24h'!L95)</f>
        <v>0</v>
      </c>
      <c r="M95" s="49">
        <f>AVERAGE('22.08 Mbale-Sironko-24h'!M95,'24.08 Mbale-Sironko-24h'!M95)</f>
        <v>0.5</v>
      </c>
      <c r="N95" s="49">
        <f>AVERAGE('22.08 Mbale-Sironko-24h'!N95,'24.08 Mbale-Sironko-24h'!N95)</f>
        <v>0</v>
      </c>
      <c r="O95" s="15">
        <f t="shared" si="35"/>
        <v>0.5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AVERAGE('22.08 Mbale-Sironko-24h'!C96,'24.08 Mbale-Sironko-24h'!C96)</f>
        <v>0</v>
      </c>
      <c r="D96" s="49">
        <f>AVERAGE('22.08 Mbale-Sironko-24h'!D96,'24.08 Mbale-Sironko-24h'!D96)</f>
        <v>0</v>
      </c>
      <c r="E96" s="49">
        <f>AVERAGE('22.08 Mbale-Sironko-24h'!E96,'24.08 Mbale-Sironko-24h'!E96)</f>
        <v>0.5</v>
      </c>
      <c r="F96" s="49">
        <f>AVERAGE('22.08 Mbale-Sironko-24h'!F96,'24.08 Mbale-Sironko-24h'!F96)</f>
        <v>0</v>
      </c>
      <c r="G96" s="49">
        <f>AVERAGE('22.08 Mbale-Sironko-24h'!G96,'24.08 Mbale-Sironko-24h'!G96)</f>
        <v>0</v>
      </c>
      <c r="H96" s="49">
        <f>AVERAGE('22.08 Mbale-Sironko-24h'!H96,'24.08 Mbale-Sironko-24h'!H96)</f>
        <v>0</v>
      </c>
      <c r="I96" s="49">
        <f>AVERAGE('22.08 Mbale-Sironko-24h'!I96,'24.08 Mbale-Sironko-24h'!I96)</f>
        <v>1</v>
      </c>
      <c r="J96" s="49">
        <f>AVERAGE('22.08 Mbale-Sironko-24h'!J96,'24.08 Mbale-Sironko-24h'!J96)</f>
        <v>0</v>
      </c>
      <c r="K96" s="49">
        <f>AVERAGE('22.08 Mbale-Sironko-24h'!K96,'24.08 Mbale-Sironko-24h'!K96)</f>
        <v>0</v>
      </c>
      <c r="L96" s="49">
        <f>AVERAGE('22.08 Mbale-Sironko-24h'!L96,'24.08 Mbale-Sironko-24h'!L96)</f>
        <v>0</v>
      </c>
      <c r="M96" s="49">
        <f>AVERAGE('22.08 Mbale-Sironko-24h'!M96,'24.08 Mbale-Sironko-24h'!M96)</f>
        <v>1.5</v>
      </c>
      <c r="N96" s="49">
        <f>AVERAGE('22.08 Mbale-Sironko-24h'!N96,'24.08 Mbale-Sironko-24h'!N96)</f>
        <v>0</v>
      </c>
      <c r="O96" s="15">
        <f t="shared" si="35"/>
        <v>1.5</v>
      </c>
      <c r="P96" s="15">
        <f t="shared" si="36"/>
        <v>3</v>
      </c>
      <c r="R96" s="8"/>
      <c r="T96"/>
    </row>
    <row r="97" spans="2:20" ht="23.1" customHeight="1" x14ac:dyDescent="0.25">
      <c r="B97" s="23" t="s">
        <v>137</v>
      </c>
      <c r="C97" s="49">
        <f>AVERAGE('22.08 Mbale-Sironko-24h'!C97,'24.08 Mbale-Sironko-24h'!C97)</f>
        <v>0</v>
      </c>
      <c r="D97" s="49">
        <f>AVERAGE('22.08 Mbale-Sironko-24h'!D97,'24.08 Mbale-Sironko-24h'!D97)</f>
        <v>0</v>
      </c>
      <c r="E97" s="49">
        <f>AVERAGE('22.08 Mbale-Sironko-24h'!E97,'24.08 Mbale-Sironko-24h'!E97)</f>
        <v>0.5</v>
      </c>
      <c r="F97" s="49">
        <f>AVERAGE('22.08 Mbale-Sironko-24h'!F97,'24.08 Mbale-Sironko-24h'!F97)</f>
        <v>0</v>
      </c>
      <c r="G97" s="49">
        <f>AVERAGE('22.08 Mbale-Sironko-24h'!G97,'24.08 Mbale-Sironko-24h'!G97)</f>
        <v>0</v>
      </c>
      <c r="H97" s="49">
        <f>AVERAGE('22.08 Mbale-Sironko-24h'!H97,'24.08 Mbale-Sironko-24h'!H97)</f>
        <v>0</v>
      </c>
      <c r="I97" s="49">
        <f>AVERAGE('22.08 Mbale-Sironko-24h'!I97,'24.08 Mbale-Sironko-24h'!I97)</f>
        <v>3.5</v>
      </c>
      <c r="J97" s="49">
        <f>AVERAGE('22.08 Mbale-Sironko-24h'!J97,'24.08 Mbale-Sironko-24h'!J97)</f>
        <v>0</v>
      </c>
      <c r="K97" s="49">
        <f>AVERAGE('22.08 Mbale-Sironko-24h'!K97,'24.08 Mbale-Sironko-24h'!K97)</f>
        <v>0</v>
      </c>
      <c r="L97" s="49">
        <f>AVERAGE('22.08 Mbale-Sironko-24h'!L97,'24.08 Mbale-Sironko-24h'!L97)</f>
        <v>0</v>
      </c>
      <c r="M97" s="49">
        <f>AVERAGE('22.08 Mbale-Sironko-24h'!M97,'24.08 Mbale-Sironko-24h'!M97)</f>
        <v>0.5</v>
      </c>
      <c r="N97" s="49">
        <f>AVERAGE('22.08 Mbale-Sironko-24h'!N97,'24.08 Mbale-Sironko-24h'!N97)</f>
        <v>0</v>
      </c>
      <c r="O97" s="15">
        <f t="shared" si="35"/>
        <v>4</v>
      </c>
      <c r="P97" s="15">
        <f t="shared" si="36"/>
        <v>4.5</v>
      </c>
      <c r="R97" s="8"/>
      <c r="T97"/>
    </row>
    <row r="98" spans="2:20" ht="23.1" customHeight="1" x14ac:dyDescent="0.25">
      <c r="B98" s="24" t="s">
        <v>138</v>
      </c>
      <c r="C98" s="49">
        <f>AVERAGE('22.08 Mbale-Sironko-24h'!C98,'24.08 Mbale-Sironko-24h'!C98)</f>
        <v>0</v>
      </c>
      <c r="D98" s="49">
        <f>AVERAGE('22.08 Mbale-Sironko-24h'!D98,'24.08 Mbale-Sironko-24h'!D98)</f>
        <v>0</v>
      </c>
      <c r="E98" s="49">
        <f>AVERAGE('22.08 Mbale-Sironko-24h'!E98,'24.08 Mbale-Sironko-24h'!E98)</f>
        <v>1.5</v>
      </c>
      <c r="F98" s="49">
        <f>AVERAGE('22.08 Mbale-Sironko-24h'!F98,'24.08 Mbale-Sironko-24h'!F98)</f>
        <v>0</v>
      </c>
      <c r="G98" s="49">
        <f>AVERAGE('22.08 Mbale-Sironko-24h'!G98,'24.08 Mbale-Sironko-24h'!G98)</f>
        <v>0</v>
      </c>
      <c r="H98" s="49">
        <f>AVERAGE('22.08 Mbale-Sironko-24h'!H98,'24.08 Mbale-Sironko-24h'!H98)</f>
        <v>0</v>
      </c>
      <c r="I98" s="49">
        <f>AVERAGE('22.08 Mbale-Sironko-24h'!I98,'24.08 Mbale-Sironko-24h'!I98)</f>
        <v>1</v>
      </c>
      <c r="J98" s="49">
        <f>AVERAGE('22.08 Mbale-Sironko-24h'!J98,'24.08 Mbale-Sironko-24h'!J98)</f>
        <v>0</v>
      </c>
      <c r="K98" s="49">
        <f>AVERAGE('22.08 Mbale-Sironko-24h'!K98,'24.08 Mbale-Sironko-24h'!K98)</f>
        <v>0.5</v>
      </c>
      <c r="L98" s="49">
        <f>AVERAGE('22.08 Mbale-Sironko-24h'!L98,'24.08 Mbale-Sironko-24h'!L98)</f>
        <v>0</v>
      </c>
      <c r="M98" s="49">
        <f>AVERAGE('22.08 Mbale-Sironko-24h'!M98,'24.08 Mbale-Sironko-24h'!M98)</f>
        <v>1</v>
      </c>
      <c r="N98" s="49">
        <f>AVERAGE('22.08 Mbale-Sironko-24h'!N98,'24.08 Mbale-Sironko-24h'!N98)</f>
        <v>0</v>
      </c>
      <c r="O98" s="15">
        <f t="shared" si="35"/>
        <v>3</v>
      </c>
      <c r="P98" s="15">
        <f t="shared" si="36"/>
        <v>4</v>
      </c>
      <c r="R98" s="8"/>
      <c r="T98"/>
    </row>
    <row r="99" spans="2:20" ht="23.1" customHeight="1" x14ac:dyDescent="0.25">
      <c r="B99" s="23" t="s">
        <v>139</v>
      </c>
      <c r="C99" s="49">
        <f>AVERAGE('22.08 Mbale-Sironko-24h'!C99,'24.08 Mbale-Sironko-24h'!C99)</f>
        <v>0.5</v>
      </c>
      <c r="D99" s="49">
        <f>AVERAGE('22.08 Mbale-Sironko-24h'!D99,'24.08 Mbale-Sironko-24h'!D99)</f>
        <v>0</v>
      </c>
      <c r="E99" s="49">
        <f>AVERAGE('22.08 Mbale-Sironko-24h'!E99,'24.08 Mbale-Sironko-24h'!E99)</f>
        <v>1</v>
      </c>
      <c r="F99" s="49">
        <f>AVERAGE('22.08 Mbale-Sironko-24h'!F99,'24.08 Mbale-Sironko-24h'!F99)</f>
        <v>0.5</v>
      </c>
      <c r="G99" s="49">
        <f>AVERAGE('22.08 Mbale-Sironko-24h'!G99,'24.08 Mbale-Sironko-24h'!G99)</f>
        <v>0</v>
      </c>
      <c r="H99" s="49">
        <f>AVERAGE('22.08 Mbale-Sironko-24h'!H99,'24.08 Mbale-Sironko-24h'!H99)</f>
        <v>0</v>
      </c>
      <c r="I99" s="49">
        <f>AVERAGE('22.08 Mbale-Sironko-24h'!I99,'24.08 Mbale-Sironko-24h'!I99)</f>
        <v>0.5</v>
      </c>
      <c r="J99" s="49">
        <f>AVERAGE('22.08 Mbale-Sironko-24h'!J99,'24.08 Mbale-Sironko-24h'!J99)</f>
        <v>0</v>
      </c>
      <c r="K99" s="49">
        <f>AVERAGE('22.08 Mbale-Sironko-24h'!K99,'24.08 Mbale-Sironko-24h'!K99)</f>
        <v>0</v>
      </c>
      <c r="L99" s="49">
        <f>AVERAGE('22.08 Mbale-Sironko-24h'!L99,'24.08 Mbale-Sironko-24h'!L99)</f>
        <v>0</v>
      </c>
      <c r="M99" s="49">
        <f>AVERAGE('22.08 Mbale-Sironko-24h'!M99,'24.08 Mbale-Sironko-24h'!M99)</f>
        <v>1</v>
      </c>
      <c r="N99" s="49">
        <f>AVERAGE('22.08 Mbale-Sironko-24h'!N99,'24.08 Mbale-Sironko-24h'!N99)</f>
        <v>0</v>
      </c>
      <c r="O99" s="15">
        <f t="shared" si="35"/>
        <v>2.5</v>
      </c>
      <c r="P99" s="15">
        <f t="shared" si="36"/>
        <v>3.5</v>
      </c>
      <c r="R99" s="8"/>
      <c r="T99"/>
    </row>
    <row r="100" spans="2:20" ht="23.1" customHeight="1" x14ac:dyDescent="0.25">
      <c r="B100" s="25" t="s">
        <v>140</v>
      </c>
      <c r="C100" s="49">
        <f>AVERAGE('22.08 Mbale-Sironko-24h'!C100,'24.08 Mbale-Sironko-24h'!C100)</f>
        <v>0.5</v>
      </c>
      <c r="D100" s="49">
        <f>AVERAGE('22.08 Mbale-Sironko-24h'!D100,'24.08 Mbale-Sironko-24h'!D100)</f>
        <v>0</v>
      </c>
      <c r="E100" s="49">
        <f>AVERAGE('22.08 Mbale-Sironko-24h'!E100,'24.08 Mbale-Sironko-24h'!E100)</f>
        <v>2</v>
      </c>
      <c r="F100" s="49">
        <f>AVERAGE('22.08 Mbale-Sironko-24h'!F100,'24.08 Mbale-Sironko-24h'!F100)</f>
        <v>1</v>
      </c>
      <c r="G100" s="49">
        <f>AVERAGE('22.08 Mbale-Sironko-24h'!G100,'24.08 Mbale-Sironko-24h'!G100)</f>
        <v>0</v>
      </c>
      <c r="H100" s="49">
        <f>AVERAGE('22.08 Mbale-Sironko-24h'!H100,'24.08 Mbale-Sironko-24h'!H100)</f>
        <v>0.5</v>
      </c>
      <c r="I100" s="49">
        <f>AVERAGE('22.08 Mbale-Sironko-24h'!I100,'24.08 Mbale-Sironko-24h'!I100)</f>
        <v>1.5</v>
      </c>
      <c r="J100" s="49">
        <f>AVERAGE('22.08 Mbale-Sironko-24h'!J100,'24.08 Mbale-Sironko-24h'!J100)</f>
        <v>0</v>
      </c>
      <c r="K100" s="49">
        <f>AVERAGE('22.08 Mbale-Sironko-24h'!K100,'24.08 Mbale-Sironko-24h'!K100)</f>
        <v>0</v>
      </c>
      <c r="L100" s="49">
        <f>AVERAGE('22.08 Mbale-Sironko-24h'!L100,'24.08 Mbale-Sironko-24h'!L100)</f>
        <v>0</v>
      </c>
      <c r="M100" s="49">
        <f>AVERAGE('22.08 Mbale-Sironko-24h'!M100,'24.08 Mbale-Sironko-24h'!M100)</f>
        <v>7.5</v>
      </c>
      <c r="N100" s="49">
        <f>AVERAGE('22.08 Mbale-Sironko-24h'!N100,'24.08 Mbale-Sironko-24h'!N100)</f>
        <v>0</v>
      </c>
      <c r="O100" s="15">
        <f t="shared" si="35"/>
        <v>5.5</v>
      </c>
      <c r="P100" s="15">
        <f t="shared" si="36"/>
        <v>13</v>
      </c>
      <c r="R100" s="8"/>
      <c r="T100"/>
    </row>
    <row r="101" spans="2:20" ht="23.1" customHeight="1" x14ac:dyDescent="0.25">
      <c r="B101" s="23" t="s">
        <v>141</v>
      </c>
      <c r="C101" s="49">
        <f>AVERAGE('22.08 Mbale-Sironko-24h'!C101,'24.08 Mbale-Sironko-24h'!C101)</f>
        <v>0.5</v>
      </c>
      <c r="D101" s="49">
        <f>AVERAGE('22.08 Mbale-Sironko-24h'!D101,'24.08 Mbale-Sironko-24h'!D101)</f>
        <v>0</v>
      </c>
      <c r="E101" s="49">
        <f>AVERAGE('22.08 Mbale-Sironko-24h'!E101,'24.08 Mbale-Sironko-24h'!E101)</f>
        <v>0.5</v>
      </c>
      <c r="F101" s="49">
        <f>AVERAGE('22.08 Mbale-Sironko-24h'!F101,'24.08 Mbale-Sironko-24h'!F101)</f>
        <v>0.5</v>
      </c>
      <c r="G101" s="49">
        <f>AVERAGE('22.08 Mbale-Sironko-24h'!G101,'24.08 Mbale-Sironko-24h'!G101)</f>
        <v>0</v>
      </c>
      <c r="H101" s="49">
        <f>AVERAGE('22.08 Mbale-Sironko-24h'!H101,'24.08 Mbale-Sironko-24h'!H101)</f>
        <v>0</v>
      </c>
      <c r="I101" s="49">
        <f>AVERAGE('22.08 Mbale-Sironko-24h'!I101,'24.08 Mbale-Sironko-24h'!I101)</f>
        <v>0</v>
      </c>
      <c r="J101" s="49">
        <f>AVERAGE('22.08 Mbale-Sironko-24h'!J101,'24.08 Mbale-Sironko-24h'!J101)</f>
        <v>0</v>
      </c>
      <c r="K101" s="49">
        <f>AVERAGE('22.08 Mbale-Sironko-24h'!K101,'24.08 Mbale-Sironko-24h'!K101)</f>
        <v>0</v>
      </c>
      <c r="L101" s="49">
        <f>AVERAGE('22.08 Mbale-Sironko-24h'!L101,'24.08 Mbale-Sironko-24h'!L101)</f>
        <v>0</v>
      </c>
      <c r="M101" s="49">
        <f>AVERAGE('22.08 Mbale-Sironko-24h'!M101,'24.08 Mbale-Sironko-24h'!M101)</f>
        <v>2</v>
      </c>
      <c r="N101" s="49">
        <f>AVERAGE('22.08 Mbale-Sironko-24h'!N101,'24.08 Mbale-Sironko-24h'!N101)</f>
        <v>0</v>
      </c>
      <c r="O101" s="15">
        <f t="shared" si="35"/>
        <v>1.5</v>
      </c>
      <c r="P101" s="15">
        <f t="shared" si="36"/>
        <v>3.5</v>
      </c>
      <c r="R101" s="8"/>
      <c r="T101"/>
    </row>
    <row r="102" spans="2:20" ht="23.1" customHeight="1" x14ac:dyDescent="0.25">
      <c r="B102" s="24" t="s">
        <v>142</v>
      </c>
      <c r="C102" s="49">
        <f>AVERAGE('22.08 Mbale-Sironko-24h'!C102,'24.08 Mbale-Sironko-24h'!C102)</f>
        <v>0.5</v>
      </c>
      <c r="D102" s="49">
        <f>AVERAGE('22.08 Mbale-Sironko-24h'!D102,'24.08 Mbale-Sironko-24h'!D102)</f>
        <v>0</v>
      </c>
      <c r="E102" s="49">
        <f>AVERAGE('22.08 Mbale-Sironko-24h'!E102,'24.08 Mbale-Sironko-24h'!E102)</f>
        <v>0.5</v>
      </c>
      <c r="F102" s="49">
        <f>AVERAGE('22.08 Mbale-Sironko-24h'!F102,'24.08 Mbale-Sironko-24h'!F102)</f>
        <v>0.5</v>
      </c>
      <c r="G102" s="49">
        <f>AVERAGE('22.08 Mbale-Sironko-24h'!G102,'24.08 Mbale-Sironko-24h'!G102)</f>
        <v>0</v>
      </c>
      <c r="H102" s="49">
        <f>AVERAGE('22.08 Mbale-Sironko-24h'!H102,'24.08 Mbale-Sironko-24h'!H102)</f>
        <v>0</v>
      </c>
      <c r="I102" s="49">
        <f>AVERAGE('22.08 Mbale-Sironko-24h'!I102,'24.08 Mbale-Sironko-24h'!I102)</f>
        <v>0.5</v>
      </c>
      <c r="J102" s="49">
        <f>AVERAGE('22.08 Mbale-Sironko-24h'!J102,'24.08 Mbale-Sironko-24h'!J102)</f>
        <v>0</v>
      </c>
      <c r="K102" s="49">
        <f>AVERAGE('22.08 Mbale-Sironko-24h'!K102,'24.08 Mbale-Sironko-24h'!K102)</f>
        <v>0</v>
      </c>
      <c r="L102" s="49">
        <f>AVERAGE('22.08 Mbale-Sironko-24h'!L102,'24.08 Mbale-Sironko-24h'!L102)</f>
        <v>0</v>
      </c>
      <c r="M102" s="49">
        <f>AVERAGE('22.08 Mbale-Sironko-24h'!M102,'24.08 Mbale-Sironko-24h'!M102)</f>
        <v>4.5</v>
      </c>
      <c r="N102" s="49">
        <f>AVERAGE('22.08 Mbale-Sironko-24h'!N102,'24.08 Mbale-Sironko-24h'!N102)</f>
        <v>0</v>
      </c>
      <c r="O102" s="15">
        <f t="shared" si="35"/>
        <v>2</v>
      </c>
      <c r="P102" s="15">
        <f t="shared" si="36"/>
        <v>6.5</v>
      </c>
      <c r="R102" s="8"/>
      <c r="T102"/>
    </row>
    <row r="103" spans="2:20" ht="23.1" customHeight="1" x14ac:dyDescent="0.25">
      <c r="B103" s="23" t="s">
        <v>143</v>
      </c>
      <c r="C103" s="49">
        <f>AVERAGE('22.08 Mbale-Sironko-24h'!C103,'24.08 Mbale-Sironko-24h'!C103)</f>
        <v>1.5</v>
      </c>
      <c r="D103" s="49">
        <f>AVERAGE('22.08 Mbale-Sironko-24h'!D103,'24.08 Mbale-Sironko-24h'!D103)</f>
        <v>0</v>
      </c>
      <c r="E103" s="49">
        <f>AVERAGE('22.08 Mbale-Sironko-24h'!E103,'24.08 Mbale-Sironko-24h'!E103)</f>
        <v>2</v>
      </c>
      <c r="F103" s="49">
        <f>AVERAGE('22.08 Mbale-Sironko-24h'!F103,'24.08 Mbale-Sironko-24h'!F103)</f>
        <v>2.5</v>
      </c>
      <c r="G103" s="49">
        <f>AVERAGE('22.08 Mbale-Sironko-24h'!G103,'24.08 Mbale-Sironko-24h'!G103)</f>
        <v>0</v>
      </c>
      <c r="H103" s="49">
        <f>AVERAGE('22.08 Mbale-Sironko-24h'!H103,'24.08 Mbale-Sironko-24h'!H103)</f>
        <v>0</v>
      </c>
      <c r="I103" s="49">
        <f>AVERAGE('22.08 Mbale-Sironko-24h'!I103,'24.08 Mbale-Sironko-24h'!I103)</f>
        <v>4.5</v>
      </c>
      <c r="J103" s="49">
        <f>AVERAGE('22.08 Mbale-Sironko-24h'!J103,'24.08 Mbale-Sironko-24h'!J103)</f>
        <v>0</v>
      </c>
      <c r="K103" s="49">
        <f>AVERAGE('22.08 Mbale-Sironko-24h'!K103,'24.08 Mbale-Sironko-24h'!K103)</f>
        <v>0</v>
      </c>
      <c r="L103" s="49">
        <f>AVERAGE('22.08 Mbale-Sironko-24h'!L103,'24.08 Mbale-Sironko-24h'!L103)</f>
        <v>0</v>
      </c>
      <c r="M103" s="49">
        <f>AVERAGE('22.08 Mbale-Sironko-24h'!M103,'24.08 Mbale-Sironko-24h'!M103)</f>
        <v>5</v>
      </c>
      <c r="N103" s="49">
        <f>AVERAGE('22.08 Mbale-Sironko-24h'!N103,'24.08 Mbale-Sironko-24h'!N103)</f>
        <v>0</v>
      </c>
      <c r="O103" s="15">
        <f t="shared" si="35"/>
        <v>10.5</v>
      </c>
      <c r="P103" s="15">
        <f t="shared" si="36"/>
        <v>15.5</v>
      </c>
      <c r="R103" s="8"/>
      <c r="T103"/>
    </row>
    <row r="104" spans="2:20" ht="23.1" customHeight="1" x14ac:dyDescent="0.25">
      <c r="B104" s="25" t="s">
        <v>144</v>
      </c>
      <c r="C104" s="49">
        <f>AVERAGE('22.08 Mbale-Sironko-24h'!C104,'24.08 Mbale-Sironko-24h'!C104)</f>
        <v>1</v>
      </c>
      <c r="D104" s="49">
        <f>AVERAGE('22.08 Mbale-Sironko-24h'!D104,'24.08 Mbale-Sironko-24h'!D104)</f>
        <v>0</v>
      </c>
      <c r="E104" s="49">
        <f>AVERAGE('22.08 Mbale-Sironko-24h'!E104,'24.08 Mbale-Sironko-24h'!E104)</f>
        <v>0.5</v>
      </c>
      <c r="F104" s="49">
        <f>AVERAGE('22.08 Mbale-Sironko-24h'!F104,'24.08 Mbale-Sironko-24h'!F104)</f>
        <v>1</v>
      </c>
      <c r="G104" s="49">
        <f>AVERAGE('22.08 Mbale-Sironko-24h'!G104,'24.08 Mbale-Sironko-24h'!G104)</f>
        <v>0</v>
      </c>
      <c r="H104" s="49">
        <f>AVERAGE('22.08 Mbale-Sironko-24h'!H104,'24.08 Mbale-Sironko-24h'!H104)</f>
        <v>0</v>
      </c>
      <c r="I104" s="49">
        <f>AVERAGE('22.08 Mbale-Sironko-24h'!I104,'24.08 Mbale-Sironko-24h'!I104)</f>
        <v>5.5</v>
      </c>
      <c r="J104" s="49">
        <f>AVERAGE('22.08 Mbale-Sironko-24h'!J104,'24.08 Mbale-Sironko-24h'!J104)</f>
        <v>0</v>
      </c>
      <c r="K104" s="49">
        <f>AVERAGE('22.08 Mbale-Sironko-24h'!K104,'24.08 Mbale-Sironko-24h'!K104)</f>
        <v>0</v>
      </c>
      <c r="L104" s="49">
        <f>AVERAGE('22.08 Mbale-Sironko-24h'!L104,'24.08 Mbale-Sironko-24h'!L104)</f>
        <v>0</v>
      </c>
      <c r="M104" s="49">
        <f>AVERAGE('22.08 Mbale-Sironko-24h'!M104,'24.08 Mbale-Sironko-24h'!M104)</f>
        <v>7</v>
      </c>
      <c r="N104" s="49">
        <f>AVERAGE('22.08 Mbale-Sironko-24h'!N104,'24.08 Mbale-Sironko-24h'!N104)</f>
        <v>0</v>
      </c>
      <c r="O104" s="15">
        <f t="shared" si="35"/>
        <v>8</v>
      </c>
      <c r="P104" s="15">
        <f t="shared" si="36"/>
        <v>15</v>
      </c>
      <c r="R104" s="8"/>
      <c r="T104"/>
    </row>
    <row r="105" spans="2:20" ht="23.1" customHeight="1" x14ac:dyDescent="0.25">
      <c r="B105" s="23" t="s">
        <v>145</v>
      </c>
      <c r="C105" s="49">
        <f>AVERAGE('22.08 Mbale-Sironko-24h'!C105,'24.08 Mbale-Sironko-24h'!C105)</f>
        <v>0.5</v>
      </c>
      <c r="D105" s="49">
        <f>AVERAGE('22.08 Mbale-Sironko-24h'!D105,'24.08 Mbale-Sironko-24h'!D105)</f>
        <v>0</v>
      </c>
      <c r="E105" s="49">
        <f>AVERAGE('22.08 Mbale-Sironko-24h'!E105,'24.08 Mbale-Sironko-24h'!E105)</f>
        <v>1.5</v>
      </c>
      <c r="F105" s="49">
        <f>AVERAGE('22.08 Mbale-Sironko-24h'!F105,'24.08 Mbale-Sironko-24h'!F105)</f>
        <v>4</v>
      </c>
      <c r="G105" s="49">
        <f>AVERAGE('22.08 Mbale-Sironko-24h'!G105,'24.08 Mbale-Sironko-24h'!G105)</f>
        <v>0</v>
      </c>
      <c r="H105" s="49">
        <f>AVERAGE('22.08 Mbale-Sironko-24h'!H105,'24.08 Mbale-Sironko-24h'!H105)</f>
        <v>0</v>
      </c>
      <c r="I105" s="49">
        <f>AVERAGE('22.08 Mbale-Sironko-24h'!I105,'24.08 Mbale-Sironko-24h'!I105)</f>
        <v>3</v>
      </c>
      <c r="J105" s="49">
        <f>AVERAGE('22.08 Mbale-Sironko-24h'!J105,'24.08 Mbale-Sironko-24h'!J105)</f>
        <v>0</v>
      </c>
      <c r="K105" s="49">
        <f>AVERAGE('22.08 Mbale-Sironko-24h'!K105,'24.08 Mbale-Sironko-24h'!K105)</f>
        <v>0</v>
      </c>
      <c r="L105" s="49">
        <f>AVERAGE('22.08 Mbale-Sironko-24h'!L105,'24.08 Mbale-Sironko-24h'!L105)</f>
        <v>0</v>
      </c>
      <c r="M105" s="49">
        <f>AVERAGE('22.08 Mbale-Sironko-24h'!M105,'24.08 Mbale-Sironko-24h'!M105)</f>
        <v>10</v>
      </c>
      <c r="N105" s="49">
        <f>AVERAGE('22.08 Mbale-Sironko-24h'!N105,'24.08 Mbale-Sironko-24h'!N105)</f>
        <v>0</v>
      </c>
      <c r="O105" s="15">
        <f t="shared" si="35"/>
        <v>9</v>
      </c>
      <c r="P105" s="15">
        <f t="shared" si="36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224.64285714285717</v>
      </c>
      <c r="D106" s="16">
        <f t="shared" ref="D106:P106" si="37">SUM(D10:D105)</f>
        <v>62.571428571428562</v>
      </c>
      <c r="E106" s="16">
        <f t="shared" si="37"/>
        <v>379.21428571428567</v>
      </c>
      <c r="F106" s="16">
        <f t="shared" si="37"/>
        <v>201.71428571428569</v>
      </c>
      <c r="G106" s="16">
        <f t="shared" si="37"/>
        <v>5.4285714285714288</v>
      </c>
      <c r="H106" s="16">
        <f t="shared" si="37"/>
        <v>3.4285714285714284</v>
      </c>
      <c r="I106" s="16">
        <f t="shared" si="37"/>
        <v>263.57142857142856</v>
      </c>
      <c r="J106" s="16">
        <f t="shared" si="37"/>
        <v>13.571428571428571</v>
      </c>
      <c r="K106" s="16">
        <f t="shared" si="37"/>
        <v>4.5714285714285712</v>
      </c>
      <c r="L106" s="16">
        <f t="shared" si="37"/>
        <v>12.142857142857146</v>
      </c>
      <c r="M106" s="16">
        <f t="shared" si="37"/>
        <v>1640.4285714285716</v>
      </c>
      <c r="N106" s="16">
        <f t="shared" si="37"/>
        <v>0.14285714285714285</v>
      </c>
      <c r="O106" s="16">
        <f t="shared" si="37"/>
        <v>1171</v>
      </c>
      <c r="P106" s="16">
        <f t="shared" si="37"/>
        <v>2811.4285714285711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7.9903455284552866E-2</v>
      </c>
      <c r="D107" s="43">
        <f t="shared" si="38"/>
        <v>2.2256097560975609E-2</v>
      </c>
      <c r="E107" s="43">
        <f t="shared" si="38"/>
        <v>0.13488313008130082</v>
      </c>
      <c r="F107" s="43">
        <f t="shared" si="38"/>
        <v>7.1747967479674796E-2</v>
      </c>
      <c r="G107" s="43">
        <f t="shared" si="38"/>
        <v>1.9308943089430897E-3</v>
      </c>
      <c r="H107" s="43">
        <f t="shared" si="38"/>
        <v>1.2195121951219512E-3</v>
      </c>
      <c r="I107" s="43">
        <f t="shared" si="38"/>
        <v>9.375E-2</v>
      </c>
      <c r="J107" s="43">
        <f t="shared" si="38"/>
        <v>4.8272357723577238E-3</v>
      </c>
      <c r="K107" s="43">
        <f t="shared" si="38"/>
        <v>1.6260162601626016E-3</v>
      </c>
      <c r="L107" s="43">
        <f t="shared" si="38"/>
        <v>4.3191056910569124E-3</v>
      </c>
      <c r="M107" s="43">
        <f t="shared" si="38"/>
        <v>0.5834857723577237</v>
      </c>
      <c r="N107" s="43">
        <f t="shared" si="38"/>
        <v>5.0813008130081301E-5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0.1918384774917653</v>
      </c>
      <c r="D108" s="44">
        <f t="shared" ref="D108:N108" si="39">D106/$O$106</f>
        <v>5.3434183237769911E-2</v>
      </c>
      <c r="E108" s="44">
        <f t="shared" si="39"/>
        <v>0.32383798950835668</v>
      </c>
      <c r="F108" s="44">
        <f t="shared" si="39"/>
        <v>0.17225814322313041</v>
      </c>
      <c r="G108" s="44">
        <f t="shared" si="39"/>
        <v>4.635842381359034E-3</v>
      </c>
      <c r="H108" s="44">
        <f t="shared" si="39"/>
        <v>2.927900451384653E-3</v>
      </c>
      <c r="I108" s="44">
        <f t="shared" si="39"/>
        <v>0.22508234720019518</v>
      </c>
      <c r="J108" s="44">
        <f t="shared" si="39"/>
        <v>1.1589605953397584E-2</v>
      </c>
      <c r="K108" s="44">
        <f t="shared" si="39"/>
        <v>3.9038672685128705E-3</v>
      </c>
      <c r="L108" s="44">
        <f t="shared" si="39"/>
        <v>1.0369647431987315E-2</v>
      </c>
      <c r="M108" s="44"/>
      <c r="N108" s="44">
        <f t="shared" si="39"/>
        <v>1.219958521410272E-4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J79" zoomScale="60" workbookViewId="0">
      <selection activeCell="AB92" sqref="AB9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'25.08 Mbale-Sironko'!C3:G3</f>
        <v>MCC - C4 - STN120 - MBALE-SIRONKO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163</v>
      </c>
      <c r="E5" s="69"/>
      <c r="F5" s="41" t="s">
        <v>1</v>
      </c>
      <c r="G5" s="66" t="str">
        <f>'Avg Week Mbale- Sironko'!G5:H5</f>
        <v>xxx</v>
      </c>
      <c r="H5" s="67"/>
      <c r="I5" s="14"/>
      <c r="J5" s="2" t="s">
        <v>5</v>
      </c>
      <c r="K5" s="66" t="str">
        <f>'Avg Week Mbale- Sironko'!K5:L5</f>
        <v>xxx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Mbale- Sironko'!K6:L6</f>
        <v>xxx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Sironko-Mbale'!C10+'Avg Week Mbale- Sironko'!C10</f>
        <v>1.7142857142857142</v>
      </c>
      <c r="D10" s="49">
        <f>'Avg Week Sironko-Mbale'!D10+'Avg Week Mbale- Sironko'!D10</f>
        <v>0.14285714285714285</v>
      </c>
      <c r="E10" s="49">
        <f>'Avg Week Sironko-Mbale'!E10+'Avg Week Mbale- Sironko'!E10</f>
        <v>3.8571428571428572</v>
      </c>
      <c r="F10" s="49">
        <f>'Avg Week Sironko-Mbale'!F10+'Avg Week Mbale- Sironko'!F10</f>
        <v>3.1428571428571432</v>
      </c>
      <c r="G10" s="49">
        <f>'Avg Week Sironko-Mbale'!G10+'Avg Week Mbale- Sironko'!G10</f>
        <v>0.71428571428571419</v>
      </c>
      <c r="H10" s="49">
        <f>'Avg Week Sironko-Mbale'!H10+'Avg Week Mbale- Sironko'!H10</f>
        <v>0</v>
      </c>
      <c r="I10" s="49">
        <f>'Avg Week Sironko-Mbale'!I10+'Avg Week Mbale- Sironko'!I10</f>
        <v>2.2857142857142856</v>
      </c>
      <c r="J10" s="49">
        <f>'Avg Week Sironko-Mbale'!J10+'Avg Week Mbale- Sironko'!J10</f>
        <v>0.14285714285714285</v>
      </c>
      <c r="K10" s="49">
        <f>'Avg Week Sironko-Mbale'!K10+'Avg Week Mbale- Sironko'!K10</f>
        <v>0</v>
      </c>
      <c r="L10" s="49">
        <f>'Avg Week Sironko-Mbale'!L10+'Avg Week Mbale- Sironko'!L10</f>
        <v>0.14285714285714285</v>
      </c>
      <c r="M10" s="49">
        <f>'Avg Week Sironko-Mbale'!M10+'Avg Week Mbale- Sironko'!M10</f>
        <v>23.857142857142858</v>
      </c>
      <c r="N10" s="49">
        <f>'Avg Week Sironko-Mbale'!N10+'Avg Week Mbale- Sironko'!N10</f>
        <v>0</v>
      </c>
      <c r="O10" s="15">
        <f t="shared" ref="O10:O73" si="0">SUM(C10:L10,N10)</f>
        <v>12.142857142857142</v>
      </c>
      <c r="P10" s="15">
        <f t="shared" ref="P10:P73" si="1">SUM(C10:N10)</f>
        <v>36</v>
      </c>
      <c r="R10" s="1" t="s">
        <v>6</v>
      </c>
      <c r="S10" s="17">
        <f t="shared" ref="S10:AF10" si="2">SUM(C10:C13)</f>
        <v>11.285714285714285</v>
      </c>
      <c r="T10" s="17">
        <f t="shared" si="2"/>
        <v>3.4285714285714279</v>
      </c>
      <c r="U10" s="17">
        <f t="shared" si="2"/>
        <v>25</v>
      </c>
      <c r="V10" s="17">
        <f t="shared" si="2"/>
        <v>16.428571428571431</v>
      </c>
      <c r="W10" s="17">
        <f t="shared" si="2"/>
        <v>0.85714285714285698</v>
      </c>
      <c r="X10" s="17">
        <f t="shared" si="2"/>
        <v>0.2857142857142857</v>
      </c>
      <c r="Y10" s="17">
        <f t="shared" si="2"/>
        <v>14.142857142857142</v>
      </c>
      <c r="Z10" s="17">
        <f t="shared" si="2"/>
        <v>0.71428571428571419</v>
      </c>
      <c r="AA10" s="17">
        <f t="shared" si="2"/>
        <v>0</v>
      </c>
      <c r="AB10" s="17">
        <f t="shared" si="2"/>
        <v>0.71428571428571419</v>
      </c>
      <c r="AC10" s="17">
        <f t="shared" si="2"/>
        <v>152.14285714285717</v>
      </c>
      <c r="AD10" s="17">
        <f t="shared" si="2"/>
        <v>0</v>
      </c>
      <c r="AE10" s="31">
        <f t="shared" si="2"/>
        <v>72.857142857142847</v>
      </c>
      <c r="AF10" s="31">
        <f t="shared" si="2"/>
        <v>225</v>
      </c>
    </row>
    <row r="11" spans="2:32" s="6" customFormat="1" ht="23.1" customHeight="1" x14ac:dyDescent="0.25">
      <c r="B11" s="23" t="s">
        <v>38</v>
      </c>
      <c r="C11" s="49">
        <f>'Avg Week Sironko-Mbale'!C11+'Avg Week Mbale- Sironko'!C11</f>
        <v>2.4285714285714284</v>
      </c>
      <c r="D11" s="49">
        <f>'Avg Week Sironko-Mbale'!D11+'Avg Week Mbale- Sironko'!D11</f>
        <v>0.71428571428571419</v>
      </c>
      <c r="E11" s="49">
        <f>'Avg Week Sironko-Mbale'!E11+'Avg Week Mbale- Sironko'!E11</f>
        <v>4.7142857142857144</v>
      </c>
      <c r="F11" s="49">
        <f>'Avg Week Sironko-Mbale'!F11+'Avg Week Mbale- Sironko'!F11</f>
        <v>5.2857142857142856</v>
      </c>
      <c r="G11" s="49">
        <f>'Avg Week Sironko-Mbale'!G11+'Avg Week Mbale- Sironko'!G11</f>
        <v>0</v>
      </c>
      <c r="H11" s="49">
        <f>'Avg Week Sironko-Mbale'!H11+'Avg Week Mbale- Sironko'!H11</f>
        <v>0</v>
      </c>
      <c r="I11" s="49">
        <f>'Avg Week Sironko-Mbale'!I11+'Avg Week Mbale- Sironko'!I11</f>
        <v>4.1428571428571432</v>
      </c>
      <c r="J11" s="49">
        <f>'Avg Week Sironko-Mbale'!J11+'Avg Week Mbale- Sironko'!J11</f>
        <v>0.14285714285714285</v>
      </c>
      <c r="K11" s="49">
        <f>'Avg Week Sironko-Mbale'!K11+'Avg Week Mbale- Sironko'!K11</f>
        <v>0</v>
      </c>
      <c r="L11" s="49">
        <f>'Avg Week Sironko-Mbale'!L11+'Avg Week Mbale- Sironko'!L11</f>
        <v>0.2857142857142857</v>
      </c>
      <c r="M11" s="49">
        <f>'Avg Week Sironko-Mbale'!M11+'Avg Week Mbale- Sironko'!M11</f>
        <v>32.571428571428569</v>
      </c>
      <c r="N11" s="49">
        <f>'Avg Week Sironko-Mbale'!N11+'Avg Week Mbale- Sironko'!N11</f>
        <v>0</v>
      </c>
      <c r="O11" s="15">
        <f t="shared" si="0"/>
        <v>17.714285714285712</v>
      </c>
      <c r="P11" s="15">
        <f t="shared" si="1"/>
        <v>50.285714285714278</v>
      </c>
      <c r="R11" s="1" t="s">
        <v>7</v>
      </c>
      <c r="S11" s="17">
        <f t="shared" ref="S11:AF11" si="3">SUM(C14:C17)</f>
        <v>23</v>
      </c>
      <c r="T11" s="17">
        <f t="shared" si="3"/>
        <v>6.8571428571428568</v>
      </c>
      <c r="U11" s="17">
        <f t="shared" si="3"/>
        <v>38.857142857142861</v>
      </c>
      <c r="V11" s="17">
        <f t="shared" si="3"/>
        <v>24</v>
      </c>
      <c r="W11" s="17">
        <f t="shared" si="3"/>
        <v>0.71428571428571419</v>
      </c>
      <c r="X11" s="17">
        <f t="shared" si="3"/>
        <v>0.5714285714285714</v>
      </c>
      <c r="Y11" s="17">
        <f t="shared" si="3"/>
        <v>12.857142857142858</v>
      </c>
      <c r="Z11" s="17">
        <f t="shared" si="3"/>
        <v>0.42857142857142855</v>
      </c>
      <c r="AA11" s="17">
        <f t="shared" si="3"/>
        <v>0.14285714285714285</v>
      </c>
      <c r="AB11" s="17">
        <f t="shared" si="3"/>
        <v>1.4285714285714286</v>
      </c>
      <c r="AC11" s="17">
        <f t="shared" si="3"/>
        <v>196.71428571428569</v>
      </c>
      <c r="AD11" s="17">
        <f t="shared" si="3"/>
        <v>0.14285714285714285</v>
      </c>
      <c r="AE11" s="31">
        <f t="shared" si="3"/>
        <v>109</v>
      </c>
      <c r="AF11" s="31">
        <f t="shared" si="3"/>
        <v>305.71428571428567</v>
      </c>
    </row>
    <row r="12" spans="2:32" ht="23.1" customHeight="1" x14ac:dyDescent="0.25">
      <c r="B12" s="23" t="s">
        <v>39</v>
      </c>
      <c r="C12" s="49">
        <f>'Avg Week Sironko-Mbale'!C12+'Avg Week Mbale- Sironko'!C12</f>
        <v>3.1428571428571428</v>
      </c>
      <c r="D12" s="49">
        <f>'Avg Week Sironko-Mbale'!D12+'Avg Week Mbale- Sironko'!D12</f>
        <v>0.8571428571428571</v>
      </c>
      <c r="E12" s="49">
        <f>'Avg Week Sironko-Mbale'!E12+'Avg Week Mbale- Sironko'!E12</f>
        <v>6.2857142857142856</v>
      </c>
      <c r="F12" s="49">
        <f>'Avg Week Sironko-Mbale'!F12+'Avg Week Mbale- Sironko'!F12</f>
        <v>2.4285714285714288</v>
      </c>
      <c r="G12" s="49">
        <f>'Avg Week Sironko-Mbale'!G12+'Avg Week Mbale- Sironko'!G12</f>
        <v>0.14285714285714285</v>
      </c>
      <c r="H12" s="49">
        <f>'Avg Week Sironko-Mbale'!H12+'Avg Week Mbale- Sironko'!H12</f>
        <v>0</v>
      </c>
      <c r="I12" s="49">
        <f>'Avg Week Sironko-Mbale'!I12+'Avg Week Mbale- Sironko'!I12</f>
        <v>3.7142857142857144</v>
      </c>
      <c r="J12" s="49">
        <f>'Avg Week Sironko-Mbale'!J12+'Avg Week Mbale- Sironko'!J12</f>
        <v>0.2857142857142857</v>
      </c>
      <c r="K12" s="49">
        <f>'Avg Week Sironko-Mbale'!K12+'Avg Week Mbale- Sironko'!K12</f>
        <v>0</v>
      </c>
      <c r="L12" s="49">
        <f>'Avg Week Sironko-Mbale'!L12+'Avg Week Mbale- Sironko'!L12</f>
        <v>0</v>
      </c>
      <c r="M12" s="49">
        <f>'Avg Week Sironko-Mbale'!M12+'Avg Week Mbale- Sironko'!M12</f>
        <v>40.428571428571431</v>
      </c>
      <c r="N12" s="49">
        <f>'Avg Week Sironko-Mbale'!N12+'Avg Week Mbale- Sironko'!N12</f>
        <v>0</v>
      </c>
      <c r="O12" s="15">
        <f t="shared" si="0"/>
        <v>16.857142857142854</v>
      </c>
      <c r="P12" s="15">
        <f t="shared" si="1"/>
        <v>57.285714285714285</v>
      </c>
      <c r="R12" s="1" t="s">
        <v>8</v>
      </c>
      <c r="S12" s="17">
        <f t="shared" ref="S12:AF12" si="4">SUM(C18:C21)</f>
        <v>26.428571428571431</v>
      </c>
      <c r="T12" s="17">
        <f t="shared" si="4"/>
        <v>9.5714285714285712</v>
      </c>
      <c r="U12" s="17">
        <f t="shared" si="4"/>
        <v>48.857142857142854</v>
      </c>
      <c r="V12" s="17">
        <f t="shared" si="4"/>
        <v>23.857142857142861</v>
      </c>
      <c r="W12" s="17">
        <f t="shared" si="4"/>
        <v>2.1428571428571428</v>
      </c>
      <c r="X12" s="17">
        <f t="shared" si="4"/>
        <v>0.5714285714285714</v>
      </c>
      <c r="Y12" s="17">
        <f t="shared" si="4"/>
        <v>18.142857142857142</v>
      </c>
      <c r="Z12" s="17">
        <f t="shared" si="4"/>
        <v>0.42857142857142855</v>
      </c>
      <c r="AA12" s="17">
        <f t="shared" si="4"/>
        <v>0</v>
      </c>
      <c r="AB12" s="17">
        <f t="shared" si="4"/>
        <v>1.4285714285714286</v>
      </c>
      <c r="AC12" s="17">
        <f t="shared" si="4"/>
        <v>220.57142857142856</v>
      </c>
      <c r="AD12" s="17">
        <f t="shared" si="4"/>
        <v>0.14285714285714285</v>
      </c>
      <c r="AE12" s="31">
        <f t="shared" si="4"/>
        <v>131.57142857142858</v>
      </c>
      <c r="AF12" s="31">
        <f t="shared" si="4"/>
        <v>352.14285714285711</v>
      </c>
    </row>
    <row r="13" spans="2:32" ht="23.1" customHeight="1" x14ac:dyDescent="0.25">
      <c r="B13" s="23" t="s">
        <v>40</v>
      </c>
      <c r="C13" s="49">
        <f>'Avg Week Sironko-Mbale'!C13+'Avg Week Mbale- Sironko'!C13</f>
        <v>4</v>
      </c>
      <c r="D13" s="49">
        <f>'Avg Week Sironko-Mbale'!D13+'Avg Week Mbale- Sironko'!D13</f>
        <v>1.7142857142857142</v>
      </c>
      <c r="E13" s="49">
        <f>'Avg Week Sironko-Mbale'!E13+'Avg Week Mbale- Sironko'!E13</f>
        <v>10.142857142857142</v>
      </c>
      <c r="F13" s="49">
        <f>'Avg Week Sironko-Mbale'!F13+'Avg Week Mbale- Sironko'!F13</f>
        <v>5.5714285714285712</v>
      </c>
      <c r="G13" s="49">
        <f>'Avg Week Sironko-Mbale'!G13+'Avg Week Mbale- Sironko'!G13</f>
        <v>0</v>
      </c>
      <c r="H13" s="49">
        <f>'Avg Week Sironko-Mbale'!H13+'Avg Week Mbale- Sironko'!H13</f>
        <v>0.2857142857142857</v>
      </c>
      <c r="I13" s="49">
        <f>'Avg Week Sironko-Mbale'!I13+'Avg Week Mbale- Sironko'!I13</f>
        <v>4</v>
      </c>
      <c r="J13" s="49">
        <f>'Avg Week Sironko-Mbale'!J13+'Avg Week Mbale- Sironko'!J13</f>
        <v>0.14285714285714285</v>
      </c>
      <c r="K13" s="49">
        <f>'Avg Week Sironko-Mbale'!K13+'Avg Week Mbale- Sironko'!K13</f>
        <v>0</v>
      </c>
      <c r="L13" s="49">
        <f>'Avg Week Sironko-Mbale'!L13+'Avg Week Mbale- Sironko'!L13</f>
        <v>0.2857142857142857</v>
      </c>
      <c r="M13" s="49">
        <f>'Avg Week Sironko-Mbale'!M13+'Avg Week Mbale- Sironko'!M13</f>
        <v>55.285714285714292</v>
      </c>
      <c r="N13" s="49">
        <f>'Avg Week Sironko-Mbale'!N13+'Avg Week Mbale- Sironko'!N13</f>
        <v>0</v>
      </c>
      <c r="O13" s="15">
        <f t="shared" si="0"/>
        <v>26.142857142857142</v>
      </c>
      <c r="P13" s="15">
        <f t="shared" si="1"/>
        <v>81.428571428571431</v>
      </c>
      <c r="R13" s="1" t="s">
        <v>9</v>
      </c>
      <c r="S13" s="17">
        <f t="shared" ref="S13:AF13" si="5">SUM(C22:C25)</f>
        <v>31.285714285714285</v>
      </c>
      <c r="T13" s="17">
        <f t="shared" si="5"/>
        <v>9.7142857142857135</v>
      </c>
      <c r="U13" s="17">
        <f t="shared" si="5"/>
        <v>46.285714285714292</v>
      </c>
      <c r="V13" s="17">
        <f t="shared" si="5"/>
        <v>25.857142857142858</v>
      </c>
      <c r="W13" s="17">
        <f t="shared" si="5"/>
        <v>0.71428571428571419</v>
      </c>
      <c r="X13" s="17">
        <f t="shared" si="5"/>
        <v>0.2857142857142857</v>
      </c>
      <c r="Y13" s="17">
        <f t="shared" si="5"/>
        <v>22.571428571428569</v>
      </c>
      <c r="Z13" s="17">
        <f t="shared" si="5"/>
        <v>0.71428571428571419</v>
      </c>
      <c r="AA13" s="17">
        <f t="shared" si="5"/>
        <v>0.14285714285714285</v>
      </c>
      <c r="AB13" s="17">
        <f t="shared" si="5"/>
        <v>1.4285714285714286</v>
      </c>
      <c r="AC13" s="17">
        <f t="shared" si="5"/>
        <v>243.71428571428572</v>
      </c>
      <c r="AD13" s="17">
        <f t="shared" si="5"/>
        <v>0.14285714285714285</v>
      </c>
      <c r="AE13" s="31">
        <f t="shared" si="5"/>
        <v>139.14285714285714</v>
      </c>
      <c r="AF13" s="31">
        <f t="shared" si="5"/>
        <v>382.85714285714283</v>
      </c>
    </row>
    <row r="14" spans="2:32" ht="23.1" customHeight="1" x14ac:dyDescent="0.25">
      <c r="B14" s="23" t="s">
        <v>41</v>
      </c>
      <c r="C14" s="49">
        <f>'Avg Week Sironko-Mbale'!C14+'Avg Week Mbale- Sironko'!C14</f>
        <v>5.1428571428571423</v>
      </c>
      <c r="D14" s="49">
        <f>'Avg Week Sironko-Mbale'!D14+'Avg Week Mbale- Sironko'!D14</f>
        <v>0.8571428571428571</v>
      </c>
      <c r="E14" s="49">
        <f>'Avg Week Sironko-Mbale'!E14+'Avg Week Mbale- Sironko'!E14</f>
        <v>7.8571428571428568</v>
      </c>
      <c r="F14" s="49">
        <f>'Avg Week Sironko-Mbale'!F14+'Avg Week Mbale- Sironko'!F14</f>
        <v>5.8571428571428577</v>
      </c>
      <c r="G14" s="49">
        <f>'Avg Week Sironko-Mbale'!G14+'Avg Week Mbale- Sironko'!G14</f>
        <v>0.42857142857142855</v>
      </c>
      <c r="H14" s="49">
        <f>'Avg Week Sironko-Mbale'!H14+'Avg Week Mbale- Sironko'!H14</f>
        <v>0.42857142857142855</v>
      </c>
      <c r="I14" s="49">
        <f>'Avg Week Sironko-Mbale'!I14+'Avg Week Mbale- Sironko'!I14</f>
        <v>2.2857142857142856</v>
      </c>
      <c r="J14" s="49">
        <f>'Avg Week Sironko-Mbale'!J14+'Avg Week Mbale- Sironko'!J14</f>
        <v>0.14285714285714285</v>
      </c>
      <c r="K14" s="49">
        <f>'Avg Week Sironko-Mbale'!K14+'Avg Week Mbale- Sironko'!K14</f>
        <v>0.14285714285714285</v>
      </c>
      <c r="L14" s="49">
        <f>'Avg Week Sironko-Mbale'!L14+'Avg Week Mbale- Sironko'!L14</f>
        <v>0.2857142857142857</v>
      </c>
      <c r="M14" s="49">
        <f>'Avg Week Sironko-Mbale'!M14+'Avg Week Mbale- Sironko'!M14</f>
        <v>45.714285714285708</v>
      </c>
      <c r="N14" s="49">
        <f>'Avg Week Sironko-Mbale'!N14+'Avg Week Mbale- Sironko'!N14</f>
        <v>0</v>
      </c>
      <c r="O14" s="15">
        <f t="shared" si="0"/>
        <v>23.428571428571423</v>
      </c>
      <c r="P14" s="15">
        <f t="shared" si="1"/>
        <v>69.142857142857139</v>
      </c>
      <c r="R14" s="1" t="s">
        <v>10</v>
      </c>
      <c r="S14" s="17">
        <f t="shared" ref="S14:AF14" si="6">SUM(C26:C29)</f>
        <v>31.428571428571423</v>
      </c>
      <c r="T14" s="17">
        <f t="shared" si="6"/>
        <v>9</v>
      </c>
      <c r="U14" s="17">
        <f t="shared" si="6"/>
        <v>45.857142857142861</v>
      </c>
      <c r="V14" s="17">
        <f t="shared" si="6"/>
        <v>30.714285714285715</v>
      </c>
      <c r="W14" s="17">
        <f t="shared" si="6"/>
        <v>0.8571428571428571</v>
      </c>
      <c r="X14" s="17">
        <f t="shared" si="6"/>
        <v>0.14285714285714285</v>
      </c>
      <c r="Y14" s="17">
        <f t="shared" si="6"/>
        <v>20.285714285714285</v>
      </c>
      <c r="Z14" s="17">
        <f t="shared" si="6"/>
        <v>1.8571428571428572</v>
      </c>
      <c r="AA14" s="17">
        <f t="shared" si="6"/>
        <v>0.14285714285714285</v>
      </c>
      <c r="AB14" s="17">
        <f t="shared" si="6"/>
        <v>1.5714285714285712</v>
      </c>
      <c r="AC14" s="17">
        <f t="shared" si="6"/>
        <v>240.57142857142856</v>
      </c>
      <c r="AD14" s="17">
        <f t="shared" si="6"/>
        <v>0</v>
      </c>
      <c r="AE14" s="31">
        <f t="shared" si="6"/>
        <v>141.85714285714286</v>
      </c>
      <c r="AF14" s="31">
        <f t="shared" si="6"/>
        <v>382.42857142857144</v>
      </c>
    </row>
    <row r="15" spans="2:32" ht="23.1" customHeight="1" x14ac:dyDescent="0.25">
      <c r="B15" s="23" t="s">
        <v>42</v>
      </c>
      <c r="C15" s="49">
        <f>'Avg Week Sironko-Mbale'!C15+'Avg Week Mbale- Sironko'!C15</f>
        <v>4.4285714285714288</v>
      </c>
      <c r="D15" s="49">
        <f>'Avg Week Sironko-Mbale'!D15+'Avg Week Mbale- Sironko'!D15</f>
        <v>2</v>
      </c>
      <c r="E15" s="49">
        <f>'Avg Week Sironko-Mbale'!E15+'Avg Week Mbale- Sironko'!E15</f>
        <v>9.8571428571428577</v>
      </c>
      <c r="F15" s="49">
        <f>'Avg Week Sironko-Mbale'!F15+'Avg Week Mbale- Sironko'!F15</f>
        <v>5.2857142857142856</v>
      </c>
      <c r="G15" s="49">
        <f>'Avg Week Sironko-Mbale'!G15+'Avg Week Mbale- Sironko'!G15</f>
        <v>0</v>
      </c>
      <c r="H15" s="49">
        <f>'Avg Week Sironko-Mbale'!H15+'Avg Week Mbale- Sironko'!H15</f>
        <v>0.14285714285714285</v>
      </c>
      <c r="I15" s="49">
        <f>'Avg Week Sironko-Mbale'!I15+'Avg Week Mbale- Sironko'!I15</f>
        <v>3.8571428571428568</v>
      </c>
      <c r="J15" s="49">
        <f>'Avg Week Sironko-Mbale'!J15+'Avg Week Mbale- Sironko'!J15</f>
        <v>0</v>
      </c>
      <c r="K15" s="49">
        <f>'Avg Week Sironko-Mbale'!K15+'Avg Week Mbale- Sironko'!K15</f>
        <v>0</v>
      </c>
      <c r="L15" s="49">
        <f>'Avg Week Sironko-Mbale'!L15+'Avg Week Mbale- Sironko'!L15</f>
        <v>0</v>
      </c>
      <c r="M15" s="49">
        <f>'Avg Week Sironko-Mbale'!M15+'Avg Week Mbale- Sironko'!M15</f>
        <v>49.571428571428569</v>
      </c>
      <c r="N15" s="49">
        <f>'Avg Week Sironko-Mbale'!N15+'Avg Week Mbale- Sironko'!N15</f>
        <v>0</v>
      </c>
      <c r="O15" s="15">
        <f t="shared" si="0"/>
        <v>25.571428571428569</v>
      </c>
      <c r="P15" s="15">
        <f t="shared" si="1"/>
        <v>75.142857142857139</v>
      </c>
      <c r="R15" s="1" t="s">
        <v>11</v>
      </c>
      <c r="S15" s="17">
        <f t="shared" ref="S15:AF15" si="7">SUM(C30:C33)</f>
        <v>28.285714285714285</v>
      </c>
      <c r="T15" s="17">
        <f t="shared" si="7"/>
        <v>11</v>
      </c>
      <c r="U15" s="17">
        <f t="shared" si="7"/>
        <v>50.714285714285708</v>
      </c>
      <c r="V15" s="17">
        <f t="shared" si="7"/>
        <v>29.857142857142858</v>
      </c>
      <c r="W15" s="17">
        <f t="shared" si="7"/>
        <v>0.5714285714285714</v>
      </c>
      <c r="X15" s="17">
        <f t="shared" si="7"/>
        <v>0.8571428571428571</v>
      </c>
      <c r="Y15" s="17">
        <f t="shared" si="7"/>
        <v>23.857142857142858</v>
      </c>
      <c r="Z15" s="17">
        <f t="shared" si="7"/>
        <v>0.99999999999999989</v>
      </c>
      <c r="AA15" s="17">
        <f t="shared" si="7"/>
        <v>0.71428571428571419</v>
      </c>
      <c r="AB15" s="17">
        <f t="shared" si="7"/>
        <v>1.7142857142857144</v>
      </c>
      <c r="AC15" s="17">
        <f t="shared" si="7"/>
        <v>247.85714285714283</v>
      </c>
      <c r="AD15" s="17">
        <f t="shared" si="7"/>
        <v>0.2857142857142857</v>
      </c>
      <c r="AE15" s="31">
        <f t="shared" si="7"/>
        <v>148.85714285714289</v>
      </c>
      <c r="AF15" s="31">
        <f t="shared" si="7"/>
        <v>396.71428571428572</v>
      </c>
    </row>
    <row r="16" spans="2:32" ht="23.1" customHeight="1" x14ac:dyDescent="0.25">
      <c r="B16" s="23" t="s">
        <v>43</v>
      </c>
      <c r="C16" s="49">
        <f>'Avg Week Sironko-Mbale'!C16+'Avg Week Mbale- Sironko'!C16</f>
        <v>8.1428571428571423</v>
      </c>
      <c r="D16" s="49">
        <f>'Avg Week Sironko-Mbale'!D16+'Avg Week Mbale- Sironko'!D16</f>
        <v>2.2857142857142856</v>
      </c>
      <c r="E16" s="49">
        <f>'Avg Week Sironko-Mbale'!E16+'Avg Week Mbale- Sironko'!E16</f>
        <v>11.285714285714285</v>
      </c>
      <c r="F16" s="49">
        <f>'Avg Week Sironko-Mbale'!F16+'Avg Week Mbale- Sironko'!F16</f>
        <v>5.2857142857142856</v>
      </c>
      <c r="G16" s="49">
        <f>'Avg Week Sironko-Mbale'!G16+'Avg Week Mbale- Sironko'!G16</f>
        <v>0.14285714285714285</v>
      </c>
      <c r="H16" s="49">
        <f>'Avg Week Sironko-Mbale'!H16+'Avg Week Mbale- Sironko'!H16</f>
        <v>0</v>
      </c>
      <c r="I16" s="49">
        <f>'Avg Week Sironko-Mbale'!I16+'Avg Week Mbale- Sironko'!I16</f>
        <v>2.8571428571428568</v>
      </c>
      <c r="J16" s="49">
        <f>'Avg Week Sironko-Mbale'!J16+'Avg Week Mbale- Sironko'!J16</f>
        <v>0.14285714285714285</v>
      </c>
      <c r="K16" s="49">
        <f>'Avg Week Sironko-Mbale'!K16+'Avg Week Mbale- Sironko'!K16</f>
        <v>0</v>
      </c>
      <c r="L16" s="49">
        <f>'Avg Week Sironko-Mbale'!L16+'Avg Week Mbale- Sironko'!L16</f>
        <v>0.14285714285714285</v>
      </c>
      <c r="M16" s="49">
        <f>'Avg Week Sironko-Mbale'!M16+'Avg Week Mbale- Sironko'!M16</f>
        <v>49.571428571428569</v>
      </c>
      <c r="N16" s="49">
        <f>'Avg Week Sironko-Mbale'!N16+'Avg Week Mbale- Sironko'!N16</f>
        <v>0</v>
      </c>
      <c r="O16" s="15">
        <f t="shared" si="0"/>
        <v>30.285714285714281</v>
      </c>
      <c r="P16" s="15">
        <f t="shared" si="1"/>
        <v>79.857142857142847</v>
      </c>
      <c r="R16" s="1" t="s">
        <v>12</v>
      </c>
      <c r="S16" s="17">
        <f t="shared" ref="S16:AF16" si="8">SUM(C34:C37)</f>
        <v>29.857142857142858</v>
      </c>
      <c r="T16" s="17">
        <f t="shared" si="8"/>
        <v>11.857142857142856</v>
      </c>
      <c r="U16" s="17">
        <f t="shared" si="8"/>
        <v>56</v>
      </c>
      <c r="V16" s="17">
        <f t="shared" si="8"/>
        <v>28.428571428571427</v>
      </c>
      <c r="W16" s="17">
        <f t="shared" si="8"/>
        <v>0.71428571428571419</v>
      </c>
      <c r="X16" s="17">
        <f t="shared" si="8"/>
        <v>0.5714285714285714</v>
      </c>
      <c r="Y16" s="17">
        <f t="shared" si="8"/>
        <v>24.714285714285715</v>
      </c>
      <c r="Z16" s="17">
        <f t="shared" si="8"/>
        <v>0.71428571428571419</v>
      </c>
      <c r="AA16" s="17">
        <f t="shared" si="8"/>
        <v>0.5714285714285714</v>
      </c>
      <c r="AB16" s="17">
        <f t="shared" si="8"/>
        <v>0.2857142857142857</v>
      </c>
      <c r="AC16" s="17">
        <f t="shared" si="8"/>
        <v>231.42857142857144</v>
      </c>
      <c r="AD16" s="17">
        <f t="shared" si="8"/>
        <v>0</v>
      </c>
      <c r="AE16" s="31">
        <f t="shared" si="8"/>
        <v>153.71428571428572</v>
      </c>
      <c r="AF16" s="31">
        <f t="shared" si="8"/>
        <v>385.14285714285717</v>
      </c>
    </row>
    <row r="17" spans="2:32" ht="23.1" customHeight="1" x14ac:dyDescent="0.25">
      <c r="B17" s="23" t="s">
        <v>44</v>
      </c>
      <c r="C17" s="49">
        <f>'Avg Week Sironko-Mbale'!C17+'Avg Week Mbale- Sironko'!C17</f>
        <v>5.2857142857142865</v>
      </c>
      <c r="D17" s="49">
        <f>'Avg Week Sironko-Mbale'!D17+'Avg Week Mbale- Sironko'!D17</f>
        <v>1.7142857142857144</v>
      </c>
      <c r="E17" s="49">
        <f>'Avg Week Sironko-Mbale'!E17+'Avg Week Mbale- Sironko'!E17</f>
        <v>9.8571428571428577</v>
      </c>
      <c r="F17" s="49">
        <f>'Avg Week Sironko-Mbale'!F17+'Avg Week Mbale- Sironko'!F17</f>
        <v>7.5714285714285712</v>
      </c>
      <c r="G17" s="49">
        <f>'Avg Week Sironko-Mbale'!G17+'Avg Week Mbale- Sironko'!G17</f>
        <v>0.14285714285714285</v>
      </c>
      <c r="H17" s="49">
        <f>'Avg Week Sironko-Mbale'!H17+'Avg Week Mbale- Sironko'!H17</f>
        <v>0</v>
      </c>
      <c r="I17" s="49">
        <f>'Avg Week Sironko-Mbale'!I17+'Avg Week Mbale- Sironko'!I17</f>
        <v>3.8571428571428572</v>
      </c>
      <c r="J17" s="49">
        <f>'Avg Week Sironko-Mbale'!J17+'Avg Week Mbale- Sironko'!J17</f>
        <v>0.14285714285714285</v>
      </c>
      <c r="K17" s="49">
        <f>'Avg Week Sironko-Mbale'!K17+'Avg Week Mbale- Sironko'!K17</f>
        <v>0</v>
      </c>
      <c r="L17" s="49">
        <f>'Avg Week Sironko-Mbale'!L17+'Avg Week Mbale- Sironko'!L17</f>
        <v>1</v>
      </c>
      <c r="M17" s="49">
        <f>'Avg Week Sironko-Mbale'!M17+'Avg Week Mbale- Sironko'!M17</f>
        <v>51.857142857142861</v>
      </c>
      <c r="N17" s="49">
        <f>'Avg Week Sironko-Mbale'!N17+'Avg Week Mbale- Sironko'!N17</f>
        <v>0.14285714285714285</v>
      </c>
      <c r="O17" s="15">
        <f t="shared" si="0"/>
        <v>29.714285714285715</v>
      </c>
      <c r="P17" s="15">
        <f t="shared" si="1"/>
        <v>81.571428571428569</v>
      </c>
      <c r="R17" s="1" t="s">
        <v>13</v>
      </c>
      <c r="S17" s="17">
        <f t="shared" ref="S17:AF17" si="9">SUM(C38:C41)</f>
        <v>27.285714285714285</v>
      </c>
      <c r="T17" s="17">
        <f t="shared" si="9"/>
        <v>10.714285714285714</v>
      </c>
      <c r="U17" s="17">
        <f t="shared" si="9"/>
        <v>50.571428571428569</v>
      </c>
      <c r="V17" s="17">
        <f t="shared" si="9"/>
        <v>28.714285714285715</v>
      </c>
      <c r="W17" s="17">
        <f t="shared" si="9"/>
        <v>0.42857142857142855</v>
      </c>
      <c r="X17" s="17">
        <f t="shared" si="9"/>
        <v>0.42857142857142855</v>
      </c>
      <c r="Y17" s="17">
        <f t="shared" si="9"/>
        <v>30</v>
      </c>
      <c r="Z17" s="17">
        <f t="shared" si="9"/>
        <v>2</v>
      </c>
      <c r="AA17" s="17">
        <f t="shared" si="9"/>
        <v>0.2857142857142857</v>
      </c>
      <c r="AB17" s="17">
        <f t="shared" si="9"/>
        <v>0.14285714285714285</v>
      </c>
      <c r="AC17" s="17">
        <f t="shared" si="9"/>
        <v>213.85714285714286</v>
      </c>
      <c r="AD17" s="17">
        <f t="shared" si="9"/>
        <v>0</v>
      </c>
      <c r="AE17" s="31">
        <f t="shared" si="9"/>
        <v>150.57142857142856</v>
      </c>
      <c r="AF17" s="31">
        <f t="shared" si="9"/>
        <v>364.42857142857144</v>
      </c>
    </row>
    <row r="18" spans="2:32" ht="23.1" customHeight="1" x14ac:dyDescent="0.25">
      <c r="B18" s="23" t="s">
        <v>45</v>
      </c>
      <c r="C18" s="49">
        <f>'Avg Week Sironko-Mbale'!C18+'Avg Week Mbale- Sironko'!C18</f>
        <v>4.5714285714285712</v>
      </c>
      <c r="D18" s="49">
        <f>'Avg Week Sironko-Mbale'!D18+'Avg Week Mbale- Sironko'!D18</f>
        <v>1.2857142857142856</v>
      </c>
      <c r="E18" s="49">
        <f>'Avg Week Sironko-Mbale'!E18+'Avg Week Mbale- Sironko'!E18</f>
        <v>9.2857142857142865</v>
      </c>
      <c r="F18" s="49">
        <f>'Avg Week Sironko-Mbale'!F18+'Avg Week Mbale- Sironko'!F18</f>
        <v>4.8571428571428577</v>
      </c>
      <c r="G18" s="49">
        <f>'Avg Week Sironko-Mbale'!G18+'Avg Week Mbale- Sironko'!G18</f>
        <v>0.14285714285714285</v>
      </c>
      <c r="H18" s="49">
        <f>'Avg Week Sironko-Mbale'!H18+'Avg Week Mbale- Sironko'!H18</f>
        <v>0</v>
      </c>
      <c r="I18" s="49">
        <f>'Avg Week Sironko-Mbale'!I18+'Avg Week Mbale- Sironko'!I18</f>
        <v>4.1428571428571423</v>
      </c>
      <c r="J18" s="49">
        <f>'Avg Week Sironko-Mbale'!J18+'Avg Week Mbale- Sironko'!J18</f>
        <v>0.14285714285714285</v>
      </c>
      <c r="K18" s="49">
        <f>'Avg Week Sironko-Mbale'!K18+'Avg Week Mbale- Sironko'!K18</f>
        <v>0</v>
      </c>
      <c r="L18" s="49">
        <f>'Avg Week Sironko-Mbale'!L18+'Avg Week Mbale- Sironko'!L18</f>
        <v>0.14285714285714285</v>
      </c>
      <c r="M18" s="49">
        <f>'Avg Week Sironko-Mbale'!M18+'Avg Week Mbale- Sironko'!M18</f>
        <v>52.857142857142861</v>
      </c>
      <c r="N18" s="49">
        <f>'Avg Week Sironko-Mbale'!N18+'Avg Week Mbale- Sironko'!N18</f>
        <v>0</v>
      </c>
      <c r="O18" s="15">
        <f t="shared" si="0"/>
        <v>24.571428571428569</v>
      </c>
      <c r="P18" s="15">
        <f t="shared" si="1"/>
        <v>77.428571428571431</v>
      </c>
      <c r="R18" s="1" t="s">
        <v>14</v>
      </c>
      <c r="S18" s="17">
        <f t="shared" ref="S18:AF18" si="10">SUM(C42:C45)</f>
        <v>27.999999999999996</v>
      </c>
      <c r="T18" s="17">
        <f t="shared" si="10"/>
        <v>9.4285714285714288</v>
      </c>
      <c r="U18" s="17">
        <f t="shared" si="10"/>
        <v>46.571428571428577</v>
      </c>
      <c r="V18" s="17">
        <f t="shared" si="10"/>
        <v>33</v>
      </c>
      <c r="W18" s="17">
        <f t="shared" si="10"/>
        <v>0.2857142857142857</v>
      </c>
      <c r="X18" s="17">
        <f t="shared" si="10"/>
        <v>0.2857142857142857</v>
      </c>
      <c r="Y18" s="17">
        <f t="shared" si="10"/>
        <v>24.571428571428569</v>
      </c>
      <c r="Z18" s="17">
        <f t="shared" si="10"/>
        <v>2</v>
      </c>
      <c r="AA18" s="17">
        <f t="shared" si="10"/>
        <v>0.71428571428571419</v>
      </c>
      <c r="AB18" s="17">
        <f t="shared" si="10"/>
        <v>0.71428571428571419</v>
      </c>
      <c r="AC18" s="17">
        <f t="shared" si="10"/>
        <v>213.14285714285714</v>
      </c>
      <c r="AD18" s="17">
        <f t="shared" si="10"/>
        <v>0</v>
      </c>
      <c r="AE18" s="31">
        <f t="shared" si="10"/>
        <v>145.57142857142858</v>
      </c>
      <c r="AF18" s="31">
        <f t="shared" si="10"/>
        <v>358.71428571428578</v>
      </c>
    </row>
    <row r="19" spans="2:32" ht="23.1" customHeight="1" x14ac:dyDescent="0.25">
      <c r="B19" s="23" t="s">
        <v>46</v>
      </c>
      <c r="C19" s="49">
        <f>'Avg Week Sironko-Mbale'!C19+'Avg Week Mbale- Sironko'!C19</f>
        <v>6.8571428571428577</v>
      </c>
      <c r="D19" s="49">
        <f>'Avg Week Sironko-Mbale'!D19+'Avg Week Mbale- Sironko'!D19</f>
        <v>2.8571428571428572</v>
      </c>
      <c r="E19" s="49">
        <f>'Avg Week Sironko-Mbale'!E19+'Avg Week Mbale- Sironko'!E19</f>
        <v>13.285714285714285</v>
      </c>
      <c r="F19" s="49">
        <f>'Avg Week Sironko-Mbale'!F19+'Avg Week Mbale- Sironko'!F19</f>
        <v>4.5714285714285712</v>
      </c>
      <c r="G19" s="49">
        <f>'Avg Week Sironko-Mbale'!G19+'Avg Week Mbale- Sironko'!G19</f>
        <v>0.14285714285714285</v>
      </c>
      <c r="H19" s="49">
        <f>'Avg Week Sironko-Mbale'!H19+'Avg Week Mbale- Sironko'!H19</f>
        <v>0.14285714285714285</v>
      </c>
      <c r="I19" s="49">
        <f>'Avg Week Sironko-Mbale'!I19+'Avg Week Mbale- Sironko'!I19</f>
        <v>4</v>
      </c>
      <c r="J19" s="49">
        <f>'Avg Week Sironko-Mbale'!J19+'Avg Week Mbale- Sironko'!J19</f>
        <v>0</v>
      </c>
      <c r="K19" s="49">
        <f>'Avg Week Sironko-Mbale'!K19+'Avg Week Mbale- Sironko'!K19</f>
        <v>0</v>
      </c>
      <c r="L19" s="49">
        <f>'Avg Week Sironko-Mbale'!L19+'Avg Week Mbale- Sironko'!L19</f>
        <v>0.14285714285714285</v>
      </c>
      <c r="M19" s="49">
        <f>'Avg Week Sironko-Mbale'!M19+'Avg Week Mbale- Sironko'!M19</f>
        <v>53.571428571428569</v>
      </c>
      <c r="N19" s="49">
        <f>'Avg Week Sironko-Mbale'!N19+'Avg Week Mbale- Sironko'!N19</f>
        <v>0</v>
      </c>
      <c r="O19" s="15">
        <f t="shared" si="0"/>
        <v>31.999999999999996</v>
      </c>
      <c r="P19" s="15">
        <f t="shared" si="1"/>
        <v>85.571428571428569</v>
      </c>
      <c r="R19" s="1" t="s">
        <v>15</v>
      </c>
      <c r="S19" s="17">
        <f t="shared" ref="S19:AF19" si="11">SUM(C46:C49)</f>
        <v>34.142857142857139</v>
      </c>
      <c r="T19" s="17">
        <f t="shared" si="11"/>
        <v>9.1428571428571423</v>
      </c>
      <c r="U19" s="17">
        <f t="shared" si="11"/>
        <v>46.285714285714278</v>
      </c>
      <c r="V19" s="17">
        <f t="shared" si="11"/>
        <v>31</v>
      </c>
      <c r="W19" s="17">
        <f t="shared" si="11"/>
        <v>1.2857142857142856</v>
      </c>
      <c r="X19" s="17">
        <f t="shared" si="11"/>
        <v>0.14285714285714285</v>
      </c>
      <c r="Y19" s="17">
        <f t="shared" si="11"/>
        <v>25.428571428571431</v>
      </c>
      <c r="Z19" s="17">
        <f t="shared" si="11"/>
        <v>1.857142857142857</v>
      </c>
      <c r="AA19" s="17">
        <f t="shared" si="11"/>
        <v>0.2857142857142857</v>
      </c>
      <c r="AB19" s="17">
        <f t="shared" si="11"/>
        <v>1.1428571428571428</v>
      </c>
      <c r="AC19" s="17">
        <f t="shared" si="11"/>
        <v>237.42857142857144</v>
      </c>
      <c r="AD19" s="17">
        <f t="shared" si="11"/>
        <v>0</v>
      </c>
      <c r="AE19" s="31">
        <f t="shared" si="11"/>
        <v>150.71428571428572</v>
      </c>
      <c r="AF19" s="31">
        <f t="shared" si="11"/>
        <v>388.14285714285717</v>
      </c>
    </row>
    <row r="20" spans="2:32" ht="23.1" customHeight="1" x14ac:dyDescent="0.25">
      <c r="B20" s="23" t="s">
        <v>47</v>
      </c>
      <c r="C20" s="49">
        <f>'Avg Week Sironko-Mbale'!C20+'Avg Week Mbale- Sironko'!C20</f>
        <v>8</v>
      </c>
      <c r="D20" s="49">
        <f>'Avg Week Sironko-Mbale'!D20+'Avg Week Mbale- Sironko'!D20</f>
        <v>3.2857142857142856</v>
      </c>
      <c r="E20" s="49">
        <f>'Avg Week Sironko-Mbale'!E20+'Avg Week Mbale- Sironko'!E20</f>
        <v>15.285714285714285</v>
      </c>
      <c r="F20" s="49">
        <f>'Avg Week Sironko-Mbale'!F20+'Avg Week Mbale- Sironko'!F20</f>
        <v>7</v>
      </c>
      <c r="G20" s="49">
        <f>'Avg Week Sironko-Mbale'!G20+'Avg Week Mbale- Sironko'!G20</f>
        <v>0.5714285714285714</v>
      </c>
      <c r="H20" s="49">
        <f>'Avg Week Sironko-Mbale'!H20+'Avg Week Mbale- Sironko'!H20</f>
        <v>0.42857142857142855</v>
      </c>
      <c r="I20" s="49">
        <f>'Avg Week Sironko-Mbale'!I20+'Avg Week Mbale- Sironko'!I20</f>
        <v>5.2857142857142856</v>
      </c>
      <c r="J20" s="49">
        <f>'Avg Week Sironko-Mbale'!J20+'Avg Week Mbale- Sironko'!J20</f>
        <v>0.14285714285714285</v>
      </c>
      <c r="K20" s="49">
        <f>'Avg Week Sironko-Mbale'!K20+'Avg Week Mbale- Sironko'!K20</f>
        <v>0</v>
      </c>
      <c r="L20" s="49">
        <f>'Avg Week Sironko-Mbale'!L20+'Avg Week Mbale- Sironko'!L20</f>
        <v>0.14285714285714285</v>
      </c>
      <c r="M20" s="49">
        <f>'Avg Week Sironko-Mbale'!M20+'Avg Week Mbale- Sironko'!M20</f>
        <v>56.714285714285708</v>
      </c>
      <c r="N20" s="49">
        <f>'Avg Week Sironko-Mbale'!N20+'Avg Week Mbale- Sironko'!N20</f>
        <v>0.14285714285714285</v>
      </c>
      <c r="O20" s="15">
        <f t="shared" si="0"/>
        <v>40.285714285714292</v>
      </c>
      <c r="P20" s="15">
        <f t="shared" si="1"/>
        <v>97</v>
      </c>
      <c r="R20" s="1" t="s">
        <v>16</v>
      </c>
      <c r="S20" s="17">
        <f t="shared" ref="S20:AF20" si="12">SUM(C50:C53)</f>
        <v>34.857142857142861</v>
      </c>
      <c r="T20" s="17">
        <f t="shared" si="12"/>
        <v>13.285714285714286</v>
      </c>
      <c r="U20" s="17">
        <f t="shared" si="12"/>
        <v>58.571428571428569</v>
      </c>
      <c r="V20" s="17">
        <f t="shared" si="12"/>
        <v>30.142857142857146</v>
      </c>
      <c r="W20" s="17">
        <f t="shared" si="12"/>
        <v>2.1428571428571428</v>
      </c>
      <c r="X20" s="17">
        <f t="shared" si="12"/>
        <v>0.8571428571428571</v>
      </c>
      <c r="Y20" s="17">
        <f t="shared" si="12"/>
        <v>30.428571428571427</v>
      </c>
      <c r="Z20" s="17">
        <f t="shared" si="12"/>
        <v>2.8571428571428568</v>
      </c>
      <c r="AA20" s="17">
        <f t="shared" si="12"/>
        <v>0.71428571428571419</v>
      </c>
      <c r="AB20" s="17">
        <f t="shared" si="12"/>
        <v>0.8571428571428571</v>
      </c>
      <c r="AC20" s="17">
        <f t="shared" si="12"/>
        <v>278.57142857142856</v>
      </c>
      <c r="AD20" s="17">
        <f t="shared" si="12"/>
        <v>0</v>
      </c>
      <c r="AE20" s="31">
        <f t="shared" si="12"/>
        <v>174.71428571428569</v>
      </c>
      <c r="AF20" s="31">
        <f t="shared" si="12"/>
        <v>453.28571428571428</v>
      </c>
    </row>
    <row r="21" spans="2:32" ht="23.1" customHeight="1" x14ac:dyDescent="0.25">
      <c r="B21" s="23" t="s">
        <v>48</v>
      </c>
      <c r="C21" s="49">
        <f>'Avg Week Sironko-Mbale'!C21+'Avg Week Mbale- Sironko'!C21</f>
        <v>7</v>
      </c>
      <c r="D21" s="49">
        <f>'Avg Week Sironko-Mbale'!D21+'Avg Week Mbale- Sironko'!D21</f>
        <v>2.1428571428571428</v>
      </c>
      <c r="E21" s="49">
        <f>'Avg Week Sironko-Mbale'!E21+'Avg Week Mbale- Sironko'!E21</f>
        <v>11</v>
      </c>
      <c r="F21" s="49">
        <f>'Avg Week Sironko-Mbale'!F21+'Avg Week Mbale- Sironko'!F21</f>
        <v>7.4285714285714288</v>
      </c>
      <c r="G21" s="49">
        <f>'Avg Week Sironko-Mbale'!G21+'Avg Week Mbale- Sironko'!G21</f>
        <v>1.2857142857142858</v>
      </c>
      <c r="H21" s="49">
        <f>'Avg Week Sironko-Mbale'!H21+'Avg Week Mbale- Sironko'!H21</f>
        <v>0</v>
      </c>
      <c r="I21" s="49">
        <f>'Avg Week Sironko-Mbale'!I21+'Avg Week Mbale- Sironko'!I21</f>
        <v>4.7142857142857144</v>
      </c>
      <c r="J21" s="49">
        <f>'Avg Week Sironko-Mbale'!J21+'Avg Week Mbale- Sironko'!J21</f>
        <v>0.14285714285714285</v>
      </c>
      <c r="K21" s="49">
        <f>'Avg Week Sironko-Mbale'!K21+'Avg Week Mbale- Sironko'!K21</f>
        <v>0</v>
      </c>
      <c r="L21" s="49">
        <f>'Avg Week Sironko-Mbale'!L21+'Avg Week Mbale- Sironko'!L21</f>
        <v>1</v>
      </c>
      <c r="M21" s="49">
        <f>'Avg Week Sironko-Mbale'!M21+'Avg Week Mbale- Sironko'!M21</f>
        <v>57.428571428571431</v>
      </c>
      <c r="N21" s="49">
        <f>'Avg Week Sironko-Mbale'!N21+'Avg Week Mbale- Sironko'!N21</f>
        <v>0</v>
      </c>
      <c r="O21" s="15">
        <f t="shared" si="0"/>
        <v>34.714285714285715</v>
      </c>
      <c r="P21" s="15">
        <f t="shared" si="1"/>
        <v>92.142857142857139</v>
      </c>
      <c r="R21" s="36" t="s">
        <v>20</v>
      </c>
      <c r="S21" s="34">
        <f t="shared" ref="S21:AF21" si="13">SUM(C54:C57)</f>
        <v>32.714285714285715</v>
      </c>
      <c r="T21" s="17">
        <f t="shared" si="13"/>
        <v>10.571428571428573</v>
      </c>
      <c r="U21" s="17">
        <f t="shared" si="13"/>
        <v>50.285714285714285</v>
      </c>
      <c r="V21" s="17">
        <f t="shared" si="13"/>
        <v>29.142857142857142</v>
      </c>
      <c r="W21" s="17">
        <f t="shared" si="13"/>
        <v>0.5714285714285714</v>
      </c>
      <c r="X21" s="17">
        <f t="shared" si="13"/>
        <v>0</v>
      </c>
      <c r="Y21" s="17">
        <f t="shared" si="13"/>
        <v>29.285714285714288</v>
      </c>
      <c r="Z21" s="17">
        <f t="shared" si="13"/>
        <v>1.7142857142857144</v>
      </c>
      <c r="AA21" s="17">
        <f t="shared" si="13"/>
        <v>0</v>
      </c>
      <c r="AB21" s="17">
        <f t="shared" si="13"/>
        <v>0.71428571428571419</v>
      </c>
      <c r="AC21" s="17">
        <f t="shared" si="13"/>
        <v>219.28571428571428</v>
      </c>
      <c r="AD21" s="17">
        <f t="shared" si="13"/>
        <v>0</v>
      </c>
      <c r="AE21" s="31">
        <f t="shared" si="13"/>
        <v>155</v>
      </c>
      <c r="AF21" s="31">
        <f t="shared" si="13"/>
        <v>374.28571428571428</v>
      </c>
    </row>
    <row r="22" spans="2:32" ht="23.1" customHeight="1" x14ac:dyDescent="0.25">
      <c r="B22" s="23" t="s">
        <v>49</v>
      </c>
      <c r="C22" s="49">
        <f>'Avg Week Sironko-Mbale'!C22+'Avg Week Mbale- Sironko'!C22</f>
        <v>6.1428571428571423</v>
      </c>
      <c r="D22" s="49">
        <f>'Avg Week Sironko-Mbale'!D22+'Avg Week Mbale- Sironko'!D22</f>
        <v>2.7142857142857144</v>
      </c>
      <c r="E22" s="49">
        <f>'Avg Week Sironko-Mbale'!E22+'Avg Week Mbale- Sironko'!E22</f>
        <v>12.714285714285714</v>
      </c>
      <c r="F22" s="49">
        <f>'Avg Week Sironko-Mbale'!F22+'Avg Week Mbale- Sironko'!F22</f>
        <v>6.5714285714285712</v>
      </c>
      <c r="G22" s="49">
        <f>'Avg Week Sironko-Mbale'!G22+'Avg Week Mbale- Sironko'!G22</f>
        <v>0.14285714285714285</v>
      </c>
      <c r="H22" s="49">
        <f>'Avg Week Sironko-Mbale'!H22+'Avg Week Mbale- Sironko'!H22</f>
        <v>0</v>
      </c>
      <c r="I22" s="49">
        <f>'Avg Week Sironko-Mbale'!I22+'Avg Week Mbale- Sironko'!I22</f>
        <v>5.2857142857142856</v>
      </c>
      <c r="J22" s="49">
        <f>'Avg Week Sironko-Mbale'!J22+'Avg Week Mbale- Sironko'!J22</f>
        <v>0.14285714285714285</v>
      </c>
      <c r="K22" s="49">
        <f>'Avg Week Sironko-Mbale'!K22+'Avg Week Mbale- Sironko'!K22</f>
        <v>0</v>
      </c>
      <c r="L22" s="49">
        <f>'Avg Week Sironko-Mbale'!L22+'Avg Week Mbale- Sironko'!L22</f>
        <v>0.42857142857142855</v>
      </c>
      <c r="M22" s="49">
        <f>'Avg Week Sironko-Mbale'!M22+'Avg Week Mbale- Sironko'!M22</f>
        <v>60.857142857142861</v>
      </c>
      <c r="N22" s="49">
        <f>'Avg Week Sironko-Mbale'!N22+'Avg Week Mbale- Sironko'!N22</f>
        <v>0</v>
      </c>
      <c r="O22" s="15">
        <f t="shared" si="0"/>
        <v>34.142857142857146</v>
      </c>
      <c r="P22" s="15">
        <f t="shared" si="1"/>
        <v>95</v>
      </c>
      <c r="R22" s="1" t="s">
        <v>146</v>
      </c>
      <c r="S22" s="34">
        <f>SUM(C58:C61)</f>
        <v>25</v>
      </c>
      <c r="T22" s="34">
        <f t="shared" ref="T22:AF22" si="14">SUM(D58:D61)</f>
        <v>5.5</v>
      </c>
      <c r="U22" s="34">
        <f t="shared" si="14"/>
        <v>40</v>
      </c>
      <c r="V22" s="34">
        <f t="shared" si="14"/>
        <v>30</v>
      </c>
      <c r="W22" s="34">
        <f t="shared" si="14"/>
        <v>0</v>
      </c>
      <c r="X22" s="34">
        <f t="shared" si="14"/>
        <v>0.5</v>
      </c>
      <c r="Y22" s="34">
        <f t="shared" si="14"/>
        <v>42.5</v>
      </c>
      <c r="Z22" s="34">
        <f t="shared" si="14"/>
        <v>0.5</v>
      </c>
      <c r="AA22" s="34">
        <f t="shared" si="14"/>
        <v>1</v>
      </c>
      <c r="AB22" s="34">
        <f t="shared" si="14"/>
        <v>0</v>
      </c>
      <c r="AC22" s="34">
        <f t="shared" si="14"/>
        <v>212.5</v>
      </c>
      <c r="AD22" s="34">
        <f t="shared" si="14"/>
        <v>0</v>
      </c>
      <c r="AE22" s="31">
        <f t="shared" si="14"/>
        <v>145</v>
      </c>
      <c r="AF22" s="31">
        <f t="shared" si="14"/>
        <v>357.5</v>
      </c>
    </row>
    <row r="23" spans="2:32" ht="23.1" customHeight="1" x14ac:dyDescent="0.25">
      <c r="B23" s="23" t="s">
        <v>50</v>
      </c>
      <c r="C23" s="49">
        <f>'Avg Week Sironko-Mbale'!C23+'Avg Week Mbale- Sironko'!C23</f>
        <v>8.2857142857142847</v>
      </c>
      <c r="D23" s="49">
        <f>'Avg Week Sironko-Mbale'!D23+'Avg Week Mbale- Sironko'!D23</f>
        <v>3</v>
      </c>
      <c r="E23" s="49">
        <f>'Avg Week Sironko-Mbale'!E23+'Avg Week Mbale- Sironko'!E23</f>
        <v>13</v>
      </c>
      <c r="F23" s="49">
        <f>'Avg Week Sironko-Mbale'!F23+'Avg Week Mbale- Sironko'!F23</f>
        <v>6.8571428571428577</v>
      </c>
      <c r="G23" s="49">
        <f>'Avg Week Sironko-Mbale'!G23+'Avg Week Mbale- Sironko'!G23</f>
        <v>0</v>
      </c>
      <c r="H23" s="49">
        <f>'Avg Week Sironko-Mbale'!H23+'Avg Week Mbale- Sironko'!H23</f>
        <v>0.14285714285714285</v>
      </c>
      <c r="I23" s="49">
        <f>'Avg Week Sironko-Mbale'!I23+'Avg Week Mbale- Sironko'!I23</f>
        <v>5.5714285714285712</v>
      </c>
      <c r="J23" s="49">
        <f>'Avg Week Sironko-Mbale'!J23+'Avg Week Mbale- Sironko'!J23</f>
        <v>0.5714285714285714</v>
      </c>
      <c r="K23" s="49">
        <f>'Avg Week Sironko-Mbale'!K23+'Avg Week Mbale- Sironko'!K23</f>
        <v>0</v>
      </c>
      <c r="L23" s="49">
        <f>'Avg Week Sironko-Mbale'!L23+'Avg Week Mbale- Sironko'!L23</f>
        <v>0.42857142857142855</v>
      </c>
      <c r="M23" s="49">
        <f>'Avg Week Sironko-Mbale'!M23+'Avg Week Mbale- Sironko'!M23</f>
        <v>60.285714285714292</v>
      </c>
      <c r="N23" s="49">
        <f>'Avg Week Sironko-Mbale'!N23+'Avg Week Mbale- Sironko'!N23</f>
        <v>0</v>
      </c>
      <c r="O23" s="15">
        <f t="shared" si="0"/>
        <v>37.857142857142854</v>
      </c>
      <c r="P23" s="15">
        <f t="shared" si="1"/>
        <v>98.142857142857139</v>
      </c>
      <c r="R23" s="1" t="s">
        <v>147</v>
      </c>
      <c r="S23" s="34">
        <f>SUM(C62:C65)</f>
        <v>23</v>
      </c>
      <c r="T23" s="34">
        <f t="shared" ref="T23:AF23" si="15">SUM(D62:D65)</f>
        <v>8</v>
      </c>
      <c r="U23" s="34">
        <f t="shared" si="15"/>
        <v>47</v>
      </c>
      <c r="V23" s="34">
        <f t="shared" si="15"/>
        <v>13</v>
      </c>
      <c r="W23" s="34">
        <f t="shared" si="15"/>
        <v>0</v>
      </c>
      <c r="X23" s="34">
        <f t="shared" si="15"/>
        <v>0</v>
      </c>
      <c r="Y23" s="34">
        <f t="shared" si="15"/>
        <v>50.5</v>
      </c>
      <c r="Z23" s="34">
        <f t="shared" si="15"/>
        <v>3.5</v>
      </c>
      <c r="AA23" s="34">
        <f t="shared" si="15"/>
        <v>0</v>
      </c>
      <c r="AB23" s="34">
        <f t="shared" si="15"/>
        <v>0</v>
      </c>
      <c r="AC23" s="34">
        <f t="shared" si="15"/>
        <v>140.5</v>
      </c>
      <c r="AD23" s="34">
        <f t="shared" si="15"/>
        <v>0</v>
      </c>
      <c r="AE23" s="31">
        <f t="shared" si="15"/>
        <v>145</v>
      </c>
      <c r="AF23" s="31">
        <f t="shared" si="15"/>
        <v>285.5</v>
      </c>
    </row>
    <row r="24" spans="2:32" ht="23.1" customHeight="1" x14ac:dyDescent="0.25">
      <c r="B24" s="23" t="s">
        <v>51</v>
      </c>
      <c r="C24" s="49">
        <f>'Avg Week Sironko-Mbale'!C24+'Avg Week Mbale- Sironko'!C24</f>
        <v>9.8571428571428577</v>
      </c>
      <c r="D24" s="49">
        <f>'Avg Week Sironko-Mbale'!D24+'Avg Week Mbale- Sironko'!D24</f>
        <v>2.4285714285714288</v>
      </c>
      <c r="E24" s="49">
        <f>'Avg Week Sironko-Mbale'!E24+'Avg Week Mbale- Sironko'!E24</f>
        <v>11.428571428571429</v>
      </c>
      <c r="F24" s="49">
        <f>'Avg Week Sironko-Mbale'!F24+'Avg Week Mbale- Sironko'!F24</f>
        <v>6.2857142857142856</v>
      </c>
      <c r="G24" s="49">
        <f>'Avg Week Sironko-Mbale'!G24+'Avg Week Mbale- Sironko'!G24</f>
        <v>0.14285714285714285</v>
      </c>
      <c r="H24" s="49">
        <f>'Avg Week Sironko-Mbale'!H24+'Avg Week Mbale- Sironko'!H24</f>
        <v>0.14285714285714285</v>
      </c>
      <c r="I24" s="49">
        <f>'Avg Week Sironko-Mbale'!I24+'Avg Week Mbale- Sironko'!I24</f>
        <v>5.4285714285714288</v>
      </c>
      <c r="J24" s="49">
        <f>'Avg Week Sironko-Mbale'!J24+'Avg Week Mbale- Sironko'!J24</f>
        <v>0</v>
      </c>
      <c r="K24" s="49">
        <f>'Avg Week Sironko-Mbale'!K24+'Avg Week Mbale- Sironko'!K24</f>
        <v>0</v>
      </c>
      <c r="L24" s="49">
        <f>'Avg Week Sironko-Mbale'!L24+'Avg Week Mbale- Sironko'!L24</f>
        <v>0.14285714285714285</v>
      </c>
      <c r="M24" s="49">
        <f>'Avg Week Sironko-Mbale'!M24+'Avg Week Mbale- Sironko'!M24</f>
        <v>68</v>
      </c>
      <c r="N24" s="49">
        <f>'Avg Week Sironko-Mbale'!N24+'Avg Week Mbale- Sironko'!N24</f>
        <v>0.14285714285714285</v>
      </c>
      <c r="O24" s="15">
        <f t="shared" si="0"/>
        <v>36.000000000000007</v>
      </c>
      <c r="P24" s="15">
        <f t="shared" si="1"/>
        <v>104</v>
      </c>
      <c r="R24" s="1" t="s">
        <v>148</v>
      </c>
      <c r="S24" s="34">
        <f>SUM(C66:C69)</f>
        <v>22.5</v>
      </c>
      <c r="T24" s="34">
        <f t="shared" ref="T24:AF24" si="16">SUM(D66:D69)</f>
        <v>2.5</v>
      </c>
      <c r="U24" s="34">
        <f t="shared" si="16"/>
        <v>21.5</v>
      </c>
      <c r="V24" s="34">
        <f t="shared" si="16"/>
        <v>8</v>
      </c>
      <c r="W24" s="34">
        <f t="shared" si="16"/>
        <v>0</v>
      </c>
      <c r="X24" s="34">
        <f t="shared" si="16"/>
        <v>0</v>
      </c>
      <c r="Y24" s="34">
        <f t="shared" si="16"/>
        <v>22.5</v>
      </c>
      <c r="Z24" s="34">
        <f t="shared" si="16"/>
        <v>1</v>
      </c>
      <c r="AA24" s="34">
        <f t="shared" si="16"/>
        <v>2</v>
      </c>
      <c r="AB24" s="34">
        <f t="shared" si="16"/>
        <v>0</v>
      </c>
      <c r="AC24" s="34">
        <f t="shared" si="16"/>
        <v>90.5</v>
      </c>
      <c r="AD24" s="34">
        <f t="shared" si="16"/>
        <v>0</v>
      </c>
      <c r="AE24" s="31">
        <f t="shared" si="16"/>
        <v>80</v>
      </c>
      <c r="AF24" s="31">
        <f t="shared" si="16"/>
        <v>170.5</v>
      </c>
    </row>
    <row r="25" spans="2:32" ht="23.1" customHeight="1" x14ac:dyDescent="0.25">
      <c r="B25" s="23" t="s">
        <v>52</v>
      </c>
      <c r="C25" s="49">
        <f>'Avg Week Sironko-Mbale'!C25+'Avg Week Mbale- Sironko'!C25</f>
        <v>7</v>
      </c>
      <c r="D25" s="49">
        <f>'Avg Week Sironko-Mbale'!D25+'Avg Week Mbale- Sironko'!D25</f>
        <v>1.5714285714285714</v>
      </c>
      <c r="E25" s="49">
        <f>'Avg Week Sironko-Mbale'!E25+'Avg Week Mbale- Sironko'!E25</f>
        <v>9.1428571428571423</v>
      </c>
      <c r="F25" s="49">
        <f>'Avg Week Sironko-Mbale'!F25+'Avg Week Mbale- Sironko'!F25</f>
        <v>6.1428571428571423</v>
      </c>
      <c r="G25" s="49">
        <f>'Avg Week Sironko-Mbale'!G25+'Avg Week Mbale- Sironko'!G25</f>
        <v>0.42857142857142855</v>
      </c>
      <c r="H25" s="49">
        <f>'Avg Week Sironko-Mbale'!H25+'Avg Week Mbale- Sironko'!H25</f>
        <v>0</v>
      </c>
      <c r="I25" s="49">
        <f>'Avg Week Sironko-Mbale'!I25+'Avg Week Mbale- Sironko'!I25</f>
        <v>6.2857142857142856</v>
      </c>
      <c r="J25" s="49">
        <f>'Avg Week Sironko-Mbale'!J25+'Avg Week Mbale- Sironko'!J25</f>
        <v>0</v>
      </c>
      <c r="K25" s="49">
        <f>'Avg Week Sironko-Mbale'!K25+'Avg Week Mbale- Sironko'!K25</f>
        <v>0.14285714285714285</v>
      </c>
      <c r="L25" s="49">
        <f>'Avg Week Sironko-Mbale'!L25+'Avg Week Mbale- Sironko'!L25</f>
        <v>0.42857142857142855</v>
      </c>
      <c r="M25" s="49">
        <f>'Avg Week Sironko-Mbale'!M25+'Avg Week Mbale- Sironko'!M25</f>
        <v>54.571428571428569</v>
      </c>
      <c r="N25" s="49">
        <f>'Avg Week Sironko-Mbale'!N25+'Avg Week Mbale- Sironko'!N25</f>
        <v>0</v>
      </c>
      <c r="O25" s="15">
        <f t="shared" si="0"/>
        <v>31.142857142857139</v>
      </c>
      <c r="P25" s="15">
        <f t="shared" si="1"/>
        <v>85.714285714285708</v>
      </c>
      <c r="R25" s="1" t="s">
        <v>149</v>
      </c>
      <c r="S25" s="34">
        <f>SUM(C70:C73)</f>
        <v>13.5</v>
      </c>
      <c r="T25" s="34">
        <f t="shared" ref="T25:AF25" si="17">SUM(D70:D73)</f>
        <v>0</v>
      </c>
      <c r="U25" s="34">
        <f t="shared" si="17"/>
        <v>10.5</v>
      </c>
      <c r="V25" s="34">
        <f t="shared" si="17"/>
        <v>2.5</v>
      </c>
      <c r="W25" s="34">
        <f t="shared" si="17"/>
        <v>0</v>
      </c>
      <c r="X25" s="34">
        <f t="shared" si="17"/>
        <v>0</v>
      </c>
      <c r="Y25" s="34">
        <f t="shared" si="17"/>
        <v>19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58.5</v>
      </c>
      <c r="AD25" s="34">
        <f t="shared" si="17"/>
        <v>0</v>
      </c>
      <c r="AE25" s="31">
        <f t="shared" si="17"/>
        <v>46</v>
      </c>
      <c r="AF25" s="31">
        <f t="shared" si="17"/>
        <v>104.5</v>
      </c>
    </row>
    <row r="26" spans="2:32" ht="23.1" customHeight="1" x14ac:dyDescent="0.25">
      <c r="B26" s="23" t="s">
        <v>53</v>
      </c>
      <c r="C26" s="49">
        <f>'Avg Week Sironko-Mbale'!C26+'Avg Week Mbale- Sironko'!C26</f>
        <v>7.1428571428571423</v>
      </c>
      <c r="D26" s="49">
        <f>'Avg Week Sironko-Mbale'!D26+'Avg Week Mbale- Sironko'!D26</f>
        <v>2.2857142857142856</v>
      </c>
      <c r="E26" s="49">
        <f>'Avg Week Sironko-Mbale'!E26+'Avg Week Mbale- Sironko'!E26</f>
        <v>12.428571428571429</v>
      </c>
      <c r="F26" s="49">
        <f>'Avg Week Sironko-Mbale'!F26+'Avg Week Mbale- Sironko'!F26</f>
        <v>7.5714285714285712</v>
      </c>
      <c r="G26" s="49">
        <f>'Avg Week Sironko-Mbale'!G26+'Avg Week Mbale- Sironko'!G26</f>
        <v>0.42857142857142855</v>
      </c>
      <c r="H26" s="49">
        <f>'Avg Week Sironko-Mbale'!H26+'Avg Week Mbale- Sironko'!H26</f>
        <v>0</v>
      </c>
      <c r="I26" s="49">
        <f>'Avg Week Sironko-Mbale'!I26+'Avg Week Mbale- Sironko'!I26</f>
        <v>4.5714285714285712</v>
      </c>
      <c r="J26" s="49">
        <f>'Avg Week Sironko-Mbale'!J26+'Avg Week Mbale- Sironko'!J26</f>
        <v>0.2857142857142857</v>
      </c>
      <c r="K26" s="49">
        <f>'Avg Week Sironko-Mbale'!K26+'Avg Week Mbale- Sironko'!K26</f>
        <v>0</v>
      </c>
      <c r="L26" s="49">
        <f>'Avg Week Sironko-Mbale'!L26+'Avg Week Mbale- Sironko'!L26</f>
        <v>0.5714285714285714</v>
      </c>
      <c r="M26" s="49">
        <f>'Avg Week Sironko-Mbale'!M26+'Avg Week Mbale- Sironko'!M26</f>
        <v>55.142857142857139</v>
      </c>
      <c r="N26" s="49">
        <f>'Avg Week Sironko-Mbale'!N26+'Avg Week Mbale- Sironko'!N26</f>
        <v>0</v>
      </c>
      <c r="O26" s="15">
        <f t="shared" si="0"/>
        <v>35.285714285714278</v>
      </c>
      <c r="P26" s="15">
        <f t="shared" si="1"/>
        <v>90.428571428571416</v>
      </c>
      <c r="R26" s="1" t="s">
        <v>150</v>
      </c>
      <c r="S26" s="34">
        <f>SUM(C74:C77)</f>
        <v>5.5</v>
      </c>
      <c r="T26" s="34">
        <f t="shared" ref="T26:AF26" si="18">SUM(D74:D77)</f>
        <v>0.5</v>
      </c>
      <c r="U26" s="34">
        <f t="shared" si="18"/>
        <v>8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10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26.5</v>
      </c>
      <c r="AD26" s="34">
        <f t="shared" si="18"/>
        <v>0</v>
      </c>
      <c r="AE26" s="31">
        <f t="shared" si="18"/>
        <v>27.5</v>
      </c>
      <c r="AF26" s="31">
        <f t="shared" si="18"/>
        <v>54</v>
      </c>
    </row>
    <row r="27" spans="2:32" ht="23.1" customHeight="1" x14ac:dyDescent="0.25">
      <c r="B27" s="23" t="s">
        <v>54</v>
      </c>
      <c r="C27" s="49">
        <f>'Avg Week Sironko-Mbale'!C27+'Avg Week Mbale- Sironko'!C27</f>
        <v>9.1428571428571423</v>
      </c>
      <c r="D27" s="49">
        <f>'Avg Week Sironko-Mbale'!D27+'Avg Week Mbale- Sironko'!D27</f>
        <v>2.5714285714285716</v>
      </c>
      <c r="E27" s="49">
        <f>'Avg Week Sironko-Mbale'!E27+'Avg Week Mbale- Sironko'!E27</f>
        <v>11.714285714285715</v>
      </c>
      <c r="F27" s="49">
        <f>'Avg Week Sironko-Mbale'!F27+'Avg Week Mbale- Sironko'!F27</f>
        <v>7.2857142857142856</v>
      </c>
      <c r="G27" s="49">
        <f>'Avg Week Sironko-Mbale'!G27+'Avg Week Mbale- Sironko'!G27</f>
        <v>0.14285714285714285</v>
      </c>
      <c r="H27" s="49">
        <f>'Avg Week Sironko-Mbale'!H27+'Avg Week Mbale- Sironko'!H27</f>
        <v>0.14285714285714285</v>
      </c>
      <c r="I27" s="49">
        <f>'Avg Week Sironko-Mbale'!I27+'Avg Week Mbale- Sironko'!I27</f>
        <v>5.5714285714285712</v>
      </c>
      <c r="J27" s="49">
        <f>'Avg Week Sironko-Mbale'!J27+'Avg Week Mbale- Sironko'!J27</f>
        <v>0.14285714285714285</v>
      </c>
      <c r="K27" s="49">
        <f>'Avg Week Sironko-Mbale'!K27+'Avg Week Mbale- Sironko'!K27</f>
        <v>0.14285714285714285</v>
      </c>
      <c r="L27" s="49">
        <f>'Avg Week Sironko-Mbale'!L27+'Avg Week Mbale- Sironko'!L27</f>
        <v>0.14285714285714285</v>
      </c>
      <c r="M27" s="49">
        <f>'Avg Week Sironko-Mbale'!M27+'Avg Week Mbale- Sironko'!M27</f>
        <v>61.142857142857139</v>
      </c>
      <c r="N27" s="49">
        <f>'Avg Week Sironko-Mbale'!N27+'Avg Week Mbale- Sironko'!N27</f>
        <v>0</v>
      </c>
      <c r="O27" s="15">
        <f t="shared" si="0"/>
        <v>37.000000000000007</v>
      </c>
      <c r="P27" s="15">
        <f t="shared" si="1"/>
        <v>98.142857142857139</v>
      </c>
      <c r="R27" s="1" t="s">
        <v>151</v>
      </c>
      <c r="S27" s="34">
        <f>SUM(C78:C81)</f>
        <v>3.5</v>
      </c>
      <c r="T27" s="34">
        <f t="shared" ref="T27:AF27" si="19">SUM(D78:D81)</f>
        <v>0</v>
      </c>
      <c r="U27" s="34">
        <f t="shared" si="19"/>
        <v>4.5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10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15</v>
      </c>
      <c r="AD27" s="34">
        <f t="shared" si="19"/>
        <v>0</v>
      </c>
      <c r="AE27" s="31">
        <f t="shared" si="19"/>
        <v>19</v>
      </c>
      <c r="AF27" s="31">
        <f t="shared" si="19"/>
        <v>34</v>
      </c>
    </row>
    <row r="28" spans="2:32" ht="23.1" customHeight="1" x14ac:dyDescent="0.25">
      <c r="B28" s="23" t="s">
        <v>55</v>
      </c>
      <c r="C28" s="49">
        <f>'Avg Week Sironko-Mbale'!C28+'Avg Week Mbale- Sironko'!C28</f>
        <v>7.5714285714285712</v>
      </c>
      <c r="D28" s="49">
        <f>'Avg Week Sironko-Mbale'!D28+'Avg Week Mbale- Sironko'!D28</f>
        <v>2.2857142857142856</v>
      </c>
      <c r="E28" s="49">
        <f>'Avg Week Sironko-Mbale'!E28+'Avg Week Mbale- Sironko'!E28</f>
        <v>11.857142857142858</v>
      </c>
      <c r="F28" s="49">
        <f>'Avg Week Sironko-Mbale'!F28+'Avg Week Mbale- Sironko'!F28</f>
        <v>8.2857142857142847</v>
      </c>
      <c r="G28" s="49">
        <f>'Avg Week Sironko-Mbale'!G28+'Avg Week Mbale- Sironko'!G28</f>
        <v>0</v>
      </c>
      <c r="H28" s="49">
        <f>'Avg Week Sironko-Mbale'!H28+'Avg Week Mbale- Sironko'!H28</f>
        <v>0</v>
      </c>
      <c r="I28" s="49">
        <f>'Avg Week Sironko-Mbale'!I28+'Avg Week Mbale- Sironko'!I28</f>
        <v>5.4285714285714288</v>
      </c>
      <c r="J28" s="49">
        <f>'Avg Week Sironko-Mbale'!J28+'Avg Week Mbale- Sironko'!J28</f>
        <v>1.1428571428571428</v>
      </c>
      <c r="K28" s="49">
        <f>'Avg Week Sironko-Mbale'!K28+'Avg Week Mbale- Sironko'!K28</f>
        <v>0</v>
      </c>
      <c r="L28" s="49">
        <f>'Avg Week Sironko-Mbale'!L28+'Avg Week Mbale- Sironko'!L28</f>
        <v>0.7142857142857143</v>
      </c>
      <c r="M28" s="49">
        <f>'Avg Week Sironko-Mbale'!M28+'Avg Week Mbale- Sironko'!M28</f>
        <v>65.714285714285708</v>
      </c>
      <c r="N28" s="49">
        <f>'Avg Week Sironko-Mbale'!N28+'Avg Week Mbale- Sironko'!N28</f>
        <v>0</v>
      </c>
      <c r="O28" s="15">
        <f t="shared" si="0"/>
        <v>37.285714285714292</v>
      </c>
      <c r="P28" s="15">
        <f t="shared" si="1"/>
        <v>103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8.5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6.5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9.5</v>
      </c>
      <c r="AD28" s="34">
        <f t="shared" si="20"/>
        <v>0</v>
      </c>
      <c r="AE28" s="31">
        <f t="shared" si="20"/>
        <v>15</v>
      </c>
      <c r="AF28" s="31">
        <f t="shared" si="20"/>
        <v>24.5</v>
      </c>
    </row>
    <row r="29" spans="2:32" ht="23.1" customHeight="1" x14ac:dyDescent="0.25">
      <c r="B29" s="23" t="s">
        <v>56</v>
      </c>
      <c r="C29" s="49">
        <f>'Avg Week Sironko-Mbale'!C29+'Avg Week Mbale- Sironko'!C29</f>
        <v>7.5714285714285712</v>
      </c>
      <c r="D29" s="49">
        <f>'Avg Week Sironko-Mbale'!D29+'Avg Week Mbale- Sironko'!D29</f>
        <v>1.8571428571428572</v>
      </c>
      <c r="E29" s="49">
        <f>'Avg Week Sironko-Mbale'!E29+'Avg Week Mbale- Sironko'!E29</f>
        <v>9.8571428571428577</v>
      </c>
      <c r="F29" s="49">
        <f>'Avg Week Sironko-Mbale'!F29+'Avg Week Mbale- Sironko'!F29</f>
        <v>7.5714285714285712</v>
      </c>
      <c r="G29" s="49">
        <f>'Avg Week Sironko-Mbale'!G29+'Avg Week Mbale- Sironko'!G29</f>
        <v>0.2857142857142857</v>
      </c>
      <c r="H29" s="49">
        <f>'Avg Week Sironko-Mbale'!H29+'Avg Week Mbale- Sironko'!H29</f>
        <v>0</v>
      </c>
      <c r="I29" s="49">
        <f>'Avg Week Sironko-Mbale'!I29+'Avg Week Mbale- Sironko'!I29</f>
        <v>4.7142857142857144</v>
      </c>
      <c r="J29" s="49">
        <f>'Avg Week Sironko-Mbale'!J29+'Avg Week Mbale- Sironko'!J29</f>
        <v>0.2857142857142857</v>
      </c>
      <c r="K29" s="49">
        <f>'Avg Week Sironko-Mbale'!K29+'Avg Week Mbale- Sironko'!K29</f>
        <v>0</v>
      </c>
      <c r="L29" s="49">
        <f>'Avg Week Sironko-Mbale'!L29+'Avg Week Mbale- Sironko'!L29</f>
        <v>0.14285714285714285</v>
      </c>
      <c r="M29" s="49">
        <f>'Avg Week Sironko-Mbale'!M29+'Avg Week Mbale- Sironko'!M29</f>
        <v>58.571428571428569</v>
      </c>
      <c r="N29" s="49">
        <f>'Avg Week Sironko-Mbale'!N29+'Avg Week Mbale- Sironko'!N29</f>
        <v>0</v>
      </c>
      <c r="O29" s="15">
        <f t="shared" si="0"/>
        <v>32.285714285714285</v>
      </c>
      <c r="P29" s="15">
        <f t="shared" si="1"/>
        <v>90.857142857142861</v>
      </c>
      <c r="R29" s="1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5.5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7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10</v>
      </c>
      <c r="AD29" s="34">
        <f t="shared" si="21"/>
        <v>0</v>
      </c>
      <c r="AE29" s="31">
        <f t="shared" si="21"/>
        <v>14</v>
      </c>
      <c r="AF29" s="31">
        <f t="shared" si="21"/>
        <v>24</v>
      </c>
    </row>
    <row r="30" spans="2:32" ht="23.1" customHeight="1" x14ac:dyDescent="0.25">
      <c r="B30" s="23" t="s">
        <v>57</v>
      </c>
      <c r="C30" s="49">
        <f>'Avg Week Sironko-Mbale'!C30+'Avg Week Mbale- Sironko'!C30</f>
        <v>9</v>
      </c>
      <c r="D30" s="49">
        <f>'Avg Week Sironko-Mbale'!D30+'Avg Week Mbale- Sironko'!D30</f>
        <v>2.5714285714285712</v>
      </c>
      <c r="E30" s="49">
        <f>'Avg Week Sironko-Mbale'!E30+'Avg Week Mbale- Sironko'!E30</f>
        <v>12.285714285714285</v>
      </c>
      <c r="F30" s="49">
        <f>'Avg Week Sironko-Mbale'!F30+'Avg Week Mbale- Sironko'!F30</f>
        <v>8.4285714285714288</v>
      </c>
      <c r="G30" s="49">
        <f>'Avg Week Sironko-Mbale'!G30+'Avg Week Mbale- Sironko'!G30</f>
        <v>0</v>
      </c>
      <c r="H30" s="49">
        <f>'Avg Week Sironko-Mbale'!H30+'Avg Week Mbale- Sironko'!H30</f>
        <v>0</v>
      </c>
      <c r="I30" s="49">
        <f>'Avg Week Sironko-Mbale'!I30+'Avg Week Mbale- Sironko'!I30</f>
        <v>5.5714285714285712</v>
      </c>
      <c r="J30" s="49">
        <f>'Avg Week Sironko-Mbale'!J30+'Avg Week Mbale- Sironko'!J30</f>
        <v>0.42857142857142855</v>
      </c>
      <c r="K30" s="49">
        <f>'Avg Week Sironko-Mbale'!K30+'Avg Week Mbale- Sironko'!K30</f>
        <v>0</v>
      </c>
      <c r="L30" s="49">
        <f>'Avg Week Sironko-Mbale'!L30+'Avg Week Mbale- Sironko'!L30</f>
        <v>0.2857142857142857</v>
      </c>
      <c r="M30" s="49">
        <f>'Avg Week Sironko-Mbale'!M30+'Avg Week Mbale- Sironko'!M30</f>
        <v>61.857142857142861</v>
      </c>
      <c r="N30" s="49">
        <f>'Avg Week Sironko-Mbale'!N30+'Avg Week Mbale- Sironko'!N30</f>
        <v>0</v>
      </c>
      <c r="O30" s="15">
        <f t="shared" si="0"/>
        <v>38.571428571428569</v>
      </c>
      <c r="P30" s="15">
        <f t="shared" si="1"/>
        <v>100.42857142857143</v>
      </c>
      <c r="R30" s="1" t="s">
        <v>154</v>
      </c>
      <c r="S30" s="34">
        <f>SUM(C90:C93)</f>
        <v>0.5</v>
      </c>
      <c r="T30" s="34">
        <f t="shared" ref="T30:AF30" si="22">SUM(D90:D93)</f>
        <v>0</v>
      </c>
      <c r="U30" s="34">
        <f t="shared" si="22"/>
        <v>5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4.5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4.5</v>
      </c>
      <c r="AD30" s="34">
        <f t="shared" si="22"/>
        <v>0</v>
      </c>
      <c r="AE30" s="31">
        <f t="shared" si="22"/>
        <v>10</v>
      </c>
      <c r="AF30" s="31">
        <f t="shared" si="22"/>
        <v>14.5</v>
      </c>
    </row>
    <row r="31" spans="2:32" ht="23.1" customHeight="1" x14ac:dyDescent="0.25">
      <c r="B31" s="24" t="s">
        <v>58</v>
      </c>
      <c r="C31" s="49">
        <f>'Avg Week Sironko-Mbale'!C31+'Avg Week Mbale- Sironko'!C31</f>
        <v>5.5714285714285712</v>
      </c>
      <c r="D31" s="49">
        <f>'Avg Week Sironko-Mbale'!D31+'Avg Week Mbale- Sironko'!D31</f>
        <v>2.7142857142857144</v>
      </c>
      <c r="E31" s="49">
        <f>'Avg Week Sironko-Mbale'!E31+'Avg Week Mbale- Sironko'!E31</f>
        <v>13.142857142857142</v>
      </c>
      <c r="F31" s="49">
        <f>'Avg Week Sironko-Mbale'!F31+'Avg Week Mbale- Sironko'!F31</f>
        <v>7.8571428571428577</v>
      </c>
      <c r="G31" s="49">
        <f>'Avg Week Sironko-Mbale'!G31+'Avg Week Mbale- Sironko'!G31</f>
        <v>0.42857142857142855</v>
      </c>
      <c r="H31" s="49">
        <f>'Avg Week Sironko-Mbale'!H31+'Avg Week Mbale- Sironko'!H31</f>
        <v>0.5714285714285714</v>
      </c>
      <c r="I31" s="49">
        <f>'Avg Week Sironko-Mbale'!I31+'Avg Week Mbale- Sironko'!I31</f>
        <v>6.4285714285714288</v>
      </c>
      <c r="J31" s="49">
        <f>'Avg Week Sironko-Mbale'!J31+'Avg Week Mbale- Sironko'!J31</f>
        <v>0</v>
      </c>
      <c r="K31" s="49">
        <f>'Avg Week Sironko-Mbale'!K31+'Avg Week Mbale- Sironko'!K31</f>
        <v>0</v>
      </c>
      <c r="L31" s="49">
        <f>'Avg Week Sironko-Mbale'!L31+'Avg Week Mbale- Sironko'!L31</f>
        <v>0.7142857142857143</v>
      </c>
      <c r="M31" s="49">
        <f>'Avg Week Sironko-Mbale'!M31+'Avg Week Mbale- Sironko'!M31</f>
        <v>66.428571428571431</v>
      </c>
      <c r="N31" s="49">
        <f>'Avg Week Sironko-Mbale'!N31+'Avg Week Mbale- Sironko'!N31</f>
        <v>0</v>
      </c>
      <c r="O31" s="15">
        <f t="shared" si="0"/>
        <v>37.428571428571431</v>
      </c>
      <c r="P31" s="15">
        <f t="shared" si="1"/>
        <v>103.85714285714286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4.5</v>
      </c>
      <c r="V31" s="34">
        <f t="shared" si="23"/>
        <v>0</v>
      </c>
      <c r="W31" s="34">
        <f t="shared" si="23"/>
        <v>1</v>
      </c>
      <c r="X31" s="34">
        <f t="shared" si="23"/>
        <v>0</v>
      </c>
      <c r="Y31" s="34">
        <f t="shared" si="23"/>
        <v>8.5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10</v>
      </c>
      <c r="AD31" s="34">
        <f t="shared" si="23"/>
        <v>0</v>
      </c>
      <c r="AE31" s="31">
        <f t="shared" si="23"/>
        <v>15</v>
      </c>
      <c r="AF31" s="31">
        <f t="shared" si="23"/>
        <v>25</v>
      </c>
    </row>
    <row r="32" spans="2:32" ht="23.1" customHeight="1" x14ac:dyDescent="0.25">
      <c r="B32" s="24" t="s">
        <v>59</v>
      </c>
      <c r="C32" s="49">
        <f>'Avg Week Sironko-Mbale'!C32+'Avg Week Mbale- Sironko'!C32</f>
        <v>7.2857142857142856</v>
      </c>
      <c r="D32" s="49">
        <f>'Avg Week Sironko-Mbale'!D32+'Avg Week Mbale- Sironko'!D32</f>
        <v>2.1428571428571428</v>
      </c>
      <c r="E32" s="49">
        <f>'Avg Week Sironko-Mbale'!E32+'Avg Week Mbale- Sironko'!E32</f>
        <v>9.7142857142857153</v>
      </c>
      <c r="F32" s="49">
        <f>'Avg Week Sironko-Mbale'!F32+'Avg Week Mbale- Sironko'!F32</f>
        <v>6.7142857142857135</v>
      </c>
      <c r="G32" s="49">
        <f>'Avg Week Sironko-Mbale'!G32+'Avg Week Mbale- Sironko'!G32</f>
        <v>0.14285714285714285</v>
      </c>
      <c r="H32" s="49">
        <f>'Avg Week Sironko-Mbale'!H32+'Avg Week Mbale- Sironko'!H32</f>
        <v>0.2857142857142857</v>
      </c>
      <c r="I32" s="49">
        <f>'Avg Week Sironko-Mbale'!I32+'Avg Week Mbale- Sironko'!I32</f>
        <v>7</v>
      </c>
      <c r="J32" s="49">
        <f>'Avg Week Sironko-Mbale'!J32+'Avg Week Mbale- Sironko'!J32</f>
        <v>0.2857142857142857</v>
      </c>
      <c r="K32" s="49">
        <f>'Avg Week Sironko-Mbale'!K32+'Avg Week Mbale- Sironko'!K32</f>
        <v>0.2857142857142857</v>
      </c>
      <c r="L32" s="49">
        <f>'Avg Week Sironko-Mbale'!L32+'Avg Week Mbale- Sironko'!L32</f>
        <v>0.42857142857142855</v>
      </c>
      <c r="M32" s="49">
        <f>'Avg Week Sironko-Mbale'!M32+'Avg Week Mbale- Sironko'!M32</f>
        <v>61.571428571428569</v>
      </c>
      <c r="N32" s="49">
        <f>'Avg Week Sironko-Mbale'!N32+'Avg Week Mbale- Sironko'!N32</f>
        <v>0.2857142857142857</v>
      </c>
      <c r="O32" s="15">
        <f t="shared" si="0"/>
        <v>34.571428571428577</v>
      </c>
      <c r="P32" s="15">
        <f t="shared" si="1"/>
        <v>96.142857142857153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8.5</v>
      </c>
      <c r="V32" s="34">
        <f t="shared" si="24"/>
        <v>2.5</v>
      </c>
      <c r="W32" s="34">
        <f t="shared" si="24"/>
        <v>0</v>
      </c>
      <c r="X32" s="34">
        <f t="shared" si="24"/>
        <v>0.5</v>
      </c>
      <c r="Y32" s="34">
        <f t="shared" si="24"/>
        <v>8.5</v>
      </c>
      <c r="Z32" s="34">
        <f t="shared" si="24"/>
        <v>0</v>
      </c>
      <c r="AA32" s="34">
        <f t="shared" si="24"/>
        <v>0.5</v>
      </c>
      <c r="AB32" s="34">
        <f t="shared" si="24"/>
        <v>0</v>
      </c>
      <c r="AC32" s="34">
        <f t="shared" si="24"/>
        <v>18</v>
      </c>
      <c r="AD32" s="34">
        <f t="shared" si="24"/>
        <v>0</v>
      </c>
      <c r="AE32" s="31">
        <f t="shared" si="24"/>
        <v>22.5</v>
      </c>
      <c r="AF32" s="31">
        <f t="shared" si="24"/>
        <v>40.5</v>
      </c>
    </row>
    <row r="33" spans="2:32" ht="23.1" customHeight="1" x14ac:dyDescent="0.25">
      <c r="B33" s="23" t="s">
        <v>60</v>
      </c>
      <c r="C33" s="49">
        <f>'Avg Week Sironko-Mbale'!C33+'Avg Week Mbale- Sironko'!C33</f>
        <v>6.4285714285714288</v>
      </c>
      <c r="D33" s="49">
        <f>'Avg Week Sironko-Mbale'!D33+'Avg Week Mbale- Sironko'!D33</f>
        <v>3.5714285714285712</v>
      </c>
      <c r="E33" s="49">
        <f>'Avg Week Sironko-Mbale'!E33+'Avg Week Mbale- Sironko'!E33</f>
        <v>15.571428571428571</v>
      </c>
      <c r="F33" s="49">
        <f>'Avg Week Sironko-Mbale'!F33+'Avg Week Mbale- Sironko'!F33</f>
        <v>6.8571428571428577</v>
      </c>
      <c r="G33" s="49">
        <f>'Avg Week Sironko-Mbale'!G33+'Avg Week Mbale- Sironko'!G33</f>
        <v>0</v>
      </c>
      <c r="H33" s="49">
        <f>'Avg Week Sironko-Mbale'!H33+'Avg Week Mbale- Sironko'!H33</f>
        <v>0</v>
      </c>
      <c r="I33" s="49">
        <f>'Avg Week Sironko-Mbale'!I33+'Avg Week Mbale- Sironko'!I33</f>
        <v>4.8571428571428577</v>
      </c>
      <c r="J33" s="49">
        <f>'Avg Week Sironko-Mbale'!J33+'Avg Week Mbale- Sironko'!J33</f>
        <v>0.2857142857142857</v>
      </c>
      <c r="K33" s="49">
        <f>'Avg Week Sironko-Mbale'!K33+'Avg Week Mbale- Sironko'!K33</f>
        <v>0.42857142857142855</v>
      </c>
      <c r="L33" s="49">
        <f>'Avg Week Sironko-Mbale'!L33+'Avg Week Mbale- Sironko'!L33</f>
        <v>0.2857142857142857</v>
      </c>
      <c r="M33" s="49">
        <f>'Avg Week Sironko-Mbale'!M33+'Avg Week Mbale- Sironko'!M33</f>
        <v>58</v>
      </c>
      <c r="N33" s="49">
        <f>'Avg Week Sironko-Mbale'!N33+'Avg Week Mbale- Sironko'!N33</f>
        <v>0</v>
      </c>
      <c r="O33" s="15">
        <f t="shared" si="0"/>
        <v>38.285714285714292</v>
      </c>
      <c r="P33" s="15">
        <f t="shared" si="1"/>
        <v>96.285714285714292</v>
      </c>
      <c r="R33" s="1" t="s">
        <v>157</v>
      </c>
      <c r="S33" s="34">
        <f>SUM(C102:C105)</f>
        <v>5</v>
      </c>
      <c r="T33" s="34">
        <f t="shared" ref="T33:AF33" si="25">SUM(D102:D105)</f>
        <v>0.5</v>
      </c>
      <c r="U33" s="34">
        <f t="shared" si="25"/>
        <v>12</v>
      </c>
      <c r="V33" s="34">
        <f t="shared" si="25"/>
        <v>16.5</v>
      </c>
      <c r="W33" s="34">
        <f t="shared" si="25"/>
        <v>0</v>
      </c>
      <c r="X33" s="34">
        <f t="shared" si="25"/>
        <v>0</v>
      </c>
      <c r="Y33" s="34">
        <f t="shared" si="25"/>
        <v>21.5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55</v>
      </c>
      <c r="AD33" s="34">
        <f t="shared" si="25"/>
        <v>0</v>
      </c>
      <c r="AE33" s="31">
        <f t="shared" si="25"/>
        <v>55.5</v>
      </c>
      <c r="AF33" s="31">
        <f t="shared" si="25"/>
        <v>110.5</v>
      </c>
    </row>
    <row r="34" spans="2:32" ht="23.1" customHeight="1" x14ac:dyDescent="0.25">
      <c r="B34" s="24" t="s">
        <v>61</v>
      </c>
      <c r="C34" s="49">
        <f>'Avg Week Sironko-Mbale'!C34+'Avg Week Mbale- Sironko'!C34</f>
        <v>7.2857142857142856</v>
      </c>
      <c r="D34" s="49">
        <f>'Avg Week Sironko-Mbale'!D34+'Avg Week Mbale- Sironko'!D34</f>
        <v>3.5714285714285712</v>
      </c>
      <c r="E34" s="49">
        <f>'Avg Week Sironko-Mbale'!E34+'Avg Week Mbale- Sironko'!E34</f>
        <v>15.428571428571427</v>
      </c>
      <c r="F34" s="49">
        <f>'Avg Week Sironko-Mbale'!F34+'Avg Week Mbale- Sironko'!F34</f>
        <v>6.4285714285714288</v>
      </c>
      <c r="G34" s="49">
        <f>'Avg Week Sironko-Mbale'!G34+'Avg Week Mbale- Sironko'!G34</f>
        <v>0.14285714285714285</v>
      </c>
      <c r="H34" s="49">
        <f>'Avg Week Sironko-Mbale'!H34+'Avg Week Mbale- Sironko'!H34</f>
        <v>0</v>
      </c>
      <c r="I34" s="49">
        <f>'Avg Week Sironko-Mbale'!I34+'Avg Week Mbale- Sironko'!I34</f>
        <v>6</v>
      </c>
      <c r="J34" s="49">
        <f>'Avg Week Sironko-Mbale'!J34+'Avg Week Mbale- Sironko'!J34</f>
        <v>0.2857142857142857</v>
      </c>
      <c r="K34" s="49">
        <f>'Avg Week Sironko-Mbale'!K34+'Avg Week Mbale- Sironko'!K34</f>
        <v>0</v>
      </c>
      <c r="L34" s="49">
        <f>'Avg Week Sironko-Mbale'!L34+'Avg Week Mbale- Sironko'!L34</f>
        <v>0</v>
      </c>
      <c r="M34" s="49">
        <f>'Avg Week Sironko-Mbale'!M34+'Avg Week Mbale- Sironko'!M34</f>
        <v>63</v>
      </c>
      <c r="N34" s="49">
        <f>'Avg Week Sironko-Mbale'!N34+'Avg Week Mbale- Sironko'!N34</f>
        <v>0</v>
      </c>
      <c r="O34" s="15">
        <f t="shared" si="0"/>
        <v>39.142857142857146</v>
      </c>
      <c r="P34" s="15">
        <f t="shared" si="1"/>
        <v>102.14285714285714</v>
      </c>
      <c r="R34" s="51" t="s">
        <v>90</v>
      </c>
      <c r="S34" s="52">
        <f t="shared" ref="S34:AF34" si="26">MAX(S10:S12)</f>
        <v>26.428571428571431</v>
      </c>
      <c r="T34" s="52">
        <f t="shared" si="26"/>
        <v>9.5714285714285712</v>
      </c>
      <c r="U34" s="52">
        <f t="shared" si="26"/>
        <v>48.857142857142854</v>
      </c>
      <c r="V34" s="52">
        <f t="shared" si="26"/>
        <v>24</v>
      </c>
      <c r="W34" s="52">
        <f t="shared" si="26"/>
        <v>2.1428571428571428</v>
      </c>
      <c r="X34" s="52">
        <f t="shared" si="26"/>
        <v>0.5714285714285714</v>
      </c>
      <c r="Y34" s="52">
        <f t="shared" si="26"/>
        <v>18.142857142857142</v>
      </c>
      <c r="Z34" s="52">
        <f t="shared" si="26"/>
        <v>0.71428571428571419</v>
      </c>
      <c r="AA34" s="52">
        <f t="shared" si="26"/>
        <v>0.14285714285714285</v>
      </c>
      <c r="AB34" s="52">
        <f t="shared" si="26"/>
        <v>1.4285714285714286</v>
      </c>
      <c r="AC34" s="52">
        <f t="shared" si="26"/>
        <v>220.57142857142856</v>
      </c>
      <c r="AD34" s="52">
        <f t="shared" si="26"/>
        <v>0.14285714285714285</v>
      </c>
      <c r="AE34" s="40">
        <f t="shared" si="26"/>
        <v>131.57142857142858</v>
      </c>
      <c r="AF34" s="40">
        <f t="shared" si="26"/>
        <v>352.14285714285711</v>
      </c>
    </row>
    <row r="35" spans="2:32" ht="23.1" customHeight="1" x14ac:dyDescent="0.25">
      <c r="B35" s="24" t="s">
        <v>62</v>
      </c>
      <c r="C35" s="49">
        <f>'Avg Week Sironko-Mbale'!C35+'Avg Week Mbale- Sironko'!C35</f>
        <v>6.8571428571428577</v>
      </c>
      <c r="D35" s="49">
        <f>'Avg Week Sironko-Mbale'!D35+'Avg Week Mbale- Sironko'!D35</f>
        <v>2.5714285714285716</v>
      </c>
      <c r="E35" s="49">
        <f>'Avg Week Sironko-Mbale'!E35+'Avg Week Mbale- Sironko'!E35</f>
        <v>11.714285714285715</v>
      </c>
      <c r="F35" s="49">
        <f>'Avg Week Sironko-Mbale'!F35+'Avg Week Mbale- Sironko'!F35</f>
        <v>6.5714285714285712</v>
      </c>
      <c r="G35" s="49">
        <f>'Avg Week Sironko-Mbale'!G35+'Avg Week Mbale- Sironko'!G35</f>
        <v>0.14285714285714285</v>
      </c>
      <c r="H35" s="49">
        <f>'Avg Week Sironko-Mbale'!H35+'Avg Week Mbale- Sironko'!H35</f>
        <v>0</v>
      </c>
      <c r="I35" s="49">
        <f>'Avg Week Sironko-Mbale'!I35+'Avg Week Mbale- Sironko'!I35</f>
        <v>6.2857142857142856</v>
      </c>
      <c r="J35" s="49">
        <f>'Avg Week Sironko-Mbale'!J35+'Avg Week Mbale- Sironko'!J35</f>
        <v>0</v>
      </c>
      <c r="K35" s="49">
        <f>'Avg Week Sironko-Mbale'!K35+'Avg Week Mbale- Sironko'!K35</f>
        <v>0</v>
      </c>
      <c r="L35" s="49">
        <f>'Avg Week Sironko-Mbale'!L35+'Avg Week Mbale- Sironko'!L35</f>
        <v>0</v>
      </c>
      <c r="M35" s="49">
        <f>'Avg Week Sironko-Mbale'!M35+'Avg Week Mbale- Sironko'!M35</f>
        <v>53.857142857142861</v>
      </c>
      <c r="N35" s="49">
        <f>'Avg Week Sironko-Mbale'!N35+'Avg Week Mbale- Sironko'!N35</f>
        <v>0</v>
      </c>
      <c r="O35" s="15">
        <f t="shared" si="0"/>
        <v>34.142857142857146</v>
      </c>
      <c r="P35" s="15">
        <f t="shared" si="1"/>
        <v>88</v>
      </c>
      <c r="R35" s="51" t="s">
        <v>91</v>
      </c>
      <c r="S35" s="52">
        <f t="shared" ref="S35:AF35" si="27">MAX(S13:S18)</f>
        <v>31.428571428571423</v>
      </c>
      <c r="T35" s="52">
        <f t="shared" si="27"/>
        <v>11.857142857142856</v>
      </c>
      <c r="U35" s="52">
        <f t="shared" si="27"/>
        <v>56</v>
      </c>
      <c r="V35" s="52">
        <f t="shared" si="27"/>
        <v>33</v>
      </c>
      <c r="W35" s="52">
        <f t="shared" si="27"/>
        <v>0.8571428571428571</v>
      </c>
      <c r="X35" s="52">
        <f t="shared" si="27"/>
        <v>0.8571428571428571</v>
      </c>
      <c r="Y35" s="52">
        <f t="shared" si="27"/>
        <v>30</v>
      </c>
      <c r="Z35" s="52">
        <f t="shared" si="27"/>
        <v>2</v>
      </c>
      <c r="AA35" s="52">
        <f t="shared" si="27"/>
        <v>0.71428571428571419</v>
      </c>
      <c r="AB35" s="52">
        <f t="shared" si="27"/>
        <v>1.7142857142857144</v>
      </c>
      <c r="AC35" s="52">
        <f t="shared" si="27"/>
        <v>247.85714285714283</v>
      </c>
      <c r="AD35" s="52">
        <f t="shared" si="27"/>
        <v>0.2857142857142857</v>
      </c>
      <c r="AE35" s="40">
        <f t="shared" si="27"/>
        <v>153.71428571428572</v>
      </c>
      <c r="AF35" s="40">
        <f t="shared" si="27"/>
        <v>396.71428571428572</v>
      </c>
    </row>
    <row r="36" spans="2:32" ht="23.1" customHeight="1" x14ac:dyDescent="0.25">
      <c r="B36" s="24" t="s">
        <v>63</v>
      </c>
      <c r="C36" s="49">
        <f>'Avg Week Sironko-Mbale'!C36+'Avg Week Mbale- Sironko'!C36</f>
        <v>7.8571428571428568</v>
      </c>
      <c r="D36" s="49">
        <f>'Avg Week Sironko-Mbale'!D36+'Avg Week Mbale- Sironko'!D36</f>
        <v>3.2857142857142856</v>
      </c>
      <c r="E36" s="49">
        <f>'Avg Week Sironko-Mbale'!E36+'Avg Week Mbale- Sironko'!E36</f>
        <v>16</v>
      </c>
      <c r="F36" s="49">
        <f>'Avg Week Sironko-Mbale'!F36+'Avg Week Mbale- Sironko'!F36</f>
        <v>8.2857142857142865</v>
      </c>
      <c r="G36" s="49">
        <f>'Avg Week Sironko-Mbale'!G36+'Avg Week Mbale- Sironko'!G36</f>
        <v>0.2857142857142857</v>
      </c>
      <c r="H36" s="49">
        <f>'Avg Week Sironko-Mbale'!H36+'Avg Week Mbale- Sironko'!H36</f>
        <v>0.42857142857142855</v>
      </c>
      <c r="I36" s="49">
        <f>'Avg Week Sironko-Mbale'!I36+'Avg Week Mbale- Sironko'!I36</f>
        <v>6.4285714285714288</v>
      </c>
      <c r="J36" s="49">
        <f>'Avg Week Sironko-Mbale'!J36+'Avg Week Mbale- Sironko'!J36</f>
        <v>0.14285714285714285</v>
      </c>
      <c r="K36" s="49">
        <f>'Avg Week Sironko-Mbale'!K36+'Avg Week Mbale- Sironko'!K36</f>
        <v>0.14285714285714285</v>
      </c>
      <c r="L36" s="49">
        <f>'Avg Week Sironko-Mbale'!L36+'Avg Week Mbale- Sironko'!L36</f>
        <v>0.2857142857142857</v>
      </c>
      <c r="M36" s="49">
        <f>'Avg Week Sironko-Mbale'!M36+'Avg Week Mbale- Sironko'!M36</f>
        <v>60.142857142857139</v>
      </c>
      <c r="N36" s="49">
        <f>'Avg Week Sironko-Mbale'!N36+'Avg Week Mbale- Sironko'!N36</f>
        <v>0</v>
      </c>
      <c r="O36" s="15">
        <f t="shared" si="0"/>
        <v>43.142857142857153</v>
      </c>
      <c r="P36" s="15">
        <f t="shared" si="1"/>
        <v>103.28571428571429</v>
      </c>
      <c r="R36" s="51" t="s">
        <v>92</v>
      </c>
      <c r="S36" s="52">
        <f t="shared" ref="S36:AF36" si="28">MAX(S19:S21)</f>
        <v>34.857142857142861</v>
      </c>
      <c r="T36" s="52">
        <f t="shared" si="28"/>
        <v>13.285714285714286</v>
      </c>
      <c r="U36" s="52">
        <f t="shared" si="28"/>
        <v>58.571428571428569</v>
      </c>
      <c r="V36" s="52">
        <f t="shared" si="28"/>
        <v>31</v>
      </c>
      <c r="W36" s="52">
        <f t="shared" si="28"/>
        <v>2.1428571428571428</v>
      </c>
      <c r="X36" s="52">
        <f t="shared" si="28"/>
        <v>0.8571428571428571</v>
      </c>
      <c r="Y36" s="52">
        <f t="shared" si="28"/>
        <v>30.428571428571427</v>
      </c>
      <c r="Z36" s="52">
        <f t="shared" si="28"/>
        <v>2.8571428571428568</v>
      </c>
      <c r="AA36" s="52">
        <f t="shared" si="28"/>
        <v>0.71428571428571419</v>
      </c>
      <c r="AB36" s="52">
        <f t="shared" si="28"/>
        <v>1.1428571428571428</v>
      </c>
      <c r="AC36" s="52">
        <f t="shared" si="28"/>
        <v>278.57142857142856</v>
      </c>
      <c r="AD36" s="52">
        <f t="shared" si="28"/>
        <v>0</v>
      </c>
      <c r="AE36" s="40">
        <f t="shared" si="28"/>
        <v>174.71428571428569</v>
      </c>
      <c r="AF36" s="40">
        <f t="shared" si="28"/>
        <v>453.28571428571428</v>
      </c>
    </row>
    <row r="37" spans="2:32" ht="23.1" customHeight="1" x14ac:dyDescent="0.25">
      <c r="B37" s="23" t="s">
        <v>64</v>
      </c>
      <c r="C37" s="49">
        <f>'Avg Week Sironko-Mbale'!C37+'Avg Week Mbale- Sironko'!C37</f>
        <v>7.8571428571428577</v>
      </c>
      <c r="D37" s="49">
        <f>'Avg Week Sironko-Mbale'!D37+'Avg Week Mbale- Sironko'!D37</f>
        <v>2.4285714285714288</v>
      </c>
      <c r="E37" s="49">
        <f>'Avg Week Sironko-Mbale'!E37+'Avg Week Mbale- Sironko'!E37</f>
        <v>12.857142857142858</v>
      </c>
      <c r="F37" s="49">
        <f>'Avg Week Sironko-Mbale'!F37+'Avg Week Mbale- Sironko'!F37</f>
        <v>7.1428571428571423</v>
      </c>
      <c r="G37" s="49">
        <f>'Avg Week Sironko-Mbale'!G37+'Avg Week Mbale- Sironko'!G37</f>
        <v>0.14285714285714285</v>
      </c>
      <c r="H37" s="49">
        <f>'Avg Week Sironko-Mbale'!H37+'Avg Week Mbale- Sironko'!H37</f>
        <v>0.14285714285714285</v>
      </c>
      <c r="I37" s="49">
        <f>'Avg Week Sironko-Mbale'!I37+'Avg Week Mbale- Sironko'!I37</f>
        <v>6</v>
      </c>
      <c r="J37" s="49">
        <f>'Avg Week Sironko-Mbale'!J37+'Avg Week Mbale- Sironko'!J37</f>
        <v>0.2857142857142857</v>
      </c>
      <c r="K37" s="49">
        <f>'Avg Week Sironko-Mbale'!K37+'Avg Week Mbale- Sironko'!K37</f>
        <v>0.42857142857142855</v>
      </c>
      <c r="L37" s="49">
        <f>'Avg Week Sironko-Mbale'!L37+'Avg Week Mbale- Sironko'!L37</f>
        <v>0</v>
      </c>
      <c r="M37" s="49">
        <f>'Avg Week Sironko-Mbale'!M37+'Avg Week Mbale- Sironko'!M37</f>
        <v>54.428571428571431</v>
      </c>
      <c r="N37" s="49">
        <f>'Avg Week Sironko-Mbale'!N37+'Avg Week Mbale- Sironko'!N37</f>
        <v>0</v>
      </c>
      <c r="O37" s="15">
        <f t="shared" si="0"/>
        <v>37.285714285714285</v>
      </c>
      <c r="P37" s="15">
        <f t="shared" si="1"/>
        <v>91.714285714285722</v>
      </c>
      <c r="R37" s="37" t="s">
        <v>85</v>
      </c>
      <c r="S37" s="53">
        <f t="shared" ref="S37:AF37" si="29">SUM(S10:S12)</f>
        <v>60.714285714285715</v>
      </c>
      <c r="T37" s="54">
        <f t="shared" si="29"/>
        <v>19.857142857142854</v>
      </c>
      <c r="U37" s="54">
        <f t="shared" si="29"/>
        <v>112.71428571428572</v>
      </c>
      <c r="V37" s="54">
        <f t="shared" si="29"/>
        <v>64.285714285714292</v>
      </c>
      <c r="W37" s="54">
        <f t="shared" si="29"/>
        <v>3.714285714285714</v>
      </c>
      <c r="X37" s="54">
        <f t="shared" si="29"/>
        <v>1.4285714285714284</v>
      </c>
      <c r="Y37" s="54">
        <f t="shared" si="29"/>
        <v>45.142857142857139</v>
      </c>
      <c r="Z37" s="54">
        <f t="shared" si="29"/>
        <v>1.5714285714285714</v>
      </c>
      <c r="AA37" s="54">
        <f t="shared" si="29"/>
        <v>0.14285714285714285</v>
      </c>
      <c r="AB37" s="54">
        <f t="shared" si="29"/>
        <v>3.5714285714285712</v>
      </c>
      <c r="AC37" s="54">
        <f t="shared" si="29"/>
        <v>569.42857142857144</v>
      </c>
      <c r="AD37" s="54">
        <f t="shared" si="29"/>
        <v>0.2857142857142857</v>
      </c>
      <c r="AE37" s="55">
        <f t="shared" si="29"/>
        <v>313.42857142857144</v>
      </c>
      <c r="AF37" s="55">
        <f t="shared" si="29"/>
        <v>882.85714285714278</v>
      </c>
    </row>
    <row r="38" spans="2:32" ht="23.1" customHeight="1" x14ac:dyDescent="0.25">
      <c r="B38" s="24" t="s">
        <v>65</v>
      </c>
      <c r="C38" s="49">
        <f>'Avg Week Sironko-Mbale'!C38+'Avg Week Mbale- Sironko'!C38</f>
        <v>7.8571428571428577</v>
      </c>
      <c r="D38" s="49">
        <f>'Avg Week Sironko-Mbale'!D38+'Avg Week Mbale- Sironko'!D38</f>
        <v>2.1428571428571428</v>
      </c>
      <c r="E38" s="49">
        <f>'Avg Week Sironko-Mbale'!E38+'Avg Week Mbale- Sironko'!E38</f>
        <v>11.428571428571427</v>
      </c>
      <c r="F38" s="49">
        <f>'Avg Week Sironko-Mbale'!F38+'Avg Week Mbale- Sironko'!F38</f>
        <v>9</v>
      </c>
      <c r="G38" s="49">
        <f>'Avg Week Sironko-Mbale'!G38+'Avg Week Mbale- Sironko'!G38</f>
        <v>0.2857142857142857</v>
      </c>
      <c r="H38" s="49">
        <f>'Avg Week Sironko-Mbale'!H38+'Avg Week Mbale- Sironko'!H38</f>
        <v>0</v>
      </c>
      <c r="I38" s="49">
        <f>'Avg Week Sironko-Mbale'!I38+'Avg Week Mbale- Sironko'!I38</f>
        <v>5.4285714285714288</v>
      </c>
      <c r="J38" s="49">
        <f>'Avg Week Sironko-Mbale'!J38+'Avg Week Mbale- Sironko'!J38</f>
        <v>0.42857142857142855</v>
      </c>
      <c r="K38" s="49">
        <f>'Avg Week Sironko-Mbale'!K38+'Avg Week Mbale- Sironko'!K38</f>
        <v>0</v>
      </c>
      <c r="L38" s="49">
        <f>'Avg Week Sironko-Mbale'!L38+'Avg Week Mbale- Sironko'!L38</f>
        <v>0</v>
      </c>
      <c r="M38" s="49">
        <f>'Avg Week Sironko-Mbale'!M38+'Avg Week Mbale- Sironko'!M38</f>
        <v>57.857142857142854</v>
      </c>
      <c r="N38" s="49">
        <f>'Avg Week Sironko-Mbale'!N38+'Avg Week Mbale- Sironko'!N38</f>
        <v>0</v>
      </c>
      <c r="O38" s="15">
        <f t="shared" si="0"/>
        <v>36.571428571428569</v>
      </c>
      <c r="P38" s="15">
        <f t="shared" si="1"/>
        <v>94.428571428571416</v>
      </c>
      <c r="R38" s="28" t="s">
        <v>86</v>
      </c>
      <c r="S38" s="54">
        <f t="shared" ref="S38:AF38" si="30">SUM(S13:S18)</f>
        <v>176.14285714285714</v>
      </c>
      <c r="T38" s="54">
        <f t="shared" si="30"/>
        <v>61.714285714285715</v>
      </c>
      <c r="U38" s="54">
        <f t="shared" si="30"/>
        <v>296</v>
      </c>
      <c r="V38" s="54">
        <f t="shared" si="30"/>
        <v>176.57142857142858</v>
      </c>
      <c r="W38" s="54">
        <f t="shared" si="30"/>
        <v>3.5714285714285707</v>
      </c>
      <c r="X38" s="54">
        <f t="shared" si="30"/>
        <v>2.5714285714285712</v>
      </c>
      <c r="Y38" s="54">
        <f t="shared" si="30"/>
        <v>146</v>
      </c>
      <c r="Z38" s="54">
        <f t="shared" si="30"/>
        <v>8.2857142857142847</v>
      </c>
      <c r="AA38" s="54">
        <f t="shared" si="30"/>
        <v>2.5714285714285712</v>
      </c>
      <c r="AB38" s="54">
        <f t="shared" si="30"/>
        <v>5.8571428571428577</v>
      </c>
      <c r="AC38" s="54">
        <f t="shared" si="30"/>
        <v>1390.5714285714284</v>
      </c>
      <c r="AD38" s="54">
        <f t="shared" si="30"/>
        <v>0.42857142857142855</v>
      </c>
      <c r="AE38" s="55">
        <f t="shared" si="30"/>
        <v>879.71428571428578</v>
      </c>
      <c r="AF38" s="55">
        <f t="shared" si="30"/>
        <v>2270.2857142857142</v>
      </c>
    </row>
    <row r="39" spans="2:32" ht="23.1" customHeight="1" x14ac:dyDescent="0.25">
      <c r="B39" s="24" t="s">
        <v>66</v>
      </c>
      <c r="C39" s="49">
        <f>'Avg Week Sironko-Mbale'!C39+'Avg Week Mbale- Sironko'!C39</f>
        <v>5.5714285714285712</v>
      </c>
      <c r="D39" s="49">
        <f>'Avg Week Sironko-Mbale'!D39+'Avg Week Mbale- Sironko'!D39</f>
        <v>3</v>
      </c>
      <c r="E39" s="49">
        <f>'Avg Week Sironko-Mbale'!E39+'Avg Week Mbale- Sironko'!E39</f>
        <v>13</v>
      </c>
      <c r="F39" s="49">
        <f>'Avg Week Sironko-Mbale'!F39+'Avg Week Mbale- Sironko'!F39</f>
        <v>5.8571428571428568</v>
      </c>
      <c r="G39" s="49">
        <f>'Avg Week Sironko-Mbale'!G39+'Avg Week Mbale- Sironko'!G39</f>
        <v>0</v>
      </c>
      <c r="H39" s="49">
        <f>'Avg Week Sironko-Mbale'!H39+'Avg Week Mbale- Sironko'!H39</f>
        <v>0.14285714285714285</v>
      </c>
      <c r="I39" s="49">
        <f>'Avg Week Sironko-Mbale'!I39+'Avg Week Mbale- Sironko'!I39</f>
        <v>9.2857142857142847</v>
      </c>
      <c r="J39" s="49">
        <f>'Avg Week Sironko-Mbale'!J39+'Avg Week Mbale- Sironko'!J39</f>
        <v>0.5714285714285714</v>
      </c>
      <c r="K39" s="49">
        <f>'Avg Week Sironko-Mbale'!K39+'Avg Week Mbale- Sironko'!K39</f>
        <v>0.14285714285714285</v>
      </c>
      <c r="L39" s="49">
        <f>'Avg Week Sironko-Mbale'!L39+'Avg Week Mbale- Sironko'!L39</f>
        <v>0</v>
      </c>
      <c r="M39" s="49">
        <f>'Avg Week Sironko-Mbale'!M39+'Avg Week Mbale- Sironko'!M39</f>
        <v>55.285714285714292</v>
      </c>
      <c r="N39" s="49">
        <f>'Avg Week Sironko-Mbale'!N39+'Avg Week Mbale- Sironko'!N39</f>
        <v>0</v>
      </c>
      <c r="O39" s="15">
        <f t="shared" si="0"/>
        <v>37.571428571428569</v>
      </c>
      <c r="P39" s="15">
        <f t="shared" si="1"/>
        <v>92.857142857142861</v>
      </c>
      <c r="R39" s="29" t="s">
        <v>87</v>
      </c>
      <c r="S39" s="54">
        <f t="shared" ref="S39:AF39" si="31">SUM(S19:S21)</f>
        <v>101.71428571428572</v>
      </c>
      <c r="T39" s="54">
        <f t="shared" si="31"/>
        <v>33</v>
      </c>
      <c r="U39" s="54">
        <f t="shared" si="31"/>
        <v>155.14285714285714</v>
      </c>
      <c r="V39" s="54">
        <f t="shared" si="31"/>
        <v>90.285714285714292</v>
      </c>
      <c r="W39" s="54">
        <f t="shared" si="31"/>
        <v>4</v>
      </c>
      <c r="X39" s="54">
        <f t="shared" si="31"/>
        <v>1</v>
      </c>
      <c r="Y39" s="54">
        <f t="shared" si="31"/>
        <v>85.142857142857153</v>
      </c>
      <c r="Z39" s="54">
        <f t="shared" si="31"/>
        <v>6.4285714285714279</v>
      </c>
      <c r="AA39" s="54">
        <f t="shared" si="31"/>
        <v>0.99999999999999989</v>
      </c>
      <c r="AB39" s="54">
        <f t="shared" si="31"/>
        <v>2.7142857142857144</v>
      </c>
      <c r="AC39" s="54">
        <f t="shared" si="31"/>
        <v>735.28571428571422</v>
      </c>
      <c r="AD39" s="54">
        <f t="shared" si="31"/>
        <v>0</v>
      </c>
      <c r="AE39" s="55">
        <f t="shared" si="31"/>
        <v>480.42857142857144</v>
      </c>
      <c r="AF39" s="55">
        <f t="shared" si="31"/>
        <v>1215.7142857142858</v>
      </c>
    </row>
    <row r="40" spans="2:32" ht="23.1" customHeight="1" x14ac:dyDescent="0.25">
      <c r="B40" s="24" t="s">
        <v>67</v>
      </c>
      <c r="C40" s="49">
        <f>'Avg Week Sironko-Mbale'!C40+'Avg Week Mbale- Sironko'!C40</f>
        <v>7.8571428571428577</v>
      </c>
      <c r="D40" s="49">
        <f>'Avg Week Sironko-Mbale'!D40+'Avg Week Mbale- Sironko'!D40</f>
        <v>3</v>
      </c>
      <c r="E40" s="49">
        <f>'Avg Week Sironko-Mbale'!E40+'Avg Week Mbale- Sironko'!E40</f>
        <v>13.714285714285715</v>
      </c>
      <c r="F40" s="49">
        <f>'Avg Week Sironko-Mbale'!F40+'Avg Week Mbale- Sironko'!F40</f>
        <v>7.1428571428571432</v>
      </c>
      <c r="G40" s="49">
        <f>'Avg Week Sironko-Mbale'!G40+'Avg Week Mbale- Sironko'!G40</f>
        <v>0</v>
      </c>
      <c r="H40" s="49">
        <f>'Avg Week Sironko-Mbale'!H40+'Avg Week Mbale- Sironko'!H40</f>
        <v>0.14285714285714285</v>
      </c>
      <c r="I40" s="49">
        <f>'Avg Week Sironko-Mbale'!I40+'Avg Week Mbale- Sironko'!I40</f>
        <v>7.8571428571428577</v>
      </c>
      <c r="J40" s="49">
        <f>'Avg Week Sironko-Mbale'!J40+'Avg Week Mbale- Sironko'!J40</f>
        <v>0.42857142857142855</v>
      </c>
      <c r="K40" s="49">
        <f>'Avg Week Sironko-Mbale'!K40+'Avg Week Mbale- Sironko'!K40</f>
        <v>0</v>
      </c>
      <c r="L40" s="49">
        <f>'Avg Week Sironko-Mbale'!L40+'Avg Week Mbale- Sironko'!L40</f>
        <v>0</v>
      </c>
      <c r="M40" s="49">
        <f>'Avg Week Sironko-Mbale'!M40+'Avg Week Mbale- Sironko'!M40</f>
        <v>52.857142857142861</v>
      </c>
      <c r="N40" s="49">
        <f>'Avg Week Sironko-Mbale'!N40+'Avg Week Mbale- Sironko'!N40</f>
        <v>0</v>
      </c>
      <c r="O40" s="15">
        <f t="shared" si="0"/>
        <v>40.142857142857146</v>
      </c>
      <c r="P40" s="15">
        <f t="shared" si="1"/>
        <v>93</v>
      </c>
      <c r="R40" s="5" t="s">
        <v>17</v>
      </c>
      <c r="S40" s="54">
        <f t="shared" ref="S40:AF40" si="32">SUM(S10:S21)</f>
        <v>338.57142857142861</v>
      </c>
      <c r="T40" s="54">
        <f t="shared" si="32"/>
        <v>114.57142857142857</v>
      </c>
      <c r="U40" s="54">
        <f t="shared" si="32"/>
        <v>563.85714285714289</v>
      </c>
      <c r="V40" s="54">
        <f t="shared" si="32"/>
        <v>331.14285714285722</v>
      </c>
      <c r="W40" s="54">
        <f t="shared" si="32"/>
        <v>11.285714285714283</v>
      </c>
      <c r="X40" s="54">
        <f t="shared" si="32"/>
        <v>4.9999999999999991</v>
      </c>
      <c r="Y40" s="54">
        <f t="shared" si="32"/>
        <v>276.28571428571433</v>
      </c>
      <c r="Z40" s="54">
        <f t="shared" si="32"/>
        <v>16.285714285714288</v>
      </c>
      <c r="AA40" s="54">
        <f t="shared" si="32"/>
        <v>3.7142857142857144</v>
      </c>
      <c r="AB40" s="54">
        <f t="shared" si="32"/>
        <v>12.142857142857141</v>
      </c>
      <c r="AC40" s="54">
        <f t="shared" si="32"/>
        <v>2695.2857142857142</v>
      </c>
      <c r="AD40" s="54">
        <f t="shared" si="32"/>
        <v>0.71428571428571419</v>
      </c>
      <c r="AE40" s="55">
        <f t="shared" si="32"/>
        <v>1673.5714285714287</v>
      </c>
      <c r="AF40" s="55">
        <f t="shared" si="32"/>
        <v>4368.8571428571431</v>
      </c>
    </row>
    <row r="41" spans="2:32" ht="23.1" customHeight="1" x14ac:dyDescent="0.25">
      <c r="B41" s="23" t="s">
        <v>68</v>
      </c>
      <c r="C41" s="49">
        <f>'Avg Week Sironko-Mbale'!C41+'Avg Week Mbale- Sironko'!C41</f>
        <v>6</v>
      </c>
      <c r="D41" s="49">
        <f>'Avg Week Sironko-Mbale'!D41+'Avg Week Mbale- Sironko'!D41</f>
        <v>2.5714285714285712</v>
      </c>
      <c r="E41" s="49">
        <f>'Avg Week Sironko-Mbale'!E41+'Avg Week Mbale- Sironko'!E41</f>
        <v>12.428571428571427</v>
      </c>
      <c r="F41" s="49">
        <f>'Avg Week Sironko-Mbale'!F41+'Avg Week Mbale- Sironko'!F41</f>
        <v>6.7142857142857135</v>
      </c>
      <c r="G41" s="49">
        <f>'Avg Week Sironko-Mbale'!G41+'Avg Week Mbale- Sironko'!G41</f>
        <v>0.14285714285714285</v>
      </c>
      <c r="H41" s="49">
        <f>'Avg Week Sironko-Mbale'!H41+'Avg Week Mbale- Sironko'!H41</f>
        <v>0.14285714285714285</v>
      </c>
      <c r="I41" s="49">
        <f>'Avg Week Sironko-Mbale'!I41+'Avg Week Mbale- Sironko'!I41</f>
        <v>7.4285714285714288</v>
      </c>
      <c r="J41" s="49">
        <f>'Avg Week Sironko-Mbale'!J41+'Avg Week Mbale- Sironko'!J41</f>
        <v>0.5714285714285714</v>
      </c>
      <c r="K41" s="49">
        <f>'Avg Week Sironko-Mbale'!K41+'Avg Week Mbale- Sironko'!K41</f>
        <v>0.14285714285714285</v>
      </c>
      <c r="L41" s="49">
        <f>'Avg Week Sironko-Mbale'!L41+'Avg Week Mbale- Sironko'!L41</f>
        <v>0.14285714285714285</v>
      </c>
      <c r="M41" s="49">
        <f>'Avg Week Sironko-Mbale'!M41+'Avg Week Mbale- Sironko'!M41</f>
        <v>47.857142857142861</v>
      </c>
      <c r="N41" s="49">
        <f>'Avg Week Sironko-Mbale'!N41+'Avg Week Mbale- Sironko'!N41</f>
        <v>0</v>
      </c>
      <c r="O41" s="15">
        <f t="shared" si="0"/>
        <v>36.285714285714292</v>
      </c>
      <c r="P41" s="15">
        <f t="shared" si="1"/>
        <v>84.142857142857153</v>
      </c>
      <c r="R41" s="5" t="s">
        <v>174</v>
      </c>
      <c r="S41" s="54">
        <f>SUM(S10:S33)</f>
        <v>441.07142857142861</v>
      </c>
      <c r="T41" s="54">
        <f t="shared" ref="T41:AD41" si="33">SUM(T10:T33)</f>
        <v>131.57142857142856</v>
      </c>
      <c r="U41" s="54">
        <f t="shared" si="33"/>
        <v>739.35714285714289</v>
      </c>
      <c r="V41" s="54">
        <f t="shared" si="33"/>
        <v>407.64285714285722</v>
      </c>
      <c r="W41" s="54">
        <f t="shared" si="33"/>
        <v>12.285714285714283</v>
      </c>
      <c r="X41" s="54">
        <f t="shared" si="33"/>
        <v>5.9999999999999991</v>
      </c>
      <c r="Y41" s="54">
        <f t="shared" si="33"/>
        <v>487.28571428571433</v>
      </c>
      <c r="Z41" s="54">
        <f t="shared" si="33"/>
        <v>22.285714285714288</v>
      </c>
      <c r="AA41" s="54">
        <f t="shared" si="33"/>
        <v>7.7142857142857144</v>
      </c>
      <c r="AB41" s="54">
        <f t="shared" si="33"/>
        <v>12.142857142857141</v>
      </c>
      <c r="AC41" s="54">
        <f t="shared" si="33"/>
        <v>3345.7857142857142</v>
      </c>
      <c r="AD41" s="54">
        <f t="shared" si="33"/>
        <v>0.71428571428571419</v>
      </c>
      <c r="AE41" s="55">
        <f>SUM(AE10:AE33)</f>
        <v>2268.0714285714284</v>
      </c>
      <c r="AF41" s="55">
        <f>SUM(AF10:AF33)</f>
        <v>5613.8571428571431</v>
      </c>
    </row>
    <row r="42" spans="2:32" ht="23.1" customHeight="1" x14ac:dyDescent="0.25">
      <c r="B42" s="24" t="s">
        <v>69</v>
      </c>
      <c r="C42" s="49">
        <f>'Avg Week Sironko-Mbale'!C42+'Avg Week Mbale- Sironko'!C42</f>
        <v>5.8571428571428568</v>
      </c>
      <c r="D42" s="49">
        <f>'Avg Week Sironko-Mbale'!D42+'Avg Week Mbale- Sironko'!D42</f>
        <v>2.4285714285714288</v>
      </c>
      <c r="E42" s="49">
        <f>'Avg Week Sironko-Mbale'!E42+'Avg Week Mbale- Sironko'!E42</f>
        <v>11.857142857142858</v>
      </c>
      <c r="F42" s="49">
        <f>'Avg Week Sironko-Mbale'!F42+'Avg Week Mbale- Sironko'!F42</f>
        <v>8.2857142857142847</v>
      </c>
      <c r="G42" s="49">
        <f>'Avg Week Sironko-Mbale'!G42+'Avg Week Mbale- Sironko'!G42</f>
        <v>0</v>
      </c>
      <c r="H42" s="49">
        <f>'Avg Week Sironko-Mbale'!H42+'Avg Week Mbale- Sironko'!H42</f>
        <v>0.14285714285714285</v>
      </c>
      <c r="I42" s="49">
        <f>'Avg Week Sironko-Mbale'!I42+'Avg Week Mbale- Sironko'!I42</f>
        <v>6.2857142857142856</v>
      </c>
      <c r="J42" s="49">
        <f>'Avg Week Sironko-Mbale'!J42+'Avg Week Mbale- Sironko'!J42</f>
        <v>0.42857142857142855</v>
      </c>
      <c r="K42" s="49">
        <f>'Avg Week Sironko-Mbale'!K42+'Avg Week Mbale- Sironko'!K42</f>
        <v>0</v>
      </c>
      <c r="L42" s="49">
        <f>'Avg Week Sironko-Mbale'!L42+'Avg Week Mbale- Sironko'!L42</f>
        <v>0</v>
      </c>
      <c r="M42" s="49">
        <f>'Avg Week Sironko-Mbale'!M42+'Avg Week Mbale- Sironko'!M42</f>
        <v>52.428571428571431</v>
      </c>
      <c r="N42" s="49">
        <f>'Avg Week Sironko-Mbale'!N42+'Avg Week Mbale- Sironko'!N42</f>
        <v>0</v>
      </c>
      <c r="O42" s="15">
        <f t="shared" si="0"/>
        <v>35.285714285714285</v>
      </c>
      <c r="P42" s="15">
        <f t="shared" si="1"/>
        <v>87.714285714285722</v>
      </c>
      <c r="R42" s="5" t="s">
        <v>160</v>
      </c>
      <c r="S42" s="48">
        <f>S41/S40</f>
        <v>1.3027426160337552</v>
      </c>
      <c r="T42" s="48">
        <f t="shared" ref="T42:AF42" si="34">T41/T40</f>
        <v>1.1483790523690771</v>
      </c>
      <c r="U42" s="48">
        <f t="shared" si="34"/>
        <v>1.311249049911325</v>
      </c>
      <c r="V42" s="48">
        <f t="shared" si="34"/>
        <v>1.2310181190681622</v>
      </c>
      <c r="W42" s="48">
        <f t="shared" si="34"/>
        <v>1.0886075949367089</v>
      </c>
      <c r="X42" s="48">
        <f t="shared" si="34"/>
        <v>1.2</v>
      </c>
      <c r="Y42" s="48">
        <f t="shared" si="34"/>
        <v>1.763702171664943</v>
      </c>
      <c r="Z42" s="48">
        <f t="shared" si="34"/>
        <v>1.368421052631579</v>
      </c>
      <c r="AA42" s="48">
        <f t="shared" si="34"/>
        <v>2.0769230769230771</v>
      </c>
      <c r="AB42" s="48">
        <f t="shared" si="34"/>
        <v>1</v>
      </c>
      <c r="AC42" s="48">
        <f t="shared" si="34"/>
        <v>1.2413473260189749</v>
      </c>
      <c r="AD42" s="48">
        <f t="shared" si="34"/>
        <v>1</v>
      </c>
      <c r="AE42" s="56">
        <f t="shared" si="34"/>
        <v>1.3552283397353819</v>
      </c>
      <c r="AF42" s="56">
        <f t="shared" si="34"/>
        <v>1.2849715518932705</v>
      </c>
    </row>
    <row r="43" spans="2:32" ht="23.1" customHeight="1" x14ac:dyDescent="0.25">
      <c r="B43" s="23" t="s">
        <v>70</v>
      </c>
      <c r="C43" s="49">
        <f>'Avg Week Sironko-Mbale'!C43+'Avg Week Mbale- Sironko'!C43</f>
        <v>6.5714285714285712</v>
      </c>
      <c r="D43" s="49">
        <f>'Avg Week Sironko-Mbale'!D43+'Avg Week Mbale- Sironko'!D43</f>
        <v>2</v>
      </c>
      <c r="E43" s="49">
        <f>'Avg Week Sironko-Mbale'!E43+'Avg Week Mbale- Sironko'!E43</f>
        <v>10.571428571428571</v>
      </c>
      <c r="F43" s="49">
        <f>'Avg Week Sironko-Mbale'!F43+'Avg Week Mbale- Sironko'!F43</f>
        <v>7.4285714285714288</v>
      </c>
      <c r="G43" s="49">
        <f>'Avg Week Sironko-Mbale'!G43+'Avg Week Mbale- Sironko'!G43</f>
        <v>0</v>
      </c>
      <c r="H43" s="49">
        <f>'Avg Week Sironko-Mbale'!H43+'Avg Week Mbale- Sironko'!H43</f>
        <v>0</v>
      </c>
      <c r="I43" s="49">
        <f>'Avg Week Sironko-Mbale'!I43+'Avg Week Mbale- Sironko'!I43</f>
        <v>5.7142857142857144</v>
      </c>
      <c r="J43" s="49">
        <f>'Avg Week Sironko-Mbale'!J43+'Avg Week Mbale- Sironko'!J43</f>
        <v>0.85714285714285721</v>
      </c>
      <c r="K43" s="49">
        <f>'Avg Week Sironko-Mbale'!K43+'Avg Week Mbale- Sironko'!K43</f>
        <v>0.14285714285714285</v>
      </c>
      <c r="L43" s="49">
        <f>'Avg Week Sironko-Mbale'!L43+'Avg Week Mbale- Sironko'!L43</f>
        <v>0</v>
      </c>
      <c r="M43" s="49">
        <f>'Avg Week Sironko-Mbale'!M43+'Avg Week Mbale- Sironko'!M43</f>
        <v>45.142857142857139</v>
      </c>
      <c r="N43" s="49">
        <f>'Avg Week Sironko-Mbale'!N43+'Avg Week Mbale- Sironko'!N43</f>
        <v>0</v>
      </c>
      <c r="O43" s="15">
        <f t="shared" si="0"/>
        <v>33.285714285714285</v>
      </c>
      <c r="P43" s="15">
        <f t="shared" si="1"/>
        <v>78.428571428571416</v>
      </c>
    </row>
    <row r="44" spans="2:32" ht="23.1" customHeight="1" x14ac:dyDescent="0.25">
      <c r="B44" s="25" t="s">
        <v>71</v>
      </c>
      <c r="C44" s="49">
        <f>'Avg Week Sironko-Mbale'!C44+'Avg Week Mbale- Sironko'!C44</f>
        <v>8.2857142857142847</v>
      </c>
      <c r="D44" s="49">
        <f>'Avg Week Sironko-Mbale'!D44+'Avg Week Mbale- Sironko'!D44</f>
        <v>3</v>
      </c>
      <c r="E44" s="49">
        <f>'Avg Week Sironko-Mbale'!E44+'Avg Week Mbale- Sironko'!E44</f>
        <v>13.714285714285715</v>
      </c>
      <c r="F44" s="49">
        <f>'Avg Week Sironko-Mbale'!F44+'Avg Week Mbale- Sironko'!F44</f>
        <v>8.7142857142857135</v>
      </c>
      <c r="G44" s="49">
        <f>'Avg Week Sironko-Mbale'!G44+'Avg Week Mbale- Sironko'!G44</f>
        <v>0.2857142857142857</v>
      </c>
      <c r="H44" s="49">
        <f>'Avg Week Sironko-Mbale'!H44+'Avg Week Mbale- Sironko'!H44</f>
        <v>0</v>
      </c>
      <c r="I44" s="49">
        <f>'Avg Week Sironko-Mbale'!I44+'Avg Week Mbale- Sironko'!I44</f>
        <v>6.5714285714285712</v>
      </c>
      <c r="J44" s="49">
        <f>'Avg Week Sironko-Mbale'!J44+'Avg Week Mbale- Sironko'!J44</f>
        <v>0.14285714285714285</v>
      </c>
      <c r="K44" s="49">
        <f>'Avg Week Sironko-Mbale'!K44+'Avg Week Mbale- Sironko'!K44</f>
        <v>0.42857142857142855</v>
      </c>
      <c r="L44" s="49">
        <f>'Avg Week Sironko-Mbale'!L44+'Avg Week Mbale- Sironko'!L44</f>
        <v>0.2857142857142857</v>
      </c>
      <c r="M44" s="49">
        <f>'Avg Week Sironko-Mbale'!M44+'Avg Week Mbale- Sironko'!M44</f>
        <v>61.285714285714292</v>
      </c>
      <c r="N44" s="49">
        <f>'Avg Week Sironko-Mbale'!N44+'Avg Week Mbale- Sironko'!N44</f>
        <v>0</v>
      </c>
      <c r="O44" s="15">
        <f t="shared" si="0"/>
        <v>41.428571428571431</v>
      </c>
      <c r="P44" s="15">
        <f t="shared" si="1"/>
        <v>102.71428571428572</v>
      </c>
    </row>
    <row r="45" spans="2:32" ht="23.1" customHeight="1" x14ac:dyDescent="0.25">
      <c r="B45" s="23" t="s">
        <v>72</v>
      </c>
      <c r="C45" s="49">
        <f>'Avg Week Sironko-Mbale'!C45+'Avg Week Mbale- Sironko'!C45</f>
        <v>7.2857142857142856</v>
      </c>
      <c r="D45" s="49">
        <f>'Avg Week Sironko-Mbale'!D45+'Avg Week Mbale- Sironko'!D45</f>
        <v>2</v>
      </c>
      <c r="E45" s="49">
        <f>'Avg Week Sironko-Mbale'!E45+'Avg Week Mbale- Sironko'!E45</f>
        <v>10.428571428571429</v>
      </c>
      <c r="F45" s="49">
        <f>'Avg Week Sironko-Mbale'!F45+'Avg Week Mbale- Sironko'!F45</f>
        <v>8.5714285714285712</v>
      </c>
      <c r="G45" s="49">
        <f>'Avg Week Sironko-Mbale'!G45+'Avg Week Mbale- Sironko'!G45</f>
        <v>0</v>
      </c>
      <c r="H45" s="49">
        <f>'Avg Week Sironko-Mbale'!H45+'Avg Week Mbale- Sironko'!H45</f>
        <v>0.14285714285714285</v>
      </c>
      <c r="I45" s="49">
        <f>'Avg Week Sironko-Mbale'!I45+'Avg Week Mbale- Sironko'!I45</f>
        <v>6</v>
      </c>
      <c r="J45" s="49">
        <f>'Avg Week Sironko-Mbale'!J45+'Avg Week Mbale- Sironko'!J45</f>
        <v>0.5714285714285714</v>
      </c>
      <c r="K45" s="49">
        <f>'Avg Week Sironko-Mbale'!K45+'Avg Week Mbale- Sironko'!K45</f>
        <v>0.14285714285714285</v>
      </c>
      <c r="L45" s="49">
        <f>'Avg Week Sironko-Mbale'!L45+'Avg Week Mbale- Sironko'!L45</f>
        <v>0.42857142857142855</v>
      </c>
      <c r="M45" s="49">
        <f>'Avg Week Sironko-Mbale'!M45+'Avg Week Mbale- Sironko'!M45</f>
        <v>54.285714285714285</v>
      </c>
      <c r="N45" s="49">
        <f>'Avg Week Sironko-Mbale'!N45+'Avg Week Mbale- Sironko'!N45</f>
        <v>0</v>
      </c>
      <c r="O45" s="15">
        <f t="shared" si="0"/>
        <v>35.571428571428577</v>
      </c>
      <c r="P45" s="15">
        <f t="shared" si="1"/>
        <v>89.857142857142861</v>
      </c>
    </row>
    <row r="46" spans="2:32" ht="23.1" customHeight="1" x14ac:dyDescent="0.25">
      <c r="B46" s="24" t="s">
        <v>73</v>
      </c>
      <c r="C46" s="49">
        <f>'Avg Week Sironko-Mbale'!C46+'Avg Week Mbale- Sironko'!C46</f>
        <v>6.8571428571428568</v>
      </c>
      <c r="D46" s="49">
        <f>'Avg Week Sironko-Mbale'!D46+'Avg Week Mbale- Sironko'!D46</f>
        <v>2.1428571428571428</v>
      </c>
      <c r="E46" s="49">
        <f>'Avg Week Sironko-Mbale'!E46+'Avg Week Mbale- Sironko'!E46</f>
        <v>11.142857142857142</v>
      </c>
      <c r="F46" s="49">
        <f>'Avg Week Sironko-Mbale'!F46+'Avg Week Mbale- Sironko'!F46</f>
        <v>8.4285714285714288</v>
      </c>
      <c r="G46" s="49">
        <f>'Avg Week Sironko-Mbale'!G46+'Avg Week Mbale- Sironko'!G46</f>
        <v>0</v>
      </c>
      <c r="H46" s="49">
        <f>'Avg Week Sironko-Mbale'!H46+'Avg Week Mbale- Sironko'!H46</f>
        <v>0</v>
      </c>
      <c r="I46" s="49">
        <f>'Avg Week Sironko-Mbale'!I46+'Avg Week Mbale- Sironko'!I46</f>
        <v>6.5714285714285712</v>
      </c>
      <c r="J46" s="49">
        <f>'Avg Week Sironko-Mbale'!J46+'Avg Week Mbale- Sironko'!J46</f>
        <v>0.71428571428571419</v>
      </c>
      <c r="K46" s="49">
        <f>'Avg Week Sironko-Mbale'!K46+'Avg Week Mbale- Sironko'!K46</f>
        <v>0</v>
      </c>
      <c r="L46" s="49">
        <f>'Avg Week Sironko-Mbale'!L46+'Avg Week Mbale- Sironko'!L46</f>
        <v>0.42857142857142855</v>
      </c>
      <c r="M46" s="49">
        <f>'Avg Week Sironko-Mbale'!M46+'Avg Week Mbale- Sironko'!M46</f>
        <v>59.428571428571431</v>
      </c>
      <c r="N46" s="49">
        <f>'Avg Week Sironko-Mbale'!N46+'Avg Week Mbale- Sironko'!N46</f>
        <v>0</v>
      </c>
      <c r="O46" s="15">
        <f t="shared" si="0"/>
        <v>36.285714285714285</v>
      </c>
      <c r="P46" s="15">
        <f t="shared" si="1"/>
        <v>95.714285714285722</v>
      </c>
      <c r="R46" s="8"/>
      <c r="T46"/>
    </row>
    <row r="47" spans="2:32" ht="23.1" customHeight="1" x14ac:dyDescent="0.25">
      <c r="B47" s="24" t="s">
        <v>74</v>
      </c>
      <c r="C47" s="49">
        <f>'Avg Week Sironko-Mbale'!C47+'Avg Week Mbale- Sironko'!C47</f>
        <v>8.4285714285714288</v>
      </c>
      <c r="D47" s="49">
        <f>'Avg Week Sironko-Mbale'!D47+'Avg Week Mbale- Sironko'!D47</f>
        <v>2.7142857142857144</v>
      </c>
      <c r="E47" s="49">
        <f>'Avg Week Sironko-Mbale'!E47+'Avg Week Mbale- Sironko'!E47</f>
        <v>13.285714285714285</v>
      </c>
      <c r="F47" s="49">
        <f>'Avg Week Sironko-Mbale'!F47+'Avg Week Mbale- Sironko'!F47</f>
        <v>6.1428571428571423</v>
      </c>
      <c r="G47" s="49">
        <f>'Avg Week Sironko-Mbale'!G47+'Avg Week Mbale- Sironko'!G47</f>
        <v>0.14285714285714285</v>
      </c>
      <c r="H47" s="49">
        <f>'Avg Week Sironko-Mbale'!H47+'Avg Week Mbale- Sironko'!H47</f>
        <v>0</v>
      </c>
      <c r="I47" s="49">
        <f>'Avg Week Sironko-Mbale'!I47+'Avg Week Mbale- Sironko'!I47</f>
        <v>6.5714285714285712</v>
      </c>
      <c r="J47" s="49">
        <f>'Avg Week Sironko-Mbale'!J47+'Avg Week Mbale- Sironko'!J47</f>
        <v>0.14285714285714285</v>
      </c>
      <c r="K47" s="49">
        <f>'Avg Week Sironko-Mbale'!K47+'Avg Week Mbale- Sironko'!K47</f>
        <v>0.14285714285714285</v>
      </c>
      <c r="L47" s="49">
        <f>'Avg Week Sironko-Mbale'!L47+'Avg Week Mbale- Sironko'!L47</f>
        <v>0.42857142857142855</v>
      </c>
      <c r="M47" s="49">
        <f>'Avg Week Sironko-Mbale'!M47+'Avg Week Mbale- Sironko'!M47</f>
        <v>56</v>
      </c>
      <c r="N47" s="49">
        <f>'Avg Week Sironko-Mbale'!N47+'Avg Week Mbale- Sironko'!N47</f>
        <v>0</v>
      </c>
      <c r="O47" s="15">
        <f t="shared" si="0"/>
        <v>38.000000000000007</v>
      </c>
      <c r="P47" s="15">
        <f t="shared" si="1"/>
        <v>94</v>
      </c>
      <c r="R47" s="8"/>
      <c r="T47"/>
    </row>
    <row r="48" spans="2:32" ht="23.1" customHeight="1" x14ac:dyDescent="0.25">
      <c r="B48" s="24" t="s">
        <v>75</v>
      </c>
      <c r="C48" s="49">
        <f>'Avg Week Sironko-Mbale'!C48+'Avg Week Mbale- Sironko'!C48</f>
        <v>9.7142857142857153</v>
      </c>
      <c r="D48" s="49">
        <f>'Avg Week Sironko-Mbale'!D48+'Avg Week Mbale- Sironko'!D48</f>
        <v>2.1428571428571428</v>
      </c>
      <c r="E48" s="49">
        <f>'Avg Week Sironko-Mbale'!E48+'Avg Week Mbale- Sironko'!E48</f>
        <v>11.714285714285715</v>
      </c>
      <c r="F48" s="49">
        <f>'Avg Week Sironko-Mbale'!F48+'Avg Week Mbale- Sironko'!F48</f>
        <v>7.8571428571428577</v>
      </c>
      <c r="G48" s="49">
        <f>'Avg Week Sironko-Mbale'!G48+'Avg Week Mbale- Sironko'!G48</f>
        <v>0.14285714285714285</v>
      </c>
      <c r="H48" s="49">
        <f>'Avg Week Sironko-Mbale'!H48+'Avg Week Mbale- Sironko'!H48</f>
        <v>0</v>
      </c>
      <c r="I48" s="49">
        <f>'Avg Week Sironko-Mbale'!I48+'Avg Week Mbale- Sironko'!I48</f>
        <v>7</v>
      </c>
      <c r="J48" s="49">
        <f>'Avg Week Sironko-Mbale'!J48+'Avg Week Mbale- Sironko'!J48</f>
        <v>0.5714285714285714</v>
      </c>
      <c r="K48" s="49">
        <f>'Avg Week Sironko-Mbale'!K48+'Avg Week Mbale- Sironko'!K48</f>
        <v>0.14285714285714285</v>
      </c>
      <c r="L48" s="49">
        <f>'Avg Week Sironko-Mbale'!L48+'Avg Week Mbale- Sironko'!L48</f>
        <v>0.14285714285714285</v>
      </c>
      <c r="M48" s="49">
        <f>'Avg Week Sironko-Mbale'!M48+'Avg Week Mbale- Sironko'!M48</f>
        <v>58.571428571428569</v>
      </c>
      <c r="N48" s="49">
        <f>'Avg Week Sironko-Mbale'!N48+'Avg Week Mbale- Sironko'!N48</f>
        <v>0</v>
      </c>
      <c r="O48" s="15">
        <f t="shared" si="0"/>
        <v>39.428571428571431</v>
      </c>
      <c r="P48" s="15">
        <f t="shared" si="1"/>
        <v>98</v>
      </c>
      <c r="R48" s="8"/>
      <c r="T48"/>
    </row>
    <row r="49" spans="2:20" ht="23.1" customHeight="1" x14ac:dyDescent="0.25">
      <c r="B49" s="23" t="s">
        <v>76</v>
      </c>
      <c r="C49" s="49">
        <f>'Avg Week Sironko-Mbale'!C49+'Avg Week Mbale- Sironko'!C49</f>
        <v>9.1428571428571423</v>
      </c>
      <c r="D49" s="49">
        <f>'Avg Week Sironko-Mbale'!D49+'Avg Week Mbale- Sironko'!D49</f>
        <v>2.1428571428571428</v>
      </c>
      <c r="E49" s="49">
        <f>'Avg Week Sironko-Mbale'!E49+'Avg Week Mbale- Sironko'!E49</f>
        <v>10.142857142857142</v>
      </c>
      <c r="F49" s="49">
        <f>'Avg Week Sironko-Mbale'!F49+'Avg Week Mbale- Sironko'!F49</f>
        <v>8.5714285714285712</v>
      </c>
      <c r="G49" s="49">
        <f>'Avg Week Sironko-Mbale'!G49+'Avg Week Mbale- Sironko'!G49</f>
        <v>1</v>
      </c>
      <c r="H49" s="49">
        <f>'Avg Week Sironko-Mbale'!H49+'Avg Week Mbale- Sironko'!H49</f>
        <v>0.14285714285714285</v>
      </c>
      <c r="I49" s="49">
        <f>'Avg Week Sironko-Mbale'!I49+'Avg Week Mbale- Sironko'!I49</f>
        <v>5.2857142857142865</v>
      </c>
      <c r="J49" s="49">
        <f>'Avg Week Sironko-Mbale'!J49+'Avg Week Mbale- Sironko'!J49</f>
        <v>0.42857142857142855</v>
      </c>
      <c r="K49" s="49">
        <f>'Avg Week Sironko-Mbale'!K49+'Avg Week Mbale- Sironko'!K49</f>
        <v>0</v>
      </c>
      <c r="L49" s="49">
        <f>'Avg Week Sironko-Mbale'!L49+'Avg Week Mbale- Sironko'!L49</f>
        <v>0.14285714285714285</v>
      </c>
      <c r="M49" s="49">
        <f>'Avg Week Sironko-Mbale'!M49+'Avg Week Mbale- Sironko'!M49</f>
        <v>63.428571428571431</v>
      </c>
      <c r="N49" s="49">
        <f>'Avg Week Sironko-Mbale'!N49+'Avg Week Mbale- Sironko'!N49</f>
        <v>0</v>
      </c>
      <c r="O49" s="15">
        <f t="shared" si="0"/>
        <v>37.000000000000007</v>
      </c>
      <c r="P49" s="15">
        <f t="shared" si="1"/>
        <v>100.42857142857144</v>
      </c>
      <c r="R49" s="8"/>
      <c r="T49"/>
    </row>
    <row r="50" spans="2:20" ht="23.1" customHeight="1" x14ac:dyDescent="0.25">
      <c r="B50" s="24" t="s">
        <v>77</v>
      </c>
      <c r="C50" s="49">
        <f>'Avg Week Sironko-Mbale'!C50+'Avg Week Mbale- Sironko'!C50</f>
        <v>7.5714285714285712</v>
      </c>
      <c r="D50" s="49">
        <f>'Avg Week Sironko-Mbale'!D50+'Avg Week Mbale- Sironko'!D50</f>
        <v>2</v>
      </c>
      <c r="E50" s="49">
        <f>'Avg Week Sironko-Mbale'!E50+'Avg Week Mbale- Sironko'!E50</f>
        <v>11.285714285714285</v>
      </c>
      <c r="F50" s="49">
        <f>'Avg Week Sironko-Mbale'!F50+'Avg Week Mbale- Sironko'!F50</f>
        <v>8.4285714285714288</v>
      </c>
      <c r="G50" s="49">
        <f>'Avg Week Sironko-Mbale'!G50+'Avg Week Mbale- Sironko'!G50</f>
        <v>0</v>
      </c>
      <c r="H50" s="49">
        <f>'Avg Week Sironko-Mbale'!H50+'Avg Week Mbale- Sironko'!H50</f>
        <v>0</v>
      </c>
      <c r="I50" s="49">
        <f>'Avg Week Sironko-Mbale'!I50+'Avg Week Mbale- Sironko'!I50</f>
        <v>8.5714285714285712</v>
      </c>
      <c r="J50" s="49">
        <f>'Avg Week Sironko-Mbale'!J50+'Avg Week Mbale- Sironko'!J50</f>
        <v>0.5714285714285714</v>
      </c>
      <c r="K50" s="49">
        <f>'Avg Week Sironko-Mbale'!K50+'Avg Week Mbale- Sironko'!K50</f>
        <v>0.2857142857142857</v>
      </c>
      <c r="L50" s="49">
        <f>'Avg Week Sironko-Mbale'!L50+'Avg Week Mbale- Sironko'!L50</f>
        <v>0</v>
      </c>
      <c r="M50" s="49">
        <f>'Avg Week Sironko-Mbale'!M50+'Avg Week Mbale- Sironko'!M50</f>
        <v>68.571428571428569</v>
      </c>
      <c r="N50" s="49">
        <f>'Avg Week Sironko-Mbale'!N50+'Avg Week Mbale- Sironko'!N50</f>
        <v>0</v>
      </c>
      <c r="O50" s="15">
        <f t="shared" si="0"/>
        <v>38.714285714285708</v>
      </c>
      <c r="P50" s="15">
        <f t="shared" si="1"/>
        <v>107.28571428571428</v>
      </c>
      <c r="R50" s="8"/>
      <c r="T50"/>
    </row>
    <row r="51" spans="2:20" ht="23.1" customHeight="1" x14ac:dyDescent="0.25">
      <c r="B51" s="24" t="s">
        <v>78</v>
      </c>
      <c r="C51" s="49">
        <f>'Avg Week Sironko-Mbale'!C51+'Avg Week Mbale- Sironko'!C51</f>
        <v>9.8571428571428577</v>
      </c>
      <c r="D51" s="49">
        <f>'Avg Week Sironko-Mbale'!D51+'Avg Week Mbale- Sironko'!D51</f>
        <v>4</v>
      </c>
      <c r="E51" s="49">
        <f>'Avg Week Sironko-Mbale'!E51+'Avg Week Mbale- Sironko'!E51</f>
        <v>16</v>
      </c>
      <c r="F51" s="49">
        <f>'Avg Week Sironko-Mbale'!F51+'Avg Week Mbale- Sironko'!F51</f>
        <v>7.1428571428571423</v>
      </c>
      <c r="G51" s="49">
        <f>'Avg Week Sironko-Mbale'!G51+'Avg Week Mbale- Sironko'!G51</f>
        <v>0.5714285714285714</v>
      </c>
      <c r="H51" s="49">
        <f>'Avg Week Sironko-Mbale'!H51+'Avg Week Mbale- Sironko'!H51</f>
        <v>0</v>
      </c>
      <c r="I51" s="49">
        <f>'Avg Week Sironko-Mbale'!I51+'Avg Week Mbale- Sironko'!I51</f>
        <v>7.2857142857142856</v>
      </c>
      <c r="J51" s="49">
        <f>'Avg Week Sironko-Mbale'!J51+'Avg Week Mbale- Sironko'!J51</f>
        <v>0.5714285714285714</v>
      </c>
      <c r="K51" s="49">
        <f>'Avg Week Sironko-Mbale'!K51+'Avg Week Mbale- Sironko'!K51</f>
        <v>0.2857142857142857</v>
      </c>
      <c r="L51" s="49">
        <f>'Avg Week Sironko-Mbale'!L51+'Avg Week Mbale- Sironko'!L51</f>
        <v>0.2857142857142857</v>
      </c>
      <c r="M51" s="49">
        <f>'Avg Week Sironko-Mbale'!M51+'Avg Week Mbale- Sironko'!M51</f>
        <v>71.857142857142861</v>
      </c>
      <c r="N51" s="49">
        <f>'Avg Week Sironko-Mbale'!N51+'Avg Week Mbale- Sironko'!N51</f>
        <v>0</v>
      </c>
      <c r="O51" s="15">
        <f t="shared" si="0"/>
        <v>45.999999999999993</v>
      </c>
      <c r="P51" s="15">
        <f t="shared" si="1"/>
        <v>117.85714285714286</v>
      </c>
      <c r="R51" s="8"/>
      <c r="T51"/>
    </row>
    <row r="52" spans="2:20" ht="23.1" customHeight="1" x14ac:dyDescent="0.25">
      <c r="B52" s="24" t="s">
        <v>79</v>
      </c>
      <c r="C52" s="49">
        <f>'Avg Week Sironko-Mbale'!C52+'Avg Week Mbale- Sironko'!C52</f>
        <v>8.5714285714285712</v>
      </c>
      <c r="D52" s="49">
        <f>'Avg Week Sironko-Mbale'!D52+'Avg Week Mbale- Sironko'!D52</f>
        <v>3.7142857142857144</v>
      </c>
      <c r="E52" s="49">
        <f>'Avg Week Sironko-Mbale'!E52+'Avg Week Mbale- Sironko'!E52</f>
        <v>16.142857142857142</v>
      </c>
      <c r="F52" s="49">
        <f>'Avg Week Sironko-Mbale'!F52+'Avg Week Mbale- Sironko'!F52</f>
        <v>7.1428571428571423</v>
      </c>
      <c r="G52" s="49">
        <f>'Avg Week Sironko-Mbale'!G52+'Avg Week Mbale- Sironko'!G52</f>
        <v>0</v>
      </c>
      <c r="H52" s="49">
        <f>'Avg Week Sironko-Mbale'!H52+'Avg Week Mbale- Sironko'!H52</f>
        <v>0.5714285714285714</v>
      </c>
      <c r="I52" s="49">
        <f>'Avg Week Sironko-Mbale'!I52+'Avg Week Mbale- Sironko'!I52</f>
        <v>7.2857142857142856</v>
      </c>
      <c r="J52" s="49">
        <f>'Avg Week Sironko-Mbale'!J52+'Avg Week Mbale- Sironko'!J52</f>
        <v>0.42857142857142855</v>
      </c>
      <c r="K52" s="49">
        <f>'Avg Week Sironko-Mbale'!K52+'Avg Week Mbale- Sironko'!K52</f>
        <v>0.14285714285714285</v>
      </c>
      <c r="L52" s="49">
        <f>'Avg Week Sironko-Mbale'!L52+'Avg Week Mbale- Sironko'!L52</f>
        <v>0.5714285714285714</v>
      </c>
      <c r="M52" s="49">
        <f>'Avg Week Sironko-Mbale'!M52+'Avg Week Mbale- Sironko'!M52</f>
        <v>69.571428571428569</v>
      </c>
      <c r="N52" s="49">
        <f>'Avg Week Sironko-Mbale'!N52+'Avg Week Mbale- Sironko'!N52</f>
        <v>0</v>
      </c>
      <c r="O52" s="15">
        <f t="shared" si="0"/>
        <v>44.571428571428569</v>
      </c>
      <c r="P52" s="15">
        <f t="shared" si="1"/>
        <v>114.14285714285714</v>
      </c>
      <c r="R52" s="8"/>
      <c r="T52"/>
    </row>
    <row r="53" spans="2:20" ht="23.1" customHeight="1" x14ac:dyDescent="0.25">
      <c r="B53" s="23" t="s">
        <v>80</v>
      </c>
      <c r="C53" s="49">
        <f>'Avg Week Sironko-Mbale'!C53+'Avg Week Mbale- Sironko'!C53</f>
        <v>8.8571428571428577</v>
      </c>
      <c r="D53" s="49">
        <f>'Avg Week Sironko-Mbale'!D53+'Avg Week Mbale- Sironko'!D53</f>
        <v>3.5714285714285712</v>
      </c>
      <c r="E53" s="49">
        <f>'Avg Week Sironko-Mbale'!E53+'Avg Week Mbale- Sironko'!E53</f>
        <v>15.142857142857142</v>
      </c>
      <c r="F53" s="49">
        <f>'Avg Week Sironko-Mbale'!F53+'Avg Week Mbale- Sironko'!F53</f>
        <v>7.4285714285714288</v>
      </c>
      <c r="G53" s="49">
        <f>'Avg Week Sironko-Mbale'!G53+'Avg Week Mbale- Sironko'!G53</f>
        <v>1.5714285714285714</v>
      </c>
      <c r="H53" s="49">
        <f>'Avg Week Sironko-Mbale'!H53+'Avg Week Mbale- Sironko'!H53</f>
        <v>0.2857142857142857</v>
      </c>
      <c r="I53" s="49">
        <f>'Avg Week Sironko-Mbale'!I53+'Avg Week Mbale- Sironko'!I53</f>
        <v>7.2857142857142856</v>
      </c>
      <c r="J53" s="49">
        <f>'Avg Week Sironko-Mbale'!J53+'Avg Week Mbale- Sironko'!J53</f>
        <v>1.2857142857142856</v>
      </c>
      <c r="K53" s="49">
        <f>'Avg Week Sironko-Mbale'!K53+'Avg Week Mbale- Sironko'!K53</f>
        <v>0</v>
      </c>
      <c r="L53" s="49">
        <f>'Avg Week Sironko-Mbale'!L53+'Avg Week Mbale- Sironko'!L53</f>
        <v>0</v>
      </c>
      <c r="M53" s="49">
        <f>'Avg Week Sironko-Mbale'!M53+'Avg Week Mbale- Sironko'!M53</f>
        <v>68.571428571428569</v>
      </c>
      <c r="N53" s="49">
        <f>'Avg Week Sironko-Mbale'!N53+'Avg Week Mbale- Sironko'!N53</f>
        <v>0</v>
      </c>
      <c r="O53" s="15">
        <f t="shared" si="0"/>
        <v>45.428571428571423</v>
      </c>
      <c r="P53" s="15">
        <f t="shared" si="1"/>
        <v>114</v>
      </c>
      <c r="R53" s="8"/>
      <c r="T53"/>
    </row>
    <row r="54" spans="2:20" ht="23.1" customHeight="1" x14ac:dyDescent="0.25">
      <c r="B54" s="23" t="s">
        <v>81</v>
      </c>
      <c r="C54" s="49">
        <f>'Avg Week Sironko-Mbale'!C54+'Avg Week Mbale- Sironko'!C54</f>
        <v>8.2857142857142847</v>
      </c>
      <c r="D54" s="49">
        <f>'Avg Week Sironko-Mbale'!D54+'Avg Week Mbale- Sironko'!D54</f>
        <v>2.7142857142857144</v>
      </c>
      <c r="E54" s="49">
        <f>'Avg Week Sironko-Mbale'!E54+'Avg Week Mbale- Sironko'!E54</f>
        <v>13.142857142857142</v>
      </c>
      <c r="F54" s="49">
        <f>'Avg Week Sironko-Mbale'!F54+'Avg Week Mbale- Sironko'!F54</f>
        <v>8.8571428571428577</v>
      </c>
      <c r="G54" s="49">
        <f>'Avg Week Sironko-Mbale'!G54+'Avg Week Mbale- Sironko'!G54</f>
        <v>0.14285714285714285</v>
      </c>
      <c r="H54" s="49">
        <f>'Avg Week Sironko-Mbale'!H54+'Avg Week Mbale- Sironko'!H54</f>
        <v>0</v>
      </c>
      <c r="I54" s="49">
        <f>'Avg Week Sironko-Mbale'!I54+'Avg Week Mbale- Sironko'!I54</f>
        <v>7.5714285714285712</v>
      </c>
      <c r="J54" s="49">
        <f>'Avg Week Sironko-Mbale'!J54+'Avg Week Mbale- Sironko'!J54</f>
        <v>0.85714285714285721</v>
      </c>
      <c r="K54" s="49">
        <f>'Avg Week Sironko-Mbale'!K54+'Avg Week Mbale- Sironko'!K54</f>
        <v>0</v>
      </c>
      <c r="L54" s="49">
        <f>'Avg Week Sironko-Mbale'!L54+'Avg Week Mbale- Sironko'!L54</f>
        <v>0.2857142857142857</v>
      </c>
      <c r="M54" s="49">
        <f>'Avg Week Sironko-Mbale'!M54+'Avg Week Mbale- Sironko'!M54</f>
        <v>57.428571428571431</v>
      </c>
      <c r="N54" s="49">
        <f>'Avg Week Sironko-Mbale'!N54+'Avg Week Mbale- Sironko'!N54</f>
        <v>0</v>
      </c>
      <c r="O54" s="15">
        <f t="shared" si="0"/>
        <v>41.857142857142854</v>
      </c>
      <c r="P54" s="15">
        <f t="shared" si="1"/>
        <v>99.285714285714278</v>
      </c>
      <c r="R54" s="8"/>
      <c r="T54"/>
    </row>
    <row r="55" spans="2:20" ht="23.1" customHeight="1" x14ac:dyDescent="0.25">
      <c r="B55" s="23" t="s">
        <v>82</v>
      </c>
      <c r="C55" s="49">
        <f>'Avg Week Sironko-Mbale'!C55+'Avg Week Mbale- Sironko'!C55</f>
        <v>9.4285714285714288</v>
      </c>
      <c r="D55" s="49">
        <f>'Avg Week Sironko-Mbale'!D55+'Avg Week Mbale- Sironko'!D55</f>
        <v>3.2857142857142856</v>
      </c>
      <c r="E55" s="49">
        <f>'Avg Week Sironko-Mbale'!E55+'Avg Week Mbale- Sironko'!E55</f>
        <v>14.714285714285715</v>
      </c>
      <c r="F55" s="49">
        <f>'Avg Week Sironko-Mbale'!F55+'Avg Week Mbale- Sironko'!F55</f>
        <v>7.8571428571428568</v>
      </c>
      <c r="G55" s="49">
        <f>'Avg Week Sironko-Mbale'!G55+'Avg Week Mbale- Sironko'!G55</f>
        <v>0</v>
      </c>
      <c r="H55" s="49">
        <f>'Avg Week Sironko-Mbale'!H55+'Avg Week Mbale- Sironko'!H55</f>
        <v>0</v>
      </c>
      <c r="I55" s="49">
        <f>'Avg Week Sironko-Mbale'!I55+'Avg Week Mbale- Sironko'!I55</f>
        <v>6.5714285714285712</v>
      </c>
      <c r="J55" s="49">
        <f>'Avg Week Sironko-Mbale'!J55+'Avg Week Mbale- Sironko'!J55</f>
        <v>0.42857142857142855</v>
      </c>
      <c r="K55" s="49">
        <f>'Avg Week Sironko-Mbale'!K55+'Avg Week Mbale- Sironko'!K55</f>
        <v>0</v>
      </c>
      <c r="L55" s="49">
        <f>'Avg Week Sironko-Mbale'!L55+'Avg Week Mbale- Sironko'!L55</f>
        <v>0</v>
      </c>
      <c r="M55" s="49">
        <f>'Avg Week Sironko-Mbale'!M55+'Avg Week Mbale- Sironko'!M55</f>
        <v>59.714285714285715</v>
      </c>
      <c r="N55" s="49">
        <f>'Avg Week Sironko-Mbale'!N55+'Avg Week Mbale- Sironko'!N55</f>
        <v>0</v>
      </c>
      <c r="O55" s="15">
        <f t="shared" si="0"/>
        <v>42.285714285714285</v>
      </c>
      <c r="P55" s="15">
        <f t="shared" si="1"/>
        <v>102</v>
      </c>
      <c r="R55" s="8"/>
      <c r="T55"/>
    </row>
    <row r="56" spans="2:20" ht="23.1" customHeight="1" x14ac:dyDescent="0.25">
      <c r="B56" s="23" t="s">
        <v>83</v>
      </c>
      <c r="C56" s="49">
        <f>'Avg Week Sironko-Mbale'!C56+'Avg Week Mbale- Sironko'!C56</f>
        <v>7.4285714285714288</v>
      </c>
      <c r="D56" s="49">
        <f>'Avg Week Sironko-Mbale'!D56+'Avg Week Mbale- Sironko'!D56</f>
        <v>2.7142857142857144</v>
      </c>
      <c r="E56" s="49">
        <f>'Avg Week Sironko-Mbale'!E56+'Avg Week Mbale- Sironko'!E56</f>
        <v>12.857142857142858</v>
      </c>
      <c r="F56" s="49">
        <f>'Avg Week Sironko-Mbale'!F56+'Avg Week Mbale- Sironko'!F56</f>
        <v>6.1428571428571423</v>
      </c>
      <c r="G56" s="49">
        <f>'Avg Week Sironko-Mbale'!G56+'Avg Week Mbale- Sironko'!G56</f>
        <v>0.42857142857142855</v>
      </c>
      <c r="H56" s="49">
        <f>'Avg Week Sironko-Mbale'!H56+'Avg Week Mbale- Sironko'!H56</f>
        <v>0</v>
      </c>
      <c r="I56" s="49">
        <f>'Avg Week Sironko-Mbale'!I56+'Avg Week Mbale- Sironko'!I56</f>
        <v>8.2857142857142865</v>
      </c>
      <c r="J56" s="49">
        <f>'Avg Week Sironko-Mbale'!J56+'Avg Week Mbale- Sironko'!J56</f>
        <v>0.14285714285714285</v>
      </c>
      <c r="K56" s="49">
        <f>'Avg Week Sironko-Mbale'!K56+'Avg Week Mbale- Sironko'!K56</f>
        <v>0</v>
      </c>
      <c r="L56" s="49">
        <f>'Avg Week Sironko-Mbale'!L56+'Avg Week Mbale- Sironko'!L56</f>
        <v>0.42857142857142855</v>
      </c>
      <c r="M56" s="49">
        <f>'Avg Week Sironko-Mbale'!M56+'Avg Week Mbale- Sironko'!M56</f>
        <v>53</v>
      </c>
      <c r="N56" s="49">
        <f>'Avg Week Sironko-Mbale'!N56+'Avg Week Mbale- Sironko'!N56</f>
        <v>0</v>
      </c>
      <c r="O56" s="15">
        <f t="shared" si="0"/>
        <v>38.428571428571431</v>
      </c>
      <c r="P56" s="15">
        <f t="shared" si="1"/>
        <v>91.428571428571431</v>
      </c>
      <c r="R56" s="8"/>
      <c r="T56"/>
    </row>
    <row r="57" spans="2:20" ht="23.1" customHeight="1" x14ac:dyDescent="0.25">
      <c r="B57" s="23" t="s">
        <v>84</v>
      </c>
      <c r="C57" s="49">
        <f>'Avg Week Sironko-Mbale'!C57+'Avg Week Mbale- Sironko'!C57</f>
        <v>7.5714285714285712</v>
      </c>
      <c r="D57" s="49">
        <f>'Avg Week Sironko-Mbale'!D57+'Avg Week Mbale- Sironko'!D57</f>
        <v>1.8571428571428572</v>
      </c>
      <c r="E57" s="49">
        <f>'Avg Week Sironko-Mbale'!E57+'Avg Week Mbale- Sironko'!E57</f>
        <v>9.5714285714285712</v>
      </c>
      <c r="F57" s="49">
        <f>'Avg Week Sironko-Mbale'!F57+'Avg Week Mbale- Sironko'!F57</f>
        <v>6.2857142857142856</v>
      </c>
      <c r="G57" s="49">
        <f>'Avg Week Sironko-Mbale'!G57+'Avg Week Mbale- Sironko'!G57</f>
        <v>0</v>
      </c>
      <c r="H57" s="49">
        <f>'Avg Week Sironko-Mbale'!H57+'Avg Week Mbale- Sironko'!H57</f>
        <v>0</v>
      </c>
      <c r="I57" s="49">
        <f>'Avg Week Sironko-Mbale'!I57+'Avg Week Mbale- Sironko'!I57</f>
        <v>6.8571428571428577</v>
      </c>
      <c r="J57" s="49">
        <f>'Avg Week Sironko-Mbale'!J57+'Avg Week Mbale- Sironko'!J57</f>
        <v>0.2857142857142857</v>
      </c>
      <c r="K57" s="49">
        <f>'Avg Week Sironko-Mbale'!K57+'Avg Week Mbale- Sironko'!K57</f>
        <v>0</v>
      </c>
      <c r="L57" s="49">
        <f>'Avg Week Sironko-Mbale'!L57+'Avg Week Mbale- Sironko'!L57</f>
        <v>0</v>
      </c>
      <c r="M57" s="49">
        <f>'Avg Week Sironko-Mbale'!M57+'Avg Week Mbale- Sironko'!M57</f>
        <v>49.142857142857139</v>
      </c>
      <c r="N57" s="49">
        <f>'Avg Week Sironko-Mbale'!N57+'Avg Week Mbale- Sironko'!N57</f>
        <v>0</v>
      </c>
      <c r="O57" s="15">
        <f t="shared" si="0"/>
        <v>32.428571428571423</v>
      </c>
      <c r="P57" s="15">
        <f t="shared" si="1"/>
        <v>81.571428571428555</v>
      </c>
      <c r="R57" s="8"/>
      <c r="T57"/>
    </row>
    <row r="58" spans="2:20" ht="23.1" customHeight="1" x14ac:dyDescent="0.25">
      <c r="B58" s="23" t="s">
        <v>99</v>
      </c>
      <c r="C58" s="49">
        <f>'Avg Week Sironko-Mbale'!C58+'Avg Week Mbale- Sironko'!C58</f>
        <v>7.5</v>
      </c>
      <c r="D58" s="49">
        <f>'Avg Week Sironko-Mbale'!D58+'Avg Week Mbale- Sironko'!D58</f>
        <v>1.5</v>
      </c>
      <c r="E58" s="49">
        <f>'Avg Week Sironko-Mbale'!E58+'Avg Week Mbale- Sironko'!E58</f>
        <v>10</v>
      </c>
      <c r="F58" s="49">
        <f>'Avg Week Sironko-Mbale'!F58+'Avg Week Mbale- Sironko'!F58</f>
        <v>8.5</v>
      </c>
      <c r="G58" s="49">
        <f>'Avg Week Sironko-Mbale'!G58+'Avg Week Mbale- Sironko'!G58</f>
        <v>0</v>
      </c>
      <c r="H58" s="49">
        <f>'Avg Week Sironko-Mbale'!H58+'Avg Week Mbale- Sironko'!H58</f>
        <v>0</v>
      </c>
      <c r="I58" s="49">
        <f>'Avg Week Sironko-Mbale'!I58+'Avg Week Mbale- Sironko'!I58</f>
        <v>12.5</v>
      </c>
      <c r="J58" s="49">
        <f>'Avg Week Sironko-Mbale'!J58+'Avg Week Mbale- Sironko'!J58</f>
        <v>0</v>
      </c>
      <c r="K58" s="49">
        <f>'Avg Week Sironko-Mbale'!K58+'Avg Week Mbale- Sironko'!K58</f>
        <v>0</v>
      </c>
      <c r="L58" s="49">
        <f>'Avg Week Sironko-Mbale'!L58+'Avg Week Mbale- Sironko'!L58</f>
        <v>0</v>
      </c>
      <c r="M58" s="49">
        <f>'Avg Week Sironko-Mbale'!M58+'Avg Week Mbale- Sironko'!M58</f>
        <v>54.5</v>
      </c>
      <c r="N58" s="49">
        <f>'Avg Week Sironko-Mbale'!N58+'Avg Week Mbale- Sironko'!N58</f>
        <v>0</v>
      </c>
      <c r="O58" s="15">
        <f t="shared" si="0"/>
        <v>40</v>
      </c>
      <c r="P58" s="15">
        <f t="shared" si="1"/>
        <v>94.5</v>
      </c>
      <c r="R58" s="8"/>
      <c r="T58"/>
    </row>
    <row r="59" spans="2:20" ht="23.1" customHeight="1" x14ac:dyDescent="0.25">
      <c r="B59" s="23" t="s">
        <v>100</v>
      </c>
      <c r="C59" s="49">
        <f>'Avg Week Sironko-Mbale'!C59+'Avg Week Mbale- Sironko'!C59</f>
        <v>6.5</v>
      </c>
      <c r="D59" s="49">
        <f>'Avg Week Sironko-Mbale'!D59+'Avg Week Mbale- Sironko'!D59</f>
        <v>2</v>
      </c>
      <c r="E59" s="49">
        <f>'Avg Week Sironko-Mbale'!E59+'Avg Week Mbale- Sironko'!E59</f>
        <v>11</v>
      </c>
      <c r="F59" s="49">
        <f>'Avg Week Sironko-Mbale'!F59+'Avg Week Mbale- Sironko'!F59</f>
        <v>6.5</v>
      </c>
      <c r="G59" s="49">
        <f>'Avg Week Sironko-Mbale'!G59+'Avg Week Mbale- Sironko'!G59</f>
        <v>0</v>
      </c>
      <c r="H59" s="49">
        <f>'Avg Week Sironko-Mbale'!H59+'Avg Week Mbale- Sironko'!H59</f>
        <v>0</v>
      </c>
      <c r="I59" s="49">
        <f>'Avg Week Sironko-Mbale'!I59+'Avg Week Mbale- Sironko'!I59</f>
        <v>11.5</v>
      </c>
      <c r="J59" s="49">
        <f>'Avg Week Sironko-Mbale'!J59+'Avg Week Mbale- Sironko'!J59</f>
        <v>0</v>
      </c>
      <c r="K59" s="49">
        <f>'Avg Week Sironko-Mbale'!K59+'Avg Week Mbale- Sironko'!K59</f>
        <v>0</v>
      </c>
      <c r="L59" s="49">
        <f>'Avg Week Sironko-Mbale'!L59+'Avg Week Mbale- Sironko'!L59</f>
        <v>0</v>
      </c>
      <c r="M59" s="49">
        <f>'Avg Week Sironko-Mbale'!M59+'Avg Week Mbale- Sironko'!M59</f>
        <v>55</v>
      </c>
      <c r="N59" s="49">
        <f>'Avg Week Sironko-Mbale'!N59+'Avg Week Mbale- Sironko'!N59</f>
        <v>0</v>
      </c>
      <c r="O59" s="15">
        <f t="shared" si="0"/>
        <v>37.5</v>
      </c>
      <c r="P59" s="15">
        <f t="shared" si="1"/>
        <v>92.5</v>
      </c>
      <c r="R59" s="8"/>
      <c r="T59"/>
    </row>
    <row r="60" spans="2:20" ht="23.1" customHeight="1" x14ac:dyDescent="0.25">
      <c r="B60" s="23" t="s">
        <v>101</v>
      </c>
      <c r="C60" s="49">
        <f>'Avg Week Sironko-Mbale'!C60+'Avg Week Mbale- Sironko'!C60</f>
        <v>4.5</v>
      </c>
      <c r="D60" s="49">
        <f>'Avg Week Sironko-Mbale'!D60+'Avg Week Mbale- Sironko'!D60</f>
        <v>0.5</v>
      </c>
      <c r="E60" s="49">
        <f>'Avg Week Sironko-Mbale'!E60+'Avg Week Mbale- Sironko'!E60</f>
        <v>7</v>
      </c>
      <c r="F60" s="49">
        <f>'Avg Week Sironko-Mbale'!F60+'Avg Week Mbale- Sironko'!F60</f>
        <v>5</v>
      </c>
      <c r="G60" s="49">
        <f>'Avg Week Sironko-Mbale'!G60+'Avg Week Mbale- Sironko'!G60</f>
        <v>0</v>
      </c>
      <c r="H60" s="49">
        <f>'Avg Week Sironko-Mbale'!H60+'Avg Week Mbale- Sironko'!H60</f>
        <v>0.5</v>
      </c>
      <c r="I60" s="49">
        <f>'Avg Week Sironko-Mbale'!I60+'Avg Week Mbale- Sironko'!I60</f>
        <v>9.5</v>
      </c>
      <c r="J60" s="49">
        <f>'Avg Week Sironko-Mbale'!J60+'Avg Week Mbale- Sironko'!J60</f>
        <v>0.5</v>
      </c>
      <c r="K60" s="49">
        <f>'Avg Week Sironko-Mbale'!K60+'Avg Week Mbale- Sironko'!K60</f>
        <v>0.5</v>
      </c>
      <c r="L60" s="49">
        <f>'Avg Week Sironko-Mbale'!L60+'Avg Week Mbale- Sironko'!L60</f>
        <v>0</v>
      </c>
      <c r="M60" s="49">
        <f>'Avg Week Sironko-Mbale'!M60+'Avg Week Mbale- Sironko'!M60</f>
        <v>60.5</v>
      </c>
      <c r="N60" s="49">
        <f>'Avg Week Sironko-Mbale'!N60+'Avg Week Mbale- Sironko'!N60</f>
        <v>0</v>
      </c>
      <c r="O60" s="15">
        <f t="shared" si="0"/>
        <v>28</v>
      </c>
      <c r="P60" s="15">
        <f t="shared" si="1"/>
        <v>88.5</v>
      </c>
      <c r="R60" s="8"/>
      <c r="T60"/>
    </row>
    <row r="61" spans="2:20" ht="23.1" customHeight="1" x14ac:dyDescent="0.25">
      <c r="B61" s="23" t="s">
        <v>102</v>
      </c>
      <c r="C61" s="49">
        <f>'Avg Week Sironko-Mbale'!C61+'Avg Week Mbale- Sironko'!C61</f>
        <v>6.5</v>
      </c>
      <c r="D61" s="49">
        <f>'Avg Week Sironko-Mbale'!D61+'Avg Week Mbale- Sironko'!D61</f>
        <v>1.5</v>
      </c>
      <c r="E61" s="49">
        <f>'Avg Week Sironko-Mbale'!E61+'Avg Week Mbale- Sironko'!E61</f>
        <v>12</v>
      </c>
      <c r="F61" s="49">
        <f>'Avg Week Sironko-Mbale'!F61+'Avg Week Mbale- Sironko'!F61</f>
        <v>10</v>
      </c>
      <c r="G61" s="49">
        <f>'Avg Week Sironko-Mbale'!G61+'Avg Week Mbale- Sironko'!G61</f>
        <v>0</v>
      </c>
      <c r="H61" s="49">
        <f>'Avg Week Sironko-Mbale'!H61+'Avg Week Mbale- Sironko'!H61</f>
        <v>0</v>
      </c>
      <c r="I61" s="49">
        <f>'Avg Week Sironko-Mbale'!I61+'Avg Week Mbale- Sironko'!I61</f>
        <v>9</v>
      </c>
      <c r="J61" s="49">
        <f>'Avg Week Sironko-Mbale'!J61+'Avg Week Mbale- Sironko'!J61</f>
        <v>0</v>
      </c>
      <c r="K61" s="49">
        <f>'Avg Week Sironko-Mbale'!K61+'Avg Week Mbale- Sironko'!K61</f>
        <v>0.5</v>
      </c>
      <c r="L61" s="49">
        <f>'Avg Week Sironko-Mbale'!L61+'Avg Week Mbale- Sironko'!L61</f>
        <v>0</v>
      </c>
      <c r="M61" s="49">
        <f>'Avg Week Sironko-Mbale'!M61+'Avg Week Mbale- Sironko'!M61</f>
        <v>42.5</v>
      </c>
      <c r="N61" s="49">
        <f>'Avg Week Sironko-Mbale'!N61+'Avg Week Mbale- Sironko'!N61</f>
        <v>0</v>
      </c>
      <c r="O61" s="15">
        <f t="shared" si="0"/>
        <v>39.5</v>
      </c>
      <c r="P61" s="15">
        <f t="shared" si="1"/>
        <v>82</v>
      </c>
      <c r="R61" s="8"/>
      <c r="T61"/>
    </row>
    <row r="62" spans="2:20" ht="23.1" customHeight="1" x14ac:dyDescent="0.25">
      <c r="B62" s="23" t="s">
        <v>107</v>
      </c>
      <c r="C62" s="49">
        <f>'Avg Week Sironko-Mbale'!C62+'Avg Week Mbale- Sironko'!C62</f>
        <v>10</v>
      </c>
      <c r="D62" s="49">
        <f>'Avg Week Sironko-Mbale'!D62+'Avg Week Mbale- Sironko'!D62</f>
        <v>3.5</v>
      </c>
      <c r="E62" s="49">
        <f>'Avg Week Sironko-Mbale'!E62+'Avg Week Mbale- Sironko'!E62</f>
        <v>17</v>
      </c>
      <c r="F62" s="49">
        <f>'Avg Week Sironko-Mbale'!F62+'Avg Week Mbale- Sironko'!F62</f>
        <v>5.5</v>
      </c>
      <c r="G62" s="49">
        <f>'Avg Week Sironko-Mbale'!G62+'Avg Week Mbale- Sironko'!G62</f>
        <v>0</v>
      </c>
      <c r="H62" s="49">
        <f>'Avg Week Sironko-Mbale'!H62+'Avg Week Mbale- Sironko'!H62</f>
        <v>0</v>
      </c>
      <c r="I62" s="49">
        <f>'Avg Week Sironko-Mbale'!I62+'Avg Week Mbale- Sironko'!I62</f>
        <v>13.5</v>
      </c>
      <c r="J62" s="49">
        <f>'Avg Week Sironko-Mbale'!J62+'Avg Week Mbale- Sironko'!J62</f>
        <v>0</v>
      </c>
      <c r="K62" s="49">
        <f>'Avg Week Sironko-Mbale'!K62+'Avg Week Mbale- Sironko'!K62</f>
        <v>0</v>
      </c>
      <c r="L62" s="49">
        <f>'Avg Week Sironko-Mbale'!L62+'Avg Week Mbale- Sironko'!L62</f>
        <v>0</v>
      </c>
      <c r="M62" s="49">
        <f>'Avg Week Sironko-Mbale'!M62+'Avg Week Mbale- Sironko'!M62</f>
        <v>38.5</v>
      </c>
      <c r="N62" s="49">
        <f>'Avg Week Sironko-Mbale'!N62+'Avg Week Mbale- Sironko'!N62</f>
        <v>0</v>
      </c>
      <c r="O62" s="15">
        <f t="shared" si="0"/>
        <v>49.5</v>
      </c>
      <c r="P62" s="15">
        <f t="shared" si="1"/>
        <v>88</v>
      </c>
      <c r="R62" s="8"/>
      <c r="T62"/>
    </row>
    <row r="63" spans="2:20" ht="23.1" customHeight="1" x14ac:dyDescent="0.25">
      <c r="B63" s="23" t="s">
        <v>108</v>
      </c>
      <c r="C63" s="49">
        <f>'Avg Week Sironko-Mbale'!C63+'Avg Week Mbale- Sironko'!C63</f>
        <v>2.5</v>
      </c>
      <c r="D63" s="49">
        <f>'Avg Week Sironko-Mbale'!D63+'Avg Week Mbale- Sironko'!D63</f>
        <v>1.5</v>
      </c>
      <c r="E63" s="49">
        <f>'Avg Week Sironko-Mbale'!E63+'Avg Week Mbale- Sironko'!E63</f>
        <v>11.5</v>
      </c>
      <c r="F63" s="49">
        <f>'Avg Week Sironko-Mbale'!F63+'Avg Week Mbale- Sironko'!F63</f>
        <v>5</v>
      </c>
      <c r="G63" s="49">
        <f>'Avg Week Sironko-Mbale'!G63+'Avg Week Mbale- Sironko'!G63</f>
        <v>0</v>
      </c>
      <c r="H63" s="49">
        <f>'Avg Week Sironko-Mbale'!H63+'Avg Week Mbale- Sironko'!H63</f>
        <v>0</v>
      </c>
      <c r="I63" s="49">
        <f>'Avg Week Sironko-Mbale'!I63+'Avg Week Mbale- Sironko'!I63</f>
        <v>10.5</v>
      </c>
      <c r="J63" s="49">
        <f>'Avg Week Sironko-Mbale'!J63+'Avg Week Mbale- Sironko'!J63</f>
        <v>2</v>
      </c>
      <c r="K63" s="49">
        <f>'Avg Week Sironko-Mbale'!K63+'Avg Week Mbale- Sironko'!K63</f>
        <v>0</v>
      </c>
      <c r="L63" s="49">
        <f>'Avg Week Sironko-Mbale'!L63+'Avg Week Mbale- Sironko'!L63</f>
        <v>0</v>
      </c>
      <c r="M63" s="49">
        <f>'Avg Week Sironko-Mbale'!M63+'Avg Week Mbale- Sironko'!M63</f>
        <v>35.5</v>
      </c>
      <c r="N63" s="49">
        <f>'Avg Week Sironko-Mbale'!N63+'Avg Week Mbale- Sironko'!N63</f>
        <v>0</v>
      </c>
      <c r="O63" s="15">
        <f t="shared" si="0"/>
        <v>33</v>
      </c>
      <c r="P63" s="15">
        <f t="shared" si="1"/>
        <v>68.5</v>
      </c>
      <c r="R63" s="8"/>
      <c r="T63"/>
    </row>
    <row r="64" spans="2:20" ht="23.1" customHeight="1" x14ac:dyDescent="0.25">
      <c r="B64" s="23" t="s">
        <v>109</v>
      </c>
      <c r="C64" s="49">
        <f>'Avg Week Sironko-Mbale'!C64+'Avg Week Mbale- Sironko'!C64</f>
        <v>6.5</v>
      </c>
      <c r="D64" s="49">
        <f>'Avg Week Sironko-Mbale'!D64+'Avg Week Mbale- Sironko'!D64</f>
        <v>2</v>
      </c>
      <c r="E64" s="49">
        <f>'Avg Week Sironko-Mbale'!E64+'Avg Week Mbale- Sironko'!E64</f>
        <v>11</v>
      </c>
      <c r="F64" s="49">
        <f>'Avg Week Sironko-Mbale'!F64+'Avg Week Mbale- Sironko'!F64</f>
        <v>1.5</v>
      </c>
      <c r="G64" s="49">
        <f>'Avg Week Sironko-Mbale'!G64+'Avg Week Mbale- Sironko'!G64</f>
        <v>0</v>
      </c>
      <c r="H64" s="49">
        <f>'Avg Week Sironko-Mbale'!H64+'Avg Week Mbale- Sironko'!H64</f>
        <v>0</v>
      </c>
      <c r="I64" s="49">
        <f>'Avg Week Sironko-Mbale'!I64+'Avg Week Mbale- Sironko'!I64</f>
        <v>17</v>
      </c>
      <c r="J64" s="49">
        <f>'Avg Week Sironko-Mbale'!J64+'Avg Week Mbale- Sironko'!J64</f>
        <v>0.5</v>
      </c>
      <c r="K64" s="49">
        <f>'Avg Week Sironko-Mbale'!K64+'Avg Week Mbale- Sironko'!K64</f>
        <v>0</v>
      </c>
      <c r="L64" s="49">
        <f>'Avg Week Sironko-Mbale'!L64+'Avg Week Mbale- Sironko'!L64</f>
        <v>0</v>
      </c>
      <c r="M64" s="49">
        <f>'Avg Week Sironko-Mbale'!M64+'Avg Week Mbale- Sironko'!M64</f>
        <v>36</v>
      </c>
      <c r="N64" s="49">
        <f>'Avg Week Sironko-Mbale'!N64+'Avg Week Mbale- Sironko'!N64</f>
        <v>0</v>
      </c>
      <c r="O64" s="15">
        <f t="shared" si="0"/>
        <v>38.5</v>
      </c>
      <c r="P64" s="15">
        <f t="shared" si="1"/>
        <v>74.5</v>
      </c>
      <c r="R64" s="8"/>
      <c r="T64"/>
    </row>
    <row r="65" spans="2:20" ht="23.1" customHeight="1" x14ac:dyDescent="0.25">
      <c r="B65" s="23" t="s">
        <v>158</v>
      </c>
      <c r="C65" s="49">
        <f>'Avg Week Sironko-Mbale'!C65+'Avg Week Mbale- Sironko'!C65</f>
        <v>4</v>
      </c>
      <c r="D65" s="49">
        <f>'Avg Week Sironko-Mbale'!D65+'Avg Week Mbale- Sironko'!D65</f>
        <v>1</v>
      </c>
      <c r="E65" s="49">
        <f>'Avg Week Sironko-Mbale'!E65+'Avg Week Mbale- Sironko'!E65</f>
        <v>7.5</v>
      </c>
      <c r="F65" s="49">
        <f>'Avg Week Sironko-Mbale'!F65+'Avg Week Mbale- Sironko'!F65</f>
        <v>1</v>
      </c>
      <c r="G65" s="49">
        <f>'Avg Week Sironko-Mbale'!G65+'Avg Week Mbale- Sironko'!G65</f>
        <v>0</v>
      </c>
      <c r="H65" s="49">
        <f>'Avg Week Sironko-Mbale'!H65+'Avg Week Mbale- Sironko'!H65</f>
        <v>0</v>
      </c>
      <c r="I65" s="49">
        <f>'Avg Week Sironko-Mbale'!I65+'Avg Week Mbale- Sironko'!I65</f>
        <v>9.5</v>
      </c>
      <c r="J65" s="49">
        <f>'Avg Week Sironko-Mbale'!J65+'Avg Week Mbale- Sironko'!J65</f>
        <v>1</v>
      </c>
      <c r="K65" s="49">
        <f>'Avg Week Sironko-Mbale'!K65+'Avg Week Mbale- Sironko'!K65</f>
        <v>0</v>
      </c>
      <c r="L65" s="49">
        <f>'Avg Week Sironko-Mbale'!L65+'Avg Week Mbale- Sironko'!L65</f>
        <v>0</v>
      </c>
      <c r="M65" s="49">
        <f>'Avg Week Sironko-Mbale'!M65+'Avg Week Mbale- Sironko'!M65</f>
        <v>30.5</v>
      </c>
      <c r="N65" s="49">
        <f>'Avg Week Sironko-Mbale'!N65+'Avg Week Mbale- Sironko'!N65</f>
        <v>0</v>
      </c>
      <c r="O65" s="15">
        <f t="shared" si="0"/>
        <v>24</v>
      </c>
      <c r="P65" s="15">
        <f t="shared" si="1"/>
        <v>54.5</v>
      </c>
      <c r="R65" s="8"/>
      <c r="T65"/>
    </row>
    <row r="66" spans="2:20" ht="23.1" customHeight="1" x14ac:dyDescent="0.25">
      <c r="B66" s="23" t="s">
        <v>103</v>
      </c>
      <c r="C66" s="49">
        <f>'Avg Week Sironko-Mbale'!C66+'Avg Week Mbale- Sironko'!C66</f>
        <v>6</v>
      </c>
      <c r="D66" s="49">
        <f>'Avg Week Sironko-Mbale'!D66+'Avg Week Mbale- Sironko'!D66</f>
        <v>1</v>
      </c>
      <c r="E66" s="49">
        <f>'Avg Week Sironko-Mbale'!E66+'Avg Week Mbale- Sironko'!E66</f>
        <v>6</v>
      </c>
      <c r="F66" s="49">
        <f>'Avg Week Sironko-Mbale'!F66+'Avg Week Mbale- Sironko'!F66</f>
        <v>4.5</v>
      </c>
      <c r="G66" s="49">
        <f>'Avg Week Sironko-Mbale'!G66+'Avg Week Mbale- Sironko'!G66</f>
        <v>0</v>
      </c>
      <c r="H66" s="49">
        <f>'Avg Week Sironko-Mbale'!H66+'Avg Week Mbale- Sironko'!H66</f>
        <v>0</v>
      </c>
      <c r="I66" s="49">
        <f>'Avg Week Sironko-Mbale'!I66+'Avg Week Mbale- Sironko'!I66</f>
        <v>3</v>
      </c>
      <c r="J66" s="49">
        <f>'Avg Week Sironko-Mbale'!J66+'Avg Week Mbale- Sironko'!J66</f>
        <v>0</v>
      </c>
      <c r="K66" s="49">
        <f>'Avg Week Sironko-Mbale'!K66+'Avg Week Mbale- Sironko'!K66</f>
        <v>0</v>
      </c>
      <c r="L66" s="49">
        <f>'Avg Week Sironko-Mbale'!L66+'Avg Week Mbale- Sironko'!L66</f>
        <v>0</v>
      </c>
      <c r="M66" s="49">
        <f>'Avg Week Sironko-Mbale'!M66+'Avg Week Mbale- Sironko'!M66</f>
        <v>36</v>
      </c>
      <c r="N66" s="49">
        <f>'Avg Week Sironko-Mbale'!N66+'Avg Week Mbale- Sironko'!N66</f>
        <v>0</v>
      </c>
      <c r="O66" s="15">
        <f t="shared" si="0"/>
        <v>20.5</v>
      </c>
      <c r="P66" s="15">
        <f t="shared" si="1"/>
        <v>56.5</v>
      </c>
      <c r="R66" s="8"/>
      <c r="T66"/>
    </row>
    <row r="67" spans="2:20" ht="23.1" customHeight="1" x14ac:dyDescent="0.25">
      <c r="B67" s="23" t="s">
        <v>104</v>
      </c>
      <c r="C67" s="49">
        <f>'Avg Week Sironko-Mbale'!C67+'Avg Week Mbale- Sironko'!C67</f>
        <v>5.5</v>
      </c>
      <c r="D67" s="49">
        <f>'Avg Week Sironko-Mbale'!D67+'Avg Week Mbale- Sironko'!D67</f>
        <v>0.5</v>
      </c>
      <c r="E67" s="49">
        <f>'Avg Week Sironko-Mbale'!E67+'Avg Week Mbale- Sironko'!E67</f>
        <v>4.5</v>
      </c>
      <c r="F67" s="49">
        <f>'Avg Week Sironko-Mbale'!F67+'Avg Week Mbale- Sironko'!F67</f>
        <v>0.5</v>
      </c>
      <c r="G67" s="49">
        <f>'Avg Week Sironko-Mbale'!G67+'Avg Week Mbale- Sironko'!G67</f>
        <v>0</v>
      </c>
      <c r="H67" s="49">
        <f>'Avg Week Sironko-Mbale'!H67+'Avg Week Mbale- Sironko'!H67</f>
        <v>0</v>
      </c>
      <c r="I67" s="49">
        <f>'Avg Week Sironko-Mbale'!I67+'Avg Week Mbale- Sironko'!I67</f>
        <v>5.5</v>
      </c>
      <c r="J67" s="49">
        <f>'Avg Week Sironko-Mbale'!J67+'Avg Week Mbale- Sironko'!J67</f>
        <v>0.5</v>
      </c>
      <c r="K67" s="49">
        <f>'Avg Week Sironko-Mbale'!K67+'Avg Week Mbale- Sironko'!K67</f>
        <v>1.5</v>
      </c>
      <c r="L67" s="49">
        <f>'Avg Week Sironko-Mbale'!L67+'Avg Week Mbale- Sironko'!L67</f>
        <v>0</v>
      </c>
      <c r="M67" s="49">
        <f>'Avg Week Sironko-Mbale'!M67+'Avg Week Mbale- Sironko'!M67</f>
        <v>18.5</v>
      </c>
      <c r="N67" s="49">
        <f>'Avg Week Sironko-Mbale'!N67+'Avg Week Mbale- Sironko'!N67</f>
        <v>0</v>
      </c>
      <c r="O67" s="15">
        <f t="shared" si="0"/>
        <v>18.5</v>
      </c>
      <c r="P67" s="15">
        <f t="shared" si="1"/>
        <v>37</v>
      </c>
      <c r="R67" s="8"/>
      <c r="T67"/>
    </row>
    <row r="68" spans="2:20" ht="23.1" customHeight="1" x14ac:dyDescent="0.25">
      <c r="B68" s="23" t="s">
        <v>105</v>
      </c>
      <c r="C68" s="49">
        <f>'Avg Week Sironko-Mbale'!C68+'Avg Week Mbale- Sironko'!C68</f>
        <v>7</v>
      </c>
      <c r="D68" s="49">
        <f>'Avg Week Sironko-Mbale'!D68+'Avg Week Mbale- Sironko'!D68</f>
        <v>0.5</v>
      </c>
      <c r="E68" s="49">
        <f>'Avg Week Sironko-Mbale'!E68+'Avg Week Mbale- Sironko'!E68</f>
        <v>6</v>
      </c>
      <c r="F68" s="49">
        <f>'Avg Week Sironko-Mbale'!F68+'Avg Week Mbale- Sironko'!F68</f>
        <v>1</v>
      </c>
      <c r="G68" s="49">
        <f>'Avg Week Sironko-Mbale'!G68+'Avg Week Mbale- Sironko'!G68</f>
        <v>0</v>
      </c>
      <c r="H68" s="49">
        <f>'Avg Week Sironko-Mbale'!H68+'Avg Week Mbale- Sironko'!H68</f>
        <v>0</v>
      </c>
      <c r="I68" s="49">
        <f>'Avg Week Sironko-Mbale'!I68+'Avg Week Mbale- Sironko'!I68</f>
        <v>5.5</v>
      </c>
      <c r="J68" s="49">
        <f>'Avg Week Sironko-Mbale'!J68+'Avg Week Mbale- Sironko'!J68</f>
        <v>0.5</v>
      </c>
      <c r="K68" s="49">
        <f>'Avg Week Sironko-Mbale'!K68+'Avg Week Mbale- Sironko'!K68</f>
        <v>0.5</v>
      </c>
      <c r="L68" s="49">
        <f>'Avg Week Sironko-Mbale'!L68+'Avg Week Mbale- Sironko'!L68</f>
        <v>0</v>
      </c>
      <c r="M68" s="49">
        <f>'Avg Week Sironko-Mbale'!M68+'Avg Week Mbale- Sironko'!M68</f>
        <v>18.5</v>
      </c>
      <c r="N68" s="49">
        <f>'Avg Week Sironko-Mbale'!N68+'Avg Week Mbale- Sironko'!N68</f>
        <v>0</v>
      </c>
      <c r="O68" s="15">
        <f t="shared" si="0"/>
        <v>21</v>
      </c>
      <c r="P68" s="15">
        <f t="shared" si="1"/>
        <v>39.5</v>
      </c>
      <c r="R68" s="8"/>
      <c r="T68"/>
    </row>
    <row r="69" spans="2:20" ht="23.1" customHeight="1" x14ac:dyDescent="0.25">
      <c r="B69" s="23" t="s">
        <v>106</v>
      </c>
      <c r="C69" s="49">
        <f>'Avg Week Sironko-Mbale'!C69+'Avg Week Mbale- Sironko'!C69</f>
        <v>4</v>
      </c>
      <c r="D69" s="49">
        <f>'Avg Week Sironko-Mbale'!D69+'Avg Week Mbale- Sironko'!D69</f>
        <v>0.5</v>
      </c>
      <c r="E69" s="49">
        <f>'Avg Week Sironko-Mbale'!E69+'Avg Week Mbale- Sironko'!E69</f>
        <v>5</v>
      </c>
      <c r="F69" s="49">
        <f>'Avg Week Sironko-Mbale'!F69+'Avg Week Mbale- Sironko'!F69</f>
        <v>2</v>
      </c>
      <c r="G69" s="49">
        <f>'Avg Week Sironko-Mbale'!G69+'Avg Week Mbale- Sironko'!G69</f>
        <v>0</v>
      </c>
      <c r="H69" s="49">
        <f>'Avg Week Sironko-Mbale'!H69+'Avg Week Mbale- Sironko'!H69</f>
        <v>0</v>
      </c>
      <c r="I69" s="49">
        <f>'Avg Week Sironko-Mbale'!I69+'Avg Week Mbale- Sironko'!I69</f>
        <v>8.5</v>
      </c>
      <c r="J69" s="49">
        <f>'Avg Week Sironko-Mbale'!J69+'Avg Week Mbale- Sironko'!J69</f>
        <v>0</v>
      </c>
      <c r="K69" s="49">
        <f>'Avg Week Sironko-Mbale'!K69+'Avg Week Mbale- Sironko'!K69</f>
        <v>0</v>
      </c>
      <c r="L69" s="49">
        <f>'Avg Week Sironko-Mbale'!L69+'Avg Week Mbale- Sironko'!L69</f>
        <v>0</v>
      </c>
      <c r="M69" s="49">
        <f>'Avg Week Sironko-Mbale'!M69+'Avg Week Mbale- Sironko'!M69</f>
        <v>17.5</v>
      </c>
      <c r="N69" s="49">
        <f>'Avg Week Sironko-Mbale'!N69+'Avg Week Mbale- Sironko'!N69</f>
        <v>0</v>
      </c>
      <c r="O69" s="15">
        <f t="shared" si="0"/>
        <v>20</v>
      </c>
      <c r="P69" s="15">
        <f t="shared" si="1"/>
        <v>37.5</v>
      </c>
      <c r="R69" s="8"/>
      <c r="T69"/>
    </row>
    <row r="70" spans="2:20" ht="23.1" customHeight="1" x14ac:dyDescent="0.25">
      <c r="B70" s="23" t="s">
        <v>110</v>
      </c>
      <c r="C70" s="49">
        <f>'Avg Week Sironko-Mbale'!C70+'Avg Week Mbale- Sironko'!C70</f>
        <v>3.5</v>
      </c>
      <c r="D70" s="49">
        <f>'Avg Week Sironko-Mbale'!D70+'Avg Week Mbale- Sironko'!D70</f>
        <v>0</v>
      </c>
      <c r="E70" s="49">
        <f>'Avg Week Sironko-Mbale'!E70+'Avg Week Mbale- Sironko'!E70</f>
        <v>5</v>
      </c>
      <c r="F70" s="49">
        <f>'Avg Week Sironko-Mbale'!F70+'Avg Week Mbale- Sironko'!F70</f>
        <v>2</v>
      </c>
      <c r="G70" s="49">
        <f>'Avg Week Sironko-Mbale'!G70+'Avg Week Mbale- Sironko'!G70</f>
        <v>0</v>
      </c>
      <c r="H70" s="49">
        <f>'Avg Week Sironko-Mbale'!H70+'Avg Week Mbale- Sironko'!H70</f>
        <v>0</v>
      </c>
      <c r="I70" s="49">
        <f>'Avg Week Sironko-Mbale'!I70+'Avg Week Mbale- Sironko'!I70</f>
        <v>6.5</v>
      </c>
      <c r="J70" s="49">
        <f>'Avg Week Sironko-Mbale'!J70+'Avg Week Mbale- Sironko'!J70</f>
        <v>0.5</v>
      </c>
      <c r="K70" s="49">
        <f>'Avg Week Sironko-Mbale'!K70+'Avg Week Mbale- Sironko'!K70</f>
        <v>0</v>
      </c>
      <c r="L70" s="49">
        <f>'Avg Week Sironko-Mbale'!L70+'Avg Week Mbale- Sironko'!L70</f>
        <v>0</v>
      </c>
      <c r="M70" s="49">
        <f>'Avg Week Sironko-Mbale'!M70+'Avg Week Mbale- Sironko'!M70</f>
        <v>23.5</v>
      </c>
      <c r="N70" s="49">
        <f>'Avg Week Sironko-Mbale'!N70+'Avg Week Mbale- Sironko'!N70</f>
        <v>0</v>
      </c>
      <c r="O70" s="15">
        <f t="shared" si="0"/>
        <v>17.5</v>
      </c>
      <c r="P70" s="15">
        <f t="shared" si="1"/>
        <v>41</v>
      </c>
      <c r="R70" s="8"/>
      <c r="T70"/>
    </row>
    <row r="71" spans="2:20" ht="23.1" customHeight="1" x14ac:dyDescent="0.25">
      <c r="B71" s="23" t="s">
        <v>111</v>
      </c>
      <c r="C71" s="49">
        <f>'Avg Week Sironko-Mbale'!C71+'Avg Week Mbale- Sironko'!C71</f>
        <v>4</v>
      </c>
      <c r="D71" s="49">
        <f>'Avg Week Sironko-Mbale'!D71+'Avg Week Mbale- Sironko'!D71</f>
        <v>0</v>
      </c>
      <c r="E71" s="49">
        <f>'Avg Week Sironko-Mbale'!E71+'Avg Week Mbale- Sironko'!E71</f>
        <v>2.5</v>
      </c>
      <c r="F71" s="49">
        <f>'Avg Week Sironko-Mbale'!F71+'Avg Week Mbale- Sironko'!F71</f>
        <v>0</v>
      </c>
      <c r="G71" s="49">
        <f>'Avg Week Sironko-Mbale'!G71+'Avg Week Mbale- Sironko'!G71</f>
        <v>0</v>
      </c>
      <c r="H71" s="49">
        <f>'Avg Week Sironko-Mbale'!H71+'Avg Week Mbale- Sironko'!H71</f>
        <v>0</v>
      </c>
      <c r="I71" s="49">
        <f>'Avg Week Sironko-Mbale'!I71+'Avg Week Mbale- Sironko'!I71</f>
        <v>7</v>
      </c>
      <c r="J71" s="49">
        <f>'Avg Week Sironko-Mbale'!J71+'Avg Week Mbale- Sironko'!J71</f>
        <v>0</v>
      </c>
      <c r="K71" s="49">
        <f>'Avg Week Sironko-Mbale'!K71+'Avg Week Mbale- Sironko'!K71</f>
        <v>0</v>
      </c>
      <c r="L71" s="49">
        <f>'Avg Week Sironko-Mbale'!L71+'Avg Week Mbale- Sironko'!L71</f>
        <v>0</v>
      </c>
      <c r="M71" s="49">
        <f>'Avg Week Sironko-Mbale'!M71+'Avg Week Mbale- Sironko'!M71</f>
        <v>12.5</v>
      </c>
      <c r="N71" s="49">
        <f>'Avg Week Sironko-Mbale'!N71+'Avg Week Mbale- Sironko'!N71</f>
        <v>0</v>
      </c>
      <c r="O71" s="15">
        <f t="shared" si="0"/>
        <v>13.5</v>
      </c>
      <c r="P71" s="15">
        <f t="shared" si="1"/>
        <v>26</v>
      </c>
      <c r="R71" s="8"/>
      <c r="T71"/>
    </row>
    <row r="72" spans="2:20" ht="23.1" customHeight="1" x14ac:dyDescent="0.25">
      <c r="B72" s="23" t="s">
        <v>112</v>
      </c>
      <c r="C72" s="49">
        <f>'Avg Week Sironko-Mbale'!C72+'Avg Week Mbale- Sironko'!C72</f>
        <v>3</v>
      </c>
      <c r="D72" s="49">
        <f>'Avg Week Sironko-Mbale'!D72+'Avg Week Mbale- Sironko'!D72</f>
        <v>0</v>
      </c>
      <c r="E72" s="49">
        <f>'Avg Week Sironko-Mbale'!E72+'Avg Week Mbale- Sironko'!E72</f>
        <v>0.5</v>
      </c>
      <c r="F72" s="49">
        <f>'Avg Week Sironko-Mbale'!F72+'Avg Week Mbale- Sironko'!F72</f>
        <v>0.5</v>
      </c>
      <c r="G72" s="49">
        <f>'Avg Week Sironko-Mbale'!G72+'Avg Week Mbale- Sironko'!G72</f>
        <v>0</v>
      </c>
      <c r="H72" s="49">
        <f>'Avg Week Sironko-Mbale'!H72+'Avg Week Mbale- Sironko'!H72</f>
        <v>0</v>
      </c>
      <c r="I72" s="49">
        <f>'Avg Week Sironko-Mbale'!I72+'Avg Week Mbale- Sironko'!I72</f>
        <v>4</v>
      </c>
      <c r="J72" s="49">
        <f>'Avg Week Sironko-Mbale'!J72+'Avg Week Mbale- Sironko'!J72</f>
        <v>0</v>
      </c>
      <c r="K72" s="49">
        <f>'Avg Week Sironko-Mbale'!K72+'Avg Week Mbale- Sironko'!K72</f>
        <v>0</v>
      </c>
      <c r="L72" s="49">
        <f>'Avg Week Sironko-Mbale'!L72+'Avg Week Mbale- Sironko'!L72</f>
        <v>0</v>
      </c>
      <c r="M72" s="49">
        <f>'Avg Week Sironko-Mbale'!M72+'Avg Week Mbale- Sironko'!M72</f>
        <v>16</v>
      </c>
      <c r="N72" s="49">
        <f>'Avg Week Sironko-Mbale'!N72+'Avg Week Mbale- Sironko'!N72</f>
        <v>0</v>
      </c>
      <c r="O72" s="15">
        <f t="shared" si="0"/>
        <v>8</v>
      </c>
      <c r="P72" s="15">
        <f t="shared" si="1"/>
        <v>24</v>
      </c>
      <c r="R72" s="8"/>
      <c r="T72"/>
    </row>
    <row r="73" spans="2:20" ht="23.1" customHeight="1" x14ac:dyDescent="0.25">
      <c r="B73" s="23" t="s">
        <v>113</v>
      </c>
      <c r="C73" s="49">
        <f>'Avg Week Sironko-Mbale'!C73+'Avg Week Mbale- Sironko'!C73</f>
        <v>3</v>
      </c>
      <c r="D73" s="49">
        <f>'Avg Week Sironko-Mbale'!D73+'Avg Week Mbale- Sironko'!D73</f>
        <v>0</v>
      </c>
      <c r="E73" s="49">
        <f>'Avg Week Sironko-Mbale'!E73+'Avg Week Mbale- Sironko'!E73</f>
        <v>2.5</v>
      </c>
      <c r="F73" s="49">
        <f>'Avg Week Sironko-Mbale'!F73+'Avg Week Mbale- Sironko'!F73</f>
        <v>0</v>
      </c>
      <c r="G73" s="49">
        <f>'Avg Week Sironko-Mbale'!G73+'Avg Week Mbale- Sironko'!G73</f>
        <v>0</v>
      </c>
      <c r="H73" s="49">
        <f>'Avg Week Sironko-Mbale'!H73+'Avg Week Mbale- Sironko'!H73</f>
        <v>0</v>
      </c>
      <c r="I73" s="49">
        <f>'Avg Week Sironko-Mbale'!I73+'Avg Week Mbale- Sironko'!I73</f>
        <v>1.5</v>
      </c>
      <c r="J73" s="49">
        <f>'Avg Week Sironko-Mbale'!J73+'Avg Week Mbale- Sironko'!J73</f>
        <v>0</v>
      </c>
      <c r="K73" s="49">
        <f>'Avg Week Sironko-Mbale'!K73+'Avg Week Mbale- Sironko'!K73</f>
        <v>0</v>
      </c>
      <c r="L73" s="49">
        <f>'Avg Week Sironko-Mbale'!L73+'Avg Week Mbale- Sironko'!L73</f>
        <v>0</v>
      </c>
      <c r="M73" s="49">
        <f>'Avg Week Sironko-Mbale'!M73+'Avg Week Mbale- Sironko'!M73</f>
        <v>6.5</v>
      </c>
      <c r="N73" s="49">
        <f>'Avg Week Sironko-Mbale'!N73+'Avg Week Mbale- Sironko'!N73</f>
        <v>0</v>
      </c>
      <c r="O73" s="15">
        <f t="shared" si="0"/>
        <v>7</v>
      </c>
      <c r="P73" s="15">
        <f t="shared" si="1"/>
        <v>13.5</v>
      </c>
      <c r="R73" s="8"/>
      <c r="T73"/>
    </row>
    <row r="74" spans="2:20" ht="23.1" customHeight="1" x14ac:dyDescent="0.25">
      <c r="B74" s="23" t="s">
        <v>114</v>
      </c>
      <c r="C74" s="49">
        <f>'Avg Week Sironko-Mbale'!C74+'Avg Week Mbale- Sironko'!C74</f>
        <v>1.5</v>
      </c>
      <c r="D74" s="49">
        <f>'Avg Week Sironko-Mbale'!D74+'Avg Week Mbale- Sironko'!D74</f>
        <v>0</v>
      </c>
      <c r="E74" s="49">
        <f>'Avg Week Sironko-Mbale'!E74+'Avg Week Mbale- Sironko'!E74</f>
        <v>0.5</v>
      </c>
      <c r="F74" s="49">
        <f>'Avg Week Sironko-Mbale'!F74+'Avg Week Mbale- Sironko'!F74</f>
        <v>0.5</v>
      </c>
      <c r="G74" s="49">
        <f>'Avg Week Sironko-Mbale'!G74+'Avg Week Mbale- Sironko'!G74</f>
        <v>0</v>
      </c>
      <c r="H74" s="49">
        <f>'Avg Week Sironko-Mbale'!H74+'Avg Week Mbale- Sironko'!H74</f>
        <v>0</v>
      </c>
      <c r="I74" s="49">
        <f>'Avg Week Sironko-Mbale'!I74+'Avg Week Mbale- Sironko'!I74</f>
        <v>4</v>
      </c>
      <c r="J74" s="49">
        <f>'Avg Week Sironko-Mbale'!J74+'Avg Week Mbale- Sironko'!J74</f>
        <v>0</v>
      </c>
      <c r="K74" s="49">
        <f>'Avg Week Sironko-Mbale'!K74+'Avg Week Mbale- Sironko'!K74</f>
        <v>0</v>
      </c>
      <c r="L74" s="49">
        <f>'Avg Week Sironko-Mbale'!L74+'Avg Week Mbale- Sironko'!L74</f>
        <v>0</v>
      </c>
      <c r="M74" s="49">
        <f>'Avg Week Sironko-Mbale'!M74+'Avg Week Mbale- Sironko'!M74</f>
        <v>6.5</v>
      </c>
      <c r="N74" s="49">
        <f>'Avg Week Sironko-Mbale'!N74+'Avg Week Mbale- Sironko'!N74</f>
        <v>0</v>
      </c>
      <c r="O74" s="15">
        <f t="shared" ref="O74:O105" si="35">SUM(C74:L74,N74)</f>
        <v>6.5</v>
      </c>
      <c r="P74" s="15">
        <f t="shared" ref="P74:P105" si="36">SUM(C74:N74)</f>
        <v>13</v>
      </c>
      <c r="R74" s="8"/>
      <c r="T74"/>
    </row>
    <row r="75" spans="2:20" ht="23.1" customHeight="1" x14ac:dyDescent="0.25">
      <c r="B75" s="23" t="s">
        <v>115</v>
      </c>
      <c r="C75" s="49">
        <f>'Avg Week Sironko-Mbale'!C75+'Avg Week Mbale- Sironko'!C75</f>
        <v>2.5</v>
      </c>
      <c r="D75" s="49">
        <f>'Avg Week Sironko-Mbale'!D75+'Avg Week Mbale- Sironko'!D75</f>
        <v>0.5</v>
      </c>
      <c r="E75" s="49">
        <f>'Avg Week Sironko-Mbale'!E75+'Avg Week Mbale- Sironko'!E75</f>
        <v>2.5</v>
      </c>
      <c r="F75" s="49">
        <f>'Avg Week Sironko-Mbale'!F75+'Avg Week Mbale- Sironko'!F75</f>
        <v>1.5</v>
      </c>
      <c r="G75" s="49">
        <f>'Avg Week Sironko-Mbale'!G75+'Avg Week Mbale- Sironko'!G75</f>
        <v>0</v>
      </c>
      <c r="H75" s="49">
        <f>'Avg Week Sironko-Mbale'!H75+'Avg Week Mbale- Sironko'!H75</f>
        <v>0</v>
      </c>
      <c r="I75" s="49">
        <f>'Avg Week Sironko-Mbale'!I75+'Avg Week Mbale- Sironko'!I75</f>
        <v>3</v>
      </c>
      <c r="J75" s="49">
        <f>'Avg Week Sironko-Mbale'!J75+'Avg Week Mbale- Sironko'!J75</f>
        <v>0</v>
      </c>
      <c r="K75" s="49">
        <f>'Avg Week Sironko-Mbale'!K75+'Avg Week Mbale- Sironko'!K75</f>
        <v>0</v>
      </c>
      <c r="L75" s="49">
        <f>'Avg Week Sironko-Mbale'!L75+'Avg Week Mbale- Sironko'!L75</f>
        <v>0</v>
      </c>
      <c r="M75" s="49">
        <f>'Avg Week Sironko-Mbale'!M75+'Avg Week Mbale- Sironko'!M75</f>
        <v>6</v>
      </c>
      <c r="N75" s="49">
        <f>'Avg Week Sironko-Mbale'!N75+'Avg Week Mbale- Sironko'!N75</f>
        <v>0</v>
      </c>
      <c r="O75" s="15">
        <f t="shared" si="35"/>
        <v>10</v>
      </c>
      <c r="P75" s="15">
        <f t="shared" si="36"/>
        <v>16</v>
      </c>
      <c r="R75" s="8"/>
      <c r="T75"/>
    </row>
    <row r="76" spans="2:20" ht="23.1" customHeight="1" x14ac:dyDescent="0.25">
      <c r="B76" s="23" t="s">
        <v>116</v>
      </c>
      <c r="C76" s="49">
        <f>'Avg Week Sironko-Mbale'!C76+'Avg Week Mbale- Sironko'!C76</f>
        <v>1</v>
      </c>
      <c r="D76" s="49">
        <f>'Avg Week Sironko-Mbale'!D76+'Avg Week Mbale- Sironko'!D76</f>
        <v>0</v>
      </c>
      <c r="E76" s="49">
        <f>'Avg Week Sironko-Mbale'!E76+'Avg Week Mbale- Sironko'!E76</f>
        <v>1.5</v>
      </c>
      <c r="F76" s="49">
        <f>'Avg Week Sironko-Mbale'!F76+'Avg Week Mbale- Sironko'!F76</f>
        <v>1</v>
      </c>
      <c r="G76" s="49">
        <f>'Avg Week Sironko-Mbale'!G76+'Avg Week Mbale- Sironko'!G76</f>
        <v>0</v>
      </c>
      <c r="H76" s="49">
        <f>'Avg Week Sironko-Mbale'!H76+'Avg Week Mbale- Sironko'!H76</f>
        <v>0</v>
      </c>
      <c r="I76" s="49">
        <f>'Avg Week Sironko-Mbale'!I76+'Avg Week Mbale- Sironko'!I76</f>
        <v>1</v>
      </c>
      <c r="J76" s="49">
        <f>'Avg Week Sironko-Mbale'!J76+'Avg Week Mbale- Sironko'!J76</f>
        <v>0</v>
      </c>
      <c r="K76" s="49">
        <f>'Avg Week Sironko-Mbale'!K76+'Avg Week Mbale- Sironko'!K76</f>
        <v>0.5</v>
      </c>
      <c r="L76" s="49">
        <f>'Avg Week Sironko-Mbale'!L76+'Avg Week Mbale- Sironko'!L76</f>
        <v>0</v>
      </c>
      <c r="M76" s="49">
        <f>'Avg Week Sironko-Mbale'!M76+'Avg Week Mbale- Sironko'!M76</f>
        <v>5</v>
      </c>
      <c r="N76" s="49">
        <f>'Avg Week Sironko-Mbale'!N76+'Avg Week Mbale- Sironko'!N76</f>
        <v>0</v>
      </c>
      <c r="O76" s="15">
        <f t="shared" si="35"/>
        <v>5</v>
      </c>
      <c r="P76" s="15">
        <f t="shared" si="36"/>
        <v>10</v>
      </c>
      <c r="R76" s="8"/>
      <c r="T76"/>
    </row>
    <row r="77" spans="2:20" ht="23.1" customHeight="1" x14ac:dyDescent="0.25">
      <c r="B77" s="23" t="s">
        <v>117</v>
      </c>
      <c r="C77" s="49">
        <f>'Avg Week Sironko-Mbale'!C77+'Avg Week Mbale- Sironko'!C77</f>
        <v>0.5</v>
      </c>
      <c r="D77" s="49">
        <f>'Avg Week Sironko-Mbale'!D77+'Avg Week Mbale- Sironko'!D77</f>
        <v>0</v>
      </c>
      <c r="E77" s="49">
        <f>'Avg Week Sironko-Mbale'!E77+'Avg Week Mbale- Sironko'!E77</f>
        <v>3.5</v>
      </c>
      <c r="F77" s="49">
        <f>'Avg Week Sironko-Mbale'!F77+'Avg Week Mbale- Sironko'!F77</f>
        <v>0</v>
      </c>
      <c r="G77" s="49">
        <f>'Avg Week Sironko-Mbale'!G77+'Avg Week Mbale- Sironko'!G77</f>
        <v>0</v>
      </c>
      <c r="H77" s="49">
        <f>'Avg Week Sironko-Mbale'!H77+'Avg Week Mbale- Sironko'!H77</f>
        <v>0</v>
      </c>
      <c r="I77" s="49">
        <f>'Avg Week Sironko-Mbale'!I77+'Avg Week Mbale- Sironko'!I77</f>
        <v>2</v>
      </c>
      <c r="J77" s="49">
        <f>'Avg Week Sironko-Mbale'!J77+'Avg Week Mbale- Sironko'!J77</f>
        <v>0</v>
      </c>
      <c r="K77" s="49">
        <f>'Avg Week Sironko-Mbale'!K77+'Avg Week Mbale- Sironko'!K77</f>
        <v>0</v>
      </c>
      <c r="L77" s="49">
        <f>'Avg Week Sironko-Mbale'!L77+'Avg Week Mbale- Sironko'!L77</f>
        <v>0</v>
      </c>
      <c r="M77" s="49">
        <f>'Avg Week Sironko-Mbale'!M77+'Avg Week Mbale- Sironko'!M77</f>
        <v>9</v>
      </c>
      <c r="N77" s="49">
        <f>'Avg Week Sironko-Mbale'!N77+'Avg Week Mbale- Sironko'!N77</f>
        <v>0</v>
      </c>
      <c r="O77" s="15">
        <f t="shared" si="35"/>
        <v>6</v>
      </c>
      <c r="P77" s="15">
        <f t="shared" si="36"/>
        <v>15</v>
      </c>
      <c r="R77" s="8"/>
      <c r="T77"/>
    </row>
    <row r="78" spans="2:20" ht="23.1" customHeight="1" x14ac:dyDescent="0.25">
      <c r="B78" s="24" t="s">
        <v>118</v>
      </c>
      <c r="C78" s="49">
        <f>'Avg Week Sironko-Mbale'!C78+'Avg Week Mbale- Sironko'!C78</f>
        <v>2</v>
      </c>
      <c r="D78" s="49">
        <f>'Avg Week Sironko-Mbale'!D78+'Avg Week Mbale- Sironko'!D78</f>
        <v>0</v>
      </c>
      <c r="E78" s="49">
        <f>'Avg Week Sironko-Mbale'!E78+'Avg Week Mbale- Sironko'!E78</f>
        <v>2</v>
      </c>
      <c r="F78" s="49">
        <f>'Avg Week Sironko-Mbale'!F78+'Avg Week Mbale- Sironko'!F78</f>
        <v>0.5</v>
      </c>
      <c r="G78" s="49">
        <f>'Avg Week Sironko-Mbale'!G78+'Avg Week Mbale- Sironko'!G78</f>
        <v>0</v>
      </c>
      <c r="H78" s="49">
        <f>'Avg Week Sironko-Mbale'!H78+'Avg Week Mbale- Sironko'!H78</f>
        <v>0</v>
      </c>
      <c r="I78" s="49">
        <f>'Avg Week Sironko-Mbale'!I78+'Avg Week Mbale- Sironko'!I78</f>
        <v>3.5</v>
      </c>
      <c r="J78" s="49">
        <f>'Avg Week Sironko-Mbale'!J78+'Avg Week Mbale- Sironko'!J78</f>
        <v>0</v>
      </c>
      <c r="K78" s="49">
        <f>'Avg Week Sironko-Mbale'!K78+'Avg Week Mbale- Sironko'!K78</f>
        <v>0</v>
      </c>
      <c r="L78" s="49">
        <f>'Avg Week Sironko-Mbale'!L78+'Avg Week Mbale- Sironko'!L78</f>
        <v>0</v>
      </c>
      <c r="M78" s="49">
        <f>'Avg Week Sironko-Mbale'!M78+'Avg Week Mbale- Sironko'!M78</f>
        <v>6</v>
      </c>
      <c r="N78" s="49">
        <f>'Avg Week Sironko-Mbale'!N78+'Avg Week Mbale- Sironko'!N78</f>
        <v>0</v>
      </c>
      <c r="O78" s="15">
        <f t="shared" si="35"/>
        <v>8</v>
      </c>
      <c r="P78" s="15">
        <f t="shared" si="36"/>
        <v>14</v>
      </c>
      <c r="R78" s="8"/>
      <c r="T78"/>
    </row>
    <row r="79" spans="2:20" ht="23.1" customHeight="1" x14ac:dyDescent="0.25">
      <c r="B79" s="23" t="s">
        <v>119</v>
      </c>
      <c r="C79" s="49">
        <f>'Avg Week Sironko-Mbale'!C79+'Avg Week Mbale- Sironko'!C79</f>
        <v>0.5</v>
      </c>
      <c r="D79" s="49">
        <f>'Avg Week Sironko-Mbale'!D79+'Avg Week Mbale- Sironko'!D79</f>
        <v>0</v>
      </c>
      <c r="E79" s="49">
        <f>'Avg Week Sironko-Mbale'!E79+'Avg Week Mbale- Sironko'!E79</f>
        <v>0.5</v>
      </c>
      <c r="F79" s="49">
        <f>'Avg Week Sironko-Mbale'!F79+'Avg Week Mbale- Sironko'!F79</f>
        <v>0</v>
      </c>
      <c r="G79" s="49">
        <f>'Avg Week Sironko-Mbale'!G79+'Avg Week Mbale- Sironko'!G79</f>
        <v>0</v>
      </c>
      <c r="H79" s="49">
        <f>'Avg Week Sironko-Mbale'!H79+'Avg Week Mbale- Sironko'!H79</f>
        <v>0</v>
      </c>
      <c r="I79" s="49">
        <f>'Avg Week Sironko-Mbale'!I79+'Avg Week Mbale- Sironko'!I79</f>
        <v>2</v>
      </c>
      <c r="J79" s="49">
        <f>'Avg Week Sironko-Mbale'!J79+'Avg Week Mbale- Sironko'!J79</f>
        <v>0</v>
      </c>
      <c r="K79" s="49">
        <f>'Avg Week Sironko-Mbale'!K79+'Avg Week Mbale- Sironko'!K79</f>
        <v>0</v>
      </c>
      <c r="L79" s="49">
        <f>'Avg Week Sironko-Mbale'!L79+'Avg Week Mbale- Sironko'!L79</f>
        <v>0</v>
      </c>
      <c r="M79" s="49">
        <f>'Avg Week Sironko-Mbale'!M79+'Avg Week Mbale- Sironko'!M79</f>
        <v>4</v>
      </c>
      <c r="N79" s="49">
        <f>'Avg Week Sironko-Mbale'!N79+'Avg Week Mbale- Sironko'!N79</f>
        <v>0</v>
      </c>
      <c r="O79" s="15">
        <f t="shared" si="35"/>
        <v>3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'Avg Week Sironko-Mbale'!C80+'Avg Week Mbale- Sironko'!C80</f>
        <v>0</v>
      </c>
      <c r="D80" s="49">
        <f>'Avg Week Sironko-Mbale'!D80+'Avg Week Mbale- Sironko'!D80</f>
        <v>0</v>
      </c>
      <c r="E80" s="49">
        <f>'Avg Week Sironko-Mbale'!E80+'Avg Week Mbale- Sironko'!E80</f>
        <v>0.5</v>
      </c>
      <c r="F80" s="49">
        <f>'Avg Week Sironko-Mbale'!F80+'Avg Week Mbale- Sironko'!F80</f>
        <v>0.5</v>
      </c>
      <c r="G80" s="49">
        <f>'Avg Week Sironko-Mbale'!G80+'Avg Week Mbale- Sironko'!G80</f>
        <v>0</v>
      </c>
      <c r="H80" s="49">
        <f>'Avg Week Sironko-Mbale'!H80+'Avg Week Mbale- Sironko'!H80</f>
        <v>0</v>
      </c>
      <c r="I80" s="49">
        <f>'Avg Week Sironko-Mbale'!I80+'Avg Week Mbale- Sironko'!I80</f>
        <v>1</v>
      </c>
      <c r="J80" s="49">
        <f>'Avg Week Sironko-Mbale'!J80+'Avg Week Mbale- Sironko'!J80</f>
        <v>0</v>
      </c>
      <c r="K80" s="49">
        <f>'Avg Week Sironko-Mbale'!K80+'Avg Week Mbale- Sironko'!K80</f>
        <v>0</v>
      </c>
      <c r="L80" s="49">
        <f>'Avg Week Sironko-Mbale'!L80+'Avg Week Mbale- Sironko'!L80</f>
        <v>0</v>
      </c>
      <c r="M80" s="49">
        <f>'Avg Week Sironko-Mbale'!M80+'Avg Week Mbale- Sironko'!M80</f>
        <v>2.5</v>
      </c>
      <c r="N80" s="49">
        <f>'Avg Week Sironko-Mbale'!N80+'Avg Week Mbale- Sironko'!N80</f>
        <v>0</v>
      </c>
      <c r="O80" s="15">
        <f t="shared" si="35"/>
        <v>2</v>
      </c>
      <c r="P80" s="15">
        <f t="shared" si="36"/>
        <v>4.5</v>
      </c>
      <c r="R80" s="8"/>
      <c r="T80"/>
    </row>
    <row r="81" spans="2:20" ht="23.1" customHeight="1" x14ac:dyDescent="0.25">
      <c r="B81" s="23" t="s">
        <v>121</v>
      </c>
      <c r="C81" s="49">
        <f>'Avg Week Sironko-Mbale'!C81+'Avg Week Mbale- Sironko'!C81</f>
        <v>1</v>
      </c>
      <c r="D81" s="49">
        <f>'Avg Week Sironko-Mbale'!D81+'Avg Week Mbale- Sironko'!D81</f>
        <v>0</v>
      </c>
      <c r="E81" s="49">
        <f>'Avg Week Sironko-Mbale'!E81+'Avg Week Mbale- Sironko'!E81</f>
        <v>1.5</v>
      </c>
      <c r="F81" s="49">
        <f>'Avg Week Sironko-Mbale'!F81+'Avg Week Mbale- Sironko'!F81</f>
        <v>0</v>
      </c>
      <c r="G81" s="49">
        <f>'Avg Week Sironko-Mbale'!G81+'Avg Week Mbale- Sironko'!G81</f>
        <v>0</v>
      </c>
      <c r="H81" s="49">
        <f>'Avg Week Sironko-Mbale'!H81+'Avg Week Mbale- Sironko'!H81</f>
        <v>0</v>
      </c>
      <c r="I81" s="49">
        <f>'Avg Week Sironko-Mbale'!I81+'Avg Week Mbale- Sironko'!I81</f>
        <v>3.5</v>
      </c>
      <c r="J81" s="49">
        <f>'Avg Week Sironko-Mbale'!J81+'Avg Week Mbale- Sironko'!J81</f>
        <v>0</v>
      </c>
      <c r="K81" s="49">
        <f>'Avg Week Sironko-Mbale'!K81+'Avg Week Mbale- Sironko'!K81</f>
        <v>0</v>
      </c>
      <c r="L81" s="49">
        <f>'Avg Week Sironko-Mbale'!L81+'Avg Week Mbale- Sironko'!L81</f>
        <v>0</v>
      </c>
      <c r="M81" s="49">
        <f>'Avg Week Sironko-Mbale'!M81+'Avg Week Mbale- Sironko'!M81</f>
        <v>2.5</v>
      </c>
      <c r="N81" s="49">
        <f>'Avg Week Sironko-Mbale'!N81+'Avg Week Mbale- Sironko'!N81</f>
        <v>0</v>
      </c>
      <c r="O81" s="15">
        <f t="shared" si="35"/>
        <v>6</v>
      </c>
      <c r="P81" s="15">
        <f t="shared" si="36"/>
        <v>8.5</v>
      </c>
      <c r="R81" s="8"/>
      <c r="T81"/>
    </row>
    <row r="82" spans="2:20" ht="23.1" customHeight="1" x14ac:dyDescent="0.25">
      <c r="B82" s="24" t="s">
        <v>122</v>
      </c>
      <c r="C82" s="49">
        <f>'Avg Week Sironko-Mbale'!C82+'Avg Week Mbale- Sironko'!C82</f>
        <v>0</v>
      </c>
      <c r="D82" s="49">
        <f>'Avg Week Sironko-Mbale'!D82+'Avg Week Mbale- Sironko'!D82</f>
        <v>0</v>
      </c>
      <c r="E82" s="49">
        <f>'Avg Week Sironko-Mbale'!E82+'Avg Week Mbale- Sironko'!E82</f>
        <v>1.5</v>
      </c>
      <c r="F82" s="49">
        <f>'Avg Week Sironko-Mbale'!F82+'Avg Week Mbale- Sironko'!F82</f>
        <v>0</v>
      </c>
      <c r="G82" s="49">
        <f>'Avg Week Sironko-Mbale'!G82+'Avg Week Mbale- Sironko'!G82</f>
        <v>0</v>
      </c>
      <c r="H82" s="49">
        <f>'Avg Week Sironko-Mbale'!H82+'Avg Week Mbale- Sironko'!H82</f>
        <v>0</v>
      </c>
      <c r="I82" s="49">
        <f>'Avg Week Sironko-Mbale'!I82+'Avg Week Mbale- Sironko'!I82</f>
        <v>2.5</v>
      </c>
      <c r="J82" s="49">
        <f>'Avg Week Sironko-Mbale'!J82+'Avg Week Mbale- Sironko'!J82</f>
        <v>0</v>
      </c>
      <c r="K82" s="49">
        <f>'Avg Week Sironko-Mbale'!K82+'Avg Week Mbale- Sironko'!K82</f>
        <v>0</v>
      </c>
      <c r="L82" s="49">
        <f>'Avg Week Sironko-Mbale'!L82+'Avg Week Mbale- Sironko'!L82</f>
        <v>0</v>
      </c>
      <c r="M82" s="49">
        <f>'Avg Week Sironko-Mbale'!M82+'Avg Week Mbale- Sironko'!M82</f>
        <v>2</v>
      </c>
      <c r="N82" s="49">
        <f>'Avg Week Sironko-Mbale'!N82+'Avg Week Mbale- Sironko'!N82</f>
        <v>0</v>
      </c>
      <c r="O82" s="15">
        <f t="shared" si="35"/>
        <v>4</v>
      </c>
      <c r="P82" s="15">
        <f t="shared" si="36"/>
        <v>6</v>
      </c>
      <c r="R82" s="8"/>
      <c r="T82"/>
    </row>
    <row r="83" spans="2:20" ht="23.1" customHeight="1" x14ac:dyDescent="0.25">
      <c r="B83" s="23" t="s">
        <v>123</v>
      </c>
      <c r="C83" s="49">
        <f>'Avg Week Sironko-Mbale'!C83+'Avg Week Mbale- Sironko'!C83</f>
        <v>0</v>
      </c>
      <c r="D83" s="49">
        <f>'Avg Week Sironko-Mbale'!D83+'Avg Week Mbale- Sironko'!D83</f>
        <v>0</v>
      </c>
      <c r="E83" s="49">
        <f>'Avg Week Sironko-Mbale'!E83+'Avg Week Mbale- Sironko'!E83</f>
        <v>2</v>
      </c>
      <c r="F83" s="49">
        <f>'Avg Week Sironko-Mbale'!F83+'Avg Week Mbale- Sironko'!F83</f>
        <v>0</v>
      </c>
      <c r="G83" s="49">
        <f>'Avg Week Sironko-Mbale'!G83+'Avg Week Mbale- Sironko'!G83</f>
        <v>0</v>
      </c>
      <c r="H83" s="49">
        <f>'Avg Week Sironko-Mbale'!H83+'Avg Week Mbale- Sironko'!H83</f>
        <v>0</v>
      </c>
      <c r="I83" s="49">
        <f>'Avg Week Sironko-Mbale'!I83+'Avg Week Mbale- Sironko'!I83</f>
        <v>1</v>
      </c>
      <c r="J83" s="49">
        <f>'Avg Week Sironko-Mbale'!J83+'Avg Week Mbale- Sironko'!J83</f>
        <v>0</v>
      </c>
      <c r="K83" s="49">
        <f>'Avg Week Sironko-Mbale'!K83+'Avg Week Mbale- Sironko'!K83</f>
        <v>0</v>
      </c>
      <c r="L83" s="49">
        <f>'Avg Week Sironko-Mbale'!L83+'Avg Week Mbale- Sironko'!L83</f>
        <v>0</v>
      </c>
      <c r="M83" s="49">
        <f>'Avg Week Sironko-Mbale'!M83+'Avg Week Mbale- Sironko'!M83</f>
        <v>2</v>
      </c>
      <c r="N83" s="49">
        <f>'Avg Week Sironko-Mbale'!N83+'Avg Week Mbale- Sironko'!N83</f>
        <v>0</v>
      </c>
      <c r="O83" s="15">
        <f t="shared" si="35"/>
        <v>3</v>
      </c>
      <c r="P83" s="15">
        <f t="shared" si="36"/>
        <v>5</v>
      </c>
      <c r="R83" s="8"/>
      <c r="T83"/>
    </row>
    <row r="84" spans="2:20" ht="23.1" customHeight="1" x14ac:dyDescent="0.25">
      <c r="B84" s="25" t="s">
        <v>124</v>
      </c>
      <c r="C84" s="49">
        <f>'Avg Week Sironko-Mbale'!C84+'Avg Week Mbale- Sironko'!C84</f>
        <v>0</v>
      </c>
      <c r="D84" s="49">
        <f>'Avg Week Sironko-Mbale'!D84+'Avg Week Mbale- Sironko'!D84</f>
        <v>0</v>
      </c>
      <c r="E84" s="49">
        <f>'Avg Week Sironko-Mbale'!E84+'Avg Week Mbale- Sironko'!E84</f>
        <v>2.5</v>
      </c>
      <c r="F84" s="49">
        <f>'Avg Week Sironko-Mbale'!F84+'Avg Week Mbale- Sironko'!F84</f>
        <v>0</v>
      </c>
      <c r="G84" s="49">
        <f>'Avg Week Sironko-Mbale'!G84+'Avg Week Mbale- Sironko'!G84</f>
        <v>0</v>
      </c>
      <c r="H84" s="49">
        <f>'Avg Week Sironko-Mbale'!H84+'Avg Week Mbale- Sironko'!H84</f>
        <v>0</v>
      </c>
      <c r="I84" s="49">
        <f>'Avg Week Sironko-Mbale'!I84+'Avg Week Mbale- Sironko'!I84</f>
        <v>1</v>
      </c>
      <c r="J84" s="49">
        <f>'Avg Week Sironko-Mbale'!J84+'Avg Week Mbale- Sironko'!J84</f>
        <v>0</v>
      </c>
      <c r="K84" s="49">
        <f>'Avg Week Sironko-Mbale'!K84+'Avg Week Mbale- Sironko'!K84</f>
        <v>0</v>
      </c>
      <c r="L84" s="49">
        <f>'Avg Week Sironko-Mbale'!L84+'Avg Week Mbale- Sironko'!L84</f>
        <v>0</v>
      </c>
      <c r="M84" s="49">
        <f>'Avg Week Sironko-Mbale'!M84+'Avg Week Mbale- Sironko'!M84</f>
        <v>3</v>
      </c>
      <c r="N84" s="49">
        <f>'Avg Week Sironko-Mbale'!N84+'Avg Week Mbale- Sironko'!N84</f>
        <v>0</v>
      </c>
      <c r="O84" s="15">
        <f t="shared" si="35"/>
        <v>3.5</v>
      </c>
      <c r="P84" s="15">
        <f t="shared" si="36"/>
        <v>6.5</v>
      </c>
      <c r="R84" s="8"/>
      <c r="T84"/>
    </row>
    <row r="85" spans="2:20" ht="23.1" customHeight="1" x14ac:dyDescent="0.25">
      <c r="B85" s="23" t="s">
        <v>125</v>
      </c>
      <c r="C85" s="49">
        <f>'Avg Week Sironko-Mbale'!C85+'Avg Week Mbale- Sironko'!C85</f>
        <v>0</v>
      </c>
      <c r="D85" s="49">
        <f>'Avg Week Sironko-Mbale'!D85+'Avg Week Mbale- Sironko'!D85</f>
        <v>0</v>
      </c>
      <c r="E85" s="49">
        <f>'Avg Week Sironko-Mbale'!E85+'Avg Week Mbale- Sironko'!E85</f>
        <v>2.5</v>
      </c>
      <c r="F85" s="49">
        <f>'Avg Week Sironko-Mbale'!F85+'Avg Week Mbale- Sironko'!F85</f>
        <v>0</v>
      </c>
      <c r="G85" s="49">
        <f>'Avg Week Sironko-Mbale'!G85+'Avg Week Mbale- Sironko'!G85</f>
        <v>0</v>
      </c>
      <c r="H85" s="49">
        <f>'Avg Week Sironko-Mbale'!H85+'Avg Week Mbale- Sironko'!H85</f>
        <v>0</v>
      </c>
      <c r="I85" s="49">
        <f>'Avg Week Sironko-Mbale'!I85+'Avg Week Mbale- Sironko'!I85</f>
        <v>2</v>
      </c>
      <c r="J85" s="49">
        <f>'Avg Week Sironko-Mbale'!J85+'Avg Week Mbale- Sironko'!J85</f>
        <v>0</v>
      </c>
      <c r="K85" s="49">
        <f>'Avg Week Sironko-Mbale'!K85+'Avg Week Mbale- Sironko'!K85</f>
        <v>0</v>
      </c>
      <c r="L85" s="49">
        <f>'Avg Week Sironko-Mbale'!L85+'Avg Week Mbale- Sironko'!L85</f>
        <v>0</v>
      </c>
      <c r="M85" s="49">
        <f>'Avg Week Sironko-Mbale'!M85+'Avg Week Mbale- Sironko'!M85</f>
        <v>2.5</v>
      </c>
      <c r="N85" s="49">
        <f>'Avg Week Sironko-Mbale'!N85+'Avg Week Mbale- Sironko'!N85</f>
        <v>0</v>
      </c>
      <c r="O85" s="15">
        <f t="shared" si="35"/>
        <v>4.5</v>
      </c>
      <c r="P85" s="15">
        <f t="shared" si="36"/>
        <v>7</v>
      </c>
      <c r="R85" s="8"/>
      <c r="T85"/>
    </row>
    <row r="86" spans="2:20" ht="23.1" customHeight="1" x14ac:dyDescent="0.25">
      <c r="B86" s="24" t="s">
        <v>126</v>
      </c>
      <c r="C86" s="49">
        <f>'Avg Week Sironko-Mbale'!C86+'Avg Week Mbale- Sironko'!C86</f>
        <v>0</v>
      </c>
      <c r="D86" s="49">
        <f>'Avg Week Sironko-Mbale'!D86+'Avg Week Mbale- Sironko'!D86</f>
        <v>0</v>
      </c>
      <c r="E86" s="49">
        <f>'Avg Week Sironko-Mbale'!E86+'Avg Week Mbale- Sironko'!E86</f>
        <v>2.5</v>
      </c>
      <c r="F86" s="49">
        <f>'Avg Week Sironko-Mbale'!F86+'Avg Week Mbale- Sironko'!F86</f>
        <v>0</v>
      </c>
      <c r="G86" s="49">
        <f>'Avg Week Sironko-Mbale'!G86+'Avg Week Mbale- Sironko'!G86</f>
        <v>0</v>
      </c>
      <c r="H86" s="49">
        <f>'Avg Week Sironko-Mbale'!H86+'Avg Week Mbale- Sironko'!H86</f>
        <v>0</v>
      </c>
      <c r="I86" s="49">
        <f>'Avg Week Sironko-Mbale'!I86+'Avg Week Mbale- Sironko'!I86</f>
        <v>1.5</v>
      </c>
      <c r="J86" s="49">
        <f>'Avg Week Sironko-Mbale'!J86+'Avg Week Mbale- Sironko'!J86</f>
        <v>0</v>
      </c>
      <c r="K86" s="49">
        <f>'Avg Week Sironko-Mbale'!K86+'Avg Week Mbale- Sironko'!K86</f>
        <v>0</v>
      </c>
      <c r="L86" s="49">
        <f>'Avg Week Sironko-Mbale'!L86+'Avg Week Mbale- Sironko'!L86</f>
        <v>0</v>
      </c>
      <c r="M86" s="49">
        <f>'Avg Week Sironko-Mbale'!M86+'Avg Week Mbale- Sironko'!M86</f>
        <v>2.5</v>
      </c>
      <c r="N86" s="49">
        <f>'Avg Week Sironko-Mbale'!N86+'Avg Week Mbale- Sironko'!N86</f>
        <v>0</v>
      </c>
      <c r="O86" s="15">
        <f t="shared" si="35"/>
        <v>4</v>
      </c>
      <c r="P86" s="15">
        <f t="shared" si="36"/>
        <v>6.5</v>
      </c>
      <c r="R86" s="8"/>
      <c r="T86"/>
    </row>
    <row r="87" spans="2:20" ht="23.1" customHeight="1" x14ac:dyDescent="0.25">
      <c r="B87" s="23" t="s">
        <v>127</v>
      </c>
      <c r="C87" s="49">
        <f>'Avg Week Sironko-Mbale'!C87+'Avg Week Mbale- Sironko'!C87</f>
        <v>1</v>
      </c>
      <c r="D87" s="49">
        <f>'Avg Week Sironko-Mbale'!D87+'Avg Week Mbale- Sironko'!D87</f>
        <v>0</v>
      </c>
      <c r="E87" s="49">
        <f>'Avg Week Sironko-Mbale'!E87+'Avg Week Mbale- Sironko'!E87</f>
        <v>1</v>
      </c>
      <c r="F87" s="49">
        <f>'Avg Week Sironko-Mbale'!F87+'Avg Week Mbale- Sironko'!F87</f>
        <v>0</v>
      </c>
      <c r="G87" s="49">
        <f>'Avg Week Sironko-Mbale'!G87+'Avg Week Mbale- Sironko'!G87</f>
        <v>0</v>
      </c>
      <c r="H87" s="49">
        <f>'Avg Week Sironko-Mbale'!H87+'Avg Week Mbale- Sironko'!H87</f>
        <v>0</v>
      </c>
      <c r="I87" s="49">
        <f>'Avg Week Sironko-Mbale'!I87+'Avg Week Mbale- Sironko'!I87</f>
        <v>1</v>
      </c>
      <c r="J87" s="49">
        <f>'Avg Week Sironko-Mbale'!J87+'Avg Week Mbale- Sironko'!J87</f>
        <v>0</v>
      </c>
      <c r="K87" s="49">
        <f>'Avg Week Sironko-Mbale'!K87+'Avg Week Mbale- Sironko'!K87</f>
        <v>0</v>
      </c>
      <c r="L87" s="49">
        <f>'Avg Week Sironko-Mbale'!L87+'Avg Week Mbale- Sironko'!L87</f>
        <v>0</v>
      </c>
      <c r="M87" s="49">
        <f>'Avg Week Sironko-Mbale'!M87+'Avg Week Mbale- Sironko'!M87</f>
        <v>2.5</v>
      </c>
      <c r="N87" s="49">
        <f>'Avg Week Sironko-Mbale'!N87+'Avg Week Mbale- Sironko'!N87</f>
        <v>0</v>
      </c>
      <c r="O87" s="15">
        <f t="shared" si="35"/>
        <v>3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'Avg Week Sironko-Mbale'!C88+'Avg Week Mbale- Sironko'!C88</f>
        <v>0</v>
      </c>
      <c r="D88" s="49">
        <f>'Avg Week Sironko-Mbale'!D88+'Avg Week Mbale- Sironko'!D88</f>
        <v>0</v>
      </c>
      <c r="E88" s="49">
        <f>'Avg Week Sironko-Mbale'!E88+'Avg Week Mbale- Sironko'!E88</f>
        <v>1.5</v>
      </c>
      <c r="F88" s="49">
        <f>'Avg Week Sironko-Mbale'!F88+'Avg Week Mbale- Sironko'!F88</f>
        <v>0</v>
      </c>
      <c r="G88" s="49">
        <f>'Avg Week Sironko-Mbale'!G88+'Avg Week Mbale- Sironko'!G88</f>
        <v>0</v>
      </c>
      <c r="H88" s="49">
        <f>'Avg Week Sironko-Mbale'!H88+'Avg Week Mbale- Sironko'!H88</f>
        <v>0</v>
      </c>
      <c r="I88" s="49">
        <f>'Avg Week Sironko-Mbale'!I88+'Avg Week Mbale- Sironko'!I88</f>
        <v>2</v>
      </c>
      <c r="J88" s="49">
        <f>'Avg Week Sironko-Mbale'!J88+'Avg Week Mbale- Sironko'!J88</f>
        <v>0</v>
      </c>
      <c r="K88" s="49">
        <f>'Avg Week Sironko-Mbale'!K88+'Avg Week Mbale- Sironko'!K88</f>
        <v>0</v>
      </c>
      <c r="L88" s="49">
        <f>'Avg Week Sironko-Mbale'!L88+'Avg Week Mbale- Sironko'!L88</f>
        <v>0</v>
      </c>
      <c r="M88" s="49">
        <f>'Avg Week Sironko-Mbale'!M88+'Avg Week Mbale- Sironko'!M88</f>
        <v>3.5</v>
      </c>
      <c r="N88" s="49">
        <f>'Avg Week Sironko-Mbale'!N88+'Avg Week Mbale- Sironko'!N88</f>
        <v>0</v>
      </c>
      <c r="O88" s="15">
        <f t="shared" si="35"/>
        <v>3.5</v>
      </c>
      <c r="P88" s="15">
        <f t="shared" si="36"/>
        <v>7</v>
      </c>
      <c r="R88" s="8"/>
      <c r="T88"/>
    </row>
    <row r="89" spans="2:20" ht="23.1" customHeight="1" x14ac:dyDescent="0.25">
      <c r="B89" s="23" t="s">
        <v>129</v>
      </c>
      <c r="C89" s="49">
        <f>'Avg Week Sironko-Mbale'!C89+'Avg Week Mbale- Sironko'!C89</f>
        <v>0</v>
      </c>
      <c r="D89" s="49">
        <f>'Avg Week Sironko-Mbale'!D89+'Avg Week Mbale- Sironko'!D89</f>
        <v>0</v>
      </c>
      <c r="E89" s="49">
        <f>'Avg Week Sironko-Mbale'!E89+'Avg Week Mbale- Sironko'!E89</f>
        <v>0.5</v>
      </c>
      <c r="F89" s="49">
        <f>'Avg Week Sironko-Mbale'!F89+'Avg Week Mbale- Sironko'!F89</f>
        <v>0</v>
      </c>
      <c r="G89" s="49">
        <f>'Avg Week Sironko-Mbale'!G89+'Avg Week Mbale- Sironko'!G89</f>
        <v>0</v>
      </c>
      <c r="H89" s="49">
        <f>'Avg Week Sironko-Mbale'!H89+'Avg Week Mbale- Sironko'!H89</f>
        <v>0</v>
      </c>
      <c r="I89" s="49">
        <f>'Avg Week Sironko-Mbale'!I89+'Avg Week Mbale- Sironko'!I89</f>
        <v>2.5</v>
      </c>
      <c r="J89" s="49">
        <f>'Avg Week Sironko-Mbale'!J89+'Avg Week Mbale- Sironko'!J89</f>
        <v>0.5</v>
      </c>
      <c r="K89" s="49">
        <f>'Avg Week Sironko-Mbale'!K89+'Avg Week Mbale- Sironko'!K89</f>
        <v>0</v>
      </c>
      <c r="L89" s="49">
        <f>'Avg Week Sironko-Mbale'!L89+'Avg Week Mbale- Sironko'!L89</f>
        <v>0</v>
      </c>
      <c r="M89" s="49">
        <f>'Avg Week Sironko-Mbale'!M89+'Avg Week Mbale- Sironko'!M89</f>
        <v>1.5</v>
      </c>
      <c r="N89" s="49">
        <f>'Avg Week Sironko-Mbale'!N89+'Avg Week Mbale- Sironko'!N89</f>
        <v>0</v>
      </c>
      <c r="O89" s="15">
        <f t="shared" si="35"/>
        <v>3.5</v>
      </c>
      <c r="P89" s="15">
        <f t="shared" si="36"/>
        <v>5</v>
      </c>
      <c r="R89" s="8"/>
      <c r="T89"/>
    </row>
    <row r="90" spans="2:20" ht="23.1" customHeight="1" x14ac:dyDescent="0.25">
      <c r="B90" s="24" t="s">
        <v>130</v>
      </c>
      <c r="C90" s="49">
        <f>'Avg Week Sironko-Mbale'!C90+'Avg Week Mbale- Sironko'!C90</f>
        <v>0</v>
      </c>
      <c r="D90" s="49">
        <f>'Avg Week Sironko-Mbale'!D90+'Avg Week Mbale- Sironko'!D90</f>
        <v>0</v>
      </c>
      <c r="E90" s="49">
        <f>'Avg Week Sironko-Mbale'!E90+'Avg Week Mbale- Sironko'!E90</f>
        <v>0</v>
      </c>
      <c r="F90" s="49">
        <f>'Avg Week Sironko-Mbale'!F90+'Avg Week Mbale- Sironko'!F90</f>
        <v>0</v>
      </c>
      <c r="G90" s="49">
        <f>'Avg Week Sironko-Mbale'!G90+'Avg Week Mbale- Sironko'!G90</f>
        <v>0</v>
      </c>
      <c r="H90" s="49">
        <f>'Avg Week Sironko-Mbale'!H90+'Avg Week Mbale- Sironko'!H90</f>
        <v>0</v>
      </c>
      <c r="I90" s="49">
        <f>'Avg Week Sironko-Mbale'!I90+'Avg Week Mbale- Sironko'!I90</f>
        <v>1</v>
      </c>
      <c r="J90" s="49">
        <f>'Avg Week Sironko-Mbale'!J90+'Avg Week Mbale- Sironko'!J90</f>
        <v>0</v>
      </c>
      <c r="K90" s="49">
        <f>'Avg Week Sironko-Mbale'!K90+'Avg Week Mbale- Sironko'!K90</f>
        <v>0</v>
      </c>
      <c r="L90" s="49">
        <f>'Avg Week Sironko-Mbale'!L90+'Avg Week Mbale- Sironko'!L90</f>
        <v>0</v>
      </c>
      <c r="M90" s="49">
        <f>'Avg Week Sironko-Mbale'!M90+'Avg Week Mbale- Sironko'!M90</f>
        <v>0</v>
      </c>
      <c r="N90" s="49">
        <f>'Avg Week Sironko-Mbale'!N90+'Avg Week Mbale- Sironko'!N90</f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23" t="s">
        <v>131</v>
      </c>
      <c r="C91" s="49">
        <f>'Avg Week Sironko-Mbale'!C91+'Avg Week Mbale- Sironko'!C91</f>
        <v>0</v>
      </c>
      <c r="D91" s="49">
        <f>'Avg Week Sironko-Mbale'!D91+'Avg Week Mbale- Sironko'!D91</f>
        <v>0</v>
      </c>
      <c r="E91" s="49">
        <f>'Avg Week Sironko-Mbale'!E91+'Avg Week Mbale- Sironko'!E91</f>
        <v>0.5</v>
      </c>
      <c r="F91" s="49">
        <f>'Avg Week Sironko-Mbale'!F91+'Avg Week Mbale- Sironko'!F91</f>
        <v>0</v>
      </c>
      <c r="G91" s="49">
        <f>'Avg Week Sironko-Mbale'!G91+'Avg Week Mbale- Sironko'!G91</f>
        <v>0</v>
      </c>
      <c r="H91" s="49">
        <f>'Avg Week Sironko-Mbale'!H91+'Avg Week Mbale- Sironko'!H91</f>
        <v>0</v>
      </c>
      <c r="I91" s="49">
        <f>'Avg Week Sironko-Mbale'!I91+'Avg Week Mbale- Sironko'!I91</f>
        <v>0.5</v>
      </c>
      <c r="J91" s="49">
        <f>'Avg Week Sironko-Mbale'!J91+'Avg Week Mbale- Sironko'!J91</f>
        <v>0</v>
      </c>
      <c r="K91" s="49">
        <f>'Avg Week Sironko-Mbale'!K91+'Avg Week Mbale- Sironko'!K91</f>
        <v>0</v>
      </c>
      <c r="L91" s="49">
        <f>'Avg Week Sironko-Mbale'!L91+'Avg Week Mbale- Sironko'!L91</f>
        <v>0</v>
      </c>
      <c r="M91" s="49">
        <f>'Avg Week Sironko-Mbale'!M91+'Avg Week Mbale- Sironko'!M91</f>
        <v>0</v>
      </c>
      <c r="N91" s="49">
        <f>'Avg Week Sironko-Mbale'!N91+'Avg Week Mbale- Sironko'!N91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'Avg Week Sironko-Mbale'!C92+'Avg Week Mbale- Sironko'!C92</f>
        <v>0.5</v>
      </c>
      <c r="D92" s="49">
        <f>'Avg Week Sironko-Mbale'!D92+'Avg Week Mbale- Sironko'!D92</f>
        <v>0</v>
      </c>
      <c r="E92" s="49">
        <f>'Avg Week Sironko-Mbale'!E92+'Avg Week Mbale- Sironko'!E92</f>
        <v>2</v>
      </c>
      <c r="F92" s="49">
        <f>'Avg Week Sironko-Mbale'!F92+'Avg Week Mbale- Sironko'!F92</f>
        <v>0</v>
      </c>
      <c r="G92" s="49">
        <f>'Avg Week Sironko-Mbale'!G92+'Avg Week Mbale- Sironko'!G92</f>
        <v>0</v>
      </c>
      <c r="H92" s="49">
        <f>'Avg Week Sironko-Mbale'!H92+'Avg Week Mbale- Sironko'!H92</f>
        <v>0</v>
      </c>
      <c r="I92" s="49">
        <f>'Avg Week Sironko-Mbale'!I92+'Avg Week Mbale- Sironko'!I92</f>
        <v>1</v>
      </c>
      <c r="J92" s="49">
        <f>'Avg Week Sironko-Mbale'!J92+'Avg Week Mbale- Sironko'!J92</f>
        <v>0</v>
      </c>
      <c r="K92" s="49">
        <f>'Avg Week Sironko-Mbale'!K92+'Avg Week Mbale- Sironko'!K92</f>
        <v>0</v>
      </c>
      <c r="L92" s="49">
        <f>'Avg Week Sironko-Mbale'!L92+'Avg Week Mbale- Sironko'!L92</f>
        <v>0</v>
      </c>
      <c r="M92" s="49">
        <f>'Avg Week Sironko-Mbale'!M92+'Avg Week Mbale- Sironko'!M92</f>
        <v>1</v>
      </c>
      <c r="N92" s="49">
        <f>'Avg Week Sironko-Mbale'!N92+'Avg Week Mbale- Sironko'!N92</f>
        <v>0</v>
      </c>
      <c r="O92" s="15">
        <f t="shared" si="35"/>
        <v>3.5</v>
      </c>
      <c r="P92" s="15">
        <f t="shared" si="36"/>
        <v>4.5</v>
      </c>
      <c r="R92" s="8"/>
      <c r="T92"/>
    </row>
    <row r="93" spans="2:20" ht="23.1" customHeight="1" x14ac:dyDescent="0.25">
      <c r="B93" s="23" t="s">
        <v>133</v>
      </c>
      <c r="C93" s="49">
        <f>'Avg Week Sironko-Mbale'!C93+'Avg Week Mbale- Sironko'!C93</f>
        <v>0</v>
      </c>
      <c r="D93" s="49">
        <f>'Avg Week Sironko-Mbale'!D93+'Avg Week Mbale- Sironko'!D93</f>
        <v>0</v>
      </c>
      <c r="E93" s="49">
        <f>'Avg Week Sironko-Mbale'!E93+'Avg Week Mbale- Sironko'!E93</f>
        <v>2.5</v>
      </c>
      <c r="F93" s="49">
        <f>'Avg Week Sironko-Mbale'!F93+'Avg Week Mbale- Sironko'!F93</f>
        <v>0</v>
      </c>
      <c r="G93" s="49">
        <f>'Avg Week Sironko-Mbale'!G93+'Avg Week Mbale- Sironko'!G93</f>
        <v>0</v>
      </c>
      <c r="H93" s="49">
        <f>'Avg Week Sironko-Mbale'!H93+'Avg Week Mbale- Sironko'!H93</f>
        <v>0</v>
      </c>
      <c r="I93" s="49">
        <f>'Avg Week Sironko-Mbale'!I93+'Avg Week Mbale- Sironko'!I93</f>
        <v>2</v>
      </c>
      <c r="J93" s="49">
        <f>'Avg Week Sironko-Mbale'!J93+'Avg Week Mbale- Sironko'!J93</f>
        <v>0</v>
      </c>
      <c r="K93" s="49">
        <f>'Avg Week Sironko-Mbale'!K93+'Avg Week Mbale- Sironko'!K93</f>
        <v>0</v>
      </c>
      <c r="L93" s="49">
        <f>'Avg Week Sironko-Mbale'!L93+'Avg Week Mbale- Sironko'!L93</f>
        <v>0</v>
      </c>
      <c r="M93" s="49">
        <f>'Avg Week Sironko-Mbale'!M93+'Avg Week Mbale- Sironko'!M93</f>
        <v>3.5</v>
      </c>
      <c r="N93" s="49">
        <f>'Avg Week Sironko-Mbale'!N93+'Avg Week Mbale- Sironko'!N93</f>
        <v>0</v>
      </c>
      <c r="O93" s="15">
        <f t="shared" si="35"/>
        <v>4.5</v>
      </c>
      <c r="P93" s="15">
        <f t="shared" si="36"/>
        <v>8</v>
      </c>
      <c r="R93" s="8"/>
      <c r="T93"/>
    </row>
    <row r="94" spans="2:20" ht="23.1" customHeight="1" x14ac:dyDescent="0.25">
      <c r="B94" s="24" t="s">
        <v>134</v>
      </c>
      <c r="C94" s="49">
        <f>'Avg Week Sironko-Mbale'!C94+'Avg Week Mbale- Sironko'!C94</f>
        <v>0</v>
      </c>
      <c r="D94" s="49">
        <f>'Avg Week Sironko-Mbale'!D94+'Avg Week Mbale- Sironko'!D94</f>
        <v>0</v>
      </c>
      <c r="E94" s="49">
        <f>'Avg Week Sironko-Mbale'!E94+'Avg Week Mbale- Sironko'!E94</f>
        <v>1</v>
      </c>
      <c r="F94" s="49">
        <f>'Avg Week Sironko-Mbale'!F94+'Avg Week Mbale- Sironko'!F94</f>
        <v>0</v>
      </c>
      <c r="G94" s="49">
        <f>'Avg Week Sironko-Mbale'!G94+'Avg Week Mbale- Sironko'!G94</f>
        <v>0</v>
      </c>
      <c r="H94" s="49">
        <f>'Avg Week Sironko-Mbale'!H94+'Avg Week Mbale- Sironko'!H94</f>
        <v>0</v>
      </c>
      <c r="I94" s="49">
        <f>'Avg Week Sironko-Mbale'!I94+'Avg Week Mbale- Sironko'!I94</f>
        <v>1.5</v>
      </c>
      <c r="J94" s="49">
        <f>'Avg Week Sironko-Mbale'!J94+'Avg Week Mbale- Sironko'!J94</f>
        <v>0</v>
      </c>
      <c r="K94" s="49">
        <f>'Avg Week Sironko-Mbale'!K94+'Avg Week Mbale- Sironko'!K94</f>
        <v>0</v>
      </c>
      <c r="L94" s="49">
        <f>'Avg Week Sironko-Mbale'!L94+'Avg Week Mbale- Sironko'!L94</f>
        <v>0</v>
      </c>
      <c r="M94" s="49">
        <f>'Avg Week Sironko-Mbale'!M94+'Avg Week Mbale- Sironko'!M94</f>
        <v>1.5</v>
      </c>
      <c r="N94" s="49">
        <f>'Avg Week Sironko-Mbale'!N94+'Avg Week Mbale- Sironko'!N94</f>
        <v>0</v>
      </c>
      <c r="O94" s="15">
        <f t="shared" si="35"/>
        <v>2.5</v>
      </c>
      <c r="P94" s="15">
        <f t="shared" si="36"/>
        <v>4</v>
      </c>
      <c r="R94" s="8"/>
      <c r="T94"/>
    </row>
    <row r="95" spans="2:20" ht="23.1" customHeight="1" x14ac:dyDescent="0.25">
      <c r="B95" s="23" t="s">
        <v>135</v>
      </c>
      <c r="C95" s="49">
        <f>'Avg Week Sironko-Mbale'!C95+'Avg Week Mbale- Sironko'!C95</f>
        <v>0</v>
      </c>
      <c r="D95" s="49">
        <f>'Avg Week Sironko-Mbale'!D95+'Avg Week Mbale- Sironko'!D95</f>
        <v>0</v>
      </c>
      <c r="E95" s="49">
        <f>'Avg Week Sironko-Mbale'!E95+'Avg Week Mbale- Sironko'!E95</f>
        <v>0</v>
      </c>
      <c r="F95" s="49">
        <f>'Avg Week Sironko-Mbale'!F95+'Avg Week Mbale- Sironko'!F95</f>
        <v>0</v>
      </c>
      <c r="G95" s="49">
        <f>'Avg Week Sironko-Mbale'!G95+'Avg Week Mbale- Sironko'!G95</f>
        <v>0</v>
      </c>
      <c r="H95" s="49">
        <f>'Avg Week Sironko-Mbale'!H95+'Avg Week Mbale- Sironko'!H95</f>
        <v>0</v>
      </c>
      <c r="I95" s="49">
        <f>'Avg Week Sironko-Mbale'!I95+'Avg Week Mbale- Sironko'!I95</f>
        <v>1</v>
      </c>
      <c r="J95" s="49">
        <f>'Avg Week Sironko-Mbale'!J95+'Avg Week Mbale- Sironko'!J95</f>
        <v>0</v>
      </c>
      <c r="K95" s="49">
        <f>'Avg Week Sironko-Mbale'!K95+'Avg Week Mbale- Sironko'!K95</f>
        <v>0</v>
      </c>
      <c r="L95" s="49">
        <f>'Avg Week Sironko-Mbale'!L95+'Avg Week Mbale- Sironko'!L95</f>
        <v>0</v>
      </c>
      <c r="M95" s="49">
        <f>'Avg Week Sironko-Mbale'!M95+'Avg Week Mbale- Sironko'!M95</f>
        <v>2.5</v>
      </c>
      <c r="N95" s="49">
        <f>'Avg Week Sironko-Mbale'!N95+'Avg Week Mbale- Sironko'!N95</f>
        <v>0</v>
      </c>
      <c r="O95" s="15">
        <f t="shared" si="35"/>
        <v>1</v>
      </c>
      <c r="P95" s="15">
        <f t="shared" si="36"/>
        <v>3.5</v>
      </c>
      <c r="R95" s="8"/>
      <c r="T95"/>
    </row>
    <row r="96" spans="2:20" ht="23.1" customHeight="1" x14ac:dyDescent="0.25">
      <c r="B96" s="25" t="s">
        <v>136</v>
      </c>
      <c r="C96" s="49">
        <f>'Avg Week Sironko-Mbale'!C96+'Avg Week Mbale- Sironko'!C96</f>
        <v>0.5</v>
      </c>
      <c r="D96" s="49">
        <f>'Avg Week Sironko-Mbale'!D96+'Avg Week Mbale- Sironko'!D96</f>
        <v>0</v>
      </c>
      <c r="E96" s="49">
        <f>'Avg Week Sironko-Mbale'!E96+'Avg Week Mbale- Sironko'!E96</f>
        <v>1.5</v>
      </c>
      <c r="F96" s="49">
        <f>'Avg Week Sironko-Mbale'!F96+'Avg Week Mbale- Sironko'!F96</f>
        <v>0</v>
      </c>
      <c r="G96" s="49">
        <f>'Avg Week Sironko-Mbale'!G96+'Avg Week Mbale- Sironko'!G96</f>
        <v>1</v>
      </c>
      <c r="H96" s="49">
        <f>'Avg Week Sironko-Mbale'!H96+'Avg Week Mbale- Sironko'!H96</f>
        <v>0</v>
      </c>
      <c r="I96" s="49">
        <f>'Avg Week Sironko-Mbale'!I96+'Avg Week Mbale- Sironko'!I96</f>
        <v>1</v>
      </c>
      <c r="J96" s="49">
        <f>'Avg Week Sironko-Mbale'!J96+'Avg Week Mbale- Sironko'!J96</f>
        <v>0</v>
      </c>
      <c r="K96" s="49">
        <f>'Avg Week Sironko-Mbale'!K96+'Avg Week Mbale- Sironko'!K96</f>
        <v>0</v>
      </c>
      <c r="L96" s="49">
        <f>'Avg Week Sironko-Mbale'!L96+'Avg Week Mbale- Sironko'!L96</f>
        <v>0</v>
      </c>
      <c r="M96" s="49">
        <f>'Avg Week Sironko-Mbale'!M96+'Avg Week Mbale- Sironko'!M96</f>
        <v>2.5</v>
      </c>
      <c r="N96" s="49">
        <f>'Avg Week Sironko-Mbale'!N96+'Avg Week Mbale- Sironko'!N96</f>
        <v>0</v>
      </c>
      <c r="O96" s="15">
        <f t="shared" si="35"/>
        <v>4</v>
      </c>
      <c r="P96" s="15">
        <f t="shared" si="36"/>
        <v>6.5</v>
      </c>
      <c r="R96" s="8"/>
      <c r="T96"/>
    </row>
    <row r="97" spans="2:20" ht="23.1" customHeight="1" x14ac:dyDescent="0.25">
      <c r="B97" s="23" t="s">
        <v>137</v>
      </c>
      <c r="C97" s="49">
        <f>'Avg Week Sironko-Mbale'!C97+'Avg Week Mbale- Sironko'!C97</f>
        <v>0.5</v>
      </c>
      <c r="D97" s="49">
        <f>'Avg Week Sironko-Mbale'!D97+'Avg Week Mbale- Sironko'!D97</f>
        <v>0</v>
      </c>
      <c r="E97" s="49">
        <f>'Avg Week Sironko-Mbale'!E97+'Avg Week Mbale- Sironko'!E97</f>
        <v>2</v>
      </c>
      <c r="F97" s="49">
        <f>'Avg Week Sironko-Mbale'!F97+'Avg Week Mbale- Sironko'!F97</f>
        <v>0</v>
      </c>
      <c r="G97" s="49">
        <f>'Avg Week Sironko-Mbale'!G97+'Avg Week Mbale- Sironko'!G97</f>
        <v>0</v>
      </c>
      <c r="H97" s="49">
        <f>'Avg Week Sironko-Mbale'!H97+'Avg Week Mbale- Sironko'!H97</f>
        <v>0</v>
      </c>
      <c r="I97" s="49">
        <f>'Avg Week Sironko-Mbale'!I97+'Avg Week Mbale- Sironko'!I97</f>
        <v>5</v>
      </c>
      <c r="J97" s="49">
        <f>'Avg Week Sironko-Mbale'!J97+'Avg Week Mbale- Sironko'!J97</f>
        <v>0</v>
      </c>
      <c r="K97" s="49">
        <f>'Avg Week Sironko-Mbale'!K97+'Avg Week Mbale- Sironko'!K97</f>
        <v>0</v>
      </c>
      <c r="L97" s="49">
        <f>'Avg Week Sironko-Mbale'!L97+'Avg Week Mbale- Sironko'!L97</f>
        <v>0</v>
      </c>
      <c r="M97" s="49">
        <f>'Avg Week Sironko-Mbale'!M97+'Avg Week Mbale- Sironko'!M97</f>
        <v>3.5</v>
      </c>
      <c r="N97" s="49">
        <f>'Avg Week Sironko-Mbale'!N97+'Avg Week Mbale- Sironko'!N97</f>
        <v>0</v>
      </c>
      <c r="O97" s="15">
        <f t="shared" si="35"/>
        <v>7.5</v>
      </c>
      <c r="P97" s="15">
        <f t="shared" si="36"/>
        <v>11</v>
      </c>
      <c r="R97" s="8"/>
      <c r="T97"/>
    </row>
    <row r="98" spans="2:20" ht="23.1" customHeight="1" x14ac:dyDescent="0.25">
      <c r="B98" s="24" t="s">
        <v>138</v>
      </c>
      <c r="C98" s="49">
        <f>'Avg Week Sironko-Mbale'!C98+'Avg Week Mbale- Sironko'!C98</f>
        <v>0</v>
      </c>
      <c r="D98" s="49">
        <f>'Avg Week Sironko-Mbale'!D98+'Avg Week Mbale- Sironko'!D98</f>
        <v>0</v>
      </c>
      <c r="E98" s="49">
        <f>'Avg Week Sironko-Mbale'!E98+'Avg Week Mbale- Sironko'!E98</f>
        <v>1.5</v>
      </c>
      <c r="F98" s="49">
        <f>'Avg Week Sironko-Mbale'!F98+'Avg Week Mbale- Sironko'!F98</f>
        <v>0</v>
      </c>
      <c r="G98" s="49">
        <f>'Avg Week Sironko-Mbale'!G98+'Avg Week Mbale- Sironko'!G98</f>
        <v>0</v>
      </c>
      <c r="H98" s="49">
        <f>'Avg Week Sironko-Mbale'!H98+'Avg Week Mbale- Sironko'!H98</f>
        <v>0</v>
      </c>
      <c r="I98" s="49">
        <f>'Avg Week Sironko-Mbale'!I98+'Avg Week Mbale- Sironko'!I98</f>
        <v>1.5</v>
      </c>
      <c r="J98" s="49">
        <f>'Avg Week Sironko-Mbale'!J98+'Avg Week Mbale- Sironko'!J98</f>
        <v>0</v>
      </c>
      <c r="K98" s="49">
        <f>'Avg Week Sironko-Mbale'!K98+'Avg Week Mbale- Sironko'!K98</f>
        <v>0.5</v>
      </c>
      <c r="L98" s="49">
        <f>'Avg Week Sironko-Mbale'!L98+'Avg Week Mbale- Sironko'!L98</f>
        <v>0</v>
      </c>
      <c r="M98" s="49">
        <f>'Avg Week Sironko-Mbale'!M98+'Avg Week Mbale- Sironko'!M98</f>
        <v>3</v>
      </c>
      <c r="N98" s="49">
        <f>'Avg Week Sironko-Mbale'!N98+'Avg Week Mbale- Sironko'!N98</f>
        <v>0</v>
      </c>
      <c r="O98" s="15">
        <f t="shared" si="35"/>
        <v>3.5</v>
      </c>
      <c r="P98" s="15">
        <f t="shared" si="36"/>
        <v>6.5</v>
      </c>
      <c r="R98" s="8"/>
      <c r="T98"/>
    </row>
    <row r="99" spans="2:20" ht="23.1" customHeight="1" x14ac:dyDescent="0.25">
      <c r="B99" s="23" t="s">
        <v>139</v>
      </c>
      <c r="C99" s="49">
        <f>'Avg Week Sironko-Mbale'!C99+'Avg Week Mbale- Sironko'!C99</f>
        <v>0.5</v>
      </c>
      <c r="D99" s="49">
        <f>'Avg Week Sironko-Mbale'!D99+'Avg Week Mbale- Sironko'!D99</f>
        <v>0</v>
      </c>
      <c r="E99" s="49">
        <f>'Avg Week Sironko-Mbale'!E99+'Avg Week Mbale- Sironko'!E99</f>
        <v>2.5</v>
      </c>
      <c r="F99" s="49">
        <f>'Avg Week Sironko-Mbale'!F99+'Avg Week Mbale- Sironko'!F99</f>
        <v>0.5</v>
      </c>
      <c r="G99" s="49">
        <f>'Avg Week Sironko-Mbale'!G99+'Avg Week Mbale- Sironko'!G99</f>
        <v>0</v>
      </c>
      <c r="H99" s="49">
        <f>'Avg Week Sironko-Mbale'!H99+'Avg Week Mbale- Sironko'!H99</f>
        <v>0</v>
      </c>
      <c r="I99" s="49">
        <f>'Avg Week Sironko-Mbale'!I99+'Avg Week Mbale- Sironko'!I99</f>
        <v>2.5</v>
      </c>
      <c r="J99" s="49">
        <f>'Avg Week Sironko-Mbale'!J99+'Avg Week Mbale- Sironko'!J99</f>
        <v>0</v>
      </c>
      <c r="K99" s="49">
        <f>'Avg Week Sironko-Mbale'!K99+'Avg Week Mbale- Sironko'!K99</f>
        <v>0</v>
      </c>
      <c r="L99" s="49">
        <f>'Avg Week Sironko-Mbale'!L99+'Avg Week Mbale- Sironko'!L99</f>
        <v>0</v>
      </c>
      <c r="M99" s="49">
        <f>'Avg Week Sironko-Mbale'!M99+'Avg Week Mbale- Sironko'!M99</f>
        <v>1.5</v>
      </c>
      <c r="N99" s="49">
        <f>'Avg Week Sironko-Mbale'!N99+'Avg Week Mbale- Sironko'!N99</f>
        <v>0</v>
      </c>
      <c r="O99" s="15">
        <f t="shared" si="35"/>
        <v>6</v>
      </c>
      <c r="P99" s="15">
        <f t="shared" si="36"/>
        <v>7.5</v>
      </c>
      <c r="R99" s="8"/>
      <c r="T99"/>
    </row>
    <row r="100" spans="2:20" ht="23.1" customHeight="1" x14ac:dyDescent="0.25">
      <c r="B100" s="25" t="s">
        <v>140</v>
      </c>
      <c r="C100" s="49">
        <f>'Avg Week Sironko-Mbale'!C100+'Avg Week Mbale- Sironko'!C100</f>
        <v>0.5</v>
      </c>
      <c r="D100" s="49">
        <f>'Avg Week Sironko-Mbale'!D100+'Avg Week Mbale- Sironko'!D100</f>
        <v>0</v>
      </c>
      <c r="E100" s="49">
        <f>'Avg Week Sironko-Mbale'!E100+'Avg Week Mbale- Sironko'!E100</f>
        <v>3</v>
      </c>
      <c r="F100" s="49">
        <f>'Avg Week Sironko-Mbale'!F100+'Avg Week Mbale- Sironko'!F100</f>
        <v>1</v>
      </c>
      <c r="G100" s="49">
        <f>'Avg Week Sironko-Mbale'!G100+'Avg Week Mbale- Sironko'!G100</f>
        <v>0</v>
      </c>
      <c r="H100" s="49">
        <f>'Avg Week Sironko-Mbale'!H100+'Avg Week Mbale- Sironko'!H100</f>
        <v>0.5</v>
      </c>
      <c r="I100" s="49">
        <f>'Avg Week Sironko-Mbale'!I100+'Avg Week Mbale- Sironko'!I100</f>
        <v>2</v>
      </c>
      <c r="J100" s="49">
        <f>'Avg Week Sironko-Mbale'!J100+'Avg Week Mbale- Sironko'!J100</f>
        <v>0</v>
      </c>
      <c r="K100" s="49">
        <f>'Avg Week Sironko-Mbale'!K100+'Avg Week Mbale- Sironko'!K100</f>
        <v>0</v>
      </c>
      <c r="L100" s="49">
        <f>'Avg Week Sironko-Mbale'!L100+'Avg Week Mbale- Sironko'!L100</f>
        <v>0</v>
      </c>
      <c r="M100" s="49">
        <f>'Avg Week Sironko-Mbale'!M100+'Avg Week Mbale- Sironko'!M100</f>
        <v>9</v>
      </c>
      <c r="N100" s="49">
        <f>'Avg Week Sironko-Mbale'!N100+'Avg Week Mbale- Sironko'!N100</f>
        <v>0</v>
      </c>
      <c r="O100" s="15">
        <f t="shared" si="35"/>
        <v>7</v>
      </c>
      <c r="P100" s="15">
        <f t="shared" si="36"/>
        <v>16</v>
      </c>
      <c r="R100" s="8"/>
      <c r="T100"/>
    </row>
    <row r="101" spans="2:20" ht="23.1" customHeight="1" x14ac:dyDescent="0.25">
      <c r="B101" s="23" t="s">
        <v>141</v>
      </c>
      <c r="C101" s="49">
        <f>'Avg Week Sironko-Mbale'!C101+'Avg Week Mbale- Sironko'!C101</f>
        <v>1</v>
      </c>
      <c r="D101" s="49">
        <f>'Avg Week Sironko-Mbale'!D101+'Avg Week Mbale- Sironko'!D101</f>
        <v>0</v>
      </c>
      <c r="E101" s="49">
        <f>'Avg Week Sironko-Mbale'!E101+'Avg Week Mbale- Sironko'!E101</f>
        <v>1.5</v>
      </c>
      <c r="F101" s="49">
        <f>'Avg Week Sironko-Mbale'!F101+'Avg Week Mbale- Sironko'!F101</f>
        <v>1</v>
      </c>
      <c r="G101" s="49">
        <f>'Avg Week Sironko-Mbale'!G101+'Avg Week Mbale- Sironko'!G101</f>
        <v>0</v>
      </c>
      <c r="H101" s="49">
        <f>'Avg Week Sironko-Mbale'!H101+'Avg Week Mbale- Sironko'!H101</f>
        <v>0</v>
      </c>
      <c r="I101" s="49">
        <f>'Avg Week Sironko-Mbale'!I101+'Avg Week Mbale- Sironko'!I101</f>
        <v>2.5</v>
      </c>
      <c r="J101" s="49">
        <f>'Avg Week Sironko-Mbale'!J101+'Avg Week Mbale- Sironko'!J101</f>
        <v>0</v>
      </c>
      <c r="K101" s="49">
        <f>'Avg Week Sironko-Mbale'!K101+'Avg Week Mbale- Sironko'!K101</f>
        <v>0</v>
      </c>
      <c r="L101" s="49">
        <f>'Avg Week Sironko-Mbale'!L101+'Avg Week Mbale- Sironko'!L101</f>
        <v>0</v>
      </c>
      <c r="M101" s="49">
        <f>'Avg Week Sironko-Mbale'!M101+'Avg Week Mbale- Sironko'!M101</f>
        <v>4.5</v>
      </c>
      <c r="N101" s="49">
        <f>'Avg Week Sironko-Mbale'!N101+'Avg Week Mbale- Sironko'!N101</f>
        <v>0</v>
      </c>
      <c r="O101" s="15">
        <f t="shared" si="35"/>
        <v>6</v>
      </c>
      <c r="P101" s="15">
        <f t="shared" si="36"/>
        <v>10.5</v>
      </c>
      <c r="R101" s="8"/>
      <c r="T101"/>
    </row>
    <row r="102" spans="2:20" ht="23.1" customHeight="1" x14ac:dyDescent="0.25">
      <c r="B102" s="24" t="s">
        <v>142</v>
      </c>
      <c r="C102" s="49">
        <f>'Avg Week Sironko-Mbale'!C102+'Avg Week Mbale- Sironko'!C102</f>
        <v>0.5</v>
      </c>
      <c r="D102" s="49">
        <f>'Avg Week Sironko-Mbale'!D102+'Avg Week Mbale- Sironko'!D102</f>
        <v>0</v>
      </c>
      <c r="E102" s="49">
        <f>'Avg Week Sironko-Mbale'!E102+'Avg Week Mbale- Sironko'!E102</f>
        <v>2</v>
      </c>
      <c r="F102" s="49">
        <f>'Avg Week Sironko-Mbale'!F102+'Avg Week Mbale- Sironko'!F102</f>
        <v>1</v>
      </c>
      <c r="G102" s="49">
        <f>'Avg Week Sironko-Mbale'!G102+'Avg Week Mbale- Sironko'!G102</f>
        <v>0</v>
      </c>
      <c r="H102" s="49">
        <f>'Avg Week Sironko-Mbale'!H102+'Avg Week Mbale- Sironko'!H102</f>
        <v>0</v>
      </c>
      <c r="I102" s="49">
        <f>'Avg Week Sironko-Mbale'!I102+'Avg Week Mbale- Sironko'!I102</f>
        <v>2.5</v>
      </c>
      <c r="J102" s="49">
        <f>'Avg Week Sironko-Mbale'!J102+'Avg Week Mbale- Sironko'!J102</f>
        <v>0</v>
      </c>
      <c r="K102" s="49">
        <f>'Avg Week Sironko-Mbale'!K102+'Avg Week Mbale- Sironko'!K102</f>
        <v>0</v>
      </c>
      <c r="L102" s="49">
        <f>'Avg Week Sironko-Mbale'!L102+'Avg Week Mbale- Sironko'!L102</f>
        <v>0</v>
      </c>
      <c r="M102" s="49">
        <f>'Avg Week Sironko-Mbale'!M102+'Avg Week Mbale- Sironko'!M102</f>
        <v>8.5</v>
      </c>
      <c r="N102" s="49">
        <f>'Avg Week Sironko-Mbale'!N102+'Avg Week Mbale- Sironko'!N102</f>
        <v>0</v>
      </c>
      <c r="O102" s="15">
        <f t="shared" si="35"/>
        <v>6</v>
      </c>
      <c r="P102" s="15">
        <f t="shared" si="36"/>
        <v>14.5</v>
      </c>
      <c r="R102" s="8"/>
      <c r="T102"/>
    </row>
    <row r="103" spans="2:20" ht="23.1" customHeight="1" x14ac:dyDescent="0.25">
      <c r="B103" s="23" t="s">
        <v>143</v>
      </c>
      <c r="C103" s="49">
        <f>'Avg Week Sironko-Mbale'!C103+'Avg Week Mbale- Sironko'!C103</f>
        <v>2.5</v>
      </c>
      <c r="D103" s="49">
        <f>'Avg Week Sironko-Mbale'!D103+'Avg Week Mbale- Sironko'!D103</f>
        <v>0</v>
      </c>
      <c r="E103" s="49">
        <f>'Avg Week Sironko-Mbale'!E103+'Avg Week Mbale- Sironko'!E103</f>
        <v>3.5</v>
      </c>
      <c r="F103" s="49">
        <f>'Avg Week Sironko-Mbale'!F103+'Avg Week Mbale- Sironko'!F103</f>
        <v>3</v>
      </c>
      <c r="G103" s="49">
        <f>'Avg Week Sironko-Mbale'!G103+'Avg Week Mbale- Sironko'!G103</f>
        <v>0</v>
      </c>
      <c r="H103" s="49">
        <f>'Avg Week Sironko-Mbale'!H103+'Avg Week Mbale- Sironko'!H103</f>
        <v>0</v>
      </c>
      <c r="I103" s="49">
        <f>'Avg Week Sironko-Mbale'!I103+'Avg Week Mbale- Sironko'!I103</f>
        <v>7</v>
      </c>
      <c r="J103" s="49">
        <f>'Avg Week Sironko-Mbale'!J103+'Avg Week Mbale- Sironko'!J103</f>
        <v>0</v>
      </c>
      <c r="K103" s="49">
        <f>'Avg Week Sironko-Mbale'!K103+'Avg Week Mbale- Sironko'!K103</f>
        <v>0</v>
      </c>
      <c r="L103" s="49">
        <f>'Avg Week Sironko-Mbale'!L103+'Avg Week Mbale- Sironko'!L103</f>
        <v>0</v>
      </c>
      <c r="M103" s="49">
        <f>'Avg Week Sironko-Mbale'!M103+'Avg Week Mbale- Sironko'!M103</f>
        <v>15</v>
      </c>
      <c r="N103" s="49">
        <f>'Avg Week Sironko-Mbale'!N103+'Avg Week Mbale- Sironko'!N103</f>
        <v>0</v>
      </c>
      <c r="O103" s="15">
        <f t="shared" si="35"/>
        <v>16</v>
      </c>
      <c r="P103" s="15">
        <f t="shared" si="36"/>
        <v>31</v>
      </c>
      <c r="R103" s="8"/>
      <c r="T103"/>
    </row>
    <row r="104" spans="2:20" ht="23.1" customHeight="1" x14ac:dyDescent="0.25">
      <c r="B104" s="25" t="s">
        <v>144</v>
      </c>
      <c r="C104" s="49">
        <f>'Avg Week Sironko-Mbale'!C104+'Avg Week Mbale- Sironko'!C104</f>
        <v>1.5</v>
      </c>
      <c r="D104" s="49">
        <f>'Avg Week Sironko-Mbale'!D104+'Avg Week Mbale- Sironko'!D104</f>
        <v>0.5</v>
      </c>
      <c r="E104" s="49">
        <f>'Avg Week Sironko-Mbale'!E104+'Avg Week Mbale- Sironko'!E104</f>
        <v>3</v>
      </c>
      <c r="F104" s="49">
        <f>'Avg Week Sironko-Mbale'!F104+'Avg Week Mbale- Sironko'!F104</f>
        <v>4.5</v>
      </c>
      <c r="G104" s="49">
        <f>'Avg Week Sironko-Mbale'!G104+'Avg Week Mbale- Sironko'!G104</f>
        <v>0</v>
      </c>
      <c r="H104" s="49">
        <f>'Avg Week Sironko-Mbale'!H104+'Avg Week Mbale- Sironko'!H104</f>
        <v>0</v>
      </c>
      <c r="I104" s="49">
        <f>'Avg Week Sironko-Mbale'!I104+'Avg Week Mbale- Sironko'!I104</f>
        <v>7</v>
      </c>
      <c r="J104" s="49">
        <f>'Avg Week Sironko-Mbale'!J104+'Avg Week Mbale- Sironko'!J104</f>
        <v>0</v>
      </c>
      <c r="K104" s="49">
        <f>'Avg Week Sironko-Mbale'!K104+'Avg Week Mbale- Sironko'!K104</f>
        <v>0</v>
      </c>
      <c r="L104" s="49">
        <f>'Avg Week Sironko-Mbale'!L104+'Avg Week Mbale- Sironko'!L104</f>
        <v>0</v>
      </c>
      <c r="M104" s="49">
        <f>'Avg Week Sironko-Mbale'!M104+'Avg Week Mbale- Sironko'!M104</f>
        <v>13.5</v>
      </c>
      <c r="N104" s="49">
        <f>'Avg Week Sironko-Mbale'!N104+'Avg Week Mbale- Sironko'!N104</f>
        <v>0</v>
      </c>
      <c r="O104" s="15">
        <f t="shared" si="35"/>
        <v>16.5</v>
      </c>
      <c r="P104" s="15">
        <f t="shared" si="36"/>
        <v>30</v>
      </c>
      <c r="R104" s="8"/>
      <c r="T104"/>
    </row>
    <row r="105" spans="2:20" ht="23.1" customHeight="1" x14ac:dyDescent="0.25">
      <c r="B105" s="23" t="s">
        <v>145</v>
      </c>
      <c r="C105" s="49">
        <f>'Avg Week Sironko-Mbale'!C105+'Avg Week Mbale- Sironko'!C105</f>
        <v>0.5</v>
      </c>
      <c r="D105" s="49">
        <f>'Avg Week Sironko-Mbale'!D105+'Avg Week Mbale- Sironko'!D105</f>
        <v>0</v>
      </c>
      <c r="E105" s="49">
        <f>'Avg Week Sironko-Mbale'!E105+'Avg Week Mbale- Sironko'!E105</f>
        <v>3.5</v>
      </c>
      <c r="F105" s="49">
        <f>'Avg Week Sironko-Mbale'!F105+'Avg Week Mbale- Sironko'!F105</f>
        <v>8</v>
      </c>
      <c r="G105" s="49">
        <f>'Avg Week Sironko-Mbale'!G105+'Avg Week Mbale- Sironko'!G105</f>
        <v>0</v>
      </c>
      <c r="H105" s="49">
        <f>'Avg Week Sironko-Mbale'!H105+'Avg Week Mbale- Sironko'!H105</f>
        <v>0</v>
      </c>
      <c r="I105" s="49">
        <f>'Avg Week Sironko-Mbale'!I105+'Avg Week Mbale- Sironko'!I105</f>
        <v>5</v>
      </c>
      <c r="J105" s="49">
        <f>'Avg Week Sironko-Mbale'!J105+'Avg Week Mbale- Sironko'!J105</f>
        <v>0</v>
      </c>
      <c r="K105" s="49">
        <f>'Avg Week Sironko-Mbale'!K105+'Avg Week Mbale- Sironko'!K105</f>
        <v>0</v>
      </c>
      <c r="L105" s="49">
        <f>'Avg Week Sironko-Mbale'!L105+'Avg Week Mbale- Sironko'!L105</f>
        <v>0</v>
      </c>
      <c r="M105" s="49">
        <f>'Avg Week Sironko-Mbale'!M105+'Avg Week Mbale- Sironko'!M105</f>
        <v>18</v>
      </c>
      <c r="N105" s="49">
        <f>'Avg Week Sironko-Mbale'!N105+'Avg Week Mbale- Sironko'!N105</f>
        <v>0</v>
      </c>
      <c r="O105" s="15">
        <f t="shared" si="35"/>
        <v>17</v>
      </c>
      <c r="P105" s="15">
        <f t="shared" si="36"/>
        <v>35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441.0714285714285</v>
      </c>
      <c r="D106" s="16">
        <f t="shared" ref="D106:P106" si="37">SUM(D10:D105)</f>
        <v>131.57142857142856</v>
      </c>
      <c r="E106" s="16">
        <f t="shared" si="37"/>
        <v>739.35714285714278</v>
      </c>
      <c r="F106" s="16">
        <f t="shared" si="37"/>
        <v>407.64285714285717</v>
      </c>
      <c r="G106" s="16">
        <f t="shared" si="37"/>
        <v>12.285714285714286</v>
      </c>
      <c r="H106" s="16">
        <f t="shared" si="37"/>
        <v>5.9999999999999982</v>
      </c>
      <c r="I106" s="16">
        <f t="shared" si="37"/>
        <v>487.28571428571422</v>
      </c>
      <c r="J106" s="16">
        <f t="shared" si="37"/>
        <v>22.285714285714285</v>
      </c>
      <c r="K106" s="16">
        <f t="shared" si="37"/>
        <v>7.7142857142857135</v>
      </c>
      <c r="L106" s="16">
        <f t="shared" si="37"/>
        <v>12.142857142857146</v>
      </c>
      <c r="M106" s="16">
        <f t="shared" si="37"/>
        <v>3345.7857142857138</v>
      </c>
      <c r="N106" s="16">
        <f t="shared" si="37"/>
        <v>0.71428571428571419</v>
      </c>
      <c r="O106" s="16">
        <f t="shared" si="37"/>
        <v>2268.0714285714284</v>
      </c>
      <c r="P106" s="16">
        <f t="shared" si="37"/>
        <v>5613.8571428571431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7.856833855001652E-2</v>
      </c>
      <c r="D107" s="43">
        <f t="shared" si="38"/>
        <v>2.3436903580425984E-2</v>
      </c>
      <c r="E107" s="43">
        <f t="shared" si="38"/>
        <v>0.13170216555971193</v>
      </c>
      <c r="F107" s="43">
        <f t="shared" si="38"/>
        <v>7.261368552306792E-2</v>
      </c>
      <c r="G107" s="43">
        <f t="shared" si="38"/>
        <v>2.188462223579408E-3</v>
      </c>
      <c r="H107" s="43">
        <f t="shared" si="38"/>
        <v>1.0687838766318036E-3</v>
      </c>
      <c r="I107" s="43">
        <f t="shared" si="38"/>
        <v>8.6800519123597208E-2</v>
      </c>
      <c r="J107" s="43">
        <f t="shared" si="38"/>
        <v>3.9697686846324144E-3</v>
      </c>
      <c r="K107" s="43">
        <f t="shared" si="38"/>
        <v>1.3741506985266048E-3</v>
      </c>
      <c r="L107" s="43">
        <f t="shared" si="38"/>
        <v>2.1630149884215083E-3</v>
      </c>
      <c r="M107" s="43">
        <f t="shared" si="38"/>
        <v>0.59598697101559905</v>
      </c>
      <c r="N107" s="43">
        <f t="shared" si="38"/>
        <v>1.2723617578950044E-4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0.19446981387585424</v>
      </c>
      <c r="D108" s="44">
        <f t="shared" ref="D108:N108" si="39">D106/$O$106</f>
        <v>5.801026674644915E-2</v>
      </c>
      <c r="E108" s="44">
        <f t="shared" si="39"/>
        <v>0.3259849463042862</v>
      </c>
      <c r="F108" s="44">
        <f t="shared" si="39"/>
        <v>0.17973104903473688</v>
      </c>
      <c r="G108" s="44">
        <f t="shared" si="39"/>
        <v>5.416811009983309E-3</v>
      </c>
      <c r="H108" s="44">
        <f t="shared" si="39"/>
        <v>2.6454193304569639E-3</v>
      </c>
      <c r="I108" s="44">
        <f t="shared" si="39"/>
        <v>0.21484584133782633</v>
      </c>
      <c r="J108" s="44">
        <f t="shared" si="39"/>
        <v>9.8258432274115834E-3</v>
      </c>
      <c r="K108" s="44">
        <f t="shared" si="39"/>
        <v>3.4012534248732402E-3</v>
      </c>
      <c r="L108" s="44">
        <f t="shared" si="39"/>
        <v>5.353824835448621E-3</v>
      </c>
      <c r="M108" s="44"/>
      <c r="N108" s="44">
        <f t="shared" si="39"/>
        <v>3.1493087267344815E-4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19.08 Sironko-Mbale</vt:lpstr>
      <vt:lpstr>19.08 Mbale-Sironko</vt:lpstr>
      <vt:lpstr>20.08 Sironko-Mbale</vt:lpstr>
      <vt:lpstr>20.08 Mbale-Sironko</vt:lpstr>
      <vt:lpstr>21.08 Sironko-Mbale</vt:lpstr>
      <vt:lpstr>21.08 Mbale-Sironko</vt:lpstr>
      <vt:lpstr>22.08 Sironko-Mbale-24h</vt:lpstr>
      <vt:lpstr>22.08 Mbale-Sironko-24h</vt:lpstr>
      <vt:lpstr>23.08 Sironko-Mbale</vt:lpstr>
      <vt:lpstr>23.08 Mbale-Sironko</vt:lpstr>
      <vt:lpstr>24.08 Sironko-Mbale-24h</vt:lpstr>
      <vt:lpstr>24.08 Mbale-Sironko-24h</vt:lpstr>
      <vt:lpstr>25.08 Sironko-Mbale</vt:lpstr>
      <vt:lpstr>25.08 Mbale-Sironko</vt:lpstr>
      <vt:lpstr>Avg Week Sironko-Mbale</vt:lpstr>
      <vt:lpstr>Avg Week Mbale- Sironko</vt:lpstr>
      <vt:lpstr>Avg Week Sironko-Mbale-2Dir</vt:lpstr>
      <vt:lpstr>'19.08 Mbale-Sironko'!Print_Area</vt:lpstr>
      <vt:lpstr>'19.08 Sironko-Mbale'!Print_Area</vt:lpstr>
      <vt:lpstr>'20.08 Mbale-Sironko'!Print_Area</vt:lpstr>
      <vt:lpstr>'20.08 Sironko-Mbale'!Print_Area</vt:lpstr>
      <vt:lpstr>'21.08 Mbale-Sironko'!Print_Area</vt:lpstr>
      <vt:lpstr>'21.08 Sironko-Mbale'!Print_Area</vt:lpstr>
      <vt:lpstr>'22.08 Mbale-Sironko-24h'!Print_Area</vt:lpstr>
      <vt:lpstr>'22.08 Sironko-Mbale-24h'!Print_Area</vt:lpstr>
      <vt:lpstr>'23.08 Mbale-Sironko'!Print_Area</vt:lpstr>
      <vt:lpstr>'23.08 Sironko-Mbale'!Print_Area</vt:lpstr>
      <vt:lpstr>'24.08 Mbale-Sironko-24h'!Print_Area</vt:lpstr>
      <vt:lpstr>'24.08 Sironko-Mbale-24h'!Print_Area</vt:lpstr>
      <vt:lpstr>'25.08 Mbale-Sironko'!Print_Area</vt:lpstr>
      <vt:lpstr>'25.08 Sironko-Mbale'!Print_Area</vt:lpstr>
      <vt:lpstr>'Avg Week Mbale- Sironko'!Print_Area</vt:lpstr>
      <vt:lpstr>'Avg Week Sironko-Mbale'!Print_Area</vt:lpstr>
      <vt:lpstr>'Avg Week Sironko-Mbale-2Dir'!Print_Area</vt:lpstr>
      <vt:lpstr>'19.08 Mbale-Sironko'!Print_Titles</vt:lpstr>
      <vt:lpstr>'19.08 Sironko-Mbale'!Print_Titles</vt:lpstr>
      <vt:lpstr>'20.08 Mbale-Sironko'!Print_Titles</vt:lpstr>
      <vt:lpstr>'20.08 Sironko-Mbale'!Print_Titles</vt:lpstr>
      <vt:lpstr>'21.08 Mbale-Sironko'!Print_Titles</vt:lpstr>
      <vt:lpstr>'21.08 Sironko-Mbale'!Print_Titles</vt:lpstr>
      <vt:lpstr>'22.08 Mbale-Sironko-24h'!Print_Titles</vt:lpstr>
      <vt:lpstr>'22.08 Sironko-Mbale-24h'!Print_Titles</vt:lpstr>
      <vt:lpstr>'23.08 Mbale-Sironko'!Print_Titles</vt:lpstr>
      <vt:lpstr>'23.08 Sironko-Mbale'!Print_Titles</vt:lpstr>
      <vt:lpstr>'24.08 Mbale-Sironko-24h'!Print_Titles</vt:lpstr>
      <vt:lpstr>'24.08 Sironko-Mbale-24h'!Print_Titles</vt:lpstr>
      <vt:lpstr>'25.08 Mbale-Sironko'!Print_Titles</vt:lpstr>
      <vt:lpstr>'25.08 Sironko-Mbale'!Print_Titles</vt:lpstr>
      <vt:lpstr>'Avg Week Mbale- Sironko'!Print_Titles</vt:lpstr>
      <vt:lpstr>'Avg Week Sironko-Mbale'!Print_Titles</vt:lpstr>
      <vt:lpstr>'Avg Week Sironko-Mbale-2Dir'!Print_Titles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2020-01-15T14:05:45Z</dcterms:modified>
</cp:coreProperties>
</file>