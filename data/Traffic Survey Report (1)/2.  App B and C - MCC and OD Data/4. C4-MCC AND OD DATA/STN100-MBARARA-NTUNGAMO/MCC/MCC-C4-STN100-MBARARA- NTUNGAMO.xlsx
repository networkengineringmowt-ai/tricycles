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2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3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14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EDMP\EDMP Analysis\C-4 Analysis Complete-Benard\STN100-MBARARA-NTUNGAMO\MCC\"/>
    </mc:Choice>
  </mc:AlternateContent>
  <xr:revisionPtr revIDLastSave="0" documentId="13_ncr:1_{CB6F1AE4-C2B4-4B03-A8E0-794FC643E395}" xr6:coauthVersionLast="45" xr6:coauthVersionMax="45" xr10:uidLastSave="{00000000-0000-0000-0000-000000000000}"/>
  <bookViews>
    <workbookView xWindow="-120" yWindow="-120" windowWidth="20730" windowHeight="11160" tabRatio="908" firstSheet="14" activeTab="16" xr2:uid="{00000000-000D-0000-FFFF-FFFF00000000}"/>
  </bookViews>
  <sheets>
    <sheet name="27.10 Mbarara-Kabale" sheetId="93" r:id="rId1"/>
    <sheet name="27.10 Kabale-Mbarara" sheetId="94" r:id="rId2"/>
    <sheet name="28.10 Mbarara-Kabale" sheetId="95" r:id="rId3"/>
    <sheet name="28.10 Kabale-Mbarara" sheetId="96" r:id="rId4"/>
    <sheet name="29.10 Mbarara-Kabale" sheetId="97" r:id="rId5"/>
    <sheet name="29.10 Kabale-Mbarara" sheetId="98" r:id="rId6"/>
    <sheet name="30.10 Mbarara-Kabale" sheetId="99" r:id="rId7"/>
    <sheet name="30.10 Kabale -Mbarara" sheetId="100" r:id="rId8"/>
    <sheet name="31.10 Mbarara-Kabale-24hr" sheetId="101" r:id="rId9"/>
    <sheet name="31.10 Kabale-Mbarara-24hr" sheetId="109" r:id="rId10"/>
    <sheet name="1.11 Mbarara-Kabale" sheetId="103" r:id="rId11"/>
    <sheet name="1.11 Kabale-Mbarara" sheetId="104" r:id="rId12"/>
    <sheet name="2.11 Mbarara-Kabale-24hr" sheetId="105" r:id="rId13"/>
    <sheet name="2.11 Kabale-Mbarara-24hr" sheetId="110" r:id="rId14"/>
    <sheet name="Avg Week Mbrarara-Kabale" sheetId="107" r:id="rId15"/>
    <sheet name="Avg Week Kabale-Mbarara" sheetId="108" r:id="rId16"/>
    <sheet name="Avg Week Mbalala-kabale-2Dir" sheetId="111" r:id="rId17"/>
  </sheets>
  <definedNames>
    <definedName name="_xlnm.Print_Area" localSheetId="11">'1.11 Kabale-Mbarara'!$A$1:$AF$60</definedName>
    <definedName name="_xlnm.Print_Area" localSheetId="10">'1.11 Mbarara-Kabale'!$A$1:$AF$60</definedName>
    <definedName name="_xlnm.Print_Area" localSheetId="13">'2.11 Kabale-Mbarara-24hr'!$A$1:$AF$108</definedName>
    <definedName name="_xlnm.Print_Area" localSheetId="12">'2.11 Mbarara-Kabale-24hr'!$A$1:$AF$108</definedName>
    <definedName name="_xlnm.Print_Area" localSheetId="1">'27.10 Kabale-Mbarara'!$A$1:$AF$60</definedName>
    <definedName name="_xlnm.Print_Area" localSheetId="0">'27.10 Mbarara-Kabale'!$A$1:$AF$60</definedName>
    <definedName name="_xlnm.Print_Area" localSheetId="3">'28.10 Kabale-Mbarara'!$A$1:$AF$60</definedName>
    <definedName name="_xlnm.Print_Area" localSheetId="2">'28.10 Mbarara-Kabale'!$A$1:$AF$60</definedName>
    <definedName name="_xlnm.Print_Area" localSheetId="5">'29.10 Kabale-Mbarara'!$A$1:$AF$60</definedName>
    <definedName name="_xlnm.Print_Area" localSheetId="4">'29.10 Mbarara-Kabale'!$A$1:$AF$60</definedName>
    <definedName name="_xlnm.Print_Area" localSheetId="7">'30.10 Kabale -Mbarara'!$A$1:$AF$60</definedName>
    <definedName name="_xlnm.Print_Area" localSheetId="6">'30.10 Mbarara-Kabale'!$A$1:$AF$60</definedName>
    <definedName name="_xlnm.Print_Area" localSheetId="9">'31.10 Kabale-Mbarara-24hr'!$A$1:$AF$108</definedName>
    <definedName name="_xlnm.Print_Area" localSheetId="8">'31.10 Mbarara-Kabale-24hr'!$A$1:$AF$108</definedName>
    <definedName name="_xlnm.Print_Area" localSheetId="15">'Avg Week Kabale-Mbarara'!$A$1:$AF$108</definedName>
    <definedName name="_xlnm.Print_Area" localSheetId="16">'Avg Week Mbalala-kabale-2Dir'!$A$1:$AF$108</definedName>
    <definedName name="_xlnm.Print_Area" localSheetId="14">'Avg Week Mbrarara-Kabale'!$A$1:$AF$108</definedName>
    <definedName name="_xlnm.Print_Titles" localSheetId="11">'1.11 Kabale-Mbarara'!$1:$8</definedName>
    <definedName name="_xlnm.Print_Titles" localSheetId="10">'1.11 Mbarara-Kabale'!$1:$8</definedName>
    <definedName name="_xlnm.Print_Titles" localSheetId="13">'2.11 Kabale-Mbarara-24hr'!$1:$8</definedName>
    <definedName name="_xlnm.Print_Titles" localSheetId="12">'2.11 Mbarara-Kabale-24hr'!$1:$8</definedName>
    <definedName name="_xlnm.Print_Titles" localSheetId="1">'27.10 Kabale-Mbarara'!$1:$8</definedName>
    <definedName name="_xlnm.Print_Titles" localSheetId="0">'27.10 Mbarara-Kabale'!$1:$8</definedName>
    <definedName name="_xlnm.Print_Titles" localSheetId="3">'28.10 Kabale-Mbarara'!$1:$8</definedName>
    <definedName name="_xlnm.Print_Titles" localSheetId="2">'28.10 Mbarara-Kabale'!$1:$8</definedName>
    <definedName name="_xlnm.Print_Titles" localSheetId="5">'29.10 Kabale-Mbarara'!$1:$8</definedName>
    <definedName name="_xlnm.Print_Titles" localSheetId="4">'29.10 Mbarara-Kabale'!$1:$8</definedName>
    <definedName name="_xlnm.Print_Titles" localSheetId="7">'30.10 Kabale -Mbarara'!$1:$8</definedName>
    <definedName name="_xlnm.Print_Titles" localSheetId="6">'30.10 Mbarara-Kabale'!$1:$8</definedName>
    <definedName name="_xlnm.Print_Titles" localSheetId="9">'31.10 Kabale-Mbarara-24hr'!$1:$8</definedName>
    <definedName name="_xlnm.Print_Titles" localSheetId="8">'31.10 Mbarara-Kabale-24hr'!$1:$8</definedName>
    <definedName name="_xlnm.Print_Titles" localSheetId="15">'Avg Week Kabale-Mbarara'!$1:$8</definedName>
    <definedName name="_xlnm.Print_Titles" localSheetId="16">'Avg Week Mbalala-kabale-2Dir'!$1:$8</definedName>
    <definedName name="_xlnm.Print_Titles" localSheetId="14">'Avg Week Mbrarara-Kabale'!$1:$8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31" i="107" l="1"/>
  <c r="L58" i="111"/>
  <c r="AB22" i="111" s="1"/>
  <c r="I67" i="111"/>
  <c r="H70" i="111"/>
  <c r="X25" i="111" s="1"/>
  <c r="E79" i="111"/>
  <c r="D82" i="111"/>
  <c r="L90" i="111"/>
  <c r="K93" i="111"/>
  <c r="D58" i="108"/>
  <c r="E58" i="108"/>
  <c r="F58" i="108"/>
  <c r="G58" i="108"/>
  <c r="H58" i="108"/>
  <c r="I58" i="108"/>
  <c r="Y22" i="108" s="1"/>
  <c r="J58" i="108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U23" i="108" s="1"/>
  <c r="F62" i="108"/>
  <c r="G62" i="108"/>
  <c r="H62" i="108"/>
  <c r="I62" i="108"/>
  <c r="J62" i="108"/>
  <c r="K62" i="108"/>
  <c r="L62" i="108"/>
  <c r="M62" i="108"/>
  <c r="AC23" i="108" s="1"/>
  <c r="N62" i="108"/>
  <c r="D63" i="108"/>
  <c r="E63" i="108"/>
  <c r="F63" i="108"/>
  <c r="G63" i="108"/>
  <c r="H63" i="108"/>
  <c r="I63" i="108"/>
  <c r="J63" i="108"/>
  <c r="K63" i="108"/>
  <c r="L63" i="108"/>
  <c r="AB23" i="108" s="1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Y24" i="108" s="1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U25" i="108" s="1"/>
  <c r="F70" i="108"/>
  <c r="G70" i="108"/>
  <c r="H70" i="108"/>
  <c r="I70" i="108"/>
  <c r="J70" i="108"/>
  <c r="K70" i="108"/>
  <c r="L70" i="108"/>
  <c r="M70" i="108"/>
  <c r="AC25" i="108" s="1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Y26" i="108" s="1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U26" i="108" s="1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U27" i="108" s="1"/>
  <c r="F78" i="108"/>
  <c r="G78" i="108"/>
  <c r="H78" i="108"/>
  <c r="I78" i="108"/>
  <c r="J78" i="108"/>
  <c r="K78" i="108"/>
  <c r="L78" i="108"/>
  <c r="M78" i="108"/>
  <c r="AC27" i="108" s="1"/>
  <c r="N78" i="108"/>
  <c r="D79" i="108"/>
  <c r="O79" i="108" s="1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Y28" i="108" s="1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U29" i="108" s="1"/>
  <c r="F86" i="108"/>
  <c r="G86" i="108"/>
  <c r="H86" i="108"/>
  <c r="I86" i="108"/>
  <c r="J86" i="108"/>
  <c r="K86" i="108"/>
  <c r="L86" i="108"/>
  <c r="M86" i="108"/>
  <c r="AC29" i="108" s="1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Y30" i="108" s="1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U31" i="108" s="1"/>
  <c r="F94" i="108"/>
  <c r="G94" i="108"/>
  <c r="H94" i="108"/>
  <c r="I94" i="108"/>
  <c r="J94" i="108"/>
  <c r="K94" i="108"/>
  <c r="L94" i="108"/>
  <c r="M94" i="108"/>
  <c r="AC31" i="108" s="1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Y32" i="108" s="1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U33" i="108" s="1"/>
  <c r="F102" i="108"/>
  <c r="G102" i="108"/>
  <c r="H102" i="108"/>
  <c r="I102" i="108"/>
  <c r="J102" i="108"/>
  <c r="K102" i="108"/>
  <c r="L102" i="108"/>
  <c r="M102" i="108"/>
  <c r="AC33" i="108" s="1"/>
  <c r="N102" i="108"/>
  <c r="D103" i="108"/>
  <c r="E103" i="108"/>
  <c r="F103" i="108"/>
  <c r="G103" i="108"/>
  <c r="H103" i="108"/>
  <c r="I103" i="108"/>
  <c r="J103" i="108"/>
  <c r="Z33" i="108" s="1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D58" i="107"/>
  <c r="T22" i="107" s="1"/>
  <c r="E58" i="107"/>
  <c r="F58" i="107"/>
  <c r="G58" i="107"/>
  <c r="H58" i="107"/>
  <c r="I58" i="107"/>
  <c r="J58" i="107"/>
  <c r="J58" i="111" s="1"/>
  <c r="K58" i="107"/>
  <c r="L58" i="107"/>
  <c r="AB22" i="107" s="1"/>
  <c r="M58" i="107"/>
  <c r="N58" i="107"/>
  <c r="D59" i="107"/>
  <c r="D59" i="111" s="1"/>
  <c r="E59" i="107"/>
  <c r="E59" i="111" s="1"/>
  <c r="F59" i="107"/>
  <c r="G59" i="107"/>
  <c r="G59" i="111" s="1"/>
  <c r="H59" i="107"/>
  <c r="I59" i="107"/>
  <c r="I59" i="111" s="1"/>
  <c r="J59" i="107"/>
  <c r="J59" i="111" s="1"/>
  <c r="K59" i="107"/>
  <c r="K59" i="111" s="1"/>
  <c r="L59" i="107"/>
  <c r="L59" i="111" s="1"/>
  <c r="M59" i="107"/>
  <c r="M59" i="111" s="1"/>
  <c r="N59" i="107"/>
  <c r="D60" i="107"/>
  <c r="D60" i="111" s="1"/>
  <c r="E60" i="107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L60" i="107"/>
  <c r="L60" i="111" s="1"/>
  <c r="M60" i="107"/>
  <c r="N60" i="107"/>
  <c r="N60" i="111" s="1"/>
  <c r="D61" i="107"/>
  <c r="D61" i="111" s="1"/>
  <c r="E61" i="107"/>
  <c r="E61" i="111" s="1"/>
  <c r="F61" i="107"/>
  <c r="F61" i="111" s="1"/>
  <c r="G61" i="107"/>
  <c r="G61" i="111" s="1"/>
  <c r="H61" i="107"/>
  <c r="I61" i="107"/>
  <c r="I61" i="111" s="1"/>
  <c r="J61" i="107"/>
  <c r="K61" i="107"/>
  <c r="K61" i="111" s="1"/>
  <c r="L61" i="107"/>
  <c r="L61" i="111" s="1"/>
  <c r="M61" i="107"/>
  <c r="M61" i="111" s="1"/>
  <c r="N61" i="107"/>
  <c r="N61" i="111" s="1"/>
  <c r="D62" i="107"/>
  <c r="E62" i="107"/>
  <c r="F62" i="107"/>
  <c r="G62" i="107"/>
  <c r="H62" i="107"/>
  <c r="I62" i="107"/>
  <c r="J62" i="107"/>
  <c r="K62" i="107"/>
  <c r="L62" i="107"/>
  <c r="M62" i="107"/>
  <c r="N62" i="107"/>
  <c r="AD23" i="107" s="1"/>
  <c r="D63" i="107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K63" i="107"/>
  <c r="K63" i="111" s="1"/>
  <c r="L63" i="107"/>
  <c r="M63" i="107"/>
  <c r="M63" i="111" s="1"/>
  <c r="N63" i="107"/>
  <c r="N63" i="111" s="1"/>
  <c r="D64" i="107"/>
  <c r="D64" i="111" s="1"/>
  <c r="E64" i="107"/>
  <c r="E64" i="111" s="1"/>
  <c r="F64" i="107"/>
  <c r="F64" i="111" s="1"/>
  <c r="G64" i="107"/>
  <c r="H64" i="107"/>
  <c r="H64" i="111" s="1"/>
  <c r="I64" i="107"/>
  <c r="J64" i="107"/>
  <c r="J64" i="111" s="1"/>
  <c r="K64" i="107"/>
  <c r="K64" i="111" s="1"/>
  <c r="L64" i="107"/>
  <c r="L64" i="111" s="1"/>
  <c r="M64" i="107"/>
  <c r="M64" i="111" s="1"/>
  <c r="N64" i="107"/>
  <c r="N64" i="111" s="1"/>
  <c r="D65" i="107"/>
  <c r="E65" i="107"/>
  <c r="E65" i="111" s="1"/>
  <c r="F65" i="107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M65" i="107"/>
  <c r="M65" i="111" s="1"/>
  <c r="N65" i="107"/>
  <c r="D66" i="107"/>
  <c r="E66" i="107"/>
  <c r="F66" i="107"/>
  <c r="G66" i="107"/>
  <c r="H66" i="107"/>
  <c r="I66" i="107"/>
  <c r="J66" i="107"/>
  <c r="J66" i="111" s="1"/>
  <c r="K66" i="107"/>
  <c r="L66" i="107"/>
  <c r="AB24" i="107" s="1"/>
  <c r="M66" i="107"/>
  <c r="N66" i="107"/>
  <c r="D67" i="107"/>
  <c r="D67" i="111" s="1"/>
  <c r="E67" i="107"/>
  <c r="E67" i="111" s="1"/>
  <c r="F67" i="107"/>
  <c r="G67" i="107"/>
  <c r="G67" i="111" s="1"/>
  <c r="H67" i="107"/>
  <c r="I67" i="107"/>
  <c r="J67" i="107"/>
  <c r="J67" i="111" s="1"/>
  <c r="K67" i="107"/>
  <c r="K67" i="111" s="1"/>
  <c r="L67" i="107"/>
  <c r="L67" i="111" s="1"/>
  <c r="M67" i="107"/>
  <c r="M67" i="111" s="1"/>
  <c r="N67" i="107"/>
  <c r="D68" i="107"/>
  <c r="D68" i="111" s="1"/>
  <c r="E68" i="107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L68" i="107"/>
  <c r="L68" i="111" s="1"/>
  <c r="M68" i="107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I69" i="107"/>
  <c r="I69" i="111" s="1"/>
  <c r="J69" i="107"/>
  <c r="K69" i="107"/>
  <c r="K69" i="111" s="1"/>
  <c r="L69" i="107"/>
  <c r="L69" i="111" s="1"/>
  <c r="M69" i="107"/>
  <c r="M69" i="111" s="1"/>
  <c r="N69" i="107"/>
  <c r="N69" i="111" s="1"/>
  <c r="D70" i="107"/>
  <c r="E70" i="107"/>
  <c r="F70" i="107"/>
  <c r="F70" i="111" s="1"/>
  <c r="G70" i="107"/>
  <c r="H70" i="107"/>
  <c r="X25" i="107" s="1"/>
  <c r="I70" i="107"/>
  <c r="J70" i="107"/>
  <c r="K70" i="107"/>
  <c r="L70" i="107"/>
  <c r="M70" i="107"/>
  <c r="N70" i="107"/>
  <c r="D71" i="107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K71" i="107"/>
  <c r="K71" i="111" s="1"/>
  <c r="L71" i="107"/>
  <c r="M71" i="107"/>
  <c r="M71" i="111" s="1"/>
  <c r="N71" i="107"/>
  <c r="N71" i="111" s="1"/>
  <c r="D72" i="107"/>
  <c r="D72" i="111" s="1"/>
  <c r="E72" i="107"/>
  <c r="E72" i="111" s="1"/>
  <c r="F72" i="107"/>
  <c r="F72" i="111" s="1"/>
  <c r="G72" i="107"/>
  <c r="H72" i="107"/>
  <c r="H72" i="111" s="1"/>
  <c r="I72" i="107"/>
  <c r="J72" i="107"/>
  <c r="J72" i="111" s="1"/>
  <c r="K72" i="107"/>
  <c r="K72" i="111" s="1"/>
  <c r="L72" i="107"/>
  <c r="L72" i="111" s="1"/>
  <c r="M72" i="107"/>
  <c r="M72" i="111" s="1"/>
  <c r="N72" i="107"/>
  <c r="N72" i="111" s="1"/>
  <c r="D73" i="107"/>
  <c r="E73" i="107"/>
  <c r="E73" i="111" s="1"/>
  <c r="F73" i="107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M73" i="107"/>
  <c r="M73" i="111" s="1"/>
  <c r="N73" i="107"/>
  <c r="D74" i="107"/>
  <c r="E74" i="107"/>
  <c r="F74" i="107"/>
  <c r="G74" i="107"/>
  <c r="G74" i="111" s="1"/>
  <c r="H74" i="107"/>
  <c r="I74" i="107"/>
  <c r="J74" i="107"/>
  <c r="K74" i="107"/>
  <c r="L74" i="107"/>
  <c r="M74" i="107"/>
  <c r="N74" i="107"/>
  <c r="D75" i="107"/>
  <c r="D75" i="111" s="1"/>
  <c r="E75" i="107"/>
  <c r="E75" i="111" s="1"/>
  <c r="F75" i="107"/>
  <c r="G75" i="107"/>
  <c r="G75" i="111" s="1"/>
  <c r="H75" i="107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D76" i="107"/>
  <c r="D76" i="111" s="1"/>
  <c r="E76" i="107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L76" i="107"/>
  <c r="L76" i="111" s="1"/>
  <c r="M76" i="107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I77" i="107"/>
  <c r="I77" i="111" s="1"/>
  <c r="J77" i="107"/>
  <c r="K77" i="107"/>
  <c r="K77" i="111" s="1"/>
  <c r="L77" i="107"/>
  <c r="L77" i="111" s="1"/>
  <c r="M77" i="107"/>
  <c r="M77" i="111" s="1"/>
  <c r="N77" i="107"/>
  <c r="N77" i="111" s="1"/>
  <c r="D78" i="107"/>
  <c r="E78" i="107"/>
  <c r="F78" i="107"/>
  <c r="F78" i="111" s="1"/>
  <c r="G78" i="107"/>
  <c r="H78" i="107"/>
  <c r="I78" i="107"/>
  <c r="J78" i="107"/>
  <c r="K78" i="107"/>
  <c r="L78" i="107"/>
  <c r="M78" i="107"/>
  <c r="N78" i="107"/>
  <c r="N78" i="111" s="1"/>
  <c r="D79" i="107"/>
  <c r="E79" i="107"/>
  <c r="F79" i="107"/>
  <c r="F79" i="111" s="1"/>
  <c r="G79" i="107"/>
  <c r="G79" i="111" s="1"/>
  <c r="H79" i="107"/>
  <c r="H79" i="111" s="1"/>
  <c r="I79" i="107"/>
  <c r="I79" i="111" s="1"/>
  <c r="J79" i="107"/>
  <c r="K79" i="107"/>
  <c r="K79" i="111" s="1"/>
  <c r="L79" i="107"/>
  <c r="M79" i="107"/>
  <c r="M79" i="111" s="1"/>
  <c r="N79" i="107"/>
  <c r="N79" i="111" s="1"/>
  <c r="D80" i="107"/>
  <c r="D80" i="111" s="1"/>
  <c r="E80" i="107"/>
  <c r="E80" i="111" s="1"/>
  <c r="F80" i="107"/>
  <c r="F80" i="111" s="1"/>
  <c r="G80" i="107"/>
  <c r="H80" i="107"/>
  <c r="H80" i="111" s="1"/>
  <c r="I80" i="107"/>
  <c r="J80" i="107"/>
  <c r="J80" i="111" s="1"/>
  <c r="K80" i="107"/>
  <c r="K80" i="111" s="1"/>
  <c r="L80" i="107"/>
  <c r="L80" i="111" s="1"/>
  <c r="M80" i="107"/>
  <c r="M80" i="111" s="1"/>
  <c r="N80" i="107"/>
  <c r="N80" i="111" s="1"/>
  <c r="D81" i="107"/>
  <c r="E81" i="107"/>
  <c r="E81" i="111" s="1"/>
  <c r="F81" i="107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M81" i="107"/>
  <c r="M81" i="111" s="1"/>
  <c r="N81" i="107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D83" i="111" s="1"/>
  <c r="E83" i="107"/>
  <c r="E83" i="111" s="1"/>
  <c r="F83" i="107"/>
  <c r="G83" i="107"/>
  <c r="G83" i="111" s="1"/>
  <c r="H83" i="107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D84" i="107"/>
  <c r="D84" i="111" s="1"/>
  <c r="E84" i="107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L84" i="107"/>
  <c r="L84" i="111" s="1"/>
  <c r="M84" i="107"/>
  <c r="N84" i="107"/>
  <c r="N84" i="111" s="1"/>
  <c r="D85" i="107"/>
  <c r="D85" i="111" s="1"/>
  <c r="E85" i="107"/>
  <c r="E85" i="111" s="1"/>
  <c r="F85" i="107"/>
  <c r="F85" i="111" s="1"/>
  <c r="G85" i="107"/>
  <c r="G85" i="111" s="1"/>
  <c r="H85" i="107"/>
  <c r="I85" i="107"/>
  <c r="I85" i="111" s="1"/>
  <c r="J85" i="107"/>
  <c r="K85" i="107"/>
  <c r="K85" i="111" s="1"/>
  <c r="L85" i="107"/>
  <c r="L85" i="111" s="1"/>
  <c r="M85" i="107"/>
  <c r="M85" i="111" s="1"/>
  <c r="N85" i="107"/>
  <c r="N85" i="111" s="1"/>
  <c r="D86" i="107"/>
  <c r="E86" i="107"/>
  <c r="F86" i="107"/>
  <c r="G86" i="107"/>
  <c r="H86" i="107"/>
  <c r="H86" i="111" s="1"/>
  <c r="I86" i="107"/>
  <c r="J86" i="107"/>
  <c r="K86" i="107"/>
  <c r="L86" i="107"/>
  <c r="M86" i="107"/>
  <c r="N86" i="107"/>
  <c r="D87" i="107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K87" i="107"/>
  <c r="K87" i="111" s="1"/>
  <c r="L87" i="107"/>
  <c r="M87" i="107"/>
  <c r="M87" i="111" s="1"/>
  <c r="N87" i="107"/>
  <c r="N87" i="111" s="1"/>
  <c r="D88" i="107"/>
  <c r="D88" i="111" s="1"/>
  <c r="E88" i="107"/>
  <c r="E88" i="111" s="1"/>
  <c r="F88" i="107"/>
  <c r="F88" i="111" s="1"/>
  <c r="G88" i="107"/>
  <c r="H88" i="107"/>
  <c r="H88" i="111" s="1"/>
  <c r="I88" i="107"/>
  <c r="J88" i="107"/>
  <c r="J88" i="111" s="1"/>
  <c r="K88" i="107"/>
  <c r="K88" i="111" s="1"/>
  <c r="L88" i="107"/>
  <c r="L88" i="111" s="1"/>
  <c r="M88" i="107"/>
  <c r="M88" i="111" s="1"/>
  <c r="N88" i="107"/>
  <c r="N88" i="111" s="1"/>
  <c r="D89" i="107"/>
  <c r="E89" i="107"/>
  <c r="E89" i="111" s="1"/>
  <c r="F89" i="107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M89" i="107"/>
  <c r="M89" i="111" s="1"/>
  <c r="N89" i="107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D91" i="111" s="1"/>
  <c r="E91" i="107"/>
  <c r="E91" i="111" s="1"/>
  <c r="F91" i="107"/>
  <c r="G91" i="107"/>
  <c r="G91" i="111" s="1"/>
  <c r="H91" i="107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D92" i="107"/>
  <c r="D92" i="111" s="1"/>
  <c r="E92" i="107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L92" i="107"/>
  <c r="L92" i="111" s="1"/>
  <c r="M92" i="107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I93" i="107"/>
  <c r="I93" i="111" s="1"/>
  <c r="J93" i="107"/>
  <c r="K93" i="107"/>
  <c r="L93" i="107"/>
  <c r="L93" i="111" s="1"/>
  <c r="M93" i="107"/>
  <c r="M93" i="111" s="1"/>
  <c r="N93" i="107"/>
  <c r="N93" i="111" s="1"/>
  <c r="D94" i="107"/>
  <c r="E94" i="107"/>
  <c r="F94" i="107"/>
  <c r="G94" i="107"/>
  <c r="H94" i="107"/>
  <c r="I94" i="107"/>
  <c r="J94" i="107"/>
  <c r="K94" i="107"/>
  <c r="L94" i="107"/>
  <c r="M94" i="107"/>
  <c r="N94" i="107"/>
  <c r="N94" i="111" s="1"/>
  <c r="D95" i="107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K95" i="107"/>
  <c r="K95" i="111" s="1"/>
  <c r="L95" i="107"/>
  <c r="M95" i="107"/>
  <c r="M95" i="111" s="1"/>
  <c r="N95" i="107"/>
  <c r="N95" i="111" s="1"/>
  <c r="D96" i="107"/>
  <c r="D96" i="111" s="1"/>
  <c r="E96" i="107"/>
  <c r="E96" i="111" s="1"/>
  <c r="F96" i="107"/>
  <c r="F96" i="111" s="1"/>
  <c r="G96" i="107"/>
  <c r="H96" i="107"/>
  <c r="H96" i="111" s="1"/>
  <c r="I96" i="107"/>
  <c r="J96" i="107"/>
  <c r="J96" i="111" s="1"/>
  <c r="K96" i="107"/>
  <c r="K96" i="111" s="1"/>
  <c r="L96" i="107"/>
  <c r="L96" i="111" s="1"/>
  <c r="M96" i="107"/>
  <c r="M96" i="111" s="1"/>
  <c r="N96" i="107"/>
  <c r="N96" i="111" s="1"/>
  <c r="D97" i="107"/>
  <c r="E97" i="107"/>
  <c r="E97" i="111" s="1"/>
  <c r="F97" i="107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M97" i="107"/>
  <c r="M97" i="111" s="1"/>
  <c r="N97" i="107"/>
  <c r="D98" i="107"/>
  <c r="E98" i="107"/>
  <c r="U32" i="107" s="1"/>
  <c r="F98" i="107"/>
  <c r="G98" i="107"/>
  <c r="W32" i="107" s="1"/>
  <c r="H98" i="107"/>
  <c r="I98" i="107"/>
  <c r="J98" i="107"/>
  <c r="K98" i="107"/>
  <c r="L98" i="107"/>
  <c r="M98" i="107"/>
  <c r="AC32" i="107" s="1"/>
  <c r="N98" i="107"/>
  <c r="D99" i="107"/>
  <c r="D99" i="111" s="1"/>
  <c r="E99" i="107"/>
  <c r="E99" i="111" s="1"/>
  <c r="F99" i="107"/>
  <c r="G99" i="107"/>
  <c r="G99" i="111" s="1"/>
  <c r="H99" i="107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D100" i="107"/>
  <c r="D100" i="111" s="1"/>
  <c r="E100" i="107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L100" i="107"/>
  <c r="L100" i="111" s="1"/>
  <c r="M100" i="107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I101" i="107"/>
  <c r="I101" i="111" s="1"/>
  <c r="J101" i="107"/>
  <c r="K101" i="107"/>
  <c r="K101" i="111" s="1"/>
  <c r="L101" i="107"/>
  <c r="L101" i="111" s="1"/>
  <c r="M101" i="107"/>
  <c r="M101" i="111" s="1"/>
  <c r="N101" i="107"/>
  <c r="N101" i="111" s="1"/>
  <c r="D102" i="107"/>
  <c r="E102" i="107"/>
  <c r="F102" i="107"/>
  <c r="G102" i="107"/>
  <c r="H102" i="107"/>
  <c r="I102" i="107"/>
  <c r="Y33" i="107" s="1"/>
  <c r="J102" i="107"/>
  <c r="K102" i="107"/>
  <c r="AA33" i="107" s="1"/>
  <c r="L102" i="107"/>
  <c r="M102" i="107"/>
  <c r="N102" i="107"/>
  <c r="D103" i="107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K103" i="107"/>
  <c r="K103" i="111" s="1"/>
  <c r="L103" i="107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H104" i="107"/>
  <c r="H104" i="111" s="1"/>
  <c r="I104" i="107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E105" i="107"/>
  <c r="E105" i="111" s="1"/>
  <c r="F105" i="107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M105" i="107"/>
  <c r="M105" i="111" s="1"/>
  <c r="N105" i="107"/>
  <c r="C59" i="107"/>
  <c r="C60" i="107"/>
  <c r="C60" i="111" s="1"/>
  <c r="C61" i="107"/>
  <c r="C62" i="107"/>
  <c r="C63" i="107"/>
  <c r="C64" i="107"/>
  <c r="C65" i="107"/>
  <c r="C66" i="107"/>
  <c r="C67" i="107"/>
  <c r="C68" i="107"/>
  <c r="C68" i="111" s="1"/>
  <c r="C69" i="107"/>
  <c r="C70" i="107"/>
  <c r="C70" i="111" s="1"/>
  <c r="C71" i="107"/>
  <c r="C72" i="107"/>
  <c r="C73" i="107"/>
  <c r="P73" i="107" s="1"/>
  <c r="C74" i="107"/>
  <c r="C75" i="107"/>
  <c r="C76" i="107"/>
  <c r="C76" i="111" s="1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2" i="111" s="1"/>
  <c r="C93" i="107"/>
  <c r="C94" i="107"/>
  <c r="C94" i="111" s="1"/>
  <c r="C95" i="107"/>
  <c r="C96" i="107"/>
  <c r="C97" i="107"/>
  <c r="C98" i="107"/>
  <c r="C99" i="107"/>
  <c r="C100" i="107"/>
  <c r="C100" i="111" s="1"/>
  <c r="C101" i="107"/>
  <c r="C102" i="107"/>
  <c r="C102" i="111" s="1"/>
  <c r="C103" i="107"/>
  <c r="C104" i="107"/>
  <c r="C105" i="107"/>
  <c r="C58" i="108"/>
  <c r="C58" i="107"/>
  <c r="C58" i="111" s="1"/>
  <c r="S27" i="107" l="1"/>
  <c r="O78" i="107"/>
  <c r="AE27" i="107" s="1"/>
  <c r="P78" i="107"/>
  <c r="AA31" i="107"/>
  <c r="K94" i="111"/>
  <c r="AA31" i="111" s="1"/>
  <c r="AA27" i="107"/>
  <c r="K78" i="111"/>
  <c r="AA27" i="111" s="1"/>
  <c r="P80" i="108"/>
  <c r="O80" i="108"/>
  <c r="C78" i="111"/>
  <c r="P78" i="111" s="1"/>
  <c r="P101" i="107"/>
  <c r="O101" i="107"/>
  <c r="C101" i="111"/>
  <c r="P93" i="107"/>
  <c r="O93" i="107"/>
  <c r="C93" i="111"/>
  <c r="O85" i="107"/>
  <c r="C85" i="111"/>
  <c r="P85" i="111" s="1"/>
  <c r="O77" i="107"/>
  <c r="P77" i="107"/>
  <c r="C77" i="111"/>
  <c r="O69" i="107"/>
  <c r="C69" i="111"/>
  <c r="O61" i="107"/>
  <c r="P61" i="107"/>
  <c r="C61" i="111"/>
  <c r="P61" i="111" s="1"/>
  <c r="Z33" i="107"/>
  <c r="J102" i="111"/>
  <c r="Z33" i="111" s="1"/>
  <c r="AD32" i="107"/>
  <c r="N98" i="111"/>
  <c r="V32" i="107"/>
  <c r="F98" i="111"/>
  <c r="Z31" i="107"/>
  <c r="J94" i="111"/>
  <c r="AD30" i="107"/>
  <c r="N90" i="111"/>
  <c r="AD30" i="111" s="1"/>
  <c r="V30" i="107"/>
  <c r="F90" i="111"/>
  <c r="Z29" i="107"/>
  <c r="J86" i="111"/>
  <c r="AD28" i="107"/>
  <c r="N82" i="111"/>
  <c r="V28" i="107"/>
  <c r="F82" i="111"/>
  <c r="V28" i="111" s="1"/>
  <c r="Z27" i="107"/>
  <c r="J78" i="111"/>
  <c r="AD26" i="107"/>
  <c r="N74" i="111"/>
  <c r="V26" i="107"/>
  <c r="F74" i="111"/>
  <c r="J70" i="111"/>
  <c r="Z25" i="107"/>
  <c r="AD24" i="107"/>
  <c r="N66" i="111"/>
  <c r="V24" i="107"/>
  <c r="F66" i="111"/>
  <c r="Z23" i="107"/>
  <c r="J62" i="111"/>
  <c r="Z23" i="111" s="1"/>
  <c r="AD22" i="107"/>
  <c r="N58" i="111"/>
  <c r="V22" i="107"/>
  <c r="F58" i="111"/>
  <c r="O71" i="108"/>
  <c r="T31" i="108"/>
  <c r="T23" i="108"/>
  <c r="M98" i="111"/>
  <c r="AC32" i="111" s="1"/>
  <c r="D58" i="111"/>
  <c r="T22" i="111" s="1"/>
  <c r="X29" i="107"/>
  <c r="S29" i="107"/>
  <c r="O86" i="107"/>
  <c r="P86" i="107"/>
  <c r="AA29" i="107"/>
  <c r="K86" i="111"/>
  <c r="AA29" i="111" s="1"/>
  <c r="P72" i="108"/>
  <c r="O72" i="108"/>
  <c r="P84" i="107"/>
  <c r="O84" i="107"/>
  <c r="G98" i="111"/>
  <c r="W32" i="111" s="1"/>
  <c r="P69" i="107"/>
  <c r="P91" i="107"/>
  <c r="O91" i="107"/>
  <c r="C91" i="111"/>
  <c r="P91" i="111" s="1"/>
  <c r="P67" i="107"/>
  <c r="O67" i="107"/>
  <c r="C67" i="111"/>
  <c r="X33" i="107"/>
  <c r="H102" i="111"/>
  <c r="X33" i="111" s="1"/>
  <c r="X31" i="107"/>
  <c r="H94" i="111"/>
  <c r="X31" i="111" s="1"/>
  <c r="AB30" i="107"/>
  <c r="T30" i="107"/>
  <c r="X29" i="111"/>
  <c r="AB28" i="107"/>
  <c r="L82" i="111"/>
  <c r="AB28" i="111" s="1"/>
  <c r="T28" i="107"/>
  <c r="X27" i="107"/>
  <c r="AB26" i="107"/>
  <c r="L74" i="111"/>
  <c r="AB26" i="111" s="1"/>
  <c r="T26" i="107"/>
  <c r="D74" i="111"/>
  <c r="T26" i="111" s="1"/>
  <c r="T24" i="107"/>
  <c r="D66" i="111"/>
  <c r="T24" i="111" s="1"/>
  <c r="X23" i="107"/>
  <c r="H62" i="111"/>
  <c r="X23" i="111" s="1"/>
  <c r="Z25" i="108"/>
  <c r="E98" i="111"/>
  <c r="O98" i="111" s="1"/>
  <c r="D90" i="111"/>
  <c r="T30" i="111" s="1"/>
  <c r="H78" i="111"/>
  <c r="X27" i="111" s="1"/>
  <c r="L66" i="111"/>
  <c r="AB24" i="111" s="1"/>
  <c r="S23" i="107"/>
  <c r="O62" i="107"/>
  <c r="P62" i="107"/>
  <c r="P96" i="108"/>
  <c r="O96" i="108"/>
  <c r="P76" i="107"/>
  <c r="O76" i="107"/>
  <c r="Y31" i="107"/>
  <c r="I94" i="111"/>
  <c r="AC30" i="107"/>
  <c r="M90" i="111"/>
  <c r="S22" i="108"/>
  <c r="O58" i="108"/>
  <c r="P58" i="108"/>
  <c r="P83" i="107"/>
  <c r="O83" i="107"/>
  <c r="C83" i="111"/>
  <c r="P59" i="107"/>
  <c r="O59" i="107"/>
  <c r="C59" i="111"/>
  <c r="S22" i="111" s="1"/>
  <c r="AB32" i="107"/>
  <c r="L98" i="111"/>
  <c r="AB32" i="111" s="1"/>
  <c r="T32" i="107"/>
  <c r="D98" i="111"/>
  <c r="T32" i="111" s="1"/>
  <c r="O98" i="107"/>
  <c r="S32" i="107"/>
  <c r="P98" i="107"/>
  <c r="C98" i="111"/>
  <c r="O90" i="107"/>
  <c r="AE30" i="107" s="1"/>
  <c r="S30" i="107"/>
  <c r="C90" i="111"/>
  <c r="S30" i="111" s="1"/>
  <c r="S28" i="107"/>
  <c r="O82" i="107"/>
  <c r="AE28" i="107" s="1"/>
  <c r="P82" i="107"/>
  <c r="C82" i="111"/>
  <c r="S26" i="107"/>
  <c r="O74" i="107"/>
  <c r="C74" i="111"/>
  <c r="P74" i="107"/>
  <c r="S24" i="107"/>
  <c r="O66" i="107"/>
  <c r="P66" i="107"/>
  <c r="C66" i="111"/>
  <c r="S24" i="111" s="1"/>
  <c r="N105" i="111"/>
  <c r="F105" i="111"/>
  <c r="P105" i="111" s="1"/>
  <c r="I104" i="111"/>
  <c r="L103" i="111"/>
  <c r="P103" i="111" s="1"/>
  <c r="D103" i="111"/>
  <c r="W33" i="107"/>
  <c r="G102" i="111"/>
  <c r="J101" i="111"/>
  <c r="M100" i="111"/>
  <c r="E100" i="111"/>
  <c r="P100" i="111" s="1"/>
  <c r="H99" i="111"/>
  <c r="AA32" i="107"/>
  <c r="K98" i="111"/>
  <c r="N97" i="111"/>
  <c r="F97" i="111"/>
  <c r="I96" i="111"/>
  <c r="L95" i="111"/>
  <c r="D95" i="111"/>
  <c r="W31" i="107"/>
  <c r="G94" i="111"/>
  <c r="W31" i="111" s="1"/>
  <c r="J93" i="111"/>
  <c r="M92" i="111"/>
  <c r="E92" i="111"/>
  <c r="H91" i="111"/>
  <c r="AA30" i="107"/>
  <c r="K90" i="111"/>
  <c r="AA30" i="111" s="1"/>
  <c r="N89" i="111"/>
  <c r="F89" i="111"/>
  <c r="P89" i="111" s="1"/>
  <c r="I88" i="111"/>
  <c r="L87" i="111"/>
  <c r="D87" i="111"/>
  <c r="W29" i="107"/>
  <c r="G86" i="111"/>
  <c r="J85" i="111"/>
  <c r="M84" i="111"/>
  <c r="E84" i="111"/>
  <c r="P84" i="111" s="1"/>
  <c r="H83" i="111"/>
  <c r="AA28" i="107"/>
  <c r="K82" i="111"/>
  <c r="N81" i="111"/>
  <c r="F81" i="111"/>
  <c r="I80" i="111"/>
  <c r="L79" i="111"/>
  <c r="D79" i="111"/>
  <c r="W27" i="107"/>
  <c r="G78" i="111"/>
  <c r="J77" i="111"/>
  <c r="C62" i="111"/>
  <c r="P85" i="107"/>
  <c r="S33" i="107"/>
  <c r="P102" i="107"/>
  <c r="O102" i="107"/>
  <c r="AE33" i="107" s="1"/>
  <c r="P104" i="108"/>
  <c r="O104" i="108"/>
  <c r="S22" i="107"/>
  <c r="O58" i="107"/>
  <c r="P58" i="107"/>
  <c r="P68" i="107"/>
  <c r="O68" i="107"/>
  <c r="E82" i="111"/>
  <c r="U28" i="111" s="1"/>
  <c r="U28" i="107"/>
  <c r="Y27" i="107"/>
  <c r="I78" i="111"/>
  <c r="AB30" i="111"/>
  <c r="P99" i="107"/>
  <c r="O99" i="107"/>
  <c r="C99" i="111"/>
  <c r="P75" i="107"/>
  <c r="O75" i="107"/>
  <c r="C75" i="111"/>
  <c r="P105" i="107"/>
  <c r="O105" i="107"/>
  <c r="C105" i="111"/>
  <c r="P97" i="107"/>
  <c r="O97" i="107"/>
  <c r="C97" i="111"/>
  <c r="P97" i="111" s="1"/>
  <c r="P89" i="107"/>
  <c r="O89" i="107"/>
  <c r="C89" i="111"/>
  <c r="O81" i="107"/>
  <c r="P81" i="107"/>
  <c r="C81" i="111"/>
  <c r="P81" i="111" s="1"/>
  <c r="O73" i="107"/>
  <c r="C73" i="111"/>
  <c r="P73" i="111" s="1"/>
  <c r="O65" i="107"/>
  <c r="P65" i="107"/>
  <c r="C65" i="111"/>
  <c r="AD33" i="107"/>
  <c r="N102" i="111"/>
  <c r="AD33" i="111" s="1"/>
  <c r="V33" i="107"/>
  <c r="F102" i="111"/>
  <c r="Z32" i="107"/>
  <c r="J98" i="111"/>
  <c r="Z32" i="111" s="1"/>
  <c r="AD31" i="111"/>
  <c r="F94" i="111"/>
  <c r="V31" i="111" s="1"/>
  <c r="V31" i="107"/>
  <c r="Z30" i="107"/>
  <c r="J90" i="111"/>
  <c r="Z30" i="111" s="1"/>
  <c r="AD29" i="107"/>
  <c r="N86" i="111"/>
  <c r="AD29" i="111" s="1"/>
  <c r="V29" i="107"/>
  <c r="F86" i="111"/>
  <c r="AD27" i="111"/>
  <c r="V27" i="111"/>
  <c r="P90" i="107"/>
  <c r="S25" i="107"/>
  <c r="O70" i="107"/>
  <c r="P70" i="107"/>
  <c r="W30" i="107"/>
  <c r="G90" i="111"/>
  <c r="W30" i="111" s="1"/>
  <c r="P88" i="108"/>
  <c r="O88" i="108"/>
  <c r="P92" i="107"/>
  <c r="O92" i="107"/>
  <c r="Y29" i="107"/>
  <c r="I86" i="111"/>
  <c r="Y29" i="111" s="1"/>
  <c r="P104" i="107"/>
  <c r="O104" i="107"/>
  <c r="C104" i="111"/>
  <c r="P104" i="111" s="1"/>
  <c r="P88" i="107"/>
  <c r="O88" i="107"/>
  <c r="C88" i="111"/>
  <c r="P72" i="107"/>
  <c r="O72" i="107"/>
  <c r="C72" i="111"/>
  <c r="L105" i="111"/>
  <c r="G104" i="111"/>
  <c r="AC33" i="107"/>
  <c r="M102" i="111"/>
  <c r="AC33" i="111" s="1"/>
  <c r="U33" i="107"/>
  <c r="E102" i="111"/>
  <c r="U33" i="111" s="1"/>
  <c r="K100" i="111"/>
  <c r="F99" i="111"/>
  <c r="L97" i="111"/>
  <c r="G96" i="111"/>
  <c r="P96" i="111" s="1"/>
  <c r="AC31" i="107"/>
  <c r="M94" i="111"/>
  <c r="AC31" i="111" s="1"/>
  <c r="U31" i="107"/>
  <c r="E94" i="111"/>
  <c r="U31" i="111" s="1"/>
  <c r="K92" i="111"/>
  <c r="F91" i="111"/>
  <c r="L89" i="111"/>
  <c r="G88" i="111"/>
  <c r="P88" i="111" s="1"/>
  <c r="AC29" i="107"/>
  <c r="M86" i="111"/>
  <c r="AC29" i="111" s="1"/>
  <c r="U29" i="107"/>
  <c r="E86" i="111"/>
  <c r="U29" i="111" s="1"/>
  <c r="K84" i="111"/>
  <c r="F83" i="111"/>
  <c r="Y28" i="107"/>
  <c r="I82" i="111"/>
  <c r="Y28" i="111" s="1"/>
  <c r="L81" i="111"/>
  <c r="G80" i="111"/>
  <c r="O80" i="111" s="1"/>
  <c r="J79" i="111"/>
  <c r="P98" i="108"/>
  <c r="S32" i="108"/>
  <c r="O98" i="108"/>
  <c r="P90" i="108"/>
  <c r="S30" i="108"/>
  <c r="O90" i="108"/>
  <c r="S28" i="108"/>
  <c r="O82" i="108"/>
  <c r="P82" i="108"/>
  <c r="S26" i="108"/>
  <c r="P74" i="108"/>
  <c r="O74" i="108"/>
  <c r="P66" i="108"/>
  <c r="O66" i="108"/>
  <c r="S24" i="108"/>
  <c r="W33" i="108"/>
  <c r="AA32" i="108"/>
  <c r="W31" i="108"/>
  <c r="AA30" i="108"/>
  <c r="W29" i="108"/>
  <c r="AA28" i="108"/>
  <c r="W27" i="108"/>
  <c r="AA26" i="108"/>
  <c r="W25" i="108"/>
  <c r="AA24" i="108"/>
  <c r="W23" i="108"/>
  <c r="AA22" i="108"/>
  <c r="C86" i="111"/>
  <c r="S29" i="111" s="1"/>
  <c r="K102" i="111"/>
  <c r="AA33" i="111" s="1"/>
  <c r="O70" i="108"/>
  <c r="S31" i="107"/>
  <c r="P94" i="107"/>
  <c r="O94" i="107"/>
  <c r="W28" i="107"/>
  <c r="G82" i="111"/>
  <c r="W28" i="111" s="1"/>
  <c r="P64" i="108"/>
  <c r="O64" i="108"/>
  <c r="T28" i="111"/>
  <c r="P100" i="107"/>
  <c r="O100" i="107"/>
  <c r="P60" i="107"/>
  <c r="O60" i="107"/>
  <c r="U30" i="107"/>
  <c r="E90" i="111"/>
  <c r="U30" i="111" s="1"/>
  <c r="M82" i="111"/>
  <c r="AC28" i="111" s="1"/>
  <c r="AC28" i="107"/>
  <c r="P96" i="107"/>
  <c r="O96" i="107"/>
  <c r="C96" i="111"/>
  <c r="P80" i="107"/>
  <c r="O80" i="107"/>
  <c r="C80" i="111"/>
  <c r="P64" i="107"/>
  <c r="O64" i="107"/>
  <c r="C64" i="111"/>
  <c r="P64" i="111" s="1"/>
  <c r="D105" i="111"/>
  <c r="J103" i="111"/>
  <c r="H101" i="111"/>
  <c r="N99" i="111"/>
  <c r="Y32" i="107"/>
  <c r="I98" i="111"/>
  <c r="Y32" i="111" s="1"/>
  <c r="D97" i="111"/>
  <c r="J95" i="111"/>
  <c r="H93" i="111"/>
  <c r="N91" i="111"/>
  <c r="Y30" i="107"/>
  <c r="I90" i="111"/>
  <c r="Y30" i="111" s="1"/>
  <c r="D89" i="111"/>
  <c r="J87" i="111"/>
  <c r="P87" i="111" s="1"/>
  <c r="H85" i="111"/>
  <c r="N83" i="111"/>
  <c r="P83" i="111" s="1"/>
  <c r="D81" i="111"/>
  <c r="P103" i="107"/>
  <c r="O103" i="107"/>
  <c r="C103" i="111"/>
  <c r="S33" i="111" s="1"/>
  <c r="P95" i="107"/>
  <c r="O95" i="107"/>
  <c r="C95" i="111"/>
  <c r="S31" i="111" s="1"/>
  <c r="P87" i="107"/>
  <c r="O87" i="107"/>
  <c r="C87" i="111"/>
  <c r="P79" i="107"/>
  <c r="O79" i="107"/>
  <c r="C79" i="111"/>
  <c r="P71" i="107"/>
  <c r="O71" i="107"/>
  <c r="C71" i="111"/>
  <c r="O71" i="111" s="1"/>
  <c r="P63" i="107"/>
  <c r="O63" i="107"/>
  <c r="C63" i="111"/>
  <c r="AB33" i="107"/>
  <c r="L102" i="111"/>
  <c r="T33" i="107"/>
  <c r="D102" i="111"/>
  <c r="T33" i="111" s="1"/>
  <c r="X32" i="107"/>
  <c r="H98" i="111"/>
  <c r="X32" i="111" s="1"/>
  <c r="L94" i="111"/>
  <c r="AB31" i="111" s="1"/>
  <c r="AB31" i="107"/>
  <c r="D94" i="111"/>
  <c r="T31" i="107"/>
  <c r="X30" i="107"/>
  <c r="H90" i="111"/>
  <c r="X30" i="111" s="1"/>
  <c r="AB29" i="107"/>
  <c r="L86" i="111"/>
  <c r="AB29" i="111" s="1"/>
  <c r="T29" i="107"/>
  <c r="D86" i="111"/>
  <c r="X28" i="107"/>
  <c r="H82" i="111"/>
  <c r="X28" i="111" s="1"/>
  <c r="AB27" i="107"/>
  <c r="L78" i="111"/>
  <c r="AB27" i="111" s="1"/>
  <c r="T27" i="107"/>
  <c r="D78" i="111"/>
  <c r="C84" i="111"/>
  <c r="I102" i="111"/>
  <c r="Y33" i="111" s="1"/>
  <c r="M74" i="111"/>
  <c r="AC26" i="107"/>
  <c r="E74" i="111"/>
  <c r="U26" i="111" s="1"/>
  <c r="U26" i="107"/>
  <c r="Y25" i="107"/>
  <c r="I70" i="111"/>
  <c r="AC24" i="107"/>
  <c r="M66" i="111"/>
  <c r="U24" i="107"/>
  <c r="E66" i="111"/>
  <c r="Y23" i="107"/>
  <c r="I62" i="111"/>
  <c r="AC22" i="107"/>
  <c r="M58" i="111"/>
  <c r="AC22" i="111" s="1"/>
  <c r="U22" i="107"/>
  <c r="E58" i="111"/>
  <c r="P105" i="108"/>
  <c r="O105" i="108"/>
  <c r="P97" i="108"/>
  <c r="O97" i="108"/>
  <c r="P89" i="108"/>
  <c r="O89" i="108"/>
  <c r="P81" i="108"/>
  <c r="O81" i="108"/>
  <c r="P73" i="108"/>
  <c r="O73" i="108"/>
  <c r="P65" i="108"/>
  <c r="O65" i="108"/>
  <c r="AD33" i="108"/>
  <c r="V33" i="108"/>
  <c r="Z32" i="108"/>
  <c r="AD31" i="108"/>
  <c r="V31" i="108"/>
  <c r="Z30" i="108"/>
  <c r="AD29" i="108"/>
  <c r="V29" i="108"/>
  <c r="Z28" i="108"/>
  <c r="AD27" i="108"/>
  <c r="V27" i="108"/>
  <c r="Z26" i="108"/>
  <c r="AD25" i="108"/>
  <c r="V25" i="108"/>
  <c r="Z24" i="108"/>
  <c r="AD23" i="108"/>
  <c r="V23" i="108"/>
  <c r="Z22" i="108"/>
  <c r="M76" i="111"/>
  <c r="E76" i="111"/>
  <c r="H75" i="111"/>
  <c r="AA26" i="107"/>
  <c r="K74" i="111"/>
  <c r="AA26" i="111" s="1"/>
  <c r="N73" i="111"/>
  <c r="F73" i="111"/>
  <c r="V25" i="111" s="1"/>
  <c r="I72" i="111"/>
  <c r="L71" i="111"/>
  <c r="D71" i="111"/>
  <c r="W25" i="107"/>
  <c r="G70" i="111"/>
  <c r="J69" i="111"/>
  <c r="O69" i="111" s="1"/>
  <c r="M68" i="111"/>
  <c r="E68" i="111"/>
  <c r="P68" i="111" s="1"/>
  <c r="H67" i="111"/>
  <c r="AA24" i="107"/>
  <c r="K66" i="111"/>
  <c r="N65" i="111"/>
  <c r="F65" i="111"/>
  <c r="I64" i="111"/>
  <c r="L63" i="111"/>
  <c r="D63" i="111"/>
  <c r="O63" i="111" s="1"/>
  <c r="W23" i="107"/>
  <c r="G62" i="111"/>
  <c r="J61" i="111"/>
  <c r="Z22" i="111" s="1"/>
  <c r="M60" i="111"/>
  <c r="E60" i="111"/>
  <c r="H59" i="111"/>
  <c r="P59" i="111" s="1"/>
  <c r="AA22" i="107"/>
  <c r="K58" i="111"/>
  <c r="AA22" i="111" s="1"/>
  <c r="P103" i="108"/>
  <c r="O103" i="108"/>
  <c r="P95" i="108"/>
  <c r="O95" i="108"/>
  <c r="P87" i="108"/>
  <c r="O87" i="108"/>
  <c r="P79" i="108"/>
  <c r="P71" i="108"/>
  <c r="P63" i="108"/>
  <c r="O63" i="108"/>
  <c r="AB33" i="108"/>
  <c r="T33" i="108"/>
  <c r="X32" i="108"/>
  <c r="AB31" i="108"/>
  <c r="X30" i="108"/>
  <c r="AB29" i="108"/>
  <c r="T29" i="108"/>
  <c r="X28" i="108"/>
  <c r="AB27" i="108"/>
  <c r="T27" i="108"/>
  <c r="X26" i="108"/>
  <c r="AB25" i="108"/>
  <c r="T25" i="108"/>
  <c r="X24" i="108"/>
  <c r="X22" i="108"/>
  <c r="Z28" i="107"/>
  <c r="AD27" i="107"/>
  <c r="V27" i="107"/>
  <c r="Z26" i="107"/>
  <c r="AD25" i="107"/>
  <c r="V25" i="107"/>
  <c r="Z24" i="107"/>
  <c r="V23" i="107"/>
  <c r="Z22" i="107"/>
  <c r="S33" i="108"/>
  <c r="P102" i="108"/>
  <c r="O102" i="108"/>
  <c r="AE33" i="108" s="1"/>
  <c r="P94" i="108"/>
  <c r="AF31" i="108" s="1"/>
  <c r="S31" i="108"/>
  <c r="P86" i="108"/>
  <c r="AF29" i="108" s="1"/>
  <c r="S29" i="108"/>
  <c r="O86" i="108"/>
  <c r="S27" i="108"/>
  <c r="P78" i="108"/>
  <c r="O78" i="108"/>
  <c r="AE27" i="108" s="1"/>
  <c r="S25" i="108"/>
  <c r="P70" i="108"/>
  <c r="S23" i="108"/>
  <c r="P62" i="108"/>
  <c r="AA33" i="108"/>
  <c r="W32" i="108"/>
  <c r="AA31" i="108"/>
  <c r="W30" i="108"/>
  <c r="AA29" i="108"/>
  <c r="W28" i="108"/>
  <c r="AA27" i="108"/>
  <c r="W26" i="108"/>
  <c r="AA25" i="108"/>
  <c r="W24" i="108"/>
  <c r="AA23" i="108"/>
  <c r="W22" i="108"/>
  <c r="O94" i="108"/>
  <c r="AE31" i="108" s="1"/>
  <c r="AC27" i="107"/>
  <c r="M78" i="111"/>
  <c r="AC27" i="111" s="1"/>
  <c r="U27" i="107"/>
  <c r="E78" i="111"/>
  <c r="U27" i="111" s="1"/>
  <c r="H77" i="111"/>
  <c r="K76" i="111"/>
  <c r="N75" i="111"/>
  <c r="F75" i="111"/>
  <c r="P75" i="111" s="1"/>
  <c r="Y26" i="107"/>
  <c r="I74" i="111"/>
  <c r="Y26" i="111" s="1"/>
  <c r="L73" i="111"/>
  <c r="D73" i="111"/>
  <c r="G72" i="111"/>
  <c r="J71" i="111"/>
  <c r="AC25" i="107"/>
  <c r="M70" i="111"/>
  <c r="AC25" i="111" s="1"/>
  <c r="U25" i="107"/>
  <c r="E70" i="111"/>
  <c r="U25" i="111" s="1"/>
  <c r="H69" i="111"/>
  <c r="K68" i="111"/>
  <c r="N67" i="111"/>
  <c r="F67" i="111"/>
  <c r="I66" i="111"/>
  <c r="Y24" i="111" s="1"/>
  <c r="L65" i="111"/>
  <c r="O65" i="111" s="1"/>
  <c r="D65" i="111"/>
  <c r="G64" i="111"/>
  <c r="J63" i="111"/>
  <c r="AC23" i="107"/>
  <c r="M62" i="111"/>
  <c r="AC23" i="111" s="1"/>
  <c r="U23" i="107"/>
  <c r="E62" i="111"/>
  <c r="U23" i="111" s="1"/>
  <c r="H61" i="111"/>
  <c r="K60" i="111"/>
  <c r="N59" i="111"/>
  <c r="F59" i="111"/>
  <c r="Y22" i="107"/>
  <c r="I58" i="111"/>
  <c r="Y22" i="111" s="1"/>
  <c r="P101" i="108"/>
  <c r="O101" i="108"/>
  <c r="P93" i="108"/>
  <c r="O93" i="108"/>
  <c r="P85" i="108"/>
  <c r="O85" i="108"/>
  <c r="P77" i="108"/>
  <c r="O77" i="108"/>
  <c r="P69" i="108"/>
  <c r="O69" i="108"/>
  <c r="P61" i="108"/>
  <c r="O61" i="108"/>
  <c r="AD32" i="108"/>
  <c r="V32" i="108"/>
  <c r="Z31" i="108"/>
  <c r="AD30" i="108"/>
  <c r="V30" i="108"/>
  <c r="Z29" i="108"/>
  <c r="AD28" i="108"/>
  <c r="V28" i="108"/>
  <c r="Z27" i="108"/>
  <c r="AD26" i="108"/>
  <c r="V26" i="108"/>
  <c r="AD24" i="108"/>
  <c r="V24" i="108"/>
  <c r="Z23" i="108"/>
  <c r="AD22" i="108"/>
  <c r="V22" i="108"/>
  <c r="J74" i="111"/>
  <c r="Z26" i="111" s="1"/>
  <c r="N62" i="111"/>
  <c r="AD23" i="111" s="1"/>
  <c r="W26" i="107"/>
  <c r="X26" i="107"/>
  <c r="H74" i="111"/>
  <c r="X26" i="111" s="1"/>
  <c r="AB25" i="107"/>
  <c r="L70" i="111"/>
  <c r="AB25" i="111" s="1"/>
  <c r="T25" i="107"/>
  <c r="D70" i="111"/>
  <c r="T25" i="111" s="1"/>
  <c r="X24" i="107"/>
  <c r="H66" i="111"/>
  <c r="L62" i="111"/>
  <c r="AB23" i="107"/>
  <c r="T23" i="107"/>
  <c r="D62" i="111"/>
  <c r="P62" i="111" s="1"/>
  <c r="X22" i="107"/>
  <c r="H58" i="111"/>
  <c r="X22" i="111" s="1"/>
  <c r="P100" i="108"/>
  <c r="O100" i="108"/>
  <c r="P92" i="108"/>
  <c r="O92" i="108"/>
  <c r="P84" i="108"/>
  <c r="O84" i="108"/>
  <c r="P76" i="108"/>
  <c r="O76" i="108"/>
  <c r="P68" i="108"/>
  <c r="O68" i="108"/>
  <c r="P60" i="108"/>
  <c r="O60" i="108"/>
  <c r="Y33" i="108"/>
  <c r="AC32" i="108"/>
  <c r="U32" i="108"/>
  <c r="Y31" i="108"/>
  <c r="AC30" i="108"/>
  <c r="U30" i="108"/>
  <c r="Y29" i="108"/>
  <c r="AC28" i="108"/>
  <c r="U28" i="108"/>
  <c r="Y27" i="108"/>
  <c r="AC26" i="108"/>
  <c r="Y25" i="108"/>
  <c r="AC24" i="108"/>
  <c r="U24" i="108"/>
  <c r="Y23" i="108"/>
  <c r="AC22" i="108"/>
  <c r="U22" i="108"/>
  <c r="Y24" i="107"/>
  <c r="W26" i="111"/>
  <c r="AA25" i="107"/>
  <c r="K70" i="111"/>
  <c r="AA25" i="111" s="1"/>
  <c r="G66" i="111"/>
  <c r="W24" i="111" s="1"/>
  <c r="W24" i="107"/>
  <c r="AA23" i="107"/>
  <c r="K62" i="111"/>
  <c r="AA23" i="111" s="1"/>
  <c r="W22" i="107"/>
  <c r="G58" i="111"/>
  <c r="W22" i="111" s="1"/>
  <c r="P99" i="108"/>
  <c r="O99" i="108"/>
  <c r="P91" i="108"/>
  <c r="O91" i="108"/>
  <c r="P83" i="108"/>
  <c r="O83" i="108"/>
  <c r="P75" i="108"/>
  <c r="O75" i="108"/>
  <c r="P67" i="108"/>
  <c r="O67" i="108"/>
  <c r="P59" i="108"/>
  <c r="O59" i="108"/>
  <c r="X33" i="108"/>
  <c r="AB32" i="108"/>
  <c r="T32" i="108"/>
  <c r="X31" i="108"/>
  <c r="AB30" i="108"/>
  <c r="T30" i="108"/>
  <c r="X29" i="108"/>
  <c r="AB28" i="108"/>
  <c r="T28" i="108"/>
  <c r="X27" i="108"/>
  <c r="AB26" i="108"/>
  <c r="T26" i="108"/>
  <c r="X25" i="108"/>
  <c r="AB24" i="108"/>
  <c r="T24" i="108"/>
  <c r="X23" i="108"/>
  <c r="AB22" i="108"/>
  <c r="T22" i="108"/>
  <c r="J82" i="111"/>
  <c r="Z28" i="111" s="1"/>
  <c r="N70" i="111"/>
  <c r="AD25" i="111" s="1"/>
  <c r="F62" i="111"/>
  <c r="V23" i="111" s="1"/>
  <c r="O62" i="108"/>
  <c r="P101" i="111"/>
  <c r="P99" i="111"/>
  <c r="P95" i="111"/>
  <c r="P93" i="111"/>
  <c r="P79" i="111"/>
  <c r="P77" i="111"/>
  <c r="P67" i="111"/>
  <c r="P63" i="111"/>
  <c r="O72" i="111"/>
  <c r="O60" i="111"/>
  <c r="P72" i="111"/>
  <c r="P66" i="111"/>
  <c r="P60" i="111"/>
  <c r="O73" i="111"/>
  <c r="O67" i="111"/>
  <c r="O61" i="111"/>
  <c r="O58" i="111"/>
  <c r="O66" i="111"/>
  <c r="O104" i="111"/>
  <c r="O102" i="111"/>
  <c r="O96" i="111"/>
  <c r="O94" i="111"/>
  <c r="P92" i="111"/>
  <c r="O92" i="111"/>
  <c r="O88" i="111"/>
  <c r="O86" i="111"/>
  <c r="O78" i="111"/>
  <c r="P76" i="111"/>
  <c r="O76" i="111"/>
  <c r="O101" i="111"/>
  <c r="O99" i="111"/>
  <c r="O95" i="111"/>
  <c r="O93" i="111"/>
  <c r="O79" i="111"/>
  <c r="O77" i="111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D106" i="108" s="1"/>
  <c r="E10" i="108"/>
  <c r="F10" i="108"/>
  <c r="F106" i="108" s="1"/>
  <c r="G10" i="108"/>
  <c r="H10" i="108"/>
  <c r="H106" i="108" s="1"/>
  <c r="I10" i="108"/>
  <c r="J10" i="108"/>
  <c r="K10" i="108"/>
  <c r="L10" i="108"/>
  <c r="L106" i="108" s="1"/>
  <c r="M10" i="108"/>
  <c r="N10" i="108"/>
  <c r="N106" i="108" s="1"/>
  <c r="C10" i="108"/>
  <c r="C11" i="107"/>
  <c r="C11" i="111" s="1"/>
  <c r="D11" i="107"/>
  <c r="D11" i="111" s="1"/>
  <c r="E11" i="107"/>
  <c r="E11" i="111" s="1"/>
  <c r="F11" i="107"/>
  <c r="F11" i="111" s="1"/>
  <c r="G11" i="107"/>
  <c r="G11" i="111" s="1"/>
  <c r="H11" i="107"/>
  <c r="H11" i="111" s="1"/>
  <c r="I11" i="107"/>
  <c r="I11" i="111" s="1"/>
  <c r="J11" i="107"/>
  <c r="J11" i="111" s="1"/>
  <c r="K11" i="107"/>
  <c r="K11" i="111" s="1"/>
  <c r="L11" i="107"/>
  <c r="L11" i="111" s="1"/>
  <c r="M11" i="107"/>
  <c r="M11" i="111" s="1"/>
  <c r="N11" i="107"/>
  <c r="N11" i="111" s="1"/>
  <c r="C12" i="107"/>
  <c r="C12" i="111" s="1"/>
  <c r="D12" i="107"/>
  <c r="D12" i="111" s="1"/>
  <c r="E12" i="107"/>
  <c r="E12" i="111" s="1"/>
  <c r="F12" i="107"/>
  <c r="F12" i="111" s="1"/>
  <c r="G12" i="107"/>
  <c r="G12" i="111" s="1"/>
  <c r="H12" i="107"/>
  <c r="H12" i="111" s="1"/>
  <c r="I12" i="107"/>
  <c r="I12" i="111" s="1"/>
  <c r="J12" i="107"/>
  <c r="J12" i="111" s="1"/>
  <c r="K12" i="107"/>
  <c r="K12" i="111" s="1"/>
  <c r="L12" i="107"/>
  <c r="L12" i="111" s="1"/>
  <c r="M12" i="107"/>
  <c r="M12" i="111" s="1"/>
  <c r="N12" i="107"/>
  <c r="N12" i="111" s="1"/>
  <c r="C13" i="107"/>
  <c r="C13" i="111" s="1"/>
  <c r="D13" i="107"/>
  <c r="D13" i="111" s="1"/>
  <c r="E13" i="107"/>
  <c r="E13" i="111" s="1"/>
  <c r="F13" i="107"/>
  <c r="F13" i="111" s="1"/>
  <c r="G13" i="107"/>
  <c r="G13" i="111" s="1"/>
  <c r="H13" i="107"/>
  <c r="H13" i="111" s="1"/>
  <c r="I13" i="107"/>
  <c r="I13" i="111" s="1"/>
  <c r="J13" i="107"/>
  <c r="J13" i="111" s="1"/>
  <c r="K13" i="107"/>
  <c r="K13" i="111" s="1"/>
  <c r="L13" i="107"/>
  <c r="L13" i="111" s="1"/>
  <c r="M13" i="107"/>
  <c r="M13" i="111" s="1"/>
  <c r="N13" i="107"/>
  <c r="N13" i="111" s="1"/>
  <c r="C14" i="107"/>
  <c r="C14" i="111" s="1"/>
  <c r="D14" i="107"/>
  <c r="D14" i="111" s="1"/>
  <c r="E14" i="107"/>
  <c r="E14" i="111" s="1"/>
  <c r="F14" i="107"/>
  <c r="F14" i="111" s="1"/>
  <c r="G14" i="107"/>
  <c r="G14" i="111" s="1"/>
  <c r="H14" i="107"/>
  <c r="H14" i="111" s="1"/>
  <c r="I14" i="107"/>
  <c r="I14" i="111" s="1"/>
  <c r="J14" i="107"/>
  <c r="J14" i="111" s="1"/>
  <c r="K14" i="107"/>
  <c r="K14" i="111" s="1"/>
  <c r="L14" i="107"/>
  <c r="L14" i="111" s="1"/>
  <c r="M14" i="107"/>
  <c r="M14" i="111" s="1"/>
  <c r="N14" i="107"/>
  <c r="N14" i="111" s="1"/>
  <c r="C15" i="107"/>
  <c r="C15" i="111" s="1"/>
  <c r="D15" i="107"/>
  <c r="D15" i="111" s="1"/>
  <c r="E15" i="107"/>
  <c r="E15" i="111" s="1"/>
  <c r="F15" i="107"/>
  <c r="F15" i="111" s="1"/>
  <c r="G15" i="107"/>
  <c r="G15" i="111" s="1"/>
  <c r="H15" i="107"/>
  <c r="H15" i="111" s="1"/>
  <c r="I15" i="107"/>
  <c r="I15" i="111" s="1"/>
  <c r="J15" i="107"/>
  <c r="J15" i="111" s="1"/>
  <c r="K15" i="107"/>
  <c r="K15" i="111" s="1"/>
  <c r="L15" i="107"/>
  <c r="L15" i="111" s="1"/>
  <c r="M15" i="107"/>
  <c r="M15" i="111" s="1"/>
  <c r="N15" i="107"/>
  <c r="N15" i="111" s="1"/>
  <c r="C16" i="107"/>
  <c r="C16" i="111" s="1"/>
  <c r="D16" i="107"/>
  <c r="D16" i="111" s="1"/>
  <c r="E16" i="107"/>
  <c r="E16" i="111" s="1"/>
  <c r="F16" i="107"/>
  <c r="F16" i="111" s="1"/>
  <c r="G16" i="107"/>
  <c r="G16" i="111" s="1"/>
  <c r="H16" i="107"/>
  <c r="H16" i="111" s="1"/>
  <c r="I16" i="107"/>
  <c r="I16" i="111" s="1"/>
  <c r="J16" i="107"/>
  <c r="J16" i="111" s="1"/>
  <c r="K16" i="107"/>
  <c r="K16" i="111" s="1"/>
  <c r="L16" i="107"/>
  <c r="L16" i="111" s="1"/>
  <c r="M16" i="107"/>
  <c r="M16" i="111" s="1"/>
  <c r="N16" i="107"/>
  <c r="N16" i="111" s="1"/>
  <c r="C17" i="107"/>
  <c r="C17" i="111" s="1"/>
  <c r="D17" i="107"/>
  <c r="D17" i="111" s="1"/>
  <c r="E17" i="107"/>
  <c r="E17" i="111" s="1"/>
  <c r="F17" i="107"/>
  <c r="F17" i="111" s="1"/>
  <c r="G17" i="107"/>
  <c r="G17" i="111" s="1"/>
  <c r="H17" i="107"/>
  <c r="H17" i="111" s="1"/>
  <c r="I17" i="107"/>
  <c r="I17" i="111" s="1"/>
  <c r="J17" i="107"/>
  <c r="J17" i="111" s="1"/>
  <c r="K17" i="107"/>
  <c r="K17" i="111" s="1"/>
  <c r="L17" i="107"/>
  <c r="L17" i="111" s="1"/>
  <c r="M17" i="107"/>
  <c r="M17" i="111" s="1"/>
  <c r="N17" i="107"/>
  <c r="N17" i="111" s="1"/>
  <c r="C18" i="107"/>
  <c r="C18" i="111" s="1"/>
  <c r="D18" i="107"/>
  <c r="D18" i="111" s="1"/>
  <c r="E18" i="107"/>
  <c r="E18" i="111" s="1"/>
  <c r="F18" i="107"/>
  <c r="F18" i="111" s="1"/>
  <c r="G18" i="107"/>
  <c r="G18" i="111" s="1"/>
  <c r="H18" i="107"/>
  <c r="H18" i="111" s="1"/>
  <c r="I18" i="107"/>
  <c r="I18" i="111" s="1"/>
  <c r="J18" i="107"/>
  <c r="J18" i="111" s="1"/>
  <c r="K18" i="107"/>
  <c r="K18" i="111" s="1"/>
  <c r="L18" i="107"/>
  <c r="L18" i="111" s="1"/>
  <c r="M18" i="107"/>
  <c r="M18" i="111" s="1"/>
  <c r="N18" i="107"/>
  <c r="N18" i="111" s="1"/>
  <c r="C19" i="107"/>
  <c r="C19" i="111" s="1"/>
  <c r="D19" i="107"/>
  <c r="D19" i="111" s="1"/>
  <c r="E19" i="107"/>
  <c r="E19" i="111" s="1"/>
  <c r="F19" i="107"/>
  <c r="F19" i="111" s="1"/>
  <c r="G19" i="107"/>
  <c r="G19" i="111" s="1"/>
  <c r="H19" i="107"/>
  <c r="H19" i="111" s="1"/>
  <c r="I19" i="107"/>
  <c r="I19" i="111" s="1"/>
  <c r="J19" i="107"/>
  <c r="J19" i="111" s="1"/>
  <c r="K19" i="107"/>
  <c r="K19" i="111" s="1"/>
  <c r="L19" i="107"/>
  <c r="L19" i="111" s="1"/>
  <c r="M19" i="107"/>
  <c r="M19" i="111" s="1"/>
  <c r="N19" i="107"/>
  <c r="N19" i="111" s="1"/>
  <c r="C20" i="107"/>
  <c r="C20" i="111" s="1"/>
  <c r="D20" i="107"/>
  <c r="D20" i="111" s="1"/>
  <c r="E20" i="107"/>
  <c r="E20" i="111" s="1"/>
  <c r="F20" i="107"/>
  <c r="F20" i="111" s="1"/>
  <c r="G20" i="107"/>
  <c r="G20" i="111" s="1"/>
  <c r="H20" i="107"/>
  <c r="H20" i="111" s="1"/>
  <c r="I20" i="107"/>
  <c r="I20" i="111" s="1"/>
  <c r="J20" i="107"/>
  <c r="J20" i="111" s="1"/>
  <c r="K20" i="107"/>
  <c r="K20" i="111" s="1"/>
  <c r="L20" i="107"/>
  <c r="L20" i="111" s="1"/>
  <c r="M20" i="107"/>
  <c r="M20" i="111" s="1"/>
  <c r="N20" i="107"/>
  <c r="N20" i="111" s="1"/>
  <c r="C21" i="107"/>
  <c r="C21" i="111" s="1"/>
  <c r="D21" i="107"/>
  <c r="D21" i="111" s="1"/>
  <c r="E21" i="107"/>
  <c r="E21" i="111" s="1"/>
  <c r="F21" i="107"/>
  <c r="F21" i="111" s="1"/>
  <c r="G21" i="107"/>
  <c r="G21" i="111" s="1"/>
  <c r="H21" i="107"/>
  <c r="H21" i="111" s="1"/>
  <c r="I21" i="107"/>
  <c r="I21" i="111" s="1"/>
  <c r="J21" i="107"/>
  <c r="J21" i="111" s="1"/>
  <c r="K21" i="107"/>
  <c r="K21" i="111" s="1"/>
  <c r="L21" i="107"/>
  <c r="L21" i="111" s="1"/>
  <c r="M21" i="107"/>
  <c r="M21" i="111" s="1"/>
  <c r="N21" i="107"/>
  <c r="N21" i="111" s="1"/>
  <c r="C22" i="107"/>
  <c r="C22" i="111" s="1"/>
  <c r="D22" i="107"/>
  <c r="D22" i="111" s="1"/>
  <c r="E22" i="107"/>
  <c r="E22" i="111" s="1"/>
  <c r="F22" i="107"/>
  <c r="F22" i="111" s="1"/>
  <c r="G22" i="107"/>
  <c r="G22" i="111" s="1"/>
  <c r="H22" i="107"/>
  <c r="H22" i="111" s="1"/>
  <c r="I22" i="107"/>
  <c r="I22" i="111" s="1"/>
  <c r="J22" i="107"/>
  <c r="J22" i="111" s="1"/>
  <c r="K22" i="107"/>
  <c r="K22" i="111" s="1"/>
  <c r="L22" i="107"/>
  <c r="L22" i="111" s="1"/>
  <c r="M22" i="107"/>
  <c r="M22" i="111" s="1"/>
  <c r="N22" i="107"/>
  <c r="N22" i="111" s="1"/>
  <c r="C23" i="107"/>
  <c r="C23" i="111" s="1"/>
  <c r="D23" i="107"/>
  <c r="D23" i="111" s="1"/>
  <c r="E23" i="107"/>
  <c r="E23" i="111" s="1"/>
  <c r="F23" i="107"/>
  <c r="F23" i="111" s="1"/>
  <c r="G23" i="107"/>
  <c r="G23" i="111" s="1"/>
  <c r="H23" i="107"/>
  <c r="H23" i="111" s="1"/>
  <c r="I23" i="107"/>
  <c r="I23" i="111" s="1"/>
  <c r="J23" i="107"/>
  <c r="J23" i="111" s="1"/>
  <c r="K23" i="107"/>
  <c r="K23" i="111" s="1"/>
  <c r="L23" i="107"/>
  <c r="L23" i="111" s="1"/>
  <c r="M23" i="107"/>
  <c r="M23" i="111" s="1"/>
  <c r="N23" i="107"/>
  <c r="N23" i="111" s="1"/>
  <c r="C24" i="107"/>
  <c r="C24" i="111" s="1"/>
  <c r="D24" i="107"/>
  <c r="D24" i="111" s="1"/>
  <c r="E24" i="107"/>
  <c r="E24" i="111" s="1"/>
  <c r="F24" i="107"/>
  <c r="F24" i="111" s="1"/>
  <c r="G24" i="107"/>
  <c r="G24" i="111" s="1"/>
  <c r="H24" i="107"/>
  <c r="H24" i="111" s="1"/>
  <c r="I24" i="107"/>
  <c r="I24" i="111" s="1"/>
  <c r="J24" i="107"/>
  <c r="J24" i="111" s="1"/>
  <c r="K24" i="107"/>
  <c r="K24" i="111" s="1"/>
  <c r="L24" i="107"/>
  <c r="L24" i="111" s="1"/>
  <c r="M24" i="107"/>
  <c r="M24" i="111" s="1"/>
  <c r="N24" i="107"/>
  <c r="N24" i="111" s="1"/>
  <c r="C25" i="107"/>
  <c r="C25" i="111" s="1"/>
  <c r="D25" i="107"/>
  <c r="D25" i="111" s="1"/>
  <c r="E25" i="107"/>
  <c r="E25" i="111" s="1"/>
  <c r="F25" i="107"/>
  <c r="F25" i="111" s="1"/>
  <c r="G25" i="107"/>
  <c r="G25" i="111" s="1"/>
  <c r="H25" i="107"/>
  <c r="H25" i="111" s="1"/>
  <c r="I25" i="107"/>
  <c r="I25" i="111" s="1"/>
  <c r="J25" i="107"/>
  <c r="J25" i="111" s="1"/>
  <c r="K25" i="107"/>
  <c r="K25" i="111" s="1"/>
  <c r="L25" i="107"/>
  <c r="L25" i="111" s="1"/>
  <c r="M25" i="107"/>
  <c r="M25" i="111" s="1"/>
  <c r="N25" i="107"/>
  <c r="N25" i="111" s="1"/>
  <c r="C26" i="107"/>
  <c r="C26" i="111" s="1"/>
  <c r="D26" i="107"/>
  <c r="D26" i="111" s="1"/>
  <c r="E26" i="107"/>
  <c r="E26" i="111" s="1"/>
  <c r="F26" i="107"/>
  <c r="F26" i="111" s="1"/>
  <c r="G26" i="107"/>
  <c r="G26" i="111" s="1"/>
  <c r="H26" i="107"/>
  <c r="H26" i="111" s="1"/>
  <c r="I26" i="107"/>
  <c r="I26" i="111" s="1"/>
  <c r="J26" i="107"/>
  <c r="J26" i="111" s="1"/>
  <c r="K26" i="107"/>
  <c r="K26" i="111" s="1"/>
  <c r="L26" i="107"/>
  <c r="L26" i="111" s="1"/>
  <c r="M26" i="107"/>
  <c r="M26" i="111" s="1"/>
  <c r="N26" i="107"/>
  <c r="N26" i="111" s="1"/>
  <c r="C27" i="107"/>
  <c r="C27" i="111" s="1"/>
  <c r="D27" i="107"/>
  <c r="D27" i="111" s="1"/>
  <c r="E27" i="107"/>
  <c r="E27" i="111" s="1"/>
  <c r="F27" i="107"/>
  <c r="F27" i="111" s="1"/>
  <c r="G27" i="107"/>
  <c r="G27" i="111" s="1"/>
  <c r="H27" i="107"/>
  <c r="H27" i="111" s="1"/>
  <c r="I27" i="107"/>
  <c r="I27" i="111" s="1"/>
  <c r="J27" i="107"/>
  <c r="J27" i="111" s="1"/>
  <c r="K27" i="107"/>
  <c r="K27" i="111" s="1"/>
  <c r="L27" i="107"/>
  <c r="L27" i="111" s="1"/>
  <c r="M27" i="107"/>
  <c r="M27" i="111" s="1"/>
  <c r="N27" i="107"/>
  <c r="N27" i="111" s="1"/>
  <c r="C28" i="107"/>
  <c r="C28" i="111" s="1"/>
  <c r="D28" i="107"/>
  <c r="D28" i="111" s="1"/>
  <c r="E28" i="107"/>
  <c r="E28" i="111" s="1"/>
  <c r="F28" i="107"/>
  <c r="F28" i="111" s="1"/>
  <c r="G28" i="107"/>
  <c r="G28" i="111" s="1"/>
  <c r="H28" i="107"/>
  <c r="H28" i="111" s="1"/>
  <c r="I28" i="107"/>
  <c r="I28" i="111" s="1"/>
  <c r="J28" i="107"/>
  <c r="J28" i="111" s="1"/>
  <c r="K28" i="107"/>
  <c r="K28" i="111" s="1"/>
  <c r="L28" i="107"/>
  <c r="L28" i="111" s="1"/>
  <c r="M28" i="107"/>
  <c r="M28" i="111" s="1"/>
  <c r="N28" i="107"/>
  <c r="N28" i="111" s="1"/>
  <c r="C29" i="107"/>
  <c r="C29" i="111" s="1"/>
  <c r="D29" i="107"/>
  <c r="D29" i="111" s="1"/>
  <c r="E29" i="107"/>
  <c r="E29" i="111" s="1"/>
  <c r="F29" i="107"/>
  <c r="F29" i="111" s="1"/>
  <c r="G29" i="107"/>
  <c r="G29" i="111" s="1"/>
  <c r="H29" i="107"/>
  <c r="H29" i="111" s="1"/>
  <c r="I29" i="107"/>
  <c r="I29" i="111" s="1"/>
  <c r="J29" i="107"/>
  <c r="J29" i="111" s="1"/>
  <c r="K29" i="107"/>
  <c r="K29" i="111" s="1"/>
  <c r="L29" i="107"/>
  <c r="L29" i="111" s="1"/>
  <c r="M29" i="107"/>
  <c r="M29" i="111" s="1"/>
  <c r="N29" i="107"/>
  <c r="N29" i="111" s="1"/>
  <c r="C30" i="107"/>
  <c r="C30" i="111" s="1"/>
  <c r="D30" i="107"/>
  <c r="D30" i="111" s="1"/>
  <c r="E30" i="107"/>
  <c r="E30" i="111" s="1"/>
  <c r="F30" i="107"/>
  <c r="F30" i="111" s="1"/>
  <c r="G30" i="107"/>
  <c r="G30" i="111" s="1"/>
  <c r="H30" i="107"/>
  <c r="H30" i="111" s="1"/>
  <c r="I30" i="107"/>
  <c r="I30" i="111" s="1"/>
  <c r="J30" i="107"/>
  <c r="J30" i="111" s="1"/>
  <c r="K30" i="107"/>
  <c r="K30" i="111" s="1"/>
  <c r="L30" i="107"/>
  <c r="L30" i="111" s="1"/>
  <c r="M30" i="107"/>
  <c r="M30" i="111" s="1"/>
  <c r="N30" i="107"/>
  <c r="N30" i="111" s="1"/>
  <c r="C31" i="107"/>
  <c r="C31" i="111" s="1"/>
  <c r="D31" i="107"/>
  <c r="D31" i="111" s="1"/>
  <c r="E31" i="107"/>
  <c r="E31" i="111" s="1"/>
  <c r="F31" i="107"/>
  <c r="F31" i="111" s="1"/>
  <c r="G31" i="107"/>
  <c r="G31" i="111" s="1"/>
  <c r="H31" i="107"/>
  <c r="H31" i="111" s="1"/>
  <c r="I31" i="107"/>
  <c r="I31" i="111" s="1"/>
  <c r="J31" i="107"/>
  <c r="J31" i="111" s="1"/>
  <c r="K31" i="107"/>
  <c r="K31" i="111" s="1"/>
  <c r="L31" i="107"/>
  <c r="L31" i="111" s="1"/>
  <c r="M31" i="107"/>
  <c r="M31" i="111" s="1"/>
  <c r="N31" i="107"/>
  <c r="N31" i="111" s="1"/>
  <c r="C32" i="107"/>
  <c r="C32" i="111" s="1"/>
  <c r="D32" i="107"/>
  <c r="D32" i="111" s="1"/>
  <c r="E32" i="107"/>
  <c r="E32" i="111" s="1"/>
  <c r="F32" i="107"/>
  <c r="F32" i="111" s="1"/>
  <c r="G32" i="107"/>
  <c r="G32" i="111" s="1"/>
  <c r="H32" i="107"/>
  <c r="H32" i="111" s="1"/>
  <c r="I32" i="107"/>
  <c r="I32" i="111" s="1"/>
  <c r="J32" i="107"/>
  <c r="J32" i="111" s="1"/>
  <c r="K32" i="107"/>
  <c r="K32" i="111" s="1"/>
  <c r="L32" i="107"/>
  <c r="L32" i="111" s="1"/>
  <c r="M32" i="107"/>
  <c r="M32" i="111" s="1"/>
  <c r="N32" i="107"/>
  <c r="N32" i="111" s="1"/>
  <c r="C33" i="107"/>
  <c r="C33" i="111" s="1"/>
  <c r="D33" i="107"/>
  <c r="D33" i="111" s="1"/>
  <c r="E33" i="107"/>
  <c r="E33" i="111" s="1"/>
  <c r="F33" i="107"/>
  <c r="F33" i="111" s="1"/>
  <c r="G33" i="107"/>
  <c r="G33" i="111" s="1"/>
  <c r="H33" i="107"/>
  <c r="H33" i="111" s="1"/>
  <c r="I33" i="107"/>
  <c r="I33" i="111" s="1"/>
  <c r="J33" i="107"/>
  <c r="J33" i="111" s="1"/>
  <c r="K33" i="107"/>
  <c r="K33" i="111" s="1"/>
  <c r="L33" i="107"/>
  <c r="L33" i="111" s="1"/>
  <c r="M33" i="107"/>
  <c r="M33" i="111" s="1"/>
  <c r="N33" i="107"/>
  <c r="N33" i="111" s="1"/>
  <c r="C34" i="107"/>
  <c r="C34" i="111" s="1"/>
  <c r="D34" i="107"/>
  <c r="D34" i="111" s="1"/>
  <c r="E34" i="107"/>
  <c r="E34" i="111" s="1"/>
  <c r="F34" i="107"/>
  <c r="F34" i="111" s="1"/>
  <c r="G34" i="107"/>
  <c r="G34" i="111" s="1"/>
  <c r="H34" i="107"/>
  <c r="H34" i="111" s="1"/>
  <c r="I34" i="107"/>
  <c r="I34" i="111" s="1"/>
  <c r="J34" i="107"/>
  <c r="J34" i="111" s="1"/>
  <c r="K34" i="107"/>
  <c r="K34" i="111" s="1"/>
  <c r="L34" i="107"/>
  <c r="L34" i="111" s="1"/>
  <c r="M34" i="107"/>
  <c r="M34" i="111" s="1"/>
  <c r="N34" i="107"/>
  <c r="N34" i="111" s="1"/>
  <c r="C35" i="107"/>
  <c r="C35" i="111" s="1"/>
  <c r="D35" i="107"/>
  <c r="D35" i="111" s="1"/>
  <c r="E35" i="107"/>
  <c r="E35" i="111" s="1"/>
  <c r="F35" i="107"/>
  <c r="F35" i="111" s="1"/>
  <c r="G35" i="107"/>
  <c r="G35" i="111" s="1"/>
  <c r="H35" i="107"/>
  <c r="H35" i="111" s="1"/>
  <c r="I35" i="107"/>
  <c r="I35" i="111" s="1"/>
  <c r="J35" i="107"/>
  <c r="J35" i="111" s="1"/>
  <c r="K35" i="107"/>
  <c r="K35" i="111" s="1"/>
  <c r="L35" i="107"/>
  <c r="L35" i="111" s="1"/>
  <c r="M35" i="107"/>
  <c r="M35" i="111" s="1"/>
  <c r="N35" i="107"/>
  <c r="N35" i="111" s="1"/>
  <c r="C36" i="107"/>
  <c r="C36" i="111" s="1"/>
  <c r="D36" i="107"/>
  <c r="D36" i="111" s="1"/>
  <c r="E36" i="107"/>
  <c r="E36" i="111" s="1"/>
  <c r="F36" i="107"/>
  <c r="F36" i="111" s="1"/>
  <c r="G36" i="107"/>
  <c r="G36" i="111" s="1"/>
  <c r="H36" i="107"/>
  <c r="H36" i="111" s="1"/>
  <c r="I36" i="107"/>
  <c r="I36" i="111" s="1"/>
  <c r="J36" i="107"/>
  <c r="J36" i="111" s="1"/>
  <c r="K36" i="107"/>
  <c r="K36" i="111" s="1"/>
  <c r="L36" i="107"/>
  <c r="L36" i="111" s="1"/>
  <c r="M36" i="107"/>
  <c r="M36" i="111" s="1"/>
  <c r="N36" i="107"/>
  <c r="N36" i="111" s="1"/>
  <c r="C37" i="107"/>
  <c r="C37" i="111" s="1"/>
  <c r="D37" i="107"/>
  <c r="D37" i="111" s="1"/>
  <c r="E37" i="107"/>
  <c r="E37" i="111" s="1"/>
  <c r="F37" i="107"/>
  <c r="F37" i="111" s="1"/>
  <c r="G37" i="107"/>
  <c r="G37" i="111" s="1"/>
  <c r="H37" i="107"/>
  <c r="H37" i="111" s="1"/>
  <c r="I37" i="107"/>
  <c r="I37" i="111" s="1"/>
  <c r="J37" i="107"/>
  <c r="J37" i="111" s="1"/>
  <c r="K37" i="107"/>
  <c r="K37" i="111" s="1"/>
  <c r="L37" i="107"/>
  <c r="L37" i="111" s="1"/>
  <c r="M37" i="107"/>
  <c r="M37" i="111" s="1"/>
  <c r="N37" i="107"/>
  <c r="N37" i="111" s="1"/>
  <c r="C38" i="107"/>
  <c r="C38" i="111" s="1"/>
  <c r="D38" i="107"/>
  <c r="D38" i="111" s="1"/>
  <c r="E38" i="107"/>
  <c r="E38" i="111" s="1"/>
  <c r="F38" i="107"/>
  <c r="F38" i="111" s="1"/>
  <c r="G38" i="107"/>
  <c r="G38" i="111" s="1"/>
  <c r="H38" i="107"/>
  <c r="H38" i="111" s="1"/>
  <c r="I38" i="107"/>
  <c r="I38" i="111" s="1"/>
  <c r="J38" i="107"/>
  <c r="J38" i="111" s="1"/>
  <c r="K38" i="107"/>
  <c r="K38" i="111" s="1"/>
  <c r="L38" i="107"/>
  <c r="L38" i="111" s="1"/>
  <c r="M38" i="107"/>
  <c r="M38" i="111" s="1"/>
  <c r="N38" i="107"/>
  <c r="N38" i="111" s="1"/>
  <c r="C39" i="107"/>
  <c r="C39" i="111" s="1"/>
  <c r="D39" i="107"/>
  <c r="D39" i="111" s="1"/>
  <c r="E39" i="107"/>
  <c r="E39" i="111" s="1"/>
  <c r="F39" i="107"/>
  <c r="F39" i="111" s="1"/>
  <c r="G39" i="107"/>
  <c r="G39" i="111" s="1"/>
  <c r="H39" i="107"/>
  <c r="H39" i="111" s="1"/>
  <c r="I39" i="107"/>
  <c r="I39" i="111" s="1"/>
  <c r="J39" i="107"/>
  <c r="J39" i="111" s="1"/>
  <c r="K39" i="107"/>
  <c r="K39" i="111" s="1"/>
  <c r="L39" i="107"/>
  <c r="L39" i="111" s="1"/>
  <c r="M39" i="107"/>
  <c r="M39" i="111" s="1"/>
  <c r="N39" i="107"/>
  <c r="N39" i="111" s="1"/>
  <c r="C40" i="107"/>
  <c r="C40" i="111" s="1"/>
  <c r="D40" i="107"/>
  <c r="D40" i="111" s="1"/>
  <c r="E40" i="107"/>
  <c r="E40" i="111" s="1"/>
  <c r="F40" i="107"/>
  <c r="F40" i="111" s="1"/>
  <c r="G40" i="107"/>
  <c r="G40" i="111" s="1"/>
  <c r="H40" i="107"/>
  <c r="H40" i="111" s="1"/>
  <c r="I40" i="107"/>
  <c r="I40" i="111" s="1"/>
  <c r="J40" i="107"/>
  <c r="J40" i="111" s="1"/>
  <c r="K40" i="107"/>
  <c r="K40" i="111" s="1"/>
  <c r="L40" i="107"/>
  <c r="L40" i="111" s="1"/>
  <c r="M40" i="107"/>
  <c r="M40" i="111" s="1"/>
  <c r="N40" i="107"/>
  <c r="N40" i="111" s="1"/>
  <c r="C41" i="107"/>
  <c r="C41" i="111" s="1"/>
  <c r="D41" i="107"/>
  <c r="D41" i="111" s="1"/>
  <c r="E41" i="107"/>
  <c r="E41" i="111" s="1"/>
  <c r="F41" i="107"/>
  <c r="F41" i="111" s="1"/>
  <c r="G41" i="107"/>
  <c r="G41" i="111" s="1"/>
  <c r="H41" i="107"/>
  <c r="H41" i="111" s="1"/>
  <c r="I41" i="107"/>
  <c r="I41" i="111" s="1"/>
  <c r="J41" i="107"/>
  <c r="J41" i="111" s="1"/>
  <c r="K41" i="107"/>
  <c r="K41" i="111" s="1"/>
  <c r="L41" i="107"/>
  <c r="L41" i="111" s="1"/>
  <c r="M41" i="107"/>
  <c r="M41" i="111" s="1"/>
  <c r="N41" i="107"/>
  <c r="N41" i="111" s="1"/>
  <c r="C42" i="107"/>
  <c r="C42" i="111" s="1"/>
  <c r="D42" i="107"/>
  <c r="D42" i="111" s="1"/>
  <c r="E42" i="107"/>
  <c r="E42" i="111" s="1"/>
  <c r="F42" i="107"/>
  <c r="F42" i="111" s="1"/>
  <c r="G42" i="107"/>
  <c r="G42" i="111" s="1"/>
  <c r="H42" i="107"/>
  <c r="H42" i="111" s="1"/>
  <c r="I42" i="107"/>
  <c r="I42" i="111" s="1"/>
  <c r="J42" i="107"/>
  <c r="J42" i="111" s="1"/>
  <c r="K42" i="107"/>
  <c r="K42" i="111" s="1"/>
  <c r="L42" i="107"/>
  <c r="L42" i="111" s="1"/>
  <c r="M42" i="107"/>
  <c r="M42" i="111" s="1"/>
  <c r="N42" i="107"/>
  <c r="N42" i="111" s="1"/>
  <c r="C43" i="107"/>
  <c r="C43" i="111" s="1"/>
  <c r="D43" i="107"/>
  <c r="D43" i="111" s="1"/>
  <c r="E43" i="107"/>
  <c r="E43" i="111" s="1"/>
  <c r="F43" i="107"/>
  <c r="F43" i="111" s="1"/>
  <c r="G43" i="107"/>
  <c r="G43" i="111" s="1"/>
  <c r="H43" i="107"/>
  <c r="H43" i="111" s="1"/>
  <c r="I43" i="107"/>
  <c r="I43" i="111" s="1"/>
  <c r="J43" i="107"/>
  <c r="J43" i="111" s="1"/>
  <c r="K43" i="107"/>
  <c r="K43" i="111" s="1"/>
  <c r="L43" i="107"/>
  <c r="L43" i="111" s="1"/>
  <c r="M43" i="107"/>
  <c r="M43" i="111" s="1"/>
  <c r="N43" i="107"/>
  <c r="N43" i="111" s="1"/>
  <c r="C44" i="107"/>
  <c r="C44" i="111" s="1"/>
  <c r="D44" i="107"/>
  <c r="D44" i="111" s="1"/>
  <c r="E44" i="107"/>
  <c r="E44" i="111" s="1"/>
  <c r="F44" i="107"/>
  <c r="F44" i="111" s="1"/>
  <c r="G44" i="107"/>
  <c r="G44" i="111" s="1"/>
  <c r="H44" i="107"/>
  <c r="H44" i="111" s="1"/>
  <c r="I44" i="107"/>
  <c r="I44" i="111" s="1"/>
  <c r="J44" i="107"/>
  <c r="J44" i="111" s="1"/>
  <c r="K44" i="107"/>
  <c r="K44" i="111" s="1"/>
  <c r="L44" i="107"/>
  <c r="L44" i="111" s="1"/>
  <c r="M44" i="107"/>
  <c r="M44" i="111" s="1"/>
  <c r="N44" i="107"/>
  <c r="N44" i="111" s="1"/>
  <c r="C45" i="107"/>
  <c r="C45" i="111" s="1"/>
  <c r="D45" i="107"/>
  <c r="D45" i="111" s="1"/>
  <c r="E45" i="107"/>
  <c r="E45" i="111" s="1"/>
  <c r="F45" i="107"/>
  <c r="F45" i="111" s="1"/>
  <c r="G45" i="107"/>
  <c r="G45" i="111" s="1"/>
  <c r="H45" i="107"/>
  <c r="H45" i="111" s="1"/>
  <c r="I45" i="107"/>
  <c r="I45" i="111" s="1"/>
  <c r="J45" i="107"/>
  <c r="J45" i="111" s="1"/>
  <c r="K45" i="107"/>
  <c r="K45" i="111" s="1"/>
  <c r="L45" i="107"/>
  <c r="L45" i="111" s="1"/>
  <c r="M45" i="107"/>
  <c r="M45" i="111" s="1"/>
  <c r="N45" i="107"/>
  <c r="N45" i="111" s="1"/>
  <c r="C46" i="107"/>
  <c r="C46" i="111" s="1"/>
  <c r="D46" i="107"/>
  <c r="D46" i="111" s="1"/>
  <c r="E46" i="107"/>
  <c r="E46" i="111" s="1"/>
  <c r="F46" i="107"/>
  <c r="F46" i="111" s="1"/>
  <c r="G46" i="107"/>
  <c r="G46" i="111" s="1"/>
  <c r="H46" i="107"/>
  <c r="H46" i="111" s="1"/>
  <c r="I46" i="107"/>
  <c r="I46" i="111" s="1"/>
  <c r="J46" i="107"/>
  <c r="J46" i="111" s="1"/>
  <c r="K46" i="107"/>
  <c r="K46" i="111" s="1"/>
  <c r="L46" i="107"/>
  <c r="L46" i="111" s="1"/>
  <c r="M46" i="107"/>
  <c r="M46" i="111" s="1"/>
  <c r="N46" i="107"/>
  <c r="N46" i="111" s="1"/>
  <c r="C47" i="107"/>
  <c r="C47" i="111" s="1"/>
  <c r="D47" i="107"/>
  <c r="D47" i="111" s="1"/>
  <c r="E47" i="107"/>
  <c r="E47" i="111" s="1"/>
  <c r="F47" i="107"/>
  <c r="F47" i="111" s="1"/>
  <c r="G47" i="107"/>
  <c r="G47" i="111" s="1"/>
  <c r="H47" i="107"/>
  <c r="H47" i="111" s="1"/>
  <c r="I47" i="107"/>
  <c r="I47" i="111" s="1"/>
  <c r="J47" i="107"/>
  <c r="J47" i="111" s="1"/>
  <c r="K47" i="107"/>
  <c r="K47" i="111" s="1"/>
  <c r="L47" i="107"/>
  <c r="L47" i="111" s="1"/>
  <c r="M47" i="107"/>
  <c r="M47" i="111" s="1"/>
  <c r="N47" i="107"/>
  <c r="N47" i="111" s="1"/>
  <c r="C48" i="107"/>
  <c r="C48" i="111" s="1"/>
  <c r="D48" i="107"/>
  <c r="D48" i="111" s="1"/>
  <c r="E48" i="107"/>
  <c r="E48" i="111" s="1"/>
  <c r="F48" i="107"/>
  <c r="F48" i="111" s="1"/>
  <c r="G48" i="107"/>
  <c r="G48" i="111" s="1"/>
  <c r="H48" i="107"/>
  <c r="H48" i="111" s="1"/>
  <c r="I48" i="107"/>
  <c r="I48" i="111" s="1"/>
  <c r="J48" i="107"/>
  <c r="J48" i="111" s="1"/>
  <c r="K48" i="107"/>
  <c r="K48" i="111" s="1"/>
  <c r="L48" i="107"/>
  <c r="L48" i="111" s="1"/>
  <c r="M48" i="107"/>
  <c r="M48" i="111" s="1"/>
  <c r="N48" i="107"/>
  <c r="N48" i="111" s="1"/>
  <c r="C49" i="107"/>
  <c r="C49" i="111" s="1"/>
  <c r="D49" i="107"/>
  <c r="D49" i="111" s="1"/>
  <c r="E49" i="107"/>
  <c r="E49" i="111" s="1"/>
  <c r="F49" i="107"/>
  <c r="F49" i="111" s="1"/>
  <c r="G49" i="107"/>
  <c r="G49" i="111" s="1"/>
  <c r="H49" i="107"/>
  <c r="H49" i="111" s="1"/>
  <c r="I49" i="107"/>
  <c r="I49" i="111" s="1"/>
  <c r="J49" i="107"/>
  <c r="J49" i="111" s="1"/>
  <c r="K49" i="107"/>
  <c r="K49" i="111" s="1"/>
  <c r="L49" i="107"/>
  <c r="L49" i="111" s="1"/>
  <c r="M49" i="107"/>
  <c r="M49" i="111" s="1"/>
  <c r="N49" i="107"/>
  <c r="N49" i="111" s="1"/>
  <c r="C50" i="107"/>
  <c r="C50" i="111" s="1"/>
  <c r="D50" i="107"/>
  <c r="D50" i="111" s="1"/>
  <c r="E50" i="107"/>
  <c r="E50" i="111" s="1"/>
  <c r="F50" i="107"/>
  <c r="F50" i="111" s="1"/>
  <c r="G50" i="107"/>
  <c r="G50" i="111" s="1"/>
  <c r="H50" i="107"/>
  <c r="H50" i="111" s="1"/>
  <c r="I50" i="107"/>
  <c r="I50" i="111" s="1"/>
  <c r="J50" i="107"/>
  <c r="J50" i="111" s="1"/>
  <c r="K50" i="107"/>
  <c r="K50" i="111" s="1"/>
  <c r="L50" i="107"/>
  <c r="L50" i="111" s="1"/>
  <c r="M50" i="107"/>
  <c r="M50" i="111" s="1"/>
  <c r="N50" i="107"/>
  <c r="N50" i="111" s="1"/>
  <c r="C51" i="107"/>
  <c r="C51" i="111" s="1"/>
  <c r="D51" i="107"/>
  <c r="D51" i="111" s="1"/>
  <c r="E51" i="107"/>
  <c r="E51" i="111" s="1"/>
  <c r="F51" i="107"/>
  <c r="F51" i="111" s="1"/>
  <c r="G51" i="107"/>
  <c r="G51" i="111" s="1"/>
  <c r="H51" i="107"/>
  <c r="H51" i="111" s="1"/>
  <c r="I51" i="107"/>
  <c r="I51" i="111" s="1"/>
  <c r="J51" i="107"/>
  <c r="J51" i="111" s="1"/>
  <c r="K51" i="107"/>
  <c r="K51" i="111" s="1"/>
  <c r="L51" i="107"/>
  <c r="L51" i="111" s="1"/>
  <c r="M51" i="107"/>
  <c r="M51" i="111" s="1"/>
  <c r="N51" i="107"/>
  <c r="N51" i="111" s="1"/>
  <c r="C52" i="107"/>
  <c r="C52" i="111" s="1"/>
  <c r="D52" i="107"/>
  <c r="D52" i="111" s="1"/>
  <c r="E52" i="107"/>
  <c r="E52" i="111" s="1"/>
  <c r="F52" i="107"/>
  <c r="F52" i="111" s="1"/>
  <c r="G52" i="107"/>
  <c r="G52" i="111" s="1"/>
  <c r="H52" i="107"/>
  <c r="H52" i="111" s="1"/>
  <c r="I52" i="107"/>
  <c r="I52" i="111" s="1"/>
  <c r="J52" i="107"/>
  <c r="J52" i="111" s="1"/>
  <c r="K52" i="107"/>
  <c r="K52" i="111" s="1"/>
  <c r="L52" i="107"/>
  <c r="L52" i="111" s="1"/>
  <c r="M52" i="107"/>
  <c r="M52" i="111" s="1"/>
  <c r="N52" i="107"/>
  <c r="N52" i="111" s="1"/>
  <c r="C53" i="107"/>
  <c r="C53" i="111" s="1"/>
  <c r="D53" i="107"/>
  <c r="D53" i="111" s="1"/>
  <c r="E53" i="107"/>
  <c r="E53" i="111" s="1"/>
  <c r="F53" i="107"/>
  <c r="F53" i="111" s="1"/>
  <c r="G53" i="107"/>
  <c r="G53" i="111" s="1"/>
  <c r="H53" i="107"/>
  <c r="H53" i="111" s="1"/>
  <c r="I53" i="107"/>
  <c r="I53" i="111" s="1"/>
  <c r="J53" i="107"/>
  <c r="J53" i="111" s="1"/>
  <c r="K53" i="107"/>
  <c r="K53" i="111" s="1"/>
  <c r="L53" i="107"/>
  <c r="L53" i="111" s="1"/>
  <c r="M53" i="107"/>
  <c r="M53" i="111" s="1"/>
  <c r="N53" i="107"/>
  <c r="N53" i="111" s="1"/>
  <c r="C54" i="107"/>
  <c r="C54" i="111" s="1"/>
  <c r="D54" i="107"/>
  <c r="D54" i="111" s="1"/>
  <c r="E54" i="107"/>
  <c r="E54" i="111" s="1"/>
  <c r="F54" i="107"/>
  <c r="F54" i="111" s="1"/>
  <c r="G54" i="107"/>
  <c r="G54" i="111" s="1"/>
  <c r="H54" i="107"/>
  <c r="H54" i="111" s="1"/>
  <c r="I54" i="107"/>
  <c r="I54" i="111" s="1"/>
  <c r="J54" i="107"/>
  <c r="J54" i="111" s="1"/>
  <c r="K54" i="107"/>
  <c r="K54" i="111" s="1"/>
  <c r="L54" i="107"/>
  <c r="L54" i="111" s="1"/>
  <c r="M54" i="107"/>
  <c r="M54" i="111" s="1"/>
  <c r="N54" i="107"/>
  <c r="N54" i="111" s="1"/>
  <c r="C55" i="107"/>
  <c r="C55" i="111" s="1"/>
  <c r="D55" i="107"/>
  <c r="D55" i="111" s="1"/>
  <c r="E55" i="107"/>
  <c r="E55" i="111" s="1"/>
  <c r="F55" i="107"/>
  <c r="F55" i="111" s="1"/>
  <c r="G55" i="107"/>
  <c r="G55" i="111" s="1"/>
  <c r="H55" i="107"/>
  <c r="H55" i="111" s="1"/>
  <c r="I55" i="107"/>
  <c r="I55" i="111" s="1"/>
  <c r="J55" i="107"/>
  <c r="J55" i="111" s="1"/>
  <c r="K55" i="107"/>
  <c r="K55" i="111" s="1"/>
  <c r="L55" i="107"/>
  <c r="L55" i="111" s="1"/>
  <c r="M55" i="107"/>
  <c r="M55" i="111" s="1"/>
  <c r="N55" i="107"/>
  <c r="N55" i="111" s="1"/>
  <c r="C56" i="107"/>
  <c r="C56" i="111" s="1"/>
  <c r="D56" i="107"/>
  <c r="D56" i="111" s="1"/>
  <c r="E56" i="107"/>
  <c r="E56" i="111" s="1"/>
  <c r="F56" i="107"/>
  <c r="F56" i="111" s="1"/>
  <c r="G56" i="107"/>
  <c r="G56" i="111" s="1"/>
  <c r="H56" i="107"/>
  <c r="H56" i="111" s="1"/>
  <c r="I56" i="107"/>
  <c r="I56" i="111" s="1"/>
  <c r="J56" i="107"/>
  <c r="J56" i="111" s="1"/>
  <c r="K56" i="107"/>
  <c r="K56" i="111" s="1"/>
  <c r="L56" i="107"/>
  <c r="L56" i="111" s="1"/>
  <c r="M56" i="107"/>
  <c r="M56" i="111" s="1"/>
  <c r="N56" i="107"/>
  <c r="N56" i="111" s="1"/>
  <c r="C57" i="107"/>
  <c r="C57" i="111" s="1"/>
  <c r="D57" i="107"/>
  <c r="D57" i="111" s="1"/>
  <c r="E57" i="107"/>
  <c r="E57" i="111" s="1"/>
  <c r="F57" i="107"/>
  <c r="F57" i="111" s="1"/>
  <c r="G57" i="107"/>
  <c r="G57" i="111" s="1"/>
  <c r="H57" i="107"/>
  <c r="H57" i="111" s="1"/>
  <c r="I57" i="107"/>
  <c r="I57" i="111" s="1"/>
  <c r="J57" i="107"/>
  <c r="J57" i="111" s="1"/>
  <c r="K57" i="107"/>
  <c r="K57" i="111" s="1"/>
  <c r="L57" i="107"/>
  <c r="L57" i="111" s="1"/>
  <c r="M57" i="107"/>
  <c r="M57" i="111" s="1"/>
  <c r="N57" i="107"/>
  <c r="N57" i="111" s="1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E27" i="111" l="1"/>
  <c r="AE31" i="111"/>
  <c r="AE22" i="111"/>
  <c r="AF30" i="107"/>
  <c r="AF26" i="107"/>
  <c r="AD22" i="111"/>
  <c r="M10" i="111"/>
  <c r="M106" i="107"/>
  <c r="E10" i="111"/>
  <c r="E106" i="107"/>
  <c r="M106" i="108"/>
  <c r="E106" i="108"/>
  <c r="O81" i="111"/>
  <c r="O97" i="111"/>
  <c r="P86" i="111"/>
  <c r="AF29" i="111" s="1"/>
  <c r="P94" i="111"/>
  <c r="AF31" i="111" s="1"/>
  <c r="P102" i="111"/>
  <c r="AF33" i="111" s="1"/>
  <c r="O59" i="111"/>
  <c r="O75" i="111"/>
  <c r="P74" i="111"/>
  <c r="AF26" i="111" s="1"/>
  <c r="P65" i="111"/>
  <c r="AF23" i="111" s="1"/>
  <c r="AF25" i="108"/>
  <c r="Y23" i="111"/>
  <c r="AE25" i="108"/>
  <c r="AE24" i="108"/>
  <c r="AE30" i="108"/>
  <c r="V33" i="111"/>
  <c r="AF33" i="107"/>
  <c r="S26" i="111"/>
  <c r="AF22" i="108"/>
  <c r="Z25" i="111"/>
  <c r="AF27" i="107"/>
  <c r="F10" i="111"/>
  <c r="F106" i="107"/>
  <c r="L10" i="111"/>
  <c r="L106" i="111" s="1"/>
  <c r="L106" i="107"/>
  <c r="AF24" i="108"/>
  <c r="AE22" i="108"/>
  <c r="AD28" i="111"/>
  <c r="K106" i="108"/>
  <c r="O85" i="111"/>
  <c r="P80" i="111"/>
  <c r="AF27" i="111" s="1"/>
  <c r="O64" i="111"/>
  <c r="P69" i="111"/>
  <c r="W25" i="111"/>
  <c r="U24" i="111"/>
  <c r="AB33" i="111"/>
  <c r="AE26" i="108"/>
  <c r="AF30" i="108"/>
  <c r="AF22" i="107"/>
  <c r="W29" i="111"/>
  <c r="S32" i="111"/>
  <c r="J10" i="111"/>
  <c r="J106" i="107"/>
  <c r="J106" i="108"/>
  <c r="O87" i="111"/>
  <c r="AE29" i="111" s="1"/>
  <c r="O103" i="111"/>
  <c r="AE33" i="111" s="1"/>
  <c r="O82" i="111"/>
  <c r="AE28" i="111" s="1"/>
  <c r="O90" i="111"/>
  <c r="O74" i="111"/>
  <c r="O68" i="111"/>
  <c r="P71" i="111"/>
  <c r="AF27" i="108"/>
  <c r="AF33" i="108"/>
  <c r="AC26" i="111"/>
  <c r="T31" i="111"/>
  <c r="AF26" i="108"/>
  <c r="AE32" i="108"/>
  <c r="AE22" i="107"/>
  <c r="S23" i="111"/>
  <c r="S28" i="111"/>
  <c r="AF32" i="107"/>
  <c r="AC30" i="111"/>
  <c r="AF23" i="107"/>
  <c r="V24" i="111"/>
  <c r="AD26" i="111"/>
  <c r="Z29" i="111"/>
  <c r="V32" i="111"/>
  <c r="U32" i="111"/>
  <c r="K10" i="111"/>
  <c r="K106" i="111" s="1"/>
  <c r="K106" i="107"/>
  <c r="I10" i="111"/>
  <c r="I106" i="111" s="1"/>
  <c r="I106" i="107"/>
  <c r="I106" i="108"/>
  <c r="O89" i="111"/>
  <c r="O105" i="111"/>
  <c r="P82" i="111"/>
  <c r="AF28" i="111" s="1"/>
  <c r="P90" i="111"/>
  <c r="AF30" i="111" s="1"/>
  <c r="P98" i="111"/>
  <c r="AF32" i="111" s="1"/>
  <c r="O70" i="111"/>
  <c r="AE25" i="111" s="1"/>
  <c r="AF24" i="111"/>
  <c r="AB23" i="111"/>
  <c r="AA24" i="111"/>
  <c r="U22" i="111"/>
  <c r="AC24" i="111"/>
  <c r="T29" i="111"/>
  <c r="AF25" i="107"/>
  <c r="Y27" i="111"/>
  <c r="AA28" i="111"/>
  <c r="W33" i="111"/>
  <c r="AF24" i="107"/>
  <c r="AF28" i="107"/>
  <c r="AE23" i="107"/>
  <c r="AF29" i="107"/>
  <c r="S25" i="111"/>
  <c r="Z24" i="111"/>
  <c r="S27" i="111"/>
  <c r="H10" i="111"/>
  <c r="H106" i="107"/>
  <c r="O91" i="111"/>
  <c r="O84" i="111"/>
  <c r="O100" i="111"/>
  <c r="AE32" i="111" s="1"/>
  <c r="AE24" i="111"/>
  <c r="P58" i="111"/>
  <c r="AF22" i="111" s="1"/>
  <c r="X24" i="111"/>
  <c r="AE29" i="108"/>
  <c r="W23" i="111"/>
  <c r="AE31" i="107"/>
  <c r="AF28" i="108"/>
  <c r="AF32" i="108"/>
  <c r="AE25" i="107"/>
  <c r="V29" i="111"/>
  <c r="W27" i="111"/>
  <c r="AE24" i="107"/>
  <c r="AE32" i="107"/>
  <c r="Y31" i="111"/>
  <c r="AE29" i="107"/>
  <c r="V22" i="111"/>
  <c r="AD24" i="111"/>
  <c r="Z27" i="111"/>
  <c r="V30" i="111"/>
  <c r="AD32" i="111"/>
  <c r="N10" i="111"/>
  <c r="N106" i="107"/>
  <c r="D10" i="111"/>
  <c r="D106" i="107"/>
  <c r="O83" i="111"/>
  <c r="T23" i="111"/>
  <c r="AE26" i="107"/>
  <c r="V26" i="111"/>
  <c r="Z31" i="111"/>
  <c r="C10" i="111"/>
  <c r="C106" i="107"/>
  <c r="G10" i="111"/>
  <c r="G106" i="111" s="1"/>
  <c r="G106" i="107"/>
  <c r="C106" i="108"/>
  <c r="G106" i="108"/>
  <c r="O62" i="111"/>
  <c r="AE23" i="111" s="1"/>
  <c r="P70" i="111"/>
  <c r="AF25" i="111" s="1"/>
  <c r="AE23" i="108"/>
  <c r="AF23" i="108"/>
  <c r="Y25" i="111"/>
  <c r="T27" i="111"/>
  <c r="AF31" i="107"/>
  <c r="AE28" i="108"/>
  <c r="AA32" i="111"/>
  <c r="N106" i="111"/>
  <c r="J106" i="111"/>
  <c r="H106" i="111"/>
  <c r="F106" i="111"/>
  <c r="D106" i="111"/>
  <c r="C106" i="111"/>
  <c r="M106" i="111"/>
  <c r="E106" i="111"/>
  <c r="P26" i="109"/>
  <c r="AE26" i="111" l="1"/>
  <c r="AE30" i="111"/>
  <c r="O38" i="110"/>
  <c r="C106" i="105"/>
  <c r="D106" i="105"/>
  <c r="E106" i="105"/>
  <c r="F106" i="105"/>
  <c r="G106" i="105"/>
  <c r="J106" i="105"/>
  <c r="K106" i="105"/>
  <c r="L106" i="105"/>
  <c r="M106" i="105"/>
  <c r="C106" i="109"/>
  <c r="F106" i="109"/>
  <c r="H106" i="109"/>
  <c r="P27" i="109"/>
  <c r="P28" i="109"/>
  <c r="S26" i="109"/>
  <c r="T26" i="109"/>
  <c r="U26" i="109"/>
  <c r="W26" i="109"/>
  <c r="X26" i="109"/>
  <c r="K5" i="104" l="1"/>
  <c r="K5" i="103"/>
  <c r="C3" i="94" l="1"/>
  <c r="K6" i="98" l="1"/>
  <c r="K6" i="99" s="1"/>
  <c r="K6" i="100" s="1"/>
  <c r="K6" i="101" s="1"/>
  <c r="K6" i="109" s="1"/>
  <c r="K6" i="105" s="1"/>
  <c r="K6" i="110" s="1"/>
  <c r="K6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G5" i="96"/>
  <c r="K6" i="95"/>
  <c r="K5" i="95"/>
  <c r="G5" i="95"/>
  <c r="K6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7" l="1"/>
  <c r="K6" i="104"/>
  <c r="K6" i="108" s="1"/>
  <c r="K6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Z39" i="105" s="1"/>
  <c r="Y19" i="105"/>
  <c r="X19" i="105"/>
  <c r="W19" i="105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Y19" i="103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AA39" i="101" s="1"/>
  <c r="Z19" i="101"/>
  <c r="Y19" i="101"/>
  <c r="X19" i="101"/>
  <c r="W19" i="101"/>
  <c r="W39" i="101" s="1"/>
  <c r="V19" i="101"/>
  <c r="V39" i="101" s="1"/>
  <c r="U19" i="101"/>
  <c r="T19" i="101"/>
  <c r="S19" i="10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Z27" i="97" l="1"/>
  <c r="AD38" i="101"/>
  <c r="Y27" i="103"/>
  <c r="Z27" i="103"/>
  <c r="V39" i="105"/>
  <c r="AD39" i="105"/>
  <c r="Y39" i="109"/>
  <c r="AA27" i="99"/>
  <c r="X39" i="105"/>
  <c r="W39" i="105"/>
  <c r="AA39" i="105"/>
  <c r="U39" i="109"/>
  <c r="AC39" i="109"/>
  <c r="S39" i="101"/>
  <c r="AA26" i="95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D106" i="110"/>
  <c r="L106" i="110"/>
  <c r="P27" i="110"/>
  <c r="S14" i="110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7" i="109"/>
  <c r="O28" i="109"/>
  <c r="O29" i="109"/>
  <c r="O30" i="109"/>
  <c r="S36" i="109"/>
  <c r="W36" i="109"/>
  <c r="AA3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N106" i="105"/>
  <c r="P17" i="105"/>
  <c r="P18" i="105"/>
  <c r="P19" i="105"/>
  <c r="P20" i="105"/>
  <c r="S32" i="105"/>
  <c r="P31" i="105"/>
  <c r="P33" i="105"/>
  <c r="T10" i="105"/>
  <c r="V10" i="105"/>
  <c r="P10" i="105"/>
  <c r="S10" i="105"/>
  <c r="O10" i="105"/>
  <c r="U10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AF28" i="101" s="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U38" i="110" l="1"/>
  <c r="Y38" i="105"/>
  <c r="AF32" i="101"/>
  <c r="AF33" i="101"/>
  <c r="Z26" i="95"/>
  <c r="T36" i="105"/>
  <c r="S38" i="105"/>
  <c r="S38" i="110"/>
  <c r="AB26" i="98"/>
  <c r="S35" i="110"/>
  <c r="V39" i="109"/>
  <c r="V19" i="108"/>
  <c r="AF25" i="101"/>
  <c r="T19" i="10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24" i="94"/>
  <c r="AD21" i="108"/>
  <c r="Z20" i="108"/>
  <c r="W27" i="95"/>
  <c r="W24" i="95"/>
  <c r="AB24" i="98"/>
  <c r="W26" i="96"/>
  <c r="V21" i="108"/>
  <c r="AD19" i="108"/>
  <c r="Z21" i="108"/>
  <c r="AD20" i="108"/>
  <c r="V20" i="108"/>
  <c r="Z19" i="108"/>
  <c r="AC26" i="97"/>
  <c r="AC23" i="97"/>
  <c r="T13" i="111"/>
  <c r="AD12" i="111"/>
  <c r="AC24" i="94"/>
  <c r="Y24" i="94"/>
  <c r="S27" i="94"/>
  <c r="AA38" i="110"/>
  <c r="W24" i="94"/>
  <c r="W27" i="94"/>
  <c r="S26" i="94"/>
  <c r="U23" i="97"/>
  <c r="AA27" i="94"/>
  <c r="U27" i="95"/>
  <c r="U24" i="95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Z41" i="107" s="1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U39" i="107" s="1"/>
  <c r="S19" i="107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Y41" i="107" s="1"/>
  <c r="AB38" i="105"/>
  <c r="T38" i="105"/>
  <c r="AD10" i="107"/>
  <c r="V10" i="107"/>
  <c r="AA10" i="107"/>
  <c r="P10" i="107"/>
  <c r="S10" i="107"/>
  <c r="O10" i="107"/>
  <c r="O106" i="107" s="1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S41" i="107" l="1"/>
  <c r="AB41" i="107"/>
  <c r="AC41" i="107"/>
  <c r="Z41" i="108"/>
  <c r="AD41" i="108"/>
  <c r="P106" i="107"/>
  <c r="V39" i="107"/>
  <c r="P106" i="108"/>
  <c r="H107" i="108" s="1"/>
  <c r="O106" i="108"/>
  <c r="X41" i="108"/>
  <c r="AA41" i="107"/>
  <c r="AC41" i="108"/>
  <c r="V41" i="108"/>
  <c r="W41" i="107"/>
  <c r="W42" i="107" s="1"/>
  <c r="V41" i="107"/>
  <c r="V42" i="107" s="1"/>
  <c r="AD39" i="107"/>
  <c r="S41" i="108"/>
  <c r="AA41" i="108"/>
  <c r="AD41" i="107"/>
  <c r="W41" i="108"/>
  <c r="Y41" i="108"/>
  <c r="Y42" i="108" s="1"/>
  <c r="T41" i="107"/>
  <c r="T42" i="107" s="1"/>
  <c r="AB41" i="108"/>
  <c r="V36" i="108"/>
  <c r="V22" i="93"/>
  <c r="AE24" i="98"/>
  <c r="X41" i="107"/>
  <c r="U41" i="107"/>
  <c r="U41" i="108"/>
  <c r="U42" i="108" s="1"/>
  <c r="T41" i="108"/>
  <c r="T42" i="108" s="1"/>
  <c r="U36" i="107"/>
  <c r="Y34" i="108"/>
  <c r="S42" i="110"/>
  <c r="T12" i="111"/>
  <c r="S36" i="107"/>
  <c r="AF10" i="108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X41" i="111" s="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AD41" i="111" s="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Z42" i="107" s="1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Y42" i="107" s="1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F41" i="107" l="1"/>
  <c r="Y41" i="111"/>
  <c r="W41" i="111"/>
  <c r="AF41" i="108"/>
  <c r="U42" i="107"/>
  <c r="W42" i="108"/>
  <c r="X42" i="111"/>
  <c r="AE41" i="107"/>
  <c r="AE42" i="107" s="1"/>
  <c r="X42" i="107"/>
  <c r="AD42" i="107"/>
  <c r="V42" i="108"/>
  <c r="AD42" i="108"/>
  <c r="AA41" i="111"/>
  <c r="AB41" i="111"/>
  <c r="AB42" i="111" s="1"/>
  <c r="Z41" i="111"/>
  <c r="Z42" i="111" s="1"/>
  <c r="AC42" i="108"/>
  <c r="Z42" i="108"/>
  <c r="AC41" i="111"/>
  <c r="T41" i="111"/>
  <c r="AA42" i="108"/>
  <c r="AA42" i="107"/>
  <c r="AC42" i="107"/>
  <c r="U41" i="111"/>
  <c r="U42" i="111" s="1"/>
  <c r="V41" i="111"/>
  <c r="S42" i="108"/>
  <c r="X42" i="108"/>
  <c r="AB42" i="107"/>
  <c r="AE41" i="108"/>
  <c r="S41" i="111"/>
  <c r="S42" i="111" s="1"/>
  <c r="S34" i="111"/>
  <c r="AB42" i="108"/>
  <c r="S42" i="107"/>
  <c r="O106" i="111"/>
  <c r="P106" i="111"/>
  <c r="N107" i="111" s="1"/>
  <c r="AD37" i="111"/>
  <c r="X34" i="111"/>
  <c r="AD39" i="111"/>
  <c r="T34" i="111"/>
  <c r="W37" i="111"/>
  <c r="X36" i="111"/>
  <c r="Z39" i="111"/>
  <c r="AD38" i="111"/>
  <c r="V40" i="111"/>
  <c r="AA35" i="111"/>
  <c r="AF12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AD42" i="111" s="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41" i="111" l="1"/>
  <c r="AE42" i="108"/>
  <c r="AA42" i="111"/>
  <c r="T42" i="111"/>
  <c r="AF42" i="108"/>
  <c r="AC42" i="111"/>
  <c r="W42" i="111"/>
  <c r="AE41" i="111"/>
  <c r="AE42" i="111" s="1"/>
  <c r="Y42" i="111"/>
  <c r="V42" i="111"/>
  <c r="AF42" i="107"/>
  <c r="AF34" i="111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F42" i="111" l="1"/>
</calcChain>
</file>

<file path=xl/sharedStrings.xml><?xml version="1.0" encoding="utf-8"?>
<sst xmlns="http://schemas.openxmlformats.org/spreadsheetml/2006/main" count="2337" uniqueCount="188">
  <si>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</si>
  <si>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</si>
  <si>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</si>
  <si>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</si>
  <si>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</si>
  <si>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</si>
  <si>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</si>
  <si>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</si>
  <si>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</si>
  <si>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</si>
  <si>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</si>
  <si>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</si>
  <si>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</si>
  <si>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</si>
  <si>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</si>
  <si>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</si>
  <si>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</si>
  <si>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</si>
  <si>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</si>
  <si>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</si>
  <si>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</si>
  <si>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</si>
  <si>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</si>
  <si>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</si>
  <si>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</si>
  <si>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</si>
  <si>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</si>
  <si>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</si>
  <si>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</si>
  <si>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</si>
  <si>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</si>
  <si>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</si>
  <si>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</si>
  <si>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</si>
  <si>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</si>
  <si>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</si>
  <si>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</si>
  <si>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</si>
  <si>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</si>
  <si>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</si>
  <si>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</si>
  <si>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</si>
  <si>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</si>
  <si>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</si>
  <si>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</si>
  <si>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</si>
  <si>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</si>
  <si>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</si>
  <si>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</si>
  <si>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</si>
  <si>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</si>
  <si>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</si>
  <si>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</si>
  <si>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</si>
  <si>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</si>
  <si>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</si>
  <si>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</si>
  <si>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</si>
  <si>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</si>
  <si>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</si>
  <si>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</si>
  <si>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</si>
  <si>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</si>
  <si>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</si>
  <si>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</si>
  <si>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</si>
  <si>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</si>
  <si>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</si>
  <si>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</si>
  <si>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</si>
  <si>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</si>
  <si>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</si>
  <si>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</si>
  <si>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</si>
  <si>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</si>
  <si>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</si>
  <si>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</si>
  <si>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</si>
  <si>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</si>
  <si>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</si>
  <si>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</si>
  <si>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</si>
  <si>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</si>
  <si>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</si>
  <si>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</si>
  <si>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</si>
  <si>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</si>
  <si>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</si>
  <si>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</si>
  <si>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</si>
  <si>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</si>
  <si>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</si>
  <si>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</si>
  <si>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</si>
  <si>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</si>
  <si>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</si>
  <si>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</si>
  <si>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</si>
  <si>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</si>
  <si>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</si>
  <si>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</si>
  <si>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</si>
  <si>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</si>
  <si>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</si>
  <si>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</si>
  <si>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</si>
  <si>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</si>
  <si>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</si>
  <si>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</si>
  <si>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</si>
  <si>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</si>
  <si>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</si>
  <si>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</si>
  <si>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</si>
  <si>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</si>
  <si>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</si>
  <si>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</si>
  <si>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</si>
  <si>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</si>
  <si>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</si>
  <si>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</si>
  <si>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</si>
  <si>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</si>
  <si>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</si>
  <si>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</si>
  <si>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</si>
  <si>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</si>
  <si>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</si>
  <si>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</si>
  <si>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</si>
  <si>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</si>
  <si>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</si>
  <si>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</si>
  <si>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</si>
  <si>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</si>
  <si>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</si>
  <si>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</si>
  <si>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</si>
  <si>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</si>
  <si>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</si>
  <si>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</si>
  <si>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</si>
  <si>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</si>
  <si>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</si>
  <si>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</si>
  <si>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</si>
  <si>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</si>
  <si>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</si>
  <si>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</si>
  <si>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</si>
  <si>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</si>
  <si>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</si>
  <si>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</si>
  <si>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</si>
  <si>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</si>
  <si>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</si>
  <si>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</si>
  <si>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</si>
  <si>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</si>
  <si>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</si>
  <si>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</si>
  <si>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</si>
  <si>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</si>
  <si>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C4 - STN100 - MBARARA-NTUNGAMO ROAD</t>
  </si>
  <si>
    <t>27.10.19</t>
  </si>
  <si>
    <t>Nyeihanga traffic station</t>
  </si>
  <si>
    <t>Kabale</t>
  </si>
  <si>
    <t>Mbarara</t>
  </si>
  <si>
    <t>Norman</t>
  </si>
  <si>
    <t>Norman R</t>
  </si>
  <si>
    <t>Owomugisha B</t>
  </si>
  <si>
    <t>28.10.19</t>
  </si>
  <si>
    <t>29.10.19</t>
  </si>
  <si>
    <t>Owomugisga B</t>
  </si>
  <si>
    <t>30.10.19</t>
  </si>
  <si>
    <t xml:space="preserve">Norman </t>
  </si>
  <si>
    <t>Owomugisha</t>
  </si>
  <si>
    <t>1.11.19</t>
  </si>
  <si>
    <t>2.11.19</t>
  </si>
  <si>
    <t>14-</t>
  </si>
  <si>
    <t>31.10.19</t>
  </si>
  <si>
    <t>Onesmus, Justine</t>
  </si>
  <si>
    <t>Jackline, Joanitah</t>
  </si>
  <si>
    <t>Jackline, Patrick</t>
  </si>
  <si>
    <t>Onesmus, John</t>
  </si>
  <si>
    <t>XXXX</t>
  </si>
  <si>
    <t>XXX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</si>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</sst>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Mbarara-Kabale'!$AE$9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Mbarara-Kabale'!$AE$10:$AE$21</c:f>
              <c:numCache>
                <c:formatCode>0</c:formatCode>
                <c:ptCount val="12"/>
                <c:pt idx="0">
                  <c:v>207</c:v>
                </c:pt>
                <c:pt idx="1">
                  <c:v>83</c:v>
                </c:pt>
                <c:pt idx="2">
                  <c:v>71</c:v>
                </c:pt>
                <c:pt idx="3">
                  <c:v>93</c:v>
                </c:pt>
                <c:pt idx="4">
                  <c:v>118</c:v>
                </c:pt>
                <c:pt idx="5">
                  <c:v>100</c:v>
                </c:pt>
                <c:pt idx="6">
                  <c:v>106</c:v>
                </c:pt>
                <c:pt idx="7">
                  <c:v>107</c:v>
                </c:pt>
                <c:pt idx="8">
                  <c:v>244</c:v>
                </c:pt>
                <c:pt idx="9">
                  <c:v>143</c:v>
                </c:pt>
                <c:pt idx="10">
                  <c:v>176</c:v>
                </c:pt>
                <c:pt idx="11">
                  <c:v>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'27.10 Mbarara-Kabale'!$AF$9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Mbarara-Kabale'!$AF$10:$AF$21</c:f>
              <c:numCache>
                <c:formatCode>0</c:formatCode>
                <c:ptCount val="12"/>
                <c:pt idx="0">
                  <c:v>257</c:v>
                </c:pt>
                <c:pt idx="1">
                  <c:v>115</c:v>
                </c:pt>
                <c:pt idx="2">
                  <c:v>114</c:v>
                </c:pt>
                <c:pt idx="3">
                  <c:v>159</c:v>
                </c:pt>
                <c:pt idx="4">
                  <c:v>173</c:v>
                </c:pt>
                <c:pt idx="5">
                  <c:v>158</c:v>
                </c:pt>
                <c:pt idx="6">
                  <c:v>162</c:v>
                </c:pt>
                <c:pt idx="7">
                  <c:v>159</c:v>
                </c:pt>
                <c:pt idx="8">
                  <c:v>275</c:v>
                </c:pt>
                <c:pt idx="9">
                  <c:v>192</c:v>
                </c:pt>
                <c:pt idx="10">
                  <c:v>240</c:v>
                </c:pt>
                <c:pt idx="11">
                  <c:v>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919968"/>
        <c:axId val="2070918880"/>
      </c:lineChart>
      <c:catAx>
        <c:axId val="20709199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0918880"/>
        <c:crosses val="autoZero"/>
        <c:auto val="1"/>
        <c:lblAlgn val="ctr"/>
        <c:lblOffset val="100"/>
        <c:noMultiLvlLbl val="0"/>
      </c:catAx>
      <c:valAx>
        <c:axId val="20709188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091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Mbarara-Kabale'!$C$9:$N$9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Mbarara-Kabale'!$C$59:$N$59</c:f>
              <c:numCache>
                <c:formatCode>0.0%</c:formatCode>
                <c:ptCount val="12"/>
                <c:pt idx="0">
                  <c:v>0.17913204062788551</c:v>
                </c:pt>
                <c:pt idx="1">
                  <c:v>7.4330563250230838E-2</c:v>
                </c:pt>
                <c:pt idx="2">
                  <c:v>5.5401662049861494E-2</c:v>
                </c:pt>
                <c:pt idx="3">
                  <c:v>0.1352723915050785</c:v>
                </c:pt>
                <c:pt idx="4">
                  <c:v>5.5401662049861496E-3</c:v>
                </c:pt>
                <c:pt idx="5">
                  <c:v>1.1080332409972299E-2</c:v>
                </c:pt>
                <c:pt idx="6">
                  <c:v>2.2160664819944598E-2</c:v>
                </c:pt>
                <c:pt idx="7">
                  <c:v>4.6629732225300091E-2</c:v>
                </c:pt>
                <c:pt idx="8">
                  <c:v>8.4949215143120954E-2</c:v>
                </c:pt>
                <c:pt idx="9">
                  <c:v>0.10572483841181902</c:v>
                </c:pt>
                <c:pt idx="10">
                  <c:v>0.2788550323176362</c:v>
                </c:pt>
                <c:pt idx="11">
                  <c:v>9.2336103416435823E-4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Mbarara-Kabale'!$C$9:$N$9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Mbarara-Kabale'!$C$60:$N$60</c:f>
              <c:numCache>
                <c:formatCode>0.00%</c:formatCode>
                <c:ptCount val="12"/>
                <c:pt idx="0">
                  <c:v>0.24839948783610755</c:v>
                </c:pt>
                <c:pt idx="1">
                  <c:v>0.10307298335467349</c:v>
                </c:pt>
                <c:pt idx="2">
                  <c:v>7.6824583866837381E-2</c:v>
                </c:pt>
                <c:pt idx="3">
                  <c:v>0.18758002560819462</c:v>
                </c:pt>
                <c:pt idx="4">
                  <c:v>7.6824583866837385E-3</c:v>
                </c:pt>
                <c:pt idx="5">
                  <c:v>1.5364916773367477E-2</c:v>
                </c:pt>
                <c:pt idx="6">
                  <c:v>3.0729833546734954E-2</c:v>
                </c:pt>
                <c:pt idx="7">
                  <c:v>6.4660691421254801E-2</c:v>
                </c:pt>
                <c:pt idx="8">
                  <c:v>0.117797695262484</c:v>
                </c:pt>
                <c:pt idx="9">
                  <c:v>0.14660691421254801</c:v>
                </c:pt>
                <c:pt idx="11">
                  <c:v>1.2804097311139564E-3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Kabale-Mbarara'!$AE$9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Kabale-Mbarara'!$AE$10:$AE$21</c:f>
              <c:numCache>
                <c:formatCode>0</c:formatCode>
                <c:ptCount val="12"/>
                <c:pt idx="0">
                  <c:v>191</c:v>
                </c:pt>
                <c:pt idx="1">
                  <c:v>77</c:v>
                </c:pt>
                <c:pt idx="2">
                  <c:v>44</c:v>
                </c:pt>
                <c:pt idx="3">
                  <c:v>82</c:v>
                </c:pt>
                <c:pt idx="4">
                  <c:v>89</c:v>
                </c:pt>
                <c:pt idx="5">
                  <c:v>91</c:v>
                </c:pt>
                <c:pt idx="6">
                  <c:v>69</c:v>
                </c:pt>
                <c:pt idx="7">
                  <c:v>85</c:v>
                </c:pt>
                <c:pt idx="8">
                  <c:v>95</c:v>
                </c:pt>
                <c:pt idx="9">
                  <c:v>148</c:v>
                </c:pt>
                <c:pt idx="10">
                  <c:v>88</c:v>
                </c:pt>
                <c:pt idx="11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'27.10 Kabale-Mbarara'!$AF$9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Kabale-Mbarara'!$AF$10:$AF$21</c:f>
              <c:numCache>
                <c:formatCode>0</c:formatCode>
                <c:ptCount val="12"/>
                <c:pt idx="0">
                  <c:v>270</c:v>
                </c:pt>
                <c:pt idx="1">
                  <c:v>119</c:v>
                </c:pt>
                <c:pt idx="2">
                  <c:v>89</c:v>
                </c:pt>
                <c:pt idx="3">
                  <c:v>145</c:v>
                </c:pt>
                <c:pt idx="4">
                  <c:v>130</c:v>
                </c:pt>
                <c:pt idx="5">
                  <c:v>153</c:v>
                </c:pt>
                <c:pt idx="6">
                  <c:v>128</c:v>
                </c:pt>
                <c:pt idx="7">
                  <c:v>139</c:v>
                </c:pt>
                <c:pt idx="8">
                  <c:v>153</c:v>
                </c:pt>
                <c:pt idx="9">
                  <c:v>206</c:v>
                </c:pt>
                <c:pt idx="10">
                  <c:v>144</c:v>
                </c:pt>
                <c:pt idx="11">
                  <c:v>191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914528"/>
        <c:axId val="2070921056"/>
      </c:lineChart>
      <c:catAx>
        <c:axId val="20709145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0921056"/>
        <c:crosses val="autoZero"/>
        <c:auto val="1"/>
        <c:lblAlgn val="ctr"/>
        <c:lblOffset val="100"/>
        <c:noMultiLvlLbl val="0"/>
      </c:catAx>
      <c:valAx>
        <c:axId val="2070921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091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Kabale-Mbarara'!$C$9:$N$9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Kabale-Mbarara'!$C$59:$N$59</c:f>
              <c:numCache>
                <c:formatCode>0.0%</c:formatCode>
                <c:ptCount val="12"/>
                <c:pt idx="0">
                  <c:v>0.25066952329941083</c:v>
                </c:pt>
                <c:pt idx="1">
                  <c:v>4.874129619710766E-2</c:v>
                </c:pt>
                <c:pt idx="2">
                  <c:v>2.1960364220674881E-2</c:v>
                </c:pt>
                <c:pt idx="3">
                  <c:v>0.17621853240492769</c:v>
                </c:pt>
                <c:pt idx="4">
                  <c:v>3.7493304767005891E-3</c:v>
                </c:pt>
                <c:pt idx="5">
                  <c:v>8.5698982324584894E-3</c:v>
                </c:pt>
                <c:pt idx="6">
                  <c:v>1.6068559185859668E-2</c:v>
                </c:pt>
                <c:pt idx="7">
                  <c:v>3.320835565077665E-2</c:v>
                </c:pt>
                <c:pt idx="8">
                  <c:v>2.088912694161757E-2</c:v>
                </c:pt>
                <c:pt idx="9">
                  <c:v>6.106052490626674E-2</c:v>
                </c:pt>
                <c:pt idx="10">
                  <c:v>0.35779325120514194</c:v>
                </c:pt>
                <c:pt idx="11">
                  <c:v>1.0712372790573112E-3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Kabale-Mbarara'!$S$9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Kabale-Mbarara'!$S$10:$S$21</c:f>
              <c:numCache>
                <c:formatCode>0</c:formatCode>
                <c:ptCount val="12"/>
                <c:pt idx="0">
                  <c:v>56</c:v>
                </c:pt>
                <c:pt idx="1">
                  <c:v>43</c:v>
                </c:pt>
                <c:pt idx="2">
                  <c:v>17</c:v>
                </c:pt>
                <c:pt idx="3">
                  <c:v>34</c:v>
                </c:pt>
                <c:pt idx="4">
                  <c:v>43</c:v>
                </c:pt>
                <c:pt idx="5">
                  <c:v>35</c:v>
                </c:pt>
                <c:pt idx="6">
                  <c:v>25</c:v>
                </c:pt>
                <c:pt idx="7">
                  <c:v>38</c:v>
                </c:pt>
                <c:pt idx="8">
                  <c:v>24</c:v>
                </c:pt>
                <c:pt idx="9">
                  <c:v>67</c:v>
                </c:pt>
                <c:pt idx="10">
                  <c:v>40</c:v>
                </c:pt>
                <c:pt idx="11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'27.10 Kabale-Mbarara'!$T$9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Kabale-Mbarara'!$T$10:$T$21</c:f>
              <c:numCache>
                <c:formatCode>0</c:formatCode>
                <c:ptCount val="12"/>
                <c:pt idx="0">
                  <c:v>28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4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21</c:v>
                </c:pt>
                <c:pt idx="10">
                  <c:v>2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'27.10 Kabale-Mbarara'!$U$9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Kabale-Mbarara'!$U$10:$U$21</c:f>
              <c:numCache>
                <c:formatCode>0</c:formatCode>
                <c:ptCount val="12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'27.10 Kabale-Mbarara'!$V$9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Kabale-Mbarara'!$V$10:$V$21</c:f>
              <c:numCache>
                <c:formatCode>0</c:formatCode>
                <c:ptCount val="12"/>
                <c:pt idx="0">
                  <c:v>60</c:v>
                </c:pt>
                <c:pt idx="1">
                  <c:v>20</c:v>
                </c:pt>
                <c:pt idx="2">
                  <c:v>14</c:v>
                </c:pt>
                <c:pt idx="3">
                  <c:v>22</c:v>
                </c:pt>
                <c:pt idx="4">
                  <c:v>18</c:v>
                </c:pt>
                <c:pt idx="5">
                  <c:v>24</c:v>
                </c:pt>
                <c:pt idx="6">
                  <c:v>18</c:v>
                </c:pt>
                <c:pt idx="7">
                  <c:v>23</c:v>
                </c:pt>
                <c:pt idx="8">
                  <c:v>45</c:v>
                </c:pt>
                <c:pt idx="9">
                  <c:v>33</c:v>
                </c:pt>
                <c:pt idx="10">
                  <c:v>26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'27.10 Kabale-Mbarara'!$W$9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Kabale-Mbarara'!$W$10:$W$21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'27.10 Kabale-Mbarara'!$X$9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Kabale-Mbarara'!$X$10:$X$21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'27.10 Kabale-Mbarara'!$Y$9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Kabale-Mbarara'!$Y$10:$Y$21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2</c:v>
                </c:pt>
                <c:pt idx="7">
                  <c:v>8</c:v>
                </c:pt>
                <c:pt idx="8">
                  <c:v>5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'27.10 Kabale-Mbarara'!$Z$9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Kabale-Mbarara'!$Z$10:$Z$21</c:f>
              <c:numCache>
                <c:formatCode>0</c:formatCode>
                <c:ptCount val="12"/>
                <c:pt idx="0">
                  <c:v>10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'27.10 Kabale-Mbarara'!$AA$9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Kabale-Mbarara'!$AA$10:$AA$21</c:f>
              <c:numCache>
                <c:formatCode>0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'27.10 Kabale-Mbarara'!$AB$9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Kabale-Mbarara'!$AB$10:$AB$21</c:f>
              <c:numCache>
                <c:formatCode>0</c:formatCode>
                <c:ptCount val="12"/>
                <c:pt idx="0">
                  <c:v>17</c:v>
                </c:pt>
                <c:pt idx="1">
                  <c:v>5</c:v>
                </c:pt>
                <c:pt idx="2">
                  <c:v>5</c:v>
                </c:pt>
                <c:pt idx="3">
                  <c:v>13</c:v>
                </c:pt>
                <c:pt idx="4">
                  <c:v>6</c:v>
                </c:pt>
                <c:pt idx="5">
                  <c:v>11</c:v>
                </c:pt>
                <c:pt idx="6">
                  <c:v>5</c:v>
                </c:pt>
                <c:pt idx="7">
                  <c:v>9</c:v>
                </c:pt>
                <c:pt idx="8">
                  <c:v>14</c:v>
                </c:pt>
                <c:pt idx="9">
                  <c:v>13</c:v>
                </c:pt>
                <c:pt idx="10">
                  <c:v>6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'27.10 Kabale-Mbarara'!$AC$9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Kabale-Mbarara'!$AC$10:$AC$21</c:f>
              <c:numCache>
                <c:formatCode>0</c:formatCode>
                <c:ptCount val="12"/>
                <c:pt idx="0">
                  <c:v>79</c:v>
                </c:pt>
                <c:pt idx="1">
                  <c:v>42</c:v>
                </c:pt>
                <c:pt idx="2">
                  <c:v>45</c:v>
                </c:pt>
                <c:pt idx="3">
                  <c:v>63</c:v>
                </c:pt>
                <c:pt idx="4">
                  <c:v>41</c:v>
                </c:pt>
                <c:pt idx="5">
                  <c:v>62</c:v>
                </c:pt>
                <c:pt idx="6">
                  <c:v>59</c:v>
                </c:pt>
                <c:pt idx="7">
                  <c:v>54</c:v>
                </c:pt>
                <c:pt idx="8">
                  <c:v>58</c:v>
                </c:pt>
                <c:pt idx="9">
                  <c:v>58</c:v>
                </c:pt>
                <c:pt idx="10">
                  <c:v>56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'27.10 Kabale-Mbarara'!$AD$9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Kabale-Mbarara'!$AD$10:$AD$21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0915616"/>
        <c:axId val="2070911808"/>
      </c:lineChart>
      <c:catAx>
        <c:axId val="207091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0911808"/>
        <c:crosses val="autoZero"/>
        <c:auto val="1"/>
        <c:lblAlgn val="ctr"/>
        <c:lblOffset val="100"/>
        <c:noMultiLvlLbl val="0"/>
      </c:catAx>
      <c:valAx>
        <c:axId val="207091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091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Kabale-Mbarara'!$C$9:$N$9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Kabale-Mbarara'!$C$60:$N$60</c:f>
              <c:numCache>
                <c:formatCode>0.00%</c:formatCode>
                <c:ptCount val="12"/>
                <c:pt idx="0">
                  <c:v>0.39032527105921599</c:v>
                </c:pt>
                <c:pt idx="1">
                  <c:v>7.5896580483736445E-2</c:v>
                </c:pt>
                <c:pt idx="2">
                  <c:v>3.4195162635529609E-2</c:v>
                </c:pt>
                <c:pt idx="3">
                  <c:v>0.27439532944120099</c:v>
                </c:pt>
                <c:pt idx="4">
                  <c:v>5.8381984987489572E-3</c:v>
                </c:pt>
                <c:pt idx="5">
                  <c:v>1.3344453711426188E-2</c:v>
                </c:pt>
                <c:pt idx="6">
                  <c:v>2.5020850708924104E-2</c:v>
                </c:pt>
                <c:pt idx="7">
                  <c:v>5.170975813177648E-2</c:v>
                </c:pt>
                <c:pt idx="8">
                  <c:v>3.2527105921601338E-2</c:v>
                </c:pt>
                <c:pt idx="9">
                  <c:v>9.5079232693911594E-2</c:v>
                </c:pt>
                <c:pt idx="11">
                  <c:v>1.6680567139282735E-3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Mbarara-Kabale'!$AE$9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'28.10 Mbarara-Kabale'!$AE$10:$AE$21</c:f>
              <c:numCache>
                <c:formatCode>0</c:formatCode>
                <c:ptCount val="12"/>
                <c:pt idx="0">
                  <c:v>52</c:v>
                </c:pt>
                <c:pt idx="1">
                  <c:v>80</c:v>
                </c:pt>
                <c:pt idx="2">
                  <c:v>101</c:v>
                </c:pt>
                <c:pt idx="3">
                  <c:v>128</c:v>
                </c:pt>
                <c:pt idx="4">
                  <c:v>155</c:v>
                </c:pt>
                <c:pt idx="5">
                  <c:v>149</c:v>
                </c:pt>
                <c:pt idx="6">
                  <c:v>87</c:v>
                </c:pt>
                <c:pt idx="7">
                  <c:v>82</c:v>
                </c:pt>
                <c:pt idx="8">
                  <c:v>91</c:v>
                </c:pt>
                <c:pt idx="9">
                  <c:v>131</c:v>
                </c:pt>
                <c:pt idx="10">
                  <c:v>104</c:v>
                </c:pt>
                <c:pt idx="11">
                  <c:v>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'28.10 Mbarara-Kabale'!$AF$9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'28.10 Mbarara-Kabale'!$AF$10:$AF$21</c:f>
              <c:numCache>
                <c:formatCode>0</c:formatCode>
                <c:ptCount val="12"/>
                <c:pt idx="0">
                  <c:v>99</c:v>
                </c:pt>
                <c:pt idx="1">
                  <c:v>141</c:v>
                </c:pt>
                <c:pt idx="2">
                  <c:v>191</c:v>
                </c:pt>
                <c:pt idx="3">
                  <c:v>188</c:v>
                </c:pt>
                <c:pt idx="4">
                  <c:v>238</c:v>
                </c:pt>
                <c:pt idx="5">
                  <c:v>207</c:v>
                </c:pt>
                <c:pt idx="6">
                  <c:v>119</c:v>
                </c:pt>
                <c:pt idx="7">
                  <c:v>110</c:v>
                </c:pt>
                <c:pt idx="8">
                  <c:v>101</c:v>
                </c:pt>
                <c:pt idx="9">
                  <c:v>165</c:v>
                </c:pt>
                <c:pt idx="10">
                  <c:v>159</c:v>
                </c:pt>
                <c:pt idx="11">
                  <c:v>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913984"/>
        <c:axId val="2070916160"/>
      </c:lineChart>
      <c:catAx>
        <c:axId val="20709139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0916160"/>
        <c:crosses val="autoZero"/>
        <c:auto val="1"/>
        <c:lblAlgn val="ctr"/>
        <c:lblOffset val="100"/>
        <c:noMultiLvlLbl val="0"/>
      </c:catAx>
      <c:valAx>
        <c:axId val="20709161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7091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Mbarara-Kabale'!$C$9:$N$9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Mbarara-Kabale'!$C$59:$N$59</c:f>
              <c:numCache>
                <c:formatCode>0.0%</c:formatCode>
                <c:ptCount val="12"/>
                <c:pt idx="0">
                  <c:v>0.17712765957446808</c:v>
                </c:pt>
                <c:pt idx="1">
                  <c:v>7.3404255319148931E-2</c:v>
                </c:pt>
                <c:pt idx="2">
                  <c:v>4.8404255319148937E-2</c:v>
                </c:pt>
                <c:pt idx="3">
                  <c:v>0.12925531914893618</c:v>
                </c:pt>
                <c:pt idx="4">
                  <c:v>1.0638297872340426E-3</c:v>
                </c:pt>
                <c:pt idx="5">
                  <c:v>1.4361702127659574E-2</c:v>
                </c:pt>
                <c:pt idx="6">
                  <c:v>5.4787234042553194E-2</c:v>
                </c:pt>
                <c:pt idx="7">
                  <c:v>2.6595744680851064E-2</c:v>
                </c:pt>
                <c:pt idx="8">
                  <c:v>4.4148936170212767E-2</c:v>
                </c:pt>
                <c:pt idx="9">
                  <c:v>0.1026595744680851</c:v>
                </c:pt>
                <c:pt idx="10">
                  <c:v>0.32819148936170212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Mbarara-Kabale'!$S$9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'28.10 Mbarara-Kabale'!$S$10:$S$21</c:f>
              <c:numCache>
                <c:formatCode>0</c:formatCode>
                <c:ptCount val="12"/>
                <c:pt idx="0">
                  <c:v>18</c:v>
                </c:pt>
                <c:pt idx="1">
                  <c:v>26</c:v>
                </c:pt>
                <c:pt idx="2">
                  <c:v>28</c:v>
                </c:pt>
                <c:pt idx="3">
                  <c:v>27</c:v>
                </c:pt>
                <c:pt idx="4">
                  <c:v>36</c:v>
                </c:pt>
                <c:pt idx="5">
                  <c:v>35</c:v>
                </c:pt>
                <c:pt idx="6">
                  <c:v>31</c:v>
                </c:pt>
                <c:pt idx="7">
                  <c:v>21</c:v>
                </c:pt>
                <c:pt idx="8">
                  <c:v>27</c:v>
                </c:pt>
                <c:pt idx="9">
                  <c:v>19</c:v>
                </c:pt>
                <c:pt idx="10">
                  <c:v>27</c:v>
                </c:pt>
                <c:pt idx="11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'28.10 Mbarara-Kabale'!$T$9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'28.10 Mbarara-Kabale'!$T$10:$T$21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21</c:v>
                </c:pt>
                <c:pt idx="5">
                  <c:v>3</c:v>
                </c:pt>
                <c:pt idx="6">
                  <c:v>9</c:v>
                </c:pt>
                <c:pt idx="7">
                  <c:v>12</c:v>
                </c:pt>
                <c:pt idx="8">
                  <c:v>14</c:v>
                </c:pt>
                <c:pt idx="9">
                  <c:v>20</c:v>
                </c:pt>
                <c:pt idx="10">
                  <c:v>16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'28.10 Mbarara-Kabale'!$U$9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'28.10 Mbarara-Kabale'!$U$10:$U$21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10</c:v>
                </c:pt>
                <c:pt idx="4">
                  <c:v>16</c:v>
                </c:pt>
                <c:pt idx="5">
                  <c:v>12</c:v>
                </c:pt>
                <c:pt idx="6">
                  <c:v>11</c:v>
                </c:pt>
                <c:pt idx="7">
                  <c:v>1</c:v>
                </c:pt>
                <c:pt idx="8">
                  <c:v>1</c:v>
                </c:pt>
                <c:pt idx="9">
                  <c:v>9</c:v>
                </c:pt>
                <c:pt idx="10">
                  <c:v>5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'28.10 Mbarara-Kabale'!$V$9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'28.10 Mbarara-Kabale'!$V$10:$V$21</c:f>
              <c:numCache>
                <c:formatCode>0</c:formatCode>
                <c:ptCount val="12"/>
                <c:pt idx="0">
                  <c:v>5</c:v>
                </c:pt>
                <c:pt idx="1">
                  <c:v>16</c:v>
                </c:pt>
                <c:pt idx="2">
                  <c:v>13</c:v>
                </c:pt>
                <c:pt idx="3">
                  <c:v>23</c:v>
                </c:pt>
                <c:pt idx="4">
                  <c:v>36</c:v>
                </c:pt>
                <c:pt idx="5">
                  <c:v>28</c:v>
                </c:pt>
                <c:pt idx="6">
                  <c:v>19</c:v>
                </c:pt>
                <c:pt idx="7">
                  <c:v>17</c:v>
                </c:pt>
                <c:pt idx="8">
                  <c:v>18</c:v>
                </c:pt>
                <c:pt idx="9">
                  <c:v>36</c:v>
                </c:pt>
                <c:pt idx="10">
                  <c:v>17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'28.10 Mbarara-Kabale'!$W$9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'28.10 Mbarara-Kabale'!$W$10:$W$21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'28.10 Mbarara-Kabale'!$X$9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'28.10 Mbarara-Kabale'!$X$10:$X$21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0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'28.10 Mbarara-Kabale'!$Y$9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'28.10 Mbarara-Kabale'!$Y$10:$Y$21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12</c:v>
                </c:pt>
                <c:pt idx="3">
                  <c:v>25</c:v>
                </c:pt>
                <c:pt idx="4">
                  <c:v>15</c:v>
                </c:pt>
                <c:pt idx="5">
                  <c:v>14</c:v>
                </c:pt>
                <c:pt idx="6">
                  <c:v>5</c:v>
                </c:pt>
                <c:pt idx="7">
                  <c:v>0</c:v>
                </c:pt>
                <c:pt idx="8">
                  <c:v>2</c:v>
                </c:pt>
                <c:pt idx="9">
                  <c:v>12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'28.10 Mbarara-Kabale'!$Z$9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'28.10 Mbarara-Kabale'!$Z$10:$Z$21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  <c:pt idx="5">
                  <c:v>13</c:v>
                </c:pt>
                <c:pt idx="6">
                  <c:v>5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'28.10 Mbarara-Kabale'!$AA$9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'28.10 Mbarara-Kabale'!$AA$10:$AA$21</c:f>
              <c:numCache>
                <c:formatCode>0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8</c:v>
                </c:pt>
                <c:pt idx="4">
                  <c:v>6</c:v>
                </c:pt>
                <c:pt idx="5">
                  <c:v>16</c:v>
                </c:pt>
                <c:pt idx="6">
                  <c:v>5</c:v>
                </c:pt>
                <c:pt idx="7">
                  <c:v>8</c:v>
                </c:pt>
                <c:pt idx="8">
                  <c:v>3</c:v>
                </c:pt>
                <c:pt idx="9">
                  <c:v>4</c:v>
                </c:pt>
                <c:pt idx="10">
                  <c:v>16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'28.10 Mbarara-Kabale'!$AB$9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'28.10 Mbarara-Kabale'!$AB$10:$AB$21</c:f>
              <c:numCache>
                <c:formatCode>0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21</c:v>
                </c:pt>
                <c:pt idx="3">
                  <c:v>17</c:v>
                </c:pt>
                <c:pt idx="4">
                  <c:v>14</c:v>
                </c:pt>
                <c:pt idx="5">
                  <c:v>25</c:v>
                </c:pt>
                <c:pt idx="6">
                  <c:v>0</c:v>
                </c:pt>
                <c:pt idx="7">
                  <c:v>17</c:v>
                </c:pt>
                <c:pt idx="8">
                  <c:v>25</c:v>
                </c:pt>
                <c:pt idx="9">
                  <c:v>20</c:v>
                </c:pt>
                <c:pt idx="10">
                  <c:v>16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'28.10 Mbarara-Kabale'!$AC$9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'28.10 Mbarara-Kabale'!$AC$10:$AC$21</c:f>
              <c:numCache>
                <c:formatCode>0</c:formatCode>
                <c:ptCount val="12"/>
                <c:pt idx="0">
                  <c:v>47</c:v>
                </c:pt>
                <c:pt idx="1">
                  <c:v>61</c:v>
                </c:pt>
                <c:pt idx="2">
                  <c:v>90</c:v>
                </c:pt>
                <c:pt idx="3">
                  <c:v>60</c:v>
                </c:pt>
                <c:pt idx="4">
                  <c:v>83</c:v>
                </c:pt>
                <c:pt idx="5">
                  <c:v>58</c:v>
                </c:pt>
                <c:pt idx="6">
                  <c:v>32</c:v>
                </c:pt>
                <c:pt idx="7">
                  <c:v>28</c:v>
                </c:pt>
                <c:pt idx="8">
                  <c:v>10</c:v>
                </c:pt>
                <c:pt idx="9">
                  <c:v>34</c:v>
                </c:pt>
                <c:pt idx="10">
                  <c:v>55</c:v>
                </c:pt>
                <c:pt idx="1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'28.10 Mbarara-Kabale'!$AD$9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'28.10 Mbarara-Kabale'!$AD$10:$AD$21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862688"/>
        <c:axId val="2107864320"/>
      </c:lineChart>
      <c:catAx>
        <c:axId val="210786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07864320"/>
        <c:crosses val="autoZero"/>
        <c:auto val="1"/>
        <c:lblAlgn val="ctr"/>
        <c:lblOffset val="100"/>
        <c:noMultiLvlLbl val="0"/>
      </c:catAx>
      <c:valAx>
        <c:axId val="210786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0786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Mbarara-Kabale'!$C$9:$N$9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Mbarara-Kabale'!$C$60:$N$60</c:f>
              <c:numCache>
                <c:formatCode>0.00%</c:formatCode>
                <c:ptCount val="12"/>
                <c:pt idx="0">
                  <c:v>0.26365795724465557</c:v>
                </c:pt>
                <c:pt idx="1">
                  <c:v>0.10926365795724466</c:v>
                </c:pt>
                <c:pt idx="2">
                  <c:v>7.2050673000791765E-2</c:v>
                </c:pt>
                <c:pt idx="3">
                  <c:v>0.19239904988123516</c:v>
                </c:pt>
                <c:pt idx="4">
                  <c:v>1.5835312747426761E-3</c:v>
                </c:pt>
                <c:pt idx="5">
                  <c:v>2.1377672209026127E-2</c:v>
                </c:pt>
                <c:pt idx="6">
                  <c:v>8.1551860649247826E-2</c:v>
                </c:pt>
                <c:pt idx="7">
                  <c:v>3.9588281868566902E-2</c:v>
                </c:pt>
                <c:pt idx="8">
                  <c:v>6.5716547901821062E-2</c:v>
                </c:pt>
                <c:pt idx="9">
                  <c:v>0.15281076801266824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Kabale-Mbarara'!$AE$9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'28.10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'28.10 Kabale-Mbarara'!$AE$10:$AE$21</c:f>
              <c:numCache>
                <c:formatCode>0</c:formatCode>
                <c:ptCount val="12"/>
                <c:pt idx="0">
                  <c:v>69</c:v>
                </c:pt>
                <c:pt idx="1">
                  <c:v>97</c:v>
                </c:pt>
                <c:pt idx="2">
                  <c:v>125</c:v>
                </c:pt>
                <c:pt idx="3">
                  <c:v>89</c:v>
                </c:pt>
                <c:pt idx="4">
                  <c:v>122</c:v>
                </c:pt>
                <c:pt idx="5">
                  <c:v>66</c:v>
                </c:pt>
                <c:pt idx="6">
                  <c:v>69</c:v>
                </c:pt>
                <c:pt idx="7">
                  <c:v>67</c:v>
                </c:pt>
                <c:pt idx="8">
                  <c:v>83</c:v>
                </c:pt>
                <c:pt idx="9">
                  <c:v>121</c:v>
                </c:pt>
                <c:pt idx="10">
                  <c:v>130</c:v>
                </c:pt>
                <c:pt idx="11">
                  <c:v>111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'28.10 Kabale-Mbarara'!$AF$9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'28.10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'28.10 Kabale-Mbarara'!$AF$10:$AF$21</c:f>
              <c:numCache>
                <c:formatCode>0</c:formatCode>
                <c:ptCount val="12"/>
                <c:pt idx="0">
                  <c:v>127</c:v>
                </c:pt>
                <c:pt idx="1">
                  <c:v>188</c:v>
                </c:pt>
                <c:pt idx="2">
                  <c:v>220</c:v>
                </c:pt>
                <c:pt idx="3">
                  <c:v>167</c:v>
                </c:pt>
                <c:pt idx="4">
                  <c:v>188</c:v>
                </c:pt>
                <c:pt idx="5">
                  <c:v>121</c:v>
                </c:pt>
                <c:pt idx="6">
                  <c:v>113</c:v>
                </c:pt>
                <c:pt idx="7">
                  <c:v>85</c:v>
                </c:pt>
                <c:pt idx="8">
                  <c:v>92</c:v>
                </c:pt>
                <c:pt idx="9">
                  <c:v>158</c:v>
                </c:pt>
                <c:pt idx="10">
                  <c:v>171</c:v>
                </c:pt>
                <c:pt idx="11">
                  <c:v>183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859424"/>
        <c:axId val="2107860512"/>
      </c:lineChart>
      <c:catAx>
        <c:axId val="21078594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07860512"/>
        <c:crosses val="autoZero"/>
        <c:auto val="1"/>
        <c:lblAlgn val="ctr"/>
        <c:lblOffset val="100"/>
        <c:noMultiLvlLbl val="0"/>
      </c:catAx>
      <c:valAx>
        <c:axId val="2107860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0785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Kabale-Mbarara'!$C$9:$N$9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Kabale-Mbarara'!$C$59:$N$59</c:f>
              <c:numCache>
                <c:formatCode>0.0%</c:formatCode>
                <c:ptCount val="12"/>
                <c:pt idx="0">
                  <c:v>0.21014892443463873</c:v>
                </c:pt>
                <c:pt idx="1">
                  <c:v>3.5852178709321565E-2</c:v>
                </c:pt>
                <c:pt idx="2">
                  <c:v>3.0336458907887481E-2</c:v>
                </c:pt>
                <c:pt idx="3">
                  <c:v>0.18532818532818532</c:v>
                </c:pt>
                <c:pt idx="4">
                  <c:v>2.7578599007170436E-3</c:v>
                </c:pt>
                <c:pt idx="5">
                  <c:v>1.26861555432984E-2</c:v>
                </c:pt>
                <c:pt idx="6">
                  <c:v>4.0264754550468837E-2</c:v>
                </c:pt>
                <c:pt idx="7">
                  <c:v>2.8130170987313845E-2</c:v>
                </c:pt>
                <c:pt idx="8">
                  <c:v>3.9161610590182021E-2</c:v>
                </c:pt>
                <c:pt idx="9">
                  <c:v>4.9089906232763374E-2</c:v>
                </c:pt>
                <c:pt idx="10">
                  <c:v>0.3662437948152234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Kabale-Mbarara'!$S$9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'28.10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'28.10 Kabale-Mbarara'!$S$10:$S$21</c:f>
              <c:numCache>
                <c:formatCode>0</c:formatCode>
                <c:ptCount val="12"/>
                <c:pt idx="0">
                  <c:v>24</c:v>
                </c:pt>
                <c:pt idx="1">
                  <c:v>35</c:v>
                </c:pt>
                <c:pt idx="2">
                  <c:v>52</c:v>
                </c:pt>
                <c:pt idx="3">
                  <c:v>32</c:v>
                </c:pt>
                <c:pt idx="4">
                  <c:v>49</c:v>
                </c:pt>
                <c:pt idx="5">
                  <c:v>22</c:v>
                </c:pt>
                <c:pt idx="6">
                  <c:v>43</c:v>
                </c:pt>
                <c:pt idx="7">
                  <c:v>18</c:v>
                </c:pt>
                <c:pt idx="8">
                  <c:v>29</c:v>
                </c:pt>
                <c:pt idx="9">
                  <c:v>26</c:v>
                </c:pt>
                <c:pt idx="10">
                  <c:v>15</c:v>
                </c:pt>
                <c:pt idx="11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'28.10 Kabale-Mbarara'!$T$9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'28.10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'28.10 Kabale-Mbarara'!$T$10:$T$21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8</c:v>
                </c:pt>
                <c:pt idx="8">
                  <c:v>16</c:v>
                </c:pt>
                <c:pt idx="9">
                  <c:v>8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'28.10 Kabale-Mbarara'!$U$9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'28.10 Kabale-Mbarara'!$U$10:$U$21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13</c:v>
                </c:pt>
                <c:pt idx="10">
                  <c:v>14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'28.10 Kabale-Mbarara'!$V$9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'28.10 Kabale-Mbarara'!$V$10:$V$21</c:f>
              <c:numCache>
                <c:formatCode>0</c:formatCode>
                <c:ptCount val="12"/>
                <c:pt idx="0">
                  <c:v>25</c:v>
                </c:pt>
                <c:pt idx="1">
                  <c:v>32</c:v>
                </c:pt>
                <c:pt idx="2">
                  <c:v>41</c:v>
                </c:pt>
                <c:pt idx="3">
                  <c:v>29</c:v>
                </c:pt>
                <c:pt idx="4">
                  <c:v>49</c:v>
                </c:pt>
                <c:pt idx="5">
                  <c:v>30</c:v>
                </c:pt>
                <c:pt idx="6">
                  <c:v>10</c:v>
                </c:pt>
                <c:pt idx="7">
                  <c:v>9</c:v>
                </c:pt>
                <c:pt idx="8">
                  <c:v>16</c:v>
                </c:pt>
                <c:pt idx="9">
                  <c:v>28</c:v>
                </c:pt>
                <c:pt idx="10">
                  <c:v>36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'28.10 Kabale-Mbarara'!$W$9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'28.10 Kabale-Mbarara'!$W$10:$W$21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'28.10 Kabale-Mbarara'!$X$9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'28.10 Kabale-Mbarara'!$X$10:$X$21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6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'28.10 Kabale-Mbarara'!$Y$9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'28.10 Kabale-Mbarara'!$Y$10:$Y$21</c:f>
              <c:numCache>
                <c:formatCode>0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9</c:v>
                </c:pt>
                <c:pt idx="8">
                  <c:v>5</c:v>
                </c:pt>
                <c:pt idx="9">
                  <c:v>6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'28.10 Kabale-Mbarara'!$Z$9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'28.10 Kabale-Mbarara'!$Z$10:$Z$21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9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7</c:v>
                </c:pt>
                <c:pt idx="10">
                  <c:v>12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'28.10 Kabale-Mbarara'!$AA$9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'28.10 Kabale-Mbarara'!$AA$10:$AA$21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12</c:v>
                </c:pt>
                <c:pt idx="9">
                  <c:v>4</c:v>
                </c:pt>
                <c:pt idx="10">
                  <c:v>17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'28.10 Kabale-Mbarara'!$AB$9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'28.10 Kabale-Mbarara'!$AB$10:$AB$21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12</c:v>
                </c:pt>
                <c:pt idx="8">
                  <c:v>4</c:v>
                </c:pt>
                <c:pt idx="9">
                  <c:v>28</c:v>
                </c:pt>
                <c:pt idx="10">
                  <c:v>24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'28.10 Kabale-Mbarara'!$AC$9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'28.10 Kabale-Mbarara'!$AC$10:$AC$21</c:f>
              <c:numCache>
                <c:formatCode>0</c:formatCode>
                <c:ptCount val="12"/>
                <c:pt idx="0">
                  <c:v>58</c:v>
                </c:pt>
                <c:pt idx="1">
                  <c:v>91</c:v>
                </c:pt>
                <c:pt idx="2">
                  <c:v>95</c:v>
                </c:pt>
                <c:pt idx="3">
                  <c:v>78</c:v>
                </c:pt>
                <c:pt idx="4">
                  <c:v>66</c:v>
                </c:pt>
                <c:pt idx="5">
                  <c:v>55</c:v>
                </c:pt>
                <c:pt idx="6">
                  <c:v>44</c:v>
                </c:pt>
                <c:pt idx="7">
                  <c:v>18</c:v>
                </c:pt>
                <c:pt idx="8">
                  <c:v>9</c:v>
                </c:pt>
                <c:pt idx="9">
                  <c:v>37</c:v>
                </c:pt>
                <c:pt idx="10">
                  <c:v>41</c:v>
                </c:pt>
                <c:pt idx="1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'28.10 Kabale-Mbarara'!$AD$9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'28.10 Kabale-Mbarara'!$AD$10:$AD$21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69168"/>
        <c:axId val="65164816"/>
      </c:lineChart>
      <c:catAx>
        <c:axId val="6516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5164816"/>
        <c:crosses val="autoZero"/>
        <c:auto val="1"/>
        <c:lblAlgn val="ctr"/>
        <c:lblOffset val="100"/>
        <c:noMultiLvlLbl val="0"/>
      </c:catAx>
      <c:valAx>
        <c:axId val="651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516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Kabale-Mbarara'!$C$9:$N$9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Kabale-Mbarara'!$C$60:$N$60</c:f>
              <c:numCache>
                <c:formatCode>0.00%</c:formatCode>
                <c:ptCount val="12"/>
                <c:pt idx="0">
                  <c:v>0.33159268929503916</c:v>
                </c:pt>
                <c:pt idx="1">
                  <c:v>5.6570931244560488E-2</c:v>
                </c:pt>
                <c:pt idx="2">
                  <c:v>4.7867711053089644E-2</c:v>
                </c:pt>
                <c:pt idx="3">
                  <c:v>0.29242819843342038</c:v>
                </c:pt>
                <c:pt idx="4">
                  <c:v>4.3516100957354219E-3</c:v>
                </c:pt>
                <c:pt idx="5">
                  <c:v>2.0017406440382943E-2</c:v>
                </c:pt>
                <c:pt idx="6">
                  <c:v>6.3533507397737166E-2</c:v>
                </c:pt>
                <c:pt idx="7">
                  <c:v>4.4386422976501305E-2</c:v>
                </c:pt>
                <c:pt idx="8">
                  <c:v>6.1792863359442993E-2</c:v>
                </c:pt>
                <c:pt idx="9">
                  <c:v>7.7458659704090507E-2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Mbarara-Kabale'!$AE$9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Mbarara-Kabale'!$AE$10:$AE$21</c:f>
              <c:numCache>
                <c:formatCode>0</c:formatCode>
                <c:ptCount val="12"/>
                <c:pt idx="0">
                  <c:v>161</c:v>
                </c:pt>
                <c:pt idx="1">
                  <c:v>144</c:v>
                </c:pt>
                <c:pt idx="2">
                  <c:v>146</c:v>
                </c:pt>
                <c:pt idx="3">
                  <c:v>114</c:v>
                </c:pt>
                <c:pt idx="4">
                  <c:v>95</c:v>
                </c:pt>
                <c:pt idx="5">
                  <c:v>115</c:v>
                </c:pt>
                <c:pt idx="6">
                  <c:v>111</c:v>
                </c:pt>
                <c:pt idx="7">
                  <c:v>119</c:v>
                </c:pt>
                <c:pt idx="8">
                  <c:v>95</c:v>
                </c:pt>
                <c:pt idx="9">
                  <c:v>81</c:v>
                </c:pt>
                <c:pt idx="10">
                  <c:v>68</c:v>
                </c:pt>
                <c:pt idx="11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'29.10 Mbarara-Kabale'!$AF$9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Mbarara-Kabale'!$AF$10:$AF$21</c:f>
              <c:numCache>
                <c:formatCode>0</c:formatCode>
                <c:ptCount val="12"/>
                <c:pt idx="0">
                  <c:v>211</c:v>
                </c:pt>
                <c:pt idx="1">
                  <c:v>214</c:v>
                </c:pt>
                <c:pt idx="2">
                  <c:v>202</c:v>
                </c:pt>
                <c:pt idx="3">
                  <c:v>170</c:v>
                </c:pt>
                <c:pt idx="4">
                  <c:v>140</c:v>
                </c:pt>
                <c:pt idx="5">
                  <c:v>154</c:v>
                </c:pt>
                <c:pt idx="6">
                  <c:v>158</c:v>
                </c:pt>
                <c:pt idx="7">
                  <c:v>172</c:v>
                </c:pt>
                <c:pt idx="8">
                  <c:v>146</c:v>
                </c:pt>
                <c:pt idx="9">
                  <c:v>130</c:v>
                </c:pt>
                <c:pt idx="10">
                  <c:v>117</c:v>
                </c:pt>
                <c:pt idx="11">
                  <c:v>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57744"/>
        <c:axId val="65159376"/>
      </c:lineChart>
      <c:catAx>
        <c:axId val="651577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5159376"/>
        <c:crosses val="autoZero"/>
        <c:auto val="1"/>
        <c:lblAlgn val="ctr"/>
        <c:lblOffset val="100"/>
        <c:noMultiLvlLbl val="0"/>
      </c:catAx>
      <c:valAx>
        <c:axId val="65159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515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Mbarara-Kabale'!$C$9:$N$9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Mbarara-Kabale'!$C$59:$N$59</c:f>
              <c:numCache>
                <c:formatCode>0.0%</c:formatCode>
                <c:ptCount val="12"/>
                <c:pt idx="0">
                  <c:v>0.16544117647058823</c:v>
                </c:pt>
                <c:pt idx="1">
                  <c:v>8.4033613445378158E-2</c:v>
                </c:pt>
                <c:pt idx="2">
                  <c:v>6.0924369747899158E-2</c:v>
                </c:pt>
                <c:pt idx="3">
                  <c:v>0.13392857142857142</c:v>
                </c:pt>
                <c:pt idx="4">
                  <c:v>7.3529411764705881E-3</c:v>
                </c:pt>
                <c:pt idx="5">
                  <c:v>1.4180672268907563E-2</c:v>
                </c:pt>
                <c:pt idx="6">
                  <c:v>5.7773109243697482E-2</c:v>
                </c:pt>
                <c:pt idx="7">
                  <c:v>2.7836134453781514E-2</c:v>
                </c:pt>
                <c:pt idx="8">
                  <c:v>4.989495798319328E-2</c:v>
                </c:pt>
                <c:pt idx="9">
                  <c:v>8.5609243697478993E-2</c:v>
                </c:pt>
                <c:pt idx="10">
                  <c:v>0.31092436974789917</c:v>
                </c:pt>
                <c:pt idx="11">
                  <c:v>2.1008403361344537E-3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Mbarara-Kabale'!$S$9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Mbarara-Kabale'!$S$10:$S$21</c:f>
              <c:numCache>
                <c:formatCode>0</c:formatCode>
                <c:ptCount val="12"/>
                <c:pt idx="0">
                  <c:v>20</c:v>
                </c:pt>
                <c:pt idx="1">
                  <c:v>34</c:v>
                </c:pt>
                <c:pt idx="2">
                  <c:v>27</c:v>
                </c:pt>
                <c:pt idx="3">
                  <c:v>44</c:v>
                </c:pt>
                <c:pt idx="4">
                  <c:v>21</c:v>
                </c:pt>
                <c:pt idx="5">
                  <c:v>33</c:v>
                </c:pt>
                <c:pt idx="6">
                  <c:v>29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16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'29.10 Mbarara-Kabale'!$T$9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Mbarara-Kabale'!$T$10:$T$21</c:f>
              <c:numCache>
                <c:formatCode>0</c:formatCode>
                <c:ptCount val="12"/>
                <c:pt idx="0">
                  <c:v>24</c:v>
                </c:pt>
                <c:pt idx="1">
                  <c:v>21</c:v>
                </c:pt>
                <c:pt idx="2">
                  <c:v>11</c:v>
                </c:pt>
                <c:pt idx="3">
                  <c:v>16</c:v>
                </c:pt>
                <c:pt idx="4">
                  <c:v>8</c:v>
                </c:pt>
                <c:pt idx="5">
                  <c:v>18</c:v>
                </c:pt>
                <c:pt idx="6">
                  <c:v>12</c:v>
                </c:pt>
                <c:pt idx="7">
                  <c:v>18</c:v>
                </c:pt>
                <c:pt idx="8">
                  <c:v>11</c:v>
                </c:pt>
                <c:pt idx="9">
                  <c:v>7</c:v>
                </c:pt>
                <c:pt idx="10">
                  <c:v>10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'29.10 Mbarara-Kabale'!$U$9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'29.10 Mbarara-Kabale'!$U$10:$U$21</c:f>
              <c:numCache>
                <c:formatCode>0</c:formatCode>
                <c:ptCount val="12"/>
                <c:pt idx="0">
                  <c:v>18</c:v>
                </c:pt>
                <c:pt idx="1">
                  <c:v>16</c:v>
                </c:pt>
                <c:pt idx="2">
                  <c:v>17</c:v>
                </c:pt>
                <c:pt idx="3">
                  <c:v>5</c:v>
                </c:pt>
                <c:pt idx="4">
                  <c:v>4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15</c:v>
                </c:pt>
                <c:pt idx="9">
                  <c:v>8</c:v>
                </c:pt>
                <c:pt idx="10">
                  <c:v>7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'29.10 Mbarara-Kabale'!$V$9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'29.10 Mbarara-Kabale'!$V$10:$V$21</c:f>
              <c:numCache>
                <c:formatCode>0</c:formatCode>
                <c:ptCount val="12"/>
                <c:pt idx="0">
                  <c:v>29</c:v>
                </c:pt>
                <c:pt idx="1">
                  <c:v>22</c:v>
                </c:pt>
                <c:pt idx="2">
                  <c:v>36</c:v>
                </c:pt>
                <c:pt idx="3">
                  <c:v>18</c:v>
                </c:pt>
                <c:pt idx="4">
                  <c:v>19</c:v>
                </c:pt>
                <c:pt idx="5">
                  <c:v>26</c:v>
                </c:pt>
                <c:pt idx="6">
                  <c:v>25</c:v>
                </c:pt>
                <c:pt idx="7">
                  <c:v>23</c:v>
                </c:pt>
                <c:pt idx="8">
                  <c:v>18</c:v>
                </c:pt>
                <c:pt idx="9">
                  <c:v>16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'29.10 Mbarara-Kabale'!$W$9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'29.10 Mbarara-Kabale'!$W$10:$W$21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'29.10 Mbarara-Kabale'!$X$9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'29.10 Mbarara-Kabale'!$X$10:$X$21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'29.10 Mbarara-Kabale'!$Y$9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Mbarara-Kabale'!$Y$10:$Y$21</c:f>
              <c:numCache>
                <c:formatCode>0</c:formatCode>
                <c:ptCount val="12"/>
                <c:pt idx="0">
                  <c:v>6</c:v>
                </c:pt>
                <c:pt idx="1">
                  <c:v>18</c:v>
                </c:pt>
                <c:pt idx="2">
                  <c:v>8</c:v>
                </c:pt>
                <c:pt idx="3">
                  <c:v>5</c:v>
                </c:pt>
                <c:pt idx="4">
                  <c:v>15</c:v>
                </c:pt>
                <c:pt idx="5">
                  <c:v>9</c:v>
                </c:pt>
                <c:pt idx="6">
                  <c:v>8</c:v>
                </c:pt>
                <c:pt idx="7">
                  <c:v>13</c:v>
                </c:pt>
                <c:pt idx="8">
                  <c:v>7</c:v>
                </c:pt>
                <c:pt idx="9">
                  <c:v>10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'29.10 Mbarara-Kabale'!$Z$9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Mbarara-Kabale'!$Z$10:$Z$21</c:f>
              <c:numCache>
                <c:formatCode>0</c:formatCode>
                <c:ptCount val="12"/>
                <c:pt idx="0">
                  <c:v>14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8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'29.10 Mbarara-Kabale'!$AA$9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Mbarara-Kabale'!$AA$10:$AA$21</c:f>
              <c:numCache>
                <c:formatCode>0</c:formatCode>
                <c:ptCount val="12"/>
                <c:pt idx="0">
                  <c:v>15</c:v>
                </c:pt>
                <c:pt idx="1">
                  <c:v>4</c:v>
                </c:pt>
                <c:pt idx="2">
                  <c:v>3</c:v>
                </c:pt>
                <c:pt idx="3">
                  <c:v>9</c:v>
                </c:pt>
                <c:pt idx="4">
                  <c:v>10</c:v>
                </c:pt>
                <c:pt idx="5">
                  <c:v>4</c:v>
                </c:pt>
                <c:pt idx="6">
                  <c:v>8</c:v>
                </c:pt>
                <c:pt idx="7">
                  <c:v>12</c:v>
                </c:pt>
                <c:pt idx="8">
                  <c:v>1</c:v>
                </c:pt>
                <c:pt idx="9">
                  <c:v>4</c:v>
                </c:pt>
                <c:pt idx="10">
                  <c:v>8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'29.10 Mbarara-Kabale'!$AB$9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Mbarara-Kabale'!$AB$10:$AB$21</c:f>
              <c:numCache>
                <c:formatCode>0</c:formatCode>
                <c:ptCount val="12"/>
                <c:pt idx="0">
                  <c:v>29</c:v>
                </c:pt>
                <c:pt idx="1">
                  <c:v>19</c:v>
                </c:pt>
                <c:pt idx="2">
                  <c:v>35</c:v>
                </c:pt>
                <c:pt idx="3">
                  <c:v>8</c:v>
                </c:pt>
                <c:pt idx="4">
                  <c:v>10</c:v>
                </c:pt>
                <c:pt idx="5">
                  <c:v>8</c:v>
                </c:pt>
                <c:pt idx="6">
                  <c:v>16</c:v>
                </c:pt>
                <c:pt idx="7">
                  <c:v>11</c:v>
                </c:pt>
                <c:pt idx="8">
                  <c:v>14</c:v>
                </c:pt>
                <c:pt idx="9">
                  <c:v>5</c:v>
                </c:pt>
                <c:pt idx="10">
                  <c:v>8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'29.10 Mbarara-Kabale'!$AC$9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Mbarara-Kabale'!$AC$10:$AC$21</c:f>
              <c:numCache>
                <c:formatCode>0</c:formatCode>
                <c:ptCount val="12"/>
                <c:pt idx="0">
                  <c:v>50</c:v>
                </c:pt>
                <c:pt idx="1">
                  <c:v>70</c:v>
                </c:pt>
                <c:pt idx="2">
                  <c:v>56</c:v>
                </c:pt>
                <c:pt idx="3">
                  <c:v>56</c:v>
                </c:pt>
                <c:pt idx="4">
                  <c:v>45</c:v>
                </c:pt>
                <c:pt idx="5">
                  <c:v>39</c:v>
                </c:pt>
                <c:pt idx="6">
                  <c:v>47</c:v>
                </c:pt>
                <c:pt idx="7">
                  <c:v>53</c:v>
                </c:pt>
                <c:pt idx="8">
                  <c:v>51</c:v>
                </c:pt>
                <c:pt idx="9">
                  <c:v>49</c:v>
                </c:pt>
                <c:pt idx="10">
                  <c:v>49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'29.10 Mbarara-Kabale'!$AD$9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Mbarara-Kabale'!$AD$10:$AD$21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55568"/>
        <c:axId val="65156112"/>
      </c:lineChart>
      <c:catAx>
        <c:axId val="6515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5156112"/>
        <c:crosses val="autoZero"/>
        <c:auto val="1"/>
        <c:lblAlgn val="ctr"/>
        <c:lblOffset val="100"/>
        <c:noMultiLvlLbl val="0"/>
      </c:catAx>
      <c:valAx>
        <c:axId val="6515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515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Mbarara-Kabale'!$C$9:$N$9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Mbarara-Kabale'!$C$60:$N$60</c:f>
              <c:numCache>
                <c:formatCode>0.00%</c:formatCode>
                <c:ptCount val="12"/>
                <c:pt idx="0">
                  <c:v>0.24009146341463414</c:v>
                </c:pt>
                <c:pt idx="1">
                  <c:v>0.12195121951219512</c:v>
                </c:pt>
                <c:pt idx="2">
                  <c:v>8.8414634146341459E-2</c:v>
                </c:pt>
                <c:pt idx="3">
                  <c:v>0.19435975609756098</c:v>
                </c:pt>
                <c:pt idx="4">
                  <c:v>1.0670731707317074E-2</c:v>
                </c:pt>
                <c:pt idx="5">
                  <c:v>2.0579268292682928E-2</c:v>
                </c:pt>
                <c:pt idx="6">
                  <c:v>8.3841463414634151E-2</c:v>
                </c:pt>
                <c:pt idx="7">
                  <c:v>4.0396341463414635E-2</c:v>
                </c:pt>
                <c:pt idx="8">
                  <c:v>7.2408536585365849E-2</c:v>
                </c:pt>
                <c:pt idx="9">
                  <c:v>0.12423780487804878</c:v>
                </c:pt>
                <c:pt idx="11">
                  <c:v>3.0487804878048782E-3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Kabale-Mbarara'!$AE$9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Kabale-Mbarara'!$AE$10:$AE$21</c:f>
              <c:numCache>
                <c:formatCode>0</c:formatCode>
                <c:ptCount val="12"/>
                <c:pt idx="0">
                  <c:v>41</c:v>
                </c:pt>
                <c:pt idx="1">
                  <c:v>56</c:v>
                </c:pt>
                <c:pt idx="2">
                  <c:v>70</c:v>
                </c:pt>
                <c:pt idx="3">
                  <c:v>94</c:v>
                </c:pt>
                <c:pt idx="4">
                  <c:v>118</c:v>
                </c:pt>
                <c:pt idx="5">
                  <c:v>113</c:v>
                </c:pt>
                <c:pt idx="6">
                  <c:v>97</c:v>
                </c:pt>
                <c:pt idx="7">
                  <c:v>98</c:v>
                </c:pt>
                <c:pt idx="8">
                  <c:v>95</c:v>
                </c:pt>
                <c:pt idx="9">
                  <c:v>96</c:v>
                </c:pt>
                <c:pt idx="10">
                  <c:v>92</c:v>
                </c:pt>
                <c:pt idx="11">
                  <c:v>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'29.10 Kabale-Mbarara'!$AF$9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Kabale-Mbarara'!$AF$10:$AF$21</c:f>
              <c:numCache>
                <c:formatCode>0</c:formatCode>
                <c:ptCount val="12"/>
                <c:pt idx="0">
                  <c:v>78</c:v>
                </c:pt>
                <c:pt idx="1">
                  <c:v>119</c:v>
                </c:pt>
                <c:pt idx="2">
                  <c:v>134</c:v>
                </c:pt>
                <c:pt idx="3">
                  <c:v>142</c:v>
                </c:pt>
                <c:pt idx="4">
                  <c:v>187</c:v>
                </c:pt>
                <c:pt idx="5">
                  <c:v>185</c:v>
                </c:pt>
                <c:pt idx="6">
                  <c:v>156</c:v>
                </c:pt>
                <c:pt idx="7">
                  <c:v>143</c:v>
                </c:pt>
                <c:pt idx="8">
                  <c:v>145</c:v>
                </c:pt>
                <c:pt idx="9">
                  <c:v>152</c:v>
                </c:pt>
                <c:pt idx="10">
                  <c:v>129</c:v>
                </c:pt>
                <c:pt idx="11">
                  <c:v>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63728"/>
        <c:axId val="65166992"/>
      </c:lineChart>
      <c:catAx>
        <c:axId val="651637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5166992"/>
        <c:crosses val="autoZero"/>
        <c:auto val="1"/>
        <c:lblAlgn val="ctr"/>
        <c:lblOffset val="100"/>
        <c:noMultiLvlLbl val="0"/>
      </c:catAx>
      <c:valAx>
        <c:axId val="65166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516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Kabale-Mbarara'!$C$9:$N$9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Kabale-Mbarara'!$C$59:$N$59</c:f>
              <c:numCache>
                <c:formatCode>0.0%</c:formatCode>
                <c:ptCount val="12"/>
                <c:pt idx="0">
                  <c:v>0.23171445289643067</c:v>
                </c:pt>
                <c:pt idx="1">
                  <c:v>3.5108250438853128E-2</c:v>
                </c:pt>
                <c:pt idx="2">
                  <c:v>2.5746050321825628E-2</c:v>
                </c:pt>
                <c:pt idx="3">
                  <c:v>0.18724400234055003</c:v>
                </c:pt>
                <c:pt idx="4">
                  <c:v>1.1702750146284377E-3</c:v>
                </c:pt>
                <c:pt idx="5">
                  <c:v>1.579871269748391E-2</c:v>
                </c:pt>
                <c:pt idx="6">
                  <c:v>4.0959625511995321E-2</c:v>
                </c:pt>
                <c:pt idx="7">
                  <c:v>1.9894675248683439E-2</c:v>
                </c:pt>
                <c:pt idx="8">
                  <c:v>1.9894675248683439E-2</c:v>
                </c:pt>
                <c:pt idx="9">
                  <c:v>4.9151550614394385E-2</c:v>
                </c:pt>
                <c:pt idx="10">
                  <c:v>0.37331772966647164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Kabale-Mbarara'!$C$9:$N$9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Kabale-Mbarara'!$C$60:$N$60</c:f>
              <c:numCache>
                <c:formatCode>0.00%</c:formatCode>
                <c:ptCount val="12"/>
                <c:pt idx="0">
                  <c:v>0.36974789915966388</c:v>
                </c:pt>
                <c:pt idx="1">
                  <c:v>5.6022408963585436E-2</c:v>
                </c:pt>
                <c:pt idx="2">
                  <c:v>4.1083099906629318E-2</c:v>
                </c:pt>
                <c:pt idx="3">
                  <c:v>0.29878618113912231</c:v>
                </c:pt>
                <c:pt idx="4">
                  <c:v>1.8674136321195146E-3</c:v>
                </c:pt>
                <c:pt idx="5">
                  <c:v>2.5210084033613446E-2</c:v>
                </c:pt>
                <c:pt idx="6">
                  <c:v>6.535947712418301E-2</c:v>
                </c:pt>
                <c:pt idx="7">
                  <c:v>3.1746031746031744E-2</c:v>
                </c:pt>
                <c:pt idx="8">
                  <c:v>3.1746031746031744E-2</c:v>
                </c:pt>
                <c:pt idx="9">
                  <c:v>7.8431372549019607E-2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Mbarara-Kabale'!$AE$9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Mbarara-Kabale'!$AE$10:$AE$21</c:f>
              <c:numCache>
                <c:formatCode>0</c:formatCode>
                <c:ptCount val="12"/>
                <c:pt idx="0">
                  <c:v>80</c:v>
                </c:pt>
                <c:pt idx="1">
                  <c:v>84</c:v>
                </c:pt>
                <c:pt idx="2">
                  <c:v>108</c:v>
                </c:pt>
                <c:pt idx="3">
                  <c:v>115</c:v>
                </c:pt>
                <c:pt idx="4">
                  <c:v>107</c:v>
                </c:pt>
                <c:pt idx="5">
                  <c:v>113</c:v>
                </c:pt>
                <c:pt idx="6">
                  <c:v>63</c:v>
                </c:pt>
                <c:pt idx="7">
                  <c:v>117</c:v>
                </c:pt>
                <c:pt idx="8">
                  <c:v>93</c:v>
                </c:pt>
                <c:pt idx="9">
                  <c:v>91</c:v>
                </c:pt>
                <c:pt idx="10">
                  <c:v>112</c:v>
                </c:pt>
                <c:pt idx="11">
                  <c:v>112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'30.10 Mbarara-Kabale'!$AF$9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Mbarara-Kabale'!$AF$10:$AF$21</c:f>
              <c:numCache>
                <c:formatCode>0</c:formatCode>
                <c:ptCount val="12"/>
                <c:pt idx="0">
                  <c:v>100</c:v>
                </c:pt>
                <c:pt idx="1">
                  <c:v>139</c:v>
                </c:pt>
                <c:pt idx="2">
                  <c:v>165</c:v>
                </c:pt>
                <c:pt idx="3">
                  <c:v>147</c:v>
                </c:pt>
                <c:pt idx="4">
                  <c:v>164</c:v>
                </c:pt>
                <c:pt idx="5">
                  <c:v>164</c:v>
                </c:pt>
                <c:pt idx="6">
                  <c:v>102</c:v>
                </c:pt>
                <c:pt idx="7">
                  <c:v>158</c:v>
                </c:pt>
                <c:pt idx="8">
                  <c:v>139</c:v>
                </c:pt>
                <c:pt idx="9">
                  <c:v>120</c:v>
                </c:pt>
                <c:pt idx="10">
                  <c:v>171</c:v>
                </c:pt>
                <c:pt idx="11">
                  <c:v>173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64272"/>
        <c:axId val="66654736"/>
      </c:lineChart>
      <c:catAx>
        <c:axId val="651642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654736"/>
        <c:crosses val="autoZero"/>
        <c:auto val="1"/>
        <c:lblAlgn val="ctr"/>
        <c:lblOffset val="100"/>
        <c:noMultiLvlLbl val="0"/>
      </c:catAx>
      <c:valAx>
        <c:axId val="66654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516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Mbarara-Kabale'!$C$9:$N$9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Mbarara-Kabale'!$C$59:$N$59</c:f>
              <c:numCache>
                <c:formatCode>0.0%</c:formatCode>
                <c:ptCount val="12"/>
                <c:pt idx="0">
                  <c:v>0.16016073478760046</c:v>
                </c:pt>
                <c:pt idx="1">
                  <c:v>6.0849598163030996E-2</c:v>
                </c:pt>
                <c:pt idx="2">
                  <c:v>6.8886337543053955E-2</c:v>
                </c:pt>
                <c:pt idx="3">
                  <c:v>0.14466130884041331</c:v>
                </c:pt>
                <c:pt idx="4">
                  <c:v>5.7405281285878304E-3</c:v>
                </c:pt>
                <c:pt idx="5">
                  <c:v>1.8369690011481057E-2</c:v>
                </c:pt>
                <c:pt idx="6">
                  <c:v>6.7164179104477612E-2</c:v>
                </c:pt>
                <c:pt idx="7">
                  <c:v>2.9850746268656716E-2</c:v>
                </c:pt>
                <c:pt idx="8">
                  <c:v>4.7072330654420208E-2</c:v>
                </c:pt>
                <c:pt idx="9">
                  <c:v>8.3237657864523543E-2</c:v>
                </c:pt>
                <c:pt idx="10">
                  <c:v>0.31400688863375431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Mbarara-Kabale'!$S$9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Mbarara-Kabale'!$S$10:$S$21</c:f>
              <c:numCache>
                <c:formatCode>0</c:formatCode>
                <c:ptCount val="12"/>
                <c:pt idx="0">
                  <c:v>14</c:v>
                </c:pt>
                <c:pt idx="1">
                  <c:v>18</c:v>
                </c:pt>
                <c:pt idx="2">
                  <c:v>19</c:v>
                </c:pt>
                <c:pt idx="3">
                  <c:v>26</c:v>
                </c:pt>
                <c:pt idx="4">
                  <c:v>27</c:v>
                </c:pt>
                <c:pt idx="5">
                  <c:v>35</c:v>
                </c:pt>
                <c:pt idx="6">
                  <c:v>13</c:v>
                </c:pt>
                <c:pt idx="7">
                  <c:v>23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'30.10 Mbarara-Kabale'!$T$9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Mbarara-Kabale'!$T$10:$T$21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21</c:v>
                </c:pt>
                <c:pt idx="6">
                  <c:v>9</c:v>
                </c:pt>
                <c:pt idx="7">
                  <c:v>10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'30.10 Mbarara-Kabale'!$U$9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Mbarara-Kabale'!$U$10:$U$21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15</c:v>
                </c:pt>
                <c:pt idx="3">
                  <c:v>11</c:v>
                </c:pt>
                <c:pt idx="4">
                  <c:v>12</c:v>
                </c:pt>
                <c:pt idx="5">
                  <c:v>10</c:v>
                </c:pt>
                <c:pt idx="6">
                  <c:v>5</c:v>
                </c:pt>
                <c:pt idx="7">
                  <c:v>9</c:v>
                </c:pt>
                <c:pt idx="8">
                  <c:v>9</c:v>
                </c:pt>
                <c:pt idx="9">
                  <c:v>5</c:v>
                </c:pt>
                <c:pt idx="10">
                  <c:v>17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'30.10 Mbarara-Kabale'!$V$9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Mbarara-Kabale'!$V$10:$V$21</c:f>
              <c:numCache>
                <c:formatCode>0</c:formatCode>
                <c:ptCount val="12"/>
                <c:pt idx="0">
                  <c:v>18</c:v>
                </c:pt>
                <c:pt idx="1">
                  <c:v>17</c:v>
                </c:pt>
                <c:pt idx="2">
                  <c:v>25</c:v>
                </c:pt>
                <c:pt idx="3">
                  <c:v>25</c:v>
                </c:pt>
                <c:pt idx="4">
                  <c:v>23</c:v>
                </c:pt>
                <c:pt idx="5">
                  <c:v>20</c:v>
                </c:pt>
                <c:pt idx="6">
                  <c:v>15</c:v>
                </c:pt>
                <c:pt idx="7">
                  <c:v>32</c:v>
                </c:pt>
                <c:pt idx="8">
                  <c:v>25</c:v>
                </c:pt>
                <c:pt idx="9">
                  <c:v>16</c:v>
                </c:pt>
                <c:pt idx="10">
                  <c:v>15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'30.10 Mbarara-Kabale'!$W$9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Mbarara-Kabale'!$W$10:$W$21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'30.10 Mbarara-Kabale'!$X$9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Mbarara-Kabale'!$X$10:$X$21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'30.10 Mbarara-Kabale'!$Y$9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Mbarara-Kabale'!$Y$10:$Y$21</c:f>
              <c:numCache>
                <c:formatCode>0</c:formatCode>
                <c:ptCount val="12"/>
                <c:pt idx="0">
                  <c:v>13</c:v>
                </c:pt>
                <c:pt idx="1">
                  <c:v>10</c:v>
                </c:pt>
                <c:pt idx="2">
                  <c:v>13</c:v>
                </c:pt>
                <c:pt idx="3">
                  <c:v>19</c:v>
                </c:pt>
                <c:pt idx="4">
                  <c:v>7</c:v>
                </c:pt>
                <c:pt idx="5">
                  <c:v>10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8</c:v>
                </c:pt>
                <c:pt idx="10">
                  <c:v>18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'30.10 Mbarara-Kabale'!$Z$9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Mbarara-Kabale'!$Z$10:$Z$21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8</c:v>
                </c:pt>
                <c:pt idx="8">
                  <c:v>5</c:v>
                </c:pt>
                <c:pt idx="9">
                  <c:v>7</c:v>
                </c:pt>
                <c:pt idx="10">
                  <c:v>2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'30.10 Mbarara-Kabale'!$AA$9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Mbarara-Kabale'!$AA$10:$AA$21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7</c:v>
                </c:pt>
                <c:pt idx="4">
                  <c:v>10</c:v>
                </c:pt>
                <c:pt idx="5">
                  <c:v>5</c:v>
                </c:pt>
                <c:pt idx="6">
                  <c:v>0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'30.10 Mbarara-Kabale'!$AB$9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Mbarara-Kabale'!$AB$10:$AB$21</c:f>
              <c:numCache>
                <c:formatCode>0</c:formatCode>
                <c:ptCount val="12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4</c:v>
                </c:pt>
                <c:pt idx="4">
                  <c:v>11</c:v>
                </c:pt>
                <c:pt idx="5">
                  <c:v>7</c:v>
                </c:pt>
                <c:pt idx="6">
                  <c:v>7</c:v>
                </c:pt>
                <c:pt idx="7">
                  <c:v>17</c:v>
                </c:pt>
                <c:pt idx="8">
                  <c:v>5</c:v>
                </c:pt>
                <c:pt idx="9">
                  <c:v>10</c:v>
                </c:pt>
                <c:pt idx="10">
                  <c:v>18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'30.10 Mbarara-Kabale'!$AC$9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Mbarara-Kabale'!$AC$10:$AC$21</c:f>
              <c:numCache>
                <c:formatCode>0</c:formatCode>
                <c:ptCount val="12"/>
                <c:pt idx="0">
                  <c:v>20</c:v>
                </c:pt>
                <c:pt idx="1">
                  <c:v>55</c:v>
                </c:pt>
                <c:pt idx="2">
                  <c:v>57</c:v>
                </c:pt>
                <c:pt idx="3">
                  <c:v>32</c:v>
                </c:pt>
                <c:pt idx="4">
                  <c:v>57</c:v>
                </c:pt>
                <c:pt idx="5">
                  <c:v>51</c:v>
                </c:pt>
                <c:pt idx="6">
                  <c:v>39</c:v>
                </c:pt>
                <c:pt idx="7">
                  <c:v>41</c:v>
                </c:pt>
                <c:pt idx="8">
                  <c:v>46</c:v>
                </c:pt>
                <c:pt idx="9">
                  <c:v>29</c:v>
                </c:pt>
                <c:pt idx="10">
                  <c:v>59</c:v>
                </c:pt>
                <c:pt idx="1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'30.10 Mbarara-Kabale'!$AD$9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Mbarara-Kabale'!$AD$10:$AD$21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54192"/>
        <c:axId val="66652016"/>
      </c:lineChart>
      <c:catAx>
        <c:axId val="6665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652016"/>
        <c:crosses val="autoZero"/>
        <c:auto val="1"/>
        <c:lblAlgn val="ctr"/>
        <c:lblOffset val="100"/>
        <c:noMultiLvlLbl val="0"/>
      </c:catAx>
      <c:valAx>
        <c:axId val="666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65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Mbarara-Kabale'!$C$9:$N$9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Mbarara-Kabale'!$C$60:$N$60</c:f>
              <c:numCache>
                <c:formatCode>0.00%</c:formatCode>
                <c:ptCount val="12"/>
                <c:pt idx="0">
                  <c:v>0.23347280334728032</c:v>
                </c:pt>
                <c:pt idx="1">
                  <c:v>8.8702928870292894E-2</c:v>
                </c:pt>
                <c:pt idx="2">
                  <c:v>0.100418410041841</c:v>
                </c:pt>
                <c:pt idx="3">
                  <c:v>0.2108786610878661</c:v>
                </c:pt>
                <c:pt idx="4">
                  <c:v>8.368200836820083E-3</c:v>
                </c:pt>
                <c:pt idx="5">
                  <c:v>2.6778242677824266E-2</c:v>
                </c:pt>
                <c:pt idx="6">
                  <c:v>9.7907949790794979E-2</c:v>
                </c:pt>
                <c:pt idx="7">
                  <c:v>4.3514644351464432E-2</c:v>
                </c:pt>
                <c:pt idx="8">
                  <c:v>6.8619246861924679E-2</c:v>
                </c:pt>
                <c:pt idx="9">
                  <c:v>0.12133891213389121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Kabale -Mbarara'!$AE$9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Kabale 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Kabale -Mbarara'!$AE$10:$AE$21</c:f>
              <c:numCache>
                <c:formatCode>0</c:formatCode>
                <c:ptCount val="12"/>
                <c:pt idx="0">
                  <c:v>27</c:v>
                </c:pt>
                <c:pt idx="1">
                  <c:v>72</c:v>
                </c:pt>
                <c:pt idx="2">
                  <c:v>70</c:v>
                </c:pt>
                <c:pt idx="3">
                  <c:v>71</c:v>
                </c:pt>
                <c:pt idx="4">
                  <c:v>110</c:v>
                </c:pt>
                <c:pt idx="5">
                  <c:v>84</c:v>
                </c:pt>
                <c:pt idx="6">
                  <c:v>88</c:v>
                </c:pt>
                <c:pt idx="7">
                  <c:v>108</c:v>
                </c:pt>
                <c:pt idx="8">
                  <c:v>80</c:v>
                </c:pt>
                <c:pt idx="9">
                  <c:v>68</c:v>
                </c:pt>
                <c:pt idx="10">
                  <c:v>67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'30.10 Kabale -Mbarara'!$AF$9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Kabale 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Kabale -Mbarara'!$AF$10:$AF$21</c:f>
              <c:numCache>
                <c:formatCode>0</c:formatCode>
                <c:ptCount val="12"/>
                <c:pt idx="0">
                  <c:v>59</c:v>
                </c:pt>
                <c:pt idx="1">
                  <c:v>116</c:v>
                </c:pt>
                <c:pt idx="2">
                  <c:v>119</c:v>
                </c:pt>
                <c:pt idx="3">
                  <c:v>141</c:v>
                </c:pt>
                <c:pt idx="4">
                  <c:v>181</c:v>
                </c:pt>
                <c:pt idx="5">
                  <c:v>129</c:v>
                </c:pt>
                <c:pt idx="6">
                  <c:v>137</c:v>
                </c:pt>
                <c:pt idx="7">
                  <c:v>135</c:v>
                </c:pt>
                <c:pt idx="8">
                  <c:v>121</c:v>
                </c:pt>
                <c:pt idx="9">
                  <c:v>116</c:v>
                </c:pt>
                <c:pt idx="10">
                  <c:v>107</c:v>
                </c:pt>
                <c:pt idx="11">
                  <c:v>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48752"/>
        <c:axId val="66653104"/>
      </c:lineChart>
      <c:catAx>
        <c:axId val="666487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653104"/>
        <c:crosses val="autoZero"/>
        <c:auto val="1"/>
        <c:lblAlgn val="ctr"/>
        <c:lblOffset val="100"/>
        <c:noMultiLvlLbl val="0"/>
      </c:catAx>
      <c:valAx>
        <c:axId val="66653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64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Kabale 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Kabale -Mbarara'!$C$59:$N$59</c:f>
              <c:numCache>
                <c:formatCode>0.0%</c:formatCode>
                <c:ptCount val="12"/>
                <c:pt idx="0">
                  <c:v>0.19425444596443228</c:v>
                </c:pt>
                <c:pt idx="1">
                  <c:v>2.4623803009575923E-2</c:v>
                </c:pt>
                <c:pt idx="2">
                  <c:v>3.761969904240766E-2</c:v>
                </c:pt>
                <c:pt idx="3">
                  <c:v>0.17647058823529413</c:v>
                </c:pt>
                <c:pt idx="4">
                  <c:v>2.7359781121751026E-3</c:v>
                </c:pt>
                <c:pt idx="5">
                  <c:v>1.5047879616963064E-2</c:v>
                </c:pt>
                <c:pt idx="6">
                  <c:v>4.240766073871409E-2</c:v>
                </c:pt>
                <c:pt idx="7">
                  <c:v>3.2831737346101231E-2</c:v>
                </c:pt>
                <c:pt idx="8">
                  <c:v>3.3515731874145006E-2</c:v>
                </c:pt>
                <c:pt idx="9">
                  <c:v>6.0191518467852256E-2</c:v>
                </c:pt>
                <c:pt idx="10">
                  <c:v>0.38030095759233928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Kabale -Mbarara'!$S$9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Kabale 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Kabale -Mbarara'!$S$10:$S$21</c:f>
              <c:numCache>
                <c:formatCode>0</c:formatCode>
                <c:ptCount val="12"/>
                <c:pt idx="0">
                  <c:v>7</c:v>
                </c:pt>
                <c:pt idx="1">
                  <c:v>24</c:v>
                </c:pt>
                <c:pt idx="2">
                  <c:v>30</c:v>
                </c:pt>
                <c:pt idx="3">
                  <c:v>25</c:v>
                </c:pt>
                <c:pt idx="4">
                  <c:v>35</c:v>
                </c:pt>
                <c:pt idx="5">
                  <c:v>27</c:v>
                </c:pt>
                <c:pt idx="6">
                  <c:v>24</c:v>
                </c:pt>
                <c:pt idx="7">
                  <c:v>20</c:v>
                </c:pt>
                <c:pt idx="8">
                  <c:v>20</c:v>
                </c:pt>
                <c:pt idx="9">
                  <c:v>22</c:v>
                </c:pt>
                <c:pt idx="10">
                  <c:v>28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'30.10 Kabale -Mbarara'!$T$9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Kabale 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Kabale -Mbarara'!$T$10:$T$21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8</c:v>
                </c:pt>
                <c:pt idx="7">
                  <c:v>14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'30.10 Kabale -Mbarara'!$U$9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Kabale -Mbarara'!$U$10:$U$21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10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1</c:v>
                </c:pt>
                <c:pt idx="9">
                  <c:v>8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'30.10 Kabale -Mbarara'!$V$9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Kabale -Mbarara'!$V$10:$V$21</c:f>
              <c:numCache>
                <c:formatCode>0</c:formatCode>
                <c:ptCount val="12"/>
                <c:pt idx="0">
                  <c:v>6</c:v>
                </c:pt>
                <c:pt idx="1">
                  <c:v>25</c:v>
                </c:pt>
                <c:pt idx="2">
                  <c:v>21</c:v>
                </c:pt>
                <c:pt idx="3">
                  <c:v>27</c:v>
                </c:pt>
                <c:pt idx="4">
                  <c:v>27</c:v>
                </c:pt>
                <c:pt idx="5">
                  <c:v>34</c:v>
                </c:pt>
                <c:pt idx="6">
                  <c:v>31</c:v>
                </c:pt>
                <c:pt idx="7">
                  <c:v>17</c:v>
                </c:pt>
                <c:pt idx="8">
                  <c:v>18</c:v>
                </c:pt>
                <c:pt idx="9">
                  <c:v>12</c:v>
                </c:pt>
                <c:pt idx="10">
                  <c:v>21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'30.10 Kabale -Mbarara'!$W$9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Kabale -Mbarara'!$W$10:$W$21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'30.10 Kabale -Mbarara'!$X$9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Kabale -Mbarara'!$X$10:$X$21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8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'30.10 Kabale -Mbarara'!$Y$9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Kabale -Mbarara'!$Y$10:$Y$21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8</c:v>
                </c:pt>
                <c:pt idx="6">
                  <c:v>0</c:v>
                </c:pt>
                <c:pt idx="7">
                  <c:v>9</c:v>
                </c:pt>
                <c:pt idx="8">
                  <c:v>7</c:v>
                </c:pt>
                <c:pt idx="9">
                  <c:v>8</c:v>
                </c:pt>
                <c:pt idx="10">
                  <c:v>2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'30.10 Kabale -Mbarara'!$Z$9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Kabale -Mbarara'!$Z$10:$Z$21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14</c:v>
                </c:pt>
                <c:pt idx="5">
                  <c:v>1</c:v>
                </c:pt>
                <c:pt idx="6">
                  <c:v>0</c:v>
                </c:pt>
                <c:pt idx="7">
                  <c:v>11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'30.10 Kabale -Mbarara'!$AA$9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Kabale -Mbarara'!$AA$10:$AA$21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6</c:v>
                </c:pt>
                <c:pt idx="7">
                  <c:v>7</c:v>
                </c:pt>
                <c:pt idx="8">
                  <c:v>12</c:v>
                </c:pt>
                <c:pt idx="9">
                  <c:v>5</c:v>
                </c:pt>
                <c:pt idx="10">
                  <c:v>11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'30.10 Kabale -Mbarara'!$AB$9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Kabale -Mbarara'!$AB$10:$AB$21</c:f>
              <c:numCache>
                <c:formatCode>0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4</c:v>
                </c:pt>
                <c:pt idx="3">
                  <c:v>4</c:v>
                </c:pt>
                <c:pt idx="4">
                  <c:v>9</c:v>
                </c:pt>
                <c:pt idx="5">
                  <c:v>3</c:v>
                </c:pt>
                <c:pt idx="6">
                  <c:v>10</c:v>
                </c:pt>
                <c:pt idx="7">
                  <c:v>13</c:v>
                </c:pt>
                <c:pt idx="8">
                  <c:v>14</c:v>
                </c:pt>
                <c:pt idx="9">
                  <c:v>9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'30.10 Kabale -Mbarara'!$AC$9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Kabale -Mbarara'!$AC$10:$AC$21</c:f>
              <c:numCache>
                <c:formatCode>0</c:formatCode>
                <c:ptCount val="12"/>
                <c:pt idx="0">
                  <c:v>32</c:v>
                </c:pt>
                <c:pt idx="1">
                  <c:v>44</c:v>
                </c:pt>
                <c:pt idx="2">
                  <c:v>49</c:v>
                </c:pt>
                <c:pt idx="3">
                  <c:v>70</c:v>
                </c:pt>
                <c:pt idx="4">
                  <c:v>71</c:v>
                </c:pt>
                <c:pt idx="5">
                  <c:v>45</c:v>
                </c:pt>
                <c:pt idx="6">
                  <c:v>49</c:v>
                </c:pt>
                <c:pt idx="7">
                  <c:v>27</c:v>
                </c:pt>
                <c:pt idx="8">
                  <c:v>41</c:v>
                </c:pt>
                <c:pt idx="9">
                  <c:v>48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'30.10 Kabale -Mbarara'!$AD$9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Kabale -Mbarara'!$AD$10:$AD$21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49840"/>
        <c:axId val="66640592"/>
      </c:lineChart>
      <c:catAx>
        <c:axId val="6664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640592"/>
        <c:crosses val="autoZero"/>
        <c:auto val="1"/>
        <c:lblAlgn val="ctr"/>
        <c:lblOffset val="100"/>
        <c:noMultiLvlLbl val="0"/>
      </c:catAx>
      <c:valAx>
        <c:axId val="666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64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Kabale 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Kabale -Mbarara'!$C$60:$N$60</c:f>
              <c:numCache>
                <c:formatCode>0.00%</c:formatCode>
                <c:ptCount val="12"/>
                <c:pt idx="0">
                  <c:v>0.31346578366445915</c:v>
                </c:pt>
                <c:pt idx="1">
                  <c:v>3.9735099337748346E-2</c:v>
                </c:pt>
                <c:pt idx="2">
                  <c:v>6.0706401766004413E-2</c:v>
                </c:pt>
                <c:pt idx="3">
                  <c:v>0.28476821192052981</c:v>
                </c:pt>
                <c:pt idx="4">
                  <c:v>4.4150110375275938E-3</c:v>
                </c:pt>
                <c:pt idx="5">
                  <c:v>2.4282560706401765E-2</c:v>
                </c:pt>
                <c:pt idx="6">
                  <c:v>6.8432671081677707E-2</c:v>
                </c:pt>
                <c:pt idx="7">
                  <c:v>5.2980132450331126E-2</c:v>
                </c:pt>
                <c:pt idx="8">
                  <c:v>5.4083885209713023E-2</c:v>
                </c:pt>
                <c:pt idx="9">
                  <c:v>9.713024282560706E-2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Mbarara-Kabale-24hr'!$AE$9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Mbarara-Kabale-24hr'!$R$10:$R$33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'31.10 Mbarara-Kabale-24hr'!$AE$10:$AE$33</c:f>
              <c:numCache>
                <c:formatCode>0</c:formatCode>
                <c:ptCount val="24"/>
                <c:pt idx="0">
                  <c:v>43</c:v>
                </c:pt>
                <c:pt idx="1">
                  <c:v>64</c:v>
                </c:pt>
                <c:pt idx="2">
                  <c:v>88</c:v>
                </c:pt>
                <c:pt idx="3">
                  <c:v>94</c:v>
                </c:pt>
                <c:pt idx="4">
                  <c:v>81</c:v>
                </c:pt>
                <c:pt idx="5">
                  <c:v>79</c:v>
                </c:pt>
                <c:pt idx="6">
                  <c:v>68</c:v>
                </c:pt>
                <c:pt idx="7">
                  <c:v>85</c:v>
                </c:pt>
                <c:pt idx="8">
                  <c:v>80</c:v>
                </c:pt>
                <c:pt idx="9">
                  <c:v>72</c:v>
                </c:pt>
                <c:pt idx="10">
                  <c:v>68</c:v>
                </c:pt>
                <c:pt idx="11">
                  <c:v>68</c:v>
                </c:pt>
                <c:pt idx="12">
                  <c:v>161</c:v>
                </c:pt>
                <c:pt idx="13">
                  <c:v>115</c:v>
                </c:pt>
                <c:pt idx="14">
                  <c:v>64</c:v>
                </c:pt>
                <c:pt idx="15">
                  <c:v>59</c:v>
                </c:pt>
                <c:pt idx="16">
                  <c:v>44</c:v>
                </c:pt>
                <c:pt idx="17">
                  <c:v>25</c:v>
                </c:pt>
                <c:pt idx="18">
                  <c:v>7</c:v>
                </c:pt>
                <c:pt idx="19">
                  <c:v>1</c:v>
                </c:pt>
                <c:pt idx="20">
                  <c:v>0</c:v>
                </c:pt>
                <c:pt idx="21">
                  <c:v>11</c:v>
                </c:pt>
                <c:pt idx="22">
                  <c:v>21</c:v>
                </c:pt>
                <c:pt idx="23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'31.10 Mbarara-Kabale-24hr'!$AF$9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Mbarara-Kabale-24hr'!$R$10:$R$33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'31.10 Mbarara-Kabale-24hr'!$AF$10:$AF$33</c:f>
              <c:numCache>
                <c:formatCode>0</c:formatCode>
                <c:ptCount val="24"/>
                <c:pt idx="0">
                  <c:v>106</c:v>
                </c:pt>
                <c:pt idx="1">
                  <c:v>146</c:v>
                </c:pt>
                <c:pt idx="2">
                  <c:v>180</c:v>
                </c:pt>
                <c:pt idx="3">
                  <c:v>196</c:v>
                </c:pt>
                <c:pt idx="4">
                  <c:v>141</c:v>
                </c:pt>
                <c:pt idx="5">
                  <c:v>126</c:v>
                </c:pt>
                <c:pt idx="6">
                  <c:v>116</c:v>
                </c:pt>
                <c:pt idx="7">
                  <c:v>187</c:v>
                </c:pt>
                <c:pt idx="8">
                  <c:v>169</c:v>
                </c:pt>
                <c:pt idx="9">
                  <c:v>145</c:v>
                </c:pt>
                <c:pt idx="10">
                  <c:v>143</c:v>
                </c:pt>
                <c:pt idx="11">
                  <c:v>143</c:v>
                </c:pt>
                <c:pt idx="12">
                  <c:v>207</c:v>
                </c:pt>
                <c:pt idx="13">
                  <c:v>147</c:v>
                </c:pt>
                <c:pt idx="14">
                  <c:v>89</c:v>
                </c:pt>
                <c:pt idx="15">
                  <c:v>74</c:v>
                </c:pt>
                <c:pt idx="16">
                  <c:v>54</c:v>
                </c:pt>
                <c:pt idx="17">
                  <c:v>27</c:v>
                </c:pt>
                <c:pt idx="18">
                  <c:v>17</c:v>
                </c:pt>
                <c:pt idx="19">
                  <c:v>3</c:v>
                </c:pt>
                <c:pt idx="20">
                  <c:v>0</c:v>
                </c:pt>
                <c:pt idx="21">
                  <c:v>11</c:v>
                </c:pt>
                <c:pt idx="22">
                  <c:v>21</c:v>
                </c:pt>
                <c:pt idx="23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43312"/>
        <c:axId val="66643856"/>
      </c:lineChart>
      <c:catAx>
        <c:axId val="666433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643856"/>
        <c:crosses val="autoZero"/>
        <c:auto val="1"/>
        <c:lblAlgn val="ctr"/>
        <c:lblOffset val="100"/>
        <c:noMultiLvlLbl val="0"/>
      </c:catAx>
      <c:valAx>
        <c:axId val="66643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64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Mbarara-Kabale-24hr'!$C$9:$N$9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Mbarara-Kabale-24hr'!$C$107:$N$107</c:f>
              <c:numCache>
                <c:formatCode>0.0%</c:formatCode>
                <c:ptCount val="12"/>
                <c:pt idx="0">
                  <c:v>0.15906386354621183</c:v>
                </c:pt>
                <c:pt idx="1">
                  <c:v>5.5533518445061485E-2</c:v>
                </c:pt>
                <c:pt idx="2">
                  <c:v>4.3633478778262597E-2</c:v>
                </c:pt>
                <c:pt idx="3">
                  <c:v>0.12257040856802856</c:v>
                </c:pt>
                <c:pt idx="4">
                  <c:v>7.9333597778659254E-3</c:v>
                </c:pt>
                <c:pt idx="5">
                  <c:v>1.0313367711225704E-2</c:v>
                </c:pt>
                <c:pt idx="6">
                  <c:v>3.3716779055930186E-2</c:v>
                </c:pt>
                <c:pt idx="7">
                  <c:v>5.1566838556128522E-2</c:v>
                </c:pt>
                <c:pt idx="8">
                  <c:v>3.4906783022610077E-2</c:v>
                </c:pt>
                <c:pt idx="9">
                  <c:v>5.6326854422848079E-2</c:v>
                </c:pt>
                <c:pt idx="10">
                  <c:v>0.42443474811582704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Mbarara-Kabale-24hr'!$C$9:$N$9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Mbarara-Kabale-24hr'!$C$108:$N$108</c:f>
              <c:numCache>
                <c:formatCode>0.00%</c:formatCode>
                <c:ptCount val="12"/>
                <c:pt idx="0">
                  <c:v>0.27636113025499653</c:v>
                </c:pt>
                <c:pt idx="1">
                  <c:v>9.648518263266713E-2</c:v>
                </c:pt>
                <c:pt idx="2">
                  <c:v>7.5809786354238462E-2</c:v>
                </c:pt>
                <c:pt idx="3">
                  <c:v>0.21295658166781531</c:v>
                </c:pt>
                <c:pt idx="4">
                  <c:v>1.3783597518952447E-2</c:v>
                </c:pt>
                <c:pt idx="5">
                  <c:v>1.7918676774638181E-2</c:v>
                </c:pt>
                <c:pt idx="6">
                  <c:v>5.8580289455547899E-2</c:v>
                </c:pt>
                <c:pt idx="7">
                  <c:v>8.9593383873190907E-2</c:v>
                </c:pt>
                <c:pt idx="8">
                  <c:v>6.0647829083390767E-2</c:v>
                </c:pt>
                <c:pt idx="9">
                  <c:v>9.7863542384562366E-2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Kabale-Mbarara-24hr'!$AE$9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Kabale-Mbarara-24hr'!$R$10:$R$33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'31.10 Kabale-Mbarara-24hr'!$AE$10:$AE$33</c:f>
              <c:numCache>
                <c:formatCode>0</c:formatCode>
                <c:ptCount val="24"/>
                <c:pt idx="0">
                  <c:v>44</c:v>
                </c:pt>
                <c:pt idx="1">
                  <c:v>60</c:v>
                </c:pt>
                <c:pt idx="2">
                  <c:v>65</c:v>
                </c:pt>
                <c:pt idx="3">
                  <c:v>74</c:v>
                </c:pt>
                <c:pt idx="4">
                  <c:v>63</c:v>
                </c:pt>
                <c:pt idx="5">
                  <c:v>58</c:v>
                </c:pt>
                <c:pt idx="6">
                  <c:v>70</c:v>
                </c:pt>
                <c:pt idx="7">
                  <c:v>61</c:v>
                </c:pt>
                <c:pt idx="8">
                  <c:v>75</c:v>
                </c:pt>
                <c:pt idx="9">
                  <c:v>104</c:v>
                </c:pt>
                <c:pt idx="10">
                  <c:v>83</c:v>
                </c:pt>
                <c:pt idx="11">
                  <c:v>82</c:v>
                </c:pt>
                <c:pt idx="12">
                  <c:v>66</c:v>
                </c:pt>
                <c:pt idx="13">
                  <c:v>48</c:v>
                </c:pt>
                <c:pt idx="14">
                  <c:v>30</c:v>
                </c:pt>
                <c:pt idx="15">
                  <c:v>46</c:v>
                </c:pt>
                <c:pt idx="16">
                  <c:v>31</c:v>
                </c:pt>
                <c:pt idx="17">
                  <c:v>18</c:v>
                </c:pt>
                <c:pt idx="18">
                  <c:v>12</c:v>
                </c:pt>
                <c:pt idx="19">
                  <c:v>33</c:v>
                </c:pt>
                <c:pt idx="20">
                  <c:v>35</c:v>
                </c:pt>
                <c:pt idx="21">
                  <c:v>38</c:v>
                </c:pt>
                <c:pt idx="22">
                  <c:v>24</c:v>
                </c:pt>
                <c:pt idx="23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'31.10 Kabale-Mbarara-24hr'!$AF$9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Kabale-Mbarara-24hr'!$R$10:$R$33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'31.10 Kabale-Mbarara-24hr'!$AF$10:$AF$33</c:f>
              <c:numCache>
                <c:formatCode>0</c:formatCode>
                <c:ptCount val="24"/>
                <c:pt idx="0">
                  <c:v>125</c:v>
                </c:pt>
                <c:pt idx="1">
                  <c:v>160</c:v>
                </c:pt>
                <c:pt idx="2">
                  <c:v>166</c:v>
                </c:pt>
                <c:pt idx="3">
                  <c:v>199</c:v>
                </c:pt>
                <c:pt idx="4">
                  <c:v>131</c:v>
                </c:pt>
                <c:pt idx="5">
                  <c:v>78</c:v>
                </c:pt>
                <c:pt idx="6">
                  <c:v>138</c:v>
                </c:pt>
                <c:pt idx="7">
                  <c:v>113</c:v>
                </c:pt>
                <c:pt idx="8">
                  <c:v>182</c:v>
                </c:pt>
                <c:pt idx="9">
                  <c:v>217</c:v>
                </c:pt>
                <c:pt idx="10">
                  <c:v>160</c:v>
                </c:pt>
                <c:pt idx="11">
                  <c:v>171</c:v>
                </c:pt>
                <c:pt idx="12">
                  <c:v>133</c:v>
                </c:pt>
                <c:pt idx="13">
                  <c:v>90</c:v>
                </c:pt>
                <c:pt idx="14">
                  <c:v>64</c:v>
                </c:pt>
                <c:pt idx="15">
                  <c:v>72</c:v>
                </c:pt>
                <c:pt idx="16">
                  <c:v>52</c:v>
                </c:pt>
                <c:pt idx="17">
                  <c:v>20</c:v>
                </c:pt>
                <c:pt idx="18">
                  <c:v>14</c:v>
                </c:pt>
                <c:pt idx="19">
                  <c:v>35</c:v>
                </c:pt>
                <c:pt idx="20">
                  <c:v>40</c:v>
                </c:pt>
                <c:pt idx="21">
                  <c:v>49</c:v>
                </c:pt>
                <c:pt idx="22">
                  <c:v>26</c:v>
                </c:pt>
                <c:pt idx="23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457072"/>
        <c:axId val="69464688"/>
      </c:lineChart>
      <c:catAx>
        <c:axId val="694570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9464688"/>
        <c:crosses val="autoZero"/>
        <c:auto val="1"/>
        <c:lblAlgn val="ctr"/>
        <c:lblOffset val="100"/>
        <c:noMultiLvlLbl val="0"/>
      </c:catAx>
      <c:valAx>
        <c:axId val="69464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945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Kabale-Mbarara-24hr'!$C$9:$N$9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Kabale-Mbarara-24hr'!$C$107:$N$107</c:f>
              <c:numCache>
                <c:formatCode>0.0%</c:formatCode>
                <c:ptCount val="12"/>
                <c:pt idx="0">
                  <c:v>0.14164648910411623</c:v>
                </c:pt>
                <c:pt idx="1">
                  <c:v>4.9636803874092007E-2</c:v>
                </c:pt>
                <c:pt idx="2">
                  <c:v>2.9055690072639227E-2</c:v>
                </c:pt>
                <c:pt idx="3">
                  <c:v>0.11218724778046812</c:v>
                </c:pt>
                <c:pt idx="4">
                  <c:v>3.2284100080710249E-3</c:v>
                </c:pt>
                <c:pt idx="5">
                  <c:v>1.3317191283292978E-2</c:v>
                </c:pt>
                <c:pt idx="6">
                  <c:v>3.7933817594834544E-2</c:v>
                </c:pt>
                <c:pt idx="7">
                  <c:v>2.6230831315577078E-2</c:v>
                </c:pt>
                <c:pt idx="8">
                  <c:v>4.7215496368038741E-2</c:v>
                </c:pt>
                <c:pt idx="9">
                  <c:v>4.6408393866020983E-2</c:v>
                </c:pt>
                <c:pt idx="10">
                  <c:v>0.4911218724778047</c:v>
                </c:pt>
                <c:pt idx="11">
                  <c:v>2.0177562550443904E-3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Kabale-Mbarara-24hr'!$C$9:$N$9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Kabale-Mbarara-24hr'!$C$108:$N$108</c:f>
              <c:numCache>
                <c:formatCode>0.00%</c:formatCode>
                <c:ptCount val="12"/>
                <c:pt idx="0">
                  <c:v>0.28012769353551475</c:v>
                </c:pt>
                <c:pt idx="1">
                  <c:v>9.8164405426975257E-2</c:v>
                </c:pt>
                <c:pt idx="2">
                  <c:v>5.7462090981644051E-2</c:v>
                </c:pt>
                <c:pt idx="3">
                  <c:v>0.22186751795690343</c:v>
                </c:pt>
                <c:pt idx="4">
                  <c:v>6.3846767757382286E-3</c:v>
                </c:pt>
                <c:pt idx="5">
                  <c:v>2.6336791699920193E-2</c:v>
                </c:pt>
                <c:pt idx="6">
                  <c:v>7.5019952114924182E-2</c:v>
                </c:pt>
                <c:pt idx="7">
                  <c:v>5.1875498802873107E-2</c:v>
                </c:pt>
                <c:pt idx="8">
                  <c:v>9.3375897845171585E-2</c:v>
                </c:pt>
                <c:pt idx="9">
                  <c:v>9.1779728651237028E-2</c:v>
                </c:pt>
                <c:pt idx="11">
                  <c:v>3.9904229848363925E-3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'1.11 Mbarara-Kabale'!$AE$9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'1.11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Mbarara-Kabale'!$AE$10:$AE$21</c:f>
              <c:numCache>
                <c:formatCode>0</c:formatCode>
                <c:ptCount val="12"/>
                <c:pt idx="0">
                  <c:v>44</c:v>
                </c:pt>
                <c:pt idx="1">
                  <c:v>69</c:v>
                </c:pt>
                <c:pt idx="2">
                  <c:v>85</c:v>
                </c:pt>
                <c:pt idx="3">
                  <c:v>115</c:v>
                </c:pt>
                <c:pt idx="4">
                  <c:v>92</c:v>
                </c:pt>
                <c:pt idx="5">
                  <c:v>137</c:v>
                </c:pt>
                <c:pt idx="6">
                  <c:v>199</c:v>
                </c:pt>
                <c:pt idx="7">
                  <c:v>148</c:v>
                </c:pt>
                <c:pt idx="8">
                  <c:v>106</c:v>
                </c:pt>
                <c:pt idx="9">
                  <c:v>57</c:v>
                </c:pt>
                <c:pt idx="10">
                  <c:v>83</c:v>
                </c:pt>
                <c:pt idx="11">
                  <c:v>116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'1.11 Mbarara-Kabale'!$AF$9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'1.11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Mbarara-Kabale'!$AF$10:$AF$21</c:f>
              <c:numCache>
                <c:formatCode>0</c:formatCode>
                <c:ptCount val="12"/>
                <c:pt idx="0">
                  <c:v>76</c:v>
                </c:pt>
                <c:pt idx="1">
                  <c:v>98</c:v>
                </c:pt>
                <c:pt idx="2">
                  <c:v>163</c:v>
                </c:pt>
                <c:pt idx="3">
                  <c:v>180</c:v>
                </c:pt>
                <c:pt idx="4">
                  <c:v>175</c:v>
                </c:pt>
                <c:pt idx="5">
                  <c:v>201</c:v>
                </c:pt>
                <c:pt idx="6">
                  <c:v>276</c:v>
                </c:pt>
                <c:pt idx="7">
                  <c:v>194</c:v>
                </c:pt>
                <c:pt idx="8">
                  <c:v>175</c:v>
                </c:pt>
                <c:pt idx="9">
                  <c:v>120</c:v>
                </c:pt>
                <c:pt idx="10">
                  <c:v>121</c:v>
                </c:pt>
                <c:pt idx="11">
                  <c:v>195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464144"/>
        <c:axId val="69456528"/>
      </c:lineChart>
      <c:catAx>
        <c:axId val="694641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9456528"/>
        <c:crosses val="autoZero"/>
        <c:auto val="1"/>
        <c:lblAlgn val="ctr"/>
        <c:lblOffset val="100"/>
        <c:noMultiLvlLbl val="0"/>
      </c:catAx>
      <c:valAx>
        <c:axId val="69456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946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'1.11 Mbarara-Kabale'!$C$9:$N$9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'1.11 Mbarara-Kabale'!$C$59:$N$59</c:f>
              <c:numCache>
                <c:formatCode>0.0%</c:formatCode>
                <c:ptCount val="12"/>
                <c:pt idx="0">
                  <c:v>0.15552178318135765</c:v>
                </c:pt>
                <c:pt idx="1">
                  <c:v>7.7507598784194526E-2</c:v>
                </c:pt>
                <c:pt idx="2">
                  <c:v>5.7750759878419454E-2</c:v>
                </c:pt>
                <c:pt idx="3">
                  <c:v>0.12816616008105369</c:v>
                </c:pt>
                <c:pt idx="4">
                  <c:v>8.1053698074974676E-3</c:v>
                </c:pt>
                <c:pt idx="5">
                  <c:v>1.1651469098277609E-2</c:v>
                </c:pt>
                <c:pt idx="6">
                  <c:v>4.2046605876393112E-2</c:v>
                </c:pt>
                <c:pt idx="7">
                  <c:v>3.4954407294832825E-2</c:v>
                </c:pt>
                <c:pt idx="8">
                  <c:v>4.7619047619047616E-2</c:v>
                </c:pt>
                <c:pt idx="9">
                  <c:v>7.0415400202634246E-2</c:v>
                </c:pt>
                <c:pt idx="10">
                  <c:v>0.36626139817629177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'1.11 Mbarara-Kabale'!$S$9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'1.11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Mbarara-Kabale'!$S$10:$S$21</c:f>
              <c:numCache>
                <c:formatCode>0</c:formatCode>
                <c:ptCount val="12"/>
                <c:pt idx="0">
                  <c:v>11</c:v>
                </c:pt>
                <c:pt idx="1">
                  <c:v>21</c:v>
                </c:pt>
                <c:pt idx="2">
                  <c:v>25</c:v>
                </c:pt>
                <c:pt idx="3">
                  <c:v>34</c:v>
                </c:pt>
                <c:pt idx="4">
                  <c:v>30</c:v>
                </c:pt>
                <c:pt idx="5">
                  <c:v>30</c:v>
                </c:pt>
                <c:pt idx="6">
                  <c:v>40</c:v>
                </c:pt>
                <c:pt idx="7">
                  <c:v>19</c:v>
                </c:pt>
                <c:pt idx="8">
                  <c:v>31</c:v>
                </c:pt>
                <c:pt idx="9">
                  <c:v>18</c:v>
                </c:pt>
                <c:pt idx="10">
                  <c:v>20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'1.11 Mbarara-Kabale'!$T$9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'1.11 Mbarara-Kabale'!$R$10:$R$21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Mbarara-Kabale'!$T$10:$T$21</c:f>
              <c:numCache>
                <c:formatCode>0</c:formatCode>
                <c:ptCount val="12"/>
                <c:pt idx="0">
                  <c:v>6</c:v>
                </c:pt>
                <c:pt idx="1">
                  <c:v>12</c:v>
                </c:pt>
                <c:pt idx="2">
                  <c:v>7</c:v>
                </c:pt>
                <c:pt idx="3">
                  <c:v>13</c:v>
                </c:pt>
                <c:pt idx="4">
                  <c:v>11</c:v>
                </c:pt>
                <c:pt idx="5">
                  <c:v>20</c:v>
                </c:pt>
                <c:pt idx="6">
                  <c:v>22</c:v>
                </c:pt>
                <c:pt idx="7">
                  <c:v>16</c:v>
                </c:pt>
                <c:pt idx="8">
                  <c:v>11</c:v>
                </c:pt>
                <c:pt idx="9">
                  <c:v>8</c:v>
                </c:pt>
                <c:pt idx="10">
                  <c:v>16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'1.11 Mbarara-Kabale'!$U$9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'1.11 Mbarara-Kabale'!$U$10:$U$21</c:f>
              <c:numCache>
                <c:formatCode>0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9</c:v>
                </c:pt>
                <c:pt idx="3">
                  <c:v>10</c:v>
                </c:pt>
                <c:pt idx="4">
                  <c:v>6</c:v>
                </c:pt>
                <c:pt idx="5">
                  <c:v>12</c:v>
                </c:pt>
                <c:pt idx="6">
                  <c:v>23</c:v>
                </c:pt>
                <c:pt idx="7">
                  <c:v>15</c:v>
                </c:pt>
                <c:pt idx="8">
                  <c:v>10</c:v>
                </c:pt>
                <c:pt idx="9">
                  <c:v>4</c:v>
                </c:pt>
                <c:pt idx="10">
                  <c:v>5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'1.11 Mbarara-Kabale'!$V$9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'1.11 Mbarara-Kabale'!$V$10:$V$21</c:f>
              <c:numCache>
                <c:formatCode>0</c:formatCode>
                <c:ptCount val="12"/>
                <c:pt idx="0">
                  <c:v>9</c:v>
                </c:pt>
                <c:pt idx="1">
                  <c:v>13</c:v>
                </c:pt>
                <c:pt idx="2">
                  <c:v>20</c:v>
                </c:pt>
                <c:pt idx="3">
                  <c:v>26</c:v>
                </c:pt>
                <c:pt idx="4">
                  <c:v>19</c:v>
                </c:pt>
                <c:pt idx="5">
                  <c:v>24</c:v>
                </c:pt>
                <c:pt idx="6">
                  <c:v>41</c:v>
                </c:pt>
                <c:pt idx="7">
                  <c:v>30</c:v>
                </c:pt>
                <c:pt idx="8">
                  <c:v>21</c:v>
                </c:pt>
                <c:pt idx="9">
                  <c:v>14</c:v>
                </c:pt>
                <c:pt idx="10">
                  <c:v>19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'1.11 Mbarara-Kabale'!$W$9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'1.11 Mbarara-Kabale'!$W$10:$W$21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'1.11 Mbarara-Kabale'!$X$9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'1.11 Mbarara-Kabale'!$X$10:$X$21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'1.11 Mbarara-Kabale'!$Y$9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Mbarara-Kabale'!$Y$10:$Y$21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11</c:v>
                </c:pt>
                <c:pt idx="9">
                  <c:v>4</c:v>
                </c:pt>
                <c:pt idx="10">
                  <c:v>6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'1.11 Mbarara-Kabale'!$Z$9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Mbarara-Kabale'!$Z$10:$Z$21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7</c:v>
                </c:pt>
                <c:pt idx="3">
                  <c:v>4</c:v>
                </c:pt>
                <c:pt idx="4">
                  <c:v>0</c:v>
                </c:pt>
                <c:pt idx="5">
                  <c:v>11</c:v>
                </c:pt>
                <c:pt idx="6">
                  <c:v>6</c:v>
                </c:pt>
                <c:pt idx="7">
                  <c:v>15</c:v>
                </c:pt>
                <c:pt idx="8">
                  <c:v>6</c:v>
                </c:pt>
                <c:pt idx="9">
                  <c:v>2</c:v>
                </c:pt>
                <c:pt idx="10">
                  <c:v>0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'1.11 Mbarara-Kabale'!$AA$9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Mbarara-Kabale'!$AA$10:$AA$21</c:f>
              <c:numCache>
                <c:formatCode>0</c:formatCode>
                <c:ptCount val="12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4</c:v>
                </c:pt>
                <c:pt idx="5">
                  <c:v>11</c:v>
                </c:pt>
                <c:pt idx="6">
                  <c:v>25</c:v>
                </c:pt>
                <c:pt idx="7">
                  <c:v>22</c:v>
                </c:pt>
                <c:pt idx="8">
                  <c:v>5</c:v>
                </c:pt>
                <c:pt idx="9">
                  <c:v>0</c:v>
                </c:pt>
                <c:pt idx="10">
                  <c:v>3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'1.11 Mbarara-Kabale'!$AB$9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Mbarara-Kabale'!$AB$10:$AB$21</c:f>
              <c:numCache>
                <c:formatCode>0</c:formatCode>
                <c:ptCount val="12"/>
                <c:pt idx="0">
                  <c:v>8</c:v>
                </c:pt>
                <c:pt idx="1">
                  <c:v>3</c:v>
                </c:pt>
                <c:pt idx="2">
                  <c:v>8</c:v>
                </c:pt>
                <c:pt idx="3">
                  <c:v>12</c:v>
                </c:pt>
                <c:pt idx="4">
                  <c:v>11</c:v>
                </c:pt>
                <c:pt idx="5">
                  <c:v>15</c:v>
                </c:pt>
                <c:pt idx="6">
                  <c:v>29</c:v>
                </c:pt>
                <c:pt idx="7">
                  <c:v>23</c:v>
                </c:pt>
                <c:pt idx="8">
                  <c:v>9</c:v>
                </c:pt>
                <c:pt idx="9">
                  <c:v>1</c:v>
                </c:pt>
                <c:pt idx="10">
                  <c:v>13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'1.11 Mbarara-Kabale'!$AC$9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Mbarara-Kabale'!$AC$10:$AC$21</c:f>
              <c:numCache>
                <c:formatCode>0</c:formatCode>
                <c:ptCount val="12"/>
                <c:pt idx="0">
                  <c:v>32</c:v>
                </c:pt>
                <c:pt idx="1">
                  <c:v>29</c:v>
                </c:pt>
                <c:pt idx="2">
                  <c:v>78</c:v>
                </c:pt>
                <c:pt idx="3">
                  <c:v>65</c:v>
                </c:pt>
                <c:pt idx="4">
                  <c:v>83</c:v>
                </c:pt>
                <c:pt idx="5">
                  <c:v>64</c:v>
                </c:pt>
                <c:pt idx="6">
                  <c:v>77</c:v>
                </c:pt>
                <c:pt idx="7">
                  <c:v>46</c:v>
                </c:pt>
                <c:pt idx="8">
                  <c:v>69</c:v>
                </c:pt>
                <c:pt idx="9">
                  <c:v>63</c:v>
                </c:pt>
                <c:pt idx="10">
                  <c:v>38</c:v>
                </c:pt>
                <c:pt idx="11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'1.11 Mbarara-Kabale'!$AD$9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Mbarara-Kabale'!$AD$10:$AD$21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69040"/>
        <c:axId val="69458704"/>
      </c:lineChart>
      <c:catAx>
        <c:axId val="6946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9458704"/>
        <c:crosses val="autoZero"/>
        <c:auto val="1"/>
        <c:lblAlgn val="ctr"/>
        <c:lblOffset val="100"/>
        <c:noMultiLvlLbl val="0"/>
      </c:catAx>
      <c:valAx>
        <c:axId val="6945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946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'1.11 Mbarara-Kabale'!$C$9:$N$9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'1.11 Mbarara-Kabale'!$C$60:$N$60</c:f>
              <c:numCache>
                <c:formatCode>0.00%</c:formatCode>
                <c:ptCount val="12"/>
                <c:pt idx="0">
                  <c:v>0.24540367705835331</c:v>
                </c:pt>
                <c:pt idx="1">
                  <c:v>0.1223021582733813</c:v>
                </c:pt>
                <c:pt idx="2">
                  <c:v>9.1127098321342928E-2</c:v>
                </c:pt>
                <c:pt idx="3">
                  <c:v>0.20223820943245405</c:v>
                </c:pt>
                <c:pt idx="4">
                  <c:v>1.2789768185451638E-2</c:v>
                </c:pt>
                <c:pt idx="5">
                  <c:v>1.838529176658673E-2</c:v>
                </c:pt>
                <c:pt idx="6">
                  <c:v>6.6346922462030375E-2</c:v>
                </c:pt>
                <c:pt idx="7">
                  <c:v>5.5155875299760189E-2</c:v>
                </c:pt>
                <c:pt idx="8">
                  <c:v>7.5139888089528373E-2</c:v>
                </c:pt>
                <c:pt idx="9">
                  <c:v>0.1111111111111111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'1.11 Kabale-Mbarara'!$AE$9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'1.11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Kabale-Mbarara'!$AE$10:$AE$21</c:f>
              <c:numCache>
                <c:formatCode>0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71</c:v>
                </c:pt>
                <c:pt idx="3">
                  <c:v>66</c:v>
                </c:pt>
                <c:pt idx="4">
                  <c:v>93</c:v>
                </c:pt>
                <c:pt idx="5">
                  <c:v>96</c:v>
                </c:pt>
                <c:pt idx="6">
                  <c:v>87</c:v>
                </c:pt>
                <c:pt idx="7">
                  <c:v>101</c:v>
                </c:pt>
                <c:pt idx="8">
                  <c:v>102</c:v>
                </c:pt>
                <c:pt idx="9">
                  <c:v>71</c:v>
                </c:pt>
                <c:pt idx="10">
                  <c:v>76</c:v>
                </c:pt>
                <c:pt idx="11">
                  <c:v>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'1.11 Kabale-Mbarara'!$AF$9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'1.11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Kabale-Mbarara'!$AF$10:$AF$21</c:f>
              <c:numCache>
                <c:formatCode>0</c:formatCode>
                <c:ptCount val="12"/>
                <c:pt idx="0">
                  <c:v>90</c:v>
                </c:pt>
                <c:pt idx="1">
                  <c:v>78</c:v>
                </c:pt>
                <c:pt idx="2">
                  <c:v>123</c:v>
                </c:pt>
                <c:pt idx="3">
                  <c:v>110</c:v>
                </c:pt>
                <c:pt idx="4">
                  <c:v>134</c:v>
                </c:pt>
                <c:pt idx="5">
                  <c:v>120</c:v>
                </c:pt>
                <c:pt idx="6">
                  <c:v>128</c:v>
                </c:pt>
                <c:pt idx="7">
                  <c:v>163</c:v>
                </c:pt>
                <c:pt idx="8">
                  <c:v>168</c:v>
                </c:pt>
                <c:pt idx="9">
                  <c:v>139</c:v>
                </c:pt>
                <c:pt idx="10">
                  <c:v>121</c:v>
                </c:pt>
                <c:pt idx="11">
                  <c:v>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461424"/>
        <c:axId val="69467408"/>
      </c:lineChart>
      <c:catAx>
        <c:axId val="694614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9467408"/>
        <c:crosses val="autoZero"/>
        <c:auto val="1"/>
        <c:lblAlgn val="ctr"/>
        <c:lblOffset val="100"/>
        <c:noMultiLvlLbl val="0"/>
      </c:catAx>
      <c:valAx>
        <c:axId val="69467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946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'1.11 Kabale-Mbarara'!$C$9:$N$9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'1.11 Kabale-Mbarara'!$C$59:$N$59</c:f>
              <c:numCache>
                <c:formatCode>0.0%</c:formatCode>
                <c:ptCount val="12"/>
                <c:pt idx="0">
                  <c:v>0.18745785569790965</c:v>
                </c:pt>
                <c:pt idx="1">
                  <c:v>2.8995279838165879E-2</c:v>
                </c:pt>
                <c:pt idx="2">
                  <c:v>3.3715441672285906E-2</c:v>
                </c:pt>
                <c:pt idx="3">
                  <c:v>0.17127444369521241</c:v>
                </c:pt>
                <c:pt idx="4">
                  <c:v>5.394470667565745E-3</c:v>
                </c:pt>
                <c:pt idx="5">
                  <c:v>1.1463250168577209E-2</c:v>
                </c:pt>
                <c:pt idx="6">
                  <c:v>3.2366824005394472E-2</c:v>
                </c:pt>
                <c:pt idx="7">
                  <c:v>3.1692515171948751E-2</c:v>
                </c:pt>
                <c:pt idx="8">
                  <c:v>4.248145650708024E-2</c:v>
                </c:pt>
                <c:pt idx="9">
                  <c:v>7.9568442346594742E-2</c:v>
                </c:pt>
                <c:pt idx="10">
                  <c:v>0.37559002022926502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'1.11 Kabale-Mbarara'!$S$9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'1.11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Kabale-Mbarara'!$S$10:$S$21</c:f>
              <c:numCache>
                <c:formatCode>0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23</c:v>
                </c:pt>
                <c:pt idx="3">
                  <c:v>23</c:v>
                </c:pt>
                <c:pt idx="4">
                  <c:v>32</c:v>
                </c:pt>
                <c:pt idx="5">
                  <c:v>22</c:v>
                </c:pt>
                <c:pt idx="6">
                  <c:v>24</c:v>
                </c:pt>
                <c:pt idx="7">
                  <c:v>38</c:v>
                </c:pt>
                <c:pt idx="8">
                  <c:v>44</c:v>
                </c:pt>
                <c:pt idx="9">
                  <c:v>18</c:v>
                </c:pt>
                <c:pt idx="10">
                  <c:v>16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'1.11 Kabale-Mbarara'!$T$9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'1.11 Kabale-Mbarara'!$R$10:$R$21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Kabale-Mbarara'!$T$10:$T$21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7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'1.11 Kabale-Mbarara'!$U$9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'1.11 Kabale-Mbarara'!$U$10:$U$21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3</c:v>
                </c:pt>
                <c:pt idx="9">
                  <c:v>5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'1.11 Kabale-Mbarara'!$V$9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'1.11 Kabale-Mbarara'!$V$10:$V$21</c:f>
              <c:numCache>
                <c:formatCode>0</c:formatCode>
                <c:ptCount val="12"/>
                <c:pt idx="0">
                  <c:v>13</c:v>
                </c:pt>
                <c:pt idx="1">
                  <c:v>18</c:v>
                </c:pt>
                <c:pt idx="2">
                  <c:v>21</c:v>
                </c:pt>
                <c:pt idx="3">
                  <c:v>23</c:v>
                </c:pt>
                <c:pt idx="4">
                  <c:v>22</c:v>
                </c:pt>
                <c:pt idx="5">
                  <c:v>29</c:v>
                </c:pt>
                <c:pt idx="6">
                  <c:v>26</c:v>
                </c:pt>
                <c:pt idx="7">
                  <c:v>18</c:v>
                </c:pt>
                <c:pt idx="8">
                  <c:v>29</c:v>
                </c:pt>
                <c:pt idx="9">
                  <c:v>17</c:v>
                </c:pt>
                <c:pt idx="10">
                  <c:v>18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'1.11 Kabale-Mbarara'!$W$9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'1.11 Kabale-Mbarara'!$W$10:$W$21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'1.11 Kabale-Mbarara'!$X$9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'1.11 Kabale-Mbarara'!$X$10:$X$21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8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'1.11 Kabale-Mbarara'!$Y$9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Kabale-Mbarara'!$Y$10:$Y$21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'1.11 Kabale-Mbarara'!$Z$9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Kabale-Mbarara'!$Z$10:$Z$21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6</c:v>
                </c:pt>
                <c:pt idx="9">
                  <c:v>9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'1.11 Kabale-Mbarara'!$AA$9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Kabale-Mbarara'!$AA$10:$AA$21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12</c:v>
                </c:pt>
                <c:pt idx="5">
                  <c:v>10</c:v>
                </c:pt>
                <c:pt idx="6">
                  <c:v>4</c:v>
                </c:pt>
                <c:pt idx="7">
                  <c:v>6</c:v>
                </c:pt>
                <c:pt idx="8">
                  <c:v>1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'1.11 Kabale-Mbarara'!$AB$9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Kabale-Mbarara'!$AB$10:$AB$21</c:f>
              <c:numCache>
                <c:formatCode>0</c:formatCode>
                <c:ptCount val="12"/>
                <c:pt idx="0">
                  <c:v>13</c:v>
                </c:pt>
                <c:pt idx="1">
                  <c:v>3</c:v>
                </c:pt>
                <c:pt idx="2">
                  <c:v>7</c:v>
                </c:pt>
                <c:pt idx="3">
                  <c:v>7</c:v>
                </c:pt>
                <c:pt idx="4">
                  <c:v>12</c:v>
                </c:pt>
                <c:pt idx="5">
                  <c:v>11</c:v>
                </c:pt>
                <c:pt idx="6">
                  <c:v>15</c:v>
                </c:pt>
                <c:pt idx="7">
                  <c:v>13</c:v>
                </c:pt>
                <c:pt idx="8">
                  <c:v>10</c:v>
                </c:pt>
                <c:pt idx="9">
                  <c:v>11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'1.11 Kabale-Mbarara'!$AC$9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Kabale-Mbarara'!$AC$10:$AC$21</c:f>
              <c:numCache>
                <c:formatCode>0</c:formatCode>
                <c:ptCount val="12"/>
                <c:pt idx="0">
                  <c:v>41</c:v>
                </c:pt>
                <c:pt idx="1">
                  <c:v>34</c:v>
                </c:pt>
                <c:pt idx="2">
                  <c:v>52</c:v>
                </c:pt>
                <c:pt idx="3">
                  <c:v>44</c:v>
                </c:pt>
                <c:pt idx="4">
                  <c:v>41</c:v>
                </c:pt>
                <c:pt idx="5">
                  <c:v>24</c:v>
                </c:pt>
                <c:pt idx="6">
                  <c:v>41</c:v>
                </c:pt>
                <c:pt idx="7">
                  <c:v>62</c:v>
                </c:pt>
                <c:pt idx="8">
                  <c:v>66</c:v>
                </c:pt>
                <c:pt idx="9">
                  <c:v>68</c:v>
                </c:pt>
                <c:pt idx="10">
                  <c:v>45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'1.11 Kabale-Mbarara'!$AD$9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Kabale-Mbarara'!$AD$10:$AD$21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79072"/>
        <c:axId val="71282880"/>
      </c:lineChart>
      <c:catAx>
        <c:axId val="7127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1282880"/>
        <c:crosses val="autoZero"/>
        <c:auto val="1"/>
        <c:lblAlgn val="ctr"/>
        <c:lblOffset val="100"/>
        <c:noMultiLvlLbl val="0"/>
      </c:catAx>
      <c:valAx>
        <c:axId val="7128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127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'1.11 Kabale-Mbarara'!$C$9:$N$9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'1.11 Kabale-Mbarara'!$C$60:$N$60</c:f>
              <c:numCache>
                <c:formatCode>0.00%</c:formatCode>
                <c:ptCount val="12"/>
                <c:pt idx="0">
                  <c:v>0.30021598272138228</c:v>
                </c:pt>
                <c:pt idx="1">
                  <c:v>4.6436285097192227E-2</c:v>
                </c:pt>
                <c:pt idx="2">
                  <c:v>5.3995680345572353E-2</c:v>
                </c:pt>
                <c:pt idx="3">
                  <c:v>0.27429805615550756</c:v>
                </c:pt>
                <c:pt idx="4">
                  <c:v>8.6393088552915772E-3</c:v>
                </c:pt>
                <c:pt idx="5">
                  <c:v>1.8358531317494601E-2</c:v>
                </c:pt>
                <c:pt idx="6">
                  <c:v>5.183585313174946E-2</c:v>
                </c:pt>
                <c:pt idx="7">
                  <c:v>5.0755939524838013E-2</c:v>
                </c:pt>
                <c:pt idx="8">
                  <c:v>6.8034557235421164E-2</c:v>
                </c:pt>
                <c:pt idx="9">
                  <c:v>0.12742980561555076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'2.11 Mbarara-Kabale-24hr'!$AE$9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'2.11 Mbarara-Kabale-24hr'!$R$10:$R$33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'2.11 Mbarara-Kabale-24hr'!$AE$10:$AE$33</c:f>
              <c:numCache>
                <c:formatCode>0</c:formatCode>
                <c:ptCount val="24"/>
                <c:pt idx="0">
                  <c:v>63</c:v>
                </c:pt>
                <c:pt idx="1">
                  <c:v>50</c:v>
                </c:pt>
                <c:pt idx="2">
                  <c:v>74</c:v>
                </c:pt>
                <c:pt idx="3">
                  <c:v>104</c:v>
                </c:pt>
                <c:pt idx="4">
                  <c:v>110</c:v>
                </c:pt>
                <c:pt idx="5">
                  <c:v>95</c:v>
                </c:pt>
                <c:pt idx="6">
                  <c:v>83</c:v>
                </c:pt>
                <c:pt idx="7">
                  <c:v>92</c:v>
                </c:pt>
                <c:pt idx="8">
                  <c:v>96</c:v>
                </c:pt>
                <c:pt idx="9">
                  <c:v>85</c:v>
                </c:pt>
                <c:pt idx="10">
                  <c:v>77</c:v>
                </c:pt>
                <c:pt idx="11">
                  <c:v>59</c:v>
                </c:pt>
                <c:pt idx="12">
                  <c:v>171</c:v>
                </c:pt>
                <c:pt idx="13">
                  <c:v>62</c:v>
                </c:pt>
                <c:pt idx="14">
                  <c:v>44</c:v>
                </c:pt>
                <c:pt idx="15">
                  <c:v>43</c:v>
                </c:pt>
                <c:pt idx="16">
                  <c:v>42</c:v>
                </c:pt>
                <c:pt idx="17">
                  <c:v>24</c:v>
                </c:pt>
                <c:pt idx="18">
                  <c:v>38</c:v>
                </c:pt>
                <c:pt idx="19">
                  <c:v>20</c:v>
                </c:pt>
                <c:pt idx="20">
                  <c:v>19</c:v>
                </c:pt>
                <c:pt idx="21">
                  <c:v>43</c:v>
                </c:pt>
                <c:pt idx="22">
                  <c:v>70</c:v>
                </c:pt>
                <c:pt idx="23">
                  <c:v>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'2.11 Mbarara-Kabale-24hr'!$AF$9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'2.11 Mbarara-Kabale-24hr'!$R$10:$R$33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'2.11 Mbarara-Kabale-24hr'!$AF$10:$AF$33</c:f>
              <c:numCache>
                <c:formatCode>0</c:formatCode>
                <c:ptCount val="24"/>
                <c:pt idx="0">
                  <c:v>108</c:v>
                </c:pt>
                <c:pt idx="1">
                  <c:v>80</c:v>
                </c:pt>
                <c:pt idx="2">
                  <c:v>129</c:v>
                </c:pt>
                <c:pt idx="3">
                  <c:v>177</c:v>
                </c:pt>
                <c:pt idx="4">
                  <c:v>151</c:v>
                </c:pt>
                <c:pt idx="5">
                  <c:v>167</c:v>
                </c:pt>
                <c:pt idx="6">
                  <c:v>117</c:v>
                </c:pt>
                <c:pt idx="7">
                  <c:v>137</c:v>
                </c:pt>
                <c:pt idx="8">
                  <c:v>177</c:v>
                </c:pt>
                <c:pt idx="9">
                  <c:v>171</c:v>
                </c:pt>
                <c:pt idx="10">
                  <c:v>136</c:v>
                </c:pt>
                <c:pt idx="11">
                  <c:v>114</c:v>
                </c:pt>
                <c:pt idx="12">
                  <c:v>211</c:v>
                </c:pt>
                <c:pt idx="13">
                  <c:v>79</c:v>
                </c:pt>
                <c:pt idx="14">
                  <c:v>57</c:v>
                </c:pt>
                <c:pt idx="15">
                  <c:v>45</c:v>
                </c:pt>
                <c:pt idx="16">
                  <c:v>42</c:v>
                </c:pt>
                <c:pt idx="17">
                  <c:v>26</c:v>
                </c:pt>
                <c:pt idx="18">
                  <c:v>38</c:v>
                </c:pt>
                <c:pt idx="19">
                  <c:v>20</c:v>
                </c:pt>
                <c:pt idx="20">
                  <c:v>19</c:v>
                </c:pt>
                <c:pt idx="21">
                  <c:v>43</c:v>
                </c:pt>
                <c:pt idx="22">
                  <c:v>76</c:v>
                </c:pt>
                <c:pt idx="23">
                  <c:v>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82336"/>
        <c:axId val="71286688"/>
      </c:lineChart>
      <c:catAx>
        <c:axId val="712823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1286688"/>
        <c:crosses val="autoZero"/>
        <c:auto val="1"/>
        <c:lblAlgn val="ctr"/>
        <c:lblOffset val="100"/>
        <c:noMultiLvlLbl val="0"/>
      </c:catAx>
      <c:valAx>
        <c:axId val="71286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128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'2.11 Mbarara-Kabale-24hr'!$C$9:$N$9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'2.11 Mbarara-Kabale-24hr'!$C$107:$N$107</c:f>
              <c:numCache>
                <c:formatCode>0.0%</c:formatCode>
                <c:ptCount val="12"/>
                <c:pt idx="0">
                  <c:v>0.21602643535729038</c:v>
                </c:pt>
                <c:pt idx="1">
                  <c:v>8.4675753820735236E-2</c:v>
                </c:pt>
                <c:pt idx="2">
                  <c:v>4.9153242461792646E-2</c:v>
                </c:pt>
                <c:pt idx="3">
                  <c:v>0.12350268484097481</c:v>
                </c:pt>
                <c:pt idx="4">
                  <c:v>6.1957868649318466E-3</c:v>
                </c:pt>
                <c:pt idx="5">
                  <c:v>1.3630731102850062E-2</c:v>
                </c:pt>
                <c:pt idx="6">
                  <c:v>2.8087567121024368E-2</c:v>
                </c:pt>
                <c:pt idx="7">
                  <c:v>4.7501032631144156E-2</c:v>
                </c:pt>
                <c:pt idx="8">
                  <c:v>3.3870301528294094E-2</c:v>
                </c:pt>
                <c:pt idx="9">
                  <c:v>8.0132176786451875E-2</c:v>
                </c:pt>
                <c:pt idx="10">
                  <c:v>0.31639818256918628</c:v>
                </c:pt>
                <c:pt idx="11">
                  <c:v>8.2610491532424622E-4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'2.11 Mbarara-Kabale-24hr'!$C$9:$N$9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'2.11 Mbarara-Kabale-24hr'!$C$108:$N$108</c:f>
              <c:numCache>
                <c:formatCode>0.00%</c:formatCode>
                <c:ptCount val="12"/>
                <c:pt idx="0">
                  <c:v>0.31601208459214503</c:v>
                </c:pt>
                <c:pt idx="1">
                  <c:v>0.12386706948640483</c:v>
                </c:pt>
                <c:pt idx="2">
                  <c:v>7.190332326283988E-2</c:v>
                </c:pt>
                <c:pt idx="3">
                  <c:v>0.18066465256797584</c:v>
                </c:pt>
                <c:pt idx="4">
                  <c:v>9.0634441087613302E-3</c:v>
                </c:pt>
                <c:pt idx="5">
                  <c:v>1.9939577039274924E-2</c:v>
                </c:pt>
                <c:pt idx="6">
                  <c:v>4.1087613293051363E-2</c:v>
                </c:pt>
                <c:pt idx="7">
                  <c:v>6.9486404833836862E-2</c:v>
                </c:pt>
                <c:pt idx="8">
                  <c:v>4.9546827794561932E-2</c:v>
                </c:pt>
                <c:pt idx="9">
                  <c:v>0.11722054380664652</c:v>
                </c:pt>
                <c:pt idx="11">
                  <c:v>1.2084592145015106E-3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'2.11 Kabale-Mbarara-24hr'!$AE$9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'2.11 Kabale-Mbarara-24hr'!$R$10:$R$33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'2.11 Kabale-Mbarara-24hr'!$AE$10:$AE$33</c:f>
              <c:numCache>
                <c:formatCode>0</c:formatCode>
                <c:ptCount val="24"/>
                <c:pt idx="0">
                  <c:v>37</c:v>
                </c:pt>
                <c:pt idx="1">
                  <c:v>59</c:v>
                </c:pt>
                <c:pt idx="2">
                  <c:v>87</c:v>
                </c:pt>
                <c:pt idx="3">
                  <c:v>80</c:v>
                </c:pt>
                <c:pt idx="4">
                  <c:v>78</c:v>
                </c:pt>
                <c:pt idx="5">
                  <c:v>105</c:v>
                </c:pt>
                <c:pt idx="6">
                  <c:v>65</c:v>
                </c:pt>
                <c:pt idx="7">
                  <c:v>51</c:v>
                </c:pt>
                <c:pt idx="8">
                  <c:v>98</c:v>
                </c:pt>
                <c:pt idx="9">
                  <c:v>84</c:v>
                </c:pt>
                <c:pt idx="10">
                  <c:v>74</c:v>
                </c:pt>
                <c:pt idx="11">
                  <c:v>66</c:v>
                </c:pt>
                <c:pt idx="12">
                  <c:v>137</c:v>
                </c:pt>
                <c:pt idx="13">
                  <c:v>75</c:v>
                </c:pt>
                <c:pt idx="14">
                  <c:v>49</c:v>
                </c:pt>
                <c:pt idx="15">
                  <c:v>49</c:v>
                </c:pt>
                <c:pt idx="16">
                  <c:v>29</c:v>
                </c:pt>
                <c:pt idx="17">
                  <c:v>26</c:v>
                </c:pt>
                <c:pt idx="18">
                  <c:v>24</c:v>
                </c:pt>
                <c:pt idx="19">
                  <c:v>25</c:v>
                </c:pt>
                <c:pt idx="20">
                  <c:v>41</c:v>
                </c:pt>
                <c:pt idx="21">
                  <c:v>41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'2.11 Kabale-Mbarara-24hr'!$AF$9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'2.11 Kabale-Mbarara-24hr'!$R$10:$R$33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'2.11 Kabale-Mbarara-24hr'!$AF$10:$AF$33</c:f>
              <c:numCache>
                <c:formatCode>0</c:formatCode>
                <c:ptCount val="24"/>
                <c:pt idx="0">
                  <c:v>79</c:v>
                </c:pt>
                <c:pt idx="1">
                  <c:v>118</c:v>
                </c:pt>
                <c:pt idx="2">
                  <c:v>169</c:v>
                </c:pt>
                <c:pt idx="3">
                  <c:v>160</c:v>
                </c:pt>
                <c:pt idx="4">
                  <c:v>159</c:v>
                </c:pt>
                <c:pt idx="5">
                  <c:v>164</c:v>
                </c:pt>
                <c:pt idx="6">
                  <c:v>101</c:v>
                </c:pt>
                <c:pt idx="7">
                  <c:v>102</c:v>
                </c:pt>
                <c:pt idx="8">
                  <c:v>154</c:v>
                </c:pt>
                <c:pt idx="9">
                  <c:v>176</c:v>
                </c:pt>
                <c:pt idx="10">
                  <c:v>161</c:v>
                </c:pt>
                <c:pt idx="11">
                  <c:v>141</c:v>
                </c:pt>
                <c:pt idx="12">
                  <c:v>168</c:v>
                </c:pt>
                <c:pt idx="13">
                  <c:v>101</c:v>
                </c:pt>
                <c:pt idx="14">
                  <c:v>61</c:v>
                </c:pt>
                <c:pt idx="15">
                  <c:v>58</c:v>
                </c:pt>
                <c:pt idx="16">
                  <c:v>29</c:v>
                </c:pt>
                <c:pt idx="17">
                  <c:v>26</c:v>
                </c:pt>
                <c:pt idx="18">
                  <c:v>24</c:v>
                </c:pt>
                <c:pt idx="19">
                  <c:v>25</c:v>
                </c:pt>
                <c:pt idx="20">
                  <c:v>41</c:v>
                </c:pt>
                <c:pt idx="21">
                  <c:v>41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86144"/>
        <c:axId val="71281248"/>
      </c:lineChart>
      <c:catAx>
        <c:axId val="712861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1281248"/>
        <c:crosses val="autoZero"/>
        <c:auto val="1"/>
        <c:lblAlgn val="ctr"/>
        <c:lblOffset val="100"/>
        <c:noMultiLvlLbl val="0"/>
      </c:catAx>
      <c:valAx>
        <c:axId val="71281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128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'2.11 Kabale-Mbarara-24hr'!$C$9:$N$9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'2.11 Kabale-Mbarara-24hr'!$C$107:$N$107</c:f>
              <c:numCache>
                <c:formatCode>0.0%</c:formatCode>
                <c:ptCount val="12"/>
                <c:pt idx="0">
                  <c:v>0.20283436669619131</c:v>
                </c:pt>
                <c:pt idx="1">
                  <c:v>5.5801594331266607E-2</c:v>
                </c:pt>
                <c:pt idx="2">
                  <c:v>3.2772364924712132E-2</c:v>
                </c:pt>
                <c:pt idx="3">
                  <c:v>0.11426040744021258</c:v>
                </c:pt>
                <c:pt idx="4">
                  <c:v>3.100088573959256E-3</c:v>
                </c:pt>
                <c:pt idx="5">
                  <c:v>2.0814880425155006E-2</c:v>
                </c:pt>
                <c:pt idx="6">
                  <c:v>5.2258635961027457E-2</c:v>
                </c:pt>
                <c:pt idx="7">
                  <c:v>1.9929140832595216E-2</c:v>
                </c:pt>
                <c:pt idx="8">
                  <c:v>5.2258635961027457E-2</c:v>
                </c:pt>
                <c:pt idx="9">
                  <c:v>5.6687333923826397E-2</c:v>
                </c:pt>
                <c:pt idx="10">
                  <c:v>0.38883968113374667</c:v>
                </c:pt>
                <c:pt idx="11">
                  <c:v>4.4286979627989372E-4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'2.11 Kabale-Mbarara-24hr'!$C$9:$N$9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'2.11 Kabale-Mbarara-24hr'!$C$108:$N$108</c:f>
              <c:numCache>
                <c:formatCode>0.00%</c:formatCode>
                <c:ptCount val="12"/>
                <c:pt idx="0">
                  <c:v>0.3318840579710145</c:v>
                </c:pt>
                <c:pt idx="1">
                  <c:v>9.1304347826086957E-2</c:v>
                </c:pt>
                <c:pt idx="2">
                  <c:v>5.3623188405797099E-2</c:v>
                </c:pt>
                <c:pt idx="3">
                  <c:v>0.18695652173913044</c:v>
                </c:pt>
                <c:pt idx="4">
                  <c:v>5.0724637681159417E-3</c:v>
                </c:pt>
                <c:pt idx="5">
                  <c:v>3.4057971014492754E-2</c:v>
                </c:pt>
                <c:pt idx="6">
                  <c:v>8.5507246376811591E-2</c:v>
                </c:pt>
                <c:pt idx="7">
                  <c:v>3.2608695652173912E-2</c:v>
                </c:pt>
                <c:pt idx="8">
                  <c:v>8.5507246376811591E-2</c:v>
                </c:pt>
                <c:pt idx="9">
                  <c:v>9.2753623188405798E-2</c:v>
                </c:pt>
                <c:pt idx="11">
                  <c:v>7.246376811594203E-4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Mbrarara-Kabale'!$AE$9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Mbrarara-Kabale'!$R$10:$R$33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Mbrarara-Kabale'!$AE$10:$AE$33</c:f>
              <c:numCache>
                <c:formatCode>0</c:formatCode>
                <c:ptCount val="24"/>
                <c:pt idx="0">
                  <c:v>92.857142857142847</c:v>
                </c:pt>
                <c:pt idx="1">
                  <c:v>82</c:v>
                </c:pt>
                <c:pt idx="2">
                  <c:v>96.142857142857139</c:v>
                </c:pt>
                <c:pt idx="3">
                  <c:v>109</c:v>
                </c:pt>
                <c:pt idx="4">
                  <c:v>108.28571428571428</c:v>
                </c:pt>
                <c:pt idx="5">
                  <c:v>112.57142857142857</c:v>
                </c:pt>
                <c:pt idx="6">
                  <c:v>102.42857142857142</c:v>
                </c:pt>
                <c:pt idx="7">
                  <c:v>107.14285714285714</c:v>
                </c:pt>
                <c:pt idx="8">
                  <c:v>114.99999999999999</c:v>
                </c:pt>
                <c:pt idx="9">
                  <c:v>94.285714285714278</c:v>
                </c:pt>
                <c:pt idx="10">
                  <c:v>98.285714285714278</c:v>
                </c:pt>
                <c:pt idx="11">
                  <c:v>90.714285714285708</c:v>
                </c:pt>
                <c:pt idx="12">
                  <c:v>166</c:v>
                </c:pt>
                <c:pt idx="13">
                  <c:v>88.5</c:v>
                </c:pt>
                <c:pt idx="14">
                  <c:v>54</c:v>
                </c:pt>
                <c:pt idx="15">
                  <c:v>51</c:v>
                </c:pt>
                <c:pt idx="16">
                  <c:v>43</c:v>
                </c:pt>
                <c:pt idx="17">
                  <c:v>24.5</c:v>
                </c:pt>
                <c:pt idx="18">
                  <c:v>22.5</c:v>
                </c:pt>
                <c:pt idx="19">
                  <c:v>10.5</c:v>
                </c:pt>
                <c:pt idx="20">
                  <c:v>9.5</c:v>
                </c:pt>
                <c:pt idx="21">
                  <c:v>27</c:v>
                </c:pt>
                <c:pt idx="22">
                  <c:v>45.5</c:v>
                </c:pt>
                <c:pt idx="23">
                  <c:v>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Mbrarara-Kabale'!$AF$9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Mbrarara-Kabale'!$R$10:$R$33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Mbrarara-Kabale'!$AF$10:$AF$33</c:f>
              <c:numCache>
                <c:formatCode>0</c:formatCode>
                <c:ptCount val="24"/>
                <c:pt idx="0">
                  <c:v>136.71428571428572</c:v>
                </c:pt>
                <c:pt idx="1">
                  <c:v>133.28571428571428</c:v>
                </c:pt>
                <c:pt idx="2">
                  <c:v>163.42857142857144</c:v>
                </c:pt>
                <c:pt idx="3">
                  <c:v>173.85714285714283</c:v>
                </c:pt>
                <c:pt idx="4">
                  <c:v>168.85714285714283</c:v>
                </c:pt>
                <c:pt idx="5">
                  <c:v>168.14285714285717</c:v>
                </c:pt>
                <c:pt idx="6">
                  <c:v>150</c:v>
                </c:pt>
                <c:pt idx="7">
                  <c:v>159.57142857142858</c:v>
                </c:pt>
                <c:pt idx="8">
                  <c:v>168.85714285714286</c:v>
                </c:pt>
                <c:pt idx="9">
                  <c:v>149</c:v>
                </c:pt>
                <c:pt idx="10">
                  <c:v>155.28571428571431</c:v>
                </c:pt>
                <c:pt idx="11">
                  <c:v>148.42857142857144</c:v>
                </c:pt>
                <c:pt idx="12">
                  <c:v>209</c:v>
                </c:pt>
                <c:pt idx="13">
                  <c:v>113</c:v>
                </c:pt>
                <c:pt idx="14">
                  <c:v>73</c:v>
                </c:pt>
                <c:pt idx="15">
                  <c:v>59.5</c:v>
                </c:pt>
                <c:pt idx="16">
                  <c:v>48</c:v>
                </c:pt>
                <c:pt idx="17">
                  <c:v>26.5</c:v>
                </c:pt>
                <c:pt idx="18">
                  <c:v>27.5</c:v>
                </c:pt>
                <c:pt idx="19">
                  <c:v>11.5</c:v>
                </c:pt>
                <c:pt idx="20">
                  <c:v>9.5</c:v>
                </c:pt>
                <c:pt idx="21">
                  <c:v>27</c:v>
                </c:pt>
                <c:pt idx="22">
                  <c:v>48.5</c:v>
                </c:pt>
                <c:pt idx="23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89952"/>
        <c:axId val="71274720"/>
      </c:lineChart>
      <c:catAx>
        <c:axId val="7128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1274720"/>
        <c:crosses val="autoZero"/>
        <c:auto val="1"/>
        <c:lblAlgn val="ctr"/>
        <c:lblOffset val="100"/>
        <c:noMultiLvlLbl val="0"/>
      </c:catAx>
      <c:valAx>
        <c:axId val="7127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12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Mbrarara-Kabale'!$C$9:$N$9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Mbrarara-Kabale'!$C$107:$N$107</c:f>
              <c:numCache>
                <c:formatCode>0.0%</c:formatCode>
                <c:ptCount val="12"/>
                <c:pt idx="0">
                  <c:v>0.1685601922656762</c:v>
                </c:pt>
                <c:pt idx="1">
                  <c:v>7.4857985580074296E-2</c:v>
                </c:pt>
                <c:pt idx="2">
                  <c:v>5.7898186585099411E-2</c:v>
                </c:pt>
                <c:pt idx="3">
                  <c:v>0.13636115359405729</c:v>
                </c:pt>
                <c:pt idx="4">
                  <c:v>7.0461000655451175E-3</c:v>
                </c:pt>
                <c:pt idx="5">
                  <c:v>1.2535503604981431E-2</c:v>
                </c:pt>
                <c:pt idx="6">
                  <c:v>3.9409001529386055E-2</c:v>
                </c:pt>
                <c:pt idx="7">
                  <c:v>4.342363993882456E-2</c:v>
                </c:pt>
                <c:pt idx="8">
                  <c:v>5.6150316801398294E-2</c:v>
                </c:pt>
                <c:pt idx="9">
                  <c:v>0.10022940790911075</c:v>
                </c:pt>
                <c:pt idx="10">
                  <c:v>0.30309154467992133</c:v>
                </c:pt>
                <c:pt idx="11">
                  <c:v>4.3696744592527855E-4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Mbrarara-Kabale'!$C$9:$N$9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Mbrarara-Kabale'!$C$108:$N$108</c:f>
              <c:numCache>
                <c:formatCode>0.00%</c:formatCode>
                <c:ptCount val="12"/>
                <c:pt idx="0">
                  <c:v>0.24186848499098673</c:v>
                </c:pt>
                <c:pt idx="1">
                  <c:v>0.10741437416725449</c:v>
                </c:pt>
                <c:pt idx="2">
                  <c:v>8.3078611176424483E-2</c:v>
                </c:pt>
                <c:pt idx="3">
                  <c:v>0.19566580453013563</c:v>
                </c:pt>
                <c:pt idx="4">
                  <c:v>1.01105102280743E-2</c:v>
                </c:pt>
                <c:pt idx="5">
                  <c:v>1.7987303080178697E-2</c:v>
                </c:pt>
                <c:pt idx="6">
                  <c:v>5.6548318833764384E-2</c:v>
                </c:pt>
                <c:pt idx="7">
                  <c:v>6.2308958382318362E-2</c:v>
                </c:pt>
                <c:pt idx="8">
                  <c:v>8.0570577631475807E-2</c:v>
                </c:pt>
                <c:pt idx="9">
                  <c:v>0.1438200485931499</c:v>
                </c:pt>
                <c:pt idx="11">
                  <c:v>6.2700838623716581E-4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Kabale-Mbarara'!$AE$9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Kabale-Mbarara'!$R$10:$R$33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Kabale-Mbarara'!$AE$10:$AE$33</c:f>
              <c:numCache>
                <c:formatCode>0</c:formatCode>
                <c:ptCount val="24"/>
                <c:pt idx="0">
                  <c:v>65.428571428571431</c:v>
                </c:pt>
                <c:pt idx="1">
                  <c:v>66.428571428571416</c:v>
                </c:pt>
                <c:pt idx="2">
                  <c:v>76</c:v>
                </c:pt>
                <c:pt idx="3">
                  <c:v>79.428571428571431</c:v>
                </c:pt>
                <c:pt idx="4">
                  <c:v>97.285714285714278</c:v>
                </c:pt>
                <c:pt idx="5">
                  <c:v>87.571428571428569</c:v>
                </c:pt>
                <c:pt idx="6">
                  <c:v>77.857142857142861</c:v>
                </c:pt>
                <c:pt idx="7">
                  <c:v>81.571428571428584</c:v>
                </c:pt>
                <c:pt idx="8">
                  <c:v>89.714285714285722</c:v>
                </c:pt>
                <c:pt idx="9">
                  <c:v>98.857142857142847</c:v>
                </c:pt>
                <c:pt idx="10">
                  <c:v>87.142857142857139</c:v>
                </c:pt>
                <c:pt idx="11">
                  <c:v>90.142857142857153</c:v>
                </c:pt>
                <c:pt idx="12">
                  <c:v>101.5</c:v>
                </c:pt>
                <c:pt idx="13">
                  <c:v>61.5</c:v>
                </c:pt>
                <c:pt idx="14">
                  <c:v>39.5</c:v>
                </c:pt>
                <c:pt idx="15">
                  <c:v>47.5</c:v>
                </c:pt>
                <c:pt idx="16">
                  <c:v>30</c:v>
                </c:pt>
                <c:pt idx="17">
                  <c:v>22</c:v>
                </c:pt>
                <c:pt idx="18">
                  <c:v>18</c:v>
                </c:pt>
                <c:pt idx="19">
                  <c:v>29</c:v>
                </c:pt>
                <c:pt idx="20">
                  <c:v>38</c:v>
                </c:pt>
                <c:pt idx="21">
                  <c:v>39.5</c:v>
                </c:pt>
                <c:pt idx="22">
                  <c:v>12</c:v>
                </c:pt>
                <c:pt idx="23">
                  <c:v>16.5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Kabale-Mbarara'!$AF$9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Kabale-Mbarara'!$R$10:$R$33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Kabale-Mbarara'!$AF$10:$AF$33</c:f>
              <c:numCache>
                <c:formatCode>0</c:formatCode>
                <c:ptCount val="24"/>
                <c:pt idx="0">
                  <c:v>118.28571428571429</c:v>
                </c:pt>
                <c:pt idx="1">
                  <c:v>128.28571428571428</c:v>
                </c:pt>
                <c:pt idx="2">
                  <c:v>145.71428571428572</c:v>
                </c:pt>
                <c:pt idx="3">
                  <c:v>152</c:v>
                </c:pt>
                <c:pt idx="4">
                  <c:v>158.57142857142856</c:v>
                </c:pt>
                <c:pt idx="5">
                  <c:v>137.23809523809521</c:v>
                </c:pt>
                <c:pt idx="6">
                  <c:v>128.71428571428572</c:v>
                </c:pt>
                <c:pt idx="7">
                  <c:v>125.71428571428572</c:v>
                </c:pt>
                <c:pt idx="8">
                  <c:v>145</c:v>
                </c:pt>
                <c:pt idx="9">
                  <c:v>166.28571428571428</c:v>
                </c:pt>
                <c:pt idx="10">
                  <c:v>141.85714285714286</c:v>
                </c:pt>
                <c:pt idx="11">
                  <c:v>147.85714285714286</c:v>
                </c:pt>
                <c:pt idx="12">
                  <c:v>150.5</c:v>
                </c:pt>
                <c:pt idx="13">
                  <c:v>95.5</c:v>
                </c:pt>
                <c:pt idx="14">
                  <c:v>62.5</c:v>
                </c:pt>
                <c:pt idx="15">
                  <c:v>65</c:v>
                </c:pt>
                <c:pt idx="16">
                  <c:v>40.5</c:v>
                </c:pt>
                <c:pt idx="17">
                  <c:v>23</c:v>
                </c:pt>
                <c:pt idx="18">
                  <c:v>19</c:v>
                </c:pt>
                <c:pt idx="19">
                  <c:v>30</c:v>
                </c:pt>
                <c:pt idx="20">
                  <c:v>40.5</c:v>
                </c:pt>
                <c:pt idx="21">
                  <c:v>45</c:v>
                </c:pt>
                <c:pt idx="22">
                  <c:v>13</c:v>
                </c:pt>
                <c:pt idx="23">
                  <c:v>21.5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89072"/>
        <c:axId val="74183632"/>
      </c:lineChart>
      <c:catAx>
        <c:axId val="741890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4183632"/>
        <c:crosses val="autoZero"/>
        <c:auto val="1"/>
        <c:lblAlgn val="ctr"/>
        <c:lblOffset val="100"/>
        <c:noMultiLvlLbl val="0"/>
      </c:catAx>
      <c:valAx>
        <c:axId val="74183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418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>
        <c:manualLayout>
          <c:xMode val="edge"/>
          <c:yMode val="edge"/>
          <c:x val="0.14542314775578913"/>
          <c:y val="2.7972027972027972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Kabale-Mbarara'!$C$9:$N$9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Kabale-Mbarara'!$C$107:$N$107</c:f>
              <c:numCache>
                <c:formatCode>0.0%</c:formatCode>
                <c:ptCount val="12"/>
                <c:pt idx="0">
                  <c:v>0.19791235620292971</c:v>
                </c:pt>
                <c:pt idx="1">
                  <c:v>4.4163287263096908E-2</c:v>
                </c:pt>
                <c:pt idx="2">
                  <c:v>3.2028469750889681E-2</c:v>
                </c:pt>
                <c:pt idx="3">
                  <c:v>0.15117313581064304</c:v>
                </c:pt>
                <c:pt idx="4">
                  <c:v>3.7863113465199027E-3</c:v>
                </c:pt>
                <c:pt idx="5">
                  <c:v>1.6603906314656951E-2</c:v>
                </c:pt>
                <c:pt idx="6">
                  <c:v>3.8483820243317063E-2</c:v>
                </c:pt>
                <c:pt idx="7">
                  <c:v>3.0538773483406435E-2</c:v>
                </c:pt>
                <c:pt idx="8">
                  <c:v>4.7080609120251589E-2</c:v>
                </c:pt>
                <c:pt idx="9">
                  <c:v>6.880534635438218E-2</c:v>
                </c:pt>
                <c:pt idx="10">
                  <c:v>0.36892741868741197</c:v>
                </c:pt>
                <c:pt idx="11">
                  <c:v>4.9656542249441361E-4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Kabale-Mbarara'!$C$9:$N$9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Kabale-Mbarara'!$C$108:$N$108</c:f>
              <c:numCache>
                <c:formatCode>0.00%</c:formatCode>
                <c:ptCount val="12"/>
                <c:pt idx="0">
                  <c:v>0.31361266843710039</c:v>
                </c:pt>
                <c:pt idx="1">
                  <c:v>6.9981312088128259E-2</c:v>
                </c:pt>
                <c:pt idx="2">
                  <c:v>5.0752434346414882E-2</c:v>
                </c:pt>
                <c:pt idx="3">
                  <c:v>0.23954952296646015</c:v>
                </c:pt>
                <c:pt idx="4">
                  <c:v>5.9998032851381906E-3</c:v>
                </c:pt>
                <c:pt idx="5">
                  <c:v>2.6310612766794528E-2</c:v>
                </c:pt>
                <c:pt idx="6">
                  <c:v>6.0981607160420982E-2</c:v>
                </c:pt>
                <c:pt idx="7">
                  <c:v>4.8391856004721151E-2</c:v>
                </c:pt>
                <c:pt idx="8">
                  <c:v>7.4604111340611776E-2</c:v>
                </c:pt>
                <c:pt idx="9">
                  <c:v>0.10902921215697844</c:v>
                </c:pt>
                <c:pt idx="11">
                  <c:v>7.8685944723123837E-4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Mbalala-kabale-2Dir'!$C$9:$N$9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Mbalala-kabale-2Dir'!$C$107:$N$107</c:f>
              <c:numCache>
                <c:formatCode>0.0%</c:formatCode>
                <c:ptCount val="12"/>
                <c:pt idx="0">
                  <c:v>0.18229933369489432</c:v>
                </c:pt>
                <c:pt idx="1">
                  <c:v>6.049043154877199E-2</c:v>
                </c:pt>
                <c:pt idx="2">
                  <c:v>4.5789106686294268E-2</c:v>
                </c:pt>
                <c:pt idx="3">
                  <c:v>0.14329433640660111</c:v>
                </c:pt>
                <c:pt idx="4">
                  <c:v>5.5202603238552733E-3</c:v>
                </c:pt>
                <c:pt idx="5">
                  <c:v>1.4439838847137216E-2</c:v>
                </c:pt>
                <c:pt idx="6">
                  <c:v>3.8975943286588682E-2</c:v>
                </c:pt>
                <c:pt idx="7">
                  <c:v>3.7392500193693348E-2</c:v>
                </c:pt>
                <c:pt idx="8">
                  <c:v>5.1904974045091826E-2</c:v>
                </c:pt>
                <c:pt idx="9">
                  <c:v>8.5520454017199987E-2</c:v>
                </c:pt>
                <c:pt idx="10">
                  <c:v>0.33390795692260017</c:v>
                </c:pt>
                <c:pt idx="11">
                  <c:v>4.6486402727202291E-4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Mbalala-kabale-2Dir'!$C$9:$N$9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Mbalala-kabale-2Dir'!$C$108:$N$108</c:f>
              <c:numCache>
                <c:formatCode>0.00%</c:formatCode>
                <c:ptCount val="12"/>
                <c:pt idx="0">
                  <c:v>0.27368489924103639</c:v>
                </c:pt>
                <c:pt idx="1">
                  <c:v>9.0813923056791396E-2</c:v>
                </c:pt>
                <c:pt idx="2">
                  <c:v>6.874291197766727E-2</c:v>
                </c:pt>
                <c:pt idx="3">
                  <c:v>0.21512693012300446</c:v>
                </c:pt>
                <c:pt idx="4">
                  <c:v>8.2875338044142016E-3</c:v>
                </c:pt>
                <c:pt idx="5">
                  <c:v>2.1678443688388727E-2</c:v>
                </c:pt>
                <c:pt idx="6">
                  <c:v>5.8514350519061321E-2</c:v>
                </c:pt>
                <c:pt idx="7">
                  <c:v>5.6137136875163557E-2</c:v>
                </c:pt>
                <c:pt idx="8">
                  <c:v>7.7924627060978802E-2</c:v>
                </c:pt>
                <c:pt idx="9">
                  <c:v>0.12839134606996422</c:v>
                </c:pt>
                <c:pt idx="11">
                  <c:v>6.9789758352961683E-4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Mbalala-kabale-2Dir'!$AE$9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Mbalala-kabale-2Dir'!$R$10:$R$33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Mbalala-kabale-2Dir'!$AE$10:$AE$33</c:f>
              <c:numCache>
                <c:formatCode>0</c:formatCode>
                <c:ptCount val="24"/>
                <c:pt idx="0">
                  <c:v>158.28571428571428</c:v>
                </c:pt>
                <c:pt idx="1">
                  <c:v>148.42857142857144</c:v>
                </c:pt>
                <c:pt idx="2">
                  <c:v>172.14285714285717</c:v>
                </c:pt>
                <c:pt idx="3">
                  <c:v>188.42857142857139</c:v>
                </c:pt>
                <c:pt idx="4">
                  <c:v>205.57142857142858</c:v>
                </c:pt>
                <c:pt idx="5">
                  <c:v>200.14285714285714</c:v>
                </c:pt>
                <c:pt idx="6">
                  <c:v>180.28571428571428</c:v>
                </c:pt>
                <c:pt idx="7">
                  <c:v>188.71428571428569</c:v>
                </c:pt>
                <c:pt idx="8">
                  <c:v>204.71428571428575</c:v>
                </c:pt>
                <c:pt idx="9">
                  <c:v>193.14285714285717</c:v>
                </c:pt>
                <c:pt idx="10">
                  <c:v>185.42857142857144</c:v>
                </c:pt>
                <c:pt idx="11">
                  <c:v>180.85714285714286</c:v>
                </c:pt>
                <c:pt idx="12">
                  <c:v>267.5</c:v>
                </c:pt>
                <c:pt idx="13">
                  <c:v>150</c:v>
                </c:pt>
                <c:pt idx="14">
                  <c:v>93.5</c:v>
                </c:pt>
                <c:pt idx="15">
                  <c:v>98.5</c:v>
                </c:pt>
                <c:pt idx="16">
                  <c:v>73</c:v>
                </c:pt>
                <c:pt idx="17">
                  <c:v>46.5</c:v>
                </c:pt>
                <c:pt idx="18">
                  <c:v>40.5</c:v>
                </c:pt>
                <c:pt idx="19">
                  <c:v>39.5</c:v>
                </c:pt>
                <c:pt idx="20">
                  <c:v>47.5</c:v>
                </c:pt>
                <c:pt idx="21">
                  <c:v>66.5</c:v>
                </c:pt>
                <c:pt idx="22">
                  <c:v>57.5</c:v>
                </c:pt>
                <c:pt idx="23">
                  <c:v>88.5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1D-4016-8B9A-D3775B9E2501}"/>
            </c:ext>
          </c:extLst>
        </c:ser>
        <c:ser>
          <c:idx val="1"/>
          <c:order val="1"/>
          <c:tx>
            <c:strRef>
              <c:f>'Avg Week Mbalala-kabale-2Dir'!$AF$9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Mbalala-kabale-2Dir'!$R$10:$R$33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Mbalala-kabale-2Dir'!$AF$10:$AF$33</c:f>
              <c:numCache>
                <c:formatCode>0</c:formatCode>
                <c:ptCount val="24"/>
                <c:pt idx="0">
                  <c:v>255.00000000000003</c:v>
                </c:pt>
                <c:pt idx="1">
                  <c:v>261.57142857142861</c:v>
                </c:pt>
                <c:pt idx="2">
                  <c:v>309.14285714285711</c:v>
                </c:pt>
                <c:pt idx="3">
                  <c:v>325.85714285714283</c:v>
                </c:pt>
                <c:pt idx="4">
                  <c:v>327.42857142857139</c:v>
                </c:pt>
                <c:pt idx="5">
                  <c:v>305.38095238095241</c:v>
                </c:pt>
                <c:pt idx="6">
                  <c:v>278.71428571428572</c:v>
                </c:pt>
                <c:pt idx="7">
                  <c:v>285.28571428571428</c:v>
                </c:pt>
                <c:pt idx="8">
                  <c:v>313.85714285714289</c:v>
                </c:pt>
                <c:pt idx="9">
                  <c:v>315.28571428571433</c:v>
                </c:pt>
                <c:pt idx="10">
                  <c:v>297.14285714285711</c:v>
                </c:pt>
                <c:pt idx="11">
                  <c:v>296.28571428571428</c:v>
                </c:pt>
                <c:pt idx="12">
                  <c:v>359.5</c:v>
                </c:pt>
                <c:pt idx="13">
                  <c:v>208.5</c:v>
                </c:pt>
                <c:pt idx="14">
                  <c:v>135.5</c:v>
                </c:pt>
                <c:pt idx="15">
                  <c:v>124.5</c:v>
                </c:pt>
                <c:pt idx="16">
                  <c:v>88.5</c:v>
                </c:pt>
                <c:pt idx="17">
                  <c:v>49.5</c:v>
                </c:pt>
                <c:pt idx="18">
                  <c:v>46.5</c:v>
                </c:pt>
                <c:pt idx="19">
                  <c:v>41.5</c:v>
                </c:pt>
                <c:pt idx="20">
                  <c:v>50</c:v>
                </c:pt>
                <c:pt idx="21">
                  <c:v>72</c:v>
                </c:pt>
                <c:pt idx="22">
                  <c:v>61.5</c:v>
                </c:pt>
                <c:pt idx="23">
                  <c:v>108.5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1D-4016-8B9A-D3775B9E2501}"/>
            </c:ext>
          </c:extLst>
        </c:ser>
        <c:ser>
          <c:idx val="5"/>
          <c:order val="2"/>
          <c:tx>
            <c:strRef>
              <c:f>'Avg Week Mbalala-kabale-2Dir'!$AC$9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Mbalala-kabale-2Dir'!$R$10:$R$33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Mbalala-kabale-2Dir'!$AC$10:$AC$33</c:f>
              <c:numCache>
                <c:formatCode>0</c:formatCode>
                <c:ptCount val="24"/>
                <c:pt idx="0">
                  <c:v>96.714285714285722</c:v>
                </c:pt>
                <c:pt idx="1">
                  <c:v>113.14285714285714</c:v>
                </c:pt>
                <c:pt idx="2">
                  <c:v>137</c:v>
                </c:pt>
                <c:pt idx="3">
                  <c:v>137.42857142857144</c:v>
                </c:pt>
                <c:pt idx="4">
                  <c:v>121.85714285714286</c:v>
                </c:pt>
                <c:pt idx="5">
                  <c:v>105.23809523809521</c:v>
                </c:pt>
                <c:pt idx="6">
                  <c:v>98.428571428571431</c:v>
                </c:pt>
                <c:pt idx="7">
                  <c:v>96.571428571428584</c:v>
                </c:pt>
                <c:pt idx="8">
                  <c:v>109.14285714285715</c:v>
                </c:pt>
                <c:pt idx="9">
                  <c:v>122.14285714285715</c:v>
                </c:pt>
                <c:pt idx="10">
                  <c:v>111.71428571428571</c:v>
                </c:pt>
                <c:pt idx="11">
                  <c:v>115.42857142857143</c:v>
                </c:pt>
                <c:pt idx="12">
                  <c:v>92</c:v>
                </c:pt>
                <c:pt idx="13">
                  <c:v>58.5</c:v>
                </c:pt>
                <c:pt idx="14">
                  <c:v>42</c:v>
                </c:pt>
                <c:pt idx="15">
                  <c:v>26</c:v>
                </c:pt>
                <c:pt idx="16">
                  <c:v>15.5</c:v>
                </c:pt>
                <c:pt idx="17">
                  <c:v>3</c:v>
                </c:pt>
                <c:pt idx="18">
                  <c:v>6</c:v>
                </c:pt>
                <c:pt idx="19">
                  <c:v>2</c:v>
                </c:pt>
                <c:pt idx="20">
                  <c:v>2.5</c:v>
                </c:pt>
                <c:pt idx="21">
                  <c:v>5.5</c:v>
                </c:pt>
                <c:pt idx="22">
                  <c:v>4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1D-4016-8B9A-D3775B9E2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Mbalala-kabale-2Dir'!$S$9:$AF$9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Mbalala-kabale-2Dir'!$S$41:$AF$41</c:f>
              <c:numCache>
                <c:formatCode>_(* #,##0_);_(* \(#,##0\);_(* "-"_);_(@_)</c:formatCode>
                <c:ptCount val="14"/>
                <c:pt idx="0">
                  <c:v>896.35714285714278</c:v>
                </c:pt>
                <c:pt idx="1">
                  <c:v>297.42857142857144</c:v>
                </c:pt>
                <c:pt idx="2">
                  <c:v>225.14285714285714</c:v>
                </c:pt>
                <c:pt idx="3">
                  <c:v>704.57142857142856</c:v>
                </c:pt>
                <c:pt idx="4">
                  <c:v>27.142857142857142</c:v>
                </c:pt>
                <c:pt idx="5">
                  <c:v>71</c:v>
                </c:pt>
                <c:pt idx="6">
                  <c:v>191.64285714285714</c:v>
                </c:pt>
                <c:pt idx="7">
                  <c:v>183.85714285714283</c:v>
                </c:pt>
                <c:pt idx="8">
                  <c:v>255.21428571428572</c:v>
                </c:pt>
                <c:pt idx="9">
                  <c:v>420.5</c:v>
                </c:pt>
                <c:pt idx="10">
                  <c:v>1641.8095238095239</c:v>
                </c:pt>
                <c:pt idx="11">
                  <c:v>2.2857142857142856</c:v>
                </c:pt>
                <c:pt idx="12">
                  <c:v>3275.1428571428569</c:v>
                </c:pt>
                <c:pt idx="13">
                  <c:v>4916.9523809523816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E-429A-AEAF-06F2C78E7B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Mbalala-kabale-2Dir'!$S$9:$AF$9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Mbalala-kabale-2Dir'!$S$42:$AF$42</c:f>
              <c:numCache>
                <c:formatCode>0.000</c:formatCode>
                <c:ptCount val="14"/>
                <c:pt idx="0">
                  <c:v>1.3301886792452831</c:v>
                </c:pt>
                <c:pt idx="1">
                  <c:v>1.4693013408609739</c:v>
                </c:pt>
                <c:pt idx="2">
                  <c:v>1.5405669599217986</c:v>
                </c:pt>
                <c:pt idx="3">
                  <c:v>1.3936140152585477</c:v>
                </c:pt>
                <c:pt idx="4">
                  <c:v>1.7924528301886793</c:v>
                </c:pt>
                <c:pt idx="5">
                  <c:v>1.5106382978723405</c:v>
                </c:pt>
                <c:pt idx="6">
                  <c:v>1.3203740157480315</c:v>
                </c:pt>
                <c:pt idx="7">
                  <c:v>1.6585051546391751</c:v>
                </c:pt>
                <c:pt idx="8">
                  <c:v>1.8532157676348546</c:v>
                </c:pt>
                <c:pt idx="9">
                  <c:v>1.9113636363636364</c:v>
                </c:pt>
                <c:pt idx="10">
                  <c:v>1.2029587243990092</c:v>
                </c:pt>
                <c:pt idx="11">
                  <c:v>1</c:v>
                </c:pt>
                <c:pt idx="12">
                  <c:v>1.4845561095642039</c:v>
                </c:pt>
                <c:pt idx="13">
                  <c:v>1.3769302573676492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8-4780-983A-C6694584EE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0.xml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4.xml"/><Relationship Id="rId1" Type="http://schemas.openxmlformats.org/officeDocument/2006/relationships/chart" Target="../charts/chart4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2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5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6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9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6349</xdr:rowOff>
    </xdr:from>
    <xdr:to>
      <xdr:col>27</xdr:col>
      <xdr:colOff>634999</xdr:colOff>
      <xdr:row>58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15875</xdr:colOff>
      <xdr:row>58</xdr:row>
      <xdr:rowOff>25400</xdr:rowOff>
    </xdr:from>
    <xdr:to>
      <xdr:col>30</xdr:col>
      <xdr:colOff>174625</xdr:colOff>
      <xdr:row>71</xdr:row>
      <xdr:rowOff>111125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58</xdr:row>
      <xdr:rowOff>31750</xdr:rowOff>
    </xdr:from>
    <xdr:to>
      <xdr:col>24</xdr:col>
      <xdr:colOff>0</xdr:colOff>
      <xdr:row>71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42</xdr:row>
      <xdr:rowOff>276224</xdr:rowOff>
    </xdr:from>
    <xdr:to>
      <xdr:col>28</xdr:col>
      <xdr:colOff>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31750</xdr:colOff>
      <xdr:row>58</xdr:row>
      <xdr:rowOff>9525</xdr:rowOff>
    </xdr:from>
    <xdr:to>
      <xdr:col>30</xdr:col>
      <xdr:colOff>31750</xdr:colOff>
      <xdr:row>72</xdr:row>
      <xdr:rowOff>47625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31751</xdr:colOff>
      <xdr:row>58</xdr:row>
      <xdr:rowOff>1</xdr:rowOff>
    </xdr:from>
    <xdr:to>
      <xdr:col>23</xdr:col>
      <xdr:colOff>698501</xdr:colOff>
      <xdr:row>72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247650</xdr:rowOff>
    </xdr:from>
    <xdr:to>
      <xdr:col>23</xdr:col>
      <xdr:colOff>650874</xdr:colOff>
      <xdr:row>74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75</xdr:row>
      <xdr:rowOff>0</xdr:rowOff>
    </xdr:from>
    <xdr:to>
      <xdr:col>23</xdr:col>
      <xdr:colOff>634999</xdr:colOff>
      <xdr:row>91</xdr:row>
      <xdr:rowOff>79375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1</xdr:rowOff>
    </xdr:from>
    <xdr:to>
      <xdr:col>30</xdr:col>
      <xdr:colOff>682625</xdr:colOff>
      <xdr:row>57</xdr:row>
      <xdr:rowOff>190500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666750</xdr:colOff>
      <xdr:row>58</xdr:row>
      <xdr:rowOff>253999</xdr:rowOff>
    </xdr:from>
    <xdr:to>
      <xdr:col>30</xdr:col>
      <xdr:colOff>603249</xdr:colOff>
      <xdr:row>74</xdr:row>
      <xdr:rowOff>269874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650875</xdr:colOff>
      <xdr:row>75</xdr:row>
      <xdr:rowOff>0</xdr:rowOff>
    </xdr:from>
    <xdr:to>
      <xdr:col>30</xdr:col>
      <xdr:colOff>635000</xdr:colOff>
      <xdr:row>91</xdr:row>
      <xdr:rowOff>95250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6.85546875" customWidth="1"/>
    <col min="7" max="7" width="15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163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30.75" customHeight="1" x14ac:dyDescent="0.25">
      <c r="C5" s="4" t="s">
        <v>3</v>
      </c>
      <c r="D5" s="36" t="s">
        <v>164</v>
      </c>
      <c r="E5" s="3"/>
      <c r="F5" s="41" t="s">
        <v>1</v>
      </c>
      <c r="G5" s="54" t="s">
        <v>165</v>
      </c>
      <c r="H5" s="55"/>
      <c r="I5" s="14"/>
      <c r="J5" s="2" t="s">
        <v>5</v>
      </c>
      <c r="K5" s="54" t="s">
        <v>168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167</v>
      </c>
      <c r="E6" s="55"/>
      <c r="F6" s="2" t="s">
        <v>2</v>
      </c>
      <c r="G6" s="54" t="s">
        <v>166</v>
      </c>
      <c r="H6" s="55"/>
      <c r="J6" s="2" t="s">
        <v>21</v>
      </c>
      <c r="K6" s="54" t="s">
        <v>169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2</v>
      </c>
      <c r="E10" s="50">
        <v>0</v>
      </c>
      <c r="F10" s="50">
        <v>5</v>
      </c>
      <c r="G10" s="50">
        <v>0</v>
      </c>
      <c r="H10" s="50">
        <v>0</v>
      </c>
      <c r="I10" s="50">
        <v>0</v>
      </c>
      <c r="J10" s="50">
        <v>0</v>
      </c>
      <c r="K10" s="50">
        <v>7</v>
      </c>
      <c r="L10" s="50">
        <v>0</v>
      </c>
      <c r="M10" s="50">
        <v>11</v>
      </c>
      <c r="N10" s="50">
        <v>0</v>
      </c>
      <c r="O10" s="15">
        <f t="shared" ref="O10:O57" si="0">SUM(C10:L10,N10)</f>
        <v>18</v>
      </c>
      <c r="P10" s="15">
        <f t="shared" ref="P10:P57" si="1">SUM(C10:N10)</f>
        <v>29</v>
      </c>
      <c r="R10" s="1" t="s">
        <v>6</v>
      </c>
      <c r="S10" s="17">
        <f t="shared" ref="S10:AF10" si="2">SUM(C10:C13)</f>
        <v>34</v>
      </c>
      <c r="T10" s="17">
        <f t="shared" si="2"/>
        <v>36</v>
      </c>
      <c r="U10" s="17">
        <f t="shared" si="2"/>
        <v>17</v>
      </c>
      <c r="V10" s="17">
        <f t="shared" si="2"/>
        <v>39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14</v>
      </c>
      <c r="AA10" s="17">
        <f t="shared" si="2"/>
        <v>45</v>
      </c>
      <c r="AB10" s="17">
        <f t="shared" si="2"/>
        <v>19</v>
      </c>
      <c r="AC10" s="17">
        <f t="shared" si="2"/>
        <v>50</v>
      </c>
      <c r="AD10" s="17">
        <f t="shared" si="2"/>
        <v>0</v>
      </c>
      <c r="AE10" s="31">
        <f t="shared" si="2"/>
        <v>207</v>
      </c>
      <c r="AF10" s="31">
        <f t="shared" si="2"/>
        <v>257</v>
      </c>
    </row>
    <row r="11" spans="2:32" s="6" customFormat="1" ht="23.1" customHeight="1" x14ac:dyDescent="0.25">
      <c r="B11" s="23" t="s">
        <v>38</v>
      </c>
      <c r="C11" s="50">
        <v>8</v>
      </c>
      <c r="D11" s="50">
        <v>4</v>
      </c>
      <c r="E11" s="50">
        <v>1</v>
      </c>
      <c r="F11" s="50">
        <v>11</v>
      </c>
      <c r="G11" s="50">
        <v>0</v>
      </c>
      <c r="H11" s="50">
        <v>0</v>
      </c>
      <c r="I11" s="50">
        <v>3</v>
      </c>
      <c r="J11" s="50">
        <v>0</v>
      </c>
      <c r="K11" s="50">
        <v>2</v>
      </c>
      <c r="L11" s="50">
        <v>6</v>
      </c>
      <c r="M11" s="50">
        <v>7</v>
      </c>
      <c r="N11" s="50">
        <v>0</v>
      </c>
      <c r="O11" s="15">
        <f t="shared" si="0"/>
        <v>35</v>
      </c>
      <c r="P11" s="15">
        <f t="shared" si="1"/>
        <v>42</v>
      </c>
      <c r="R11" s="1" t="s">
        <v>7</v>
      </c>
      <c r="S11" s="17">
        <f t="shared" ref="S11:AF11" si="3">SUM(C14:C17)</f>
        <v>30</v>
      </c>
      <c r="T11" s="17">
        <f t="shared" si="3"/>
        <v>8</v>
      </c>
      <c r="U11" s="17">
        <f t="shared" si="3"/>
        <v>6</v>
      </c>
      <c r="V11" s="17">
        <f t="shared" si="3"/>
        <v>12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7</v>
      </c>
      <c r="AA11" s="17">
        <f t="shared" si="3"/>
        <v>7</v>
      </c>
      <c r="AB11" s="17">
        <f t="shared" si="3"/>
        <v>12</v>
      </c>
      <c r="AC11" s="17">
        <f t="shared" si="3"/>
        <v>32</v>
      </c>
      <c r="AD11" s="17">
        <f t="shared" si="3"/>
        <v>0</v>
      </c>
      <c r="AE11" s="31">
        <f t="shared" si="3"/>
        <v>83</v>
      </c>
      <c r="AF11" s="31">
        <f t="shared" si="3"/>
        <v>115</v>
      </c>
    </row>
    <row r="12" spans="2:32" ht="23.1" customHeight="1" x14ac:dyDescent="0.25">
      <c r="B12" s="23" t="s">
        <v>39</v>
      </c>
      <c r="C12" s="50">
        <v>17</v>
      </c>
      <c r="D12" s="50">
        <v>21</v>
      </c>
      <c r="E12" s="50">
        <v>13</v>
      </c>
      <c r="F12" s="50">
        <v>16</v>
      </c>
      <c r="G12" s="50">
        <v>0</v>
      </c>
      <c r="H12" s="50">
        <v>0</v>
      </c>
      <c r="I12" s="50">
        <v>0</v>
      </c>
      <c r="J12" s="50">
        <v>4</v>
      </c>
      <c r="K12" s="50">
        <v>14</v>
      </c>
      <c r="L12" s="50">
        <v>9</v>
      </c>
      <c r="M12" s="50">
        <v>24</v>
      </c>
      <c r="N12" s="50">
        <v>0</v>
      </c>
      <c r="O12" s="15">
        <f t="shared" si="0"/>
        <v>94</v>
      </c>
      <c r="P12" s="15">
        <f t="shared" si="1"/>
        <v>118</v>
      </c>
      <c r="R12" s="1" t="s">
        <v>8</v>
      </c>
      <c r="S12" s="17">
        <f t="shared" ref="S12:AF12" si="4">SUM(C18:C21)</f>
        <v>24</v>
      </c>
      <c r="T12" s="17">
        <f t="shared" si="4"/>
        <v>3</v>
      </c>
      <c r="U12" s="17">
        <f t="shared" si="4"/>
        <v>2</v>
      </c>
      <c r="V12" s="17">
        <f t="shared" si="4"/>
        <v>19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3</v>
      </c>
      <c r="AA12" s="17">
        <f t="shared" si="4"/>
        <v>11</v>
      </c>
      <c r="AB12" s="17">
        <f t="shared" si="4"/>
        <v>7</v>
      </c>
      <c r="AC12" s="17">
        <f t="shared" si="4"/>
        <v>43</v>
      </c>
      <c r="AD12" s="17">
        <f t="shared" si="4"/>
        <v>0</v>
      </c>
      <c r="AE12" s="31">
        <f t="shared" si="4"/>
        <v>71</v>
      </c>
      <c r="AF12" s="31">
        <f t="shared" si="4"/>
        <v>114</v>
      </c>
    </row>
    <row r="13" spans="2:32" ht="23.1" customHeight="1" x14ac:dyDescent="0.25">
      <c r="B13" s="23" t="s">
        <v>40</v>
      </c>
      <c r="C13" s="50">
        <v>5</v>
      </c>
      <c r="D13" s="50">
        <v>9</v>
      </c>
      <c r="E13" s="50">
        <v>3</v>
      </c>
      <c r="F13" s="50">
        <v>7</v>
      </c>
      <c r="G13" s="50">
        <v>0</v>
      </c>
      <c r="H13" s="50">
        <v>0</v>
      </c>
      <c r="I13" s="50">
        <v>0</v>
      </c>
      <c r="J13" s="50">
        <v>10</v>
      </c>
      <c r="K13" s="50">
        <v>22</v>
      </c>
      <c r="L13" s="50">
        <v>4</v>
      </c>
      <c r="M13" s="50">
        <v>8</v>
      </c>
      <c r="N13" s="50">
        <v>0</v>
      </c>
      <c r="O13" s="15">
        <f t="shared" si="0"/>
        <v>60</v>
      </c>
      <c r="P13" s="15">
        <f t="shared" si="1"/>
        <v>68</v>
      </c>
      <c r="R13" s="1" t="s">
        <v>9</v>
      </c>
      <c r="S13" s="17">
        <f t="shared" ref="S13:AF13" si="5">SUM(C22:C25)</f>
        <v>43</v>
      </c>
      <c r="T13" s="17">
        <f t="shared" si="5"/>
        <v>4</v>
      </c>
      <c r="U13" s="17">
        <f t="shared" si="5"/>
        <v>2</v>
      </c>
      <c r="V13" s="17">
        <f t="shared" si="5"/>
        <v>17</v>
      </c>
      <c r="W13" s="17">
        <f t="shared" si="5"/>
        <v>0</v>
      </c>
      <c r="X13" s="17">
        <f t="shared" si="5"/>
        <v>1</v>
      </c>
      <c r="Y13" s="17">
        <f t="shared" si="5"/>
        <v>6</v>
      </c>
      <c r="Z13" s="17">
        <f t="shared" si="5"/>
        <v>4</v>
      </c>
      <c r="AA13" s="17">
        <f t="shared" si="5"/>
        <v>6</v>
      </c>
      <c r="AB13" s="17">
        <f t="shared" si="5"/>
        <v>10</v>
      </c>
      <c r="AC13" s="17">
        <f t="shared" si="5"/>
        <v>66</v>
      </c>
      <c r="AD13" s="17">
        <f t="shared" si="5"/>
        <v>0</v>
      </c>
      <c r="AE13" s="31">
        <f t="shared" si="5"/>
        <v>93</v>
      </c>
      <c r="AF13" s="31">
        <f t="shared" si="5"/>
        <v>159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1</v>
      </c>
      <c r="F14" s="50">
        <v>2</v>
      </c>
      <c r="G14" s="50">
        <v>0</v>
      </c>
      <c r="H14" s="50">
        <v>0</v>
      </c>
      <c r="I14" s="50">
        <v>1</v>
      </c>
      <c r="J14" s="50">
        <v>1</v>
      </c>
      <c r="K14" s="50">
        <v>1</v>
      </c>
      <c r="L14" s="50">
        <v>4</v>
      </c>
      <c r="M14" s="50">
        <v>7</v>
      </c>
      <c r="N14" s="50">
        <v>0</v>
      </c>
      <c r="O14" s="15">
        <f t="shared" si="0"/>
        <v>14</v>
      </c>
      <c r="P14" s="15">
        <f t="shared" si="1"/>
        <v>21</v>
      </c>
      <c r="R14" s="1" t="s">
        <v>10</v>
      </c>
      <c r="S14" s="17">
        <f t="shared" ref="S14:AF14" si="6">SUM(C26:C29)</f>
        <v>51</v>
      </c>
      <c r="T14" s="17">
        <f t="shared" si="6"/>
        <v>12</v>
      </c>
      <c r="U14" s="17">
        <f t="shared" si="6"/>
        <v>6</v>
      </c>
      <c r="V14" s="17">
        <f t="shared" si="6"/>
        <v>19</v>
      </c>
      <c r="W14" s="17">
        <f t="shared" si="6"/>
        <v>0</v>
      </c>
      <c r="X14" s="17">
        <f t="shared" si="6"/>
        <v>2</v>
      </c>
      <c r="Y14" s="17">
        <f t="shared" si="6"/>
        <v>5</v>
      </c>
      <c r="Z14" s="17">
        <f t="shared" si="6"/>
        <v>13</v>
      </c>
      <c r="AA14" s="17">
        <f t="shared" si="6"/>
        <v>0</v>
      </c>
      <c r="AB14" s="17">
        <f t="shared" si="6"/>
        <v>10</v>
      </c>
      <c r="AC14" s="17">
        <f t="shared" si="6"/>
        <v>55</v>
      </c>
      <c r="AD14" s="17">
        <f t="shared" si="6"/>
        <v>0</v>
      </c>
      <c r="AE14" s="31">
        <f t="shared" si="6"/>
        <v>118</v>
      </c>
      <c r="AF14" s="31">
        <f t="shared" si="6"/>
        <v>173</v>
      </c>
    </row>
    <row r="15" spans="2:32" ht="23.1" customHeight="1" x14ac:dyDescent="0.25">
      <c r="B15" s="23" t="s">
        <v>42</v>
      </c>
      <c r="C15" s="50">
        <v>6</v>
      </c>
      <c r="D15" s="50">
        <v>1</v>
      </c>
      <c r="E15" s="50">
        <v>4</v>
      </c>
      <c r="F15" s="50">
        <v>9</v>
      </c>
      <c r="G15" s="50">
        <v>0</v>
      </c>
      <c r="H15" s="50">
        <v>0</v>
      </c>
      <c r="I15" s="50">
        <v>0</v>
      </c>
      <c r="J15" s="50">
        <v>4</v>
      </c>
      <c r="K15" s="50">
        <v>5</v>
      </c>
      <c r="L15" s="50">
        <v>6</v>
      </c>
      <c r="M15" s="50">
        <v>9</v>
      </c>
      <c r="N15" s="50">
        <v>0</v>
      </c>
      <c r="O15" s="15">
        <f t="shared" si="0"/>
        <v>35</v>
      </c>
      <c r="P15" s="15">
        <f t="shared" si="1"/>
        <v>44</v>
      </c>
      <c r="R15" s="1" t="s">
        <v>11</v>
      </c>
      <c r="S15" s="17">
        <f t="shared" ref="S15:AF15" si="7">SUM(C30:C33)</f>
        <v>24</v>
      </c>
      <c r="T15" s="17">
        <f t="shared" si="7"/>
        <v>7</v>
      </c>
      <c r="U15" s="17">
        <f t="shared" si="7"/>
        <v>6</v>
      </c>
      <c r="V15" s="17">
        <f t="shared" si="7"/>
        <v>36</v>
      </c>
      <c r="W15" s="17">
        <f t="shared" si="7"/>
        <v>0</v>
      </c>
      <c r="X15" s="17">
        <f t="shared" si="7"/>
        <v>1</v>
      </c>
      <c r="Y15" s="17">
        <f t="shared" si="7"/>
        <v>8</v>
      </c>
      <c r="Z15" s="17">
        <f t="shared" si="7"/>
        <v>1</v>
      </c>
      <c r="AA15" s="17">
        <f t="shared" si="7"/>
        <v>2</v>
      </c>
      <c r="AB15" s="17">
        <f t="shared" si="7"/>
        <v>15</v>
      </c>
      <c r="AC15" s="17">
        <f t="shared" si="7"/>
        <v>58</v>
      </c>
      <c r="AD15" s="17">
        <f t="shared" si="7"/>
        <v>0</v>
      </c>
      <c r="AE15" s="31">
        <f t="shared" si="7"/>
        <v>100</v>
      </c>
      <c r="AF15" s="31">
        <f t="shared" si="7"/>
        <v>158</v>
      </c>
    </row>
    <row r="16" spans="2:32" ht="23.1" customHeight="1" x14ac:dyDescent="0.25">
      <c r="B16" s="23" t="s">
        <v>43</v>
      </c>
      <c r="C16" s="50">
        <v>15</v>
      </c>
      <c r="D16" s="50">
        <v>4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19</v>
      </c>
      <c r="P16" s="15">
        <f t="shared" si="1"/>
        <v>24</v>
      </c>
      <c r="R16" s="1" t="s">
        <v>12</v>
      </c>
      <c r="S16" s="17">
        <f t="shared" ref="S16:AF16" si="8">SUM(C34:C37)</f>
        <v>38</v>
      </c>
      <c r="T16" s="17">
        <f t="shared" si="8"/>
        <v>12</v>
      </c>
      <c r="U16" s="17">
        <f t="shared" si="8"/>
        <v>2</v>
      </c>
      <c r="V16" s="17">
        <f t="shared" si="8"/>
        <v>36</v>
      </c>
      <c r="W16" s="17">
        <f t="shared" si="8"/>
        <v>1</v>
      </c>
      <c r="X16" s="17">
        <f t="shared" si="8"/>
        <v>3</v>
      </c>
      <c r="Y16" s="17">
        <f t="shared" si="8"/>
        <v>4</v>
      </c>
      <c r="Z16" s="17">
        <f t="shared" si="8"/>
        <v>3</v>
      </c>
      <c r="AA16" s="17">
        <f t="shared" si="8"/>
        <v>2</v>
      </c>
      <c r="AB16" s="17">
        <f t="shared" si="8"/>
        <v>5</v>
      </c>
      <c r="AC16" s="17">
        <f t="shared" si="8"/>
        <v>56</v>
      </c>
      <c r="AD16" s="17">
        <f t="shared" si="8"/>
        <v>0</v>
      </c>
      <c r="AE16" s="31">
        <f t="shared" si="8"/>
        <v>106</v>
      </c>
      <c r="AF16" s="31">
        <f t="shared" si="8"/>
        <v>162</v>
      </c>
    </row>
    <row r="17" spans="2:32" ht="23.1" customHeight="1" x14ac:dyDescent="0.25">
      <c r="B17" s="23" t="s">
        <v>44</v>
      </c>
      <c r="C17" s="50">
        <v>5</v>
      </c>
      <c r="D17" s="50">
        <v>3</v>
      </c>
      <c r="E17" s="50">
        <v>1</v>
      </c>
      <c r="F17" s="50">
        <v>1</v>
      </c>
      <c r="G17" s="50">
        <v>0</v>
      </c>
      <c r="H17" s="50">
        <v>0</v>
      </c>
      <c r="I17" s="50">
        <v>0</v>
      </c>
      <c r="J17" s="50">
        <v>2</v>
      </c>
      <c r="K17" s="50">
        <v>1</v>
      </c>
      <c r="L17" s="50">
        <v>2</v>
      </c>
      <c r="M17" s="50">
        <v>11</v>
      </c>
      <c r="N17" s="50">
        <v>0</v>
      </c>
      <c r="O17" s="15">
        <f t="shared" si="0"/>
        <v>15</v>
      </c>
      <c r="P17" s="15">
        <f t="shared" si="1"/>
        <v>26</v>
      </c>
      <c r="R17" s="1" t="s">
        <v>13</v>
      </c>
      <c r="S17" s="17">
        <f t="shared" ref="S17:AF17" si="9">SUM(C38:C41)</f>
        <v>43</v>
      </c>
      <c r="T17" s="17">
        <f t="shared" si="9"/>
        <v>0</v>
      </c>
      <c r="U17" s="17">
        <f t="shared" si="9"/>
        <v>8</v>
      </c>
      <c r="V17" s="17">
        <f t="shared" si="9"/>
        <v>39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4</v>
      </c>
      <c r="AA17" s="17">
        <f t="shared" si="9"/>
        <v>1</v>
      </c>
      <c r="AB17" s="17">
        <f t="shared" si="9"/>
        <v>8</v>
      </c>
      <c r="AC17" s="17">
        <f t="shared" si="9"/>
        <v>52</v>
      </c>
      <c r="AD17" s="17">
        <f t="shared" si="9"/>
        <v>2</v>
      </c>
      <c r="AE17" s="31">
        <f t="shared" si="9"/>
        <v>107</v>
      </c>
      <c r="AF17" s="31">
        <f t="shared" si="9"/>
        <v>159</v>
      </c>
    </row>
    <row r="18" spans="2:32" ht="23.1" customHeight="1" x14ac:dyDescent="0.25">
      <c r="B18" s="23" t="s">
        <v>45</v>
      </c>
      <c r="C18" s="50">
        <v>3</v>
      </c>
      <c r="D18" s="50">
        <v>2</v>
      </c>
      <c r="E18" s="50">
        <v>1</v>
      </c>
      <c r="F18" s="50">
        <v>5</v>
      </c>
      <c r="G18" s="50">
        <v>0</v>
      </c>
      <c r="H18" s="50">
        <v>0</v>
      </c>
      <c r="I18" s="50">
        <v>0</v>
      </c>
      <c r="J18" s="50">
        <v>0</v>
      </c>
      <c r="K18" s="50">
        <v>2</v>
      </c>
      <c r="L18" s="50">
        <v>0</v>
      </c>
      <c r="M18" s="50">
        <v>10</v>
      </c>
      <c r="N18" s="50">
        <v>0</v>
      </c>
      <c r="O18" s="15">
        <f t="shared" si="0"/>
        <v>13</v>
      </c>
      <c r="P18" s="15">
        <f t="shared" si="1"/>
        <v>23</v>
      </c>
      <c r="R18" s="1" t="s">
        <v>14</v>
      </c>
      <c r="S18" s="17">
        <f t="shared" ref="S18:AF18" si="10">SUM(C42:C45)</f>
        <v>33</v>
      </c>
      <c r="T18" s="17">
        <f t="shared" si="10"/>
        <v>28</v>
      </c>
      <c r="U18" s="17">
        <f t="shared" si="10"/>
        <v>27</v>
      </c>
      <c r="V18" s="17">
        <f t="shared" si="10"/>
        <v>29</v>
      </c>
      <c r="W18" s="17">
        <f t="shared" si="10"/>
        <v>4</v>
      </c>
      <c r="X18" s="17">
        <f t="shared" si="10"/>
        <v>5</v>
      </c>
      <c r="Y18" s="17">
        <f t="shared" si="10"/>
        <v>11</v>
      </c>
      <c r="Z18" s="17">
        <f t="shared" si="10"/>
        <v>21</v>
      </c>
      <c r="AA18" s="17">
        <f t="shared" si="10"/>
        <v>40</v>
      </c>
      <c r="AB18" s="17">
        <f t="shared" si="10"/>
        <v>46</v>
      </c>
      <c r="AC18" s="17">
        <f t="shared" si="10"/>
        <v>31</v>
      </c>
      <c r="AD18" s="17">
        <f t="shared" si="10"/>
        <v>0</v>
      </c>
      <c r="AE18" s="31">
        <f t="shared" si="10"/>
        <v>244</v>
      </c>
      <c r="AF18" s="31">
        <f t="shared" si="10"/>
        <v>275</v>
      </c>
    </row>
    <row r="19" spans="2:32" ht="23.1" customHeight="1" x14ac:dyDescent="0.25">
      <c r="B19" s="23" t="s">
        <v>46</v>
      </c>
      <c r="C19" s="50">
        <v>11</v>
      </c>
      <c r="D19" s="50">
        <v>0</v>
      </c>
      <c r="E19" s="50">
        <v>0</v>
      </c>
      <c r="F19" s="50">
        <v>7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17</v>
      </c>
      <c r="N19" s="50">
        <v>0</v>
      </c>
      <c r="O19" s="15">
        <f t="shared" si="0"/>
        <v>19</v>
      </c>
      <c r="P19" s="15">
        <f t="shared" si="1"/>
        <v>36</v>
      </c>
      <c r="R19" s="1" t="s">
        <v>15</v>
      </c>
      <c r="S19" s="17">
        <f t="shared" ref="S19:AF19" si="11">SUM(C46:C49)</f>
        <v>26</v>
      </c>
      <c r="T19" s="17">
        <f t="shared" si="11"/>
        <v>16</v>
      </c>
      <c r="U19" s="17">
        <f t="shared" si="11"/>
        <v>4</v>
      </c>
      <c r="V19" s="17">
        <f t="shared" si="11"/>
        <v>14</v>
      </c>
      <c r="W19" s="17">
        <f t="shared" si="11"/>
        <v>0</v>
      </c>
      <c r="X19" s="17">
        <f t="shared" si="11"/>
        <v>6</v>
      </c>
      <c r="Y19" s="17">
        <f t="shared" si="11"/>
        <v>1</v>
      </c>
      <c r="Z19" s="17">
        <f t="shared" si="11"/>
        <v>14</v>
      </c>
      <c r="AA19" s="17">
        <f t="shared" si="11"/>
        <v>26</v>
      </c>
      <c r="AB19" s="17">
        <f t="shared" si="11"/>
        <v>36</v>
      </c>
      <c r="AC19" s="17">
        <f t="shared" si="11"/>
        <v>49</v>
      </c>
      <c r="AD19" s="17">
        <f t="shared" si="11"/>
        <v>0</v>
      </c>
      <c r="AE19" s="31">
        <f t="shared" si="11"/>
        <v>143</v>
      </c>
      <c r="AF19" s="31">
        <f t="shared" si="11"/>
        <v>192</v>
      </c>
    </row>
    <row r="20" spans="2:32" ht="23.1" customHeight="1" x14ac:dyDescent="0.25">
      <c r="B20" s="23" t="s">
        <v>47</v>
      </c>
      <c r="C20" s="50">
        <v>7</v>
      </c>
      <c r="D20" s="50">
        <v>0</v>
      </c>
      <c r="E20" s="50">
        <v>1</v>
      </c>
      <c r="F20" s="50">
        <v>4</v>
      </c>
      <c r="G20" s="50">
        <v>0</v>
      </c>
      <c r="H20" s="50">
        <v>0</v>
      </c>
      <c r="I20" s="50">
        <v>2</v>
      </c>
      <c r="J20" s="50">
        <v>2</v>
      </c>
      <c r="K20" s="50">
        <v>2</v>
      </c>
      <c r="L20" s="50">
        <v>7</v>
      </c>
      <c r="M20" s="50">
        <v>3</v>
      </c>
      <c r="N20" s="50">
        <v>0</v>
      </c>
      <c r="O20" s="15">
        <f t="shared" si="0"/>
        <v>25</v>
      </c>
      <c r="P20" s="15">
        <f t="shared" si="1"/>
        <v>28</v>
      </c>
      <c r="R20" s="1" t="s">
        <v>16</v>
      </c>
      <c r="S20" s="17">
        <f t="shared" ref="S20:AF20" si="12">SUM(C50:C53)</f>
        <v>25</v>
      </c>
      <c r="T20" s="17">
        <f t="shared" si="12"/>
        <v>22</v>
      </c>
      <c r="U20" s="17">
        <f t="shared" si="12"/>
        <v>24</v>
      </c>
      <c r="V20" s="17">
        <f t="shared" si="12"/>
        <v>26</v>
      </c>
      <c r="W20" s="17">
        <f t="shared" si="12"/>
        <v>4</v>
      </c>
      <c r="X20" s="17">
        <f t="shared" si="12"/>
        <v>0</v>
      </c>
      <c r="Y20" s="17">
        <f t="shared" si="12"/>
        <v>2</v>
      </c>
      <c r="Z20" s="17">
        <f t="shared" si="12"/>
        <v>7</v>
      </c>
      <c r="AA20" s="17">
        <f t="shared" si="12"/>
        <v>22</v>
      </c>
      <c r="AB20" s="17">
        <f t="shared" si="12"/>
        <v>44</v>
      </c>
      <c r="AC20" s="17">
        <f t="shared" si="12"/>
        <v>64</v>
      </c>
      <c r="AD20" s="17">
        <f t="shared" si="12"/>
        <v>0</v>
      </c>
      <c r="AE20" s="31">
        <f t="shared" si="12"/>
        <v>176</v>
      </c>
      <c r="AF20" s="31">
        <f t="shared" si="12"/>
        <v>240</v>
      </c>
    </row>
    <row r="21" spans="2:32" ht="23.1" customHeight="1" x14ac:dyDescent="0.25">
      <c r="B21" s="23" t="s">
        <v>48</v>
      </c>
      <c r="C21" s="50">
        <v>3</v>
      </c>
      <c r="D21" s="50">
        <v>1</v>
      </c>
      <c r="E21" s="50">
        <v>0</v>
      </c>
      <c r="F21" s="50">
        <v>3</v>
      </c>
      <c r="G21" s="50">
        <v>0</v>
      </c>
      <c r="H21" s="50">
        <v>0</v>
      </c>
      <c r="I21" s="50">
        <v>0</v>
      </c>
      <c r="J21" s="50">
        <v>1</v>
      </c>
      <c r="K21" s="50">
        <v>6</v>
      </c>
      <c r="L21" s="50">
        <v>0</v>
      </c>
      <c r="M21" s="50">
        <v>13</v>
      </c>
      <c r="N21" s="50">
        <v>0</v>
      </c>
      <c r="O21" s="15">
        <f t="shared" si="0"/>
        <v>14</v>
      </c>
      <c r="P21" s="15">
        <f t="shared" si="1"/>
        <v>27</v>
      </c>
      <c r="R21" s="36" t="s">
        <v>20</v>
      </c>
      <c r="S21" s="34">
        <f t="shared" ref="S21:AF21" si="13">SUM(C54:C57)</f>
        <v>17</v>
      </c>
      <c r="T21" s="17">
        <f t="shared" si="13"/>
        <v>13</v>
      </c>
      <c r="U21" s="17">
        <f t="shared" si="13"/>
        <v>16</v>
      </c>
      <c r="V21" s="17">
        <f t="shared" si="13"/>
        <v>7</v>
      </c>
      <c r="W21" s="17">
        <f t="shared" si="13"/>
        <v>3</v>
      </c>
      <c r="X21" s="17">
        <f t="shared" si="13"/>
        <v>6</v>
      </c>
      <c r="Y21" s="17">
        <f t="shared" si="13"/>
        <v>3</v>
      </c>
      <c r="Z21" s="17">
        <f t="shared" si="13"/>
        <v>10</v>
      </c>
      <c r="AA21" s="17">
        <f t="shared" si="13"/>
        <v>22</v>
      </c>
      <c r="AB21" s="17">
        <f t="shared" si="13"/>
        <v>17</v>
      </c>
      <c r="AC21" s="17">
        <f t="shared" si="13"/>
        <v>48</v>
      </c>
      <c r="AD21" s="17">
        <f t="shared" si="13"/>
        <v>0</v>
      </c>
      <c r="AE21" s="31">
        <f t="shared" si="13"/>
        <v>114</v>
      </c>
      <c r="AF21" s="31">
        <f t="shared" si="13"/>
        <v>162</v>
      </c>
    </row>
    <row r="22" spans="2:32" ht="23.1" customHeight="1" x14ac:dyDescent="0.25">
      <c r="B22" s="23" t="s">
        <v>49</v>
      </c>
      <c r="C22" s="50">
        <v>4</v>
      </c>
      <c r="D22" s="50">
        <v>3</v>
      </c>
      <c r="E22" s="50">
        <v>1</v>
      </c>
      <c r="F22" s="50">
        <v>5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3</v>
      </c>
      <c r="M22" s="50">
        <v>13</v>
      </c>
      <c r="N22" s="50">
        <v>0</v>
      </c>
      <c r="O22" s="15">
        <f t="shared" si="0"/>
        <v>18</v>
      </c>
      <c r="P22" s="15">
        <f t="shared" si="1"/>
        <v>31</v>
      </c>
      <c r="R22" s="38" t="s">
        <v>90</v>
      </c>
      <c r="S22" s="39">
        <f>MAX(S10:S12)</f>
        <v>34</v>
      </c>
      <c r="T22" s="39">
        <f t="shared" ref="T22:AF22" si="14">MAX(T10:T12)</f>
        <v>36</v>
      </c>
      <c r="U22" s="39">
        <f t="shared" si="14"/>
        <v>17</v>
      </c>
      <c r="V22" s="39">
        <f t="shared" si="14"/>
        <v>39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14</v>
      </c>
      <c r="AA22" s="39">
        <f t="shared" si="14"/>
        <v>45</v>
      </c>
      <c r="AB22" s="39">
        <f t="shared" si="14"/>
        <v>19</v>
      </c>
      <c r="AC22" s="39">
        <f t="shared" si="14"/>
        <v>50</v>
      </c>
      <c r="AD22" s="39">
        <f t="shared" si="14"/>
        <v>0</v>
      </c>
      <c r="AE22" s="40">
        <f t="shared" si="14"/>
        <v>207</v>
      </c>
      <c r="AF22" s="40">
        <f t="shared" si="14"/>
        <v>257</v>
      </c>
    </row>
    <row r="23" spans="2:32" ht="23.1" customHeight="1" x14ac:dyDescent="0.25">
      <c r="B23" s="23" t="s">
        <v>50</v>
      </c>
      <c r="C23" s="50">
        <v>6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2</v>
      </c>
      <c r="M23" s="50">
        <v>15</v>
      </c>
      <c r="N23" s="50">
        <v>0</v>
      </c>
      <c r="O23" s="15">
        <f t="shared" si="0"/>
        <v>10</v>
      </c>
      <c r="P23" s="15">
        <f t="shared" si="1"/>
        <v>25</v>
      </c>
      <c r="R23" s="38" t="s">
        <v>91</v>
      </c>
      <c r="S23" s="39">
        <f>MAX(S13:S18)</f>
        <v>51</v>
      </c>
      <c r="T23" s="39">
        <f t="shared" ref="T23:AF23" si="15">MAX(T13:T18)</f>
        <v>28</v>
      </c>
      <c r="U23" s="39">
        <f t="shared" si="15"/>
        <v>27</v>
      </c>
      <c r="V23" s="39">
        <f t="shared" si="15"/>
        <v>39</v>
      </c>
      <c r="W23" s="39">
        <f t="shared" si="15"/>
        <v>4</v>
      </c>
      <c r="X23" s="39">
        <f t="shared" si="15"/>
        <v>5</v>
      </c>
      <c r="Y23" s="39">
        <f t="shared" si="15"/>
        <v>11</v>
      </c>
      <c r="Z23" s="39">
        <f t="shared" si="15"/>
        <v>21</v>
      </c>
      <c r="AA23" s="39">
        <f t="shared" si="15"/>
        <v>40</v>
      </c>
      <c r="AB23" s="39">
        <f t="shared" si="15"/>
        <v>46</v>
      </c>
      <c r="AC23" s="39">
        <f t="shared" si="15"/>
        <v>66</v>
      </c>
      <c r="AD23" s="39">
        <f t="shared" si="15"/>
        <v>2</v>
      </c>
      <c r="AE23" s="40">
        <f t="shared" si="15"/>
        <v>244</v>
      </c>
      <c r="AF23" s="40">
        <f t="shared" si="15"/>
        <v>275</v>
      </c>
    </row>
    <row r="24" spans="2:32" ht="23.1" customHeight="1" x14ac:dyDescent="0.25">
      <c r="B24" s="23" t="s">
        <v>51</v>
      </c>
      <c r="C24" s="50">
        <v>12</v>
      </c>
      <c r="D24" s="50">
        <v>0</v>
      </c>
      <c r="E24" s="50">
        <v>0</v>
      </c>
      <c r="F24" s="50">
        <v>2</v>
      </c>
      <c r="G24" s="50">
        <v>0</v>
      </c>
      <c r="H24" s="50">
        <v>1</v>
      </c>
      <c r="I24" s="50">
        <v>0</v>
      </c>
      <c r="J24" s="50">
        <v>4</v>
      </c>
      <c r="K24" s="50">
        <v>0</v>
      </c>
      <c r="L24" s="50">
        <v>0</v>
      </c>
      <c r="M24" s="50">
        <v>23</v>
      </c>
      <c r="N24" s="50">
        <v>0</v>
      </c>
      <c r="O24" s="15">
        <f t="shared" si="0"/>
        <v>19</v>
      </c>
      <c r="P24" s="15">
        <f t="shared" si="1"/>
        <v>42</v>
      </c>
      <c r="R24" s="38" t="s">
        <v>92</v>
      </c>
      <c r="S24" s="39">
        <f>MAX(S19:S21)</f>
        <v>26</v>
      </c>
      <c r="T24" s="39">
        <f t="shared" ref="T24:AF24" si="16">MAX(T19:T21)</f>
        <v>22</v>
      </c>
      <c r="U24" s="39">
        <f t="shared" si="16"/>
        <v>24</v>
      </c>
      <c r="V24" s="39">
        <f t="shared" si="16"/>
        <v>26</v>
      </c>
      <c r="W24" s="39">
        <f t="shared" si="16"/>
        <v>4</v>
      </c>
      <c r="X24" s="39">
        <f t="shared" si="16"/>
        <v>6</v>
      </c>
      <c r="Y24" s="39">
        <f t="shared" si="16"/>
        <v>3</v>
      </c>
      <c r="Z24" s="39">
        <f t="shared" si="16"/>
        <v>14</v>
      </c>
      <c r="AA24" s="39">
        <f t="shared" si="16"/>
        <v>26</v>
      </c>
      <c r="AB24" s="39">
        <f t="shared" si="16"/>
        <v>44</v>
      </c>
      <c r="AC24" s="39">
        <f t="shared" si="16"/>
        <v>64</v>
      </c>
      <c r="AD24" s="39">
        <f t="shared" si="16"/>
        <v>0</v>
      </c>
      <c r="AE24" s="40">
        <f t="shared" si="16"/>
        <v>176</v>
      </c>
      <c r="AF24" s="40">
        <f t="shared" si="16"/>
        <v>240</v>
      </c>
    </row>
    <row r="25" spans="2:32" ht="23.1" customHeight="1" x14ac:dyDescent="0.25">
      <c r="B25" s="23" t="s">
        <v>52</v>
      </c>
      <c r="C25" s="50">
        <v>21</v>
      </c>
      <c r="D25" s="50">
        <v>1</v>
      </c>
      <c r="E25" s="50">
        <v>0</v>
      </c>
      <c r="F25" s="50">
        <v>10</v>
      </c>
      <c r="G25" s="50">
        <v>0</v>
      </c>
      <c r="H25" s="50">
        <v>0</v>
      </c>
      <c r="I25" s="50">
        <v>3</v>
      </c>
      <c r="J25" s="50">
        <v>0</v>
      </c>
      <c r="K25" s="50">
        <v>6</v>
      </c>
      <c r="L25" s="50">
        <v>5</v>
      </c>
      <c r="M25" s="50">
        <v>15</v>
      </c>
      <c r="N25" s="50">
        <v>0</v>
      </c>
      <c r="O25" s="15">
        <f t="shared" si="0"/>
        <v>46</v>
      </c>
      <c r="P25" s="15">
        <f t="shared" si="1"/>
        <v>61</v>
      </c>
      <c r="R25" s="37" t="s">
        <v>85</v>
      </c>
      <c r="S25" s="35">
        <f t="shared" ref="S25:AF25" si="17">SUM(S10:S12)</f>
        <v>88</v>
      </c>
      <c r="T25" s="16">
        <f t="shared" si="17"/>
        <v>47</v>
      </c>
      <c r="U25" s="16">
        <f t="shared" si="17"/>
        <v>25</v>
      </c>
      <c r="V25" s="16">
        <f t="shared" si="17"/>
        <v>70</v>
      </c>
      <c r="W25" s="16">
        <f t="shared" si="17"/>
        <v>0</v>
      </c>
      <c r="X25" s="16">
        <f t="shared" si="17"/>
        <v>0</v>
      </c>
      <c r="Y25" s="16">
        <f t="shared" si="17"/>
        <v>6</v>
      </c>
      <c r="Z25" s="16">
        <f t="shared" si="17"/>
        <v>24</v>
      </c>
      <c r="AA25" s="16">
        <f t="shared" si="17"/>
        <v>63</v>
      </c>
      <c r="AB25" s="16">
        <f t="shared" si="17"/>
        <v>38</v>
      </c>
      <c r="AC25" s="16">
        <f t="shared" si="17"/>
        <v>125</v>
      </c>
      <c r="AD25" s="16">
        <f t="shared" si="17"/>
        <v>0</v>
      </c>
      <c r="AE25" s="32">
        <f t="shared" si="17"/>
        <v>361</v>
      </c>
      <c r="AF25" s="32">
        <f t="shared" si="17"/>
        <v>486</v>
      </c>
    </row>
    <row r="26" spans="2:32" ht="23.1" customHeight="1" x14ac:dyDescent="0.25">
      <c r="B26" s="23" t="s">
        <v>53</v>
      </c>
      <c r="C26" s="50">
        <v>12</v>
      </c>
      <c r="D26" s="50">
        <v>3</v>
      </c>
      <c r="E26" s="50">
        <v>2</v>
      </c>
      <c r="F26" s="50">
        <v>7</v>
      </c>
      <c r="G26" s="50">
        <v>0</v>
      </c>
      <c r="H26" s="50">
        <v>0</v>
      </c>
      <c r="I26" s="50">
        <v>1</v>
      </c>
      <c r="J26" s="50">
        <v>4</v>
      </c>
      <c r="K26" s="50">
        <v>0</v>
      </c>
      <c r="L26" s="50">
        <v>3</v>
      </c>
      <c r="M26" s="50">
        <v>16</v>
      </c>
      <c r="N26" s="50">
        <v>0</v>
      </c>
      <c r="O26" s="15">
        <f t="shared" si="0"/>
        <v>32</v>
      </c>
      <c r="P26" s="15">
        <f t="shared" si="1"/>
        <v>48</v>
      </c>
      <c r="R26" s="28" t="s">
        <v>86</v>
      </c>
      <c r="S26" s="16">
        <f t="shared" ref="S26:AF26" si="18">SUM(S13:S18)</f>
        <v>232</v>
      </c>
      <c r="T26" s="16">
        <f t="shared" si="18"/>
        <v>63</v>
      </c>
      <c r="U26" s="16">
        <f t="shared" si="18"/>
        <v>51</v>
      </c>
      <c r="V26" s="16">
        <f t="shared" si="18"/>
        <v>176</v>
      </c>
      <c r="W26" s="16">
        <f t="shared" si="18"/>
        <v>5</v>
      </c>
      <c r="X26" s="16">
        <f t="shared" si="18"/>
        <v>12</v>
      </c>
      <c r="Y26" s="16">
        <f t="shared" si="18"/>
        <v>36</v>
      </c>
      <c r="Z26" s="16">
        <f t="shared" si="18"/>
        <v>46</v>
      </c>
      <c r="AA26" s="16">
        <f t="shared" si="18"/>
        <v>51</v>
      </c>
      <c r="AB26" s="16">
        <f t="shared" si="18"/>
        <v>94</v>
      </c>
      <c r="AC26" s="16">
        <f t="shared" si="18"/>
        <v>318</v>
      </c>
      <c r="AD26" s="16">
        <f t="shared" si="18"/>
        <v>2</v>
      </c>
      <c r="AE26" s="32">
        <f t="shared" si="18"/>
        <v>768</v>
      </c>
      <c r="AF26" s="32">
        <f t="shared" si="18"/>
        <v>1086</v>
      </c>
    </row>
    <row r="27" spans="2:32" ht="23.1" customHeight="1" x14ac:dyDescent="0.25">
      <c r="B27" s="23" t="s">
        <v>54</v>
      </c>
      <c r="C27" s="50">
        <v>15</v>
      </c>
      <c r="D27" s="50">
        <v>6</v>
      </c>
      <c r="E27" s="50">
        <v>1</v>
      </c>
      <c r="F27" s="50">
        <v>2</v>
      </c>
      <c r="G27" s="50">
        <v>0</v>
      </c>
      <c r="H27" s="50">
        <v>1</v>
      </c>
      <c r="I27" s="50">
        <v>1</v>
      </c>
      <c r="J27" s="50">
        <v>2</v>
      </c>
      <c r="K27" s="50">
        <v>0</v>
      </c>
      <c r="L27" s="50">
        <v>3</v>
      </c>
      <c r="M27" s="50">
        <v>22</v>
      </c>
      <c r="N27" s="50">
        <v>0</v>
      </c>
      <c r="O27" s="15">
        <f t="shared" si="0"/>
        <v>31</v>
      </c>
      <c r="P27" s="15">
        <f t="shared" si="1"/>
        <v>53</v>
      </c>
      <c r="R27" s="29" t="s">
        <v>87</v>
      </c>
      <c r="S27" s="16">
        <f t="shared" ref="S27:AF27" si="19">SUM(S19:S21)</f>
        <v>68</v>
      </c>
      <c r="T27" s="16">
        <f t="shared" si="19"/>
        <v>51</v>
      </c>
      <c r="U27" s="16">
        <f t="shared" si="19"/>
        <v>44</v>
      </c>
      <c r="V27" s="16">
        <f t="shared" si="19"/>
        <v>47</v>
      </c>
      <c r="W27" s="16">
        <f t="shared" si="19"/>
        <v>7</v>
      </c>
      <c r="X27" s="16">
        <f t="shared" si="19"/>
        <v>12</v>
      </c>
      <c r="Y27" s="16">
        <f t="shared" si="19"/>
        <v>6</v>
      </c>
      <c r="Z27" s="16">
        <f t="shared" si="19"/>
        <v>31</v>
      </c>
      <c r="AA27" s="16">
        <f t="shared" si="19"/>
        <v>70</v>
      </c>
      <c r="AB27" s="16">
        <f t="shared" si="19"/>
        <v>97</v>
      </c>
      <c r="AC27" s="16">
        <f t="shared" si="19"/>
        <v>161</v>
      </c>
      <c r="AD27" s="16">
        <f t="shared" si="19"/>
        <v>0</v>
      </c>
      <c r="AE27" s="32">
        <f t="shared" si="19"/>
        <v>433</v>
      </c>
      <c r="AF27" s="32">
        <f t="shared" si="19"/>
        <v>594</v>
      </c>
    </row>
    <row r="28" spans="2:32" ht="23.1" customHeight="1" x14ac:dyDescent="0.25">
      <c r="B28" s="23" t="s">
        <v>55</v>
      </c>
      <c r="C28" s="50">
        <v>7</v>
      </c>
      <c r="D28" s="50">
        <v>3</v>
      </c>
      <c r="E28" s="50">
        <v>3</v>
      </c>
      <c r="F28" s="50">
        <v>7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10</v>
      </c>
      <c r="N28" s="50">
        <v>0</v>
      </c>
      <c r="O28" s="15">
        <f t="shared" si="0"/>
        <v>23</v>
      </c>
      <c r="P28" s="15">
        <f t="shared" si="1"/>
        <v>33</v>
      </c>
      <c r="R28" s="5" t="s">
        <v>17</v>
      </c>
      <c r="S28" s="16">
        <f t="shared" ref="S28:AF28" si="20">SUM(S10:S21)</f>
        <v>388</v>
      </c>
      <c r="T28" s="16">
        <f t="shared" si="20"/>
        <v>161</v>
      </c>
      <c r="U28" s="16">
        <f t="shared" si="20"/>
        <v>120</v>
      </c>
      <c r="V28" s="16">
        <f t="shared" si="20"/>
        <v>293</v>
      </c>
      <c r="W28" s="16">
        <f t="shared" si="20"/>
        <v>12</v>
      </c>
      <c r="X28" s="16">
        <f t="shared" si="20"/>
        <v>24</v>
      </c>
      <c r="Y28" s="16">
        <f t="shared" si="20"/>
        <v>48</v>
      </c>
      <c r="Z28" s="16">
        <f t="shared" si="20"/>
        <v>101</v>
      </c>
      <c r="AA28" s="16">
        <f t="shared" si="20"/>
        <v>184</v>
      </c>
      <c r="AB28" s="16">
        <f t="shared" si="20"/>
        <v>229</v>
      </c>
      <c r="AC28" s="16">
        <f t="shared" si="20"/>
        <v>604</v>
      </c>
      <c r="AD28" s="16">
        <f t="shared" si="20"/>
        <v>2</v>
      </c>
      <c r="AE28" s="32">
        <f t="shared" si="20"/>
        <v>1562</v>
      </c>
      <c r="AF28" s="32">
        <f t="shared" si="20"/>
        <v>2166</v>
      </c>
    </row>
    <row r="29" spans="2:32" ht="23.1" customHeight="1" x14ac:dyDescent="0.25">
      <c r="B29" s="23" t="s">
        <v>56</v>
      </c>
      <c r="C29" s="50">
        <v>17</v>
      </c>
      <c r="D29" s="50">
        <v>0</v>
      </c>
      <c r="E29" s="50">
        <v>0</v>
      </c>
      <c r="F29" s="50">
        <v>3</v>
      </c>
      <c r="G29" s="50">
        <v>0</v>
      </c>
      <c r="H29" s="50">
        <v>1</v>
      </c>
      <c r="I29" s="50">
        <v>0</v>
      </c>
      <c r="J29" s="50">
        <v>7</v>
      </c>
      <c r="K29" s="50">
        <v>0</v>
      </c>
      <c r="L29" s="50">
        <v>4</v>
      </c>
      <c r="M29" s="50">
        <v>7</v>
      </c>
      <c r="N29" s="50">
        <v>0</v>
      </c>
      <c r="O29" s="15">
        <f t="shared" si="0"/>
        <v>32</v>
      </c>
      <c r="P29" s="15">
        <f t="shared" si="1"/>
        <v>39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2</v>
      </c>
      <c r="E30" s="50">
        <v>1</v>
      </c>
      <c r="F30" s="50">
        <v>10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1</v>
      </c>
      <c r="M30" s="50">
        <v>7</v>
      </c>
      <c r="N30" s="50">
        <v>0</v>
      </c>
      <c r="O30" s="15">
        <f t="shared" si="0"/>
        <v>21</v>
      </c>
      <c r="P30" s="15">
        <f t="shared" si="1"/>
        <v>28</v>
      </c>
    </row>
    <row r="31" spans="2:32" ht="23.1" customHeight="1" x14ac:dyDescent="0.25">
      <c r="B31" s="24" t="s">
        <v>58</v>
      </c>
      <c r="C31" s="50">
        <v>11</v>
      </c>
      <c r="D31" s="50">
        <v>1</v>
      </c>
      <c r="E31" s="50">
        <v>1</v>
      </c>
      <c r="F31" s="50">
        <v>8</v>
      </c>
      <c r="G31" s="50">
        <v>0</v>
      </c>
      <c r="H31" s="50">
        <v>0</v>
      </c>
      <c r="I31" s="50">
        <v>4</v>
      </c>
      <c r="J31" s="50">
        <v>1</v>
      </c>
      <c r="K31" s="50">
        <v>1</v>
      </c>
      <c r="L31" s="50">
        <v>5</v>
      </c>
      <c r="M31" s="50">
        <v>21</v>
      </c>
      <c r="N31" s="50">
        <v>0</v>
      </c>
      <c r="O31" s="15">
        <f t="shared" si="0"/>
        <v>32</v>
      </c>
      <c r="P31" s="15">
        <f t="shared" si="1"/>
        <v>53</v>
      </c>
    </row>
    <row r="32" spans="2:32" ht="23.1" customHeight="1" x14ac:dyDescent="0.25">
      <c r="B32" s="24" t="s">
        <v>59</v>
      </c>
      <c r="C32" s="50">
        <v>5</v>
      </c>
      <c r="D32" s="50">
        <v>2</v>
      </c>
      <c r="E32" s="50">
        <v>2</v>
      </c>
      <c r="F32" s="50">
        <v>13</v>
      </c>
      <c r="G32" s="50">
        <v>0</v>
      </c>
      <c r="H32" s="50">
        <v>1</v>
      </c>
      <c r="I32" s="50">
        <v>2</v>
      </c>
      <c r="J32" s="50">
        <v>0</v>
      </c>
      <c r="K32" s="50">
        <v>1</v>
      </c>
      <c r="L32" s="50">
        <v>7</v>
      </c>
      <c r="M32" s="50">
        <v>17</v>
      </c>
      <c r="N32" s="50">
        <v>0</v>
      </c>
      <c r="O32" s="15">
        <f t="shared" si="0"/>
        <v>33</v>
      </c>
      <c r="P32" s="15">
        <f t="shared" si="1"/>
        <v>50</v>
      </c>
    </row>
    <row r="33" spans="2:20" ht="23.1" customHeight="1" x14ac:dyDescent="0.25">
      <c r="B33" s="23" t="s">
        <v>60</v>
      </c>
      <c r="C33" s="50">
        <v>3</v>
      </c>
      <c r="D33" s="50">
        <v>2</v>
      </c>
      <c r="E33" s="50">
        <v>2</v>
      </c>
      <c r="F33" s="50">
        <v>5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2</v>
      </c>
      <c r="M33" s="50">
        <v>13</v>
      </c>
      <c r="N33" s="50">
        <v>0</v>
      </c>
      <c r="O33" s="15">
        <f t="shared" si="0"/>
        <v>14</v>
      </c>
      <c r="P33" s="15">
        <f t="shared" si="1"/>
        <v>27</v>
      </c>
    </row>
    <row r="34" spans="2:20" ht="23.1" customHeight="1" x14ac:dyDescent="0.25">
      <c r="B34" s="24" t="s">
        <v>61</v>
      </c>
      <c r="C34" s="50">
        <v>10</v>
      </c>
      <c r="D34" s="50">
        <v>0</v>
      </c>
      <c r="E34" s="50">
        <v>0</v>
      </c>
      <c r="F34" s="50">
        <v>11</v>
      </c>
      <c r="G34" s="50">
        <v>0</v>
      </c>
      <c r="H34" s="50">
        <v>0</v>
      </c>
      <c r="I34" s="50">
        <v>1</v>
      </c>
      <c r="J34" s="50">
        <v>1</v>
      </c>
      <c r="K34" s="50">
        <v>2</v>
      </c>
      <c r="L34" s="50">
        <v>3</v>
      </c>
      <c r="M34" s="50">
        <v>13</v>
      </c>
      <c r="N34" s="50">
        <v>0</v>
      </c>
      <c r="O34" s="15">
        <f t="shared" si="0"/>
        <v>28</v>
      </c>
      <c r="P34" s="15">
        <f t="shared" si="1"/>
        <v>41</v>
      </c>
    </row>
    <row r="35" spans="2:20" ht="23.1" customHeight="1" x14ac:dyDescent="0.25">
      <c r="B35" s="24" t="s">
        <v>62</v>
      </c>
      <c r="C35" s="50">
        <v>8</v>
      </c>
      <c r="D35" s="50">
        <v>6</v>
      </c>
      <c r="E35" s="50">
        <v>1</v>
      </c>
      <c r="F35" s="50">
        <v>7</v>
      </c>
      <c r="G35" s="50">
        <v>0</v>
      </c>
      <c r="H35" s="50">
        <v>1</v>
      </c>
      <c r="I35" s="50">
        <v>2</v>
      </c>
      <c r="J35" s="50">
        <v>0</v>
      </c>
      <c r="K35" s="50">
        <v>0</v>
      </c>
      <c r="L35" s="50">
        <v>2</v>
      </c>
      <c r="M35" s="50">
        <v>11</v>
      </c>
      <c r="N35" s="50">
        <v>0</v>
      </c>
      <c r="O35" s="15">
        <f t="shared" si="0"/>
        <v>27</v>
      </c>
      <c r="P35" s="15">
        <f t="shared" si="1"/>
        <v>38</v>
      </c>
    </row>
    <row r="36" spans="2:20" ht="23.1" customHeight="1" x14ac:dyDescent="0.25">
      <c r="B36" s="24" t="s">
        <v>63</v>
      </c>
      <c r="C36" s="50">
        <v>12</v>
      </c>
      <c r="D36" s="50">
        <v>6</v>
      </c>
      <c r="E36" s="50">
        <v>1</v>
      </c>
      <c r="F36" s="50">
        <v>16</v>
      </c>
      <c r="G36" s="50">
        <v>0</v>
      </c>
      <c r="H36" s="50">
        <v>1</v>
      </c>
      <c r="I36" s="50">
        <v>1</v>
      </c>
      <c r="J36" s="50">
        <v>2</v>
      </c>
      <c r="K36" s="50">
        <v>0</v>
      </c>
      <c r="L36" s="50">
        <v>0</v>
      </c>
      <c r="M36" s="50">
        <v>20</v>
      </c>
      <c r="N36" s="50">
        <v>0</v>
      </c>
      <c r="O36" s="15">
        <f t="shared" si="0"/>
        <v>39</v>
      </c>
      <c r="P36" s="15">
        <f t="shared" si="1"/>
        <v>59</v>
      </c>
    </row>
    <row r="37" spans="2:20" ht="23.1" customHeight="1" x14ac:dyDescent="0.25">
      <c r="B37" s="23" t="s">
        <v>64</v>
      </c>
      <c r="C37" s="50">
        <v>8</v>
      </c>
      <c r="D37" s="50">
        <v>0</v>
      </c>
      <c r="E37" s="50">
        <v>0</v>
      </c>
      <c r="F37" s="50">
        <v>2</v>
      </c>
      <c r="G37" s="50">
        <v>1</v>
      </c>
      <c r="H37" s="50">
        <v>1</v>
      </c>
      <c r="I37" s="50">
        <v>0</v>
      </c>
      <c r="J37" s="50">
        <v>0</v>
      </c>
      <c r="K37" s="50">
        <v>0</v>
      </c>
      <c r="L37" s="50">
        <v>0</v>
      </c>
      <c r="M37" s="50">
        <v>12</v>
      </c>
      <c r="N37" s="50">
        <v>0</v>
      </c>
      <c r="O37" s="15">
        <f t="shared" si="0"/>
        <v>12</v>
      </c>
      <c r="P37" s="15">
        <f t="shared" si="1"/>
        <v>24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1</v>
      </c>
      <c r="F38" s="50">
        <v>8</v>
      </c>
      <c r="G38" s="50">
        <v>0</v>
      </c>
      <c r="H38" s="50">
        <v>0</v>
      </c>
      <c r="I38" s="50">
        <v>0</v>
      </c>
      <c r="J38" s="50">
        <v>1</v>
      </c>
      <c r="K38" s="50">
        <v>1</v>
      </c>
      <c r="L38" s="50">
        <v>2</v>
      </c>
      <c r="M38" s="50">
        <v>11</v>
      </c>
      <c r="N38" s="50">
        <v>0</v>
      </c>
      <c r="O38" s="15">
        <f t="shared" si="0"/>
        <v>19</v>
      </c>
      <c r="P38" s="15">
        <f t="shared" si="1"/>
        <v>30</v>
      </c>
    </row>
    <row r="39" spans="2:20" ht="23.1" customHeight="1" x14ac:dyDescent="0.25">
      <c r="B39" s="24" t="s">
        <v>66</v>
      </c>
      <c r="C39" s="50">
        <v>4</v>
      </c>
      <c r="D39" s="50">
        <v>0</v>
      </c>
      <c r="E39" s="50">
        <v>6</v>
      </c>
      <c r="F39" s="50">
        <v>10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5</v>
      </c>
      <c r="M39" s="50">
        <v>17</v>
      </c>
      <c r="N39" s="50">
        <v>2</v>
      </c>
      <c r="O39" s="15">
        <f t="shared" si="0"/>
        <v>29</v>
      </c>
      <c r="P39" s="15">
        <f t="shared" si="1"/>
        <v>46</v>
      </c>
    </row>
    <row r="40" spans="2:20" ht="23.1" customHeight="1" x14ac:dyDescent="0.25">
      <c r="B40" s="24" t="s">
        <v>67</v>
      </c>
      <c r="C40" s="50">
        <v>13</v>
      </c>
      <c r="D40" s="50">
        <v>0</v>
      </c>
      <c r="E40" s="50">
        <v>1</v>
      </c>
      <c r="F40" s="50">
        <v>15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1</v>
      </c>
      <c r="M40" s="50">
        <v>15</v>
      </c>
      <c r="N40" s="50">
        <v>0</v>
      </c>
      <c r="O40" s="15">
        <f t="shared" si="0"/>
        <v>31</v>
      </c>
      <c r="P40" s="15">
        <f t="shared" si="1"/>
        <v>46</v>
      </c>
    </row>
    <row r="41" spans="2:20" ht="23.1" customHeight="1" x14ac:dyDescent="0.25">
      <c r="B41" s="23" t="s">
        <v>68</v>
      </c>
      <c r="C41" s="50">
        <v>20</v>
      </c>
      <c r="D41" s="50">
        <v>0</v>
      </c>
      <c r="E41" s="50">
        <v>0</v>
      </c>
      <c r="F41" s="50">
        <v>6</v>
      </c>
      <c r="G41" s="50">
        <v>0</v>
      </c>
      <c r="H41" s="50">
        <v>0</v>
      </c>
      <c r="I41" s="50">
        <v>0</v>
      </c>
      <c r="J41" s="50">
        <v>2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28</v>
      </c>
      <c r="P41" s="15">
        <f t="shared" si="1"/>
        <v>37</v>
      </c>
    </row>
    <row r="42" spans="2:20" ht="23.1" customHeight="1" x14ac:dyDescent="0.25">
      <c r="B42" s="24" t="s">
        <v>69</v>
      </c>
      <c r="C42" s="50">
        <v>13</v>
      </c>
      <c r="D42" s="50">
        <v>6</v>
      </c>
      <c r="E42" s="50">
        <v>3</v>
      </c>
      <c r="F42" s="50">
        <v>12</v>
      </c>
      <c r="G42" s="50">
        <v>2</v>
      </c>
      <c r="H42" s="50">
        <v>0</v>
      </c>
      <c r="I42" s="50">
        <v>7</v>
      </c>
      <c r="J42" s="50">
        <v>21</v>
      </c>
      <c r="K42" s="50">
        <v>25</v>
      </c>
      <c r="L42" s="50">
        <v>19</v>
      </c>
      <c r="M42" s="50">
        <v>13</v>
      </c>
      <c r="N42" s="50">
        <v>0</v>
      </c>
      <c r="O42" s="15">
        <f t="shared" si="0"/>
        <v>108</v>
      </c>
      <c r="P42" s="15">
        <f t="shared" si="1"/>
        <v>121</v>
      </c>
    </row>
    <row r="43" spans="2:20" ht="23.1" customHeight="1" x14ac:dyDescent="0.25">
      <c r="B43" s="23" t="s">
        <v>70</v>
      </c>
      <c r="C43" s="50">
        <v>17</v>
      </c>
      <c r="D43" s="50">
        <v>10</v>
      </c>
      <c r="E43" s="50">
        <v>8</v>
      </c>
      <c r="F43" s="50">
        <v>3</v>
      </c>
      <c r="G43" s="50">
        <v>0</v>
      </c>
      <c r="H43" s="50">
        <v>4</v>
      </c>
      <c r="I43" s="50">
        <v>0</v>
      </c>
      <c r="J43" s="50">
        <v>0</v>
      </c>
      <c r="K43" s="50">
        <v>0</v>
      </c>
      <c r="L43" s="50">
        <v>9</v>
      </c>
      <c r="M43" s="50">
        <v>8</v>
      </c>
      <c r="N43" s="50">
        <v>0</v>
      </c>
      <c r="O43" s="15">
        <f t="shared" si="0"/>
        <v>51</v>
      </c>
      <c r="P43" s="15">
        <f t="shared" si="1"/>
        <v>59</v>
      </c>
    </row>
    <row r="44" spans="2:20" ht="23.1" customHeight="1" x14ac:dyDescent="0.25">
      <c r="B44" s="25" t="s">
        <v>71</v>
      </c>
      <c r="C44" s="50">
        <v>3</v>
      </c>
      <c r="D44" s="50">
        <v>3</v>
      </c>
      <c r="E44" s="50">
        <v>6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13</v>
      </c>
      <c r="M44" s="50">
        <v>2</v>
      </c>
      <c r="N44" s="50">
        <v>0</v>
      </c>
      <c r="O44" s="15">
        <f t="shared" si="0"/>
        <v>26</v>
      </c>
      <c r="P44" s="15">
        <f t="shared" si="1"/>
        <v>28</v>
      </c>
    </row>
    <row r="45" spans="2:20" ht="23.1" customHeight="1" x14ac:dyDescent="0.25">
      <c r="B45" s="23" t="s">
        <v>72</v>
      </c>
      <c r="C45" s="50">
        <v>0</v>
      </c>
      <c r="D45" s="50">
        <v>9</v>
      </c>
      <c r="E45" s="50">
        <v>10</v>
      </c>
      <c r="F45" s="50">
        <v>13</v>
      </c>
      <c r="G45" s="50">
        <v>2</v>
      </c>
      <c r="H45" s="50">
        <v>1</v>
      </c>
      <c r="I45" s="50">
        <v>4</v>
      </c>
      <c r="J45" s="50">
        <v>0</v>
      </c>
      <c r="K45" s="50">
        <v>15</v>
      </c>
      <c r="L45" s="50">
        <v>5</v>
      </c>
      <c r="M45" s="50">
        <v>8</v>
      </c>
      <c r="N45" s="50">
        <v>0</v>
      </c>
      <c r="O45" s="15">
        <f t="shared" si="0"/>
        <v>59</v>
      </c>
      <c r="P45" s="15">
        <f t="shared" si="1"/>
        <v>67</v>
      </c>
    </row>
    <row r="46" spans="2:20" ht="23.1" customHeight="1" x14ac:dyDescent="0.25">
      <c r="B46" s="24" t="s">
        <v>73</v>
      </c>
      <c r="C46" s="50">
        <v>3</v>
      </c>
      <c r="D46" s="50">
        <v>5</v>
      </c>
      <c r="E46" s="50">
        <v>0</v>
      </c>
      <c r="F46" s="50">
        <v>4</v>
      </c>
      <c r="G46" s="50">
        <v>0</v>
      </c>
      <c r="H46" s="50">
        <v>4</v>
      </c>
      <c r="I46" s="50">
        <v>0</v>
      </c>
      <c r="J46" s="50">
        <v>2</v>
      </c>
      <c r="K46" s="50">
        <v>16</v>
      </c>
      <c r="L46" s="50">
        <v>8</v>
      </c>
      <c r="M46" s="50">
        <v>9</v>
      </c>
      <c r="N46" s="50">
        <v>0</v>
      </c>
      <c r="O46" s="15">
        <f t="shared" si="0"/>
        <v>42</v>
      </c>
      <c r="P46" s="15">
        <f t="shared" si="1"/>
        <v>51</v>
      </c>
      <c r="R46" s="8"/>
      <c r="T46"/>
    </row>
    <row r="47" spans="2:20" ht="23.1" customHeight="1" x14ac:dyDescent="0.25">
      <c r="B47" s="24" t="s">
        <v>74</v>
      </c>
      <c r="C47" s="50">
        <v>12</v>
      </c>
      <c r="D47" s="50">
        <v>1</v>
      </c>
      <c r="E47" s="50">
        <v>3</v>
      </c>
      <c r="F47" s="50">
        <v>6</v>
      </c>
      <c r="G47" s="50">
        <v>0</v>
      </c>
      <c r="H47" s="50">
        <v>2</v>
      </c>
      <c r="I47" s="50">
        <v>1</v>
      </c>
      <c r="J47" s="50">
        <v>4</v>
      </c>
      <c r="K47" s="50">
        <v>7</v>
      </c>
      <c r="L47" s="50">
        <v>15</v>
      </c>
      <c r="M47" s="50">
        <v>30</v>
      </c>
      <c r="N47" s="50">
        <v>0</v>
      </c>
      <c r="O47" s="15">
        <f t="shared" si="0"/>
        <v>51</v>
      </c>
      <c r="P47" s="15">
        <f t="shared" si="1"/>
        <v>81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6</v>
      </c>
      <c r="E48" s="50">
        <v>1</v>
      </c>
      <c r="F48" s="50">
        <v>4</v>
      </c>
      <c r="G48" s="50">
        <v>0</v>
      </c>
      <c r="H48" s="50">
        <v>0</v>
      </c>
      <c r="I48" s="50">
        <v>0</v>
      </c>
      <c r="J48" s="50">
        <v>6</v>
      </c>
      <c r="K48" s="50">
        <v>3</v>
      </c>
      <c r="L48" s="50">
        <v>10</v>
      </c>
      <c r="M48" s="50">
        <v>6</v>
      </c>
      <c r="N48" s="50">
        <v>0</v>
      </c>
      <c r="O48" s="15">
        <f t="shared" si="0"/>
        <v>34</v>
      </c>
      <c r="P48" s="15">
        <f t="shared" si="1"/>
        <v>40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4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2</v>
      </c>
      <c r="K49" s="50">
        <v>0</v>
      </c>
      <c r="L49" s="50">
        <v>3</v>
      </c>
      <c r="M49" s="50">
        <v>4</v>
      </c>
      <c r="N49" s="50">
        <v>0</v>
      </c>
      <c r="O49" s="15">
        <f t="shared" si="0"/>
        <v>16</v>
      </c>
      <c r="P49" s="15">
        <f t="shared" si="1"/>
        <v>20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4</v>
      </c>
      <c r="E50" s="50">
        <v>11</v>
      </c>
      <c r="F50" s="50">
        <v>8</v>
      </c>
      <c r="G50" s="50">
        <v>0</v>
      </c>
      <c r="H50" s="50">
        <v>0</v>
      </c>
      <c r="I50" s="50">
        <v>1</v>
      </c>
      <c r="J50" s="50">
        <v>4</v>
      </c>
      <c r="K50" s="50">
        <v>10</v>
      </c>
      <c r="L50" s="50">
        <v>9</v>
      </c>
      <c r="M50" s="50">
        <v>17</v>
      </c>
      <c r="N50" s="50">
        <v>0</v>
      </c>
      <c r="O50" s="15">
        <f t="shared" si="0"/>
        <v>52</v>
      </c>
      <c r="P50" s="15">
        <f t="shared" si="1"/>
        <v>69</v>
      </c>
      <c r="R50" s="8"/>
      <c r="T50"/>
    </row>
    <row r="51" spans="2:20" ht="23.1" customHeight="1" x14ac:dyDescent="0.25">
      <c r="B51" s="24" t="s">
        <v>78</v>
      </c>
      <c r="C51" s="50">
        <v>14</v>
      </c>
      <c r="D51" s="50">
        <v>10</v>
      </c>
      <c r="E51" s="50">
        <v>3</v>
      </c>
      <c r="F51" s="50">
        <v>4</v>
      </c>
      <c r="G51" s="50">
        <v>1</v>
      </c>
      <c r="H51" s="50">
        <v>0</v>
      </c>
      <c r="I51" s="50">
        <v>0</v>
      </c>
      <c r="J51" s="50">
        <v>0</v>
      </c>
      <c r="K51" s="50">
        <v>0</v>
      </c>
      <c r="L51" s="50">
        <v>15</v>
      </c>
      <c r="M51" s="50">
        <v>25</v>
      </c>
      <c r="N51" s="50">
        <v>0</v>
      </c>
      <c r="O51" s="15">
        <f t="shared" si="0"/>
        <v>47</v>
      </c>
      <c r="P51" s="15">
        <f t="shared" si="1"/>
        <v>72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3</v>
      </c>
      <c r="E52" s="50">
        <v>8</v>
      </c>
      <c r="F52" s="50">
        <v>8</v>
      </c>
      <c r="G52" s="50">
        <v>3</v>
      </c>
      <c r="H52" s="50">
        <v>0</v>
      </c>
      <c r="I52" s="50">
        <v>1</v>
      </c>
      <c r="J52" s="50">
        <v>3</v>
      </c>
      <c r="K52" s="50">
        <v>4</v>
      </c>
      <c r="L52" s="50">
        <v>7</v>
      </c>
      <c r="M52" s="50">
        <v>13</v>
      </c>
      <c r="N52" s="50">
        <v>0</v>
      </c>
      <c r="O52" s="15">
        <f t="shared" si="0"/>
        <v>39</v>
      </c>
      <c r="P52" s="15">
        <f t="shared" si="1"/>
        <v>52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5</v>
      </c>
      <c r="E53" s="50">
        <v>2</v>
      </c>
      <c r="F53" s="50">
        <v>6</v>
      </c>
      <c r="G53" s="50">
        <v>0</v>
      </c>
      <c r="H53" s="50">
        <v>0</v>
      </c>
      <c r="I53" s="50">
        <v>0</v>
      </c>
      <c r="J53" s="50">
        <v>0</v>
      </c>
      <c r="K53" s="50">
        <v>8</v>
      </c>
      <c r="L53" s="50">
        <v>13</v>
      </c>
      <c r="M53" s="50">
        <v>9</v>
      </c>
      <c r="N53" s="50">
        <v>0</v>
      </c>
      <c r="O53" s="15">
        <f t="shared" si="0"/>
        <v>38</v>
      </c>
      <c r="P53" s="15">
        <f t="shared" si="1"/>
        <v>47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2</v>
      </c>
      <c r="E54" s="50">
        <v>0</v>
      </c>
      <c r="F54" s="50">
        <v>4</v>
      </c>
      <c r="G54" s="50">
        <v>3</v>
      </c>
      <c r="H54" s="50">
        <v>4</v>
      </c>
      <c r="I54" s="50">
        <v>0</v>
      </c>
      <c r="J54" s="50">
        <v>6</v>
      </c>
      <c r="K54" s="50">
        <v>10</v>
      </c>
      <c r="L54" s="50">
        <v>4</v>
      </c>
      <c r="M54" s="50">
        <v>11</v>
      </c>
      <c r="N54" s="50">
        <v>0</v>
      </c>
      <c r="O54" s="15">
        <f t="shared" si="0"/>
        <v>38</v>
      </c>
      <c r="P54" s="15">
        <f t="shared" si="1"/>
        <v>49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5</v>
      </c>
      <c r="F55" s="50">
        <v>0</v>
      </c>
      <c r="G55" s="50">
        <v>0</v>
      </c>
      <c r="H55" s="50">
        <v>2</v>
      </c>
      <c r="I55" s="50">
        <v>3</v>
      </c>
      <c r="J55" s="50">
        <v>4</v>
      </c>
      <c r="K55" s="50">
        <v>7</v>
      </c>
      <c r="L55" s="50">
        <v>8</v>
      </c>
      <c r="M55" s="50">
        <v>16</v>
      </c>
      <c r="N55" s="50">
        <v>0</v>
      </c>
      <c r="O55" s="15">
        <f t="shared" si="0"/>
        <v>31</v>
      </c>
      <c r="P55" s="15">
        <f t="shared" si="1"/>
        <v>47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3</v>
      </c>
      <c r="E56" s="50">
        <v>11</v>
      </c>
      <c r="F56" s="50">
        <v>3</v>
      </c>
      <c r="G56" s="50">
        <v>0</v>
      </c>
      <c r="H56" s="50">
        <v>0</v>
      </c>
      <c r="I56" s="50">
        <v>0</v>
      </c>
      <c r="J56" s="50">
        <v>0</v>
      </c>
      <c r="K56" s="50">
        <v>2</v>
      </c>
      <c r="L56" s="50">
        <v>0</v>
      </c>
      <c r="M56" s="50">
        <v>3</v>
      </c>
      <c r="N56" s="50">
        <v>0</v>
      </c>
      <c r="O56" s="15">
        <f t="shared" si="0"/>
        <v>26</v>
      </c>
      <c r="P56" s="15">
        <f t="shared" si="1"/>
        <v>29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8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3</v>
      </c>
      <c r="L57" s="50">
        <v>5</v>
      </c>
      <c r="M57" s="50">
        <v>18</v>
      </c>
      <c r="N57" s="50">
        <v>0</v>
      </c>
      <c r="O57" s="15">
        <f t="shared" si="0"/>
        <v>19</v>
      </c>
      <c r="P57" s="15">
        <f t="shared" si="1"/>
        <v>37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388</v>
      </c>
      <c r="D58" s="16">
        <f t="shared" si="21"/>
        <v>161</v>
      </c>
      <c r="E58" s="16">
        <f t="shared" si="21"/>
        <v>120</v>
      </c>
      <c r="F58" s="16">
        <f t="shared" si="21"/>
        <v>293</v>
      </c>
      <c r="G58" s="16">
        <f t="shared" si="21"/>
        <v>12</v>
      </c>
      <c r="H58" s="16">
        <f t="shared" si="21"/>
        <v>24</v>
      </c>
      <c r="I58" s="16">
        <f t="shared" si="21"/>
        <v>48</v>
      </c>
      <c r="J58" s="16">
        <f t="shared" si="21"/>
        <v>101</v>
      </c>
      <c r="K58" s="16">
        <f t="shared" si="21"/>
        <v>184</v>
      </c>
      <c r="L58" s="16">
        <f t="shared" si="21"/>
        <v>229</v>
      </c>
      <c r="M58" s="16">
        <f t="shared" si="21"/>
        <v>604</v>
      </c>
      <c r="N58" s="16">
        <f t="shared" si="21"/>
        <v>2</v>
      </c>
      <c r="O58" s="16">
        <f t="shared" si="21"/>
        <v>1562</v>
      </c>
      <c r="P58" s="16">
        <f t="shared" si="21"/>
        <v>2166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0.17913204062788551</v>
      </c>
      <c r="D59" s="43">
        <f t="shared" si="22"/>
        <v>7.4330563250230838E-2</v>
      </c>
      <c r="E59" s="43">
        <f t="shared" si="22"/>
        <v>5.5401662049861494E-2</v>
      </c>
      <c r="F59" s="43">
        <f t="shared" si="22"/>
        <v>0.1352723915050785</v>
      </c>
      <c r="G59" s="43">
        <f t="shared" si="22"/>
        <v>5.5401662049861496E-3</v>
      </c>
      <c r="H59" s="43">
        <f t="shared" si="22"/>
        <v>1.1080332409972299E-2</v>
      </c>
      <c r="I59" s="43">
        <f t="shared" si="22"/>
        <v>2.2160664819944598E-2</v>
      </c>
      <c r="J59" s="43">
        <f t="shared" si="22"/>
        <v>4.6629732225300091E-2</v>
      </c>
      <c r="K59" s="43">
        <f t="shared" si="22"/>
        <v>8.4949215143120954E-2</v>
      </c>
      <c r="L59" s="43">
        <f t="shared" si="22"/>
        <v>0.10572483841181902</v>
      </c>
      <c r="M59" s="43">
        <f t="shared" si="22"/>
        <v>0.2788550323176362</v>
      </c>
      <c r="N59" s="43">
        <f t="shared" si="22"/>
        <v>9.2336103416435823E-4</v>
      </c>
      <c r="R59" s="8"/>
      <c r="T59"/>
    </row>
    <row r="60" spans="2:20" ht="23.1" customHeight="1" x14ac:dyDescent="0.25">
      <c r="B60" s="42" t="s">
        <v>94</v>
      </c>
      <c r="C60" s="44">
        <f>C58/$O$58</f>
        <v>0.24839948783610755</v>
      </c>
      <c r="D60" s="44">
        <f t="shared" ref="D60:N60" si="23">D58/$O$58</f>
        <v>0.10307298335467349</v>
      </c>
      <c r="E60" s="44">
        <f t="shared" si="23"/>
        <v>7.6824583866837381E-2</v>
      </c>
      <c r="F60" s="44">
        <f t="shared" si="23"/>
        <v>0.18758002560819462</v>
      </c>
      <c r="G60" s="44">
        <f t="shared" si="23"/>
        <v>7.6824583866837385E-3</v>
      </c>
      <c r="H60" s="44">
        <f t="shared" si="23"/>
        <v>1.5364916773367477E-2</v>
      </c>
      <c r="I60" s="44">
        <f t="shared" si="23"/>
        <v>3.0729833546734954E-2</v>
      </c>
      <c r="J60" s="44">
        <f t="shared" si="23"/>
        <v>6.4660691421254801E-2</v>
      </c>
      <c r="K60" s="44">
        <f t="shared" si="23"/>
        <v>0.117797695262484</v>
      </c>
      <c r="L60" s="44">
        <f t="shared" si="23"/>
        <v>0.14660691421254801</v>
      </c>
      <c r="M60" s="44"/>
      <c r="N60" s="44">
        <f t="shared" si="23"/>
        <v>1.2804097311139564E-3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topLeftCell="A4" zoomScale="60" workbookViewId="0">
      <selection activeCell="G16" sqref="G1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'27.10 Mbarara-Kabale'!C3:G3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30.75" customHeight="1" x14ac:dyDescent="0.25">
      <c r="C5" s="4" t="s">
        <v>3</v>
      </c>
      <c r="D5" s="36" t="str">
        <f>'27.10 Mbarara-Kabale'!D5</f>
        <v>27.10.19</v>
      </c>
      <c r="E5" s="3"/>
      <c r="F5" s="41" t="s">
        <v>1</v>
      </c>
      <c r="G5" s="60" t="str">
        <f>'27.10 Mbarara-Kabale'!G5:H5</f>
        <v>Nyeihanga traffic station</v>
      </c>
      <c r="H5" s="61"/>
      <c r="I5" s="14"/>
      <c r="J5" s="2" t="s">
        <v>5</v>
      </c>
      <c r="K5" s="60" t="s">
        <v>170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166</v>
      </c>
      <c r="E6" s="55"/>
      <c r="F6" s="2" t="s">
        <v>2</v>
      </c>
      <c r="G6" s="54" t="s">
        <v>167</v>
      </c>
      <c r="H6" s="55"/>
      <c r="J6" s="2" t="s">
        <v>21</v>
      </c>
      <c r="K6" s="60" t="str">
        <f>'27.10 Mbarara-Kabale'!K6:L6</f>
        <v>Norman R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</v>
      </c>
      <c r="D10" s="50">
        <v>11</v>
      </c>
      <c r="E10" s="50">
        <v>0</v>
      </c>
      <c r="F10" s="50">
        <v>18</v>
      </c>
      <c r="G10" s="50">
        <v>0</v>
      </c>
      <c r="H10" s="50">
        <v>0</v>
      </c>
      <c r="I10" s="50">
        <v>0</v>
      </c>
      <c r="J10" s="50">
        <v>0</v>
      </c>
      <c r="K10" s="50">
        <v>2</v>
      </c>
      <c r="L10" s="50">
        <v>7</v>
      </c>
      <c r="M10" s="50">
        <v>20</v>
      </c>
      <c r="N10" s="50">
        <v>0</v>
      </c>
      <c r="O10" s="15">
        <f t="shared" ref="O10:O57" si="0">SUM(C10:L10,N10)</f>
        <v>48</v>
      </c>
      <c r="P10" s="15">
        <f t="shared" ref="P10:P57" si="1">SUM(C10:N10)</f>
        <v>68</v>
      </c>
      <c r="R10" s="1" t="s">
        <v>6</v>
      </c>
      <c r="S10" s="17">
        <f t="shared" ref="S10:AF10" si="2">SUM(C10:C13)</f>
        <v>56</v>
      </c>
      <c r="T10" s="17">
        <f t="shared" si="2"/>
        <v>28</v>
      </c>
      <c r="U10" s="17">
        <f t="shared" si="2"/>
        <v>14</v>
      </c>
      <c r="V10" s="17">
        <f t="shared" si="2"/>
        <v>60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10</v>
      </c>
      <c r="AA10" s="17">
        <f t="shared" si="2"/>
        <v>6</v>
      </c>
      <c r="AB10" s="17">
        <f t="shared" si="2"/>
        <v>17</v>
      </c>
      <c r="AC10" s="17">
        <f t="shared" si="2"/>
        <v>79</v>
      </c>
      <c r="AD10" s="17">
        <f t="shared" si="2"/>
        <v>0</v>
      </c>
      <c r="AE10" s="31">
        <f t="shared" si="2"/>
        <v>191</v>
      </c>
      <c r="AF10" s="31">
        <f t="shared" si="2"/>
        <v>270</v>
      </c>
    </row>
    <row r="11" spans="2:32" s="6" customFormat="1" ht="23.1" customHeight="1" x14ac:dyDescent="0.25">
      <c r="B11" s="23" t="s">
        <v>38</v>
      </c>
      <c r="C11" s="50">
        <v>17</v>
      </c>
      <c r="D11" s="50">
        <v>4</v>
      </c>
      <c r="E11" s="50">
        <v>8</v>
      </c>
      <c r="F11" s="50">
        <v>12</v>
      </c>
      <c r="G11" s="50">
        <v>0</v>
      </c>
      <c r="H11" s="50">
        <v>0</v>
      </c>
      <c r="I11" s="50">
        <v>0</v>
      </c>
      <c r="J11" s="50">
        <v>4</v>
      </c>
      <c r="K11" s="50">
        <v>0</v>
      </c>
      <c r="L11" s="50">
        <v>2</v>
      </c>
      <c r="M11" s="50">
        <v>30</v>
      </c>
      <c r="N11" s="50">
        <v>0</v>
      </c>
      <c r="O11" s="15">
        <f t="shared" si="0"/>
        <v>47</v>
      </c>
      <c r="P11" s="15">
        <f t="shared" si="1"/>
        <v>77</v>
      </c>
      <c r="R11" s="1" t="s">
        <v>7</v>
      </c>
      <c r="S11" s="17">
        <f t="shared" ref="S11:AF11" si="3">SUM(C14:C17)</f>
        <v>43</v>
      </c>
      <c r="T11" s="17">
        <f t="shared" si="3"/>
        <v>3</v>
      </c>
      <c r="U11" s="17">
        <f t="shared" si="3"/>
        <v>0</v>
      </c>
      <c r="V11" s="17">
        <f t="shared" si="3"/>
        <v>20</v>
      </c>
      <c r="W11" s="17">
        <f t="shared" si="3"/>
        <v>0</v>
      </c>
      <c r="X11" s="17">
        <f t="shared" si="3"/>
        <v>1</v>
      </c>
      <c r="Y11" s="17">
        <f t="shared" si="3"/>
        <v>4</v>
      </c>
      <c r="Z11" s="17">
        <f t="shared" si="3"/>
        <v>1</v>
      </c>
      <c r="AA11" s="17">
        <f t="shared" si="3"/>
        <v>0</v>
      </c>
      <c r="AB11" s="17">
        <f t="shared" si="3"/>
        <v>5</v>
      </c>
      <c r="AC11" s="17">
        <f t="shared" si="3"/>
        <v>42</v>
      </c>
      <c r="AD11" s="17">
        <f t="shared" si="3"/>
        <v>0</v>
      </c>
      <c r="AE11" s="31">
        <f t="shared" si="3"/>
        <v>77</v>
      </c>
      <c r="AF11" s="31">
        <f t="shared" si="3"/>
        <v>119</v>
      </c>
    </row>
    <row r="12" spans="2:32" ht="23.1" customHeight="1" x14ac:dyDescent="0.25">
      <c r="B12" s="23" t="s">
        <v>39</v>
      </c>
      <c r="C12" s="50">
        <v>22</v>
      </c>
      <c r="D12" s="50">
        <v>7</v>
      </c>
      <c r="E12" s="50">
        <v>6</v>
      </c>
      <c r="F12" s="50">
        <v>20</v>
      </c>
      <c r="G12" s="50">
        <v>0</v>
      </c>
      <c r="H12" s="50">
        <v>0</v>
      </c>
      <c r="I12" s="50">
        <v>0</v>
      </c>
      <c r="J12" s="50">
        <v>0</v>
      </c>
      <c r="K12" s="50">
        <v>4</v>
      </c>
      <c r="L12" s="50">
        <v>0</v>
      </c>
      <c r="M12" s="50">
        <v>12</v>
      </c>
      <c r="N12" s="50">
        <v>0</v>
      </c>
      <c r="O12" s="15">
        <f t="shared" si="0"/>
        <v>59</v>
      </c>
      <c r="P12" s="15">
        <f t="shared" si="1"/>
        <v>71</v>
      </c>
      <c r="R12" s="1" t="s">
        <v>8</v>
      </c>
      <c r="S12" s="17">
        <f t="shared" ref="S12:AF12" si="4">SUM(C18:C21)</f>
        <v>17</v>
      </c>
      <c r="T12" s="17">
        <f t="shared" si="4"/>
        <v>4</v>
      </c>
      <c r="U12" s="17">
        <f t="shared" si="4"/>
        <v>0</v>
      </c>
      <c r="V12" s="17">
        <f t="shared" si="4"/>
        <v>14</v>
      </c>
      <c r="W12" s="17">
        <f t="shared" si="4"/>
        <v>0</v>
      </c>
      <c r="X12" s="17">
        <f t="shared" si="4"/>
        <v>1</v>
      </c>
      <c r="Y12" s="17">
        <f t="shared" si="4"/>
        <v>1</v>
      </c>
      <c r="Z12" s="17">
        <f t="shared" si="4"/>
        <v>2</v>
      </c>
      <c r="AA12" s="17">
        <f t="shared" si="4"/>
        <v>0</v>
      </c>
      <c r="AB12" s="17">
        <f t="shared" si="4"/>
        <v>5</v>
      </c>
      <c r="AC12" s="17">
        <f t="shared" si="4"/>
        <v>45</v>
      </c>
      <c r="AD12" s="17">
        <f t="shared" si="4"/>
        <v>0</v>
      </c>
      <c r="AE12" s="31">
        <f t="shared" si="4"/>
        <v>44</v>
      </c>
      <c r="AF12" s="31">
        <f t="shared" si="4"/>
        <v>89</v>
      </c>
    </row>
    <row r="13" spans="2:32" ht="23.1" customHeight="1" x14ac:dyDescent="0.25">
      <c r="B13" s="23" t="s">
        <v>40</v>
      </c>
      <c r="C13" s="50">
        <v>7</v>
      </c>
      <c r="D13" s="50">
        <v>6</v>
      </c>
      <c r="E13" s="50">
        <v>0</v>
      </c>
      <c r="F13" s="50">
        <v>10</v>
      </c>
      <c r="G13" s="50">
        <v>0</v>
      </c>
      <c r="H13" s="50">
        <v>0</v>
      </c>
      <c r="I13" s="50">
        <v>0</v>
      </c>
      <c r="J13" s="50">
        <v>6</v>
      </c>
      <c r="K13" s="50">
        <v>0</v>
      </c>
      <c r="L13" s="50">
        <v>8</v>
      </c>
      <c r="M13" s="50">
        <v>17</v>
      </c>
      <c r="N13" s="50">
        <v>0</v>
      </c>
      <c r="O13" s="15">
        <f t="shared" si="0"/>
        <v>37</v>
      </c>
      <c r="P13" s="15">
        <f t="shared" si="1"/>
        <v>54</v>
      </c>
      <c r="R13" s="1" t="s">
        <v>9</v>
      </c>
      <c r="S13" s="17">
        <f t="shared" ref="S13:AF13" si="5">SUM(C22:C25)</f>
        <v>34</v>
      </c>
      <c r="T13" s="17">
        <f t="shared" si="5"/>
        <v>5</v>
      </c>
      <c r="U13" s="17">
        <f t="shared" si="5"/>
        <v>2</v>
      </c>
      <c r="V13" s="17">
        <f t="shared" si="5"/>
        <v>22</v>
      </c>
      <c r="W13" s="17">
        <f t="shared" si="5"/>
        <v>0</v>
      </c>
      <c r="X13" s="17">
        <f t="shared" si="5"/>
        <v>4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13</v>
      </c>
      <c r="AC13" s="17">
        <f t="shared" si="5"/>
        <v>63</v>
      </c>
      <c r="AD13" s="17">
        <f t="shared" si="5"/>
        <v>0</v>
      </c>
      <c r="AE13" s="31">
        <f t="shared" si="5"/>
        <v>82</v>
      </c>
      <c r="AF13" s="31">
        <f t="shared" si="5"/>
        <v>145</v>
      </c>
    </row>
    <row r="14" spans="2:32" ht="23.1" customHeight="1" x14ac:dyDescent="0.25">
      <c r="B14" s="23" t="s">
        <v>41</v>
      </c>
      <c r="C14" s="50">
        <v>10</v>
      </c>
      <c r="D14" s="50">
        <v>0</v>
      </c>
      <c r="E14" s="50">
        <v>0</v>
      </c>
      <c r="F14" s="50">
        <v>7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1</v>
      </c>
      <c r="M14" s="50">
        <v>12</v>
      </c>
      <c r="N14" s="50">
        <v>0</v>
      </c>
      <c r="O14" s="15">
        <f t="shared" si="0"/>
        <v>18</v>
      </c>
      <c r="P14" s="15">
        <f t="shared" si="1"/>
        <v>30</v>
      </c>
      <c r="R14" s="1" t="s">
        <v>10</v>
      </c>
      <c r="S14" s="17">
        <f t="shared" ref="S14:AF14" si="6">SUM(C26:C29)</f>
        <v>43</v>
      </c>
      <c r="T14" s="17">
        <f t="shared" si="6"/>
        <v>10</v>
      </c>
      <c r="U14" s="17">
        <f t="shared" si="6"/>
        <v>3</v>
      </c>
      <c r="V14" s="17">
        <f t="shared" si="6"/>
        <v>18</v>
      </c>
      <c r="W14" s="17">
        <f t="shared" si="6"/>
        <v>1</v>
      </c>
      <c r="X14" s="17">
        <f t="shared" si="6"/>
        <v>3</v>
      </c>
      <c r="Y14" s="17">
        <f t="shared" si="6"/>
        <v>1</v>
      </c>
      <c r="Z14" s="17">
        <f t="shared" si="6"/>
        <v>3</v>
      </c>
      <c r="AA14" s="17">
        <f t="shared" si="6"/>
        <v>1</v>
      </c>
      <c r="AB14" s="17">
        <f t="shared" si="6"/>
        <v>6</v>
      </c>
      <c r="AC14" s="17">
        <f t="shared" si="6"/>
        <v>41</v>
      </c>
      <c r="AD14" s="17">
        <f t="shared" si="6"/>
        <v>0</v>
      </c>
      <c r="AE14" s="31">
        <f t="shared" si="6"/>
        <v>89</v>
      </c>
      <c r="AF14" s="31">
        <f t="shared" si="6"/>
        <v>130</v>
      </c>
    </row>
    <row r="15" spans="2:32" ht="23.1" customHeight="1" x14ac:dyDescent="0.25">
      <c r="B15" s="23" t="s">
        <v>42</v>
      </c>
      <c r="C15" s="50">
        <v>14</v>
      </c>
      <c r="D15" s="50">
        <v>0</v>
      </c>
      <c r="E15" s="50">
        <v>0</v>
      </c>
      <c r="F15" s="50">
        <v>10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15</v>
      </c>
      <c r="N15" s="50">
        <v>0</v>
      </c>
      <c r="O15" s="15">
        <f t="shared" si="0"/>
        <v>24</v>
      </c>
      <c r="P15" s="15">
        <f t="shared" si="1"/>
        <v>39</v>
      </c>
      <c r="R15" s="1" t="s">
        <v>11</v>
      </c>
      <c r="S15" s="17">
        <f t="shared" ref="S15:AF15" si="7">SUM(C30:C33)</f>
        <v>35</v>
      </c>
      <c r="T15" s="17">
        <f t="shared" si="7"/>
        <v>4</v>
      </c>
      <c r="U15" s="17">
        <f t="shared" si="7"/>
        <v>3</v>
      </c>
      <c r="V15" s="17">
        <f t="shared" si="7"/>
        <v>24</v>
      </c>
      <c r="W15" s="17">
        <f t="shared" si="7"/>
        <v>1</v>
      </c>
      <c r="X15" s="17">
        <f t="shared" si="7"/>
        <v>3</v>
      </c>
      <c r="Y15" s="17">
        <f t="shared" si="7"/>
        <v>6</v>
      </c>
      <c r="Z15" s="17">
        <f t="shared" si="7"/>
        <v>1</v>
      </c>
      <c r="AA15" s="17">
        <f t="shared" si="7"/>
        <v>3</v>
      </c>
      <c r="AB15" s="17">
        <f t="shared" si="7"/>
        <v>11</v>
      </c>
      <c r="AC15" s="17">
        <f t="shared" si="7"/>
        <v>62</v>
      </c>
      <c r="AD15" s="17">
        <f t="shared" si="7"/>
        <v>0</v>
      </c>
      <c r="AE15" s="31">
        <f t="shared" si="7"/>
        <v>91</v>
      </c>
      <c r="AF15" s="31">
        <f t="shared" si="7"/>
        <v>153</v>
      </c>
    </row>
    <row r="16" spans="2:32" ht="23.1" customHeight="1" x14ac:dyDescent="0.25">
      <c r="B16" s="23" t="s">
        <v>43</v>
      </c>
      <c r="C16" s="50">
        <v>7</v>
      </c>
      <c r="D16" s="50">
        <v>3</v>
      </c>
      <c r="E16" s="50">
        <v>0</v>
      </c>
      <c r="F16" s="50">
        <v>3</v>
      </c>
      <c r="G16" s="50">
        <v>0</v>
      </c>
      <c r="H16" s="50">
        <v>1</v>
      </c>
      <c r="I16" s="50">
        <v>2</v>
      </c>
      <c r="J16" s="50">
        <v>0</v>
      </c>
      <c r="K16" s="50">
        <v>0</v>
      </c>
      <c r="L16" s="50">
        <v>3</v>
      </c>
      <c r="M16" s="50">
        <v>8</v>
      </c>
      <c r="N16" s="50">
        <v>0</v>
      </c>
      <c r="O16" s="15">
        <f t="shared" si="0"/>
        <v>19</v>
      </c>
      <c r="P16" s="15">
        <f t="shared" si="1"/>
        <v>27</v>
      </c>
      <c r="R16" s="1" t="s">
        <v>12</v>
      </c>
      <c r="S16" s="17">
        <f t="shared" ref="S16:AF16" si="8">SUM(C34:C37)</f>
        <v>25</v>
      </c>
      <c r="T16" s="17">
        <f t="shared" si="8"/>
        <v>4</v>
      </c>
      <c r="U16" s="17">
        <f t="shared" si="8"/>
        <v>3</v>
      </c>
      <c r="V16" s="17">
        <f t="shared" si="8"/>
        <v>18</v>
      </c>
      <c r="W16" s="17">
        <f t="shared" si="8"/>
        <v>0</v>
      </c>
      <c r="X16" s="17">
        <f t="shared" si="8"/>
        <v>1</v>
      </c>
      <c r="Y16" s="17">
        <f t="shared" si="8"/>
        <v>2</v>
      </c>
      <c r="Z16" s="17">
        <f t="shared" si="8"/>
        <v>1</v>
      </c>
      <c r="AA16" s="17">
        <f t="shared" si="8"/>
        <v>8</v>
      </c>
      <c r="AB16" s="17">
        <f t="shared" si="8"/>
        <v>5</v>
      </c>
      <c r="AC16" s="17">
        <f t="shared" si="8"/>
        <v>59</v>
      </c>
      <c r="AD16" s="17">
        <f t="shared" si="8"/>
        <v>2</v>
      </c>
      <c r="AE16" s="31">
        <f t="shared" si="8"/>
        <v>69</v>
      </c>
      <c r="AF16" s="31">
        <f t="shared" si="8"/>
        <v>128</v>
      </c>
    </row>
    <row r="17" spans="2:32" ht="23.1" customHeight="1" x14ac:dyDescent="0.25">
      <c r="B17" s="23" t="s">
        <v>44</v>
      </c>
      <c r="C17" s="50">
        <v>12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2</v>
      </c>
      <c r="J17" s="50">
        <v>1</v>
      </c>
      <c r="K17" s="50">
        <v>0</v>
      </c>
      <c r="L17" s="50">
        <v>1</v>
      </c>
      <c r="M17" s="50">
        <v>7</v>
      </c>
      <c r="N17" s="50">
        <v>0</v>
      </c>
      <c r="O17" s="15">
        <f t="shared" si="0"/>
        <v>16</v>
      </c>
      <c r="P17" s="15">
        <f t="shared" si="1"/>
        <v>23</v>
      </c>
      <c r="R17" s="1" t="s">
        <v>13</v>
      </c>
      <c r="S17" s="17">
        <f t="shared" ref="S17:AF17" si="9">SUM(C38:C41)</f>
        <v>38</v>
      </c>
      <c r="T17" s="17">
        <f t="shared" si="9"/>
        <v>0</v>
      </c>
      <c r="U17" s="17">
        <f t="shared" si="9"/>
        <v>2</v>
      </c>
      <c r="V17" s="17">
        <f t="shared" si="9"/>
        <v>23</v>
      </c>
      <c r="W17" s="17">
        <f t="shared" si="9"/>
        <v>0</v>
      </c>
      <c r="X17" s="17">
        <f t="shared" si="9"/>
        <v>3</v>
      </c>
      <c r="Y17" s="17">
        <f t="shared" si="9"/>
        <v>8</v>
      </c>
      <c r="Z17" s="17">
        <f t="shared" si="9"/>
        <v>2</v>
      </c>
      <c r="AA17" s="17">
        <f t="shared" si="9"/>
        <v>0</v>
      </c>
      <c r="AB17" s="17">
        <f t="shared" si="9"/>
        <v>9</v>
      </c>
      <c r="AC17" s="17">
        <f t="shared" si="9"/>
        <v>54</v>
      </c>
      <c r="AD17" s="17">
        <f t="shared" si="9"/>
        <v>0</v>
      </c>
      <c r="AE17" s="31">
        <f t="shared" si="9"/>
        <v>85</v>
      </c>
      <c r="AF17" s="31">
        <f t="shared" si="9"/>
        <v>139</v>
      </c>
    </row>
    <row r="18" spans="2:32" ht="23.1" customHeight="1" x14ac:dyDescent="0.25">
      <c r="B18" s="23" t="s">
        <v>45</v>
      </c>
      <c r="C18" s="50">
        <v>6</v>
      </c>
      <c r="D18" s="50">
        <v>0</v>
      </c>
      <c r="E18" s="50">
        <v>0</v>
      </c>
      <c r="F18" s="50">
        <v>5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4</v>
      </c>
      <c r="M18" s="50">
        <v>9</v>
      </c>
      <c r="N18" s="50">
        <v>0</v>
      </c>
      <c r="O18" s="15">
        <f t="shared" si="0"/>
        <v>15</v>
      </c>
      <c r="P18" s="15">
        <f t="shared" si="1"/>
        <v>24</v>
      </c>
      <c r="R18" s="1" t="s">
        <v>14</v>
      </c>
      <c r="S18" s="17">
        <f t="shared" ref="S18:AF18" si="10">SUM(C42:C45)</f>
        <v>24</v>
      </c>
      <c r="T18" s="17">
        <f t="shared" si="10"/>
        <v>2</v>
      </c>
      <c r="U18" s="17">
        <f t="shared" si="10"/>
        <v>2</v>
      </c>
      <c r="V18" s="17">
        <f t="shared" si="10"/>
        <v>45</v>
      </c>
      <c r="W18" s="17">
        <f t="shared" si="10"/>
        <v>1</v>
      </c>
      <c r="X18" s="17">
        <f t="shared" si="10"/>
        <v>0</v>
      </c>
      <c r="Y18" s="17">
        <f t="shared" si="10"/>
        <v>5</v>
      </c>
      <c r="Z18" s="17">
        <f t="shared" si="10"/>
        <v>2</v>
      </c>
      <c r="AA18" s="17">
        <f t="shared" si="10"/>
        <v>0</v>
      </c>
      <c r="AB18" s="17">
        <f t="shared" si="10"/>
        <v>14</v>
      </c>
      <c r="AC18" s="17">
        <f t="shared" si="10"/>
        <v>58</v>
      </c>
      <c r="AD18" s="17">
        <f t="shared" si="10"/>
        <v>0</v>
      </c>
      <c r="AE18" s="31">
        <f t="shared" si="10"/>
        <v>95</v>
      </c>
      <c r="AF18" s="31">
        <f t="shared" si="10"/>
        <v>153</v>
      </c>
    </row>
    <row r="19" spans="2:32" ht="23.1" customHeight="1" x14ac:dyDescent="0.25">
      <c r="B19" s="23" t="s">
        <v>46</v>
      </c>
      <c r="C19" s="50">
        <v>4</v>
      </c>
      <c r="D19" s="50">
        <v>1</v>
      </c>
      <c r="E19" s="50">
        <v>0</v>
      </c>
      <c r="F19" s="50">
        <v>8</v>
      </c>
      <c r="G19" s="50">
        <v>0</v>
      </c>
      <c r="H19" s="50">
        <v>0</v>
      </c>
      <c r="I19" s="50">
        <v>0</v>
      </c>
      <c r="J19" s="50">
        <v>2</v>
      </c>
      <c r="K19" s="50">
        <v>0</v>
      </c>
      <c r="L19" s="50">
        <v>0</v>
      </c>
      <c r="M19" s="50">
        <v>13</v>
      </c>
      <c r="N19" s="50">
        <v>0</v>
      </c>
      <c r="O19" s="15">
        <f t="shared" si="0"/>
        <v>15</v>
      </c>
      <c r="P19" s="15">
        <f t="shared" si="1"/>
        <v>28</v>
      </c>
      <c r="R19" s="1" t="s">
        <v>15</v>
      </c>
      <c r="S19" s="17">
        <f t="shared" ref="S19:AF19" si="11">SUM(C46:C49)</f>
        <v>67</v>
      </c>
      <c r="T19" s="17">
        <f t="shared" si="11"/>
        <v>21</v>
      </c>
      <c r="U19" s="17">
        <f t="shared" si="11"/>
        <v>2</v>
      </c>
      <c r="V19" s="17">
        <f t="shared" si="11"/>
        <v>33</v>
      </c>
      <c r="W19" s="17">
        <f t="shared" si="11"/>
        <v>1</v>
      </c>
      <c r="X19" s="17">
        <f t="shared" si="11"/>
        <v>0</v>
      </c>
      <c r="Y19" s="17">
        <f t="shared" si="11"/>
        <v>0</v>
      </c>
      <c r="Z19" s="17">
        <f t="shared" si="11"/>
        <v>5</v>
      </c>
      <c r="AA19" s="17">
        <f t="shared" si="11"/>
        <v>6</v>
      </c>
      <c r="AB19" s="17">
        <f t="shared" si="11"/>
        <v>13</v>
      </c>
      <c r="AC19" s="17">
        <f t="shared" si="11"/>
        <v>58</v>
      </c>
      <c r="AD19" s="17">
        <f t="shared" si="11"/>
        <v>0</v>
      </c>
      <c r="AE19" s="31">
        <f t="shared" si="11"/>
        <v>148</v>
      </c>
      <c r="AF19" s="31">
        <f t="shared" si="11"/>
        <v>206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0</v>
      </c>
      <c r="F20" s="50">
        <v>0</v>
      </c>
      <c r="G20" s="50">
        <v>0</v>
      </c>
      <c r="H20" s="50">
        <v>1</v>
      </c>
      <c r="I20" s="50">
        <v>1</v>
      </c>
      <c r="J20" s="50">
        <v>0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6</v>
      </c>
      <c r="P20" s="15">
        <f t="shared" si="1"/>
        <v>13</v>
      </c>
      <c r="R20" s="1" t="s">
        <v>16</v>
      </c>
      <c r="S20" s="17">
        <f t="shared" ref="S20:AF20" si="12">SUM(C50:C53)</f>
        <v>40</v>
      </c>
      <c r="T20" s="17">
        <f t="shared" si="12"/>
        <v>2</v>
      </c>
      <c r="U20" s="17">
        <f t="shared" si="12"/>
        <v>4</v>
      </c>
      <c r="V20" s="17">
        <f t="shared" si="12"/>
        <v>26</v>
      </c>
      <c r="W20" s="17">
        <f t="shared" si="12"/>
        <v>1</v>
      </c>
      <c r="X20" s="17">
        <f t="shared" si="12"/>
        <v>0</v>
      </c>
      <c r="Y20" s="17">
        <f t="shared" si="12"/>
        <v>1</v>
      </c>
      <c r="Z20" s="17">
        <f t="shared" si="12"/>
        <v>5</v>
      </c>
      <c r="AA20" s="17">
        <f t="shared" si="12"/>
        <v>3</v>
      </c>
      <c r="AB20" s="17">
        <f t="shared" si="12"/>
        <v>6</v>
      </c>
      <c r="AC20" s="17">
        <f t="shared" si="12"/>
        <v>56</v>
      </c>
      <c r="AD20" s="17">
        <f t="shared" si="12"/>
        <v>0</v>
      </c>
      <c r="AE20" s="31">
        <f t="shared" si="12"/>
        <v>88</v>
      </c>
      <c r="AF20" s="31">
        <f t="shared" si="12"/>
        <v>144</v>
      </c>
    </row>
    <row r="21" spans="2:32" ht="23.1" customHeight="1" x14ac:dyDescent="0.25">
      <c r="B21" s="23" t="s">
        <v>48</v>
      </c>
      <c r="C21" s="50">
        <v>3</v>
      </c>
      <c r="D21" s="50">
        <v>3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1</v>
      </c>
      <c r="M21" s="50">
        <v>16</v>
      </c>
      <c r="N21" s="50">
        <v>0</v>
      </c>
      <c r="O21" s="15">
        <f t="shared" si="0"/>
        <v>8</v>
      </c>
      <c r="P21" s="15">
        <f t="shared" si="1"/>
        <v>24</v>
      </c>
      <c r="R21" s="36" t="s">
        <v>20</v>
      </c>
      <c r="S21" s="34">
        <f t="shared" ref="S21:AF21" si="13">SUM(C54:C57)</f>
        <v>46</v>
      </c>
      <c r="T21" s="17">
        <f t="shared" si="13"/>
        <v>8</v>
      </c>
      <c r="U21" s="17">
        <f t="shared" si="13"/>
        <v>6</v>
      </c>
      <c r="V21" s="17">
        <f t="shared" si="13"/>
        <v>26</v>
      </c>
      <c r="W21" s="17">
        <f t="shared" si="13"/>
        <v>2</v>
      </c>
      <c r="X21" s="17">
        <f t="shared" si="13"/>
        <v>0</v>
      </c>
      <c r="Y21" s="17">
        <f t="shared" si="13"/>
        <v>0</v>
      </c>
      <c r="Z21" s="17">
        <f t="shared" si="13"/>
        <v>30</v>
      </c>
      <c r="AA21" s="17">
        <f t="shared" si="13"/>
        <v>12</v>
      </c>
      <c r="AB21" s="17">
        <f t="shared" si="13"/>
        <v>10</v>
      </c>
      <c r="AC21" s="17">
        <f t="shared" si="13"/>
        <v>51</v>
      </c>
      <c r="AD21" s="17">
        <f t="shared" si="13"/>
        <v>0</v>
      </c>
      <c r="AE21" s="31">
        <f t="shared" si="13"/>
        <v>140</v>
      </c>
      <c r="AF21" s="31">
        <f t="shared" si="13"/>
        <v>191</v>
      </c>
    </row>
    <row r="22" spans="2:32" ht="23.1" customHeight="1" x14ac:dyDescent="0.25">
      <c r="B22" s="23" t="s">
        <v>49</v>
      </c>
      <c r="C22" s="50">
        <v>4</v>
      </c>
      <c r="D22" s="50">
        <v>4</v>
      </c>
      <c r="E22" s="50">
        <v>1</v>
      </c>
      <c r="F22" s="50">
        <v>6</v>
      </c>
      <c r="G22" s="50">
        <v>0</v>
      </c>
      <c r="H22" s="50">
        <v>3</v>
      </c>
      <c r="I22" s="50">
        <v>0</v>
      </c>
      <c r="J22" s="50">
        <v>0</v>
      </c>
      <c r="K22" s="50">
        <v>0</v>
      </c>
      <c r="L22" s="50">
        <v>3</v>
      </c>
      <c r="M22" s="50">
        <v>18</v>
      </c>
      <c r="N22" s="50">
        <v>0</v>
      </c>
      <c r="O22" s="15">
        <f t="shared" si="0"/>
        <v>21</v>
      </c>
      <c r="P22" s="15">
        <f t="shared" si="1"/>
        <v>39</v>
      </c>
      <c r="R22" s="38" t="s">
        <v>90</v>
      </c>
      <c r="S22" s="39">
        <f>MAX(S10:S12)</f>
        <v>56</v>
      </c>
      <c r="T22" s="39">
        <f t="shared" ref="T22:AF22" si="14">MAX(T10:T12)</f>
        <v>28</v>
      </c>
      <c r="U22" s="39">
        <f t="shared" si="14"/>
        <v>14</v>
      </c>
      <c r="V22" s="39">
        <f t="shared" si="14"/>
        <v>60</v>
      </c>
      <c r="W22" s="39">
        <f t="shared" si="14"/>
        <v>0</v>
      </c>
      <c r="X22" s="39">
        <f t="shared" si="14"/>
        <v>1</v>
      </c>
      <c r="Y22" s="39">
        <f t="shared" si="14"/>
        <v>4</v>
      </c>
      <c r="Z22" s="39">
        <f t="shared" si="14"/>
        <v>10</v>
      </c>
      <c r="AA22" s="39">
        <f t="shared" si="14"/>
        <v>6</v>
      </c>
      <c r="AB22" s="39">
        <f t="shared" si="14"/>
        <v>17</v>
      </c>
      <c r="AC22" s="39">
        <f t="shared" si="14"/>
        <v>79</v>
      </c>
      <c r="AD22" s="39">
        <f t="shared" si="14"/>
        <v>0</v>
      </c>
      <c r="AE22" s="40">
        <f t="shared" si="14"/>
        <v>191</v>
      </c>
      <c r="AF22" s="40">
        <f t="shared" si="14"/>
        <v>270</v>
      </c>
    </row>
    <row r="23" spans="2:32" ht="23.1" customHeight="1" x14ac:dyDescent="0.25">
      <c r="B23" s="23" t="s">
        <v>50</v>
      </c>
      <c r="C23" s="50">
        <v>8</v>
      </c>
      <c r="D23" s="50">
        <v>0</v>
      </c>
      <c r="E23" s="50">
        <v>0</v>
      </c>
      <c r="F23" s="50">
        <v>12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2</v>
      </c>
      <c r="M23" s="50">
        <v>19</v>
      </c>
      <c r="N23" s="50">
        <v>0</v>
      </c>
      <c r="O23" s="15">
        <f t="shared" si="0"/>
        <v>24</v>
      </c>
      <c r="P23" s="15">
        <f t="shared" si="1"/>
        <v>43</v>
      </c>
      <c r="R23" s="38" t="s">
        <v>91</v>
      </c>
      <c r="S23" s="39">
        <f>MAX(S13:S18)</f>
        <v>43</v>
      </c>
      <c r="T23" s="39">
        <f t="shared" ref="T23:AF23" si="15">MAX(T13:T18)</f>
        <v>10</v>
      </c>
      <c r="U23" s="39">
        <f t="shared" si="15"/>
        <v>3</v>
      </c>
      <c r="V23" s="39">
        <f t="shared" si="15"/>
        <v>45</v>
      </c>
      <c r="W23" s="39">
        <f t="shared" si="15"/>
        <v>1</v>
      </c>
      <c r="X23" s="39">
        <f t="shared" si="15"/>
        <v>4</v>
      </c>
      <c r="Y23" s="39">
        <f t="shared" si="15"/>
        <v>8</v>
      </c>
      <c r="Z23" s="39">
        <f t="shared" si="15"/>
        <v>3</v>
      </c>
      <c r="AA23" s="39">
        <f t="shared" si="15"/>
        <v>8</v>
      </c>
      <c r="AB23" s="39">
        <f t="shared" si="15"/>
        <v>14</v>
      </c>
      <c r="AC23" s="39">
        <f t="shared" si="15"/>
        <v>63</v>
      </c>
      <c r="AD23" s="39">
        <f t="shared" si="15"/>
        <v>2</v>
      </c>
      <c r="AE23" s="40">
        <f t="shared" si="15"/>
        <v>95</v>
      </c>
      <c r="AF23" s="40">
        <f t="shared" si="15"/>
        <v>153</v>
      </c>
    </row>
    <row r="24" spans="2:32" ht="23.1" customHeight="1" x14ac:dyDescent="0.25">
      <c r="B24" s="23" t="s">
        <v>51</v>
      </c>
      <c r="C24" s="50">
        <v>14</v>
      </c>
      <c r="D24" s="50">
        <v>1</v>
      </c>
      <c r="E24" s="50">
        <v>1</v>
      </c>
      <c r="F24" s="50">
        <v>0</v>
      </c>
      <c r="G24" s="50">
        <v>0</v>
      </c>
      <c r="H24" s="50">
        <v>1</v>
      </c>
      <c r="I24" s="50">
        <v>0</v>
      </c>
      <c r="J24" s="50">
        <v>0</v>
      </c>
      <c r="K24" s="50">
        <v>0</v>
      </c>
      <c r="L24" s="50">
        <v>1</v>
      </c>
      <c r="M24" s="50">
        <v>16</v>
      </c>
      <c r="N24" s="50">
        <v>0</v>
      </c>
      <c r="O24" s="15">
        <f t="shared" si="0"/>
        <v>18</v>
      </c>
      <c r="P24" s="15">
        <f t="shared" si="1"/>
        <v>34</v>
      </c>
      <c r="R24" s="38" t="s">
        <v>92</v>
      </c>
      <c r="S24" s="39">
        <f>MAX(S19:S21)</f>
        <v>67</v>
      </c>
      <c r="T24" s="39">
        <f t="shared" ref="T24:AF24" si="16">MAX(T19:T21)</f>
        <v>21</v>
      </c>
      <c r="U24" s="39">
        <f t="shared" si="16"/>
        <v>6</v>
      </c>
      <c r="V24" s="39">
        <f t="shared" si="16"/>
        <v>33</v>
      </c>
      <c r="W24" s="39">
        <f t="shared" si="16"/>
        <v>2</v>
      </c>
      <c r="X24" s="39">
        <f t="shared" si="16"/>
        <v>0</v>
      </c>
      <c r="Y24" s="39">
        <f t="shared" si="16"/>
        <v>1</v>
      </c>
      <c r="Z24" s="39">
        <f t="shared" si="16"/>
        <v>30</v>
      </c>
      <c r="AA24" s="39">
        <f t="shared" si="16"/>
        <v>12</v>
      </c>
      <c r="AB24" s="39">
        <f t="shared" si="16"/>
        <v>13</v>
      </c>
      <c r="AC24" s="39">
        <f t="shared" si="16"/>
        <v>58</v>
      </c>
      <c r="AD24" s="39">
        <f t="shared" si="16"/>
        <v>0</v>
      </c>
      <c r="AE24" s="40">
        <f t="shared" si="16"/>
        <v>148</v>
      </c>
      <c r="AF24" s="40">
        <f t="shared" si="16"/>
        <v>206</v>
      </c>
    </row>
    <row r="25" spans="2:32" ht="23.1" customHeight="1" x14ac:dyDescent="0.25">
      <c r="B25" s="23" t="s">
        <v>52</v>
      </c>
      <c r="C25" s="50">
        <v>8</v>
      </c>
      <c r="D25" s="50">
        <v>0</v>
      </c>
      <c r="E25" s="50">
        <v>0</v>
      </c>
      <c r="F25" s="50">
        <v>4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7</v>
      </c>
      <c r="M25" s="50">
        <v>10</v>
      </c>
      <c r="N25" s="50">
        <v>0</v>
      </c>
      <c r="O25" s="15">
        <f t="shared" si="0"/>
        <v>19</v>
      </c>
      <c r="P25" s="15">
        <f t="shared" si="1"/>
        <v>29</v>
      </c>
      <c r="R25" s="37" t="s">
        <v>85</v>
      </c>
      <c r="S25" s="35">
        <f t="shared" ref="S25:AF25" si="17">SUM(S10:S12)</f>
        <v>116</v>
      </c>
      <c r="T25" s="16">
        <f t="shared" si="17"/>
        <v>35</v>
      </c>
      <c r="U25" s="16">
        <f t="shared" si="17"/>
        <v>14</v>
      </c>
      <c r="V25" s="16">
        <f t="shared" si="17"/>
        <v>94</v>
      </c>
      <c r="W25" s="16">
        <f t="shared" si="17"/>
        <v>0</v>
      </c>
      <c r="X25" s="16">
        <f t="shared" si="17"/>
        <v>2</v>
      </c>
      <c r="Y25" s="16">
        <f t="shared" si="17"/>
        <v>5</v>
      </c>
      <c r="Z25" s="16">
        <f t="shared" si="17"/>
        <v>13</v>
      </c>
      <c r="AA25" s="16">
        <f t="shared" si="17"/>
        <v>6</v>
      </c>
      <c r="AB25" s="16">
        <f t="shared" si="17"/>
        <v>27</v>
      </c>
      <c r="AC25" s="16">
        <f t="shared" si="17"/>
        <v>166</v>
      </c>
      <c r="AD25" s="16">
        <f t="shared" si="17"/>
        <v>0</v>
      </c>
      <c r="AE25" s="32">
        <f t="shared" si="17"/>
        <v>312</v>
      </c>
      <c r="AF25" s="32">
        <f t="shared" si="17"/>
        <v>478</v>
      </c>
    </row>
    <row r="26" spans="2:32" ht="23.1" customHeight="1" x14ac:dyDescent="0.25">
      <c r="B26" s="23" t="s">
        <v>53</v>
      </c>
      <c r="C26" s="50">
        <v>17</v>
      </c>
      <c r="D26" s="50">
        <v>3</v>
      </c>
      <c r="E26" s="50">
        <v>2</v>
      </c>
      <c r="F26" s="50">
        <v>6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3</v>
      </c>
      <c r="M26" s="50">
        <v>13</v>
      </c>
      <c r="N26" s="50">
        <v>0</v>
      </c>
      <c r="O26" s="15">
        <f t="shared" si="0"/>
        <v>32</v>
      </c>
      <c r="P26" s="15">
        <f t="shared" si="1"/>
        <v>45</v>
      </c>
      <c r="R26" s="28" t="s">
        <v>86</v>
      </c>
      <c r="S26" s="16">
        <f t="shared" ref="S26:AF26" si="18">SUM(S13:S18)</f>
        <v>199</v>
      </c>
      <c r="T26" s="16">
        <f t="shared" si="18"/>
        <v>25</v>
      </c>
      <c r="U26" s="16">
        <f t="shared" si="18"/>
        <v>15</v>
      </c>
      <c r="V26" s="16">
        <f t="shared" si="18"/>
        <v>150</v>
      </c>
      <c r="W26" s="16">
        <f t="shared" si="18"/>
        <v>3</v>
      </c>
      <c r="X26" s="16">
        <f t="shared" si="18"/>
        <v>14</v>
      </c>
      <c r="Y26" s="16">
        <f t="shared" si="18"/>
        <v>24</v>
      </c>
      <c r="Z26" s="16">
        <f t="shared" si="18"/>
        <v>9</v>
      </c>
      <c r="AA26" s="16">
        <f t="shared" si="18"/>
        <v>12</v>
      </c>
      <c r="AB26" s="16">
        <f t="shared" si="18"/>
        <v>58</v>
      </c>
      <c r="AC26" s="16">
        <f t="shared" si="18"/>
        <v>337</v>
      </c>
      <c r="AD26" s="16">
        <f t="shared" si="18"/>
        <v>2</v>
      </c>
      <c r="AE26" s="32">
        <f t="shared" si="18"/>
        <v>511</v>
      </c>
      <c r="AF26" s="32">
        <f t="shared" si="18"/>
        <v>848</v>
      </c>
    </row>
    <row r="27" spans="2:32" ht="23.1" customHeight="1" x14ac:dyDescent="0.25">
      <c r="B27" s="23" t="s">
        <v>54</v>
      </c>
      <c r="C27" s="50">
        <v>8</v>
      </c>
      <c r="D27" s="50">
        <v>6</v>
      </c>
      <c r="E27" s="50">
        <v>0</v>
      </c>
      <c r="F27" s="50">
        <v>3</v>
      </c>
      <c r="G27" s="50">
        <v>1</v>
      </c>
      <c r="H27" s="50">
        <v>2</v>
      </c>
      <c r="I27" s="50">
        <v>1</v>
      </c>
      <c r="J27" s="50">
        <v>0</v>
      </c>
      <c r="K27" s="50">
        <v>0</v>
      </c>
      <c r="L27" s="50">
        <v>1</v>
      </c>
      <c r="M27" s="50">
        <v>18</v>
      </c>
      <c r="N27" s="50">
        <v>0</v>
      </c>
      <c r="O27" s="15">
        <f t="shared" si="0"/>
        <v>22</v>
      </c>
      <c r="P27" s="15">
        <f t="shared" si="1"/>
        <v>40</v>
      </c>
      <c r="R27" s="29" t="s">
        <v>87</v>
      </c>
      <c r="S27" s="16">
        <f t="shared" ref="S27:AF27" si="19">SUM(S19:S21)</f>
        <v>153</v>
      </c>
      <c r="T27" s="16">
        <f t="shared" si="19"/>
        <v>31</v>
      </c>
      <c r="U27" s="16">
        <f t="shared" si="19"/>
        <v>12</v>
      </c>
      <c r="V27" s="16">
        <f t="shared" si="19"/>
        <v>85</v>
      </c>
      <c r="W27" s="16">
        <f t="shared" si="19"/>
        <v>4</v>
      </c>
      <c r="X27" s="16">
        <f t="shared" si="19"/>
        <v>0</v>
      </c>
      <c r="Y27" s="16">
        <f t="shared" si="19"/>
        <v>1</v>
      </c>
      <c r="Z27" s="16">
        <f t="shared" si="19"/>
        <v>40</v>
      </c>
      <c r="AA27" s="16">
        <f t="shared" si="19"/>
        <v>21</v>
      </c>
      <c r="AB27" s="16">
        <f t="shared" si="19"/>
        <v>29</v>
      </c>
      <c r="AC27" s="16">
        <f t="shared" si="19"/>
        <v>165</v>
      </c>
      <c r="AD27" s="16">
        <f t="shared" si="19"/>
        <v>0</v>
      </c>
      <c r="AE27" s="32">
        <f t="shared" si="19"/>
        <v>376</v>
      </c>
      <c r="AF27" s="32">
        <f t="shared" si="19"/>
        <v>541</v>
      </c>
    </row>
    <row r="28" spans="2:32" ht="23.1" customHeight="1" x14ac:dyDescent="0.25">
      <c r="B28" s="23" t="s">
        <v>55</v>
      </c>
      <c r="C28" s="50">
        <v>13</v>
      </c>
      <c r="D28" s="50">
        <v>1</v>
      </c>
      <c r="E28" s="50">
        <v>1</v>
      </c>
      <c r="F28" s="50">
        <v>6</v>
      </c>
      <c r="G28" s="50">
        <v>0</v>
      </c>
      <c r="H28" s="50">
        <v>1</v>
      </c>
      <c r="I28" s="50">
        <v>0</v>
      </c>
      <c r="J28" s="50">
        <v>0</v>
      </c>
      <c r="K28" s="50">
        <v>0</v>
      </c>
      <c r="L28" s="50">
        <v>0</v>
      </c>
      <c r="M28" s="50">
        <v>7</v>
      </c>
      <c r="N28" s="50">
        <v>0</v>
      </c>
      <c r="O28" s="15">
        <f t="shared" si="0"/>
        <v>22</v>
      </c>
      <c r="P28" s="15">
        <f t="shared" si="1"/>
        <v>29</v>
      </c>
      <c r="R28" s="5" t="s">
        <v>17</v>
      </c>
      <c r="S28" s="16">
        <f t="shared" ref="S28:AF28" si="20">SUM(S10:S21)</f>
        <v>468</v>
      </c>
      <c r="T28" s="16">
        <f t="shared" si="20"/>
        <v>91</v>
      </c>
      <c r="U28" s="16">
        <f t="shared" si="20"/>
        <v>41</v>
      </c>
      <c r="V28" s="16">
        <f t="shared" si="20"/>
        <v>329</v>
      </c>
      <c r="W28" s="16">
        <f t="shared" si="20"/>
        <v>7</v>
      </c>
      <c r="X28" s="16">
        <f t="shared" si="20"/>
        <v>16</v>
      </c>
      <c r="Y28" s="16">
        <f t="shared" si="20"/>
        <v>30</v>
      </c>
      <c r="Z28" s="16">
        <f t="shared" si="20"/>
        <v>62</v>
      </c>
      <c r="AA28" s="16">
        <f t="shared" si="20"/>
        <v>39</v>
      </c>
      <c r="AB28" s="16">
        <f t="shared" si="20"/>
        <v>114</v>
      </c>
      <c r="AC28" s="16">
        <f t="shared" si="20"/>
        <v>668</v>
      </c>
      <c r="AD28" s="16">
        <f t="shared" si="20"/>
        <v>2</v>
      </c>
      <c r="AE28" s="32">
        <f t="shared" si="20"/>
        <v>1199</v>
      </c>
      <c r="AF28" s="32">
        <f t="shared" si="20"/>
        <v>1867</v>
      </c>
    </row>
    <row r="29" spans="2:32" ht="23.1" customHeight="1" x14ac:dyDescent="0.25">
      <c r="B29" s="23" t="s">
        <v>56</v>
      </c>
      <c r="C29" s="50">
        <v>5</v>
      </c>
      <c r="D29" s="50">
        <v>0</v>
      </c>
      <c r="E29" s="50">
        <v>0</v>
      </c>
      <c r="F29" s="50">
        <v>3</v>
      </c>
      <c r="G29" s="50">
        <v>0</v>
      </c>
      <c r="H29" s="50">
        <v>0</v>
      </c>
      <c r="I29" s="50">
        <v>0</v>
      </c>
      <c r="J29" s="50">
        <v>3</v>
      </c>
      <c r="K29" s="50">
        <v>0</v>
      </c>
      <c r="L29" s="50">
        <v>2</v>
      </c>
      <c r="M29" s="50">
        <v>3</v>
      </c>
      <c r="N29" s="50">
        <v>0</v>
      </c>
      <c r="O29" s="15">
        <f t="shared" si="0"/>
        <v>13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0</v>
      </c>
      <c r="E30" s="50">
        <v>0</v>
      </c>
      <c r="F30" s="50">
        <v>12</v>
      </c>
      <c r="G30" s="50">
        <v>0</v>
      </c>
      <c r="H30" s="50">
        <v>0</v>
      </c>
      <c r="I30" s="50">
        <v>1</v>
      </c>
      <c r="J30" s="50">
        <v>0</v>
      </c>
      <c r="K30" s="50">
        <v>1</v>
      </c>
      <c r="L30" s="50">
        <v>2</v>
      </c>
      <c r="M30" s="50">
        <v>10</v>
      </c>
      <c r="N30" s="50">
        <v>0</v>
      </c>
      <c r="O30" s="15">
        <f t="shared" si="0"/>
        <v>23</v>
      </c>
      <c r="P30" s="15">
        <f t="shared" si="1"/>
        <v>33</v>
      </c>
    </row>
    <row r="31" spans="2:32" ht="23.1" customHeight="1" x14ac:dyDescent="0.25">
      <c r="B31" s="24" t="s">
        <v>58</v>
      </c>
      <c r="C31" s="50">
        <v>9</v>
      </c>
      <c r="D31" s="50">
        <v>1</v>
      </c>
      <c r="E31" s="50">
        <v>1</v>
      </c>
      <c r="F31" s="50">
        <v>9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3</v>
      </c>
      <c r="M31" s="50">
        <v>19</v>
      </c>
      <c r="N31" s="50">
        <v>0</v>
      </c>
      <c r="O31" s="15">
        <f t="shared" si="0"/>
        <v>26</v>
      </c>
      <c r="P31" s="15">
        <f t="shared" si="1"/>
        <v>45</v>
      </c>
    </row>
    <row r="32" spans="2:32" ht="23.1" customHeight="1" x14ac:dyDescent="0.25">
      <c r="B32" s="24" t="s">
        <v>59</v>
      </c>
      <c r="C32" s="50">
        <v>7</v>
      </c>
      <c r="D32" s="50">
        <v>3</v>
      </c>
      <c r="E32" s="50">
        <v>2</v>
      </c>
      <c r="F32" s="50">
        <v>0</v>
      </c>
      <c r="G32" s="50">
        <v>1</v>
      </c>
      <c r="H32" s="50">
        <v>3</v>
      </c>
      <c r="I32" s="50">
        <v>2</v>
      </c>
      <c r="J32" s="50">
        <v>1</v>
      </c>
      <c r="K32" s="50">
        <v>2</v>
      </c>
      <c r="L32" s="50">
        <v>3</v>
      </c>
      <c r="M32" s="50">
        <v>21</v>
      </c>
      <c r="N32" s="50">
        <v>0</v>
      </c>
      <c r="O32" s="15">
        <f t="shared" si="0"/>
        <v>24</v>
      </c>
      <c r="P32" s="15">
        <f t="shared" si="1"/>
        <v>45</v>
      </c>
    </row>
    <row r="33" spans="2:20" ht="23.1" customHeight="1" x14ac:dyDescent="0.25">
      <c r="B33" s="23" t="s">
        <v>60</v>
      </c>
      <c r="C33" s="50">
        <v>12</v>
      </c>
      <c r="D33" s="50">
        <v>0</v>
      </c>
      <c r="E33" s="50">
        <v>0</v>
      </c>
      <c r="F33" s="50">
        <v>3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3</v>
      </c>
      <c r="M33" s="50">
        <v>12</v>
      </c>
      <c r="N33" s="50">
        <v>0</v>
      </c>
      <c r="O33" s="15">
        <f t="shared" si="0"/>
        <v>18</v>
      </c>
      <c r="P33" s="15">
        <f t="shared" si="1"/>
        <v>30</v>
      </c>
    </row>
    <row r="34" spans="2:20" ht="23.1" customHeight="1" x14ac:dyDescent="0.25">
      <c r="B34" s="24" t="s">
        <v>61</v>
      </c>
      <c r="C34" s="50">
        <v>11</v>
      </c>
      <c r="D34" s="50">
        <v>1</v>
      </c>
      <c r="E34" s="50">
        <v>0</v>
      </c>
      <c r="F34" s="50">
        <v>4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1</v>
      </c>
      <c r="M34" s="50">
        <v>15</v>
      </c>
      <c r="N34" s="50">
        <v>0</v>
      </c>
      <c r="O34" s="15">
        <f t="shared" si="0"/>
        <v>18</v>
      </c>
      <c r="P34" s="15">
        <f t="shared" si="1"/>
        <v>33</v>
      </c>
    </row>
    <row r="35" spans="2:20" ht="23.1" customHeight="1" x14ac:dyDescent="0.25">
      <c r="B35" s="24" t="s">
        <v>62</v>
      </c>
      <c r="C35" s="50">
        <v>3</v>
      </c>
      <c r="D35" s="50">
        <v>3</v>
      </c>
      <c r="E35" s="50">
        <v>1</v>
      </c>
      <c r="F35" s="50">
        <v>5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2</v>
      </c>
      <c r="M35" s="50">
        <v>12</v>
      </c>
      <c r="N35" s="50">
        <v>0</v>
      </c>
      <c r="O35" s="15">
        <f t="shared" si="0"/>
        <v>15</v>
      </c>
      <c r="P35" s="15">
        <f t="shared" si="1"/>
        <v>27</v>
      </c>
    </row>
    <row r="36" spans="2:20" ht="23.1" customHeight="1" x14ac:dyDescent="0.25">
      <c r="B36" s="24" t="s">
        <v>63</v>
      </c>
      <c r="C36" s="50">
        <v>7</v>
      </c>
      <c r="D36" s="50">
        <v>0</v>
      </c>
      <c r="E36" s="50">
        <v>2</v>
      </c>
      <c r="F36" s="50">
        <v>8</v>
      </c>
      <c r="G36" s="50">
        <v>0</v>
      </c>
      <c r="H36" s="50">
        <v>0</v>
      </c>
      <c r="I36" s="50">
        <v>0</v>
      </c>
      <c r="J36" s="50">
        <v>1</v>
      </c>
      <c r="K36" s="50">
        <v>7</v>
      </c>
      <c r="L36" s="50">
        <v>1</v>
      </c>
      <c r="M36" s="50">
        <v>22</v>
      </c>
      <c r="N36" s="50">
        <v>0</v>
      </c>
      <c r="O36" s="15">
        <f t="shared" si="0"/>
        <v>26</v>
      </c>
      <c r="P36" s="15">
        <f t="shared" si="1"/>
        <v>48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0</v>
      </c>
      <c r="F37" s="50">
        <v>1</v>
      </c>
      <c r="G37" s="50">
        <v>0</v>
      </c>
      <c r="H37" s="50">
        <v>1</v>
      </c>
      <c r="I37" s="50">
        <v>1</v>
      </c>
      <c r="J37" s="50">
        <v>0</v>
      </c>
      <c r="K37" s="50">
        <v>0</v>
      </c>
      <c r="L37" s="50">
        <v>1</v>
      </c>
      <c r="M37" s="50">
        <v>10</v>
      </c>
      <c r="N37" s="50">
        <v>2</v>
      </c>
      <c r="O37" s="15">
        <f t="shared" si="0"/>
        <v>10</v>
      </c>
      <c r="P37" s="15">
        <f t="shared" si="1"/>
        <v>20</v>
      </c>
    </row>
    <row r="38" spans="2:20" ht="23.1" customHeight="1" x14ac:dyDescent="0.25">
      <c r="B38" s="24" t="s">
        <v>65</v>
      </c>
      <c r="C38" s="50">
        <v>11</v>
      </c>
      <c r="D38" s="50">
        <v>0</v>
      </c>
      <c r="E38" s="50">
        <v>2</v>
      </c>
      <c r="F38" s="50">
        <v>1</v>
      </c>
      <c r="G38" s="50">
        <v>0</v>
      </c>
      <c r="H38" s="50">
        <v>2</v>
      </c>
      <c r="I38" s="50">
        <v>2</v>
      </c>
      <c r="J38" s="50">
        <v>0</v>
      </c>
      <c r="K38" s="50">
        <v>0</v>
      </c>
      <c r="L38" s="50">
        <v>4</v>
      </c>
      <c r="M38" s="50">
        <v>16</v>
      </c>
      <c r="N38" s="50">
        <v>0</v>
      </c>
      <c r="O38" s="15">
        <f t="shared" si="0"/>
        <v>22</v>
      </c>
      <c r="P38" s="15">
        <f t="shared" si="1"/>
        <v>38</v>
      </c>
    </row>
    <row r="39" spans="2:20" ht="23.1" customHeight="1" x14ac:dyDescent="0.25">
      <c r="B39" s="24" t="s">
        <v>66</v>
      </c>
      <c r="C39" s="50">
        <v>8</v>
      </c>
      <c r="D39" s="50">
        <v>0</v>
      </c>
      <c r="E39" s="50">
        <v>0</v>
      </c>
      <c r="F39" s="50">
        <v>4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1</v>
      </c>
      <c r="M39" s="50">
        <v>20</v>
      </c>
      <c r="N39" s="50">
        <v>0</v>
      </c>
      <c r="O39" s="15">
        <f t="shared" si="0"/>
        <v>14</v>
      </c>
      <c r="P39" s="15">
        <f t="shared" si="1"/>
        <v>34</v>
      </c>
    </row>
    <row r="40" spans="2:20" ht="23.1" customHeight="1" x14ac:dyDescent="0.25">
      <c r="B40" s="24" t="s">
        <v>67</v>
      </c>
      <c r="C40" s="50">
        <v>6</v>
      </c>
      <c r="D40" s="50">
        <v>0</v>
      </c>
      <c r="E40" s="50">
        <v>0</v>
      </c>
      <c r="F40" s="50">
        <v>11</v>
      </c>
      <c r="G40" s="50">
        <v>0</v>
      </c>
      <c r="H40" s="50">
        <v>0</v>
      </c>
      <c r="I40" s="50">
        <v>1</v>
      </c>
      <c r="J40" s="50">
        <v>2</v>
      </c>
      <c r="K40" s="50">
        <v>0</v>
      </c>
      <c r="L40" s="50">
        <v>3</v>
      </c>
      <c r="M40" s="50">
        <v>12</v>
      </c>
      <c r="N40" s="50">
        <v>0</v>
      </c>
      <c r="O40" s="15">
        <f t="shared" si="0"/>
        <v>23</v>
      </c>
      <c r="P40" s="15">
        <f t="shared" si="1"/>
        <v>35</v>
      </c>
    </row>
    <row r="41" spans="2:20" ht="23.1" customHeight="1" x14ac:dyDescent="0.25">
      <c r="B41" s="23" t="s">
        <v>68</v>
      </c>
      <c r="C41" s="50">
        <v>13</v>
      </c>
      <c r="D41" s="50">
        <v>0</v>
      </c>
      <c r="E41" s="50">
        <v>0</v>
      </c>
      <c r="F41" s="50">
        <v>7</v>
      </c>
      <c r="G41" s="50">
        <v>0</v>
      </c>
      <c r="H41" s="50">
        <v>1</v>
      </c>
      <c r="I41" s="50">
        <v>4</v>
      </c>
      <c r="J41" s="50">
        <v>0</v>
      </c>
      <c r="K41" s="50">
        <v>0</v>
      </c>
      <c r="L41" s="50">
        <v>1</v>
      </c>
      <c r="M41" s="50">
        <v>6</v>
      </c>
      <c r="N41" s="50">
        <v>0</v>
      </c>
      <c r="O41" s="15">
        <f t="shared" si="0"/>
        <v>26</v>
      </c>
      <c r="P41" s="15">
        <f t="shared" si="1"/>
        <v>32</v>
      </c>
    </row>
    <row r="42" spans="2:20" ht="23.1" customHeight="1" x14ac:dyDescent="0.25">
      <c r="B42" s="24" t="s">
        <v>69</v>
      </c>
      <c r="C42" s="50">
        <v>7</v>
      </c>
      <c r="D42" s="50">
        <v>0</v>
      </c>
      <c r="E42" s="50">
        <v>2</v>
      </c>
      <c r="F42" s="50">
        <v>10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2</v>
      </c>
      <c r="M42" s="50">
        <v>10</v>
      </c>
      <c r="N42" s="50">
        <v>0</v>
      </c>
      <c r="O42" s="15">
        <f t="shared" si="0"/>
        <v>21</v>
      </c>
      <c r="P42" s="15">
        <f t="shared" si="1"/>
        <v>31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0</v>
      </c>
      <c r="F43" s="50">
        <v>6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4</v>
      </c>
      <c r="M43" s="50">
        <v>17</v>
      </c>
      <c r="N43" s="50">
        <v>0</v>
      </c>
      <c r="O43" s="15">
        <f t="shared" si="0"/>
        <v>14</v>
      </c>
      <c r="P43" s="15">
        <f t="shared" si="1"/>
        <v>31</v>
      </c>
    </row>
    <row r="44" spans="2:20" ht="23.1" customHeight="1" x14ac:dyDescent="0.25">
      <c r="B44" s="25" t="s">
        <v>71</v>
      </c>
      <c r="C44" s="50">
        <v>9</v>
      </c>
      <c r="D44" s="50">
        <v>2</v>
      </c>
      <c r="E44" s="50">
        <v>0</v>
      </c>
      <c r="F44" s="50">
        <v>19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6</v>
      </c>
      <c r="M44" s="50">
        <v>11</v>
      </c>
      <c r="N44" s="50">
        <v>0</v>
      </c>
      <c r="O44" s="15">
        <f t="shared" si="0"/>
        <v>40</v>
      </c>
      <c r="P44" s="15">
        <f t="shared" si="1"/>
        <v>51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0</v>
      </c>
      <c r="F45" s="50">
        <v>10</v>
      </c>
      <c r="G45" s="50">
        <v>1</v>
      </c>
      <c r="H45" s="50">
        <v>0</v>
      </c>
      <c r="I45" s="50">
        <v>1</v>
      </c>
      <c r="J45" s="50">
        <v>2</v>
      </c>
      <c r="K45" s="50">
        <v>0</v>
      </c>
      <c r="L45" s="50">
        <v>2</v>
      </c>
      <c r="M45" s="50">
        <v>20</v>
      </c>
      <c r="N45" s="50">
        <v>0</v>
      </c>
      <c r="O45" s="15">
        <f t="shared" si="0"/>
        <v>20</v>
      </c>
      <c r="P45" s="15">
        <f t="shared" si="1"/>
        <v>40</v>
      </c>
    </row>
    <row r="46" spans="2:20" ht="23.1" customHeight="1" x14ac:dyDescent="0.25">
      <c r="B46" s="24" t="s">
        <v>73</v>
      </c>
      <c r="C46" s="50">
        <v>8</v>
      </c>
      <c r="D46" s="50">
        <v>2</v>
      </c>
      <c r="E46" s="50">
        <v>0</v>
      </c>
      <c r="F46" s="50">
        <v>9</v>
      </c>
      <c r="G46" s="50">
        <v>0</v>
      </c>
      <c r="H46" s="50">
        <v>0</v>
      </c>
      <c r="I46" s="50">
        <v>0</v>
      </c>
      <c r="J46" s="50">
        <v>3</v>
      </c>
      <c r="K46" s="50">
        <v>2</v>
      </c>
      <c r="L46" s="50">
        <v>4</v>
      </c>
      <c r="M46" s="50">
        <v>16</v>
      </c>
      <c r="N46" s="50">
        <v>0</v>
      </c>
      <c r="O46" s="15">
        <f t="shared" si="0"/>
        <v>28</v>
      </c>
      <c r="P46" s="15">
        <f t="shared" si="1"/>
        <v>44</v>
      </c>
      <c r="R46" s="8"/>
      <c r="T46"/>
    </row>
    <row r="47" spans="2:20" ht="23.1" customHeight="1" x14ac:dyDescent="0.25">
      <c r="B47" s="24" t="s">
        <v>74</v>
      </c>
      <c r="C47" s="50">
        <v>12</v>
      </c>
      <c r="D47" s="50">
        <v>6</v>
      </c>
      <c r="E47" s="50">
        <v>0</v>
      </c>
      <c r="F47" s="50">
        <v>12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7</v>
      </c>
      <c r="M47" s="50">
        <v>12</v>
      </c>
      <c r="N47" s="50">
        <v>0</v>
      </c>
      <c r="O47" s="15">
        <f t="shared" si="0"/>
        <v>37</v>
      </c>
      <c r="P47" s="15">
        <f t="shared" si="1"/>
        <v>49</v>
      </c>
      <c r="R47" s="8"/>
      <c r="T47"/>
    </row>
    <row r="48" spans="2:20" ht="23.1" customHeight="1" x14ac:dyDescent="0.25">
      <c r="B48" s="24" t="s">
        <v>75</v>
      </c>
      <c r="C48" s="50">
        <v>17</v>
      </c>
      <c r="D48" s="50">
        <v>3</v>
      </c>
      <c r="E48" s="50">
        <v>2</v>
      </c>
      <c r="F48" s="50">
        <v>8</v>
      </c>
      <c r="G48" s="50">
        <v>1</v>
      </c>
      <c r="H48" s="50">
        <v>0</v>
      </c>
      <c r="I48" s="50">
        <v>0</v>
      </c>
      <c r="J48" s="50">
        <v>0</v>
      </c>
      <c r="K48" s="50">
        <v>0</v>
      </c>
      <c r="L48" s="50">
        <v>2</v>
      </c>
      <c r="M48" s="50">
        <v>14</v>
      </c>
      <c r="N48" s="50">
        <v>0</v>
      </c>
      <c r="O48" s="15">
        <f t="shared" si="0"/>
        <v>33</v>
      </c>
      <c r="P48" s="15">
        <f t="shared" si="1"/>
        <v>47</v>
      </c>
      <c r="R48" s="8"/>
      <c r="T48"/>
    </row>
    <row r="49" spans="2:20" ht="23.1" customHeight="1" x14ac:dyDescent="0.25">
      <c r="B49" s="23" t="s">
        <v>76</v>
      </c>
      <c r="C49" s="50">
        <v>30</v>
      </c>
      <c r="D49" s="50">
        <v>10</v>
      </c>
      <c r="E49" s="50">
        <v>0</v>
      </c>
      <c r="F49" s="50">
        <v>4</v>
      </c>
      <c r="G49" s="50">
        <v>0</v>
      </c>
      <c r="H49" s="50">
        <v>0</v>
      </c>
      <c r="I49" s="50">
        <v>0</v>
      </c>
      <c r="J49" s="50">
        <v>2</v>
      </c>
      <c r="K49" s="50">
        <v>4</v>
      </c>
      <c r="L49" s="50">
        <v>0</v>
      </c>
      <c r="M49" s="50">
        <v>16</v>
      </c>
      <c r="N49" s="50">
        <v>0</v>
      </c>
      <c r="O49" s="15">
        <f t="shared" si="0"/>
        <v>50</v>
      </c>
      <c r="P49" s="15">
        <f t="shared" si="1"/>
        <v>66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0</v>
      </c>
      <c r="E50" s="50">
        <v>0</v>
      </c>
      <c r="F50" s="50">
        <v>10</v>
      </c>
      <c r="G50" s="50">
        <v>0</v>
      </c>
      <c r="H50" s="50">
        <v>0</v>
      </c>
      <c r="I50" s="50">
        <v>0</v>
      </c>
      <c r="J50" s="50">
        <v>3</v>
      </c>
      <c r="K50" s="50">
        <v>0</v>
      </c>
      <c r="L50" s="50">
        <v>4</v>
      </c>
      <c r="M50" s="50">
        <v>8</v>
      </c>
      <c r="N50" s="50">
        <v>0</v>
      </c>
      <c r="O50" s="15">
        <f t="shared" si="0"/>
        <v>22</v>
      </c>
      <c r="P50" s="15">
        <f t="shared" si="1"/>
        <v>30</v>
      </c>
      <c r="R50" s="8"/>
      <c r="T50"/>
    </row>
    <row r="51" spans="2:20" ht="23.1" customHeight="1" x14ac:dyDescent="0.25">
      <c r="B51" s="24" t="s">
        <v>78</v>
      </c>
      <c r="C51" s="50">
        <v>12</v>
      </c>
      <c r="D51" s="50">
        <v>0</v>
      </c>
      <c r="E51" s="50">
        <v>0</v>
      </c>
      <c r="F51" s="50">
        <v>5</v>
      </c>
      <c r="G51" s="50">
        <v>0</v>
      </c>
      <c r="H51" s="50">
        <v>0</v>
      </c>
      <c r="I51" s="50">
        <v>0</v>
      </c>
      <c r="J51" s="50">
        <v>0</v>
      </c>
      <c r="K51" s="50">
        <v>3</v>
      </c>
      <c r="L51" s="50">
        <v>2</v>
      </c>
      <c r="M51" s="50">
        <v>17</v>
      </c>
      <c r="N51" s="50">
        <v>0</v>
      </c>
      <c r="O51" s="15">
        <f t="shared" si="0"/>
        <v>22</v>
      </c>
      <c r="P51" s="15">
        <f t="shared" si="1"/>
        <v>39</v>
      </c>
      <c r="R51" s="8"/>
      <c r="T51"/>
    </row>
    <row r="52" spans="2:20" ht="23.1" customHeight="1" x14ac:dyDescent="0.25">
      <c r="B52" s="24" t="s">
        <v>79</v>
      </c>
      <c r="C52" s="50">
        <v>14</v>
      </c>
      <c r="D52" s="50">
        <v>2</v>
      </c>
      <c r="E52" s="50">
        <v>4</v>
      </c>
      <c r="F52" s="50">
        <v>8</v>
      </c>
      <c r="G52" s="50">
        <v>1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21</v>
      </c>
      <c r="N52" s="50">
        <v>0</v>
      </c>
      <c r="O52" s="15">
        <f t="shared" si="0"/>
        <v>30</v>
      </c>
      <c r="P52" s="15">
        <f t="shared" si="1"/>
        <v>51</v>
      </c>
      <c r="R52" s="8"/>
      <c r="T52"/>
    </row>
    <row r="53" spans="2:20" ht="23.1" customHeight="1" x14ac:dyDescent="0.25">
      <c r="B53" s="23" t="s">
        <v>80</v>
      </c>
      <c r="C53" s="50">
        <v>9</v>
      </c>
      <c r="D53" s="50">
        <v>0</v>
      </c>
      <c r="E53" s="50">
        <v>0</v>
      </c>
      <c r="F53" s="50">
        <v>3</v>
      </c>
      <c r="G53" s="50">
        <v>0</v>
      </c>
      <c r="H53" s="50">
        <v>0</v>
      </c>
      <c r="I53" s="50">
        <v>0</v>
      </c>
      <c r="J53" s="50">
        <v>2</v>
      </c>
      <c r="K53" s="50">
        <v>0</v>
      </c>
      <c r="L53" s="50">
        <v>0</v>
      </c>
      <c r="M53" s="50">
        <v>10</v>
      </c>
      <c r="N53" s="50">
        <v>0</v>
      </c>
      <c r="O53" s="15">
        <f t="shared" si="0"/>
        <v>14</v>
      </c>
      <c r="P53" s="15">
        <f t="shared" si="1"/>
        <v>24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0</v>
      </c>
      <c r="E54" s="50">
        <v>0</v>
      </c>
      <c r="F54" s="50">
        <v>6</v>
      </c>
      <c r="G54" s="50">
        <v>0</v>
      </c>
      <c r="H54" s="50">
        <v>0</v>
      </c>
      <c r="I54" s="50">
        <v>0</v>
      </c>
      <c r="J54" s="50">
        <v>12</v>
      </c>
      <c r="K54" s="50">
        <v>4</v>
      </c>
      <c r="L54" s="50">
        <v>0</v>
      </c>
      <c r="M54" s="50">
        <v>22</v>
      </c>
      <c r="N54" s="50">
        <v>0</v>
      </c>
      <c r="O54" s="15">
        <f t="shared" si="0"/>
        <v>28</v>
      </c>
      <c r="P54" s="15">
        <f t="shared" si="1"/>
        <v>50</v>
      </c>
      <c r="R54" s="8"/>
      <c r="T54"/>
    </row>
    <row r="55" spans="2:20" ht="23.1" customHeight="1" x14ac:dyDescent="0.25">
      <c r="B55" s="23" t="s">
        <v>82</v>
      </c>
      <c r="C55" s="50">
        <v>21</v>
      </c>
      <c r="D55" s="50">
        <v>6</v>
      </c>
      <c r="E55" s="50">
        <v>2</v>
      </c>
      <c r="F55" s="50">
        <v>4</v>
      </c>
      <c r="G55" s="50">
        <v>2</v>
      </c>
      <c r="H55" s="50">
        <v>0</v>
      </c>
      <c r="I55" s="50">
        <v>0</v>
      </c>
      <c r="J55" s="50">
        <v>4</v>
      </c>
      <c r="K55" s="50">
        <v>6</v>
      </c>
      <c r="L55" s="50">
        <v>3</v>
      </c>
      <c r="M55" s="50">
        <v>9</v>
      </c>
      <c r="N55" s="50">
        <v>0</v>
      </c>
      <c r="O55" s="15">
        <f t="shared" si="0"/>
        <v>48</v>
      </c>
      <c r="P55" s="15">
        <f t="shared" si="1"/>
        <v>57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0</v>
      </c>
      <c r="E56" s="50">
        <v>0</v>
      </c>
      <c r="F56" s="50">
        <v>11</v>
      </c>
      <c r="G56" s="50">
        <v>0</v>
      </c>
      <c r="H56" s="50">
        <v>0</v>
      </c>
      <c r="I56" s="50">
        <v>0</v>
      </c>
      <c r="J56" s="50">
        <v>11</v>
      </c>
      <c r="K56" s="50">
        <v>0</v>
      </c>
      <c r="L56" s="50">
        <v>5</v>
      </c>
      <c r="M56" s="50">
        <v>13</v>
      </c>
      <c r="N56" s="50">
        <v>0</v>
      </c>
      <c r="O56" s="15">
        <f t="shared" si="0"/>
        <v>34</v>
      </c>
      <c r="P56" s="15">
        <f t="shared" si="1"/>
        <v>47</v>
      </c>
      <c r="R56" s="8"/>
      <c r="T56"/>
    </row>
    <row r="57" spans="2:20" ht="23.1" customHeight="1" x14ac:dyDescent="0.25">
      <c r="B57" s="23" t="s">
        <v>84</v>
      </c>
      <c r="C57" s="50">
        <v>12</v>
      </c>
      <c r="D57" s="50">
        <v>2</v>
      </c>
      <c r="E57" s="50">
        <v>4</v>
      </c>
      <c r="F57" s="50">
        <v>5</v>
      </c>
      <c r="G57" s="50">
        <v>0</v>
      </c>
      <c r="H57" s="50">
        <v>0</v>
      </c>
      <c r="I57" s="50">
        <v>0</v>
      </c>
      <c r="J57" s="50">
        <v>3</v>
      </c>
      <c r="K57" s="50">
        <v>2</v>
      </c>
      <c r="L57" s="50">
        <v>2</v>
      </c>
      <c r="M57" s="50">
        <v>7</v>
      </c>
      <c r="N57" s="50">
        <v>0</v>
      </c>
      <c r="O57" s="15">
        <f t="shared" si="0"/>
        <v>30</v>
      </c>
      <c r="P57" s="15">
        <f t="shared" si="1"/>
        <v>37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468</v>
      </c>
      <c r="D58" s="16">
        <f t="shared" si="21"/>
        <v>91</v>
      </c>
      <c r="E58" s="16">
        <f t="shared" si="21"/>
        <v>41</v>
      </c>
      <c r="F58" s="16">
        <f t="shared" si="21"/>
        <v>329</v>
      </c>
      <c r="G58" s="16">
        <f t="shared" si="21"/>
        <v>7</v>
      </c>
      <c r="H58" s="16">
        <f t="shared" si="21"/>
        <v>16</v>
      </c>
      <c r="I58" s="16">
        <f t="shared" si="21"/>
        <v>30</v>
      </c>
      <c r="J58" s="16">
        <f t="shared" si="21"/>
        <v>62</v>
      </c>
      <c r="K58" s="16">
        <f t="shared" si="21"/>
        <v>39</v>
      </c>
      <c r="L58" s="16">
        <f t="shared" si="21"/>
        <v>114</v>
      </c>
      <c r="M58" s="16">
        <f t="shared" si="21"/>
        <v>668</v>
      </c>
      <c r="N58" s="16">
        <f t="shared" si="21"/>
        <v>2</v>
      </c>
      <c r="O58" s="16">
        <f t="shared" si="21"/>
        <v>1199</v>
      </c>
      <c r="P58" s="16">
        <f t="shared" si="21"/>
        <v>1867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0.25066952329941083</v>
      </c>
      <c r="D59" s="43">
        <f t="shared" si="22"/>
        <v>4.874129619710766E-2</v>
      </c>
      <c r="E59" s="43">
        <f t="shared" si="22"/>
        <v>2.1960364220674881E-2</v>
      </c>
      <c r="F59" s="43">
        <f t="shared" si="22"/>
        <v>0.17621853240492769</v>
      </c>
      <c r="G59" s="43">
        <f t="shared" si="22"/>
        <v>3.7493304767005891E-3</v>
      </c>
      <c r="H59" s="43">
        <f t="shared" si="22"/>
        <v>8.5698982324584894E-3</v>
      </c>
      <c r="I59" s="43">
        <f t="shared" si="22"/>
        <v>1.6068559185859668E-2</v>
      </c>
      <c r="J59" s="43">
        <f t="shared" si="22"/>
        <v>3.320835565077665E-2</v>
      </c>
      <c r="K59" s="43">
        <f t="shared" si="22"/>
        <v>2.088912694161757E-2</v>
      </c>
      <c r="L59" s="43">
        <f t="shared" si="22"/>
        <v>6.106052490626674E-2</v>
      </c>
      <c r="M59" s="43">
        <f t="shared" si="22"/>
        <v>0.35779325120514194</v>
      </c>
      <c r="N59" s="43">
        <f t="shared" si="22"/>
        <v>1.0712372790573112E-3</v>
      </c>
      <c r="R59" s="8"/>
      <c r="T59"/>
    </row>
    <row r="60" spans="2:20" ht="23.1" customHeight="1" x14ac:dyDescent="0.25">
      <c r="B60" s="42" t="s">
        <v>94</v>
      </c>
      <c r="C60" s="44">
        <f>C58/$O$58</f>
        <v>0.39032527105921599</v>
      </c>
      <c r="D60" s="44">
        <f t="shared" ref="D60:N60" si="23">D58/$O$58</f>
        <v>7.5896580483736445E-2</v>
      </c>
      <c r="E60" s="44">
        <f t="shared" si="23"/>
        <v>3.4195162635529609E-2</v>
      </c>
      <c r="F60" s="44">
        <f t="shared" si="23"/>
        <v>0.27439532944120099</v>
      </c>
      <c r="G60" s="44">
        <f t="shared" si="23"/>
        <v>5.8381984987489572E-3</v>
      </c>
      <c r="H60" s="44">
        <f t="shared" si="23"/>
        <v>1.3344453711426188E-2</v>
      </c>
      <c r="I60" s="44">
        <f t="shared" si="23"/>
        <v>2.5020850708924104E-2</v>
      </c>
      <c r="J60" s="44">
        <f t="shared" si="23"/>
        <v>5.170975813177648E-2</v>
      </c>
      <c r="K60" s="44">
        <f t="shared" si="23"/>
        <v>3.2527105921601338E-2</v>
      </c>
      <c r="L60" s="44">
        <f t="shared" si="23"/>
        <v>9.5079232693911594E-2</v>
      </c>
      <c r="M60" s="44"/>
      <c r="N60" s="44">
        <f t="shared" si="23"/>
        <v>1.6680567139282735E-3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zoomScale="60" workbookViewId="0">
      <selection activeCell="L77" sqref="L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'27.10 Mbarara-Kabale'!C3:G3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7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'27.10 Mbarara-Kabale'!G5:H5</f>
        <v>Nyeihanga traffic station</v>
      </c>
      <c r="H5" s="64"/>
      <c r="I5" s="14"/>
      <c r="J5" s="2" t="s">
        <v>5</v>
      </c>
      <c r="K5" s="63" t="str">
        <f>'27.10 Mbarara-Kabale'!K5:L5</f>
        <v>Norman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'27.10 Mbarara-Kabale'!D6:E6</f>
        <v>Mbarara</v>
      </c>
      <c r="E6" s="64"/>
      <c r="F6" s="2" t="s">
        <v>2</v>
      </c>
      <c r="G6" s="63" t="str">
        <f>'27.10 Mbarara-Kabale'!G6:H6</f>
        <v>Kabale</v>
      </c>
      <c r="H6" s="64"/>
      <c r="J6" s="2" t="s">
        <v>21</v>
      </c>
      <c r="K6" s="63" t="str">
        <f>'27.10 Mbarara-Kabale'!K6:L6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0</v>
      </c>
      <c r="E10" s="50">
        <v>1</v>
      </c>
      <c r="F10" s="50">
        <v>4</v>
      </c>
      <c r="G10" s="50">
        <v>0</v>
      </c>
      <c r="H10" s="50">
        <v>0</v>
      </c>
      <c r="I10" s="50">
        <v>0</v>
      </c>
      <c r="J10" s="50">
        <v>0</v>
      </c>
      <c r="K10" s="50">
        <v>2</v>
      </c>
      <c r="L10" s="50">
        <v>2</v>
      </c>
      <c r="M10" s="50">
        <v>14</v>
      </c>
      <c r="N10" s="50">
        <v>0</v>
      </c>
      <c r="O10" s="15">
        <f t="shared" ref="O10:O57" si="0">SUM(C10:L10,N10)</f>
        <v>15</v>
      </c>
      <c r="P10" s="15">
        <f t="shared" ref="P10:P57" si="1">SUM(C10:N10)</f>
        <v>29</v>
      </c>
      <c r="R10" s="1" t="s">
        <v>6</v>
      </c>
      <c r="S10" s="17">
        <f t="shared" ref="S10:AF10" si="2">SUM(C10:C13)</f>
        <v>18</v>
      </c>
      <c r="T10" s="17">
        <f t="shared" si="2"/>
        <v>3</v>
      </c>
      <c r="U10" s="17">
        <f t="shared" si="2"/>
        <v>2</v>
      </c>
      <c r="V10" s="17">
        <f t="shared" si="2"/>
        <v>5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2</v>
      </c>
      <c r="AA10" s="17">
        <f t="shared" si="2"/>
        <v>7</v>
      </c>
      <c r="AB10" s="17">
        <f t="shared" si="2"/>
        <v>10</v>
      </c>
      <c r="AC10" s="17">
        <f t="shared" si="2"/>
        <v>47</v>
      </c>
      <c r="AD10" s="17">
        <f t="shared" si="2"/>
        <v>0</v>
      </c>
      <c r="AE10" s="31">
        <f t="shared" si="2"/>
        <v>52</v>
      </c>
      <c r="AF10" s="31">
        <f t="shared" si="2"/>
        <v>99</v>
      </c>
    </row>
    <row r="11" spans="2:32" s="6" customFormat="1" ht="23.1" customHeight="1" x14ac:dyDescent="0.25">
      <c r="B11" s="23" t="s">
        <v>38</v>
      </c>
      <c r="C11" s="50">
        <v>3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3</v>
      </c>
      <c r="L11" s="50">
        <v>2</v>
      </c>
      <c r="M11" s="50">
        <v>12</v>
      </c>
      <c r="N11" s="50">
        <v>0</v>
      </c>
      <c r="O11" s="15">
        <f t="shared" si="0"/>
        <v>10</v>
      </c>
      <c r="P11" s="15">
        <f t="shared" si="1"/>
        <v>22</v>
      </c>
      <c r="R11" s="1" t="s">
        <v>7</v>
      </c>
      <c r="S11" s="17">
        <f t="shared" ref="S11:AF11" si="3">SUM(C14:C17)</f>
        <v>26</v>
      </c>
      <c r="T11" s="17">
        <f t="shared" si="3"/>
        <v>6</v>
      </c>
      <c r="U11" s="17">
        <f t="shared" si="3"/>
        <v>7</v>
      </c>
      <c r="V11" s="17">
        <f t="shared" si="3"/>
        <v>16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4</v>
      </c>
      <c r="AA11" s="17">
        <f t="shared" si="3"/>
        <v>3</v>
      </c>
      <c r="AB11" s="17">
        <f t="shared" si="3"/>
        <v>12</v>
      </c>
      <c r="AC11" s="17">
        <f t="shared" si="3"/>
        <v>61</v>
      </c>
      <c r="AD11" s="17">
        <f t="shared" si="3"/>
        <v>0</v>
      </c>
      <c r="AE11" s="31">
        <f t="shared" si="3"/>
        <v>80</v>
      </c>
      <c r="AF11" s="31">
        <f t="shared" si="3"/>
        <v>141</v>
      </c>
    </row>
    <row r="12" spans="2:32" ht="23.1" customHeight="1" x14ac:dyDescent="0.25">
      <c r="B12" s="23" t="s">
        <v>39</v>
      </c>
      <c r="C12" s="50">
        <v>4</v>
      </c>
      <c r="D12" s="50">
        <v>1</v>
      </c>
      <c r="E12" s="50">
        <v>0</v>
      </c>
      <c r="F12" s="50">
        <v>1</v>
      </c>
      <c r="G12" s="50">
        <v>0</v>
      </c>
      <c r="H12" s="50">
        <v>0</v>
      </c>
      <c r="I12" s="50">
        <v>2</v>
      </c>
      <c r="J12" s="50">
        <v>1</v>
      </c>
      <c r="K12" s="50">
        <v>2</v>
      </c>
      <c r="L12" s="50">
        <v>6</v>
      </c>
      <c r="M12" s="50">
        <v>13</v>
      </c>
      <c r="N12" s="50">
        <v>0</v>
      </c>
      <c r="O12" s="15">
        <f t="shared" si="0"/>
        <v>17</v>
      </c>
      <c r="P12" s="15">
        <f t="shared" si="1"/>
        <v>30</v>
      </c>
      <c r="R12" s="1" t="s">
        <v>8</v>
      </c>
      <c r="S12" s="17">
        <f t="shared" ref="S12:AF12" si="4">SUM(C18:C21)</f>
        <v>28</v>
      </c>
      <c r="T12" s="17">
        <f t="shared" si="4"/>
        <v>10</v>
      </c>
      <c r="U12" s="17">
        <f t="shared" si="4"/>
        <v>7</v>
      </c>
      <c r="V12" s="17">
        <f t="shared" si="4"/>
        <v>13</v>
      </c>
      <c r="W12" s="17">
        <f t="shared" si="4"/>
        <v>0</v>
      </c>
      <c r="X12" s="17">
        <f t="shared" si="4"/>
        <v>2</v>
      </c>
      <c r="Y12" s="17">
        <f t="shared" si="4"/>
        <v>12</v>
      </c>
      <c r="Z12" s="17">
        <f t="shared" si="4"/>
        <v>6</v>
      </c>
      <c r="AA12" s="17">
        <f t="shared" si="4"/>
        <v>2</v>
      </c>
      <c r="AB12" s="17">
        <f t="shared" si="4"/>
        <v>21</v>
      </c>
      <c r="AC12" s="17">
        <f t="shared" si="4"/>
        <v>90</v>
      </c>
      <c r="AD12" s="17">
        <f t="shared" si="4"/>
        <v>0</v>
      </c>
      <c r="AE12" s="31">
        <f t="shared" si="4"/>
        <v>101</v>
      </c>
      <c r="AF12" s="31">
        <f t="shared" si="4"/>
        <v>191</v>
      </c>
    </row>
    <row r="13" spans="2:32" ht="23.1" customHeight="1" x14ac:dyDescent="0.25">
      <c r="B13" s="23" t="s">
        <v>40</v>
      </c>
      <c r="C13" s="50">
        <v>5</v>
      </c>
      <c r="D13" s="50">
        <v>1</v>
      </c>
      <c r="E13" s="50">
        <v>1</v>
      </c>
      <c r="F13" s="50">
        <v>0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10</v>
      </c>
      <c r="P13" s="15">
        <f t="shared" si="1"/>
        <v>18</v>
      </c>
      <c r="R13" s="1" t="s">
        <v>9</v>
      </c>
      <c r="S13" s="17">
        <f t="shared" ref="S13:AF13" si="5">SUM(C22:C25)</f>
        <v>27</v>
      </c>
      <c r="T13" s="17">
        <f t="shared" si="5"/>
        <v>10</v>
      </c>
      <c r="U13" s="17">
        <f t="shared" si="5"/>
        <v>10</v>
      </c>
      <c r="V13" s="17">
        <f t="shared" si="5"/>
        <v>23</v>
      </c>
      <c r="W13" s="17">
        <f t="shared" si="5"/>
        <v>0</v>
      </c>
      <c r="X13" s="17">
        <f t="shared" si="5"/>
        <v>3</v>
      </c>
      <c r="Y13" s="17">
        <f t="shared" si="5"/>
        <v>25</v>
      </c>
      <c r="Z13" s="17">
        <f t="shared" si="5"/>
        <v>5</v>
      </c>
      <c r="AA13" s="17">
        <f t="shared" si="5"/>
        <v>8</v>
      </c>
      <c r="AB13" s="17">
        <f t="shared" si="5"/>
        <v>17</v>
      </c>
      <c r="AC13" s="17">
        <f t="shared" si="5"/>
        <v>60</v>
      </c>
      <c r="AD13" s="17">
        <f t="shared" si="5"/>
        <v>0</v>
      </c>
      <c r="AE13" s="31">
        <f t="shared" si="5"/>
        <v>128</v>
      </c>
      <c r="AF13" s="31">
        <f t="shared" si="5"/>
        <v>188</v>
      </c>
    </row>
    <row r="14" spans="2:32" ht="23.1" customHeight="1" x14ac:dyDescent="0.25">
      <c r="B14" s="23" t="s">
        <v>41</v>
      </c>
      <c r="C14" s="50">
        <v>10</v>
      </c>
      <c r="D14" s="50">
        <v>1</v>
      </c>
      <c r="E14" s="50">
        <v>2</v>
      </c>
      <c r="F14" s="50">
        <v>4</v>
      </c>
      <c r="G14" s="50">
        <v>0</v>
      </c>
      <c r="H14" s="50">
        <v>0</v>
      </c>
      <c r="I14" s="50">
        <v>1</v>
      </c>
      <c r="J14" s="50">
        <v>1</v>
      </c>
      <c r="K14" s="50">
        <v>1</v>
      </c>
      <c r="L14" s="50">
        <v>0</v>
      </c>
      <c r="M14" s="50">
        <v>11</v>
      </c>
      <c r="N14" s="50">
        <v>0</v>
      </c>
      <c r="O14" s="15">
        <f t="shared" si="0"/>
        <v>20</v>
      </c>
      <c r="P14" s="15">
        <f t="shared" si="1"/>
        <v>31</v>
      </c>
      <c r="R14" s="1" t="s">
        <v>10</v>
      </c>
      <c r="S14" s="17">
        <f t="shared" ref="S14:AF14" si="6">SUM(C26:C29)</f>
        <v>36</v>
      </c>
      <c r="T14" s="17">
        <f t="shared" si="6"/>
        <v>21</v>
      </c>
      <c r="U14" s="17">
        <f t="shared" si="6"/>
        <v>16</v>
      </c>
      <c r="V14" s="17">
        <f t="shared" si="6"/>
        <v>36</v>
      </c>
      <c r="W14" s="17">
        <f t="shared" si="6"/>
        <v>0</v>
      </c>
      <c r="X14" s="17">
        <f t="shared" si="6"/>
        <v>4</v>
      </c>
      <c r="Y14" s="17">
        <f t="shared" si="6"/>
        <v>15</v>
      </c>
      <c r="Z14" s="17">
        <f t="shared" si="6"/>
        <v>7</v>
      </c>
      <c r="AA14" s="17">
        <f t="shared" si="6"/>
        <v>6</v>
      </c>
      <c r="AB14" s="17">
        <f t="shared" si="6"/>
        <v>14</v>
      </c>
      <c r="AC14" s="17">
        <f t="shared" si="6"/>
        <v>83</v>
      </c>
      <c r="AD14" s="17">
        <f t="shared" si="6"/>
        <v>0</v>
      </c>
      <c r="AE14" s="31">
        <f t="shared" si="6"/>
        <v>155</v>
      </c>
      <c r="AF14" s="31">
        <f t="shared" si="6"/>
        <v>238</v>
      </c>
    </row>
    <row r="15" spans="2:32" ht="23.1" customHeight="1" x14ac:dyDescent="0.25">
      <c r="B15" s="23" t="s">
        <v>42</v>
      </c>
      <c r="C15" s="50">
        <v>7</v>
      </c>
      <c r="D15" s="50">
        <v>2</v>
      </c>
      <c r="E15" s="50">
        <v>2</v>
      </c>
      <c r="F15" s="50">
        <v>6</v>
      </c>
      <c r="G15" s="50">
        <v>0</v>
      </c>
      <c r="H15" s="50">
        <v>0</v>
      </c>
      <c r="I15" s="50">
        <v>1</v>
      </c>
      <c r="J15" s="50">
        <v>1</v>
      </c>
      <c r="K15" s="50">
        <v>2</v>
      </c>
      <c r="L15" s="50">
        <v>3</v>
      </c>
      <c r="M15" s="50">
        <v>18</v>
      </c>
      <c r="N15" s="50">
        <v>0</v>
      </c>
      <c r="O15" s="15">
        <f t="shared" si="0"/>
        <v>24</v>
      </c>
      <c r="P15" s="15">
        <f t="shared" si="1"/>
        <v>42</v>
      </c>
      <c r="R15" s="1" t="s">
        <v>11</v>
      </c>
      <c r="S15" s="17">
        <f t="shared" ref="S15:AF15" si="7">SUM(C30:C33)</f>
        <v>35</v>
      </c>
      <c r="T15" s="17">
        <f t="shared" si="7"/>
        <v>3</v>
      </c>
      <c r="U15" s="17">
        <f t="shared" si="7"/>
        <v>12</v>
      </c>
      <c r="V15" s="17">
        <f t="shared" si="7"/>
        <v>28</v>
      </c>
      <c r="W15" s="17">
        <f t="shared" si="7"/>
        <v>0</v>
      </c>
      <c r="X15" s="17">
        <f t="shared" si="7"/>
        <v>3</v>
      </c>
      <c r="Y15" s="17">
        <f t="shared" si="7"/>
        <v>14</v>
      </c>
      <c r="Z15" s="17">
        <f t="shared" si="7"/>
        <v>13</v>
      </c>
      <c r="AA15" s="17">
        <f t="shared" si="7"/>
        <v>16</v>
      </c>
      <c r="AB15" s="17">
        <f t="shared" si="7"/>
        <v>25</v>
      </c>
      <c r="AC15" s="17">
        <f t="shared" si="7"/>
        <v>58</v>
      </c>
      <c r="AD15" s="17">
        <f t="shared" si="7"/>
        <v>0</v>
      </c>
      <c r="AE15" s="31">
        <f t="shared" si="7"/>
        <v>149</v>
      </c>
      <c r="AF15" s="31">
        <f t="shared" si="7"/>
        <v>207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3</v>
      </c>
      <c r="F16" s="50">
        <v>3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6</v>
      </c>
      <c r="M16" s="50">
        <v>26</v>
      </c>
      <c r="N16" s="50">
        <v>0</v>
      </c>
      <c r="O16" s="15">
        <f t="shared" si="0"/>
        <v>16</v>
      </c>
      <c r="P16" s="15">
        <f t="shared" si="1"/>
        <v>42</v>
      </c>
      <c r="R16" s="1" t="s">
        <v>12</v>
      </c>
      <c r="S16" s="17">
        <f t="shared" ref="S16:AF16" si="8">SUM(C34:C37)</f>
        <v>31</v>
      </c>
      <c r="T16" s="17">
        <f t="shared" si="8"/>
        <v>9</v>
      </c>
      <c r="U16" s="17">
        <f t="shared" si="8"/>
        <v>11</v>
      </c>
      <c r="V16" s="17">
        <f t="shared" si="8"/>
        <v>19</v>
      </c>
      <c r="W16" s="17">
        <f t="shared" si="8"/>
        <v>0</v>
      </c>
      <c r="X16" s="17">
        <f t="shared" si="8"/>
        <v>2</v>
      </c>
      <c r="Y16" s="17">
        <f t="shared" si="8"/>
        <v>5</v>
      </c>
      <c r="Z16" s="17">
        <f t="shared" si="8"/>
        <v>5</v>
      </c>
      <c r="AA16" s="17">
        <f t="shared" si="8"/>
        <v>5</v>
      </c>
      <c r="AB16" s="17">
        <f t="shared" si="8"/>
        <v>0</v>
      </c>
      <c r="AC16" s="17">
        <f t="shared" si="8"/>
        <v>32</v>
      </c>
      <c r="AD16" s="17">
        <f t="shared" si="8"/>
        <v>0</v>
      </c>
      <c r="AE16" s="31">
        <f t="shared" si="8"/>
        <v>87</v>
      </c>
      <c r="AF16" s="31">
        <f t="shared" si="8"/>
        <v>119</v>
      </c>
    </row>
    <row r="17" spans="2:32" ht="23.1" customHeight="1" x14ac:dyDescent="0.25">
      <c r="B17" s="23" t="s">
        <v>44</v>
      </c>
      <c r="C17" s="50">
        <v>8</v>
      </c>
      <c r="D17" s="50">
        <v>2</v>
      </c>
      <c r="E17" s="50">
        <v>0</v>
      </c>
      <c r="F17" s="50">
        <v>3</v>
      </c>
      <c r="G17" s="50">
        <v>0</v>
      </c>
      <c r="H17" s="50">
        <v>0</v>
      </c>
      <c r="I17" s="50">
        <v>2</v>
      </c>
      <c r="J17" s="50">
        <v>2</v>
      </c>
      <c r="K17" s="50">
        <v>0</v>
      </c>
      <c r="L17" s="50">
        <v>3</v>
      </c>
      <c r="M17" s="50">
        <v>6</v>
      </c>
      <c r="N17" s="50">
        <v>0</v>
      </c>
      <c r="O17" s="15">
        <f t="shared" si="0"/>
        <v>20</v>
      </c>
      <c r="P17" s="15">
        <f t="shared" si="1"/>
        <v>26</v>
      </c>
      <c r="R17" s="1" t="s">
        <v>13</v>
      </c>
      <c r="S17" s="17">
        <f t="shared" ref="S17:AF17" si="9">SUM(C38:C41)</f>
        <v>21</v>
      </c>
      <c r="T17" s="17">
        <f t="shared" si="9"/>
        <v>12</v>
      </c>
      <c r="U17" s="17">
        <f t="shared" si="9"/>
        <v>1</v>
      </c>
      <c r="V17" s="17">
        <f t="shared" si="9"/>
        <v>17</v>
      </c>
      <c r="W17" s="17">
        <f t="shared" si="9"/>
        <v>0</v>
      </c>
      <c r="X17" s="17">
        <f t="shared" si="9"/>
        <v>6</v>
      </c>
      <c r="Y17" s="17">
        <f t="shared" si="9"/>
        <v>0</v>
      </c>
      <c r="Z17" s="17">
        <f t="shared" si="9"/>
        <v>0</v>
      </c>
      <c r="AA17" s="17">
        <f t="shared" si="9"/>
        <v>8</v>
      </c>
      <c r="AB17" s="17">
        <f t="shared" si="9"/>
        <v>17</v>
      </c>
      <c r="AC17" s="17">
        <f t="shared" si="9"/>
        <v>28</v>
      </c>
      <c r="AD17" s="17">
        <f t="shared" si="9"/>
        <v>0</v>
      </c>
      <c r="AE17" s="31">
        <f t="shared" si="9"/>
        <v>82</v>
      </c>
      <c r="AF17" s="31">
        <f t="shared" si="9"/>
        <v>110</v>
      </c>
    </row>
    <row r="18" spans="2:32" ht="23.1" customHeight="1" x14ac:dyDescent="0.25">
      <c r="B18" s="23" t="s">
        <v>45</v>
      </c>
      <c r="C18" s="50">
        <v>4</v>
      </c>
      <c r="D18" s="50">
        <v>6</v>
      </c>
      <c r="E18" s="50">
        <v>2</v>
      </c>
      <c r="F18" s="50">
        <v>2</v>
      </c>
      <c r="G18" s="50">
        <v>0</v>
      </c>
      <c r="H18" s="50">
        <v>0</v>
      </c>
      <c r="I18" s="50">
        <v>2</v>
      </c>
      <c r="J18" s="50">
        <v>0</v>
      </c>
      <c r="K18" s="50">
        <v>2</v>
      </c>
      <c r="L18" s="50">
        <v>4</v>
      </c>
      <c r="M18" s="50">
        <v>19</v>
      </c>
      <c r="N18" s="50">
        <v>0</v>
      </c>
      <c r="O18" s="15">
        <f t="shared" si="0"/>
        <v>22</v>
      </c>
      <c r="P18" s="15">
        <f t="shared" si="1"/>
        <v>41</v>
      </c>
      <c r="R18" s="1" t="s">
        <v>14</v>
      </c>
      <c r="S18" s="17">
        <f t="shared" ref="S18:AF18" si="10">SUM(C42:C45)</f>
        <v>27</v>
      </c>
      <c r="T18" s="17">
        <f t="shared" si="10"/>
        <v>14</v>
      </c>
      <c r="U18" s="17">
        <f t="shared" si="10"/>
        <v>1</v>
      </c>
      <c r="V18" s="17">
        <f t="shared" si="10"/>
        <v>18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3</v>
      </c>
      <c r="AB18" s="17">
        <f t="shared" si="10"/>
        <v>25</v>
      </c>
      <c r="AC18" s="17">
        <f t="shared" si="10"/>
        <v>10</v>
      </c>
      <c r="AD18" s="17">
        <f t="shared" si="10"/>
        <v>0</v>
      </c>
      <c r="AE18" s="31">
        <f t="shared" si="10"/>
        <v>91</v>
      </c>
      <c r="AF18" s="31">
        <f t="shared" si="10"/>
        <v>101</v>
      </c>
    </row>
    <row r="19" spans="2:32" ht="23.1" customHeight="1" x14ac:dyDescent="0.25">
      <c r="B19" s="23" t="s">
        <v>46</v>
      </c>
      <c r="C19" s="50">
        <v>9</v>
      </c>
      <c r="D19" s="50">
        <v>2</v>
      </c>
      <c r="E19" s="50">
        <v>3</v>
      </c>
      <c r="F19" s="50">
        <v>6</v>
      </c>
      <c r="G19" s="50">
        <v>0</v>
      </c>
      <c r="H19" s="50">
        <v>0</v>
      </c>
      <c r="I19" s="50">
        <v>6</v>
      </c>
      <c r="J19" s="50">
        <v>4</v>
      </c>
      <c r="K19" s="50">
        <v>0</v>
      </c>
      <c r="L19" s="50">
        <v>11</v>
      </c>
      <c r="M19" s="50">
        <v>24</v>
      </c>
      <c r="N19" s="50">
        <v>0</v>
      </c>
      <c r="O19" s="15">
        <f t="shared" si="0"/>
        <v>41</v>
      </c>
      <c r="P19" s="15">
        <f t="shared" si="1"/>
        <v>65</v>
      </c>
      <c r="R19" s="1" t="s">
        <v>15</v>
      </c>
      <c r="S19" s="17">
        <f t="shared" ref="S19:AF19" si="11">SUM(C46:C49)</f>
        <v>19</v>
      </c>
      <c r="T19" s="17">
        <f t="shared" si="11"/>
        <v>20</v>
      </c>
      <c r="U19" s="17">
        <f t="shared" si="11"/>
        <v>9</v>
      </c>
      <c r="V19" s="17">
        <f t="shared" si="11"/>
        <v>36</v>
      </c>
      <c r="W19" s="17">
        <f t="shared" si="11"/>
        <v>0</v>
      </c>
      <c r="X19" s="17">
        <f t="shared" si="11"/>
        <v>7</v>
      </c>
      <c r="Y19" s="17">
        <f t="shared" si="11"/>
        <v>12</v>
      </c>
      <c r="Z19" s="17">
        <f t="shared" si="11"/>
        <v>4</v>
      </c>
      <c r="AA19" s="17">
        <f t="shared" si="11"/>
        <v>4</v>
      </c>
      <c r="AB19" s="17">
        <f t="shared" si="11"/>
        <v>20</v>
      </c>
      <c r="AC19" s="17">
        <f t="shared" si="11"/>
        <v>34</v>
      </c>
      <c r="AD19" s="17">
        <f t="shared" si="11"/>
        <v>0</v>
      </c>
      <c r="AE19" s="31">
        <f t="shared" si="11"/>
        <v>131</v>
      </c>
      <c r="AF19" s="31">
        <f t="shared" si="11"/>
        <v>165</v>
      </c>
    </row>
    <row r="20" spans="2:32" ht="23.1" customHeight="1" x14ac:dyDescent="0.25">
      <c r="B20" s="23" t="s">
        <v>47</v>
      </c>
      <c r="C20" s="50">
        <v>12</v>
      </c>
      <c r="D20" s="50">
        <v>2</v>
      </c>
      <c r="E20" s="50">
        <v>1</v>
      </c>
      <c r="F20" s="50">
        <v>3</v>
      </c>
      <c r="G20" s="50">
        <v>0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23</v>
      </c>
      <c r="N20" s="50">
        <v>0</v>
      </c>
      <c r="O20" s="15">
        <f t="shared" si="0"/>
        <v>22</v>
      </c>
      <c r="P20" s="15">
        <f t="shared" si="1"/>
        <v>45</v>
      </c>
      <c r="R20" s="1" t="s">
        <v>16</v>
      </c>
      <c r="S20" s="17">
        <f t="shared" ref="S20:AF20" si="12">SUM(C50:C53)</f>
        <v>27</v>
      </c>
      <c r="T20" s="17">
        <f t="shared" si="12"/>
        <v>16</v>
      </c>
      <c r="U20" s="17">
        <f t="shared" si="12"/>
        <v>5</v>
      </c>
      <c r="V20" s="17">
        <f t="shared" si="12"/>
        <v>17</v>
      </c>
      <c r="W20" s="17">
        <f t="shared" si="12"/>
        <v>1</v>
      </c>
      <c r="X20" s="17">
        <f t="shared" si="12"/>
        <v>0</v>
      </c>
      <c r="Y20" s="17">
        <f t="shared" si="12"/>
        <v>4</v>
      </c>
      <c r="Z20" s="17">
        <f t="shared" si="12"/>
        <v>2</v>
      </c>
      <c r="AA20" s="17">
        <f t="shared" si="12"/>
        <v>16</v>
      </c>
      <c r="AB20" s="17">
        <f t="shared" si="12"/>
        <v>16</v>
      </c>
      <c r="AC20" s="17">
        <f t="shared" si="12"/>
        <v>55</v>
      </c>
      <c r="AD20" s="17">
        <f t="shared" si="12"/>
        <v>0</v>
      </c>
      <c r="AE20" s="31">
        <f t="shared" si="12"/>
        <v>104</v>
      </c>
      <c r="AF20" s="31">
        <f t="shared" si="12"/>
        <v>159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1</v>
      </c>
      <c r="F21" s="50">
        <v>2</v>
      </c>
      <c r="G21" s="50">
        <v>0</v>
      </c>
      <c r="H21" s="50">
        <v>2</v>
      </c>
      <c r="I21" s="50">
        <v>0</v>
      </c>
      <c r="J21" s="50">
        <v>2</v>
      </c>
      <c r="K21" s="50">
        <v>0</v>
      </c>
      <c r="L21" s="50">
        <v>6</v>
      </c>
      <c r="M21" s="50">
        <v>24</v>
      </c>
      <c r="N21" s="50">
        <v>0</v>
      </c>
      <c r="O21" s="15">
        <f t="shared" si="0"/>
        <v>16</v>
      </c>
      <c r="P21" s="15">
        <f t="shared" si="1"/>
        <v>40</v>
      </c>
      <c r="R21" s="36" t="s">
        <v>20</v>
      </c>
      <c r="S21" s="34">
        <f t="shared" ref="S21:AF21" si="13">SUM(C54:C57)</f>
        <v>38</v>
      </c>
      <c r="T21" s="17">
        <f t="shared" si="13"/>
        <v>14</v>
      </c>
      <c r="U21" s="17">
        <f t="shared" si="13"/>
        <v>10</v>
      </c>
      <c r="V21" s="17">
        <f t="shared" si="13"/>
        <v>15</v>
      </c>
      <c r="W21" s="17">
        <f t="shared" si="13"/>
        <v>1</v>
      </c>
      <c r="X21" s="17">
        <f t="shared" si="13"/>
        <v>0</v>
      </c>
      <c r="Y21" s="17">
        <f t="shared" si="13"/>
        <v>3</v>
      </c>
      <c r="Z21" s="17">
        <f t="shared" si="13"/>
        <v>1</v>
      </c>
      <c r="AA21" s="17">
        <f t="shared" si="13"/>
        <v>5</v>
      </c>
      <c r="AB21" s="17">
        <f t="shared" si="13"/>
        <v>16</v>
      </c>
      <c r="AC21" s="17">
        <f t="shared" si="13"/>
        <v>59</v>
      </c>
      <c r="AD21" s="17">
        <f t="shared" si="13"/>
        <v>0</v>
      </c>
      <c r="AE21" s="31">
        <f t="shared" si="13"/>
        <v>103</v>
      </c>
      <c r="AF21" s="31">
        <f t="shared" si="13"/>
        <v>162</v>
      </c>
    </row>
    <row r="22" spans="2:32" ht="23.1" customHeight="1" x14ac:dyDescent="0.25">
      <c r="B22" s="23" t="s">
        <v>49</v>
      </c>
      <c r="C22" s="50">
        <v>2</v>
      </c>
      <c r="D22" s="50">
        <v>1</v>
      </c>
      <c r="E22" s="50">
        <v>0</v>
      </c>
      <c r="F22" s="50">
        <v>4</v>
      </c>
      <c r="G22" s="50">
        <v>0</v>
      </c>
      <c r="H22" s="50">
        <v>0</v>
      </c>
      <c r="I22" s="50">
        <v>0</v>
      </c>
      <c r="J22" s="50">
        <v>0</v>
      </c>
      <c r="K22" s="50">
        <v>3</v>
      </c>
      <c r="L22" s="50">
        <v>4</v>
      </c>
      <c r="M22" s="50">
        <v>9</v>
      </c>
      <c r="N22" s="50">
        <v>0</v>
      </c>
      <c r="O22" s="15">
        <f t="shared" si="0"/>
        <v>14</v>
      </c>
      <c r="P22" s="15">
        <f t="shared" si="1"/>
        <v>23</v>
      </c>
      <c r="R22" s="38" t="s">
        <v>90</v>
      </c>
      <c r="S22" s="39">
        <f>MAX(S10:S12)</f>
        <v>28</v>
      </c>
      <c r="T22" s="39">
        <f t="shared" ref="T22:AF22" si="14">MAX(T10:T12)</f>
        <v>10</v>
      </c>
      <c r="U22" s="39">
        <f t="shared" si="14"/>
        <v>7</v>
      </c>
      <c r="V22" s="39">
        <f t="shared" si="14"/>
        <v>16</v>
      </c>
      <c r="W22" s="39">
        <f t="shared" si="14"/>
        <v>0</v>
      </c>
      <c r="X22" s="39">
        <f t="shared" si="14"/>
        <v>2</v>
      </c>
      <c r="Y22" s="39">
        <f t="shared" si="14"/>
        <v>12</v>
      </c>
      <c r="Z22" s="39">
        <f t="shared" si="14"/>
        <v>6</v>
      </c>
      <c r="AA22" s="39">
        <f t="shared" si="14"/>
        <v>7</v>
      </c>
      <c r="AB22" s="39">
        <f t="shared" si="14"/>
        <v>21</v>
      </c>
      <c r="AC22" s="39">
        <f t="shared" si="14"/>
        <v>90</v>
      </c>
      <c r="AD22" s="39">
        <f t="shared" si="14"/>
        <v>0</v>
      </c>
      <c r="AE22" s="40">
        <f t="shared" si="14"/>
        <v>101</v>
      </c>
      <c r="AF22" s="40">
        <f t="shared" si="14"/>
        <v>191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5</v>
      </c>
      <c r="F23" s="50">
        <v>8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5</v>
      </c>
      <c r="M23" s="50">
        <v>8</v>
      </c>
      <c r="N23" s="50">
        <v>0</v>
      </c>
      <c r="O23" s="15">
        <f t="shared" si="0"/>
        <v>24</v>
      </c>
      <c r="P23" s="15">
        <f t="shared" si="1"/>
        <v>32</v>
      </c>
      <c r="R23" s="38" t="s">
        <v>91</v>
      </c>
      <c r="S23" s="39">
        <f>MAX(S13:S18)</f>
        <v>36</v>
      </c>
      <c r="T23" s="39">
        <f t="shared" ref="T23:AF23" si="15">MAX(T13:T18)</f>
        <v>21</v>
      </c>
      <c r="U23" s="39">
        <f t="shared" si="15"/>
        <v>16</v>
      </c>
      <c r="V23" s="39">
        <f t="shared" si="15"/>
        <v>36</v>
      </c>
      <c r="W23" s="39">
        <f t="shared" si="15"/>
        <v>0</v>
      </c>
      <c r="X23" s="39">
        <f t="shared" si="15"/>
        <v>6</v>
      </c>
      <c r="Y23" s="39">
        <f t="shared" si="15"/>
        <v>25</v>
      </c>
      <c r="Z23" s="39">
        <f t="shared" si="15"/>
        <v>13</v>
      </c>
      <c r="AA23" s="39">
        <f t="shared" si="15"/>
        <v>16</v>
      </c>
      <c r="AB23" s="39">
        <f t="shared" si="15"/>
        <v>25</v>
      </c>
      <c r="AC23" s="39">
        <f t="shared" si="15"/>
        <v>83</v>
      </c>
      <c r="AD23" s="39">
        <f t="shared" si="15"/>
        <v>0</v>
      </c>
      <c r="AE23" s="40">
        <f t="shared" si="15"/>
        <v>155</v>
      </c>
      <c r="AF23" s="40">
        <f t="shared" si="15"/>
        <v>238</v>
      </c>
    </row>
    <row r="24" spans="2:32" ht="23.1" customHeight="1" x14ac:dyDescent="0.25">
      <c r="B24" s="23" t="s">
        <v>51</v>
      </c>
      <c r="C24" s="50">
        <v>9</v>
      </c>
      <c r="D24" s="50">
        <v>3</v>
      </c>
      <c r="E24" s="50">
        <v>0</v>
      </c>
      <c r="F24" s="50">
        <v>2</v>
      </c>
      <c r="G24" s="50">
        <v>0</v>
      </c>
      <c r="H24" s="50">
        <v>0</v>
      </c>
      <c r="I24" s="50">
        <v>7</v>
      </c>
      <c r="J24" s="50">
        <v>2</v>
      </c>
      <c r="K24" s="50">
        <v>5</v>
      </c>
      <c r="L24" s="50">
        <v>8</v>
      </c>
      <c r="M24" s="50">
        <v>26</v>
      </c>
      <c r="N24" s="50">
        <v>0</v>
      </c>
      <c r="O24" s="15">
        <f t="shared" si="0"/>
        <v>36</v>
      </c>
      <c r="P24" s="15">
        <f t="shared" si="1"/>
        <v>62</v>
      </c>
      <c r="R24" s="38" t="s">
        <v>92</v>
      </c>
      <c r="S24" s="39">
        <f>MAX(S19:S21)</f>
        <v>38</v>
      </c>
      <c r="T24" s="39">
        <f t="shared" ref="T24:AF24" si="16">MAX(T19:T21)</f>
        <v>20</v>
      </c>
      <c r="U24" s="39">
        <f t="shared" si="16"/>
        <v>10</v>
      </c>
      <c r="V24" s="39">
        <f t="shared" si="16"/>
        <v>36</v>
      </c>
      <c r="W24" s="39">
        <f t="shared" si="16"/>
        <v>1</v>
      </c>
      <c r="X24" s="39">
        <f t="shared" si="16"/>
        <v>7</v>
      </c>
      <c r="Y24" s="39">
        <f t="shared" si="16"/>
        <v>12</v>
      </c>
      <c r="Z24" s="39">
        <f t="shared" si="16"/>
        <v>4</v>
      </c>
      <c r="AA24" s="39">
        <f t="shared" si="16"/>
        <v>16</v>
      </c>
      <c r="AB24" s="39">
        <f t="shared" si="16"/>
        <v>20</v>
      </c>
      <c r="AC24" s="39">
        <f t="shared" si="16"/>
        <v>59</v>
      </c>
      <c r="AD24" s="39">
        <f t="shared" si="16"/>
        <v>0</v>
      </c>
      <c r="AE24" s="40">
        <f t="shared" si="16"/>
        <v>131</v>
      </c>
      <c r="AF24" s="40">
        <f t="shared" si="16"/>
        <v>165</v>
      </c>
    </row>
    <row r="25" spans="2:32" ht="23.1" customHeight="1" x14ac:dyDescent="0.25">
      <c r="B25" s="23" t="s">
        <v>52</v>
      </c>
      <c r="C25" s="50">
        <v>13</v>
      </c>
      <c r="D25" s="50">
        <v>6</v>
      </c>
      <c r="E25" s="50">
        <v>5</v>
      </c>
      <c r="F25" s="50">
        <v>9</v>
      </c>
      <c r="G25" s="50">
        <v>0</v>
      </c>
      <c r="H25" s="50">
        <v>3</v>
      </c>
      <c r="I25" s="50">
        <v>15</v>
      </c>
      <c r="J25" s="50">
        <v>3</v>
      </c>
      <c r="K25" s="50">
        <v>0</v>
      </c>
      <c r="L25" s="50">
        <v>0</v>
      </c>
      <c r="M25" s="50">
        <v>17</v>
      </c>
      <c r="N25" s="50">
        <v>0</v>
      </c>
      <c r="O25" s="15">
        <f t="shared" si="0"/>
        <v>54</v>
      </c>
      <c r="P25" s="15">
        <f t="shared" si="1"/>
        <v>71</v>
      </c>
      <c r="R25" s="37" t="s">
        <v>85</v>
      </c>
      <c r="S25" s="35">
        <f t="shared" ref="S25:AF25" si="17">SUM(S10:S12)</f>
        <v>72</v>
      </c>
      <c r="T25" s="16">
        <f t="shared" si="17"/>
        <v>19</v>
      </c>
      <c r="U25" s="16">
        <f t="shared" si="17"/>
        <v>16</v>
      </c>
      <c r="V25" s="16">
        <f t="shared" si="17"/>
        <v>34</v>
      </c>
      <c r="W25" s="16">
        <f t="shared" si="17"/>
        <v>0</v>
      </c>
      <c r="X25" s="16">
        <f t="shared" si="17"/>
        <v>2</v>
      </c>
      <c r="Y25" s="16">
        <f t="shared" si="17"/>
        <v>23</v>
      </c>
      <c r="Z25" s="16">
        <f t="shared" si="17"/>
        <v>12</v>
      </c>
      <c r="AA25" s="16">
        <f t="shared" si="17"/>
        <v>12</v>
      </c>
      <c r="AB25" s="16">
        <f t="shared" si="17"/>
        <v>43</v>
      </c>
      <c r="AC25" s="16">
        <f t="shared" si="17"/>
        <v>198</v>
      </c>
      <c r="AD25" s="16">
        <f t="shared" si="17"/>
        <v>0</v>
      </c>
      <c r="AE25" s="32">
        <f t="shared" si="17"/>
        <v>233</v>
      </c>
      <c r="AF25" s="32">
        <f t="shared" si="17"/>
        <v>431</v>
      </c>
    </row>
    <row r="26" spans="2:32" ht="23.1" customHeight="1" x14ac:dyDescent="0.25">
      <c r="B26" s="23" t="s">
        <v>53</v>
      </c>
      <c r="C26" s="50">
        <v>3</v>
      </c>
      <c r="D26" s="50">
        <v>1</v>
      </c>
      <c r="E26" s="50">
        <v>3</v>
      </c>
      <c r="F26" s="50">
        <v>8</v>
      </c>
      <c r="G26" s="50">
        <v>0</v>
      </c>
      <c r="H26" s="50">
        <v>1</v>
      </c>
      <c r="I26" s="50">
        <v>2</v>
      </c>
      <c r="J26" s="50">
        <v>0</v>
      </c>
      <c r="K26" s="50">
        <v>0</v>
      </c>
      <c r="L26" s="50">
        <v>0</v>
      </c>
      <c r="M26" s="50">
        <v>14</v>
      </c>
      <c r="N26" s="50">
        <v>0</v>
      </c>
      <c r="O26" s="15">
        <f t="shared" si="0"/>
        <v>18</v>
      </c>
      <c r="P26" s="15">
        <f t="shared" si="1"/>
        <v>32</v>
      </c>
      <c r="R26" s="28" t="s">
        <v>86</v>
      </c>
      <c r="S26" s="16">
        <f t="shared" ref="S26:AF26" si="18">SUM(S13:S18)</f>
        <v>177</v>
      </c>
      <c r="T26" s="16">
        <f t="shared" si="18"/>
        <v>69</v>
      </c>
      <c r="U26" s="16">
        <f t="shared" si="18"/>
        <v>51</v>
      </c>
      <c r="V26" s="16">
        <f t="shared" si="18"/>
        <v>141</v>
      </c>
      <c r="W26" s="16">
        <f t="shared" si="18"/>
        <v>0</v>
      </c>
      <c r="X26" s="16">
        <f t="shared" si="18"/>
        <v>18</v>
      </c>
      <c r="Y26" s="16">
        <f t="shared" si="18"/>
        <v>61</v>
      </c>
      <c r="Z26" s="16">
        <f t="shared" si="18"/>
        <v>31</v>
      </c>
      <c r="AA26" s="16">
        <f t="shared" si="18"/>
        <v>46</v>
      </c>
      <c r="AB26" s="16">
        <f t="shared" si="18"/>
        <v>98</v>
      </c>
      <c r="AC26" s="16">
        <f t="shared" si="18"/>
        <v>271</v>
      </c>
      <c r="AD26" s="16">
        <f t="shared" si="18"/>
        <v>0</v>
      </c>
      <c r="AE26" s="32">
        <f t="shared" si="18"/>
        <v>692</v>
      </c>
      <c r="AF26" s="32">
        <f t="shared" si="18"/>
        <v>963</v>
      </c>
    </row>
    <row r="27" spans="2:32" ht="23.1" customHeight="1" x14ac:dyDescent="0.25">
      <c r="B27" s="23" t="s">
        <v>54</v>
      </c>
      <c r="C27" s="50">
        <v>8</v>
      </c>
      <c r="D27" s="50">
        <v>13</v>
      </c>
      <c r="E27" s="50">
        <v>3</v>
      </c>
      <c r="F27" s="50">
        <v>24</v>
      </c>
      <c r="G27" s="50">
        <v>0</v>
      </c>
      <c r="H27" s="50">
        <v>0</v>
      </c>
      <c r="I27" s="50">
        <v>1</v>
      </c>
      <c r="J27" s="50">
        <v>4</v>
      </c>
      <c r="K27" s="50">
        <v>0</v>
      </c>
      <c r="L27" s="50">
        <v>4</v>
      </c>
      <c r="M27" s="50">
        <v>18</v>
      </c>
      <c r="N27" s="50">
        <v>0</v>
      </c>
      <c r="O27" s="15">
        <f t="shared" si="0"/>
        <v>57</v>
      </c>
      <c r="P27" s="15">
        <f t="shared" si="1"/>
        <v>75</v>
      </c>
      <c r="R27" s="29" t="s">
        <v>87</v>
      </c>
      <c r="S27" s="16">
        <f t="shared" ref="S27:AF27" si="19">SUM(S19:S21)</f>
        <v>84</v>
      </c>
      <c r="T27" s="16">
        <f t="shared" si="19"/>
        <v>50</v>
      </c>
      <c r="U27" s="16">
        <f t="shared" si="19"/>
        <v>24</v>
      </c>
      <c r="V27" s="16">
        <f t="shared" si="19"/>
        <v>68</v>
      </c>
      <c r="W27" s="16">
        <f t="shared" si="19"/>
        <v>2</v>
      </c>
      <c r="X27" s="16">
        <f t="shared" si="19"/>
        <v>7</v>
      </c>
      <c r="Y27" s="16">
        <f t="shared" si="19"/>
        <v>19</v>
      </c>
      <c r="Z27" s="16">
        <f t="shared" si="19"/>
        <v>7</v>
      </c>
      <c r="AA27" s="16">
        <f t="shared" si="19"/>
        <v>25</v>
      </c>
      <c r="AB27" s="16">
        <f t="shared" si="19"/>
        <v>52</v>
      </c>
      <c r="AC27" s="16">
        <f t="shared" si="19"/>
        <v>148</v>
      </c>
      <c r="AD27" s="16">
        <f t="shared" si="19"/>
        <v>0</v>
      </c>
      <c r="AE27" s="32">
        <f t="shared" si="19"/>
        <v>338</v>
      </c>
      <c r="AF27" s="32">
        <f t="shared" si="19"/>
        <v>486</v>
      </c>
    </row>
    <row r="28" spans="2:32" ht="23.1" customHeight="1" x14ac:dyDescent="0.25">
      <c r="B28" s="23" t="s">
        <v>55</v>
      </c>
      <c r="C28" s="50">
        <v>15</v>
      </c>
      <c r="D28" s="50">
        <v>1</v>
      </c>
      <c r="E28" s="50">
        <v>7</v>
      </c>
      <c r="F28" s="50">
        <v>4</v>
      </c>
      <c r="G28" s="50">
        <v>0</v>
      </c>
      <c r="H28" s="50">
        <v>0</v>
      </c>
      <c r="I28" s="50">
        <v>8</v>
      </c>
      <c r="J28" s="50">
        <v>3</v>
      </c>
      <c r="K28" s="50">
        <v>6</v>
      </c>
      <c r="L28" s="50">
        <v>0</v>
      </c>
      <c r="M28" s="50">
        <v>36</v>
      </c>
      <c r="N28" s="50">
        <v>0</v>
      </c>
      <c r="O28" s="15">
        <f t="shared" si="0"/>
        <v>44</v>
      </c>
      <c r="P28" s="15">
        <f t="shared" si="1"/>
        <v>80</v>
      </c>
      <c r="R28" s="5" t="s">
        <v>17</v>
      </c>
      <c r="S28" s="16">
        <f t="shared" ref="S28:AF28" si="20">SUM(S10:S21)</f>
        <v>333</v>
      </c>
      <c r="T28" s="16">
        <f t="shared" si="20"/>
        <v>138</v>
      </c>
      <c r="U28" s="16">
        <f t="shared" si="20"/>
        <v>91</v>
      </c>
      <c r="V28" s="16">
        <f t="shared" si="20"/>
        <v>243</v>
      </c>
      <c r="W28" s="16">
        <f t="shared" si="20"/>
        <v>2</v>
      </c>
      <c r="X28" s="16">
        <f t="shared" si="20"/>
        <v>27</v>
      </c>
      <c r="Y28" s="16">
        <f t="shared" si="20"/>
        <v>103</v>
      </c>
      <c r="Z28" s="16">
        <f t="shared" si="20"/>
        <v>50</v>
      </c>
      <c r="AA28" s="16">
        <f t="shared" si="20"/>
        <v>83</v>
      </c>
      <c r="AB28" s="16">
        <f t="shared" si="20"/>
        <v>193</v>
      </c>
      <c r="AC28" s="16">
        <f t="shared" si="20"/>
        <v>617</v>
      </c>
      <c r="AD28" s="16">
        <f t="shared" si="20"/>
        <v>0</v>
      </c>
      <c r="AE28" s="32">
        <f t="shared" si="20"/>
        <v>1263</v>
      </c>
      <c r="AF28" s="32">
        <f t="shared" si="20"/>
        <v>1880</v>
      </c>
    </row>
    <row r="29" spans="2:32" ht="23.1" customHeight="1" x14ac:dyDescent="0.25">
      <c r="B29" s="23" t="s">
        <v>56</v>
      </c>
      <c r="C29" s="50">
        <v>10</v>
      </c>
      <c r="D29" s="50">
        <v>6</v>
      </c>
      <c r="E29" s="50">
        <v>3</v>
      </c>
      <c r="F29" s="50">
        <v>0</v>
      </c>
      <c r="G29" s="50">
        <v>0</v>
      </c>
      <c r="H29" s="50">
        <v>3</v>
      </c>
      <c r="I29" s="50">
        <v>4</v>
      </c>
      <c r="J29" s="50">
        <v>0</v>
      </c>
      <c r="K29" s="50">
        <v>0</v>
      </c>
      <c r="L29" s="50">
        <v>10</v>
      </c>
      <c r="M29" s="50">
        <v>15</v>
      </c>
      <c r="N29" s="50">
        <v>0</v>
      </c>
      <c r="O29" s="15">
        <f t="shared" si="0"/>
        <v>36</v>
      </c>
      <c r="P29" s="15">
        <f t="shared" si="1"/>
        <v>51</v>
      </c>
      <c r="R29"/>
      <c r="S29" s="20"/>
      <c r="T29" s="19"/>
    </row>
    <row r="30" spans="2:32" ht="23.1" customHeight="1" x14ac:dyDescent="0.25">
      <c r="B30" s="23" t="s">
        <v>57</v>
      </c>
      <c r="C30" s="50">
        <v>14</v>
      </c>
      <c r="D30" s="50">
        <v>0</v>
      </c>
      <c r="E30" s="50">
        <v>9</v>
      </c>
      <c r="F30" s="50">
        <v>8</v>
      </c>
      <c r="G30" s="50">
        <v>0</v>
      </c>
      <c r="H30" s="50">
        <v>0</v>
      </c>
      <c r="I30" s="50">
        <v>3</v>
      </c>
      <c r="J30" s="50">
        <v>4</v>
      </c>
      <c r="K30" s="50">
        <v>14</v>
      </c>
      <c r="L30" s="50">
        <v>5</v>
      </c>
      <c r="M30" s="50">
        <v>14</v>
      </c>
      <c r="N30" s="50">
        <v>0</v>
      </c>
      <c r="O30" s="15">
        <f t="shared" si="0"/>
        <v>57</v>
      </c>
      <c r="P30" s="15">
        <f t="shared" si="1"/>
        <v>71</v>
      </c>
    </row>
    <row r="31" spans="2:32" ht="23.1" customHeight="1" x14ac:dyDescent="0.25">
      <c r="B31" s="24" t="s">
        <v>58</v>
      </c>
      <c r="C31" s="50">
        <v>8</v>
      </c>
      <c r="D31" s="50">
        <v>0</v>
      </c>
      <c r="E31" s="50">
        <v>3</v>
      </c>
      <c r="F31" s="50">
        <v>8</v>
      </c>
      <c r="G31" s="50">
        <v>0</v>
      </c>
      <c r="H31" s="50">
        <v>3</v>
      </c>
      <c r="I31" s="50">
        <v>4</v>
      </c>
      <c r="J31" s="50">
        <v>5</v>
      </c>
      <c r="K31" s="50">
        <v>0</v>
      </c>
      <c r="L31" s="50">
        <v>0</v>
      </c>
      <c r="M31" s="50">
        <v>18</v>
      </c>
      <c r="N31" s="50">
        <v>0</v>
      </c>
      <c r="O31" s="15">
        <f t="shared" si="0"/>
        <v>31</v>
      </c>
      <c r="P31" s="15">
        <f t="shared" si="1"/>
        <v>49</v>
      </c>
    </row>
    <row r="32" spans="2:32" ht="23.1" customHeight="1" x14ac:dyDescent="0.25">
      <c r="B32" s="24" t="s">
        <v>59</v>
      </c>
      <c r="C32" s="50">
        <v>9</v>
      </c>
      <c r="D32" s="50">
        <v>2</v>
      </c>
      <c r="E32" s="50">
        <v>0</v>
      </c>
      <c r="F32" s="50">
        <v>8</v>
      </c>
      <c r="G32" s="50">
        <v>0</v>
      </c>
      <c r="H32" s="50">
        <v>0</v>
      </c>
      <c r="I32" s="50">
        <v>3</v>
      </c>
      <c r="J32" s="50">
        <v>4</v>
      </c>
      <c r="K32" s="50">
        <v>2</v>
      </c>
      <c r="L32" s="50">
        <v>15</v>
      </c>
      <c r="M32" s="50">
        <v>23</v>
      </c>
      <c r="N32" s="50">
        <v>0</v>
      </c>
      <c r="O32" s="15">
        <f t="shared" si="0"/>
        <v>43</v>
      </c>
      <c r="P32" s="15">
        <f t="shared" si="1"/>
        <v>66</v>
      </c>
    </row>
    <row r="33" spans="2:20" ht="23.1" customHeight="1" x14ac:dyDescent="0.25">
      <c r="B33" s="23" t="s">
        <v>60</v>
      </c>
      <c r="C33" s="50">
        <v>4</v>
      </c>
      <c r="D33" s="50">
        <v>1</v>
      </c>
      <c r="E33" s="50">
        <v>0</v>
      </c>
      <c r="F33" s="50">
        <v>4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5</v>
      </c>
      <c r="M33" s="50">
        <v>3</v>
      </c>
      <c r="N33" s="50">
        <v>0</v>
      </c>
      <c r="O33" s="15">
        <f t="shared" si="0"/>
        <v>18</v>
      </c>
      <c r="P33" s="15">
        <f t="shared" si="1"/>
        <v>21</v>
      </c>
    </row>
    <row r="34" spans="2:20" ht="23.1" customHeight="1" x14ac:dyDescent="0.25">
      <c r="B34" s="24" t="s">
        <v>61</v>
      </c>
      <c r="C34" s="50">
        <v>10</v>
      </c>
      <c r="D34" s="50">
        <v>4</v>
      </c>
      <c r="E34" s="50">
        <v>5</v>
      </c>
      <c r="F34" s="50">
        <v>4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7</v>
      </c>
      <c r="N34" s="50">
        <v>0</v>
      </c>
      <c r="O34" s="15">
        <f t="shared" si="0"/>
        <v>23</v>
      </c>
      <c r="P34" s="15">
        <f t="shared" si="1"/>
        <v>30</v>
      </c>
    </row>
    <row r="35" spans="2:20" ht="23.1" customHeight="1" x14ac:dyDescent="0.25">
      <c r="B35" s="24" t="s">
        <v>62</v>
      </c>
      <c r="C35" s="50">
        <v>11</v>
      </c>
      <c r="D35" s="50">
        <v>0</v>
      </c>
      <c r="E35" s="50">
        <v>0</v>
      </c>
      <c r="F35" s="50">
        <v>4</v>
      </c>
      <c r="G35" s="50">
        <v>0</v>
      </c>
      <c r="H35" s="50">
        <v>1</v>
      </c>
      <c r="I35" s="50">
        <v>1</v>
      </c>
      <c r="J35" s="50">
        <v>2</v>
      </c>
      <c r="K35" s="50">
        <v>2</v>
      </c>
      <c r="L35" s="50">
        <v>0</v>
      </c>
      <c r="M35" s="50">
        <v>9</v>
      </c>
      <c r="N35" s="50">
        <v>0</v>
      </c>
      <c r="O35" s="15">
        <f t="shared" si="0"/>
        <v>21</v>
      </c>
      <c r="P35" s="15">
        <f t="shared" si="1"/>
        <v>30</v>
      </c>
    </row>
    <row r="36" spans="2:20" ht="23.1" customHeight="1" x14ac:dyDescent="0.25">
      <c r="B36" s="24" t="s">
        <v>63</v>
      </c>
      <c r="C36" s="50">
        <v>7</v>
      </c>
      <c r="D36" s="50">
        <v>5</v>
      </c>
      <c r="E36" s="50">
        <v>6</v>
      </c>
      <c r="F36" s="50">
        <v>11</v>
      </c>
      <c r="G36" s="50">
        <v>0</v>
      </c>
      <c r="H36" s="50">
        <v>1</v>
      </c>
      <c r="I36" s="50">
        <v>4</v>
      </c>
      <c r="J36" s="50">
        <v>3</v>
      </c>
      <c r="K36" s="50">
        <v>3</v>
      </c>
      <c r="L36" s="50">
        <v>0</v>
      </c>
      <c r="M36" s="50">
        <v>6</v>
      </c>
      <c r="N36" s="50">
        <v>0</v>
      </c>
      <c r="O36" s="15">
        <f t="shared" si="0"/>
        <v>40</v>
      </c>
      <c r="P36" s="15">
        <f t="shared" si="1"/>
        <v>46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3</v>
      </c>
      <c r="P37" s="15">
        <f t="shared" si="1"/>
        <v>13</v>
      </c>
    </row>
    <row r="38" spans="2:20" ht="23.1" customHeight="1" x14ac:dyDescent="0.25">
      <c r="B38" s="24" t="s">
        <v>65</v>
      </c>
      <c r="C38" s="50">
        <v>2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v>2</v>
      </c>
      <c r="M38" s="50">
        <v>2</v>
      </c>
      <c r="N38" s="50">
        <v>0</v>
      </c>
      <c r="O38" s="15">
        <f t="shared" si="0"/>
        <v>6</v>
      </c>
      <c r="P38" s="15">
        <f t="shared" si="1"/>
        <v>8</v>
      </c>
    </row>
    <row r="39" spans="2:20" ht="23.1" customHeight="1" x14ac:dyDescent="0.25">
      <c r="B39" s="24" t="s">
        <v>66</v>
      </c>
      <c r="C39" s="50">
        <v>4</v>
      </c>
      <c r="D39" s="50">
        <v>1</v>
      </c>
      <c r="E39" s="50">
        <v>0</v>
      </c>
      <c r="F39" s="50">
        <v>5</v>
      </c>
      <c r="G39" s="50">
        <v>0</v>
      </c>
      <c r="H39" s="50">
        <v>0</v>
      </c>
      <c r="I39" s="50">
        <v>0</v>
      </c>
      <c r="J39" s="50">
        <v>0</v>
      </c>
      <c r="K39" s="50">
        <v>2</v>
      </c>
      <c r="L39" s="50">
        <v>1</v>
      </c>
      <c r="M39" s="50">
        <v>13</v>
      </c>
      <c r="N39" s="50">
        <v>0</v>
      </c>
      <c r="O39" s="15">
        <f t="shared" si="0"/>
        <v>13</v>
      </c>
      <c r="P39" s="15">
        <f t="shared" si="1"/>
        <v>26</v>
      </c>
    </row>
    <row r="40" spans="2:20" ht="23.1" customHeight="1" x14ac:dyDescent="0.25">
      <c r="B40" s="24" t="s">
        <v>67</v>
      </c>
      <c r="C40" s="50">
        <v>5</v>
      </c>
      <c r="D40" s="50">
        <v>3</v>
      </c>
      <c r="E40" s="50">
        <v>0</v>
      </c>
      <c r="F40" s="50">
        <v>4</v>
      </c>
      <c r="G40" s="50">
        <v>0</v>
      </c>
      <c r="H40" s="50">
        <v>2</v>
      </c>
      <c r="I40" s="50">
        <v>0</v>
      </c>
      <c r="J40" s="50">
        <v>0</v>
      </c>
      <c r="K40" s="50">
        <v>5</v>
      </c>
      <c r="L40" s="50">
        <v>3</v>
      </c>
      <c r="M40" s="50">
        <v>6</v>
      </c>
      <c r="N40" s="50">
        <v>0</v>
      </c>
      <c r="O40" s="15">
        <f t="shared" si="0"/>
        <v>22</v>
      </c>
      <c r="P40" s="15">
        <f t="shared" si="1"/>
        <v>28</v>
      </c>
    </row>
    <row r="41" spans="2:20" ht="23.1" customHeight="1" x14ac:dyDescent="0.25">
      <c r="B41" s="23" t="s">
        <v>68</v>
      </c>
      <c r="C41" s="50">
        <v>10</v>
      </c>
      <c r="D41" s="50">
        <v>7</v>
      </c>
      <c r="E41" s="50">
        <v>1</v>
      </c>
      <c r="F41" s="50">
        <v>8</v>
      </c>
      <c r="G41" s="50">
        <v>0</v>
      </c>
      <c r="H41" s="50">
        <v>4</v>
      </c>
      <c r="I41" s="50">
        <v>0</v>
      </c>
      <c r="J41" s="50">
        <v>0</v>
      </c>
      <c r="K41" s="50">
        <v>0</v>
      </c>
      <c r="L41" s="50">
        <v>11</v>
      </c>
      <c r="M41" s="50">
        <v>7</v>
      </c>
      <c r="N41" s="50">
        <v>0</v>
      </c>
      <c r="O41" s="15">
        <f t="shared" si="0"/>
        <v>41</v>
      </c>
      <c r="P41" s="15">
        <f t="shared" si="1"/>
        <v>48</v>
      </c>
    </row>
    <row r="42" spans="2:20" ht="23.1" customHeight="1" x14ac:dyDescent="0.25">
      <c r="B42" s="24" t="s">
        <v>69</v>
      </c>
      <c r="C42" s="50">
        <v>8</v>
      </c>
      <c r="D42" s="50">
        <v>6</v>
      </c>
      <c r="E42" s="50">
        <v>0</v>
      </c>
      <c r="F42" s="50">
        <v>9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8</v>
      </c>
      <c r="M42" s="50">
        <v>1</v>
      </c>
      <c r="N42" s="50">
        <v>0</v>
      </c>
      <c r="O42" s="15">
        <f t="shared" si="0"/>
        <v>33</v>
      </c>
      <c r="P42" s="15">
        <f t="shared" si="1"/>
        <v>34</v>
      </c>
    </row>
    <row r="43" spans="2:20" ht="23.1" customHeight="1" x14ac:dyDescent="0.25">
      <c r="B43" s="23" t="s">
        <v>70</v>
      </c>
      <c r="C43" s="50">
        <v>3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3</v>
      </c>
      <c r="M43" s="50">
        <v>2</v>
      </c>
      <c r="N43" s="50">
        <v>0</v>
      </c>
      <c r="O43" s="15">
        <f t="shared" si="0"/>
        <v>7</v>
      </c>
      <c r="P43" s="15">
        <f t="shared" si="1"/>
        <v>9</v>
      </c>
    </row>
    <row r="44" spans="2:20" ht="23.1" customHeight="1" x14ac:dyDescent="0.25">
      <c r="B44" s="25" t="s">
        <v>71</v>
      </c>
      <c r="C44" s="50">
        <v>5</v>
      </c>
      <c r="D44" s="50">
        <v>2</v>
      </c>
      <c r="E44" s="50">
        <v>1</v>
      </c>
      <c r="F44" s="50">
        <v>5</v>
      </c>
      <c r="G44" s="50">
        <v>0</v>
      </c>
      <c r="H44" s="50">
        <v>0</v>
      </c>
      <c r="I44" s="50">
        <v>0</v>
      </c>
      <c r="J44" s="50">
        <v>0</v>
      </c>
      <c r="K44" s="50">
        <v>3</v>
      </c>
      <c r="L44" s="50">
        <v>3</v>
      </c>
      <c r="M44" s="50">
        <v>4</v>
      </c>
      <c r="N44" s="50">
        <v>0</v>
      </c>
      <c r="O44" s="15">
        <f t="shared" si="0"/>
        <v>19</v>
      </c>
      <c r="P44" s="15">
        <f t="shared" si="1"/>
        <v>23</v>
      </c>
    </row>
    <row r="45" spans="2:20" ht="23.1" customHeight="1" x14ac:dyDescent="0.25">
      <c r="B45" s="23" t="s">
        <v>72</v>
      </c>
      <c r="C45" s="50">
        <v>11</v>
      </c>
      <c r="D45" s="50">
        <v>5</v>
      </c>
      <c r="E45" s="50">
        <v>0</v>
      </c>
      <c r="F45" s="50">
        <v>4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11</v>
      </c>
      <c r="M45" s="50">
        <v>3</v>
      </c>
      <c r="N45" s="50">
        <v>0</v>
      </c>
      <c r="O45" s="15">
        <f t="shared" si="0"/>
        <v>32</v>
      </c>
      <c r="P45" s="15">
        <f t="shared" si="1"/>
        <v>35</v>
      </c>
    </row>
    <row r="46" spans="2:20" ht="23.1" customHeight="1" x14ac:dyDescent="0.25">
      <c r="B46" s="24" t="s">
        <v>73</v>
      </c>
      <c r="C46" s="50">
        <v>3</v>
      </c>
      <c r="D46" s="50">
        <v>2</v>
      </c>
      <c r="E46" s="50">
        <v>3</v>
      </c>
      <c r="F46" s="50">
        <v>12</v>
      </c>
      <c r="G46" s="50">
        <v>0</v>
      </c>
      <c r="H46" s="50">
        <v>2</v>
      </c>
      <c r="I46" s="50">
        <v>0</v>
      </c>
      <c r="J46" s="50">
        <v>1</v>
      </c>
      <c r="K46" s="50">
        <v>2</v>
      </c>
      <c r="L46" s="50">
        <v>4</v>
      </c>
      <c r="M46" s="50">
        <v>5</v>
      </c>
      <c r="N46" s="50">
        <v>0</v>
      </c>
      <c r="O46" s="15">
        <f t="shared" si="0"/>
        <v>29</v>
      </c>
      <c r="P46" s="15">
        <f t="shared" si="1"/>
        <v>34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8</v>
      </c>
      <c r="E47" s="50">
        <v>3</v>
      </c>
      <c r="F47" s="50">
        <v>8</v>
      </c>
      <c r="G47" s="50">
        <v>0</v>
      </c>
      <c r="H47" s="50">
        <v>3</v>
      </c>
      <c r="I47" s="50">
        <v>4</v>
      </c>
      <c r="J47" s="50">
        <v>2</v>
      </c>
      <c r="K47" s="50">
        <v>2</v>
      </c>
      <c r="L47" s="50">
        <v>6</v>
      </c>
      <c r="M47" s="50">
        <v>9</v>
      </c>
      <c r="N47" s="50">
        <v>0</v>
      </c>
      <c r="O47" s="15">
        <f t="shared" si="0"/>
        <v>42</v>
      </c>
      <c r="P47" s="15">
        <f t="shared" si="1"/>
        <v>51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4</v>
      </c>
      <c r="E48" s="50">
        <v>0</v>
      </c>
      <c r="F48" s="50">
        <v>11</v>
      </c>
      <c r="G48" s="50">
        <v>0</v>
      </c>
      <c r="H48" s="50">
        <v>2</v>
      </c>
      <c r="I48" s="50">
        <v>3</v>
      </c>
      <c r="J48" s="50">
        <v>1</v>
      </c>
      <c r="K48" s="50">
        <v>0</v>
      </c>
      <c r="L48" s="50">
        <v>2</v>
      </c>
      <c r="M48" s="50">
        <v>3</v>
      </c>
      <c r="N48" s="50">
        <v>0</v>
      </c>
      <c r="O48" s="15">
        <f t="shared" si="0"/>
        <v>28</v>
      </c>
      <c r="P48" s="15">
        <f t="shared" si="1"/>
        <v>31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6</v>
      </c>
      <c r="E49" s="50">
        <v>3</v>
      </c>
      <c r="F49" s="50">
        <v>5</v>
      </c>
      <c r="G49" s="50">
        <v>0</v>
      </c>
      <c r="H49" s="50">
        <v>0</v>
      </c>
      <c r="I49" s="50">
        <v>5</v>
      </c>
      <c r="J49" s="50">
        <v>0</v>
      </c>
      <c r="K49" s="50">
        <v>0</v>
      </c>
      <c r="L49" s="50">
        <v>8</v>
      </c>
      <c r="M49" s="50">
        <v>17</v>
      </c>
      <c r="N49" s="50">
        <v>0</v>
      </c>
      <c r="O49" s="15">
        <f t="shared" si="0"/>
        <v>32</v>
      </c>
      <c r="P49" s="15">
        <f t="shared" si="1"/>
        <v>49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0</v>
      </c>
      <c r="E50" s="50">
        <v>0</v>
      </c>
      <c r="F50" s="50">
        <v>8</v>
      </c>
      <c r="G50" s="50">
        <v>0</v>
      </c>
      <c r="H50" s="50">
        <v>0</v>
      </c>
      <c r="I50" s="50">
        <v>0</v>
      </c>
      <c r="J50" s="50">
        <v>2</v>
      </c>
      <c r="K50" s="50">
        <v>6</v>
      </c>
      <c r="L50" s="50">
        <v>9</v>
      </c>
      <c r="M50" s="50">
        <v>10</v>
      </c>
      <c r="N50" s="50">
        <v>0</v>
      </c>
      <c r="O50" s="15">
        <f t="shared" si="0"/>
        <v>29</v>
      </c>
      <c r="P50" s="15">
        <f t="shared" si="1"/>
        <v>39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3</v>
      </c>
      <c r="E51" s="50">
        <v>1</v>
      </c>
      <c r="F51" s="50">
        <v>4</v>
      </c>
      <c r="G51" s="50">
        <v>0</v>
      </c>
      <c r="H51" s="50">
        <v>0</v>
      </c>
      <c r="I51" s="50">
        <v>3</v>
      </c>
      <c r="J51" s="50">
        <v>0</v>
      </c>
      <c r="K51" s="50">
        <v>4</v>
      </c>
      <c r="L51" s="50">
        <v>4</v>
      </c>
      <c r="M51" s="50">
        <v>19</v>
      </c>
      <c r="N51" s="50">
        <v>0</v>
      </c>
      <c r="O51" s="15">
        <f t="shared" si="0"/>
        <v>26</v>
      </c>
      <c r="P51" s="15">
        <f t="shared" si="1"/>
        <v>45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5</v>
      </c>
      <c r="E52" s="50">
        <v>3</v>
      </c>
      <c r="F52" s="50">
        <v>3</v>
      </c>
      <c r="G52" s="50">
        <v>1</v>
      </c>
      <c r="H52" s="50">
        <v>0</v>
      </c>
      <c r="I52" s="50">
        <v>1</v>
      </c>
      <c r="J52" s="50">
        <v>0</v>
      </c>
      <c r="K52" s="50">
        <v>6</v>
      </c>
      <c r="L52" s="50">
        <v>3</v>
      </c>
      <c r="M52" s="50">
        <v>15</v>
      </c>
      <c r="N52" s="50">
        <v>0</v>
      </c>
      <c r="O52" s="15">
        <f t="shared" si="0"/>
        <v>25</v>
      </c>
      <c r="P52" s="15">
        <f t="shared" si="1"/>
        <v>40</v>
      </c>
      <c r="R52" s="8"/>
      <c r="T52"/>
    </row>
    <row r="53" spans="2:20" ht="23.1" customHeight="1" x14ac:dyDescent="0.25">
      <c r="B53" s="23" t="s">
        <v>80</v>
      </c>
      <c r="C53" s="50">
        <v>13</v>
      </c>
      <c r="D53" s="50">
        <v>8</v>
      </c>
      <c r="E53" s="50">
        <v>1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11</v>
      </c>
      <c r="N53" s="50">
        <v>0</v>
      </c>
      <c r="O53" s="15">
        <f t="shared" si="0"/>
        <v>24</v>
      </c>
      <c r="P53" s="15">
        <f t="shared" si="1"/>
        <v>35</v>
      </c>
      <c r="R53" s="8"/>
      <c r="T53"/>
    </row>
    <row r="54" spans="2:20" ht="23.1" customHeight="1" x14ac:dyDescent="0.25">
      <c r="B54" s="23" t="s">
        <v>81</v>
      </c>
      <c r="C54" s="50">
        <v>9</v>
      </c>
      <c r="D54" s="50">
        <v>4</v>
      </c>
      <c r="E54" s="50">
        <v>1</v>
      </c>
      <c r="F54" s="50">
        <v>3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15</v>
      </c>
      <c r="N54" s="50">
        <v>0</v>
      </c>
      <c r="O54" s="15">
        <f t="shared" si="0"/>
        <v>17</v>
      </c>
      <c r="P54" s="15">
        <f t="shared" si="1"/>
        <v>32</v>
      </c>
      <c r="R54" s="8"/>
      <c r="T54"/>
    </row>
    <row r="55" spans="2:20" ht="23.1" customHeight="1" x14ac:dyDescent="0.25">
      <c r="B55" s="23" t="s">
        <v>82</v>
      </c>
      <c r="C55" s="50">
        <v>10</v>
      </c>
      <c r="D55" s="50">
        <v>1</v>
      </c>
      <c r="E55" s="50">
        <v>0</v>
      </c>
      <c r="F55" s="50">
        <v>4</v>
      </c>
      <c r="G55" s="50">
        <v>1</v>
      </c>
      <c r="H55" s="50">
        <v>0</v>
      </c>
      <c r="I55" s="50">
        <v>0</v>
      </c>
      <c r="J55" s="50">
        <v>1</v>
      </c>
      <c r="K55" s="50">
        <v>1</v>
      </c>
      <c r="L55" s="50">
        <v>1</v>
      </c>
      <c r="M55" s="50">
        <v>20</v>
      </c>
      <c r="N55" s="50">
        <v>0</v>
      </c>
      <c r="O55" s="15">
        <f t="shared" si="0"/>
        <v>19</v>
      </c>
      <c r="P55" s="15">
        <f t="shared" si="1"/>
        <v>39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3</v>
      </c>
      <c r="E56" s="50">
        <v>4</v>
      </c>
      <c r="F56" s="50">
        <v>6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4</v>
      </c>
      <c r="M56" s="50">
        <v>13</v>
      </c>
      <c r="N56" s="50">
        <v>0</v>
      </c>
      <c r="O56" s="15">
        <f t="shared" si="0"/>
        <v>25</v>
      </c>
      <c r="P56" s="15">
        <f t="shared" si="1"/>
        <v>38</v>
      </c>
      <c r="R56" s="8"/>
      <c r="T56"/>
    </row>
    <row r="57" spans="2:20" ht="23.1" customHeight="1" x14ac:dyDescent="0.25">
      <c r="B57" s="23" t="s">
        <v>84</v>
      </c>
      <c r="C57" s="50">
        <v>14</v>
      </c>
      <c r="D57" s="50">
        <v>6</v>
      </c>
      <c r="E57" s="50">
        <v>5</v>
      </c>
      <c r="F57" s="50">
        <v>2</v>
      </c>
      <c r="G57" s="50">
        <v>0</v>
      </c>
      <c r="H57" s="50">
        <v>0</v>
      </c>
      <c r="I57" s="50">
        <v>0</v>
      </c>
      <c r="J57" s="50">
        <v>0</v>
      </c>
      <c r="K57" s="50">
        <v>4</v>
      </c>
      <c r="L57" s="50">
        <v>11</v>
      </c>
      <c r="M57" s="50">
        <v>11</v>
      </c>
      <c r="N57" s="50">
        <v>0</v>
      </c>
      <c r="O57" s="15">
        <f t="shared" si="0"/>
        <v>42</v>
      </c>
      <c r="P57" s="15">
        <f t="shared" si="1"/>
        <v>53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333</v>
      </c>
      <c r="D58" s="16">
        <f t="shared" si="21"/>
        <v>138</v>
      </c>
      <c r="E58" s="16">
        <f t="shared" si="21"/>
        <v>91</v>
      </c>
      <c r="F58" s="16">
        <f t="shared" si="21"/>
        <v>243</v>
      </c>
      <c r="G58" s="16">
        <f t="shared" si="21"/>
        <v>2</v>
      </c>
      <c r="H58" s="16">
        <f t="shared" si="21"/>
        <v>27</v>
      </c>
      <c r="I58" s="16">
        <f t="shared" si="21"/>
        <v>103</v>
      </c>
      <c r="J58" s="16">
        <f t="shared" si="21"/>
        <v>50</v>
      </c>
      <c r="K58" s="16">
        <f t="shared" si="21"/>
        <v>83</v>
      </c>
      <c r="L58" s="16">
        <f t="shared" si="21"/>
        <v>193</v>
      </c>
      <c r="M58" s="16">
        <f t="shared" si="21"/>
        <v>617</v>
      </c>
      <c r="N58" s="16">
        <f t="shared" si="21"/>
        <v>0</v>
      </c>
      <c r="O58" s="16">
        <f t="shared" si="21"/>
        <v>1263</v>
      </c>
      <c r="P58" s="16">
        <f t="shared" si="21"/>
        <v>1880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0.17712765957446808</v>
      </c>
      <c r="D59" s="43">
        <f t="shared" si="22"/>
        <v>7.3404255319148931E-2</v>
      </c>
      <c r="E59" s="43">
        <f t="shared" si="22"/>
        <v>4.8404255319148937E-2</v>
      </c>
      <c r="F59" s="43">
        <f t="shared" si="22"/>
        <v>0.12925531914893618</v>
      </c>
      <c r="G59" s="43">
        <f t="shared" si="22"/>
        <v>1.0638297872340426E-3</v>
      </c>
      <c r="H59" s="43">
        <f t="shared" si="22"/>
        <v>1.4361702127659574E-2</v>
      </c>
      <c r="I59" s="43">
        <f t="shared" si="22"/>
        <v>5.4787234042553194E-2</v>
      </c>
      <c r="J59" s="43">
        <f t="shared" si="22"/>
        <v>2.6595744680851064E-2</v>
      </c>
      <c r="K59" s="43">
        <f t="shared" si="22"/>
        <v>4.4148936170212767E-2</v>
      </c>
      <c r="L59" s="43">
        <f t="shared" si="22"/>
        <v>0.1026595744680851</v>
      </c>
      <c r="M59" s="43">
        <f t="shared" si="22"/>
        <v>0.32819148936170212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0.26365795724465557</v>
      </c>
      <c r="D60" s="44">
        <f t="shared" ref="D60:N60" si="23">D58/$O$58</f>
        <v>0.10926365795724466</v>
      </c>
      <c r="E60" s="44">
        <f t="shared" si="23"/>
        <v>7.2050673000791765E-2</v>
      </c>
      <c r="F60" s="44">
        <f t="shared" si="23"/>
        <v>0.19239904988123516</v>
      </c>
      <c r="G60" s="44">
        <f t="shared" si="23"/>
        <v>1.5835312747426761E-3</v>
      </c>
      <c r="H60" s="44">
        <f t="shared" si="23"/>
        <v>2.1377672209026127E-2</v>
      </c>
      <c r="I60" s="44">
        <f t="shared" si="23"/>
        <v>8.1551860649247826E-2</v>
      </c>
      <c r="J60" s="44">
        <f t="shared" si="23"/>
        <v>3.9588281868566902E-2</v>
      </c>
      <c r="K60" s="44">
        <f t="shared" si="23"/>
        <v>6.5716547901821062E-2</v>
      </c>
      <c r="L60" s="44">
        <f t="shared" si="23"/>
        <v>0.15281076801266824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topLeftCell="A4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4.42578125" customWidth="1"/>
    <col min="7" max="7" width="14.85546875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7" customHeight="1" x14ac:dyDescent="0.25">
      <c r="B3" s="22" t="s">
        <v>96</v>
      </c>
      <c r="C3" s="62" t="str">
        <f>'27.10 Kabale-Mbarara'!C3:G3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9.75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34.5" customHeight="1" x14ac:dyDescent="0.25">
      <c r="C5" s="4" t="s">
        <v>3</v>
      </c>
      <c r="D5" s="36" t="str">
        <f>'28.10 Mbarara-Kabale'!D5</f>
        <v>28.10.19</v>
      </c>
      <c r="E5" s="3"/>
      <c r="F5" s="41" t="s">
        <v>1</v>
      </c>
      <c r="G5" s="63" t="str">
        <f>'27.10 Mbarara-Kabale'!G5:H5</f>
        <v>Nyeihanga traffic station</v>
      </c>
      <c r="H5" s="64"/>
      <c r="I5" s="14"/>
      <c r="J5" s="2" t="s">
        <v>5</v>
      </c>
      <c r="K5" s="63" t="s">
        <v>170</v>
      </c>
      <c r="L5" s="64"/>
      <c r="M5" s="10"/>
      <c r="N5" s="10"/>
      <c r="O5" s="3"/>
      <c r="P5" s="3"/>
    </row>
    <row r="6" spans="2:32" ht="29.25" customHeight="1" x14ac:dyDescent="0.25">
      <c r="C6" s="2" t="s">
        <v>4</v>
      </c>
      <c r="D6" s="63" t="str">
        <f>'27.10 Kabale-Mbarara'!D6:E6</f>
        <v>Kabale</v>
      </c>
      <c r="E6" s="64"/>
      <c r="F6" s="2" t="s">
        <v>2</v>
      </c>
      <c r="G6" s="63" t="str">
        <f>'27.10 Kabale-Mbarara'!G6:H6</f>
        <v>Mbarara</v>
      </c>
      <c r="H6" s="64"/>
      <c r="J6" s="2" t="s">
        <v>21</v>
      </c>
      <c r="K6" s="63" t="str">
        <f>'27.10 Mbarara-Kabale'!K6:L6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0</v>
      </c>
      <c r="E10" s="50">
        <v>0</v>
      </c>
      <c r="F10" s="50">
        <v>3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18</v>
      </c>
      <c r="N10" s="50">
        <v>0</v>
      </c>
      <c r="O10" s="15">
        <f t="shared" ref="O10:O57" si="0">SUM(C10:L10,N10)</f>
        <v>11</v>
      </c>
      <c r="P10" s="15">
        <f t="shared" ref="P10:P57" si="1">SUM(C10:N10)</f>
        <v>29</v>
      </c>
      <c r="R10" s="1" t="s">
        <v>6</v>
      </c>
      <c r="S10" s="17">
        <f t="shared" ref="S10:AF10" si="2">SUM(C10:C13)</f>
        <v>24</v>
      </c>
      <c r="T10" s="17">
        <f t="shared" si="2"/>
        <v>2</v>
      </c>
      <c r="U10" s="17">
        <f t="shared" si="2"/>
        <v>2</v>
      </c>
      <c r="V10" s="17">
        <f t="shared" si="2"/>
        <v>25</v>
      </c>
      <c r="W10" s="17">
        <f t="shared" si="2"/>
        <v>1</v>
      </c>
      <c r="X10" s="17">
        <f t="shared" si="2"/>
        <v>2</v>
      </c>
      <c r="Y10" s="17">
        <f t="shared" si="2"/>
        <v>8</v>
      </c>
      <c r="Z10" s="17">
        <f t="shared" si="2"/>
        <v>2</v>
      </c>
      <c r="AA10" s="17">
        <f t="shared" si="2"/>
        <v>0</v>
      </c>
      <c r="AB10" s="17">
        <f t="shared" si="2"/>
        <v>3</v>
      </c>
      <c r="AC10" s="17">
        <f t="shared" si="2"/>
        <v>58</v>
      </c>
      <c r="AD10" s="17">
        <f t="shared" si="2"/>
        <v>0</v>
      </c>
      <c r="AE10" s="31">
        <f t="shared" si="2"/>
        <v>69</v>
      </c>
      <c r="AF10" s="31">
        <f t="shared" si="2"/>
        <v>127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1</v>
      </c>
      <c r="F11" s="50">
        <v>6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20</v>
      </c>
      <c r="N11" s="50">
        <v>0</v>
      </c>
      <c r="O11" s="15">
        <f t="shared" si="0"/>
        <v>10</v>
      </c>
      <c r="P11" s="15">
        <f t="shared" si="1"/>
        <v>30</v>
      </c>
      <c r="R11" s="1" t="s">
        <v>7</v>
      </c>
      <c r="S11" s="17">
        <f t="shared" ref="S11:AF11" si="3">SUM(C14:C17)</f>
        <v>35</v>
      </c>
      <c r="T11" s="17">
        <f t="shared" si="3"/>
        <v>7</v>
      </c>
      <c r="U11" s="17">
        <f t="shared" si="3"/>
        <v>4</v>
      </c>
      <c r="V11" s="17">
        <f t="shared" si="3"/>
        <v>32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6</v>
      </c>
      <c r="AA11" s="17">
        <f t="shared" si="3"/>
        <v>3</v>
      </c>
      <c r="AB11" s="17">
        <f t="shared" si="3"/>
        <v>3</v>
      </c>
      <c r="AC11" s="17">
        <f t="shared" si="3"/>
        <v>91</v>
      </c>
      <c r="AD11" s="17">
        <f t="shared" si="3"/>
        <v>0</v>
      </c>
      <c r="AE11" s="31">
        <f t="shared" si="3"/>
        <v>97</v>
      </c>
      <c r="AF11" s="31">
        <f t="shared" si="3"/>
        <v>188</v>
      </c>
    </row>
    <row r="12" spans="2:32" ht="23.1" customHeight="1" x14ac:dyDescent="0.25">
      <c r="B12" s="23" t="s">
        <v>39</v>
      </c>
      <c r="C12" s="50">
        <v>6</v>
      </c>
      <c r="D12" s="50">
        <v>0</v>
      </c>
      <c r="E12" s="50">
        <v>0</v>
      </c>
      <c r="F12" s="50">
        <v>6</v>
      </c>
      <c r="G12" s="50">
        <v>1</v>
      </c>
      <c r="H12" s="50">
        <v>1</v>
      </c>
      <c r="I12" s="50">
        <v>0</v>
      </c>
      <c r="J12" s="50">
        <v>0</v>
      </c>
      <c r="K12" s="50">
        <v>0</v>
      </c>
      <c r="L12" s="50">
        <v>3</v>
      </c>
      <c r="M12" s="50">
        <v>7</v>
      </c>
      <c r="N12" s="50">
        <v>0</v>
      </c>
      <c r="O12" s="15">
        <f t="shared" si="0"/>
        <v>17</v>
      </c>
      <c r="P12" s="15">
        <f t="shared" si="1"/>
        <v>24</v>
      </c>
      <c r="R12" s="1" t="s">
        <v>8</v>
      </c>
      <c r="S12" s="17">
        <f t="shared" ref="S12:AF12" si="4">SUM(C18:C21)</f>
        <v>52</v>
      </c>
      <c r="T12" s="17">
        <f t="shared" si="4"/>
        <v>2</v>
      </c>
      <c r="U12" s="17">
        <f t="shared" si="4"/>
        <v>3</v>
      </c>
      <c r="V12" s="17">
        <f t="shared" si="4"/>
        <v>41</v>
      </c>
      <c r="W12" s="17">
        <f t="shared" si="4"/>
        <v>0</v>
      </c>
      <c r="X12" s="17">
        <f t="shared" si="4"/>
        <v>6</v>
      </c>
      <c r="Y12" s="17">
        <f t="shared" si="4"/>
        <v>7</v>
      </c>
      <c r="Z12" s="17">
        <f t="shared" si="4"/>
        <v>3</v>
      </c>
      <c r="AA12" s="17">
        <f t="shared" si="4"/>
        <v>6</v>
      </c>
      <c r="AB12" s="17">
        <f t="shared" si="4"/>
        <v>5</v>
      </c>
      <c r="AC12" s="17">
        <f t="shared" si="4"/>
        <v>95</v>
      </c>
      <c r="AD12" s="17">
        <f t="shared" si="4"/>
        <v>0</v>
      </c>
      <c r="AE12" s="31">
        <f t="shared" si="4"/>
        <v>125</v>
      </c>
      <c r="AF12" s="31">
        <f t="shared" si="4"/>
        <v>220</v>
      </c>
    </row>
    <row r="13" spans="2:32" ht="23.1" customHeight="1" x14ac:dyDescent="0.25">
      <c r="B13" s="23" t="s">
        <v>40</v>
      </c>
      <c r="C13" s="50">
        <v>9</v>
      </c>
      <c r="D13" s="50">
        <v>2</v>
      </c>
      <c r="E13" s="50">
        <v>1</v>
      </c>
      <c r="F13" s="50">
        <v>10</v>
      </c>
      <c r="G13" s="50">
        <v>0</v>
      </c>
      <c r="H13" s="50">
        <v>1</v>
      </c>
      <c r="I13" s="50">
        <v>6</v>
      </c>
      <c r="J13" s="50">
        <v>2</v>
      </c>
      <c r="K13" s="50">
        <v>0</v>
      </c>
      <c r="L13" s="50">
        <v>0</v>
      </c>
      <c r="M13" s="50">
        <v>13</v>
      </c>
      <c r="N13" s="50">
        <v>0</v>
      </c>
      <c r="O13" s="15">
        <f t="shared" si="0"/>
        <v>31</v>
      </c>
      <c r="P13" s="15">
        <f t="shared" si="1"/>
        <v>44</v>
      </c>
      <c r="R13" s="1" t="s">
        <v>9</v>
      </c>
      <c r="S13" s="17">
        <f t="shared" ref="S13:AF13" si="5">SUM(C22:C25)</f>
        <v>32</v>
      </c>
      <c r="T13" s="17">
        <f t="shared" si="5"/>
        <v>3</v>
      </c>
      <c r="U13" s="17">
        <f t="shared" si="5"/>
        <v>5</v>
      </c>
      <c r="V13" s="17">
        <f t="shared" si="5"/>
        <v>29</v>
      </c>
      <c r="W13" s="17">
        <f t="shared" si="5"/>
        <v>0</v>
      </c>
      <c r="X13" s="17">
        <f t="shared" si="5"/>
        <v>3</v>
      </c>
      <c r="Y13" s="17">
        <f t="shared" si="5"/>
        <v>4</v>
      </c>
      <c r="Z13" s="17">
        <f t="shared" si="5"/>
        <v>9</v>
      </c>
      <c r="AA13" s="17">
        <f t="shared" si="5"/>
        <v>3</v>
      </c>
      <c r="AB13" s="17">
        <f t="shared" si="5"/>
        <v>1</v>
      </c>
      <c r="AC13" s="17">
        <f t="shared" si="5"/>
        <v>78</v>
      </c>
      <c r="AD13" s="17">
        <f t="shared" si="5"/>
        <v>0</v>
      </c>
      <c r="AE13" s="31">
        <f t="shared" si="5"/>
        <v>89</v>
      </c>
      <c r="AF13" s="31">
        <f t="shared" si="5"/>
        <v>167</v>
      </c>
    </row>
    <row r="14" spans="2:32" ht="23.1" customHeight="1" x14ac:dyDescent="0.25">
      <c r="B14" s="23" t="s">
        <v>41</v>
      </c>
      <c r="C14" s="50">
        <v>10</v>
      </c>
      <c r="D14" s="50">
        <v>1</v>
      </c>
      <c r="E14" s="50">
        <v>1</v>
      </c>
      <c r="F14" s="50">
        <v>11</v>
      </c>
      <c r="G14" s="50">
        <v>0</v>
      </c>
      <c r="H14" s="50">
        <v>0</v>
      </c>
      <c r="I14" s="50">
        <v>0</v>
      </c>
      <c r="J14" s="50">
        <v>1</v>
      </c>
      <c r="K14" s="50">
        <v>1</v>
      </c>
      <c r="L14" s="50">
        <v>0</v>
      </c>
      <c r="M14" s="50">
        <v>20</v>
      </c>
      <c r="N14" s="50">
        <v>0</v>
      </c>
      <c r="O14" s="15">
        <f t="shared" si="0"/>
        <v>25</v>
      </c>
      <c r="P14" s="15">
        <f t="shared" si="1"/>
        <v>45</v>
      </c>
      <c r="R14" s="1" t="s">
        <v>10</v>
      </c>
      <c r="S14" s="17">
        <f t="shared" ref="S14:AF14" si="6">SUM(C26:C29)</f>
        <v>49</v>
      </c>
      <c r="T14" s="17">
        <f t="shared" si="6"/>
        <v>2</v>
      </c>
      <c r="U14" s="17">
        <f t="shared" si="6"/>
        <v>5</v>
      </c>
      <c r="V14" s="17">
        <f t="shared" si="6"/>
        <v>49</v>
      </c>
      <c r="W14" s="17">
        <f t="shared" si="6"/>
        <v>0</v>
      </c>
      <c r="X14" s="17">
        <f t="shared" si="6"/>
        <v>1</v>
      </c>
      <c r="Y14" s="17">
        <f t="shared" si="6"/>
        <v>8</v>
      </c>
      <c r="Z14" s="17">
        <f t="shared" si="6"/>
        <v>4</v>
      </c>
      <c r="AA14" s="17">
        <f t="shared" si="6"/>
        <v>2</v>
      </c>
      <c r="AB14" s="17">
        <f t="shared" si="6"/>
        <v>2</v>
      </c>
      <c r="AC14" s="17">
        <f t="shared" si="6"/>
        <v>66</v>
      </c>
      <c r="AD14" s="17">
        <f t="shared" si="6"/>
        <v>0</v>
      </c>
      <c r="AE14" s="31">
        <f t="shared" si="6"/>
        <v>122</v>
      </c>
      <c r="AF14" s="31">
        <f t="shared" si="6"/>
        <v>188</v>
      </c>
    </row>
    <row r="15" spans="2:32" ht="23.1" customHeight="1" x14ac:dyDescent="0.25">
      <c r="B15" s="23" t="s">
        <v>42</v>
      </c>
      <c r="C15" s="50">
        <v>6</v>
      </c>
      <c r="D15" s="50">
        <v>1</v>
      </c>
      <c r="E15" s="50">
        <v>1</v>
      </c>
      <c r="F15" s="50">
        <v>5</v>
      </c>
      <c r="G15" s="50">
        <v>0</v>
      </c>
      <c r="H15" s="50">
        <v>0</v>
      </c>
      <c r="I15" s="50">
        <v>3</v>
      </c>
      <c r="J15" s="50">
        <v>0</v>
      </c>
      <c r="K15" s="50">
        <v>1</v>
      </c>
      <c r="L15" s="50">
        <v>0</v>
      </c>
      <c r="M15" s="50">
        <v>28</v>
      </c>
      <c r="N15" s="50">
        <v>0</v>
      </c>
      <c r="O15" s="15">
        <f t="shared" si="0"/>
        <v>17</v>
      </c>
      <c r="P15" s="15">
        <f t="shared" si="1"/>
        <v>45</v>
      </c>
      <c r="R15" s="1" t="s">
        <v>11</v>
      </c>
      <c r="S15" s="17">
        <f t="shared" ref="S15:AF15" si="7">SUM(C30:C33)</f>
        <v>22</v>
      </c>
      <c r="T15" s="17">
        <f t="shared" si="7"/>
        <v>3</v>
      </c>
      <c r="U15" s="17">
        <f t="shared" si="7"/>
        <v>0</v>
      </c>
      <c r="V15" s="17">
        <f t="shared" si="7"/>
        <v>30</v>
      </c>
      <c r="W15" s="17">
        <f t="shared" si="7"/>
        <v>0</v>
      </c>
      <c r="X15" s="17">
        <f t="shared" si="7"/>
        <v>3</v>
      </c>
      <c r="Y15" s="17">
        <f t="shared" si="7"/>
        <v>6</v>
      </c>
      <c r="Z15" s="17">
        <f t="shared" si="7"/>
        <v>0</v>
      </c>
      <c r="AA15" s="17">
        <f t="shared" si="7"/>
        <v>0</v>
      </c>
      <c r="AB15" s="17">
        <f t="shared" si="7"/>
        <v>2</v>
      </c>
      <c r="AC15" s="17">
        <f t="shared" si="7"/>
        <v>55</v>
      </c>
      <c r="AD15" s="17">
        <f t="shared" si="7"/>
        <v>0</v>
      </c>
      <c r="AE15" s="31">
        <f t="shared" si="7"/>
        <v>66</v>
      </c>
      <c r="AF15" s="31">
        <f t="shared" si="7"/>
        <v>121</v>
      </c>
    </row>
    <row r="16" spans="2:32" ht="23.1" customHeight="1" x14ac:dyDescent="0.25">
      <c r="B16" s="23" t="s">
        <v>43</v>
      </c>
      <c r="C16" s="50">
        <v>3</v>
      </c>
      <c r="D16" s="50">
        <v>2</v>
      </c>
      <c r="E16" s="50">
        <v>2</v>
      </c>
      <c r="F16" s="50">
        <v>4</v>
      </c>
      <c r="G16" s="50">
        <v>0</v>
      </c>
      <c r="H16" s="50">
        <v>0</v>
      </c>
      <c r="I16" s="50">
        <v>1</v>
      </c>
      <c r="J16" s="50">
        <v>4</v>
      </c>
      <c r="K16" s="50">
        <v>0</v>
      </c>
      <c r="L16" s="50">
        <v>3</v>
      </c>
      <c r="M16" s="50">
        <v>23</v>
      </c>
      <c r="N16" s="50">
        <v>0</v>
      </c>
      <c r="O16" s="15">
        <f t="shared" si="0"/>
        <v>19</v>
      </c>
      <c r="P16" s="15">
        <f t="shared" si="1"/>
        <v>42</v>
      </c>
      <c r="R16" s="1" t="s">
        <v>12</v>
      </c>
      <c r="S16" s="17">
        <f t="shared" ref="S16:AF16" si="8">SUM(C34:C37)</f>
        <v>43</v>
      </c>
      <c r="T16" s="17">
        <f t="shared" si="8"/>
        <v>3</v>
      </c>
      <c r="U16" s="17">
        <f t="shared" si="8"/>
        <v>1</v>
      </c>
      <c r="V16" s="17">
        <f t="shared" si="8"/>
        <v>10</v>
      </c>
      <c r="W16" s="17">
        <f t="shared" si="8"/>
        <v>2</v>
      </c>
      <c r="X16" s="17">
        <f t="shared" si="8"/>
        <v>1</v>
      </c>
      <c r="Y16" s="17">
        <f t="shared" si="8"/>
        <v>6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44</v>
      </c>
      <c r="AD16" s="17">
        <f t="shared" si="8"/>
        <v>0</v>
      </c>
      <c r="AE16" s="31">
        <f t="shared" si="8"/>
        <v>69</v>
      </c>
      <c r="AF16" s="31">
        <f t="shared" si="8"/>
        <v>113</v>
      </c>
    </row>
    <row r="17" spans="2:32" ht="23.1" customHeight="1" x14ac:dyDescent="0.25">
      <c r="B17" s="23" t="s">
        <v>44</v>
      </c>
      <c r="C17" s="50">
        <v>16</v>
      </c>
      <c r="D17" s="50">
        <v>3</v>
      </c>
      <c r="E17" s="50">
        <v>0</v>
      </c>
      <c r="F17" s="50">
        <v>12</v>
      </c>
      <c r="G17" s="50">
        <v>0</v>
      </c>
      <c r="H17" s="50">
        <v>0</v>
      </c>
      <c r="I17" s="50">
        <v>3</v>
      </c>
      <c r="J17" s="50">
        <v>1</v>
      </c>
      <c r="K17" s="50">
        <v>1</v>
      </c>
      <c r="L17" s="50">
        <v>0</v>
      </c>
      <c r="M17" s="50">
        <v>20</v>
      </c>
      <c r="N17" s="50">
        <v>0</v>
      </c>
      <c r="O17" s="15">
        <f t="shared" si="0"/>
        <v>36</v>
      </c>
      <c r="P17" s="15">
        <f t="shared" si="1"/>
        <v>56</v>
      </c>
      <c r="R17" s="1" t="s">
        <v>13</v>
      </c>
      <c r="S17" s="17">
        <f t="shared" ref="S17:AF17" si="9">SUM(C38:C41)</f>
        <v>18</v>
      </c>
      <c r="T17" s="17">
        <f t="shared" si="9"/>
        <v>8</v>
      </c>
      <c r="U17" s="17">
        <f t="shared" si="9"/>
        <v>5</v>
      </c>
      <c r="V17" s="17">
        <f t="shared" si="9"/>
        <v>9</v>
      </c>
      <c r="W17" s="17">
        <f t="shared" si="9"/>
        <v>0</v>
      </c>
      <c r="X17" s="17">
        <f t="shared" si="9"/>
        <v>5</v>
      </c>
      <c r="Y17" s="17">
        <f t="shared" si="9"/>
        <v>9</v>
      </c>
      <c r="Z17" s="17">
        <f t="shared" si="9"/>
        <v>1</v>
      </c>
      <c r="AA17" s="17">
        <f t="shared" si="9"/>
        <v>0</v>
      </c>
      <c r="AB17" s="17">
        <f t="shared" si="9"/>
        <v>12</v>
      </c>
      <c r="AC17" s="17">
        <f t="shared" si="9"/>
        <v>18</v>
      </c>
      <c r="AD17" s="17">
        <f t="shared" si="9"/>
        <v>0</v>
      </c>
      <c r="AE17" s="31">
        <f t="shared" si="9"/>
        <v>67</v>
      </c>
      <c r="AF17" s="31">
        <f t="shared" si="9"/>
        <v>85</v>
      </c>
    </row>
    <row r="18" spans="2:32" ht="23.1" customHeight="1" x14ac:dyDescent="0.25">
      <c r="B18" s="23" t="s">
        <v>45</v>
      </c>
      <c r="C18" s="50">
        <v>15</v>
      </c>
      <c r="D18" s="50">
        <v>0</v>
      </c>
      <c r="E18" s="50">
        <v>1</v>
      </c>
      <c r="F18" s="50">
        <v>13</v>
      </c>
      <c r="G18" s="50">
        <v>0</v>
      </c>
      <c r="H18" s="50">
        <v>2</v>
      </c>
      <c r="I18" s="50">
        <v>3</v>
      </c>
      <c r="J18" s="50">
        <v>0</v>
      </c>
      <c r="K18" s="50">
        <v>0</v>
      </c>
      <c r="L18" s="50">
        <v>0</v>
      </c>
      <c r="M18" s="50">
        <v>13</v>
      </c>
      <c r="N18" s="50">
        <v>0</v>
      </c>
      <c r="O18" s="15">
        <f t="shared" si="0"/>
        <v>34</v>
      </c>
      <c r="P18" s="15">
        <f t="shared" si="1"/>
        <v>47</v>
      </c>
      <c r="R18" s="1" t="s">
        <v>14</v>
      </c>
      <c r="S18" s="17">
        <f t="shared" ref="S18:AF18" si="10">SUM(C42:C45)</f>
        <v>29</v>
      </c>
      <c r="T18" s="17">
        <f t="shared" si="10"/>
        <v>16</v>
      </c>
      <c r="U18" s="17">
        <f t="shared" si="10"/>
        <v>0</v>
      </c>
      <c r="V18" s="17">
        <f t="shared" si="10"/>
        <v>16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1</v>
      </c>
      <c r="AA18" s="17">
        <f t="shared" si="10"/>
        <v>12</v>
      </c>
      <c r="AB18" s="17">
        <f t="shared" si="10"/>
        <v>4</v>
      </c>
      <c r="AC18" s="17">
        <f t="shared" si="10"/>
        <v>9</v>
      </c>
      <c r="AD18" s="17">
        <f t="shared" si="10"/>
        <v>0</v>
      </c>
      <c r="AE18" s="31">
        <f t="shared" si="10"/>
        <v>83</v>
      </c>
      <c r="AF18" s="31">
        <f t="shared" si="10"/>
        <v>92</v>
      </c>
    </row>
    <row r="19" spans="2:32" ht="23.1" customHeight="1" x14ac:dyDescent="0.25">
      <c r="B19" s="23" t="s">
        <v>46</v>
      </c>
      <c r="C19" s="50">
        <v>7</v>
      </c>
      <c r="D19" s="50">
        <v>0</v>
      </c>
      <c r="E19" s="50">
        <v>0</v>
      </c>
      <c r="F19" s="50">
        <v>11</v>
      </c>
      <c r="G19" s="50">
        <v>0</v>
      </c>
      <c r="H19" s="50">
        <v>1</v>
      </c>
      <c r="I19" s="50">
        <v>1</v>
      </c>
      <c r="J19" s="50">
        <v>2</v>
      </c>
      <c r="K19" s="50">
        <v>0</v>
      </c>
      <c r="L19" s="50">
        <v>0</v>
      </c>
      <c r="M19" s="50">
        <v>29</v>
      </c>
      <c r="N19" s="50">
        <v>0</v>
      </c>
      <c r="O19" s="15">
        <f t="shared" si="0"/>
        <v>22</v>
      </c>
      <c r="P19" s="15">
        <f t="shared" si="1"/>
        <v>51</v>
      </c>
      <c r="R19" s="1" t="s">
        <v>15</v>
      </c>
      <c r="S19" s="17">
        <f t="shared" ref="S19:AF19" si="11">SUM(C46:C49)</f>
        <v>26</v>
      </c>
      <c r="T19" s="17">
        <f t="shared" si="11"/>
        <v>8</v>
      </c>
      <c r="U19" s="17">
        <f t="shared" si="11"/>
        <v>13</v>
      </c>
      <c r="V19" s="17">
        <f t="shared" si="11"/>
        <v>28</v>
      </c>
      <c r="W19" s="17">
        <f t="shared" si="11"/>
        <v>0</v>
      </c>
      <c r="X19" s="17">
        <f t="shared" si="11"/>
        <v>1</v>
      </c>
      <c r="Y19" s="17">
        <f t="shared" si="11"/>
        <v>6</v>
      </c>
      <c r="Z19" s="17">
        <f t="shared" si="11"/>
        <v>7</v>
      </c>
      <c r="AA19" s="17">
        <f t="shared" si="11"/>
        <v>4</v>
      </c>
      <c r="AB19" s="17">
        <f t="shared" si="11"/>
        <v>28</v>
      </c>
      <c r="AC19" s="17">
        <f t="shared" si="11"/>
        <v>37</v>
      </c>
      <c r="AD19" s="17">
        <f t="shared" si="11"/>
        <v>0</v>
      </c>
      <c r="AE19" s="31">
        <f t="shared" si="11"/>
        <v>121</v>
      </c>
      <c r="AF19" s="31">
        <f t="shared" si="11"/>
        <v>158</v>
      </c>
    </row>
    <row r="20" spans="2:32" ht="23.1" customHeight="1" x14ac:dyDescent="0.25">
      <c r="B20" s="23" t="s">
        <v>47</v>
      </c>
      <c r="C20" s="50">
        <v>10</v>
      </c>
      <c r="D20" s="50">
        <v>1</v>
      </c>
      <c r="E20" s="50">
        <v>1</v>
      </c>
      <c r="F20" s="50">
        <v>12</v>
      </c>
      <c r="G20" s="50">
        <v>0</v>
      </c>
      <c r="H20" s="50">
        <v>2</v>
      </c>
      <c r="I20" s="50">
        <v>3</v>
      </c>
      <c r="J20" s="50">
        <v>1</v>
      </c>
      <c r="K20" s="50">
        <v>0</v>
      </c>
      <c r="L20" s="50">
        <v>3</v>
      </c>
      <c r="M20" s="50">
        <v>25</v>
      </c>
      <c r="N20" s="50">
        <v>0</v>
      </c>
      <c r="O20" s="15">
        <f t="shared" si="0"/>
        <v>33</v>
      </c>
      <c r="P20" s="15">
        <f t="shared" si="1"/>
        <v>58</v>
      </c>
      <c r="R20" s="1" t="s">
        <v>16</v>
      </c>
      <c r="S20" s="17">
        <f t="shared" ref="S20:AF20" si="12">SUM(C50:C53)</f>
        <v>15</v>
      </c>
      <c r="T20" s="17">
        <f t="shared" si="12"/>
        <v>7</v>
      </c>
      <c r="U20" s="17">
        <f t="shared" si="12"/>
        <v>14</v>
      </c>
      <c r="V20" s="17">
        <f t="shared" si="12"/>
        <v>36</v>
      </c>
      <c r="W20" s="17">
        <f t="shared" si="12"/>
        <v>1</v>
      </c>
      <c r="X20" s="17">
        <f t="shared" si="12"/>
        <v>0</v>
      </c>
      <c r="Y20" s="17">
        <f t="shared" si="12"/>
        <v>4</v>
      </c>
      <c r="Z20" s="17">
        <f t="shared" si="12"/>
        <v>12</v>
      </c>
      <c r="AA20" s="17">
        <f t="shared" si="12"/>
        <v>17</v>
      </c>
      <c r="AB20" s="17">
        <f t="shared" si="12"/>
        <v>24</v>
      </c>
      <c r="AC20" s="17">
        <f t="shared" si="12"/>
        <v>41</v>
      </c>
      <c r="AD20" s="17">
        <f t="shared" si="12"/>
        <v>0</v>
      </c>
      <c r="AE20" s="31">
        <f t="shared" si="12"/>
        <v>130</v>
      </c>
      <c r="AF20" s="31">
        <f t="shared" si="12"/>
        <v>171</v>
      </c>
    </row>
    <row r="21" spans="2:32" ht="23.1" customHeight="1" x14ac:dyDescent="0.25">
      <c r="B21" s="23" t="s">
        <v>48</v>
      </c>
      <c r="C21" s="50">
        <v>20</v>
      </c>
      <c r="D21" s="50">
        <v>1</v>
      </c>
      <c r="E21" s="50">
        <v>1</v>
      </c>
      <c r="F21" s="50">
        <v>5</v>
      </c>
      <c r="G21" s="50">
        <v>0</v>
      </c>
      <c r="H21" s="50">
        <v>1</v>
      </c>
      <c r="I21" s="50">
        <v>0</v>
      </c>
      <c r="J21" s="50">
        <v>0</v>
      </c>
      <c r="K21" s="50">
        <v>6</v>
      </c>
      <c r="L21" s="50">
        <v>2</v>
      </c>
      <c r="M21" s="50">
        <v>28</v>
      </c>
      <c r="N21" s="50">
        <v>0</v>
      </c>
      <c r="O21" s="15">
        <f t="shared" si="0"/>
        <v>36</v>
      </c>
      <c r="P21" s="15">
        <f t="shared" si="1"/>
        <v>64</v>
      </c>
      <c r="R21" s="36" t="s">
        <v>20</v>
      </c>
      <c r="S21" s="34">
        <f t="shared" ref="S21:AF21" si="13">SUM(C54:C57)</f>
        <v>36</v>
      </c>
      <c r="T21" s="17">
        <f t="shared" si="13"/>
        <v>4</v>
      </c>
      <c r="U21" s="17">
        <f t="shared" si="13"/>
        <v>3</v>
      </c>
      <c r="V21" s="17">
        <f t="shared" si="13"/>
        <v>31</v>
      </c>
      <c r="W21" s="17">
        <f t="shared" si="13"/>
        <v>1</v>
      </c>
      <c r="X21" s="17">
        <f t="shared" si="13"/>
        <v>1</v>
      </c>
      <c r="Y21" s="17">
        <f t="shared" si="13"/>
        <v>3</v>
      </c>
      <c r="Z21" s="17">
        <f t="shared" si="13"/>
        <v>4</v>
      </c>
      <c r="AA21" s="17">
        <f t="shared" si="13"/>
        <v>23</v>
      </c>
      <c r="AB21" s="17">
        <f t="shared" si="13"/>
        <v>5</v>
      </c>
      <c r="AC21" s="17">
        <f t="shared" si="13"/>
        <v>72</v>
      </c>
      <c r="AD21" s="17">
        <f t="shared" si="13"/>
        <v>0</v>
      </c>
      <c r="AE21" s="31">
        <f t="shared" si="13"/>
        <v>111</v>
      </c>
      <c r="AF21" s="31">
        <f t="shared" si="13"/>
        <v>183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0</v>
      </c>
      <c r="F22" s="50">
        <v>8</v>
      </c>
      <c r="G22" s="50">
        <v>0</v>
      </c>
      <c r="H22" s="50">
        <v>0</v>
      </c>
      <c r="I22" s="50">
        <v>3</v>
      </c>
      <c r="J22" s="50">
        <v>2</v>
      </c>
      <c r="K22" s="50">
        <v>0</v>
      </c>
      <c r="L22" s="50">
        <v>1</v>
      </c>
      <c r="M22" s="50">
        <v>25</v>
      </c>
      <c r="N22" s="50">
        <v>0</v>
      </c>
      <c r="O22" s="15">
        <f t="shared" si="0"/>
        <v>17</v>
      </c>
      <c r="P22" s="15">
        <f t="shared" si="1"/>
        <v>42</v>
      </c>
      <c r="R22" s="38" t="s">
        <v>90</v>
      </c>
      <c r="S22" s="39">
        <f>MAX(S10:S12)</f>
        <v>52</v>
      </c>
      <c r="T22" s="39">
        <f t="shared" ref="T22:AF22" si="14">MAX(T10:T12)</f>
        <v>7</v>
      </c>
      <c r="U22" s="39">
        <f t="shared" si="14"/>
        <v>4</v>
      </c>
      <c r="V22" s="39">
        <f t="shared" si="14"/>
        <v>41</v>
      </c>
      <c r="W22" s="39">
        <f t="shared" si="14"/>
        <v>1</v>
      </c>
      <c r="X22" s="39">
        <f t="shared" si="14"/>
        <v>6</v>
      </c>
      <c r="Y22" s="39">
        <f t="shared" si="14"/>
        <v>8</v>
      </c>
      <c r="Z22" s="39">
        <f t="shared" si="14"/>
        <v>6</v>
      </c>
      <c r="AA22" s="39">
        <f t="shared" si="14"/>
        <v>6</v>
      </c>
      <c r="AB22" s="39">
        <f t="shared" si="14"/>
        <v>5</v>
      </c>
      <c r="AC22" s="39">
        <f t="shared" si="14"/>
        <v>95</v>
      </c>
      <c r="AD22" s="39">
        <f t="shared" si="14"/>
        <v>0</v>
      </c>
      <c r="AE22" s="40">
        <f t="shared" si="14"/>
        <v>125</v>
      </c>
      <c r="AF22" s="40">
        <f t="shared" si="14"/>
        <v>220</v>
      </c>
    </row>
    <row r="23" spans="2:32" ht="23.1" customHeight="1" x14ac:dyDescent="0.25">
      <c r="B23" s="23" t="s">
        <v>50</v>
      </c>
      <c r="C23" s="50">
        <v>10</v>
      </c>
      <c r="D23" s="50">
        <v>1</v>
      </c>
      <c r="E23" s="50">
        <v>1</v>
      </c>
      <c r="F23" s="50">
        <v>10</v>
      </c>
      <c r="G23" s="50">
        <v>0</v>
      </c>
      <c r="H23" s="50">
        <v>1</v>
      </c>
      <c r="I23" s="50">
        <v>1</v>
      </c>
      <c r="J23" s="50">
        <v>6</v>
      </c>
      <c r="K23" s="50">
        <v>1</v>
      </c>
      <c r="L23" s="50">
        <v>0</v>
      </c>
      <c r="M23" s="50">
        <v>23</v>
      </c>
      <c r="N23" s="50">
        <v>0</v>
      </c>
      <c r="O23" s="15">
        <f t="shared" si="0"/>
        <v>31</v>
      </c>
      <c r="P23" s="15">
        <f t="shared" si="1"/>
        <v>54</v>
      </c>
      <c r="R23" s="38" t="s">
        <v>91</v>
      </c>
      <c r="S23" s="39">
        <f>MAX(S13:S18)</f>
        <v>49</v>
      </c>
      <c r="T23" s="39">
        <f t="shared" ref="T23:AF23" si="15">MAX(T13:T18)</f>
        <v>16</v>
      </c>
      <c r="U23" s="39">
        <f t="shared" si="15"/>
        <v>5</v>
      </c>
      <c r="V23" s="39">
        <f t="shared" si="15"/>
        <v>49</v>
      </c>
      <c r="W23" s="39">
        <f t="shared" si="15"/>
        <v>2</v>
      </c>
      <c r="X23" s="39">
        <f t="shared" si="15"/>
        <v>5</v>
      </c>
      <c r="Y23" s="39">
        <f t="shared" si="15"/>
        <v>9</v>
      </c>
      <c r="Z23" s="39">
        <f t="shared" si="15"/>
        <v>9</v>
      </c>
      <c r="AA23" s="39">
        <f t="shared" si="15"/>
        <v>12</v>
      </c>
      <c r="AB23" s="39">
        <f t="shared" si="15"/>
        <v>12</v>
      </c>
      <c r="AC23" s="39">
        <f t="shared" si="15"/>
        <v>78</v>
      </c>
      <c r="AD23" s="39">
        <f t="shared" si="15"/>
        <v>0</v>
      </c>
      <c r="AE23" s="40">
        <f t="shared" si="15"/>
        <v>122</v>
      </c>
      <c r="AF23" s="40">
        <f t="shared" si="15"/>
        <v>188</v>
      </c>
    </row>
    <row r="24" spans="2:32" ht="23.1" customHeight="1" x14ac:dyDescent="0.25">
      <c r="B24" s="23" t="s">
        <v>51</v>
      </c>
      <c r="C24" s="50">
        <v>6</v>
      </c>
      <c r="D24" s="50">
        <v>0</v>
      </c>
      <c r="E24" s="50">
        <v>1</v>
      </c>
      <c r="F24" s="50">
        <v>5</v>
      </c>
      <c r="G24" s="50">
        <v>0</v>
      </c>
      <c r="H24" s="50">
        <v>1</v>
      </c>
      <c r="I24" s="50">
        <v>0</v>
      </c>
      <c r="J24" s="50">
        <v>0</v>
      </c>
      <c r="K24" s="50">
        <v>0</v>
      </c>
      <c r="L24" s="50">
        <v>0</v>
      </c>
      <c r="M24" s="50">
        <v>19</v>
      </c>
      <c r="N24" s="50">
        <v>0</v>
      </c>
      <c r="O24" s="15">
        <f t="shared" si="0"/>
        <v>13</v>
      </c>
      <c r="P24" s="15">
        <f t="shared" si="1"/>
        <v>32</v>
      </c>
      <c r="R24" s="38" t="s">
        <v>92</v>
      </c>
      <c r="S24" s="39">
        <f>MAX(S19:S21)</f>
        <v>36</v>
      </c>
      <c r="T24" s="39">
        <f t="shared" ref="T24:AF24" si="16">MAX(T19:T21)</f>
        <v>8</v>
      </c>
      <c r="U24" s="39">
        <f t="shared" si="16"/>
        <v>14</v>
      </c>
      <c r="V24" s="39">
        <f t="shared" si="16"/>
        <v>36</v>
      </c>
      <c r="W24" s="39">
        <f t="shared" si="16"/>
        <v>1</v>
      </c>
      <c r="X24" s="39">
        <f t="shared" si="16"/>
        <v>1</v>
      </c>
      <c r="Y24" s="39">
        <f t="shared" si="16"/>
        <v>6</v>
      </c>
      <c r="Z24" s="39">
        <f t="shared" si="16"/>
        <v>12</v>
      </c>
      <c r="AA24" s="39">
        <f t="shared" si="16"/>
        <v>23</v>
      </c>
      <c r="AB24" s="39">
        <f t="shared" si="16"/>
        <v>28</v>
      </c>
      <c r="AC24" s="39">
        <f t="shared" si="16"/>
        <v>72</v>
      </c>
      <c r="AD24" s="39">
        <f t="shared" si="16"/>
        <v>0</v>
      </c>
      <c r="AE24" s="40">
        <f t="shared" si="16"/>
        <v>130</v>
      </c>
      <c r="AF24" s="40">
        <f t="shared" si="16"/>
        <v>183</v>
      </c>
    </row>
    <row r="25" spans="2:32" ht="23.1" customHeight="1" x14ac:dyDescent="0.25">
      <c r="B25" s="23" t="s">
        <v>52</v>
      </c>
      <c r="C25" s="50">
        <v>13</v>
      </c>
      <c r="D25" s="50">
        <v>2</v>
      </c>
      <c r="E25" s="50">
        <v>3</v>
      </c>
      <c r="F25" s="50">
        <v>6</v>
      </c>
      <c r="G25" s="50">
        <v>0</v>
      </c>
      <c r="H25" s="50">
        <v>1</v>
      </c>
      <c r="I25" s="50">
        <v>0</v>
      </c>
      <c r="J25" s="50">
        <v>1</v>
      </c>
      <c r="K25" s="50">
        <v>2</v>
      </c>
      <c r="L25" s="50">
        <v>0</v>
      </c>
      <c r="M25" s="50">
        <v>11</v>
      </c>
      <c r="N25" s="50">
        <v>0</v>
      </c>
      <c r="O25" s="15">
        <f t="shared" si="0"/>
        <v>28</v>
      </c>
      <c r="P25" s="15">
        <f t="shared" si="1"/>
        <v>39</v>
      </c>
      <c r="R25" s="37" t="s">
        <v>85</v>
      </c>
      <c r="S25" s="35">
        <f t="shared" ref="S25:AF25" si="17">SUM(S10:S12)</f>
        <v>111</v>
      </c>
      <c r="T25" s="16">
        <f t="shared" si="17"/>
        <v>11</v>
      </c>
      <c r="U25" s="16">
        <f t="shared" si="17"/>
        <v>9</v>
      </c>
      <c r="V25" s="16">
        <f t="shared" si="17"/>
        <v>98</v>
      </c>
      <c r="W25" s="16">
        <f t="shared" si="17"/>
        <v>1</v>
      </c>
      <c r="X25" s="16">
        <f t="shared" si="17"/>
        <v>8</v>
      </c>
      <c r="Y25" s="16">
        <f t="shared" si="17"/>
        <v>22</v>
      </c>
      <c r="Z25" s="16">
        <f t="shared" si="17"/>
        <v>11</v>
      </c>
      <c r="AA25" s="16">
        <f t="shared" si="17"/>
        <v>9</v>
      </c>
      <c r="AB25" s="16">
        <f t="shared" si="17"/>
        <v>11</v>
      </c>
      <c r="AC25" s="16">
        <f t="shared" si="17"/>
        <v>244</v>
      </c>
      <c r="AD25" s="16">
        <f t="shared" si="17"/>
        <v>0</v>
      </c>
      <c r="AE25" s="32">
        <f t="shared" si="17"/>
        <v>291</v>
      </c>
      <c r="AF25" s="32">
        <f t="shared" si="17"/>
        <v>535</v>
      </c>
    </row>
    <row r="26" spans="2:32" ht="23.1" customHeight="1" x14ac:dyDescent="0.25">
      <c r="B26" s="23" t="s">
        <v>53</v>
      </c>
      <c r="C26" s="50">
        <v>16</v>
      </c>
      <c r="D26" s="50">
        <v>1</v>
      </c>
      <c r="E26" s="50">
        <v>2</v>
      </c>
      <c r="F26" s="50">
        <v>13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5">
        <f t="shared" si="0"/>
        <v>34</v>
      </c>
      <c r="P26" s="15">
        <f t="shared" si="1"/>
        <v>46</v>
      </c>
      <c r="R26" s="28" t="s">
        <v>86</v>
      </c>
      <c r="S26" s="16">
        <f t="shared" ref="S26:AF26" si="18">SUM(S13:S18)</f>
        <v>193</v>
      </c>
      <c r="T26" s="16">
        <f t="shared" si="18"/>
        <v>35</v>
      </c>
      <c r="U26" s="16">
        <f t="shared" si="18"/>
        <v>16</v>
      </c>
      <c r="V26" s="16">
        <f t="shared" si="18"/>
        <v>143</v>
      </c>
      <c r="W26" s="16">
        <f t="shared" si="18"/>
        <v>2</v>
      </c>
      <c r="X26" s="16">
        <f t="shared" si="18"/>
        <v>13</v>
      </c>
      <c r="Y26" s="16">
        <f t="shared" si="18"/>
        <v>38</v>
      </c>
      <c r="Z26" s="16">
        <f t="shared" si="18"/>
        <v>17</v>
      </c>
      <c r="AA26" s="16">
        <f t="shared" si="18"/>
        <v>18</v>
      </c>
      <c r="AB26" s="16">
        <f t="shared" si="18"/>
        <v>21</v>
      </c>
      <c r="AC26" s="16">
        <f t="shared" si="18"/>
        <v>270</v>
      </c>
      <c r="AD26" s="16">
        <f t="shared" si="18"/>
        <v>0</v>
      </c>
      <c r="AE26" s="32">
        <f t="shared" si="18"/>
        <v>496</v>
      </c>
      <c r="AF26" s="32">
        <f t="shared" si="18"/>
        <v>766</v>
      </c>
    </row>
    <row r="27" spans="2:32" ht="23.1" customHeight="1" x14ac:dyDescent="0.25">
      <c r="B27" s="23" t="s">
        <v>54</v>
      </c>
      <c r="C27" s="50">
        <v>10</v>
      </c>
      <c r="D27" s="50">
        <v>1</v>
      </c>
      <c r="E27" s="50">
        <v>0</v>
      </c>
      <c r="F27" s="50">
        <v>10</v>
      </c>
      <c r="G27" s="50">
        <v>0</v>
      </c>
      <c r="H27" s="50">
        <v>1</v>
      </c>
      <c r="I27" s="50">
        <v>2</v>
      </c>
      <c r="J27" s="50">
        <v>0</v>
      </c>
      <c r="K27" s="50">
        <v>0</v>
      </c>
      <c r="L27" s="50">
        <v>2</v>
      </c>
      <c r="M27" s="50">
        <v>17</v>
      </c>
      <c r="N27" s="50">
        <v>0</v>
      </c>
      <c r="O27" s="15">
        <f t="shared" si="0"/>
        <v>26</v>
      </c>
      <c r="P27" s="15">
        <f t="shared" si="1"/>
        <v>43</v>
      </c>
      <c r="R27" s="29" t="s">
        <v>87</v>
      </c>
      <c r="S27" s="16">
        <f t="shared" ref="S27:AF27" si="19">SUM(S19:S21)</f>
        <v>77</v>
      </c>
      <c r="T27" s="16">
        <f t="shared" si="19"/>
        <v>19</v>
      </c>
      <c r="U27" s="16">
        <f t="shared" si="19"/>
        <v>30</v>
      </c>
      <c r="V27" s="16">
        <f t="shared" si="19"/>
        <v>95</v>
      </c>
      <c r="W27" s="16">
        <f t="shared" si="19"/>
        <v>2</v>
      </c>
      <c r="X27" s="16">
        <f t="shared" si="19"/>
        <v>2</v>
      </c>
      <c r="Y27" s="16">
        <f t="shared" si="19"/>
        <v>13</v>
      </c>
      <c r="Z27" s="16">
        <f t="shared" si="19"/>
        <v>23</v>
      </c>
      <c r="AA27" s="16">
        <f t="shared" si="19"/>
        <v>44</v>
      </c>
      <c r="AB27" s="16">
        <f t="shared" si="19"/>
        <v>57</v>
      </c>
      <c r="AC27" s="16">
        <f t="shared" si="19"/>
        <v>150</v>
      </c>
      <c r="AD27" s="16">
        <f t="shared" si="19"/>
        <v>0</v>
      </c>
      <c r="AE27" s="32">
        <f t="shared" si="19"/>
        <v>362</v>
      </c>
      <c r="AF27" s="32">
        <f t="shared" si="19"/>
        <v>512</v>
      </c>
    </row>
    <row r="28" spans="2:32" ht="23.1" customHeight="1" x14ac:dyDescent="0.25">
      <c r="B28" s="23" t="s">
        <v>55</v>
      </c>
      <c r="C28" s="50">
        <v>17</v>
      </c>
      <c r="D28" s="50">
        <v>0</v>
      </c>
      <c r="E28" s="50">
        <v>2</v>
      </c>
      <c r="F28" s="50">
        <v>18</v>
      </c>
      <c r="G28" s="50">
        <v>0</v>
      </c>
      <c r="H28" s="50">
        <v>0</v>
      </c>
      <c r="I28" s="50">
        <v>2</v>
      </c>
      <c r="J28" s="50">
        <v>0</v>
      </c>
      <c r="K28" s="50">
        <v>1</v>
      </c>
      <c r="L28" s="50">
        <v>0</v>
      </c>
      <c r="M28" s="50">
        <v>23</v>
      </c>
      <c r="N28" s="50">
        <v>0</v>
      </c>
      <c r="O28" s="15">
        <f t="shared" si="0"/>
        <v>40</v>
      </c>
      <c r="P28" s="15">
        <f t="shared" si="1"/>
        <v>63</v>
      </c>
      <c r="R28" s="5" t="s">
        <v>17</v>
      </c>
      <c r="S28" s="16">
        <f t="shared" ref="S28:AF28" si="20">SUM(S10:S21)</f>
        <v>381</v>
      </c>
      <c r="T28" s="16">
        <f t="shared" si="20"/>
        <v>65</v>
      </c>
      <c r="U28" s="16">
        <f t="shared" si="20"/>
        <v>55</v>
      </c>
      <c r="V28" s="16">
        <f t="shared" si="20"/>
        <v>336</v>
      </c>
      <c r="W28" s="16">
        <f t="shared" si="20"/>
        <v>5</v>
      </c>
      <c r="X28" s="16">
        <f t="shared" si="20"/>
        <v>23</v>
      </c>
      <c r="Y28" s="16">
        <f t="shared" si="20"/>
        <v>73</v>
      </c>
      <c r="Z28" s="16">
        <f t="shared" si="20"/>
        <v>51</v>
      </c>
      <c r="AA28" s="16">
        <f t="shared" si="20"/>
        <v>71</v>
      </c>
      <c r="AB28" s="16">
        <f t="shared" si="20"/>
        <v>89</v>
      </c>
      <c r="AC28" s="16">
        <f t="shared" si="20"/>
        <v>664</v>
      </c>
      <c r="AD28" s="16">
        <f t="shared" si="20"/>
        <v>0</v>
      </c>
      <c r="AE28" s="32">
        <f t="shared" si="20"/>
        <v>1149</v>
      </c>
      <c r="AF28" s="32">
        <f t="shared" si="20"/>
        <v>1813</v>
      </c>
    </row>
    <row r="29" spans="2:32" ht="23.1" customHeight="1" x14ac:dyDescent="0.25">
      <c r="B29" s="23" t="s">
        <v>56</v>
      </c>
      <c r="C29" s="50">
        <v>6</v>
      </c>
      <c r="D29" s="50">
        <v>0</v>
      </c>
      <c r="E29" s="50">
        <v>1</v>
      </c>
      <c r="F29" s="50">
        <v>8</v>
      </c>
      <c r="G29" s="50">
        <v>0</v>
      </c>
      <c r="H29" s="50">
        <v>0</v>
      </c>
      <c r="I29" s="50">
        <v>2</v>
      </c>
      <c r="J29" s="50">
        <v>4</v>
      </c>
      <c r="K29" s="50">
        <v>1</v>
      </c>
      <c r="L29" s="50">
        <v>0</v>
      </c>
      <c r="M29" s="50">
        <v>14</v>
      </c>
      <c r="N29" s="50">
        <v>0</v>
      </c>
      <c r="O29" s="15">
        <f t="shared" si="0"/>
        <v>22</v>
      </c>
      <c r="P29" s="15">
        <f t="shared" si="1"/>
        <v>36</v>
      </c>
      <c r="R29"/>
      <c r="S29" s="20"/>
      <c r="T29" s="19"/>
    </row>
    <row r="30" spans="2:32" ht="23.1" customHeight="1" x14ac:dyDescent="0.25">
      <c r="B30" s="23" t="s">
        <v>57</v>
      </c>
      <c r="C30" s="50">
        <v>8</v>
      </c>
      <c r="D30" s="50">
        <v>2</v>
      </c>
      <c r="E30" s="50">
        <v>0</v>
      </c>
      <c r="F30" s="50">
        <v>7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20</v>
      </c>
      <c r="P30" s="15">
        <f t="shared" si="1"/>
        <v>33</v>
      </c>
    </row>
    <row r="31" spans="2:32" ht="23.1" customHeight="1" x14ac:dyDescent="0.25">
      <c r="B31" s="24" t="s">
        <v>58</v>
      </c>
      <c r="C31" s="50">
        <v>4</v>
      </c>
      <c r="D31" s="50">
        <v>0</v>
      </c>
      <c r="E31" s="50">
        <v>0</v>
      </c>
      <c r="F31" s="50">
        <v>9</v>
      </c>
      <c r="G31" s="50">
        <v>0</v>
      </c>
      <c r="H31" s="50">
        <v>2</v>
      </c>
      <c r="I31" s="50">
        <v>3</v>
      </c>
      <c r="J31" s="50">
        <v>0</v>
      </c>
      <c r="K31" s="50">
        <v>0</v>
      </c>
      <c r="L31" s="50">
        <v>0</v>
      </c>
      <c r="M31" s="50">
        <v>21</v>
      </c>
      <c r="N31" s="50">
        <v>0</v>
      </c>
      <c r="O31" s="15">
        <f t="shared" si="0"/>
        <v>18</v>
      </c>
      <c r="P31" s="15">
        <f t="shared" si="1"/>
        <v>39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5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12</v>
      </c>
      <c r="N32" s="50">
        <v>0</v>
      </c>
      <c r="O32" s="15">
        <f t="shared" si="0"/>
        <v>8</v>
      </c>
      <c r="P32" s="15">
        <f t="shared" si="1"/>
        <v>20</v>
      </c>
    </row>
    <row r="33" spans="2:20" ht="23.1" customHeight="1" x14ac:dyDescent="0.25">
      <c r="B33" s="23" t="s">
        <v>60</v>
      </c>
      <c r="C33" s="50">
        <v>7</v>
      </c>
      <c r="D33" s="50">
        <v>1</v>
      </c>
      <c r="E33" s="50">
        <v>0</v>
      </c>
      <c r="F33" s="50">
        <v>9</v>
      </c>
      <c r="G33" s="50">
        <v>0</v>
      </c>
      <c r="H33" s="50">
        <v>1</v>
      </c>
      <c r="I33" s="50">
        <v>0</v>
      </c>
      <c r="J33" s="50">
        <v>0</v>
      </c>
      <c r="K33" s="50">
        <v>0</v>
      </c>
      <c r="L33" s="50">
        <v>2</v>
      </c>
      <c r="M33" s="50">
        <v>9</v>
      </c>
      <c r="N33" s="50">
        <v>0</v>
      </c>
      <c r="O33" s="15">
        <f t="shared" si="0"/>
        <v>20</v>
      </c>
      <c r="P33" s="15">
        <f t="shared" si="1"/>
        <v>29</v>
      </c>
    </row>
    <row r="34" spans="2:20" ht="23.1" customHeight="1" x14ac:dyDescent="0.25">
      <c r="B34" s="24" t="s">
        <v>61</v>
      </c>
      <c r="C34" s="50">
        <v>7</v>
      </c>
      <c r="D34" s="50">
        <v>1</v>
      </c>
      <c r="E34" s="50">
        <v>0</v>
      </c>
      <c r="F34" s="50">
        <v>2</v>
      </c>
      <c r="G34" s="50">
        <v>0</v>
      </c>
      <c r="H34" s="50">
        <v>0</v>
      </c>
      <c r="I34" s="50">
        <v>6</v>
      </c>
      <c r="J34" s="50">
        <v>2</v>
      </c>
      <c r="K34" s="50">
        <v>0</v>
      </c>
      <c r="L34" s="50">
        <v>0</v>
      </c>
      <c r="M34" s="50">
        <v>10</v>
      </c>
      <c r="N34" s="50">
        <v>0</v>
      </c>
      <c r="O34" s="15">
        <f t="shared" si="0"/>
        <v>18</v>
      </c>
      <c r="P34" s="15">
        <f t="shared" si="1"/>
        <v>28</v>
      </c>
    </row>
    <row r="35" spans="2:20" ht="23.1" customHeight="1" x14ac:dyDescent="0.25">
      <c r="B35" s="24" t="s">
        <v>62</v>
      </c>
      <c r="C35" s="50">
        <v>11</v>
      </c>
      <c r="D35" s="50">
        <v>0</v>
      </c>
      <c r="E35" s="50">
        <v>1</v>
      </c>
      <c r="F35" s="50">
        <v>2</v>
      </c>
      <c r="G35" s="50">
        <v>2</v>
      </c>
      <c r="H35" s="50">
        <v>1</v>
      </c>
      <c r="I35" s="50">
        <v>0</v>
      </c>
      <c r="J35" s="50">
        <v>0</v>
      </c>
      <c r="K35" s="50">
        <v>1</v>
      </c>
      <c r="L35" s="50">
        <v>0</v>
      </c>
      <c r="M35" s="50">
        <v>16</v>
      </c>
      <c r="N35" s="50">
        <v>0</v>
      </c>
      <c r="O35" s="15">
        <f t="shared" si="0"/>
        <v>18</v>
      </c>
      <c r="P35" s="15">
        <f t="shared" si="1"/>
        <v>34</v>
      </c>
    </row>
    <row r="36" spans="2:20" ht="23.1" customHeight="1" x14ac:dyDescent="0.25">
      <c r="B36" s="24" t="s">
        <v>63</v>
      </c>
      <c r="C36" s="50">
        <v>10</v>
      </c>
      <c r="D36" s="50">
        <v>0</v>
      </c>
      <c r="E36" s="50">
        <v>0</v>
      </c>
      <c r="F36" s="50">
        <v>6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16</v>
      </c>
      <c r="P36" s="15">
        <f t="shared" si="1"/>
        <v>28</v>
      </c>
    </row>
    <row r="37" spans="2:20" ht="23.1" customHeight="1" x14ac:dyDescent="0.25">
      <c r="B37" s="23" t="s">
        <v>64</v>
      </c>
      <c r="C37" s="50">
        <v>15</v>
      </c>
      <c r="D37" s="50">
        <v>2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6</v>
      </c>
      <c r="N37" s="50">
        <v>0</v>
      </c>
      <c r="O37" s="15">
        <f t="shared" si="0"/>
        <v>17</v>
      </c>
      <c r="P37" s="15">
        <f t="shared" si="1"/>
        <v>23</v>
      </c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2</v>
      </c>
      <c r="F38" s="50">
        <v>1</v>
      </c>
      <c r="G38" s="50">
        <v>0</v>
      </c>
      <c r="H38" s="50">
        <v>1</v>
      </c>
      <c r="I38" s="50">
        <v>2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10</v>
      </c>
      <c r="P38" s="15">
        <f t="shared" si="1"/>
        <v>13</v>
      </c>
    </row>
    <row r="39" spans="2:20" ht="23.1" customHeight="1" x14ac:dyDescent="0.25">
      <c r="B39" s="24" t="s">
        <v>66</v>
      </c>
      <c r="C39" s="50">
        <v>9</v>
      </c>
      <c r="D39" s="50">
        <v>1</v>
      </c>
      <c r="E39" s="50">
        <v>0</v>
      </c>
      <c r="F39" s="50">
        <v>3</v>
      </c>
      <c r="G39" s="50">
        <v>0</v>
      </c>
      <c r="H39" s="50">
        <v>4</v>
      </c>
      <c r="I39" s="50">
        <v>3</v>
      </c>
      <c r="J39" s="50">
        <v>0</v>
      </c>
      <c r="K39" s="50">
        <v>0</v>
      </c>
      <c r="L39" s="50">
        <v>4</v>
      </c>
      <c r="M39" s="50">
        <v>8</v>
      </c>
      <c r="N39" s="50">
        <v>0</v>
      </c>
      <c r="O39" s="15">
        <f t="shared" si="0"/>
        <v>24</v>
      </c>
      <c r="P39" s="15">
        <f t="shared" si="1"/>
        <v>32</v>
      </c>
    </row>
    <row r="40" spans="2:20" ht="23.1" customHeight="1" x14ac:dyDescent="0.25">
      <c r="B40" s="24" t="s">
        <v>67</v>
      </c>
      <c r="C40" s="50">
        <v>4</v>
      </c>
      <c r="D40" s="50">
        <v>1</v>
      </c>
      <c r="E40" s="50">
        <v>3</v>
      </c>
      <c r="F40" s="50">
        <v>2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7</v>
      </c>
      <c r="M40" s="50">
        <v>4</v>
      </c>
      <c r="N40" s="50">
        <v>0</v>
      </c>
      <c r="O40" s="15">
        <f t="shared" si="0"/>
        <v>19</v>
      </c>
      <c r="P40" s="15">
        <f t="shared" si="1"/>
        <v>23</v>
      </c>
    </row>
    <row r="41" spans="2:20" ht="23.1" customHeight="1" x14ac:dyDescent="0.25">
      <c r="B41" s="23" t="s">
        <v>68</v>
      </c>
      <c r="C41" s="50">
        <v>2</v>
      </c>
      <c r="D41" s="50">
        <v>5</v>
      </c>
      <c r="E41" s="50">
        <v>0</v>
      </c>
      <c r="F41" s="50">
        <v>3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1</v>
      </c>
      <c r="M41" s="50">
        <v>3</v>
      </c>
      <c r="N41" s="50">
        <v>0</v>
      </c>
      <c r="O41" s="15">
        <f t="shared" si="0"/>
        <v>14</v>
      </c>
      <c r="P41" s="15">
        <f t="shared" si="1"/>
        <v>17</v>
      </c>
    </row>
    <row r="42" spans="2:20" ht="23.1" customHeight="1" x14ac:dyDescent="0.25">
      <c r="B42" s="24" t="s">
        <v>69</v>
      </c>
      <c r="C42" s="50">
        <v>9</v>
      </c>
      <c r="D42" s="50">
        <v>3</v>
      </c>
      <c r="E42" s="50">
        <v>0</v>
      </c>
      <c r="F42" s="50">
        <v>2</v>
      </c>
      <c r="G42" s="50">
        <v>0</v>
      </c>
      <c r="H42" s="50">
        <v>0</v>
      </c>
      <c r="I42" s="50">
        <v>3</v>
      </c>
      <c r="J42" s="50">
        <v>0</v>
      </c>
      <c r="K42" s="50">
        <v>4</v>
      </c>
      <c r="L42" s="50">
        <v>3</v>
      </c>
      <c r="M42" s="50">
        <v>3</v>
      </c>
      <c r="N42" s="50">
        <v>0</v>
      </c>
      <c r="O42" s="15">
        <f t="shared" si="0"/>
        <v>24</v>
      </c>
      <c r="P42" s="15">
        <f t="shared" si="1"/>
        <v>27</v>
      </c>
    </row>
    <row r="43" spans="2:20" ht="23.1" customHeight="1" x14ac:dyDescent="0.25">
      <c r="B43" s="23" t="s">
        <v>70</v>
      </c>
      <c r="C43" s="50">
        <v>7</v>
      </c>
      <c r="D43" s="50">
        <v>1</v>
      </c>
      <c r="E43" s="50">
        <v>0</v>
      </c>
      <c r="F43" s="50">
        <v>3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11</v>
      </c>
      <c r="P43" s="15">
        <f t="shared" si="1"/>
        <v>11</v>
      </c>
    </row>
    <row r="44" spans="2:20" ht="23.1" customHeight="1" x14ac:dyDescent="0.25">
      <c r="B44" s="25" t="s">
        <v>71</v>
      </c>
      <c r="C44" s="50">
        <v>8</v>
      </c>
      <c r="D44" s="50">
        <v>10</v>
      </c>
      <c r="E44" s="50">
        <v>0</v>
      </c>
      <c r="F44" s="50">
        <v>5</v>
      </c>
      <c r="G44" s="50">
        <v>0</v>
      </c>
      <c r="H44" s="50">
        <v>0</v>
      </c>
      <c r="I44" s="50">
        <v>0</v>
      </c>
      <c r="J44" s="50">
        <v>0</v>
      </c>
      <c r="K44" s="50">
        <v>7</v>
      </c>
      <c r="L44" s="50">
        <v>1</v>
      </c>
      <c r="M44" s="50">
        <v>4</v>
      </c>
      <c r="N44" s="50">
        <v>0</v>
      </c>
      <c r="O44" s="15">
        <f t="shared" si="0"/>
        <v>31</v>
      </c>
      <c r="P44" s="15">
        <f t="shared" si="1"/>
        <v>35</v>
      </c>
    </row>
    <row r="45" spans="2:20" ht="23.1" customHeight="1" x14ac:dyDescent="0.25">
      <c r="B45" s="23" t="s">
        <v>72</v>
      </c>
      <c r="C45" s="50">
        <v>5</v>
      </c>
      <c r="D45" s="50">
        <v>2</v>
      </c>
      <c r="E45" s="50">
        <v>0</v>
      </c>
      <c r="F45" s="50">
        <v>6</v>
      </c>
      <c r="G45" s="50">
        <v>0</v>
      </c>
      <c r="H45" s="50">
        <v>0</v>
      </c>
      <c r="I45" s="50">
        <v>2</v>
      </c>
      <c r="J45" s="50">
        <v>1</v>
      </c>
      <c r="K45" s="50">
        <v>1</v>
      </c>
      <c r="L45" s="50">
        <v>0</v>
      </c>
      <c r="M45" s="50">
        <v>2</v>
      </c>
      <c r="N45" s="50">
        <v>0</v>
      </c>
      <c r="O45" s="15">
        <f t="shared" si="0"/>
        <v>17</v>
      </c>
      <c r="P45" s="15">
        <f t="shared" si="1"/>
        <v>19</v>
      </c>
    </row>
    <row r="46" spans="2:20" ht="23.1" customHeight="1" x14ac:dyDescent="0.25">
      <c r="B46" s="24" t="s">
        <v>73</v>
      </c>
      <c r="C46" s="50">
        <v>5</v>
      </c>
      <c r="D46" s="50">
        <v>2</v>
      </c>
      <c r="E46" s="50">
        <v>2</v>
      </c>
      <c r="F46" s="50">
        <v>6</v>
      </c>
      <c r="G46" s="50">
        <v>0</v>
      </c>
      <c r="H46" s="50">
        <v>1</v>
      </c>
      <c r="I46" s="50">
        <v>3</v>
      </c>
      <c r="J46" s="50">
        <v>0</v>
      </c>
      <c r="K46" s="50">
        <v>0</v>
      </c>
      <c r="L46" s="50">
        <v>4</v>
      </c>
      <c r="M46" s="50">
        <v>4</v>
      </c>
      <c r="N46" s="50">
        <v>0</v>
      </c>
      <c r="O46" s="15">
        <f t="shared" si="0"/>
        <v>23</v>
      </c>
      <c r="P46" s="15">
        <f t="shared" si="1"/>
        <v>27</v>
      </c>
      <c r="R46" s="8"/>
      <c r="T46"/>
    </row>
    <row r="47" spans="2:20" ht="23.1" customHeight="1" x14ac:dyDescent="0.25">
      <c r="B47" s="24" t="s">
        <v>74</v>
      </c>
      <c r="C47" s="50">
        <v>10</v>
      </c>
      <c r="D47" s="50">
        <v>1</v>
      </c>
      <c r="E47" s="50">
        <v>3</v>
      </c>
      <c r="F47" s="50">
        <v>11</v>
      </c>
      <c r="G47" s="50">
        <v>0</v>
      </c>
      <c r="H47" s="50">
        <v>0</v>
      </c>
      <c r="I47" s="50">
        <v>0</v>
      </c>
      <c r="J47" s="50">
        <v>1</v>
      </c>
      <c r="K47" s="50">
        <v>3</v>
      </c>
      <c r="L47" s="50">
        <v>5</v>
      </c>
      <c r="M47" s="50">
        <v>10</v>
      </c>
      <c r="N47" s="50">
        <v>0</v>
      </c>
      <c r="O47" s="15">
        <f t="shared" si="0"/>
        <v>34</v>
      </c>
      <c r="P47" s="15">
        <f t="shared" si="1"/>
        <v>44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2</v>
      </c>
      <c r="E48" s="50">
        <v>2</v>
      </c>
      <c r="F48" s="50">
        <v>6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8</v>
      </c>
      <c r="M48" s="50">
        <v>8</v>
      </c>
      <c r="N48" s="50">
        <v>0</v>
      </c>
      <c r="O48" s="15">
        <f t="shared" si="0"/>
        <v>22</v>
      </c>
      <c r="P48" s="15">
        <f t="shared" si="1"/>
        <v>30</v>
      </c>
      <c r="R48" s="8"/>
      <c r="T48"/>
    </row>
    <row r="49" spans="2:20" ht="23.1" customHeight="1" x14ac:dyDescent="0.25">
      <c r="B49" s="23" t="s">
        <v>76</v>
      </c>
      <c r="C49" s="50">
        <v>8</v>
      </c>
      <c r="D49" s="50">
        <v>3</v>
      </c>
      <c r="E49" s="50">
        <v>6</v>
      </c>
      <c r="F49" s="50">
        <v>5</v>
      </c>
      <c r="G49" s="50">
        <v>0</v>
      </c>
      <c r="H49" s="50">
        <v>0</v>
      </c>
      <c r="I49" s="50">
        <v>3</v>
      </c>
      <c r="J49" s="50">
        <v>5</v>
      </c>
      <c r="K49" s="50">
        <v>1</v>
      </c>
      <c r="L49" s="50">
        <v>11</v>
      </c>
      <c r="M49" s="50">
        <v>15</v>
      </c>
      <c r="N49" s="50">
        <v>0</v>
      </c>
      <c r="O49" s="15">
        <f t="shared" si="0"/>
        <v>42</v>
      </c>
      <c r="P49" s="15">
        <f t="shared" si="1"/>
        <v>57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4</v>
      </c>
      <c r="E50" s="50">
        <v>1</v>
      </c>
      <c r="F50" s="50">
        <v>12</v>
      </c>
      <c r="G50" s="50">
        <v>0</v>
      </c>
      <c r="H50" s="50">
        <v>0</v>
      </c>
      <c r="I50" s="50">
        <v>0</v>
      </c>
      <c r="J50" s="50">
        <v>0</v>
      </c>
      <c r="K50" s="50">
        <v>6</v>
      </c>
      <c r="L50" s="50">
        <v>7</v>
      </c>
      <c r="M50" s="50">
        <v>13</v>
      </c>
      <c r="N50" s="50">
        <v>0</v>
      </c>
      <c r="O50" s="15">
        <f t="shared" si="0"/>
        <v>35</v>
      </c>
      <c r="P50" s="15">
        <f t="shared" si="1"/>
        <v>48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4</v>
      </c>
      <c r="F51" s="50">
        <v>8</v>
      </c>
      <c r="G51" s="50">
        <v>0</v>
      </c>
      <c r="H51" s="50">
        <v>0</v>
      </c>
      <c r="I51" s="50">
        <v>3</v>
      </c>
      <c r="J51" s="50">
        <v>10</v>
      </c>
      <c r="K51" s="50">
        <v>4</v>
      </c>
      <c r="L51" s="50">
        <v>9</v>
      </c>
      <c r="M51" s="50">
        <v>9</v>
      </c>
      <c r="N51" s="50">
        <v>0</v>
      </c>
      <c r="O51" s="15">
        <f t="shared" si="0"/>
        <v>38</v>
      </c>
      <c r="P51" s="15">
        <f t="shared" si="1"/>
        <v>47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2</v>
      </c>
      <c r="E52" s="50">
        <v>5</v>
      </c>
      <c r="F52" s="50">
        <v>5</v>
      </c>
      <c r="G52" s="50">
        <v>1</v>
      </c>
      <c r="H52" s="50">
        <v>0</v>
      </c>
      <c r="I52" s="50">
        <v>1</v>
      </c>
      <c r="J52" s="50">
        <v>2</v>
      </c>
      <c r="K52" s="50">
        <v>7</v>
      </c>
      <c r="L52" s="50">
        <v>3</v>
      </c>
      <c r="M52" s="50">
        <v>11</v>
      </c>
      <c r="N52" s="50">
        <v>0</v>
      </c>
      <c r="O52" s="15">
        <f t="shared" si="0"/>
        <v>30</v>
      </c>
      <c r="P52" s="15">
        <f t="shared" si="1"/>
        <v>41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1</v>
      </c>
      <c r="E53" s="50">
        <v>4</v>
      </c>
      <c r="F53" s="50">
        <v>11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5</v>
      </c>
      <c r="M53" s="50">
        <v>8</v>
      </c>
      <c r="N53" s="50">
        <v>0</v>
      </c>
      <c r="O53" s="15">
        <f t="shared" si="0"/>
        <v>27</v>
      </c>
      <c r="P53" s="15">
        <f t="shared" si="1"/>
        <v>35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1</v>
      </c>
      <c r="E54" s="50">
        <v>2</v>
      </c>
      <c r="F54" s="50">
        <v>7</v>
      </c>
      <c r="G54" s="50">
        <v>0</v>
      </c>
      <c r="H54" s="50">
        <v>0</v>
      </c>
      <c r="I54" s="50">
        <v>2</v>
      </c>
      <c r="J54" s="50">
        <v>1</v>
      </c>
      <c r="K54" s="50">
        <v>6</v>
      </c>
      <c r="L54" s="50">
        <v>2</v>
      </c>
      <c r="M54" s="50">
        <v>20</v>
      </c>
      <c r="N54" s="50">
        <v>0</v>
      </c>
      <c r="O54" s="15">
        <f t="shared" si="0"/>
        <v>29</v>
      </c>
      <c r="P54" s="15">
        <f t="shared" si="1"/>
        <v>49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0</v>
      </c>
      <c r="E55" s="50">
        <v>0</v>
      </c>
      <c r="F55" s="50">
        <v>12</v>
      </c>
      <c r="G55" s="50">
        <v>1</v>
      </c>
      <c r="H55" s="50">
        <v>1</v>
      </c>
      <c r="I55" s="50">
        <v>1</v>
      </c>
      <c r="J55" s="50">
        <v>3</v>
      </c>
      <c r="K55" s="50">
        <v>11</v>
      </c>
      <c r="L55" s="50">
        <v>0</v>
      </c>
      <c r="M55" s="50">
        <v>17</v>
      </c>
      <c r="N55" s="50">
        <v>0</v>
      </c>
      <c r="O55" s="15">
        <f t="shared" si="0"/>
        <v>34</v>
      </c>
      <c r="P55" s="15">
        <f t="shared" si="1"/>
        <v>51</v>
      </c>
      <c r="R55" s="8"/>
      <c r="T55"/>
    </row>
    <row r="56" spans="2:20" ht="23.1" customHeight="1" x14ac:dyDescent="0.25">
      <c r="B56" s="23" t="s">
        <v>83</v>
      </c>
      <c r="C56" s="50">
        <v>16</v>
      </c>
      <c r="D56" s="50">
        <v>1</v>
      </c>
      <c r="E56" s="50">
        <v>1</v>
      </c>
      <c r="F56" s="50">
        <v>8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2</v>
      </c>
      <c r="M56" s="50">
        <v>13</v>
      </c>
      <c r="N56" s="50">
        <v>0</v>
      </c>
      <c r="O56" s="15">
        <f t="shared" si="0"/>
        <v>28</v>
      </c>
      <c r="P56" s="15">
        <f t="shared" si="1"/>
        <v>41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v>2</v>
      </c>
      <c r="E57" s="50">
        <v>0</v>
      </c>
      <c r="F57" s="50">
        <v>4</v>
      </c>
      <c r="G57" s="50">
        <v>0</v>
      </c>
      <c r="H57" s="50">
        <v>0</v>
      </c>
      <c r="I57" s="50">
        <v>0</v>
      </c>
      <c r="J57" s="50">
        <v>0</v>
      </c>
      <c r="K57" s="50">
        <v>6</v>
      </c>
      <c r="L57" s="50">
        <v>1</v>
      </c>
      <c r="M57" s="50">
        <v>22</v>
      </c>
      <c r="N57" s="50">
        <v>0</v>
      </c>
      <c r="O57" s="15">
        <f t="shared" si="0"/>
        <v>20</v>
      </c>
      <c r="P57" s="15">
        <f t="shared" si="1"/>
        <v>42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381</v>
      </c>
      <c r="D58" s="16">
        <f t="shared" si="21"/>
        <v>65</v>
      </c>
      <c r="E58" s="16">
        <f t="shared" si="21"/>
        <v>55</v>
      </c>
      <c r="F58" s="16">
        <f t="shared" si="21"/>
        <v>336</v>
      </c>
      <c r="G58" s="16">
        <f t="shared" si="21"/>
        <v>5</v>
      </c>
      <c r="H58" s="16">
        <f t="shared" si="21"/>
        <v>23</v>
      </c>
      <c r="I58" s="16">
        <f t="shared" si="21"/>
        <v>73</v>
      </c>
      <c r="J58" s="16">
        <f t="shared" si="21"/>
        <v>51</v>
      </c>
      <c r="K58" s="16">
        <f t="shared" si="21"/>
        <v>71</v>
      </c>
      <c r="L58" s="16">
        <f t="shared" si="21"/>
        <v>89</v>
      </c>
      <c r="M58" s="16">
        <f t="shared" si="21"/>
        <v>664</v>
      </c>
      <c r="N58" s="16">
        <f t="shared" si="21"/>
        <v>0</v>
      </c>
      <c r="O58" s="16">
        <f t="shared" si="21"/>
        <v>1149</v>
      </c>
      <c r="P58" s="16">
        <f t="shared" si="21"/>
        <v>1813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0.21014892443463873</v>
      </c>
      <c r="D59" s="43">
        <f t="shared" si="22"/>
        <v>3.5852178709321565E-2</v>
      </c>
      <c r="E59" s="43">
        <f t="shared" si="22"/>
        <v>3.0336458907887481E-2</v>
      </c>
      <c r="F59" s="43">
        <f t="shared" si="22"/>
        <v>0.18532818532818532</v>
      </c>
      <c r="G59" s="43">
        <f t="shared" si="22"/>
        <v>2.7578599007170436E-3</v>
      </c>
      <c r="H59" s="43">
        <f t="shared" si="22"/>
        <v>1.26861555432984E-2</v>
      </c>
      <c r="I59" s="43">
        <f t="shared" si="22"/>
        <v>4.0264754550468837E-2</v>
      </c>
      <c r="J59" s="43">
        <f t="shared" si="22"/>
        <v>2.8130170987313845E-2</v>
      </c>
      <c r="K59" s="43">
        <f t="shared" si="22"/>
        <v>3.9161610590182021E-2</v>
      </c>
      <c r="L59" s="43">
        <f t="shared" si="22"/>
        <v>4.9089906232763374E-2</v>
      </c>
      <c r="M59" s="43">
        <f t="shared" si="22"/>
        <v>0.3662437948152234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0.33159268929503916</v>
      </c>
      <c r="D60" s="44">
        <f t="shared" ref="D60:N60" si="23">D58/$O$58</f>
        <v>5.6570931244560488E-2</v>
      </c>
      <c r="E60" s="44">
        <f t="shared" si="23"/>
        <v>4.7867711053089644E-2</v>
      </c>
      <c r="F60" s="44">
        <f t="shared" si="23"/>
        <v>0.29242819843342038</v>
      </c>
      <c r="G60" s="44">
        <f t="shared" si="23"/>
        <v>4.3516100957354219E-3</v>
      </c>
      <c r="H60" s="44">
        <f t="shared" si="23"/>
        <v>2.0017406440382943E-2</v>
      </c>
      <c r="I60" s="44">
        <f t="shared" si="23"/>
        <v>6.3533507397737166E-2</v>
      </c>
      <c r="J60" s="44">
        <f t="shared" si="23"/>
        <v>4.4386422976501305E-2</v>
      </c>
      <c r="K60" s="44">
        <f t="shared" si="23"/>
        <v>6.1792863359442993E-2</v>
      </c>
      <c r="L60" s="44">
        <f t="shared" si="23"/>
        <v>7.7458659704090507E-2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6.140625" customWidth="1"/>
    <col min="7" max="7" width="16.42578125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'27.10 Mbarara-Kabale'!C3:G3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8.5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'27.10 Mbarara-Kabale'!G5:H5</f>
        <v>Nyeihanga traffic station</v>
      </c>
      <c r="H5" s="64"/>
      <c r="I5" s="14"/>
      <c r="J5" s="2" t="s">
        <v>5</v>
      </c>
      <c r="K5" s="63" t="str">
        <f>'27.10 Mbarara-Kabale'!K5:L5</f>
        <v>Norman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'27.10 Mbarara-Kabale'!D6:E6</f>
        <v>Mbarara</v>
      </c>
      <c r="E6" s="64"/>
      <c r="F6" s="2" t="s">
        <v>2</v>
      </c>
      <c r="G6" s="63" t="str">
        <f>'27.10 Mbarara-Kabale'!G6:H6</f>
        <v>Kabale</v>
      </c>
      <c r="H6" s="64"/>
      <c r="J6" s="2" t="s">
        <v>21</v>
      </c>
      <c r="K6" s="63" t="str">
        <f>'27.10 Mbarara-Kabale'!K6:L6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2</v>
      </c>
      <c r="E10" s="50">
        <v>4</v>
      </c>
      <c r="F10" s="50">
        <v>4</v>
      </c>
      <c r="G10" s="50">
        <v>0</v>
      </c>
      <c r="H10" s="50">
        <v>0</v>
      </c>
      <c r="I10" s="50">
        <v>0</v>
      </c>
      <c r="J10" s="50">
        <v>7</v>
      </c>
      <c r="K10" s="50">
        <v>3</v>
      </c>
      <c r="L10" s="50">
        <v>13</v>
      </c>
      <c r="M10" s="50">
        <v>8</v>
      </c>
      <c r="N10" s="50">
        <v>0</v>
      </c>
      <c r="O10" s="15">
        <f t="shared" ref="O10:O57" si="0">SUM(C10:L10,N10)</f>
        <v>39</v>
      </c>
      <c r="P10" s="15">
        <f t="shared" ref="P10:P57" si="1">SUM(C10:N10)</f>
        <v>47</v>
      </c>
      <c r="R10" s="1" t="s">
        <v>6</v>
      </c>
      <c r="S10" s="17">
        <f t="shared" ref="S10:AF10" si="2">SUM(C10:C13)</f>
        <v>20</v>
      </c>
      <c r="T10" s="17">
        <f t="shared" si="2"/>
        <v>24</v>
      </c>
      <c r="U10" s="17">
        <f t="shared" si="2"/>
        <v>18</v>
      </c>
      <c r="V10" s="17">
        <f t="shared" si="2"/>
        <v>29</v>
      </c>
      <c r="W10" s="17">
        <f t="shared" si="2"/>
        <v>2</v>
      </c>
      <c r="X10" s="17">
        <f t="shared" si="2"/>
        <v>4</v>
      </c>
      <c r="Y10" s="17">
        <f t="shared" si="2"/>
        <v>6</v>
      </c>
      <c r="Z10" s="17">
        <f t="shared" si="2"/>
        <v>14</v>
      </c>
      <c r="AA10" s="17">
        <f t="shared" si="2"/>
        <v>15</v>
      </c>
      <c r="AB10" s="17">
        <f t="shared" si="2"/>
        <v>29</v>
      </c>
      <c r="AC10" s="17">
        <f t="shared" si="2"/>
        <v>50</v>
      </c>
      <c r="AD10" s="17">
        <f t="shared" si="2"/>
        <v>0</v>
      </c>
      <c r="AE10" s="31">
        <f t="shared" si="2"/>
        <v>161</v>
      </c>
      <c r="AF10" s="31">
        <f t="shared" si="2"/>
        <v>211</v>
      </c>
    </row>
    <row r="11" spans="2:32" s="6" customFormat="1" ht="23.1" customHeight="1" x14ac:dyDescent="0.25">
      <c r="B11" s="23" t="s">
        <v>38</v>
      </c>
      <c r="C11" s="50">
        <v>4</v>
      </c>
      <c r="D11" s="50">
        <v>11</v>
      </c>
      <c r="E11" s="50">
        <v>2</v>
      </c>
      <c r="F11" s="50">
        <v>12</v>
      </c>
      <c r="G11" s="50">
        <v>0</v>
      </c>
      <c r="H11" s="50">
        <v>3</v>
      </c>
      <c r="I11" s="50">
        <v>6</v>
      </c>
      <c r="J11" s="50">
        <v>3</v>
      </c>
      <c r="K11" s="50">
        <v>9</v>
      </c>
      <c r="L11" s="50">
        <v>7</v>
      </c>
      <c r="M11" s="50">
        <v>11</v>
      </c>
      <c r="N11" s="50">
        <v>0</v>
      </c>
      <c r="O11" s="15">
        <f t="shared" si="0"/>
        <v>57</v>
      </c>
      <c r="P11" s="15">
        <f t="shared" si="1"/>
        <v>68</v>
      </c>
      <c r="R11" s="1" t="s">
        <v>7</v>
      </c>
      <c r="S11" s="17">
        <f t="shared" ref="S11:AF11" si="3">SUM(C14:C17)</f>
        <v>34</v>
      </c>
      <c r="T11" s="17">
        <f t="shared" si="3"/>
        <v>21</v>
      </c>
      <c r="U11" s="17">
        <f t="shared" si="3"/>
        <v>16</v>
      </c>
      <c r="V11" s="17">
        <f t="shared" si="3"/>
        <v>22</v>
      </c>
      <c r="W11" s="17">
        <f t="shared" si="3"/>
        <v>4</v>
      </c>
      <c r="X11" s="17">
        <f t="shared" si="3"/>
        <v>1</v>
      </c>
      <c r="Y11" s="17">
        <f t="shared" si="3"/>
        <v>18</v>
      </c>
      <c r="Z11" s="17">
        <f t="shared" si="3"/>
        <v>1</v>
      </c>
      <c r="AA11" s="17">
        <f t="shared" si="3"/>
        <v>4</v>
      </c>
      <c r="AB11" s="17">
        <f t="shared" si="3"/>
        <v>19</v>
      </c>
      <c r="AC11" s="17">
        <f t="shared" si="3"/>
        <v>70</v>
      </c>
      <c r="AD11" s="17">
        <f t="shared" si="3"/>
        <v>4</v>
      </c>
      <c r="AE11" s="31">
        <f t="shared" si="3"/>
        <v>144</v>
      </c>
      <c r="AF11" s="31">
        <f t="shared" si="3"/>
        <v>214</v>
      </c>
    </row>
    <row r="12" spans="2:32" ht="23.1" customHeight="1" x14ac:dyDescent="0.25">
      <c r="B12" s="23" t="s">
        <v>39</v>
      </c>
      <c r="C12" s="50">
        <v>8</v>
      </c>
      <c r="D12" s="50">
        <v>4</v>
      </c>
      <c r="E12" s="50">
        <v>7</v>
      </c>
      <c r="F12" s="50">
        <v>9</v>
      </c>
      <c r="G12" s="50">
        <v>2</v>
      </c>
      <c r="H12" s="50">
        <v>1</v>
      </c>
      <c r="I12" s="50">
        <v>0</v>
      </c>
      <c r="J12" s="50">
        <v>0</v>
      </c>
      <c r="K12" s="50">
        <v>0</v>
      </c>
      <c r="L12" s="50">
        <v>3</v>
      </c>
      <c r="M12" s="50">
        <v>16</v>
      </c>
      <c r="N12" s="50">
        <v>0</v>
      </c>
      <c r="O12" s="15">
        <f t="shared" si="0"/>
        <v>34</v>
      </c>
      <c r="P12" s="15">
        <f t="shared" si="1"/>
        <v>50</v>
      </c>
      <c r="R12" s="1" t="s">
        <v>8</v>
      </c>
      <c r="S12" s="17">
        <f t="shared" ref="S12:AF12" si="4">SUM(C18:C21)</f>
        <v>27</v>
      </c>
      <c r="T12" s="17">
        <f t="shared" si="4"/>
        <v>11</v>
      </c>
      <c r="U12" s="17">
        <f t="shared" si="4"/>
        <v>17</v>
      </c>
      <c r="V12" s="17">
        <f t="shared" si="4"/>
        <v>36</v>
      </c>
      <c r="W12" s="17">
        <f t="shared" si="4"/>
        <v>0</v>
      </c>
      <c r="X12" s="17">
        <f t="shared" si="4"/>
        <v>7</v>
      </c>
      <c r="Y12" s="17">
        <f t="shared" si="4"/>
        <v>8</v>
      </c>
      <c r="Z12" s="17">
        <f t="shared" si="4"/>
        <v>2</v>
      </c>
      <c r="AA12" s="17">
        <f t="shared" si="4"/>
        <v>3</v>
      </c>
      <c r="AB12" s="17">
        <f t="shared" si="4"/>
        <v>35</v>
      </c>
      <c r="AC12" s="17">
        <f t="shared" si="4"/>
        <v>56</v>
      </c>
      <c r="AD12" s="17">
        <f t="shared" si="4"/>
        <v>0</v>
      </c>
      <c r="AE12" s="31">
        <f t="shared" si="4"/>
        <v>146</v>
      </c>
      <c r="AF12" s="31">
        <f t="shared" si="4"/>
        <v>202</v>
      </c>
    </row>
    <row r="13" spans="2:32" ht="23.1" customHeight="1" x14ac:dyDescent="0.25">
      <c r="B13" s="23" t="s">
        <v>40</v>
      </c>
      <c r="C13" s="50">
        <v>2</v>
      </c>
      <c r="D13" s="50">
        <v>7</v>
      </c>
      <c r="E13" s="50">
        <v>5</v>
      </c>
      <c r="F13" s="50">
        <v>4</v>
      </c>
      <c r="G13" s="50">
        <v>0</v>
      </c>
      <c r="H13" s="50">
        <v>0</v>
      </c>
      <c r="I13" s="50">
        <v>0</v>
      </c>
      <c r="J13" s="50">
        <v>4</v>
      </c>
      <c r="K13" s="50">
        <v>3</v>
      </c>
      <c r="L13" s="50">
        <v>6</v>
      </c>
      <c r="M13" s="50">
        <v>15</v>
      </c>
      <c r="N13" s="50">
        <v>0</v>
      </c>
      <c r="O13" s="15">
        <f t="shared" si="0"/>
        <v>31</v>
      </c>
      <c r="P13" s="15">
        <f t="shared" si="1"/>
        <v>46</v>
      </c>
      <c r="R13" s="1" t="s">
        <v>9</v>
      </c>
      <c r="S13" s="17">
        <f t="shared" ref="S13:AF13" si="5">SUM(C22:C25)</f>
        <v>44</v>
      </c>
      <c r="T13" s="17">
        <f t="shared" si="5"/>
        <v>16</v>
      </c>
      <c r="U13" s="17">
        <f t="shared" si="5"/>
        <v>5</v>
      </c>
      <c r="V13" s="17">
        <f t="shared" si="5"/>
        <v>18</v>
      </c>
      <c r="W13" s="17">
        <f t="shared" si="5"/>
        <v>2</v>
      </c>
      <c r="X13" s="17">
        <f t="shared" si="5"/>
        <v>4</v>
      </c>
      <c r="Y13" s="17">
        <f t="shared" si="5"/>
        <v>5</v>
      </c>
      <c r="Z13" s="17">
        <f t="shared" si="5"/>
        <v>3</v>
      </c>
      <c r="AA13" s="17">
        <f t="shared" si="5"/>
        <v>9</v>
      </c>
      <c r="AB13" s="17">
        <f t="shared" si="5"/>
        <v>8</v>
      </c>
      <c r="AC13" s="17">
        <f t="shared" si="5"/>
        <v>56</v>
      </c>
      <c r="AD13" s="17">
        <f t="shared" si="5"/>
        <v>0</v>
      </c>
      <c r="AE13" s="31">
        <f t="shared" si="5"/>
        <v>114</v>
      </c>
      <c r="AF13" s="31">
        <f t="shared" si="5"/>
        <v>170</v>
      </c>
    </row>
    <row r="14" spans="2:32" ht="23.1" customHeight="1" x14ac:dyDescent="0.25">
      <c r="B14" s="23" t="s">
        <v>41</v>
      </c>
      <c r="C14" s="50">
        <v>8</v>
      </c>
      <c r="D14" s="50">
        <v>4</v>
      </c>
      <c r="E14" s="50">
        <v>0</v>
      </c>
      <c r="F14" s="50">
        <v>2</v>
      </c>
      <c r="G14" s="50">
        <v>0</v>
      </c>
      <c r="H14" s="50">
        <v>1</v>
      </c>
      <c r="I14" s="50">
        <v>4</v>
      </c>
      <c r="J14" s="50">
        <v>0</v>
      </c>
      <c r="K14" s="50">
        <v>0</v>
      </c>
      <c r="L14" s="50">
        <v>3</v>
      </c>
      <c r="M14" s="50">
        <v>15</v>
      </c>
      <c r="N14" s="50">
        <v>0</v>
      </c>
      <c r="O14" s="15">
        <f t="shared" si="0"/>
        <v>22</v>
      </c>
      <c r="P14" s="15">
        <f t="shared" si="1"/>
        <v>37</v>
      </c>
      <c r="R14" s="1" t="s">
        <v>10</v>
      </c>
      <c r="S14" s="17">
        <f t="shared" ref="S14:AF14" si="6">SUM(C26:C29)</f>
        <v>21</v>
      </c>
      <c r="T14" s="17">
        <f t="shared" si="6"/>
        <v>8</v>
      </c>
      <c r="U14" s="17">
        <f t="shared" si="6"/>
        <v>4</v>
      </c>
      <c r="V14" s="17">
        <f t="shared" si="6"/>
        <v>19</v>
      </c>
      <c r="W14" s="17">
        <f t="shared" si="6"/>
        <v>0</v>
      </c>
      <c r="X14" s="17">
        <f t="shared" si="6"/>
        <v>3</v>
      </c>
      <c r="Y14" s="17">
        <f t="shared" si="6"/>
        <v>15</v>
      </c>
      <c r="Z14" s="17">
        <f t="shared" si="6"/>
        <v>5</v>
      </c>
      <c r="AA14" s="17">
        <f t="shared" si="6"/>
        <v>10</v>
      </c>
      <c r="AB14" s="17">
        <f t="shared" si="6"/>
        <v>10</v>
      </c>
      <c r="AC14" s="17">
        <f t="shared" si="6"/>
        <v>45</v>
      </c>
      <c r="AD14" s="17">
        <f t="shared" si="6"/>
        <v>0</v>
      </c>
      <c r="AE14" s="31">
        <f t="shared" si="6"/>
        <v>95</v>
      </c>
      <c r="AF14" s="31">
        <f t="shared" si="6"/>
        <v>140</v>
      </c>
    </row>
    <row r="15" spans="2:32" ht="23.1" customHeight="1" x14ac:dyDescent="0.25">
      <c r="B15" s="23" t="s">
        <v>42</v>
      </c>
      <c r="C15" s="50">
        <v>13</v>
      </c>
      <c r="D15" s="50">
        <v>1</v>
      </c>
      <c r="E15" s="50">
        <v>0</v>
      </c>
      <c r="F15" s="50">
        <v>9</v>
      </c>
      <c r="G15" s="50">
        <v>0</v>
      </c>
      <c r="H15" s="50">
        <v>0</v>
      </c>
      <c r="I15" s="50">
        <v>4</v>
      </c>
      <c r="J15" s="50">
        <v>1</v>
      </c>
      <c r="K15" s="50">
        <v>4</v>
      </c>
      <c r="L15" s="50">
        <v>0</v>
      </c>
      <c r="M15" s="50">
        <v>25</v>
      </c>
      <c r="N15" s="50">
        <v>0</v>
      </c>
      <c r="O15" s="15">
        <f t="shared" si="0"/>
        <v>32</v>
      </c>
      <c r="P15" s="15">
        <f t="shared" si="1"/>
        <v>57</v>
      </c>
      <c r="R15" s="1" t="s">
        <v>11</v>
      </c>
      <c r="S15" s="17">
        <f t="shared" ref="S15:AF15" si="7">SUM(C30:C33)</f>
        <v>33</v>
      </c>
      <c r="T15" s="17">
        <f t="shared" si="7"/>
        <v>18</v>
      </c>
      <c r="U15" s="17">
        <f t="shared" si="7"/>
        <v>7</v>
      </c>
      <c r="V15" s="17">
        <f t="shared" si="7"/>
        <v>26</v>
      </c>
      <c r="W15" s="17">
        <f t="shared" si="7"/>
        <v>0</v>
      </c>
      <c r="X15" s="17">
        <f t="shared" si="7"/>
        <v>2</v>
      </c>
      <c r="Y15" s="17">
        <f t="shared" si="7"/>
        <v>9</v>
      </c>
      <c r="Z15" s="17">
        <f t="shared" si="7"/>
        <v>8</v>
      </c>
      <c r="AA15" s="17">
        <f t="shared" si="7"/>
        <v>4</v>
      </c>
      <c r="AB15" s="17">
        <f t="shared" si="7"/>
        <v>8</v>
      </c>
      <c r="AC15" s="17">
        <f t="shared" si="7"/>
        <v>39</v>
      </c>
      <c r="AD15" s="17">
        <f t="shared" si="7"/>
        <v>0</v>
      </c>
      <c r="AE15" s="31">
        <f t="shared" si="7"/>
        <v>115</v>
      </c>
      <c r="AF15" s="31">
        <f t="shared" si="7"/>
        <v>154</v>
      </c>
    </row>
    <row r="16" spans="2:32" ht="23.1" customHeight="1" x14ac:dyDescent="0.25">
      <c r="B16" s="23" t="s">
        <v>43</v>
      </c>
      <c r="C16" s="50">
        <v>5</v>
      </c>
      <c r="D16" s="50">
        <v>5</v>
      </c>
      <c r="E16" s="50">
        <v>3</v>
      </c>
      <c r="F16" s="50">
        <v>7</v>
      </c>
      <c r="G16" s="50">
        <v>4</v>
      </c>
      <c r="H16" s="50">
        <v>0</v>
      </c>
      <c r="I16" s="50">
        <v>6</v>
      </c>
      <c r="J16" s="50">
        <v>0</v>
      </c>
      <c r="K16" s="50">
        <v>0</v>
      </c>
      <c r="L16" s="50">
        <v>3</v>
      </c>
      <c r="M16" s="50">
        <v>5</v>
      </c>
      <c r="N16" s="50">
        <v>1</v>
      </c>
      <c r="O16" s="15">
        <f t="shared" si="0"/>
        <v>34</v>
      </c>
      <c r="P16" s="15">
        <f t="shared" si="1"/>
        <v>39</v>
      </c>
      <c r="R16" s="1" t="s">
        <v>12</v>
      </c>
      <c r="S16" s="17">
        <f t="shared" ref="S16:AF16" si="8">SUM(C34:C37)</f>
        <v>29</v>
      </c>
      <c r="T16" s="17">
        <f t="shared" si="8"/>
        <v>12</v>
      </c>
      <c r="U16" s="17">
        <f t="shared" si="8"/>
        <v>9</v>
      </c>
      <c r="V16" s="17">
        <f t="shared" si="8"/>
        <v>25</v>
      </c>
      <c r="W16" s="17">
        <f t="shared" si="8"/>
        <v>0</v>
      </c>
      <c r="X16" s="17">
        <f t="shared" si="8"/>
        <v>2</v>
      </c>
      <c r="Y16" s="17">
        <f t="shared" si="8"/>
        <v>8</v>
      </c>
      <c r="Z16" s="17">
        <f t="shared" si="8"/>
        <v>2</v>
      </c>
      <c r="AA16" s="17">
        <f t="shared" si="8"/>
        <v>8</v>
      </c>
      <c r="AB16" s="17">
        <f t="shared" si="8"/>
        <v>16</v>
      </c>
      <c r="AC16" s="17">
        <f t="shared" si="8"/>
        <v>47</v>
      </c>
      <c r="AD16" s="17">
        <f t="shared" si="8"/>
        <v>0</v>
      </c>
      <c r="AE16" s="31">
        <f t="shared" si="8"/>
        <v>111</v>
      </c>
      <c r="AF16" s="31">
        <f t="shared" si="8"/>
        <v>158</v>
      </c>
    </row>
    <row r="17" spans="2:32" ht="23.1" customHeight="1" x14ac:dyDescent="0.25">
      <c r="B17" s="23" t="s">
        <v>44</v>
      </c>
      <c r="C17" s="50">
        <v>8</v>
      </c>
      <c r="D17" s="50">
        <v>11</v>
      </c>
      <c r="E17" s="50">
        <v>13</v>
      </c>
      <c r="F17" s="50">
        <v>4</v>
      </c>
      <c r="G17" s="50">
        <v>0</v>
      </c>
      <c r="H17" s="50">
        <v>0</v>
      </c>
      <c r="I17" s="50">
        <v>4</v>
      </c>
      <c r="J17" s="50">
        <v>0</v>
      </c>
      <c r="K17" s="50">
        <v>0</v>
      </c>
      <c r="L17" s="50">
        <v>13</v>
      </c>
      <c r="M17" s="50">
        <v>25</v>
      </c>
      <c r="N17" s="50">
        <v>3</v>
      </c>
      <c r="O17" s="15">
        <f t="shared" si="0"/>
        <v>56</v>
      </c>
      <c r="P17" s="15">
        <f t="shared" si="1"/>
        <v>81</v>
      </c>
      <c r="R17" s="1" t="s">
        <v>13</v>
      </c>
      <c r="S17" s="17">
        <f t="shared" ref="S17:AF17" si="9">SUM(C38:C41)</f>
        <v>24</v>
      </c>
      <c r="T17" s="17">
        <f t="shared" si="9"/>
        <v>18</v>
      </c>
      <c r="U17" s="17">
        <f t="shared" si="9"/>
        <v>8</v>
      </c>
      <c r="V17" s="17">
        <f t="shared" si="9"/>
        <v>23</v>
      </c>
      <c r="W17" s="17">
        <f t="shared" si="9"/>
        <v>1</v>
      </c>
      <c r="X17" s="17">
        <f t="shared" si="9"/>
        <v>4</v>
      </c>
      <c r="Y17" s="17">
        <f t="shared" si="9"/>
        <v>13</v>
      </c>
      <c r="Z17" s="17">
        <f t="shared" si="9"/>
        <v>5</v>
      </c>
      <c r="AA17" s="17">
        <f t="shared" si="9"/>
        <v>12</v>
      </c>
      <c r="AB17" s="17">
        <f t="shared" si="9"/>
        <v>11</v>
      </c>
      <c r="AC17" s="17">
        <f t="shared" si="9"/>
        <v>53</v>
      </c>
      <c r="AD17" s="17">
        <f t="shared" si="9"/>
        <v>0</v>
      </c>
      <c r="AE17" s="31">
        <f t="shared" si="9"/>
        <v>119</v>
      </c>
      <c r="AF17" s="31">
        <f t="shared" si="9"/>
        <v>172</v>
      </c>
    </row>
    <row r="18" spans="2:32" ht="23.1" customHeight="1" x14ac:dyDescent="0.25">
      <c r="B18" s="23" t="s">
        <v>45</v>
      </c>
      <c r="C18" s="50">
        <v>10</v>
      </c>
      <c r="D18" s="50">
        <v>4</v>
      </c>
      <c r="E18" s="50">
        <v>3</v>
      </c>
      <c r="F18" s="50">
        <v>19</v>
      </c>
      <c r="G18" s="50">
        <v>0</v>
      </c>
      <c r="H18" s="50">
        <v>2</v>
      </c>
      <c r="I18" s="50">
        <v>4</v>
      </c>
      <c r="J18" s="50">
        <v>0</v>
      </c>
      <c r="K18" s="50">
        <v>0</v>
      </c>
      <c r="L18" s="50">
        <v>19</v>
      </c>
      <c r="M18" s="50">
        <v>11</v>
      </c>
      <c r="N18" s="50">
        <v>0</v>
      </c>
      <c r="O18" s="15">
        <f t="shared" si="0"/>
        <v>61</v>
      </c>
      <c r="P18" s="15">
        <f t="shared" si="1"/>
        <v>72</v>
      </c>
      <c r="R18" s="1" t="s">
        <v>14</v>
      </c>
      <c r="S18" s="17">
        <f t="shared" ref="S18:AF18" si="10">SUM(C42:C45)</f>
        <v>26</v>
      </c>
      <c r="T18" s="17">
        <f t="shared" si="10"/>
        <v>11</v>
      </c>
      <c r="U18" s="17">
        <f t="shared" si="10"/>
        <v>15</v>
      </c>
      <c r="V18" s="17">
        <f t="shared" si="10"/>
        <v>18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3</v>
      </c>
      <c r="AA18" s="17">
        <f t="shared" si="10"/>
        <v>1</v>
      </c>
      <c r="AB18" s="17">
        <f t="shared" si="10"/>
        <v>14</v>
      </c>
      <c r="AC18" s="17">
        <f t="shared" si="10"/>
        <v>51</v>
      </c>
      <c r="AD18" s="17">
        <f t="shared" si="10"/>
        <v>0</v>
      </c>
      <c r="AE18" s="31">
        <f t="shared" si="10"/>
        <v>95</v>
      </c>
      <c r="AF18" s="31">
        <f t="shared" si="10"/>
        <v>146</v>
      </c>
    </row>
    <row r="19" spans="2:32" ht="23.1" customHeight="1" x14ac:dyDescent="0.25">
      <c r="B19" s="23" t="s">
        <v>46</v>
      </c>
      <c r="C19" s="50">
        <v>8</v>
      </c>
      <c r="D19" s="50">
        <v>6</v>
      </c>
      <c r="E19" s="50">
        <v>14</v>
      </c>
      <c r="F19" s="50">
        <v>3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5</v>
      </c>
      <c r="M19" s="50">
        <v>9</v>
      </c>
      <c r="N19" s="50">
        <v>0</v>
      </c>
      <c r="O19" s="15">
        <f t="shared" si="0"/>
        <v>36</v>
      </c>
      <c r="P19" s="15">
        <f t="shared" si="1"/>
        <v>45</v>
      </c>
      <c r="R19" s="1" t="s">
        <v>15</v>
      </c>
      <c r="S19" s="17">
        <f t="shared" ref="S19:AF19" si="11">SUM(C46:C49)</f>
        <v>28</v>
      </c>
      <c r="T19" s="17">
        <f t="shared" si="11"/>
        <v>7</v>
      </c>
      <c r="U19" s="17">
        <f t="shared" si="11"/>
        <v>8</v>
      </c>
      <c r="V19" s="17">
        <f t="shared" si="11"/>
        <v>16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3</v>
      </c>
      <c r="AA19" s="17">
        <f t="shared" si="11"/>
        <v>4</v>
      </c>
      <c r="AB19" s="17">
        <f t="shared" si="11"/>
        <v>5</v>
      </c>
      <c r="AC19" s="17">
        <f t="shared" si="11"/>
        <v>49</v>
      </c>
      <c r="AD19" s="17">
        <f t="shared" si="11"/>
        <v>0</v>
      </c>
      <c r="AE19" s="31">
        <f t="shared" si="11"/>
        <v>81</v>
      </c>
      <c r="AF19" s="31">
        <f t="shared" si="11"/>
        <v>130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0</v>
      </c>
      <c r="F20" s="50">
        <v>7</v>
      </c>
      <c r="G20" s="50">
        <v>0</v>
      </c>
      <c r="H20" s="50">
        <v>4</v>
      </c>
      <c r="I20" s="50">
        <v>0</v>
      </c>
      <c r="J20" s="50">
        <v>0</v>
      </c>
      <c r="K20" s="50">
        <v>3</v>
      </c>
      <c r="L20" s="50">
        <v>11</v>
      </c>
      <c r="M20" s="50">
        <v>16</v>
      </c>
      <c r="N20" s="50">
        <v>0</v>
      </c>
      <c r="O20" s="15">
        <f t="shared" si="0"/>
        <v>28</v>
      </c>
      <c r="P20" s="15">
        <f t="shared" si="1"/>
        <v>44</v>
      </c>
      <c r="R20" s="1" t="s">
        <v>16</v>
      </c>
      <c r="S20" s="17">
        <f t="shared" ref="S20:AF20" si="12">SUM(C50:C53)</f>
        <v>16</v>
      </c>
      <c r="T20" s="17">
        <f t="shared" si="12"/>
        <v>10</v>
      </c>
      <c r="U20" s="17">
        <f t="shared" si="12"/>
        <v>7</v>
      </c>
      <c r="V20" s="17">
        <f t="shared" si="12"/>
        <v>11</v>
      </c>
      <c r="W20" s="17">
        <f t="shared" si="12"/>
        <v>3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8</v>
      </c>
      <c r="AB20" s="17">
        <f t="shared" si="12"/>
        <v>8</v>
      </c>
      <c r="AC20" s="17">
        <f t="shared" si="12"/>
        <v>49</v>
      </c>
      <c r="AD20" s="17">
        <f t="shared" si="12"/>
        <v>0</v>
      </c>
      <c r="AE20" s="31">
        <f t="shared" si="12"/>
        <v>68</v>
      </c>
      <c r="AF20" s="31">
        <f t="shared" si="12"/>
        <v>117</v>
      </c>
    </row>
    <row r="21" spans="2:32" ht="23.1" customHeight="1" x14ac:dyDescent="0.25">
      <c r="B21" s="23" t="s">
        <v>48</v>
      </c>
      <c r="C21" s="50">
        <v>6</v>
      </c>
      <c r="D21" s="50">
        <v>1</v>
      </c>
      <c r="E21" s="50">
        <v>0</v>
      </c>
      <c r="F21" s="50">
        <v>7</v>
      </c>
      <c r="G21" s="50">
        <v>0</v>
      </c>
      <c r="H21" s="50">
        <v>1</v>
      </c>
      <c r="I21" s="50">
        <v>4</v>
      </c>
      <c r="J21" s="50">
        <v>2</v>
      </c>
      <c r="K21" s="50">
        <v>0</v>
      </c>
      <c r="L21" s="50">
        <v>0</v>
      </c>
      <c r="M21" s="50">
        <v>20</v>
      </c>
      <c r="N21" s="50">
        <v>0</v>
      </c>
      <c r="O21" s="15">
        <f t="shared" si="0"/>
        <v>21</v>
      </c>
      <c r="P21" s="15">
        <f t="shared" si="1"/>
        <v>41</v>
      </c>
      <c r="R21" s="36" t="s">
        <v>20</v>
      </c>
      <c r="S21" s="34">
        <f t="shared" ref="S21:AF21" si="13">SUM(C54:C57)</f>
        <v>13</v>
      </c>
      <c r="T21" s="17">
        <f t="shared" si="13"/>
        <v>4</v>
      </c>
      <c r="U21" s="17">
        <f t="shared" si="13"/>
        <v>2</v>
      </c>
      <c r="V21" s="17">
        <f t="shared" si="13"/>
        <v>12</v>
      </c>
      <c r="W21" s="17">
        <f t="shared" si="13"/>
        <v>2</v>
      </c>
      <c r="X21" s="17">
        <f t="shared" si="13"/>
        <v>0</v>
      </c>
      <c r="Y21" s="17">
        <f t="shared" si="13"/>
        <v>6</v>
      </c>
      <c r="Z21" s="17">
        <f t="shared" si="13"/>
        <v>7</v>
      </c>
      <c r="AA21" s="17">
        <f t="shared" si="13"/>
        <v>17</v>
      </c>
      <c r="AB21" s="17">
        <f t="shared" si="13"/>
        <v>0</v>
      </c>
      <c r="AC21" s="17">
        <f t="shared" si="13"/>
        <v>27</v>
      </c>
      <c r="AD21" s="17">
        <f t="shared" si="13"/>
        <v>0</v>
      </c>
      <c r="AE21" s="31">
        <f t="shared" si="13"/>
        <v>63</v>
      </c>
      <c r="AF21" s="31">
        <f t="shared" si="13"/>
        <v>90</v>
      </c>
    </row>
    <row r="22" spans="2:32" ht="23.1" customHeight="1" x14ac:dyDescent="0.25">
      <c r="B22" s="23" t="s">
        <v>49</v>
      </c>
      <c r="C22" s="50">
        <v>7</v>
      </c>
      <c r="D22" s="50">
        <v>0</v>
      </c>
      <c r="E22" s="50">
        <v>1</v>
      </c>
      <c r="F22" s="50">
        <v>4</v>
      </c>
      <c r="G22" s="50">
        <v>0</v>
      </c>
      <c r="H22" s="50">
        <v>0</v>
      </c>
      <c r="I22" s="50">
        <v>1</v>
      </c>
      <c r="J22" s="50">
        <v>1</v>
      </c>
      <c r="K22" s="50">
        <v>4</v>
      </c>
      <c r="L22" s="50">
        <v>0</v>
      </c>
      <c r="M22" s="50">
        <v>13</v>
      </c>
      <c r="N22" s="50">
        <v>0</v>
      </c>
      <c r="O22" s="15">
        <f t="shared" si="0"/>
        <v>18</v>
      </c>
      <c r="P22" s="15">
        <f t="shared" si="1"/>
        <v>31</v>
      </c>
      <c r="R22" s="38" t="s">
        <v>90</v>
      </c>
      <c r="S22" s="39">
        <f>MAX(S10:S12)</f>
        <v>34</v>
      </c>
      <c r="T22" s="39">
        <f t="shared" ref="T22:AF22" si="14">MAX(T10:T12)</f>
        <v>24</v>
      </c>
      <c r="U22" s="39">
        <f t="shared" si="14"/>
        <v>18</v>
      </c>
      <c r="V22" s="39">
        <f t="shared" si="14"/>
        <v>36</v>
      </c>
      <c r="W22" s="39">
        <f t="shared" si="14"/>
        <v>4</v>
      </c>
      <c r="X22" s="39">
        <f t="shared" si="14"/>
        <v>7</v>
      </c>
      <c r="Y22" s="39">
        <f t="shared" si="14"/>
        <v>18</v>
      </c>
      <c r="Z22" s="39">
        <f t="shared" si="14"/>
        <v>14</v>
      </c>
      <c r="AA22" s="39">
        <f t="shared" si="14"/>
        <v>15</v>
      </c>
      <c r="AB22" s="39">
        <f t="shared" si="14"/>
        <v>35</v>
      </c>
      <c r="AC22" s="39">
        <f t="shared" si="14"/>
        <v>70</v>
      </c>
      <c r="AD22" s="39">
        <f t="shared" si="14"/>
        <v>4</v>
      </c>
      <c r="AE22" s="40">
        <f t="shared" si="14"/>
        <v>161</v>
      </c>
      <c r="AF22" s="40">
        <f t="shared" si="14"/>
        <v>214</v>
      </c>
    </row>
    <row r="23" spans="2:32" ht="23.1" customHeight="1" x14ac:dyDescent="0.25">
      <c r="B23" s="23" t="s">
        <v>50</v>
      </c>
      <c r="C23" s="50">
        <v>18</v>
      </c>
      <c r="D23" s="50">
        <v>0</v>
      </c>
      <c r="E23" s="50">
        <v>0</v>
      </c>
      <c r="F23" s="50">
        <v>0</v>
      </c>
      <c r="G23" s="50">
        <v>0</v>
      </c>
      <c r="H23" s="50">
        <v>1</v>
      </c>
      <c r="I23" s="50">
        <v>0</v>
      </c>
      <c r="J23" s="50">
        <v>2</v>
      </c>
      <c r="K23" s="50">
        <v>3</v>
      </c>
      <c r="L23" s="50">
        <v>0</v>
      </c>
      <c r="M23" s="50">
        <v>22</v>
      </c>
      <c r="N23" s="50">
        <v>0</v>
      </c>
      <c r="O23" s="15">
        <f t="shared" si="0"/>
        <v>24</v>
      </c>
      <c r="P23" s="15">
        <f t="shared" si="1"/>
        <v>46</v>
      </c>
      <c r="R23" s="38" t="s">
        <v>91</v>
      </c>
      <c r="S23" s="39">
        <f>MAX(S13:S18)</f>
        <v>44</v>
      </c>
      <c r="T23" s="39">
        <f t="shared" ref="T23:AF23" si="15">MAX(T13:T18)</f>
        <v>18</v>
      </c>
      <c r="U23" s="39">
        <f t="shared" si="15"/>
        <v>15</v>
      </c>
      <c r="V23" s="39">
        <f t="shared" si="15"/>
        <v>26</v>
      </c>
      <c r="W23" s="39">
        <f t="shared" si="15"/>
        <v>2</v>
      </c>
      <c r="X23" s="39">
        <f t="shared" si="15"/>
        <v>4</v>
      </c>
      <c r="Y23" s="39">
        <f t="shared" si="15"/>
        <v>15</v>
      </c>
      <c r="Z23" s="39">
        <f t="shared" si="15"/>
        <v>8</v>
      </c>
      <c r="AA23" s="39">
        <f t="shared" si="15"/>
        <v>12</v>
      </c>
      <c r="AB23" s="39">
        <f t="shared" si="15"/>
        <v>16</v>
      </c>
      <c r="AC23" s="39">
        <f t="shared" si="15"/>
        <v>56</v>
      </c>
      <c r="AD23" s="39">
        <f t="shared" si="15"/>
        <v>0</v>
      </c>
      <c r="AE23" s="40">
        <f t="shared" si="15"/>
        <v>119</v>
      </c>
      <c r="AF23" s="40">
        <f t="shared" si="15"/>
        <v>172</v>
      </c>
    </row>
    <row r="24" spans="2:32" ht="23.1" customHeight="1" x14ac:dyDescent="0.25">
      <c r="B24" s="23" t="s">
        <v>51</v>
      </c>
      <c r="C24" s="50">
        <v>9</v>
      </c>
      <c r="D24" s="50">
        <v>11</v>
      </c>
      <c r="E24" s="50">
        <v>0</v>
      </c>
      <c r="F24" s="50">
        <v>8</v>
      </c>
      <c r="G24" s="50">
        <v>2</v>
      </c>
      <c r="H24" s="50">
        <v>3</v>
      </c>
      <c r="I24" s="50">
        <v>4</v>
      </c>
      <c r="J24" s="50">
        <v>0</v>
      </c>
      <c r="K24" s="50">
        <v>0</v>
      </c>
      <c r="L24" s="50">
        <v>0</v>
      </c>
      <c r="M24" s="50">
        <v>8</v>
      </c>
      <c r="N24" s="50">
        <v>0</v>
      </c>
      <c r="O24" s="15">
        <f t="shared" si="0"/>
        <v>37</v>
      </c>
      <c r="P24" s="15">
        <f t="shared" si="1"/>
        <v>45</v>
      </c>
      <c r="R24" s="38" t="s">
        <v>92</v>
      </c>
      <c r="S24" s="39">
        <f>MAX(S19:S21)</f>
        <v>28</v>
      </c>
      <c r="T24" s="39">
        <f t="shared" ref="T24:AF24" si="16">MAX(T19:T21)</f>
        <v>10</v>
      </c>
      <c r="U24" s="39">
        <f t="shared" si="16"/>
        <v>8</v>
      </c>
      <c r="V24" s="39">
        <f t="shared" si="16"/>
        <v>16</v>
      </c>
      <c r="W24" s="39">
        <f t="shared" si="16"/>
        <v>3</v>
      </c>
      <c r="X24" s="39">
        <f t="shared" si="16"/>
        <v>0</v>
      </c>
      <c r="Y24" s="39">
        <f t="shared" si="16"/>
        <v>10</v>
      </c>
      <c r="Z24" s="39">
        <f t="shared" si="16"/>
        <v>7</v>
      </c>
      <c r="AA24" s="39">
        <f t="shared" si="16"/>
        <v>17</v>
      </c>
      <c r="AB24" s="39">
        <f t="shared" si="16"/>
        <v>8</v>
      </c>
      <c r="AC24" s="39">
        <f t="shared" si="16"/>
        <v>49</v>
      </c>
      <c r="AD24" s="39">
        <f t="shared" si="16"/>
        <v>0</v>
      </c>
      <c r="AE24" s="40">
        <f t="shared" si="16"/>
        <v>81</v>
      </c>
      <c r="AF24" s="40">
        <f t="shared" si="16"/>
        <v>130</v>
      </c>
    </row>
    <row r="25" spans="2:32" ht="23.1" customHeight="1" x14ac:dyDescent="0.25">
      <c r="B25" s="23" t="s">
        <v>52</v>
      </c>
      <c r="C25" s="50">
        <v>10</v>
      </c>
      <c r="D25" s="50">
        <v>5</v>
      </c>
      <c r="E25" s="50">
        <v>4</v>
      </c>
      <c r="F25" s="50">
        <v>6</v>
      </c>
      <c r="G25" s="50">
        <v>0</v>
      </c>
      <c r="H25" s="50">
        <v>0</v>
      </c>
      <c r="I25" s="50">
        <v>0</v>
      </c>
      <c r="J25" s="50">
        <v>0</v>
      </c>
      <c r="K25" s="50">
        <v>2</v>
      </c>
      <c r="L25" s="50">
        <v>8</v>
      </c>
      <c r="M25" s="50">
        <v>13</v>
      </c>
      <c r="N25" s="50">
        <v>0</v>
      </c>
      <c r="O25" s="15">
        <f t="shared" si="0"/>
        <v>35</v>
      </c>
      <c r="P25" s="15">
        <f t="shared" si="1"/>
        <v>48</v>
      </c>
      <c r="R25" s="37" t="s">
        <v>85</v>
      </c>
      <c r="S25" s="35">
        <f t="shared" ref="S25:AF25" si="17">SUM(S10:S12)</f>
        <v>81</v>
      </c>
      <c r="T25" s="16">
        <f t="shared" si="17"/>
        <v>56</v>
      </c>
      <c r="U25" s="16">
        <f t="shared" si="17"/>
        <v>51</v>
      </c>
      <c r="V25" s="16">
        <f t="shared" si="17"/>
        <v>87</v>
      </c>
      <c r="W25" s="16">
        <f t="shared" si="17"/>
        <v>6</v>
      </c>
      <c r="X25" s="16">
        <f t="shared" si="17"/>
        <v>12</v>
      </c>
      <c r="Y25" s="16">
        <f t="shared" si="17"/>
        <v>32</v>
      </c>
      <c r="Z25" s="16">
        <f t="shared" si="17"/>
        <v>17</v>
      </c>
      <c r="AA25" s="16">
        <f t="shared" si="17"/>
        <v>22</v>
      </c>
      <c r="AB25" s="16">
        <f t="shared" si="17"/>
        <v>83</v>
      </c>
      <c r="AC25" s="16">
        <f t="shared" si="17"/>
        <v>176</v>
      </c>
      <c r="AD25" s="16">
        <f t="shared" si="17"/>
        <v>4</v>
      </c>
      <c r="AE25" s="32">
        <f t="shared" si="17"/>
        <v>451</v>
      </c>
      <c r="AF25" s="32">
        <f t="shared" si="17"/>
        <v>627</v>
      </c>
    </row>
    <row r="26" spans="2:32" ht="23.1" customHeight="1" x14ac:dyDescent="0.25">
      <c r="B26" s="23" t="s">
        <v>53</v>
      </c>
      <c r="C26" s="50">
        <v>8</v>
      </c>
      <c r="D26" s="50">
        <v>2</v>
      </c>
      <c r="E26" s="50">
        <v>0</v>
      </c>
      <c r="F26" s="50">
        <v>7</v>
      </c>
      <c r="G26" s="50">
        <v>0</v>
      </c>
      <c r="H26" s="50">
        <v>0</v>
      </c>
      <c r="I26" s="50">
        <v>5</v>
      </c>
      <c r="J26" s="50">
        <v>0</v>
      </c>
      <c r="K26" s="50">
        <v>3</v>
      </c>
      <c r="L26" s="50">
        <v>8</v>
      </c>
      <c r="M26" s="50">
        <v>15</v>
      </c>
      <c r="N26" s="50">
        <v>0</v>
      </c>
      <c r="O26" s="15">
        <f t="shared" si="0"/>
        <v>33</v>
      </c>
      <c r="P26" s="15">
        <f t="shared" si="1"/>
        <v>48</v>
      </c>
      <c r="R26" s="28" t="s">
        <v>86</v>
      </c>
      <c r="S26" s="16">
        <f t="shared" ref="S26:AF26" si="18">SUM(S13:S18)</f>
        <v>177</v>
      </c>
      <c r="T26" s="16">
        <f t="shared" si="18"/>
        <v>83</v>
      </c>
      <c r="U26" s="16">
        <f t="shared" si="18"/>
        <v>48</v>
      </c>
      <c r="V26" s="16">
        <f t="shared" si="18"/>
        <v>129</v>
      </c>
      <c r="W26" s="16">
        <f t="shared" si="18"/>
        <v>3</v>
      </c>
      <c r="X26" s="16">
        <f t="shared" si="18"/>
        <v>15</v>
      </c>
      <c r="Y26" s="16">
        <f t="shared" si="18"/>
        <v>57</v>
      </c>
      <c r="Z26" s="16">
        <f t="shared" si="18"/>
        <v>26</v>
      </c>
      <c r="AA26" s="16">
        <f t="shared" si="18"/>
        <v>44</v>
      </c>
      <c r="AB26" s="16">
        <f t="shared" si="18"/>
        <v>67</v>
      </c>
      <c r="AC26" s="16">
        <f t="shared" si="18"/>
        <v>291</v>
      </c>
      <c r="AD26" s="16">
        <f t="shared" si="18"/>
        <v>0</v>
      </c>
      <c r="AE26" s="32">
        <f t="shared" si="18"/>
        <v>649</v>
      </c>
      <c r="AF26" s="32">
        <f t="shared" si="18"/>
        <v>940</v>
      </c>
    </row>
    <row r="27" spans="2:32" ht="23.1" customHeight="1" x14ac:dyDescent="0.25">
      <c r="B27" s="23" t="s">
        <v>54</v>
      </c>
      <c r="C27" s="50">
        <v>4</v>
      </c>
      <c r="D27" s="50">
        <v>2</v>
      </c>
      <c r="E27" s="50">
        <v>4</v>
      </c>
      <c r="F27" s="50">
        <v>6</v>
      </c>
      <c r="G27" s="50">
        <v>0</v>
      </c>
      <c r="H27" s="50">
        <v>0</v>
      </c>
      <c r="I27" s="50">
        <v>2</v>
      </c>
      <c r="J27" s="50">
        <v>1</v>
      </c>
      <c r="K27" s="50">
        <v>3</v>
      </c>
      <c r="L27" s="50">
        <v>2</v>
      </c>
      <c r="M27" s="50">
        <v>8</v>
      </c>
      <c r="N27" s="50">
        <v>0</v>
      </c>
      <c r="O27" s="15">
        <f t="shared" si="0"/>
        <v>24</v>
      </c>
      <c r="P27" s="15">
        <f t="shared" si="1"/>
        <v>32</v>
      </c>
      <c r="R27" s="29" t="s">
        <v>87</v>
      </c>
      <c r="S27" s="16">
        <f t="shared" ref="S27:AF27" si="19">SUM(S19:S21)</f>
        <v>57</v>
      </c>
      <c r="T27" s="16">
        <f t="shared" si="19"/>
        <v>21</v>
      </c>
      <c r="U27" s="16">
        <f t="shared" si="19"/>
        <v>17</v>
      </c>
      <c r="V27" s="16">
        <f t="shared" si="19"/>
        <v>39</v>
      </c>
      <c r="W27" s="16">
        <f t="shared" si="19"/>
        <v>5</v>
      </c>
      <c r="X27" s="16">
        <f t="shared" si="19"/>
        <v>0</v>
      </c>
      <c r="Y27" s="16">
        <f t="shared" si="19"/>
        <v>21</v>
      </c>
      <c r="Z27" s="16">
        <f t="shared" si="19"/>
        <v>10</v>
      </c>
      <c r="AA27" s="16">
        <f t="shared" si="19"/>
        <v>29</v>
      </c>
      <c r="AB27" s="16">
        <f t="shared" si="19"/>
        <v>13</v>
      </c>
      <c r="AC27" s="16">
        <f t="shared" si="19"/>
        <v>125</v>
      </c>
      <c r="AD27" s="16">
        <f t="shared" si="19"/>
        <v>0</v>
      </c>
      <c r="AE27" s="32">
        <f t="shared" si="19"/>
        <v>212</v>
      </c>
      <c r="AF27" s="32">
        <f t="shared" si="19"/>
        <v>337</v>
      </c>
    </row>
    <row r="28" spans="2:32" ht="23.1" customHeight="1" x14ac:dyDescent="0.25">
      <c r="B28" s="23" t="s">
        <v>55</v>
      </c>
      <c r="C28" s="50">
        <v>5</v>
      </c>
      <c r="D28" s="50">
        <v>1</v>
      </c>
      <c r="E28" s="50">
        <v>0</v>
      </c>
      <c r="F28" s="50">
        <v>5</v>
      </c>
      <c r="G28" s="50">
        <v>0</v>
      </c>
      <c r="H28" s="50">
        <v>3</v>
      </c>
      <c r="I28" s="50">
        <v>6</v>
      </c>
      <c r="J28" s="50">
        <v>1</v>
      </c>
      <c r="K28" s="50">
        <v>3</v>
      </c>
      <c r="L28" s="50">
        <v>0</v>
      </c>
      <c r="M28" s="50">
        <v>7</v>
      </c>
      <c r="N28" s="50">
        <v>0</v>
      </c>
      <c r="O28" s="15">
        <f t="shared" si="0"/>
        <v>24</v>
      </c>
      <c r="P28" s="15">
        <f t="shared" si="1"/>
        <v>31</v>
      </c>
      <c r="R28" s="5" t="s">
        <v>17</v>
      </c>
      <c r="S28" s="16">
        <f t="shared" ref="S28:AF28" si="20">SUM(S10:S21)</f>
        <v>315</v>
      </c>
      <c r="T28" s="16">
        <f t="shared" si="20"/>
        <v>160</v>
      </c>
      <c r="U28" s="16">
        <f t="shared" si="20"/>
        <v>116</v>
      </c>
      <c r="V28" s="16">
        <f t="shared" si="20"/>
        <v>255</v>
      </c>
      <c r="W28" s="16">
        <f t="shared" si="20"/>
        <v>14</v>
      </c>
      <c r="X28" s="16">
        <f t="shared" si="20"/>
        <v>27</v>
      </c>
      <c r="Y28" s="16">
        <f t="shared" si="20"/>
        <v>110</v>
      </c>
      <c r="Z28" s="16">
        <f t="shared" si="20"/>
        <v>53</v>
      </c>
      <c r="AA28" s="16">
        <f t="shared" si="20"/>
        <v>95</v>
      </c>
      <c r="AB28" s="16">
        <f t="shared" si="20"/>
        <v>163</v>
      </c>
      <c r="AC28" s="16">
        <f t="shared" si="20"/>
        <v>592</v>
      </c>
      <c r="AD28" s="16">
        <f t="shared" si="20"/>
        <v>4</v>
      </c>
      <c r="AE28" s="32">
        <f t="shared" si="20"/>
        <v>1312</v>
      </c>
      <c r="AF28" s="32">
        <f t="shared" si="20"/>
        <v>1904</v>
      </c>
    </row>
    <row r="29" spans="2:32" ht="23.1" customHeight="1" x14ac:dyDescent="0.25">
      <c r="B29" s="23" t="s">
        <v>56</v>
      </c>
      <c r="C29" s="50">
        <v>4</v>
      </c>
      <c r="D29" s="50">
        <v>3</v>
      </c>
      <c r="E29" s="50">
        <v>0</v>
      </c>
      <c r="F29" s="50">
        <v>1</v>
      </c>
      <c r="G29" s="50">
        <v>0</v>
      </c>
      <c r="H29" s="50">
        <v>0</v>
      </c>
      <c r="I29" s="50">
        <v>2</v>
      </c>
      <c r="J29" s="50">
        <v>3</v>
      </c>
      <c r="K29" s="50">
        <v>1</v>
      </c>
      <c r="L29" s="50">
        <v>0</v>
      </c>
      <c r="M29" s="50">
        <v>15</v>
      </c>
      <c r="N29" s="50">
        <v>0</v>
      </c>
      <c r="O29" s="15">
        <f t="shared" si="0"/>
        <v>14</v>
      </c>
      <c r="P29" s="15">
        <f t="shared" si="1"/>
        <v>29</v>
      </c>
      <c r="R29"/>
      <c r="S29" s="20"/>
      <c r="T29" s="19"/>
    </row>
    <row r="30" spans="2:32" ht="23.1" customHeight="1" x14ac:dyDescent="0.25">
      <c r="B30" s="23" t="s">
        <v>57</v>
      </c>
      <c r="C30" s="50">
        <v>13</v>
      </c>
      <c r="D30" s="50">
        <v>1</v>
      </c>
      <c r="E30" s="50">
        <v>0</v>
      </c>
      <c r="F30" s="50">
        <v>8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12</v>
      </c>
      <c r="N30" s="50">
        <v>0</v>
      </c>
      <c r="O30" s="15">
        <f t="shared" si="0"/>
        <v>25</v>
      </c>
      <c r="P30" s="15">
        <f t="shared" si="1"/>
        <v>37</v>
      </c>
    </row>
    <row r="31" spans="2:32" ht="23.1" customHeight="1" x14ac:dyDescent="0.25">
      <c r="B31" s="24" t="s">
        <v>58</v>
      </c>
      <c r="C31" s="50">
        <v>9</v>
      </c>
      <c r="D31" s="50">
        <v>2</v>
      </c>
      <c r="E31" s="50">
        <v>4</v>
      </c>
      <c r="F31" s="50">
        <v>8</v>
      </c>
      <c r="G31" s="50">
        <v>0</v>
      </c>
      <c r="H31" s="50">
        <v>2</v>
      </c>
      <c r="I31" s="50">
        <v>2</v>
      </c>
      <c r="J31" s="50">
        <v>4</v>
      </c>
      <c r="K31" s="50">
        <v>1</v>
      </c>
      <c r="L31" s="50">
        <v>3</v>
      </c>
      <c r="M31" s="50">
        <v>12</v>
      </c>
      <c r="N31" s="50">
        <v>0</v>
      </c>
      <c r="O31" s="15">
        <f t="shared" si="0"/>
        <v>35</v>
      </c>
      <c r="P31" s="15">
        <f t="shared" si="1"/>
        <v>47</v>
      </c>
    </row>
    <row r="32" spans="2:32" ht="23.1" customHeight="1" x14ac:dyDescent="0.25">
      <c r="B32" s="24" t="s">
        <v>59</v>
      </c>
      <c r="C32" s="50">
        <v>4</v>
      </c>
      <c r="D32" s="50">
        <v>10</v>
      </c>
      <c r="E32" s="50">
        <v>3</v>
      </c>
      <c r="F32" s="50">
        <v>4</v>
      </c>
      <c r="G32" s="50">
        <v>0</v>
      </c>
      <c r="H32" s="50">
        <v>0</v>
      </c>
      <c r="I32" s="50">
        <v>3</v>
      </c>
      <c r="J32" s="50">
        <v>4</v>
      </c>
      <c r="K32" s="50">
        <v>3</v>
      </c>
      <c r="L32" s="50">
        <v>2</v>
      </c>
      <c r="M32" s="50">
        <v>7</v>
      </c>
      <c r="N32" s="50">
        <v>0</v>
      </c>
      <c r="O32" s="15">
        <f t="shared" si="0"/>
        <v>33</v>
      </c>
      <c r="P32" s="15">
        <f t="shared" si="1"/>
        <v>40</v>
      </c>
    </row>
    <row r="33" spans="2:20" ht="23.1" customHeight="1" x14ac:dyDescent="0.25">
      <c r="B33" s="23" t="s">
        <v>60</v>
      </c>
      <c r="C33" s="50">
        <v>7</v>
      </c>
      <c r="D33" s="50">
        <v>5</v>
      </c>
      <c r="E33" s="50">
        <v>0</v>
      </c>
      <c r="F33" s="50">
        <v>6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3</v>
      </c>
      <c r="M33" s="50">
        <v>8</v>
      </c>
      <c r="N33" s="50">
        <v>0</v>
      </c>
      <c r="O33" s="15">
        <f t="shared" si="0"/>
        <v>22</v>
      </c>
      <c r="P33" s="15">
        <f t="shared" si="1"/>
        <v>30</v>
      </c>
    </row>
    <row r="34" spans="2:20" ht="23.1" customHeight="1" x14ac:dyDescent="0.25">
      <c r="B34" s="24" t="s">
        <v>61</v>
      </c>
      <c r="C34" s="50">
        <v>10</v>
      </c>
      <c r="D34" s="50">
        <v>8</v>
      </c>
      <c r="E34" s="50">
        <v>2</v>
      </c>
      <c r="F34" s="50">
        <v>8</v>
      </c>
      <c r="G34" s="50">
        <v>0</v>
      </c>
      <c r="H34" s="50">
        <v>0</v>
      </c>
      <c r="I34" s="50">
        <v>3</v>
      </c>
      <c r="J34" s="50">
        <v>0</v>
      </c>
      <c r="K34" s="50">
        <v>7</v>
      </c>
      <c r="L34" s="50">
        <v>3</v>
      </c>
      <c r="M34" s="50">
        <v>9</v>
      </c>
      <c r="N34" s="50">
        <v>0</v>
      </c>
      <c r="O34" s="15">
        <f t="shared" si="0"/>
        <v>41</v>
      </c>
      <c r="P34" s="15">
        <f t="shared" si="1"/>
        <v>50</v>
      </c>
    </row>
    <row r="35" spans="2:20" ht="23.1" customHeight="1" x14ac:dyDescent="0.25">
      <c r="B35" s="24" t="s">
        <v>62</v>
      </c>
      <c r="C35" s="50">
        <v>5</v>
      </c>
      <c r="D35" s="50">
        <v>0</v>
      </c>
      <c r="E35" s="50">
        <v>2</v>
      </c>
      <c r="F35" s="50">
        <v>5</v>
      </c>
      <c r="G35" s="50">
        <v>0</v>
      </c>
      <c r="H35" s="50">
        <v>2</v>
      </c>
      <c r="I35" s="50">
        <v>1</v>
      </c>
      <c r="J35" s="50">
        <v>2</v>
      </c>
      <c r="K35" s="50">
        <v>0</v>
      </c>
      <c r="L35" s="50">
        <v>7</v>
      </c>
      <c r="M35" s="50">
        <v>10</v>
      </c>
      <c r="N35" s="50">
        <v>0</v>
      </c>
      <c r="O35" s="15">
        <f t="shared" si="0"/>
        <v>24</v>
      </c>
      <c r="P35" s="15">
        <f t="shared" si="1"/>
        <v>34</v>
      </c>
    </row>
    <row r="36" spans="2:20" ht="23.1" customHeight="1" x14ac:dyDescent="0.25">
      <c r="B36" s="24" t="s">
        <v>63</v>
      </c>
      <c r="C36" s="50">
        <v>10</v>
      </c>
      <c r="D36" s="50">
        <v>1</v>
      </c>
      <c r="E36" s="50">
        <v>0</v>
      </c>
      <c r="F36" s="50">
        <v>3</v>
      </c>
      <c r="G36" s="50">
        <v>0</v>
      </c>
      <c r="H36" s="50">
        <v>0</v>
      </c>
      <c r="I36" s="50">
        <v>1</v>
      </c>
      <c r="J36" s="50">
        <v>0</v>
      </c>
      <c r="K36" s="50">
        <v>1</v>
      </c>
      <c r="L36" s="50">
        <v>2</v>
      </c>
      <c r="M36" s="50">
        <v>20</v>
      </c>
      <c r="N36" s="50">
        <v>0</v>
      </c>
      <c r="O36" s="15">
        <f t="shared" si="0"/>
        <v>18</v>
      </c>
      <c r="P36" s="15">
        <f t="shared" si="1"/>
        <v>38</v>
      </c>
    </row>
    <row r="37" spans="2:20" ht="23.1" customHeight="1" x14ac:dyDescent="0.25">
      <c r="B37" s="23" t="s">
        <v>64</v>
      </c>
      <c r="C37" s="50">
        <v>4</v>
      </c>
      <c r="D37" s="50">
        <v>3</v>
      </c>
      <c r="E37" s="50">
        <v>5</v>
      </c>
      <c r="F37" s="50">
        <v>9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4</v>
      </c>
      <c r="M37" s="50">
        <v>8</v>
      </c>
      <c r="N37" s="50">
        <v>0</v>
      </c>
      <c r="O37" s="15">
        <f t="shared" si="0"/>
        <v>28</v>
      </c>
      <c r="P37" s="15">
        <f t="shared" si="1"/>
        <v>36</v>
      </c>
    </row>
    <row r="38" spans="2:20" ht="23.1" customHeight="1" x14ac:dyDescent="0.25">
      <c r="B38" s="24" t="s">
        <v>65</v>
      </c>
      <c r="C38" s="50">
        <v>7</v>
      </c>
      <c r="D38" s="50">
        <v>9</v>
      </c>
      <c r="E38" s="50">
        <v>3</v>
      </c>
      <c r="F38" s="50">
        <v>7</v>
      </c>
      <c r="G38" s="50">
        <v>0</v>
      </c>
      <c r="H38" s="50">
        <v>1</v>
      </c>
      <c r="I38" s="50">
        <v>2</v>
      </c>
      <c r="J38" s="50">
        <v>4</v>
      </c>
      <c r="K38" s="50">
        <v>6</v>
      </c>
      <c r="L38" s="50">
        <v>3</v>
      </c>
      <c r="M38" s="50">
        <v>13</v>
      </c>
      <c r="N38" s="50">
        <v>0</v>
      </c>
      <c r="O38" s="15">
        <f t="shared" si="0"/>
        <v>42</v>
      </c>
      <c r="P38" s="15">
        <f t="shared" si="1"/>
        <v>55</v>
      </c>
    </row>
    <row r="39" spans="2:20" ht="23.1" customHeight="1" x14ac:dyDescent="0.25">
      <c r="B39" s="24" t="s">
        <v>66</v>
      </c>
      <c r="C39" s="50">
        <v>8</v>
      </c>
      <c r="D39" s="50">
        <v>6</v>
      </c>
      <c r="E39" s="50">
        <v>1</v>
      </c>
      <c r="F39" s="50">
        <v>7</v>
      </c>
      <c r="G39" s="50">
        <v>0</v>
      </c>
      <c r="H39" s="50">
        <v>0</v>
      </c>
      <c r="I39" s="50">
        <v>5</v>
      </c>
      <c r="J39" s="50">
        <v>0</v>
      </c>
      <c r="K39" s="50">
        <v>1</v>
      </c>
      <c r="L39" s="50">
        <v>2</v>
      </c>
      <c r="M39" s="50">
        <v>23</v>
      </c>
      <c r="N39" s="50">
        <v>0</v>
      </c>
      <c r="O39" s="15">
        <f t="shared" si="0"/>
        <v>30</v>
      </c>
      <c r="P39" s="15">
        <f t="shared" si="1"/>
        <v>53</v>
      </c>
    </row>
    <row r="40" spans="2:20" ht="23.1" customHeight="1" x14ac:dyDescent="0.25">
      <c r="B40" s="24" t="s">
        <v>67</v>
      </c>
      <c r="C40" s="50">
        <v>4</v>
      </c>
      <c r="D40" s="50">
        <v>3</v>
      </c>
      <c r="E40" s="50">
        <v>0</v>
      </c>
      <c r="F40" s="50">
        <v>2</v>
      </c>
      <c r="G40" s="50">
        <v>0</v>
      </c>
      <c r="H40" s="50">
        <v>2</v>
      </c>
      <c r="I40" s="50">
        <v>3</v>
      </c>
      <c r="J40" s="50">
        <v>1</v>
      </c>
      <c r="K40" s="50">
        <v>2</v>
      </c>
      <c r="L40" s="50">
        <v>3</v>
      </c>
      <c r="M40" s="50">
        <v>8</v>
      </c>
      <c r="N40" s="50">
        <v>0</v>
      </c>
      <c r="O40" s="15">
        <f t="shared" si="0"/>
        <v>20</v>
      </c>
      <c r="P40" s="15">
        <f t="shared" si="1"/>
        <v>28</v>
      </c>
    </row>
    <row r="41" spans="2:20" ht="23.1" customHeight="1" x14ac:dyDescent="0.25">
      <c r="B41" s="23" t="s">
        <v>68</v>
      </c>
      <c r="C41" s="50">
        <v>5</v>
      </c>
      <c r="D41" s="50">
        <v>0</v>
      </c>
      <c r="E41" s="50">
        <v>4</v>
      </c>
      <c r="F41" s="50">
        <v>7</v>
      </c>
      <c r="G41" s="50">
        <v>1</v>
      </c>
      <c r="H41" s="50">
        <v>1</v>
      </c>
      <c r="I41" s="50">
        <v>3</v>
      </c>
      <c r="J41" s="50">
        <v>0</v>
      </c>
      <c r="K41" s="50">
        <v>3</v>
      </c>
      <c r="L41" s="50">
        <v>3</v>
      </c>
      <c r="M41" s="50">
        <v>9</v>
      </c>
      <c r="N41" s="50">
        <v>0</v>
      </c>
      <c r="O41" s="15">
        <f t="shared" si="0"/>
        <v>27</v>
      </c>
      <c r="P41" s="15">
        <f t="shared" si="1"/>
        <v>36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4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3</v>
      </c>
      <c r="M42" s="50">
        <v>10</v>
      </c>
      <c r="N42" s="50">
        <v>0</v>
      </c>
      <c r="O42" s="15">
        <f t="shared" si="0"/>
        <v>12</v>
      </c>
      <c r="P42" s="15">
        <f t="shared" si="1"/>
        <v>22</v>
      </c>
    </row>
    <row r="43" spans="2:20" ht="23.1" customHeight="1" x14ac:dyDescent="0.25">
      <c r="B43" s="23" t="s">
        <v>70</v>
      </c>
      <c r="C43" s="50">
        <v>7</v>
      </c>
      <c r="D43" s="50">
        <v>3</v>
      </c>
      <c r="E43" s="50">
        <v>5</v>
      </c>
      <c r="F43" s="50">
        <v>7</v>
      </c>
      <c r="G43" s="50">
        <v>0</v>
      </c>
      <c r="H43" s="50">
        <v>0</v>
      </c>
      <c r="I43" s="50">
        <v>1</v>
      </c>
      <c r="J43" s="50">
        <v>3</v>
      </c>
      <c r="K43" s="50">
        <v>1</v>
      </c>
      <c r="L43" s="50">
        <v>4</v>
      </c>
      <c r="M43" s="50">
        <v>15</v>
      </c>
      <c r="N43" s="50">
        <v>0</v>
      </c>
      <c r="O43" s="15">
        <f t="shared" si="0"/>
        <v>31</v>
      </c>
      <c r="P43" s="15">
        <f t="shared" si="1"/>
        <v>46</v>
      </c>
    </row>
    <row r="44" spans="2:20" ht="23.1" customHeight="1" x14ac:dyDescent="0.25">
      <c r="B44" s="25" t="s">
        <v>71</v>
      </c>
      <c r="C44" s="50">
        <v>9</v>
      </c>
      <c r="D44" s="50">
        <v>3</v>
      </c>
      <c r="E44" s="50">
        <v>2</v>
      </c>
      <c r="F44" s="50">
        <v>6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4</v>
      </c>
      <c r="M44" s="50">
        <v>18</v>
      </c>
      <c r="N44" s="50">
        <v>0</v>
      </c>
      <c r="O44" s="15">
        <f t="shared" si="0"/>
        <v>25</v>
      </c>
      <c r="P44" s="15">
        <f t="shared" si="1"/>
        <v>43</v>
      </c>
    </row>
    <row r="45" spans="2:20" ht="23.1" customHeight="1" x14ac:dyDescent="0.25">
      <c r="B45" s="23" t="s">
        <v>72</v>
      </c>
      <c r="C45" s="50">
        <v>5</v>
      </c>
      <c r="D45" s="50">
        <v>5</v>
      </c>
      <c r="E45" s="50">
        <v>4</v>
      </c>
      <c r="F45" s="50">
        <v>5</v>
      </c>
      <c r="G45" s="50">
        <v>0</v>
      </c>
      <c r="H45" s="50">
        <v>0</v>
      </c>
      <c r="I45" s="50">
        <v>5</v>
      </c>
      <c r="J45" s="50">
        <v>0</v>
      </c>
      <c r="K45" s="50">
        <v>0</v>
      </c>
      <c r="L45" s="50">
        <v>3</v>
      </c>
      <c r="M45" s="50">
        <v>8</v>
      </c>
      <c r="N45" s="50">
        <v>0</v>
      </c>
      <c r="O45" s="15">
        <f t="shared" si="0"/>
        <v>27</v>
      </c>
      <c r="P45" s="15">
        <f t="shared" si="1"/>
        <v>35</v>
      </c>
    </row>
    <row r="46" spans="2:20" ht="23.1" customHeight="1" x14ac:dyDescent="0.25">
      <c r="B46" s="24" t="s">
        <v>73</v>
      </c>
      <c r="C46" s="50">
        <v>8</v>
      </c>
      <c r="D46" s="50">
        <v>1</v>
      </c>
      <c r="E46" s="50">
        <v>3</v>
      </c>
      <c r="F46" s="50">
        <v>4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18</v>
      </c>
      <c r="N46" s="50">
        <v>0</v>
      </c>
      <c r="O46" s="15">
        <f t="shared" si="0"/>
        <v>17</v>
      </c>
      <c r="P46" s="15">
        <f t="shared" si="1"/>
        <v>35</v>
      </c>
      <c r="R46" s="8"/>
      <c r="T46"/>
    </row>
    <row r="47" spans="2:20" ht="23.1" customHeight="1" x14ac:dyDescent="0.25">
      <c r="B47" s="24" t="s">
        <v>74</v>
      </c>
      <c r="C47" s="50">
        <v>11</v>
      </c>
      <c r="D47" s="50">
        <v>0</v>
      </c>
      <c r="E47" s="50">
        <v>2</v>
      </c>
      <c r="F47" s="50">
        <v>3</v>
      </c>
      <c r="G47" s="50">
        <v>0</v>
      </c>
      <c r="H47" s="50">
        <v>0</v>
      </c>
      <c r="I47" s="50">
        <v>0</v>
      </c>
      <c r="J47" s="50">
        <v>2</v>
      </c>
      <c r="K47" s="50">
        <v>0</v>
      </c>
      <c r="L47" s="50">
        <v>2</v>
      </c>
      <c r="M47" s="50">
        <v>10</v>
      </c>
      <c r="N47" s="50">
        <v>0</v>
      </c>
      <c r="O47" s="15">
        <f t="shared" si="0"/>
        <v>20</v>
      </c>
      <c r="P47" s="15">
        <f t="shared" si="1"/>
        <v>30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2</v>
      </c>
      <c r="E48" s="50">
        <v>0</v>
      </c>
      <c r="F48" s="50">
        <v>5</v>
      </c>
      <c r="G48" s="50">
        <v>0</v>
      </c>
      <c r="H48" s="50">
        <v>0</v>
      </c>
      <c r="I48" s="50">
        <v>2</v>
      </c>
      <c r="J48" s="50">
        <v>0</v>
      </c>
      <c r="K48" s="50">
        <v>1</v>
      </c>
      <c r="L48" s="50">
        <v>0</v>
      </c>
      <c r="M48" s="50">
        <v>10</v>
      </c>
      <c r="N48" s="50">
        <v>0</v>
      </c>
      <c r="O48" s="15">
        <f t="shared" si="0"/>
        <v>16</v>
      </c>
      <c r="P48" s="15">
        <f t="shared" si="1"/>
        <v>26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4</v>
      </c>
      <c r="E49" s="50">
        <v>3</v>
      </c>
      <c r="F49" s="50">
        <v>4</v>
      </c>
      <c r="G49" s="50">
        <v>0</v>
      </c>
      <c r="H49" s="50">
        <v>0</v>
      </c>
      <c r="I49" s="50">
        <v>7</v>
      </c>
      <c r="J49" s="50">
        <v>1</v>
      </c>
      <c r="K49" s="50">
        <v>3</v>
      </c>
      <c r="L49" s="50">
        <v>3</v>
      </c>
      <c r="M49" s="50">
        <v>11</v>
      </c>
      <c r="N49" s="50">
        <v>0</v>
      </c>
      <c r="O49" s="15">
        <f t="shared" si="0"/>
        <v>28</v>
      </c>
      <c r="P49" s="15">
        <f t="shared" si="1"/>
        <v>39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1</v>
      </c>
      <c r="E50" s="50">
        <v>0</v>
      </c>
      <c r="F50" s="50">
        <v>4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18</v>
      </c>
      <c r="N50" s="50">
        <v>0</v>
      </c>
      <c r="O50" s="15">
        <f t="shared" si="0"/>
        <v>11</v>
      </c>
      <c r="P50" s="15">
        <f t="shared" si="1"/>
        <v>29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5</v>
      </c>
      <c r="E51" s="50">
        <v>3</v>
      </c>
      <c r="F51" s="50">
        <v>3</v>
      </c>
      <c r="G51" s="50">
        <v>3</v>
      </c>
      <c r="H51" s="50">
        <v>0</v>
      </c>
      <c r="I51" s="50">
        <v>4</v>
      </c>
      <c r="J51" s="50">
        <v>0</v>
      </c>
      <c r="K51" s="50">
        <v>0</v>
      </c>
      <c r="L51" s="50">
        <v>3</v>
      </c>
      <c r="M51" s="50">
        <v>11</v>
      </c>
      <c r="N51" s="50">
        <v>0</v>
      </c>
      <c r="O51" s="15">
        <f t="shared" si="0"/>
        <v>25</v>
      </c>
      <c r="P51" s="15">
        <f t="shared" si="1"/>
        <v>36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2</v>
      </c>
      <c r="E52" s="50">
        <v>3</v>
      </c>
      <c r="F52" s="50">
        <v>3</v>
      </c>
      <c r="G52" s="50">
        <v>0</v>
      </c>
      <c r="H52" s="50">
        <v>0</v>
      </c>
      <c r="I52" s="50">
        <v>0</v>
      </c>
      <c r="J52" s="50">
        <v>0</v>
      </c>
      <c r="K52" s="50">
        <v>4</v>
      </c>
      <c r="L52" s="50">
        <v>5</v>
      </c>
      <c r="M52" s="50">
        <v>3</v>
      </c>
      <c r="N52" s="50">
        <v>0</v>
      </c>
      <c r="O52" s="15">
        <f t="shared" si="0"/>
        <v>18</v>
      </c>
      <c r="P52" s="15">
        <f t="shared" si="1"/>
        <v>21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2</v>
      </c>
      <c r="E53" s="50">
        <v>1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3</v>
      </c>
      <c r="L53" s="50">
        <v>0</v>
      </c>
      <c r="M53" s="50">
        <v>17</v>
      </c>
      <c r="N53" s="50">
        <v>0</v>
      </c>
      <c r="O53" s="15">
        <f t="shared" si="0"/>
        <v>14</v>
      </c>
      <c r="P53" s="15">
        <f t="shared" si="1"/>
        <v>31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1</v>
      </c>
      <c r="E54" s="50">
        <v>0</v>
      </c>
      <c r="F54" s="50">
        <v>6</v>
      </c>
      <c r="G54" s="50">
        <v>2</v>
      </c>
      <c r="H54" s="50">
        <v>0</v>
      </c>
      <c r="I54" s="50">
        <v>0</v>
      </c>
      <c r="J54" s="50">
        <v>4</v>
      </c>
      <c r="K54" s="50">
        <v>3</v>
      </c>
      <c r="L54" s="50">
        <v>0</v>
      </c>
      <c r="M54" s="50">
        <v>8</v>
      </c>
      <c r="N54" s="50">
        <v>0</v>
      </c>
      <c r="O54" s="15">
        <f t="shared" si="0"/>
        <v>20</v>
      </c>
      <c r="P54" s="15">
        <f t="shared" si="1"/>
        <v>28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2</v>
      </c>
      <c r="F55" s="50">
        <v>3</v>
      </c>
      <c r="G55" s="50">
        <v>0</v>
      </c>
      <c r="H55" s="50">
        <v>0</v>
      </c>
      <c r="I55" s="50">
        <v>1</v>
      </c>
      <c r="J55" s="50">
        <v>1</v>
      </c>
      <c r="K55" s="50">
        <v>8</v>
      </c>
      <c r="L55" s="50">
        <v>0</v>
      </c>
      <c r="M55" s="50">
        <v>3</v>
      </c>
      <c r="N55" s="50">
        <v>0</v>
      </c>
      <c r="O55" s="15">
        <f t="shared" si="0"/>
        <v>19</v>
      </c>
      <c r="P55" s="15">
        <f t="shared" si="1"/>
        <v>22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3</v>
      </c>
      <c r="E56" s="50">
        <v>0</v>
      </c>
      <c r="F56" s="50">
        <v>3</v>
      </c>
      <c r="G56" s="50">
        <v>0</v>
      </c>
      <c r="H56" s="50">
        <v>0</v>
      </c>
      <c r="I56" s="50">
        <v>2</v>
      </c>
      <c r="J56" s="50">
        <v>0</v>
      </c>
      <c r="K56" s="50">
        <v>3</v>
      </c>
      <c r="L56" s="50">
        <v>0</v>
      </c>
      <c r="M56" s="50">
        <v>8</v>
      </c>
      <c r="N56" s="50">
        <v>0</v>
      </c>
      <c r="O56" s="15">
        <f t="shared" si="0"/>
        <v>13</v>
      </c>
      <c r="P56" s="15">
        <f t="shared" si="1"/>
        <v>21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3</v>
      </c>
      <c r="J57" s="50">
        <v>2</v>
      </c>
      <c r="K57" s="50">
        <v>3</v>
      </c>
      <c r="L57" s="50">
        <v>0</v>
      </c>
      <c r="M57" s="50">
        <v>8</v>
      </c>
      <c r="N57" s="50">
        <v>0</v>
      </c>
      <c r="O57" s="15">
        <f t="shared" si="0"/>
        <v>11</v>
      </c>
      <c r="P57" s="15">
        <f t="shared" si="1"/>
        <v>19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315</v>
      </c>
      <c r="D58" s="16">
        <f t="shared" si="21"/>
        <v>160</v>
      </c>
      <c r="E58" s="16">
        <f t="shared" si="21"/>
        <v>116</v>
      </c>
      <c r="F58" s="16">
        <f t="shared" si="21"/>
        <v>255</v>
      </c>
      <c r="G58" s="16">
        <f t="shared" si="21"/>
        <v>14</v>
      </c>
      <c r="H58" s="16">
        <f t="shared" si="21"/>
        <v>27</v>
      </c>
      <c r="I58" s="16">
        <f t="shared" si="21"/>
        <v>110</v>
      </c>
      <c r="J58" s="16">
        <f t="shared" si="21"/>
        <v>53</v>
      </c>
      <c r="K58" s="16">
        <f t="shared" si="21"/>
        <v>95</v>
      </c>
      <c r="L58" s="16">
        <f t="shared" si="21"/>
        <v>163</v>
      </c>
      <c r="M58" s="16">
        <f t="shared" si="21"/>
        <v>592</v>
      </c>
      <c r="N58" s="16">
        <f t="shared" si="21"/>
        <v>4</v>
      </c>
      <c r="O58" s="16">
        <f t="shared" si="21"/>
        <v>1312</v>
      </c>
      <c r="P58" s="16">
        <f t="shared" si="21"/>
        <v>1904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0.16544117647058823</v>
      </c>
      <c r="D59" s="43">
        <f t="shared" si="22"/>
        <v>8.4033613445378158E-2</v>
      </c>
      <c r="E59" s="43">
        <f t="shared" si="22"/>
        <v>6.0924369747899158E-2</v>
      </c>
      <c r="F59" s="43">
        <f t="shared" si="22"/>
        <v>0.13392857142857142</v>
      </c>
      <c r="G59" s="43">
        <f t="shared" si="22"/>
        <v>7.3529411764705881E-3</v>
      </c>
      <c r="H59" s="43">
        <f t="shared" si="22"/>
        <v>1.4180672268907563E-2</v>
      </c>
      <c r="I59" s="43">
        <f t="shared" si="22"/>
        <v>5.7773109243697482E-2</v>
      </c>
      <c r="J59" s="43">
        <f t="shared" si="22"/>
        <v>2.7836134453781514E-2</v>
      </c>
      <c r="K59" s="43">
        <f t="shared" si="22"/>
        <v>4.989495798319328E-2</v>
      </c>
      <c r="L59" s="43">
        <f t="shared" si="22"/>
        <v>8.5609243697478993E-2</v>
      </c>
      <c r="M59" s="43">
        <f t="shared" si="22"/>
        <v>0.31092436974789917</v>
      </c>
      <c r="N59" s="43">
        <f t="shared" si="22"/>
        <v>2.1008403361344537E-3</v>
      </c>
      <c r="R59" s="8"/>
      <c r="T59"/>
    </row>
    <row r="60" spans="2:20" ht="23.1" customHeight="1" x14ac:dyDescent="0.25">
      <c r="B60" s="42" t="s">
        <v>94</v>
      </c>
      <c r="C60" s="44">
        <f>C58/$O$58</f>
        <v>0.24009146341463414</v>
      </c>
      <c r="D60" s="44">
        <f t="shared" ref="D60:N60" si="23">D58/$O$58</f>
        <v>0.12195121951219512</v>
      </c>
      <c r="E60" s="44">
        <f t="shared" si="23"/>
        <v>8.8414634146341459E-2</v>
      </c>
      <c r="F60" s="44">
        <f t="shared" si="23"/>
        <v>0.19435975609756098</v>
      </c>
      <c r="G60" s="44">
        <f t="shared" si="23"/>
        <v>1.0670731707317074E-2</v>
      </c>
      <c r="H60" s="44">
        <f t="shared" si="23"/>
        <v>2.0579268292682928E-2</v>
      </c>
      <c r="I60" s="44">
        <f t="shared" si="23"/>
        <v>8.3841463414634151E-2</v>
      </c>
      <c r="J60" s="44">
        <f t="shared" si="23"/>
        <v>4.0396341463414635E-2</v>
      </c>
      <c r="K60" s="44">
        <f t="shared" si="23"/>
        <v>7.2408536585365849E-2</v>
      </c>
      <c r="L60" s="44">
        <f t="shared" si="23"/>
        <v>0.12423780487804878</v>
      </c>
      <c r="M60" s="44"/>
      <c r="N60" s="44">
        <f t="shared" si="23"/>
        <v>3.0487804878048782E-3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5.28515625" customWidth="1"/>
    <col min="6" max="6" width="12.5703125" customWidth="1"/>
    <col min="7" max="7" width="15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'27.10 Kabale-Mbarara'!C3:G3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9.25" customHeight="1" x14ac:dyDescent="0.25">
      <c r="C5" s="4" t="s">
        <v>3</v>
      </c>
      <c r="D5" s="36" t="str">
        <f>'29.10 Mbarara-Kabale'!D5</f>
        <v>29.10.19</v>
      </c>
      <c r="E5" s="3"/>
      <c r="F5" s="41" t="s">
        <v>1</v>
      </c>
      <c r="G5" s="63" t="str">
        <f>'27.10 Mbarara-Kabale'!G5:H5</f>
        <v>Nyeihanga traffic station</v>
      </c>
      <c r="H5" s="64"/>
      <c r="I5" s="14"/>
      <c r="J5" s="2" t="s">
        <v>5</v>
      </c>
      <c r="K5" s="63" t="s">
        <v>173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'27.10 Kabale-Mbarara'!D6:E6</f>
        <v>Kabale</v>
      </c>
      <c r="E6" s="64"/>
      <c r="F6" s="2" t="s">
        <v>2</v>
      </c>
      <c r="G6" s="63" t="str">
        <f>'27.10 Kabale-Mbarara'!G6:H6</f>
        <v>Mbarara</v>
      </c>
      <c r="H6" s="64"/>
      <c r="J6" s="2" t="s">
        <v>21</v>
      </c>
      <c r="K6" s="63" t="str">
        <f>'27.10 Mbarara-Kabale'!K6:L6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0</v>
      </c>
      <c r="E10" s="50">
        <v>0</v>
      </c>
      <c r="F10" s="50">
        <v>4</v>
      </c>
      <c r="G10" s="50">
        <v>0</v>
      </c>
      <c r="H10" s="50">
        <v>0</v>
      </c>
      <c r="I10" s="50">
        <v>2</v>
      </c>
      <c r="J10" s="50">
        <v>0</v>
      </c>
      <c r="K10" s="50">
        <v>1</v>
      </c>
      <c r="L10" s="50">
        <v>1</v>
      </c>
      <c r="M10" s="50">
        <v>2</v>
      </c>
      <c r="N10" s="50">
        <v>0</v>
      </c>
      <c r="O10" s="15">
        <f t="shared" ref="O10:O57" si="0">SUM(C10:L10,N10)</f>
        <v>12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13</v>
      </c>
      <c r="T10" s="17">
        <f t="shared" si="2"/>
        <v>0</v>
      </c>
      <c r="U10" s="17">
        <f t="shared" si="2"/>
        <v>2</v>
      </c>
      <c r="V10" s="17">
        <f t="shared" si="2"/>
        <v>16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3</v>
      </c>
      <c r="AA10" s="17">
        <f t="shared" si="2"/>
        <v>2</v>
      </c>
      <c r="AB10" s="17">
        <f t="shared" si="2"/>
        <v>1</v>
      </c>
      <c r="AC10" s="17">
        <f t="shared" si="2"/>
        <v>37</v>
      </c>
      <c r="AD10" s="17">
        <f t="shared" si="2"/>
        <v>0</v>
      </c>
      <c r="AE10" s="31">
        <f t="shared" si="2"/>
        <v>41</v>
      </c>
      <c r="AF10" s="31">
        <f t="shared" si="2"/>
        <v>78</v>
      </c>
    </row>
    <row r="11" spans="2:32" s="6" customFormat="1" ht="23.1" customHeight="1" x14ac:dyDescent="0.25">
      <c r="B11" s="23" t="s">
        <v>38</v>
      </c>
      <c r="C11" s="50">
        <v>5</v>
      </c>
      <c r="D11" s="50">
        <v>0</v>
      </c>
      <c r="E11" s="50">
        <v>0</v>
      </c>
      <c r="F11" s="50">
        <v>7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13</v>
      </c>
      <c r="N11" s="50">
        <v>0</v>
      </c>
      <c r="O11" s="15">
        <f t="shared" si="0"/>
        <v>14</v>
      </c>
      <c r="P11" s="15">
        <f t="shared" si="1"/>
        <v>27</v>
      </c>
      <c r="R11" s="1" t="s">
        <v>7</v>
      </c>
      <c r="S11" s="17">
        <f t="shared" ref="S11:AF11" si="3">SUM(C14:C17)</f>
        <v>20</v>
      </c>
      <c r="T11" s="17">
        <f t="shared" si="3"/>
        <v>3</v>
      </c>
      <c r="U11" s="17">
        <f t="shared" si="3"/>
        <v>2</v>
      </c>
      <c r="V11" s="17">
        <f t="shared" si="3"/>
        <v>17</v>
      </c>
      <c r="W11" s="17">
        <f t="shared" si="3"/>
        <v>1</v>
      </c>
      <c r="X11" s="17">
        <f t="shared" si="3"/>
        <v>1</v>
      </c>
      <c r="Y11" s="17">
        <f t="shared" si="3"/>
        <v>6</v>
      </c>
      <c r="Z11" s="17">
        <f t="shared" si="3"/>
        <v>3</v>
      </c>
      <c r="AA11" s="17">
        <f t="shared" si="3"/>
        <v>0</v>
      </c>
      <c r="AB11" s="17">
        <f t="shared" si="3"/>
        <v>3</v>
      </c>
      <c r="AC11" s="17">
        <f t="shared" si="3"/>
        <v>63</v>
      </c>
      <c r="AD11" s="17">
        <f t="shared" si="3"/>
        <v>0</v>
      </c>
      <c r="AE11" s="31">
        <f t="shared" si="3"/>
        <v>56</v>
      </c>
      <c r="AF11" s="31">
        <f t="shared" si="3"/>
        <v>119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1</v>
      </c>
      <c r="F12" s="50">
        <v>5</v>
      </c>
      <c r="G12" s="50">
        <v>0</v>
      </c>
      <c r="H12" s="50">
        <v>0</v>
      </c>
      <c r="I12" s="50">
        <v>0</v>
      </c>
      <c r="J12" s="50">
        <v>0</v>
      </c>
      <c r="K12" s="50">
        <v>1</v>
      </c>
      <c r="L12" s="50">
        <v>0</v>
      </c>
      <c r="M12" s="50">
        <v>12</v>
      </c>
      <c r="N12" s="50">
        <v>0</v>
      </c>
      <c r="O12" s="15">
        <f t="shared" si="0"/>
        <v>10</v>
      </c>
      <c r="P12" s="15">
        <f t="shared" si="1"/>
        <v>22</v>
      </c>
      <c r="R12" s="1" t="s">
        <v>8</v>
      </c>
      <c r="S12" s="17">
        <f t="shared" ref="S12:AF12" si="4">SUM(C18:C21)</f>
        <v>25</v>
      </c>
      <c r="T12" s="17">
        <f t="shared" si="4"/>
        <v>4</v>
      </c>
      <c r="U12" s="17">
        <f t="shared" si="4"/>
        <v>2</v>
      </c>
      <c r="V12" s="17">
        <f t="shared" si="4"/>
        <v>30</v>
      </c>
      <c r="W12" s="17">
        <f t="shared" si="4"/>
        <v>0</v>
      </c>
      <c r="X12" s="17">
        <f t="shared" si="4"/>
        <v>2</v>
      </c>
      <c r="Y12" s="17">
        <f t="shared" si="4"/>
        <v>4</v>
      </c>
      <c r="Z12" s="17">
        <f t="shared" si="4"/>
        <v>1</v>
      </c>
      <c r="AA12" s="17">
        <f t="shared" si="4"/>
        <v>0</v>
      </c>
      <c r="AB12" s="17">
        <f t="shared" si="4"/>
        <v>2</v>
      </c>
      <c r="AC12" s="17">
        <f t="shared" si="4"/>
        <v>64</v>
      </c>
      <c r="AD12" s="17">
        <f t="shared" si="4"/>
        <v>0</v>
      </c>
      <c r="AE12" s="31">
        <f t="shared" si="4"/>
        <v>70</v>
      </c>
      <c r="AF12" s="31">
        <f t="shared" si="4"/>
        <v>134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3</v>
      </c>
      <c r="K13" s="50">
        <v>0</v>
      </c>
      <c r="L13" s="50">
        <v>0</v>
      </c>
      <c r="M13" s="50">
        <v>10</v>
      </c>
      <c r="N13" s="50">
        <v>0</v>
      </c>
      <c r="O13" s="15">
        <f t="shared" si="0"/>
        <v>5</v>
      </c>
      <c r="P13" s="15">
        <f t="shared" si="1"/>
        <v>15</v>
      </c>
      <c r="R13" s="1" t="s">
        <v>9</v>
      </c>
      <c r="S13" s="17">
        <f t="shared" ref="S13:AF13" si="5">SUM(C22:C25)</f>
        <v>41</v>
      </c>
      <c r="T13" s="17">
        <f t="shared" si="5"/>
        <v>8</v>
      </c>
      <c r="U13" s="17">
        <f t="shared" si="5"/>
        <v>1</v>
      </c>
      <c r="V13" s="17">
        <f t="shared" si="5"/>
        <v>17</v>
      </c>
      <c r="W13" s="17">
        <f t="shared" si="5"/>
        <v>0</v>
      </c>
      <c r="X13" s="17">
        <f t="shared" si="5"/>
        <v>10</v>
      </c>
      <c r="Y13" s="17">
        <f t="shared" si="5"/>
        <v>3</v>
      </c>
      <c r="Z13" s="17">
        <f t="shared" si="5"/>
        <v>0</v>
      </c>
      <c r="AA13" s="17">
        <f t="shared" si="5"/>
        <v>3</v>
      </c>
      <c r="AB13" s="17">
        <f t="shared" si="5"/>
        <v>11</v>
      </c>
      <c r="AC13" s="17">
        <f t="shared" si="5"/>
        <v>48</v>
      </c>
      <c r="AD13" s="17">
        <f t="shared" si="5"/>
        <v>0</v>
      </c>
      <c r="AE13" s="31">
        <f t="shared" si="5"/>
        <v>94</v>
      </c>
      <c r="AF13" s="31">
        <f t="shared" si="5"/>
        <v>142</v>
      </c>
    </row>
    <row r="14" spans="2:32" ht="23.1" customHeight="1" x14ac:dyDescent="0.25">
      <c r="B14" s="23" t="s">
        <v>41</v>
      </c>
      <c r="C14" s="50">
        <v>6</v>
      </c>
      <c r="D14" s="50">
        <v>0</v>
      </c>
      <c r="E14" s="50">
        <v>0</v>
      </c>
      <c r="F14" s="50">
        <v>2</v>
      </c>
      <c r="G14" s="50">
        <v>0</v>
      </c>
      <c r="H14" s="50">
        <v>1</v>
      </c>
      <c r="I14" s="50">
        <v>2</v>
      </c>
      <c r="J14" s="50">
        <v>3</v>
      </c>
      <c r="K14" s="50">
        <v>0</v>
      </c>
      <c r="L14" s="50">
        <v>0</v>
      </c>
      <c r="M14" s="50">
        <v>12</v>
      </c>
      <c r="N14" s="50">
        <v>0</v>
      </c>
      <c r="O14" s="15">
        <f t="shared" si="0"/>
        <v>14</v>
      </c>
      <c r="P14" s="15">
        <f t="shared" si="1"/>
        <v>26</v>
      </c>
      <c r="R14" s="1" t="s">
        <v>10</v>
      </c>
      <c r="S14" s="17">
        <f t="shared" ref="S14:AF14" si="6">SUM(C26:C29)</f>
        <v>32</v>
      </c>
      <c r="T14" s="17">
        <f t="shared" si="6"/>
        <v>13</v>
      </c>
      <c r="U14" s="17">
        <f t="shared" si="6"/>
        <v>8</v>
      </c>
      <c r="V14" s="17">
        <f t="shared" si="6"/>
        <v>39</v>
      </c>
      <c r="W14" s="17">
        <f t="shared" si="6"/>
        <v>0</v>
      </c>
      <c r="X14" s="17">
        <f t="shared" si="6"/>
        <v>4</v>
      </c>
      <c r="Y14" s="17">
        <f t="shared" si="6"/>
        <v>5</v>
      </c>
      <c r="Z14" s="17">
        <f t="shared" si="6"/>
        <v>4</v>
      </c>
      <c r="AA14" s="17">
        <f t="shared" si="6"/>
        <v>1</v>
      </c>
      <c r="AB14" s="17">
        <f t="shared" si="6"/>
        <v>12</v>
      </c>
      <c r="AC14" s="17">
        <f t="shared" si="6"/>
        <v>69</v>
      </c>
      <c r="AD14" s="17">
        <f t="shared" si="6"/>
        <v>0</v>
      </c>
      <c r="AE14" s="31">
        <f t="shared" si="6"/>
        <v>118</v>
      </c>
      <c r="AF14" s="31">
        <f t="shared" si="6"/>
        <v>187</v>
      </c>
    </row>
    <row r="15" spans="2:32" ht="23.1" customHeight="1" x14ac:dyDescent="0.25">
      <c r="B15" s="23" t="s">
        <v>42</v>
      </c>
      <c r="C15" s="50">
        <v>7</v>
      </c>
      <c r="D15" s="50">
        <v>2</v>
      </c>
      <c r="E15" s="50">
        <v>1</v>
      </c>
      <c r="F15" s="50">
        <v>3</v>
      </c>
      <c r="G15" s="50">
        <v>1</v>
      </c>
      <c r="H15" s="50">
        <v>0</v>
      </c>
      <c r="I15" s="50">
        <v>1</v>
      </c>
      <c r="J15" s="50">
        <v>0</v>
      </c>
      <c r="K15" s="50">
        <v>0</v>
      </c>
      <c r="L15" s="50">
        <v>2</v>
      </c>
      <c r="M15" s="50">
        <v>14</v>
      </c>
      <c r="N15" s="50">
        <v>0</v>
      </c>
      <c r="O15" s="15">
        <f t="shared" si="0"/>
        <v>17</v>
      </c>
      <c r="P15" s="15">
        <f t="shared" si="1"/>
        <v>31</v>
      </c>
      <c r="R15" s="1" t="s">
        <v>11</v>
      </c>
      <c r="S15" s="17">
        <f t="shared" ref="S15:AF15" si="7">SUM(C30:C33)</f>
        <v>40</v>
      </c>
      <c r="T15" s="17">
        <f t="shared" si="7"/>
        <v>3</v>
      </c>
      <c r="U15" s="17">
        <f t="shared" si="7"/>
        <v>7</v>
      </c>
      <c r="V15" s="17">
        <f t="shared" si="7"/>
        <v>41</v>
      </c>
      <c r="W15" s="17">
        <f t="shared" si="7"/>
        <v>0</v>
      </c>
      <c r="X15" s="17">
        <f t="shared" si="7"/>
        <v>2</v>
      </c>
      <c r="Y15" s="17">
        <f t="shared" si="7"/>
        <v>6</v>
      </c>
      <c r="Z15" s="17">
        <f t="shared" si="7"/>
        <v>1</v>
      </c>
      <c r="AA15" s="17">
        <f t="shared" si="7"/>
        <v>4</v>
      </c>
      <c r="AB15" s="17">
        <f t="shared" si="7"/>
        <v>9</v>
      </c>
      <c r="AC15" s="17">
        <f t="shared" si="7"/>
        <v>72</v>
      </c>
      <c r="AD15" s="17">
        <f t="shared" si="7"/>
        <v>0</v>
      </c>
      <c r="AE15" s="31">
        <f t="shared" si="7"/>
        <v>113</v>
      </c>
      <c r="AF15" s="31">
        <f t="shared" si="7"/>
        <v>185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0</v>
      </c>
      <c r="F16" s="50">
        <v>8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1</v>
      </c>
      <c r="M16" s="50">
        <v>22</v>
      </c>
      <c r="N16" s="50">
        <v>0</v>
      </c>
      <c r="O16" s="15">
        <f t="shared" si="0"/>
        <v>14</v>
      </c>
      <c r="P16" s="15">
        <f t="shared" si="1"/>
        <v>36</v>
      </c>
      <c r="R16" s="1" t="s">
        <v>12</v>
      </c>
      <c r="S16" s="17">
        <f t="shared" ref="S16:AF16" si="8">SUM(C34:C37)</f>
        <v>26</v>
      </c>
      <c r="T16" s="17">
        <f t="shared" si="8"/>
        <v>7</v>
      </c>
      <c r="U16" s="17">
        <f t="shared" si="8"/>
        <v>0</v>
      </c>
      <c r="V16" s="17">
        <f t="shared" si="8"/>
        <v>40</v>
      </c>
      <c r="W16" s="17">
        <f t="shared" si="8"/>
        <v>0</v>
      </c>
      <c r="X16" s="17">
        <f t="shared" si="8"/>
        <v>2</v>
      </c>
      <c r="Y16" s="17">
        <f t="shared" si="8"/>
        <v>2</v>
      </c>
      <c r="Z16" s="17">
        <f t="shared" si="8"/>
        <v>6</v>
      </c>
      <c r="AA16" s="17">
        <f t="shared" si="8"/>
        <v>7</v>
      </c>
      <c r="AB16" s="17">
        <f t="shared" si="8"/>
        <v>7</v>
      </c>
      <c r="AC16" s="17">
        <f t="shared" si="8"/>
        <v>59</v>
      </c>
      <c r="AD16" s="17">
        <f t="shared" si="8"/>
        <v>0</v>
      </c>
      <c r="AE16" s="31">
        <f t="shared" si="8"/>
        <v>97</v>
      </c>
      <c r="AF16" s="31">
        <f t="shared" si="8"/>
        <v>156</v>
      </c>
    </row>
    <row r="17" spans="2:32" ht="23.1" customHeight="1" x14ac:dyDescent="0.25">
      <c r="B17" s="23" t="s">
        <v>44</v>
      </c>
      <c r="C17" s="50">
        <v>5</v>
      </c>
      <c r="D17" s="50">
        <v>1</v>
      </c>
      <c r="E17" s="50">
        <v>1</v>
      </c>
      <c r="F17" s="50">
        <v>4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11</v>
      </c>
      <c r="P17" s="15">
        <f t="shared" si="1"/>
        <v>26</v>
      </c>
      <c r="R17" s="1" t="s">
        <v>13</v>
      </c>
      <c r="S17" s="17">
        <f t="shared" ref="S17:AF17" si="9">SUM(C38:C41)</f>
        <v>42</v>
      </c>
      <c r="T17" s="17">
        <f t="shared" si="9"/>
        <v>2</v>
      </c>
      <c r="U17" s="17">
        <f t="shared" si="9"/>
        <v>7</v>
      </c>
      <c r="V17" s="17">
        <f t="shared" si="9"/>
        <v>23</v>
      </c>
      <c r="W17" s="17">
        <f t="shared" si="9"/>
        <v>0</v>
      </c>
      <c r="X17" s="17">
        <f t="shared" si="9"/>
        <v>3</v>
      </c>
      <c r="Y17" s="17">
        <f t="shared" si="9"/>
        <v>4</v>
      </c>
      <c r="Z17" s="17">
        <f t="shared" si="9"/>
        <v>8</v>
      </c>
      <c r="AA17" s="17">
        <f t="shared" si="9"/>
        <v>2</v>
      </c>
      <c r="AB17" s="17">
        <f t="shared" si="9"/>
        <v>7</v>
      </c>
      <c r="AC17" s="17">
        <f t="shared" si="9"/>
        <v>45</v>
      </c>
      <c r="AD17" s="17">
        <f t="shared" si="9"/>
        <v>0</v>
      </c>
      <c r="AE17" s="31">
        <f t="shared" si="9"/>
        <v>98</v>
      </c>
      <c r="AF17" s="31">
        <f t="shared" si="9"/>
        <v>143</v>
      </c>
    </row>
    <row r="18" spans="2:32" ht="23.1" customHeight="1" x14ac:dyDescent="0.25">
      <c r="B18" s="23" t="s">
        <v>45</v>
      </c>
      <c r="C18" s="50">
        <v>8</v>
      </c>
      <c r="D18" s="50">
        <v>1</v>
      </c>
      <c r="E18" s="50">
        <v>2</v>
      </c>
      <c r="F18" s="50">
        <v>7</v>
      </c>
      <c r="G18" s="50">
        <v>0</v>
      </c>
      <c r="H18" s="50">
        <v>1</v>
      </c>
      <c r="I18" s="50">
        <v>1</v>
      </c>
      <c r="J18" s="50">
        <v>1</v>
      </c>
      <c r="K18" s="50">
        <v>0</v>
      </c>
      <c r="L18" s="50">
        <v>0</v>
      </c>
      <c r="M18" s="50">
        <v>18</v>
      </c>
      <c r="N18" s="50">
        <v>0</v>
      </c>
      <c r="O18" s="15">
        <f t="shared" si="0"/>
        <v>21</v>
      </c>
      <c r="P18" s="15">
        <f t="shared" si="1"/>
        <v>39</v>
      </c>
      <c r="R18" s="1" t="s">
        <v>14</v>
      </c>
      <c r="S18" s="17">
        <f t="shared" ref="S18:AF18" si="10">SUM(C42:C45)</f>
        <v>38</v>
      </c>
      <c r="T18" s="17">
        <f t="shared" si="10"/>
        <v>5</v>
      </c>
      <c r="U18" s="17">
        <f t="shared" si="10"/>
        <v>3</v>
      </c>
      <c r="V18" s="17">
        <f t="shared" si="10"/>
        <v>22</v>
      </c>
      <c r="W18" s="17">
        <f t="shared" si="10"/>
        <v>0</v>
      </c>
      <c r="X18" s="17">
        <f t="shared" si="10"/>
        <v>1</v>
      </c>
      <c r="Y18" s="17">
        <f t="shared" si="10"/>
        <v>3</v>
      </c>
      <c r="Z18" s="17">
        <f t="shared" si="10"/>
        <v>0</v>
      </c>
      <c r="AA18" s="17">
        <f t="shared" si="10"/>
        <v>8</v>
      </c>
      <c r="AB18" s="17">
        <f t="shared" si="10"/>
        <v>15</v>
      </c>
      <c r="AC18" s="17">
        <f t="shared" si="10"/>
        <v>50</v>
      </c>
      <c r="AD18" s="17">
        <f t="shared" si="10"/>
        <v>0</v>
      </c>
      <c r="AE18" s="31">
        <f t="shared" si="10"/>
        <v>95</v>
      </c>
      <c r="AF18" s="31">
        <f t="shared" si="10"/>
        <v>145</v>
      </c>
    </row>
    <row r="19" spans="2:32" ht="23.1" customHeight="1" x14ac:dyDescent="0.25">
      <c r="B19" s="23" t="s">
        <v>46</v>
      </c>
      <c r="C19" s="50">
        <v>3</v>
      </c>
      <c r="D19" s="50">
        <v>0</v>
      </c>
      <c r="E19" s="50">
        <v>0</v>
      </c>
      <c r="F19" s="50">
        <v>4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2</v>
      </c>
      <c r="M19" s="50">
        <v>11</v>
      </c>
      <c r="N19" s="50">
        <v>0</v>
      </c>
      <c r="O19" s="15">
        <f t="shared" si="0"/>
        <v>10</v>
      </c>
      <c r="P19" s="15">
        <f t="shared" si="1"/>
        <v>21</v>
      </c>
      <c r="R19" s="1" t="s">
        <v>15</v>
      </c>
      <c r="S19" s="17">
        <f t="shared" ref="S19:AF19" si="11">SUM(C46:C49)</f>
        <v>46</v>
      </c>
      <c r="T19" s="17">
        <f t="shared" si="11"/>
        <v>3</v>
      </c>
      <c r="U19" s="17">
        <f t="shared" si="11"/>
        <v>4</v>
      </c>
      <c r="V19" s="17">
        <f t="shared" si="11"/>
        <v>12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3</v>
      </c>
      <c r="AA19" s="17">
        <f t="shared" si="11"/>
        <v>5</v>
      </c>
      <c r="AB19" s="17">
        <f t="shared" si="11"/>
        <v>12</v>
      </c>
      <c r="AC19" s="17">
        <f t="shared" si="11"/>
        <v>56</v>
      </c>
      <c r="AD19" s="17">
        <f t="shared" si="11"/>
        <v>0</v>
      </c>
      <c r="AE19" s="31">
        <f t="shared" si="11"/>
        <v>96</v>
      </c>
      <c r="AF19" s="31">
        <f t="shared" si="11"/>
        <v>152</v>
      </c>
    </row>
    <row r="20" spans="2:32" ht="23.1" customHeight="1" x14ac:dyDescent="0.25">
      <c r="B20" s="23" t="s">
        <v>47</v>
      </c>
      <c r="C20" s="50">
        <v>6</v>
      </c>
      <c r="D20" s="50">
        <v>2</v>
      </c>
      <c r="E20" s="50">
        <v>0</v>
      </c>
      <c r="F20" s="50">
        <v>6</v>
      </c>
      <c r="G20" s="50">
        <v>0</v>
      </c>
      <c r="H20" s="50">
        <v>1</v>
      </c>
      <c r="I20" s="50">
        <v>1</v>
      </c>
      <c r="J20" s="50">
        <v>0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16</v>
      </c>
      <c r="P20" s="15">
        <f t="shared" si="1"/>
        <v>29</v>
      </c>
      <c r="R20" s="1" t="s">
        <v>16</v>
      </c>
      <c r="S20" s="17">
        <f t="shared" ref="S20:AF20" si="12">SUM(C50:C53)</f>
        <v>30</v>
      </c>
      <c r="T20" s="17">
        <f t="shared" si="12"/>
        <v>5</v>
      </c>
      <c r="U20" s="17">
        <f t="shared" si="12"/>
        <v>2</v>
      </c>
      <c r="V20" s="17">
        <f t="shared" si="12"/>
        <v>34</v>
      </c>
      <c r="W20" s="17">
        <f t="shared" si="12"/>
        <v>1</v>
      </c>
      <c r="X20" s="17">
        <f t="shared" si="12"/>
        <v>1</v>
      </c>
      <c r="Y20" s="17">
        <f t="shared" si="12"/>
        <v>11</v>
      </c>
      <c r="Z20" s="17">
        <f t="shared" si="12"/>
        <v>4</v>
      </c>
      <c r="AA20" s="17">
        <f t="shared" si="12"/>
        <v>1</v>
      </c>
      <c r="AB20" s="17">
        <f t="shared" si="12"/>
        <v>3</v>
      </c>
      <c r="AC20" s="17">
        <f t="shared" si="12"/>
        <v>37</v>
      </c>
      <c r="AD20" s="17">
        <f t="shared" si="12"/>
        <v>0</v>
      </c>
      <c r="AE20" s="31">
        <f t="shared" si="12"/>
        <v>92</v>
      </c>
      <c r="AF20" s="31">
        <f t="shared" si="12"/>
        <v>129</v>
      </c>
    </row>
    <row r="21" spans="2:32" ht="23.1" customHeight="1" x14ac:dyDescent="0.25">
      <c r="B21" s="23" t="s">
        <v>48</v>
      </c>
      <c r="C21" s="50">
        <v>8</v>
      </c>
      <c r="D21" s="50">
        <v>1</v>
      </c>
      <c r="E21" s="50">
        <v>0</v>
      </c>
      <c r="F21" s="50">
        <v>13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22</v>
      </c>
      <c r="N21" s="50">
        <v>0</v>
      </c>
      <c r="O21" s="15">
        <f t="shared" si="0"/>
        <v>23</v>
      </c>
      <c r="P21" s="15">
        <f t="shared" si="1"/>
        <v>45</v>
      </c>
      <c r="R21" s="36" t="s">
        <v>20</v>
      </c>
      <c r="S21" s="34">
        <f t="shared" ref="S21:AF21" si="13">SUM(C54:C57)</f>
        <v>43</v>
      </c>
      <c r="T21" s="17">
        <f t="shared" si="13"/>
        <v>7</v>
      </c>
      <c r="U21" s="17">
        <f t="shared" si="13"/>
        <v>6</v>
      </c>
      <c r="V21" s="17">
        <f t="shared" si="13"/>
        <v>29</v>
      </c>
      <c r="W21" s="17">
        <f t="shared" si="13"/>
        <v>0</v>
      </c>
      <c r="X21" s="17">
        <f t="shared" si="13"/>
        <v>1</v>
      </c>
      <c r="Y21" s="17">
        <f t="shared" si="13"/>
        <v>11</v>
      </c>
      <c r="Z21" s="17">
        <f t="shared" si="13"/>
        <v>1</v>
      </c>
      <c r="AA21" s="17">
        <f t="shared" si="13"/>
        <v>1</v>
      </c>
      <c r="AB21" s="17">
        <f t="shared" si="13"/>
        <v>2</v>
      </c>
      <c r="AC21" s="17">
        <f t="shared" si="13"/>
        <v>38</v>
      </c>
      <c r="AD21" s="17">
        <f t="shared" si="13"/>
        <v>0</v>
      </c>
      <c r="AE21" s="31">
        <f t="shared" si="13"/>
        <v>101</v>
      </c>
      <c r="AF21" s="31">
        <f t="shared" si="13"/>
        <v>139</v>
      </c>
    </row>
    <row r="22" spans="2:32" ht="23.1" customHeight="1" x14ac:dyDescent="0.25">
      <c r="B22" s="23" t="s">
        <v>49</v>
      </c>
      <c r="C22" s="50">
        <v>7</v>
      </c>
      <c r="D22" s="50">
        <v>0</v>
      </c>
      <c r="E22" s="50">
        <v>1</v>
      </c>
      <c r="F22" s="50">
        <v>2</v>
      </c>
      <c r="G22" s="50">
        <v>0</v>
      </c>
      <c r="H22" s="50">
        <v>2</v>
      </c>
      <c r="I22" s="50">
        <v>0</v>
      </c>
      <c r="J22" s="50">
        <v>0</v>
      </c>
      <c r="K22" s="50">
        <v>0</v>
      </c>
      <c r="L22" s="50">
        <v>5</v>
      </c>
      <c r="M22" s="50">
        <v>7</v>
      </c>
      <c r="N22" s="50">
        <v>0</v>
      </c>
      <c r="O22" s="15">
        <f t="shared" si="0"/>
        <v>17</v>
      </c>
      <c r="P22" s="15">
        <f t="shared" si="1"/>
        <v>24</v>
      </c>
      <c r="R22" s="38" t="s">
        <v>90</v>
      </c>
      <c r="S22" s="39">
        <f>MAX(S10:S12)</f>
        <v>25</v>
      </c>
      <c r="T22" s="39">
        <f t="shared" ref="T22:AF22" si="14">MAX(T10:T12)</f>
        <v>4</v>
      </c>
      <c r="U22" s="39">
        <f t="shared" si="14"/>
        <v>2</v>
      </c>
      <c r="V22" s="39">
        <f t="shared" si="14"/>
        <v>30</v>
      </c>
      <c r="W22" s="39">
        <f t="shared" si="14"/>
        <v>1</v>
      </c>
      <c r="X22" s="39">
        <f t="shared" si="14"/>
        <v>2</v>
      </c>
      <c r="Y22" s="39">
        <f t="shared" si="14"/>
        <v>6</v>
      </c>
      <c r="Z22" s="39">
        <f t="shared" si="14"/>
        <v>3</v>
      </c>
      <c r="AA22" s="39">
        <f t="shared" si="14"/>
        <v>2</v>
      </c>
      <c r="AB22" s="39">
        <f t="shared" si="14"/>
        <v>3</v>
      </c>
      <c r="AC22" s="39">
        <f t="shared" si="14"/>
        <v>64</v>
      </c>
      <c r="AD22" s="39">
        <f t="shared" si="14"/>
        <v>0</v>
      </c>
      <c r="AE22" s="40">
        <f t="shared" si="14"/>
        <v>70</v>
      </c>
      <c r="AF22" s="40">
        <f t="shared" si="14"/>
        <v>134</v>
      </c>
    </row>
    <row r="23" spans="2:32" ht="23.1" customHeight="1" x14ac:dyDescent="0.25">
      <c r="B23" s="23" t="s">
        <v>50</v>
      </c>
      <c r="C23" s="50">
        <v>16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4</v>
      </c>
      <c r="M23" s="50">
        <v>15</v>
      </c>
      <c r="N23" s="50">
        <v>0</v>
      </c>
      <c r="O23" s="15">
        <f t="shared" si="0"/>
        <v>22</v>
      </c>
      <c r="P23" s="15">
        <f t="shared" si="1"/>
        <v>37</v>
      </c>
      <c r="R23" s="38" t="s">
        <v>91</v>
      </c>
      <c r="S23" s="39">
        <f>MAX(S13:S18)</f>
        <v>42</v>
      </c>
      <c r="T23" s="39">
        <f t="shared" ref="T23:AF23" si="15">MAX(T13:T18)</f>
        <v>13</v>
      </c>
      <c r="U23" s="39">
        <f t="shared" si="15"/>
        <v>8</v>
      </c>
      <c r="V23" s="39">
        <f t="shared" si="15"/>
        <v>41</v>
      </c>
      <c r="W23" s="39">
        <f t="shared" si="15"/>
        <v>0</v>
      </c>
      <c r="X23" s="39">
        <f t="shared" si="15"/>
        <v>10</v>
      </c>
      <c r="Y23" s="39">
        <f t="shared" si="15"/>
        <v>6</v>
      </c>
      <c r="Z23" s="39">
        <f t="shared" si="15"/>
        <v>8</v>
      </c>
      <c r="AA23" s="39">
        <f t="shared" si="15"/>
        <v>8</v>
      </c>
      <c r="AB23" s="39">
        <f t="shared" si="15"/>
        <v>15</v>
      </c>
      <c r="AC23" s="39">
        <f t="shared" si="15"/>
        <v>72</v>
      </c>
      <c r="AD23" s="39">
        <f t="shared" si="15"/>
        <v>0</v>
      </c>
      <c r="AE23" s="40">
        <f t="shared" si="15"/>
        <v>118</v>
      </c>
      <c r="AF23" s="40">
        <f t="shared" si="15"/>
        <v>187</v>
      </c>
    </row>
    <row r="24" spans="2:32" ht="23.1" customHeight="1" x14ac:dyDescent="0.25">
      <c r="B24" s="23" t="s">
        <v>51</v>
      </c>
      <c r="C24" s="50">
        <v>5</v>
      </c>
      <c r="D24" s="50">
        <v>2</v>
      </c>
      <c r="E24" s="50">
        <v>0</v>
      </c>
      <c r="F24" s="50">
        <v>2</v>
      </c>
      <c r="G24" s="50">
        <v>0</v>
      </c>
      <c r="H24" s="50">
        <v>0</v>
      </c>
      <c r="I24" s="50">
        <v>3</v>
      </c>
      <c r="J24" s="50">
        <v>0</v>
      </c>
      <c r="K24" s="50">
        <v>2</v>
      </c>
      <c r="L24" s="50">
        <v>0</v>
      </c>
      <c r="M24" s="50">
        <v>15</v>
      </c>
      <c r="N24" s="50">
        <v>0</v>
      </c>
      <c r="O24" s="15">
        <f t="shared" si="0"/>
        <v>14</v>
      </c>
      <c r="P24" s="15">
        <f t="shared" si="1"/>
        <v>29</v>
      </c>
      <c r="R24" s="38" t="s">
        <v>92</v>
      </c>
      <c r="S24" s="39">
        <f>MAX(S19:S21)</f>
        <v>46</v>
      </c>
      <c r="T24" s="39">
        <f t="shared" ref="T24:AF24" si="16">MAX(T19:T21)</f>
        <v>7</v>
      </c>
      <c r="U24" s="39">
        <f t="shared" si="16"/>
        <v>6</v>
      </c>
      <c r="V24" s="39">
        <f t="shared" si="16"/>
        <v>34</v>
      </c>
      <c r="W24" s="39">
        <f t="shared" si="16"/>
        <v>1</v>
      </c>
      <c r="X24" s="39">
        <f t="shared" si="16"/>
        <v>1</v>
      </c>
      <c r="Y24" s="39">
        <f t="shared" si="16"/>
        <v>11</v>
      </c>
      <c r="Z24" s="39">
        <f t="shared" si="16"/>
        <v>4</v>
      </c>
      <c r="AA24" s="39">
        <f t="shared" si="16"/>
        <v>5</v>
      </c>
      <c r="AB24" s="39">
        <f t="shared" si="16"/>
        <v>12</v>
      </c>
      <c r="AC24" s="39">
        <f t="shared" si="16"/>
        <v>56</v>
      </c>
      <c r="AD24" s="39">
        <f t="shared" si="16"/>
        <v>0</v>
      </c>
      <c r="AE24" s="40">
        <f t="shared" si="16"/>
        <v>101</v>
      </c>
      <c r="AF24" s="40">
        <f t="shared" si="16"/>
        <v>152</v>
      </c>
    </row>
    <row r="25" spans="2:32" ht="23.1" customHeight="1" x14ac:dyDescent="0.25">
      <c r="B25" s="23" t="s">
        <v>52</v>
      </c>
      <c r="C25" s="50">
        <v>13</v>
      </c>
      <c r="D25" s="50">
        <v>6</v>
      </c>
      <c r="E25" s="50">
        <v>0</v>
      </c>
      <c r="F25" s="50">
        <v>11</v>
      </c>
      <c r="G25" s="50">
        <v>0</v>
      </c>
      <c r="H25" s="50">
        <v>8</v>
      </c>
      <c r="I25" s="50">
        <v>0</v>
      </c>
      <c r="J25" s="50">
        <v>0</v>
      </c>
      <c r="K25" s="50">
        <v>1</v>
      </c>
      <c r="L25" s="50">
        <v>2</v>
      </c>
      <c r="M25" s="50">
        <v>11</v>
      </c>
      <c r="N25" s="50">
        <v>0</v>
      </c>
      <c r="O25" s="15">
        <f t="shared" si="0"/>
        <v>41</v>
      </c>
      <c r="P25" s="15">
        <f t="shared" si="1"/>
        <v>52</v>
      </c>
      <c r="R25" s="37" t="s">
        <v>85</v>
      </c>
      <c r="S25" s="35">
        <f t="shared" ref="S25:AF25" si="17">SUM(S10:S12)</f>
        <v>58</v>
      </c>
      <c r="T25" s="16">
        <f t="shared" si="17"/>
        <v>7</v>
      </c>
      <c r="U25" s="16">
        <f t="shared" si="17"/>
        <v>6</v>
      </c>
      <c r="V25" s="16">
        <f t="shared" si="17"/>
        <v>63</v>
      </c>
      <c r="W25" s="16">
        <f t="shared" si="17"/>
        <v>1</v>
      </c>
      <c r="X25" s="16">
        <f t="shared" si="17"/>
        <v>3</v>
      </c>
      <c r="Y25" s="16">
        <f t="shared" si="17"/>
        <v>14</v>
      </c>
      <c r="Z25" s="16">
        <f t="shared" si="17"/>
        <v>7</v>
      </c>
      <c r="AA25" s="16">
        <f t="shared" si="17"/>
        <v>2</v>
      </c>
      <c r="AB25" s="16">
        <f t="shared" si="17"/>
        <v>6</v>
      </c>
      <c r="AC25" s="16">
        <f t="shared" si="17"/>
        <v>164</v>
      </c>
      <c r="AD25" s="16">
        <f t="shared" si="17"/>
        <v>0</v>
      </c>
      <c r="AE25" s="32">
        <f t="shared" si="17"/>
        <v>167</v>
      </c>
      <c r="AF25" s="32">
        <f t="shared" si="17"/>
        <v>331</v>
      </c>
    </row>
    <row r="26" spans="2:32" ht="23.1" customHeight="1" x14ac:dyDescent="0.25">
      <c r="B26" s="23" t="s">
        <v>53</v>
      </c>
      <c r="C26" s="50">
        <v>11</v>
      </c>
      <c r="D26" s="50">
        <v>3</v>
      </c>
      <c r="E26" s="50">
        <v>2</v>
      </c>
      <c r="F26" s="50">
        <v>9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1</v>
      </c>
      <c r="M26" s="50">
        <v>21</v>
      </c>
      <c r="N26" s="50">
        <v>0</v>
      </c>
      <c r="O26" s="15">
        <f t="shared" si="0"/>
        <v>29</v>
      </c>
      <c r="P26" s="15">
        <f t="shared" si="1"/>
        <v>50</v>
      </c>
      <c r="R26" s="28" t="s">
        <v>86</v>
      </c>
      <c r="S26" s="16">
        <f t="shared" ref="S26:AF26" si="18">SUM(S13:S18)</f>
        <v>219</v>
      </c>
      <c r="T26" s="16">
        <f t="shared" si="18"/>
        <v>38</v>
      </c>
      <c r="U26" s="16">
        <f t="shared" si="18"/>
        <v>26</v>
      </c>
      <c r="V26" s="16">
        <f t="shared" si="18"/>
        <v>182</v>
      </c>
      <c r="W26" s="16">
        <f t="shared" si="18"/>
        <v>0</v>
      </c>
      <c r="X26" s="16">
        <f t="shared" si="18"/>
        <v>22</v>
      </c>
      <c r="Y26" s="16">
        <f t="shared" si="18"/>
        <v>23</v>
      </c>
      <c r="Z26" s="16">
        <f t="shared" si="18"/>
        <v>19</v>
      </c>
      <c r="AA26" s="16">
        <f t="shared" si="18"/>
        <v>25</v>
      </c>
      <c r="AB26" s="16">
        <f t="shared" si="18"/>
        <v>61</v>
      </c>
      <c r="AC26" s="16">
        <f t="shared" si="18"/>
        <v>343</v>
      </c>
      <c r="AD26" s="16">
        <f t="shared" si="18"/>
        <v>0</v>
      </c>
      <c r="AE26" s="32">
        <f t="shared" si="18"/>
        <v>615</v>
      </c>
      <c r="AF26" s="32">
        <f t="shared" si="18"/>
        <v>958</v>
      </c>
    </row>
    <row r="27" spans="2:32" ht="23.1" customHeight="1" x14ac:dyDescent="0.25">
      <c r="B27" s="23" t="s">
        <v>54</v>
      </c>
      <c r="C27" s="50">
        <v>10</v>
      </c>
      <c r="D27" s="50">
        <v>7</v>
      </c>
      <c r="E27" s="50">
        <v>4</v>
      </c>
      <c r="F27" s="50">
        <v>5</v>
      </c>
      <c r="G27" s="50">
        <v>0</v>
      </c>
      <c r="H27" s="50">
        <v>2</v>
      </c>
      <c r="I27" s="50">
        <v>1</v>
      </c>
      <c r="J27" s="50">
        <v>4</v>
      </c>
      <c r="K27" s="50">
        <v>1</v>
      </c>
      <c r="L27" s="50">
        <v>2</v>
      </c>
      <c r="M27" s="50">
        <v>16</v>
      </c>
      <c r="N27" s="50">
        <v>0</v>
      </c>
      <c r="O27" s="15">
        <f t="shared" si="0"/>
        <v>36</v>
      </c>
      <c r="P27" s="15">
        <f t="shared" si="1"/>
        <v>52</v>
      </c>
      <c r="R27" s="29" t="s">
        <v>87</v>
      </c>
      <c r="S27" s="16">
        <f t="shared" ref="S27:AF27" si="19">SUM(S19:S21)</f>
        <v>119</v>
      </c>
      <c r="T27" s="16">
        <f t="shared" si="19"/>
        <v>15</v>
      </c>
      <c r="U27" s="16">
        <f t="shared" si="19"/>
        <v>12</v>
      </c>
      <c r="V27" s="16">
        <f t="shared" si="19"/>
        <v>75</v>
      </c>
      <c r="W27" s="16">
        <f t="shared" si="19"/>
        <v>1</v>
      </c>
      <c r="X27" s="16">
        <f t="shared" si="19"/>
        <v>2</v>
      </c>
      <c r="Y27" s="16">
        <f t="shared" si="19"/>
        <v>33</v>
      </c>
      <c r="Z27" s="16">
        <f t="shared" si="19"/>
        <v>8</v>
      </c>
      <c r="AA27" s="16">
        <f t="shared" si="19"/>
        <v>7</v>
      </c>
      <c r="AB27" s="16">
        <f t="shared" si="19"/>
        <v>17</v>
      </c>
      <c r="AC27" s="16">
        <f t="shared" si="19"/>
        <v>131</v>
      </c>
      <c r="AD27" s="16">
        <f t="shared" si="19"/>
        <v>0</v>
      </c>
      <c r="AE27" s="32">
        <f t="shared" si="19"/>
        <v>289</v>
      </c>
      <c r="AF27" s="32">
        <f t="shared" si="19"/>
        <v>420</v>
      </c>
    </row>
    <row r="28" spans="2:32" ht="23.1" customHeight="1" x14ac:dyDescent="0.25">
      <c r="B28" s="23" t="s">
        <v>55</v>
      </c>
      <c r="C28" s="50">
        <v>7</v>
      </c>
      <c r="D28" s="50">
        <v>1</v>
      </c>
      <c r="E28" s="50">
        <v>2</v>
      </c>
      <c r="F28" s="50">
        <v>15</v>
      </c>
      <c r="G28" s="50">
        <v>0</v>
      </c>
      <c r="H28" s="50">
        <v>2</v>
      </c>
      <c r="I28" s="50">
        <v>0</v>
      </c>
      <c r="J28" s="50">
        <v>0</v>
      </c>
      <c r="K28" s="50">
        <v>0</v>
      </c>
      <c r="L28" s="50">
        <v>3</v>
      </c>
      <c r="M28" s="50">
        <v>16</v>
      </c>
      <c r="N28" s="50">
        <v>0</v>
      </c>
      <c r="O28" s="15">
        <f t="shared" si="0"/>
        <v>30</v>
      </c>
      <c r="P28" s="15">
        <f t="shared" si="1"/>
        <v>46</v>
      </c>
      <c r="R28" s="5" t="s">
        <v>17</v>
      </c>
      <c r="S28" s="16">
        <f t="shared" ref="S28:AF28" si="20">SUM(S10:S21)</f>
        <v>396</v>
      </c>
      <c r="T28" s="16">
        <f t="shared" si="20"/>
        <v>60</v>
      </c>
      <c r="U28" s="16">
        <f t="shared" si="20"/>
        <v>44</v>
      </c>
      <c r="V28" s="16">
        <f t="shared" si="20"/>
        <v>320</v>
      </c>
      <c r="W28" s="16">
        <f t="shared" si="20"/>
        <v>2</v>
      </c>
      <c r="X28" s="16">
        <f t="shared" si="20"/>
        <v>27</v>
      </c>
      <c r="Y28" s="16">
        <f t="shared" si="20"/>
        <v>70</v>
      </c>
      <c r="Z28" s="16">
        <f t="shared" si="20"/>
        <v>34</v>
      </c>
      <c r="AA28" s="16">
        <f t="shared" si="20"/>
        <v>34</v>
      </c>
      <c r="AB28" s="16">
        <f t="shared" si="20"/>
        <v>84</v>
      </c>
      <c r="AC28" s="16">
        <f t="shared" si="20"/>
        <v>638</v>
      </c>
      <c r="AD28" s="16">
        <f t="shared" si="20"/>
        <v>0</v>
      </c>
      <c r="AE28" s="32">
        <f t="shared" si="20"/>
        <v>1071</v>
      </c>
      <c r="AF28" s="32">
        <f t="shared" si="20"/>
        <v>1709</v>
      </c>
    </row>
    <row r="29" spans="2:32" ht="23.1" customHeight="1" x14ac:dyDescent="0.25">
      <c r="B29" s="23" t="s">
        <v>56</v>
      </c>
      <c r="C29" s="50">
        <v>4</v>
      </c>
      <c r="D29" s="50">
        <v>2</v>
      </c>
      <c r="E29" s="50">
        <v>0</v>
      </c>
      <c r="F29" s="50">
        <v>10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6</v>
      </c>
      <c r="M29" s="50">
        <v>16</v>
      </c>
      <c r="N29" s="50">
        <v>0</v>
      </c>
      <c r="O29" s="15">
        <f t="shared" si="0"/>
        <v>23</v>
      </c>
      <c r="P29" s="15">
        <f t="shared" si="1"/>
        <v>39</v>
      </c>
      <c r="R29"/>
      <c r="S29" s="20"/>
      <c r="T29" s="19"/>
    </row>
    <row r="30" spans="2:32" ht="23.1" customHeight="1" x14ac:dyDescent="0.25">
      <c r="B30" s="23" t="s">
        <v>57</v>
      </c>
      <c r="C30" s="50">
        <v>8</v>
      </c>
      <c r="D30" s="50">
        <v>0</v>
      </c>
      <c r="E30" s="50">
        <v>2</v>
      </c>
      <c r="F30" s="50">
        <v>9</v>
      </c>
      <c r="G30" s="50">
        <v>0</v>
      </c>
      <c r="H30" s="50">
        <v>1</v>
      </c>
      <c r="I30" s="50">
        <v>2</v>
      </c>
      <c r="J30" s="50">
        <v>1</v>
      </c>
      <c r="K30" s="50">
        <v>4</v>
      </c>
      <c r="L30" s="50">
        <v>2</v>
      </c>
      <c r="M30" s="50">
        <v>29</v>
      </c>
      <c r="N30" s="50">
        <v>0</v>
      </c>
      <c r="O30" s="15">
        <f t="shared" si="0"/>
        <v>29</v>
      </c>
      <c r="P30" s="15">
        <f t="shared" si="1"/>
        <v>58</v>
      </c>
    </row>
    <row r="31" spans="2:32" ht="23.1" customHeight="1" x14ac:dyDescent="0.25">
      <c r="B31" s="24" t="s">
        <v>58</v>
      </c>
      <c r="C31" s="50">
        <v>12</v>
      </c>
      <c r="D31" s="50">
        <v>0</v>
      </c>
      <c r="E31" s="50">
        <v>1</v>
      </c>
      <c r="F31" s="50">
        <v>18</v>
      </c>
      <c r="G31" s="50">
        <v>0</v>
      </c>
      <c r="H31" s="50">
        <v>1</v>
      </c>
      <c r="I31" s="50">
        <v>0</v>
      </c>
      <c r="J31" s="50">
        <v>0</v>
      </c>
      <c r="K31" s="50">
        <v>0</v>
      </c>
      <c r="L31" s="50">
        <v>6</v>
      </c>
      <c r="M31" s="50">
        <v>14</v>
      </c>
      <c r="N31" s="50">
        <v>0</v>
      </c>
      <c r="O31" s="15">
        <f t="shared" si="0"/>
        <v>38</v>
      </c>
      <c r="P31" s="15">
        <f t="shared" si="1"/>
        <v>52</v>
      </c>
    </row>
    <row r="32" spans="2:32" ht="23.1" customHeight="1" x14ac:dyDescent="0.25">
      <c r="B32" s="24" t="s">
        <v>59</v>
      </c>
      <c r="C32" s="50">
        <v>15</v>
      </c>
      <c r="D32" s="50">
        <v>0</v>
      </c>
      <c r="E32" s="50">
        <v>3</v>
      </c>
      <c r="F32" s="50">
        <v>7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1</v>
      </c>
      <c r="M32" s="50">
        <v>16</v>
      </c>
      <c r="N32" s="50">
        <v>0</v>
      </c>
      <c r="O32" s="15">
        <f t="shared" si="0"/>
        <v>30</v>
      </c>
      <c r="P32" s="15">
        <f t="shared" si="1"/>
        <v>46</v>
      </c>
    </row>
    <row r="33" spans="2:20" ht="23.1" customHeight="1" x14ac:dyDescent="0.25">
      <c r="B33" s="23" t="s">
        <v>60</v>
      </c>
      <c r="C33" s="50">
        <v>5</v>
      </c>
      <c r="D33" s="50">
        <v>3</v>
      </c>
      <c r="E33" s="50">
        <v>1</v>
      </c>
      <c r="F33" s="50">
        <v>7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16</v>
      </c>
      <c r="P33" s="15">
        <f t="shared" si="1"/>
        <v>29</v>
      </c>
    </row>
    <row r="34" spans="2:20" ht="23.1" customHeight="1" x14ac:dyDescent="0.25">
      <c r="B34" s="24" t="s">
        <v>61</v>
      </c>
      <c r="C34" s="50">
        <v>7</v>
      </c>
      <c r="D34" s="50">
        <v>2</v>
      </c>
      <c r="E34" s="50">
        <v>0</v>
      </c>
      <c r="F34" s="50">
        <v>8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19</v>
      </c>
      <c r="N34" s="50">
        <v>0</v>
      </c>
      <c r="O34" s="15">
        <f t="shared" si="0"/>
        <v>17</v>
      </c>
      <c r="P34" s="15">
        <f t="shared" si="1"/>
        <v>36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6</v>
      </c>
      <c r="G35" s="50">
        <v>0</v>
      </c>
      <c r="H35" s="50">
        <v>1</v>
      </c>
      <c r="I35" s="50">
        <v>2</v>
      </c>
      <c r="J35" s="50">
        <v>0</v>
      </c>
      <c r="K35" s="50">
        <v>0</v>
      </c>
      <c r="L35" s="50">
        <v>3</v>
      </c>
      <c r="M35" s="50">
        <v>8</v>
      </c>
      <c r="N35" s="50">
        <v>0</v>
      </c>
      <c r="O35" s="15">
        <f t="shared" si="0"/>
        <v>13</v>
      </c>
      <c r="P35" s="15">
        <f t="shared" si="1"/>
        <v>21</v>
      </c>
    </row>
    <row r="36" spans="2:20" ht="23.1" customHeight="1" x14ac:dyDescent="0.25">
      <c r="B36" s="24" t="s">
        <v>63</v>
      </c>
      <c r="C36" s="50">
        <v>7</v>
      </c>
      <c r="D36" s="50">
        <v>3</v>
      </c>
      <c r="E36" s="50">
        <v>0</v>
      </c>
      <c r="F36" s="50">
        <v>14</v>
      </c>
      <c r="G36" s="50">
        <v>0</v>
      </c>
      <c r="H36" s="50">
        <v>0</v>
      </c>
      <c r="I36" s="50">
        <v>0</v>
      </c>
      <c r="J36" s="50">
        <v>6</v>
      </c>
      <c r="K36" s="50">
        <v>5</v>
      </c>
      <c r="L36" s="50">
        <v>2</v>
      </c>
      <c r="M36" s="50">
        <v>15</v>
      </c>
      <c r="N36" s="50">
        <v>0</v>
      </c>
      <c r="O36" s="15">
        <f t="shared" si="0"/>
        <v>37</v>
      </c>
      <c r="P36" s="15">
        <f t="shared" si="1"/>
        <v>52</v>
      </c>
    </row>
    <row r="37" spans="2:20" ht="23.1" customHeight="1" x14ac:dyDescent="0.25">
      <c r="B37" s="23" t="s">
        <v>64</v>
      </c>
      <c r="C37" s="50">
        <v>11</v>
      </c>
      <c r="D37" s="50">
        <v>2</v>
      </c>
      <c r="E37" s="50">
        <v>0</v>
      </c>
      <c r="F37" s="50">
        <v>12</v>
      </c>
      <c r="G37" s="50">
        <v>0</v>
      </c>
      <c r="H37" s="50">
        <v>1</v>
      </c>
      <c r="I37" s="50">
        <v>0</v>
      </c>
      <c r="J37" s="50">
        <v>0</v>
      </c>
      <c r="K37" s="50">
        <v>2</v>
      </c>
      <c r="L37" s="50">
        <v>2</v>
      </c>
      <c r="M37" s="50">
        <v>17</v>
      </c>
      <c r="N37" s="50">
        <v>0</v>
      </c>
      <c r="O37" s="15">
        <f t="shared" si="0"/>
        <v>30</v>
      </c>
      <c r="P37" s="15">
        <f t="shared" si="1"/>
        <v>47</v>
      </c>
    </row>
    <row r="38" spans="2:20" ht="23.1" customHeight="1" x14ac:dyDescent="0.25">
      <c r="B38" s="24" t="s">
        <v>65</v>
      </c>
      <c r="C38" s="50">
        <v>10</v>
      </c>
      <c r="D38" s="50">
        <v>0</v>
      </c>
      <c r="E38" s="50">
        <v>1</v>
      </c>
      <c r="F38" s="50">
        <v>6</v>
      </c>
      <c r="G38" s="50">
        <v>0</v>
      </c>
      <c r="H38" s="50">
        <v>0</v>
      </c>
      <c r="I38" s="50">
        <v>0</v>
      </c>
      <c r="J38" s="50">
        <v>4</v>
      </c>
      <c r="K38" s="50">
        <v>1</v>
      </c>
      <c r="L38" s="50">
        <v>0</v>
      </c>
      <c r="M38" s="50">
        <v>19</v>
      </c>
      <c r="N38" s="50">
        <v>0</v>
      </c>
      <c r="O38" s="15">
        <f t="shared" si="0"/>
        <v>22</v>
      </c>
      <c r="P38" s="15">
        <f t="shared" si="1"/>
        <v>41</v>
      </c>
    </row>
    <row r="39" spans="2:20" ht="23.1" customHeight="1" x14ac:dyDescent="0.25">
      <c r="B39" s="24" t="s">
        <v>66</v>
      </c>
      <c r="C39" s="50">
        <v>8</v>
      </c>
      <c r="D39" s="50">
        <v>2</v>
      </c>
      <c r="E39" s="50">
        <v>0</v>
      </c>
      <c r="F39" s="50">
        <v>8</v>
      </c>
      <c r="G39" s="50">
        <v>0</v>
      </c>
      <c r="H39" s="50">
        <v>1</v>
      </c>
      <c r="I39" s="50">
        <v>2</v>
      </c>
      <c r="J39" s="50">
        <v>0</v>
      </c>
      <c r="K39" s="50">
        <v>0</v>
      </c>
      <c r="L39" s="50">
        <v>0</v>
      </c>
      <c r="M39" s="50">
        <v>9</v>
      </c>
      <c r="N39" s="50">
        <v>0</v>
      </c>
      <c r="O39" s="15">
        <f t="shared" si="0"/>
        <v>21</v>
      </c>
      <c r="P39" s="15">
        <f t="shared" si="1"/>
        <v>30</v>
      </c>
    </row>
    <row r="40" spans="2:20" ht="23.1" customHeight="1" x14ac:dyDescent="0.25">
      <c r="B40" s="24" t="s">
        <v>67</v>
      </c>
      <c r="C40" s="50">
        <v>16</v>
      </c>
      <c r="D40" s="50">
        <v>0</v>
      </c>
      <c r="E40" s="50">
        <v>4</v>
      </c>
      <c r="F40" s="50">
        <v>6</v>
      </c>
      <c r="G40" s="50">
        <v>0</v>
      </c>
      <c r="H40" s="50">
        <v>1</v>
      </c>
      <c r="I40" s="50">
        <v>2</v>
      </c>
      <c r="J40" s="50">
        <v>2</v>
      </c>
      <c r="K40" s="50">
        <v>1</v>
      </c>
      <c r="L40" s="50">
        <v>2</v>
      </c>
      <c r="M40" s="50">
        <v>17</v>
      </c>
      <c r="N40" s="50">
        <v>0</v>
      </c>
      <c r="O40" s="15">
        <f t="shared" si="0"/>
        <v>34</v>
      </c>
      <c r="P40" s="15">
        <f t="shared" si="1"/>
        <v>51</v>
      </c>
    </row>
    <row r="41" spans="2:20" ht="23.1" customHeight="1" x14ac:dyDescent="0.25">
      <c r="B41" s="23" t="s">
        <v>68</v>
      </c>
      <c r="C41" s="50">
        <v>8</v>
      </c>
      <c r="D41" s="50">
        <v>0</v>
      </c>
      <c r="E41" s="50">
        <v>2</v>
      </c>
      <c r="F41" s="50">
        <v>3</v>
      </c>
      <c r="G41" s="50">
        <v>0</v>
      </c>
      <c r="H41" s="50">
        <v>1</v>
      </c>
      <c r="I41" s="50">
        <v>0</v>
      </c>
      <c r="J41" s="50">
        <v>2</v>
      </c>
      <c r="K41" s="50">
        <v>0</v>
      </c>
      <c r="L41" s="50">
        <v>5</v>
      </c>
      <c r="M41" s="50">
        <v>0</v>
      </c>
      <c r="N41" s="50">
        <v>0</v>
      </c>
      <c r="O41" s="15">
        <f t="shared" si="0"/>
        <v>21</v>
      </c>
      <c r="P41" s="15">
        <f t="shared" si="1"/>
        <v>21</v>
      </c>
    </row>
    <row r="42" spans="2:20" ht="23.1" customHeight="1" x14ac:dyDescent="0.25">
      <c r="B42" s="24" t="s">
        <v>69</v>
      </c>
      <c r="C42" s="50">
        <v>5</v>
      </c>
      <c r="D42" s="50">
        <v>1</v>
      </c>
      <c r="E42" s="50">
        <v>1</v>
      </c>
      <c r="F42" s="50">
        <v>2</v>
      </c>
      <c r="G42" s="50">
        <v>0</v>
      </c>
      <c r="H42" s="50">
        <v>1</v>
      </c>
      <c r="I42" s="50">
        <v>0</v>
      </c>
      <c r="J42" s="50">
        <v>0</v>
      </c>
      <c r="K42" s="50">
        <v>1</v>
      </c>
      <c r="L42" s="50">
        <v>6</v>
      </c>
      <c r="M42" s="50">
        <v>13</v>
      </c>
      <c r="N42" s="50">
        <v>0</v>
      </c>
      <c r="O42" s="15">
        <f t="shared" si="0"/>
        <v>17</v>
      </c>
      <c r="P42" s="15">
        <f t="shared" si="1"/>
        <v>30</v>
      </c>
    </row>
    <row r="43" spans="2:20" ht="23.1" customHeight="1" x14ac:dyDescent="0.25">
      <c r="B43" s="23" t="s">
        <v>70</v>
      </c>
      <c r="C43" s="50">
        <v>9</v>
      </c>
      <c r="D43" s="50">
        <v>0</v>
      </c>
      <c r="E43" s="50">
        <v>0</v>
      </c>
      <c r="F43" s="50">
        <v>11</v>
      </c>
      <c r="G43" s="50">
        <v>0</v>
      </c>
      <c r="H43" s="50">
        <v>0</v>
      </c>
      <c r="I43" s="50">
        <v>1</v>
      </c>
      <c r="J43" s="50">
        <v>0</v>
      </c>
      <c r="K43" s="50">
        <v>2</v>
      </c>
      <c r="L43" s="50">
        <v>4</v>
      </c>
      <c r="M43" s="50">
        <v>16</v>
      </c>
      <c r="N43" s="50">
        <v>0</v>
      </c>
      <c r="O43" s="15">
        <f t="shared" si="0"/>
        <v>27</v>
      </c>
      <c r="P43" s="15">
        <f t="shared" si="1"/>
        <v>43</v>
      </c>
    </row>
    <row r="44" spans="2:20" ht="23.1" customHeight="1" x14ac:dyDescent="0.25">
      <c r="B44" s="25" t="s">
        <v>71</v>
      </c>
      <c r="C44" s="50">
        <v>15</v>
      </c>
      <c r="D44" s="50">
        <v>4</v>
      </c>
      <c r="E44" s="50">
        <v>1</v>
      </c>
      <c r="F44" s="50">
        <v>6</v>
      </c>
      <c r="G44" s="50">
        <v>0</v>
      </c>
      <c r="H44" s="50">
        <v>0</v>
      </c>
      <c r="I44" s="50">
        <v>2</v>
      </c>
      <c r="J44" s="50">
        <v>0</v>
      </c>
      <c r="K44" s="50">
        <v>3</v>
      </c>
      <c r="L44" s="50">
        <v>2</v>
      </c>
      <c r="M44" s="50">
        <v>12</v>
      </c>
      <c r="N44" s="50">
        <v>0</v>
      </c>
      <c r="O44" s="15">
        <f t="shared" si="0"/>
        <v>33</v>
      </c>
      <c r="P44" s="15">
        <f t="shared" si="1"/>
        <v>45</v>
      </c>
    </row>
    <row r="45" spans="2:20" ht="23.1" customHeight="1" x14ac:dyDescent="0.25">
      <c r="B45" s="23" t="s">
        <v>72</v>
      </c>
      <c r="C45" s="50">
        <v>9</v>
      </c>
      <c r="D45" s="50">
        <v>0</v>
      </c>
      <c r="E45" s="50">
        <v>1</v>
      </c>
      <c r="F45" s="50">
        <v>3</v>
      </c>
      <c r="G45" s="50">
        <v>0</v>
      </c>
      <c r="H45" s="50">
        <v>0</v>
      </c>
      <c r="I45" s="50">
        <v>0</v>
      </c>
      <c r="J45" s="50">
        <v>0</v>
      </c>
      <c r="K45" s="50">
        <v>2</v>
      </c>
      <c r="L45" s="50">
        <v>3</v>
      </c>
      <c r="M45" s="50">
        <v>9</v>
      </c>
      <c r="N45" s="50">
        <v>0</v>
      </c>
      <c r="O45" s="15">
        <f t="shared" si="0"/>
        <v>18</v>
      </c>
      <c r="P45" s="15">
        <f t="shared" si="1"/>
        <v>27</v>
      </c>
    </row>
    <row r="46" spans="2:20" ht="23.1" customHeight="1" x14ac:dyDescent="0.25">
      <c r="B46" s="24" t="s">
        <v>73</v>
      </c>
      <c r="C46" s="50">
        <v>6</v>
      </c>
      <c r="D46" s="50">
        <v>0</v>
      </c>
      <c r="E46" s="50">
        <v>0</v>
      </c>
      <c r="F46" s="50">
        <v>6</v>
      </c>
      <c r="G46" s="50">
        <v>0</v>
      </c>
      <c r="H46" s="50">
        <v>0</v>
      </c>
      <c r="I46" s="50">
        <v>5</v>
      </c>
      <c r="J46" s="50">
        <v>1</v>
      </c>
      <c r="K46" s="50">
        <v>3</v>
      </c>
      <c r="L46" s="50">
        <v>8</v>
      </c>
      <c r="M46" s="50">
        <v>7</v>
      </c>
      <c r="N46" s="50">
        <v>0</v>
      </c>
      <c r="O46" s="15">
        <f t="shared" si="0"/>
        <v>29</v>
      </c>
      <c r="P46" s="15">
        <f t="shared" si="1"/>
        <v>36</v>
      </c>
      <c r="R46" s="8"/>
      <c r="T46"/>
    </row>
    <row r="47" spans="2:20" ht="23.1" customHeight="1" x14ac:dyDescent="0.25">
      <c r="B47" s="24" t="s">
        <v>74</v>
      </c>
      <c r="C47" s="50">
        <v>15</v>
      </c>
      <c r="D47" s="50">
        <v>1</v>
      </c>
      <c r="E47" s="50">
        <v>0</v>
      </c>
      <c r="F47" s="50">
        <v>3</v>
      </c>
      <c r="G47" s="50">
        <v>0</v>
      </c>
      <c r="H47" s="50">
        <v>0</v>
      </c>
      <c r="I47" s="50">
        <v>2</v>
      </c>
      <c r="J47" s="50">
        <v>0</v>
      </c>
      <c r="K47" s="50">
        <v>2</v>
      </c>
      <c r="L47" s="50">
        <v>3</v>
      </c>
      <c r="M47" s="50">
        <v>16</v>
      </c>
      <c r="N47" s="50">
        <v>0</v>
      </c>
      <c r="O47" s="15">
        <f t="shared" si="0"/>
        <v>26</v>
      </c>
      <c r="P47" s="15">
        <f t="shared" si="1"/>
        <v>42</v>
      </c>
      <c r="R47" s="8"/>
      <c r="T47"/>
    </row>
    <row r="48" spans="2:20" ht="23.1" customHeight="1" x14ac:dyDescent="0.25">
      <c r="B48" s="24" t="s">
        <v>75</v>
      </c>
      <c r="C48" s="50">
        <v>8</v>
      </c>
      <c r="D48" s="50">
        <v>1</v>
      </c>
      <c r="E48" s="50">
        <v>4</v>
      </c>
      <c r="F48" s="50">
        <v>0</v>
      </c>
      <c r="G48" s="50">
        <v>0</v>
      </c>
      <c r="H48" s="50">
        <v>0</v>
      </c>
      <c r="I48" s="50">
        <v>3</v>
      </c>
      <c r="J48" s="50">
        <v>2</v>
      </c>
      <c r="K48" s="50">
        <v>0</v>
      </c>
      <c r="L48" s="50">
        <v>0</v>
      </c>
      <c r="M48" s="50">
        <v>20</v>
      </c>
      <c r="N48" s="50">
        <v>0</v>
      </c>
      <c r="O48" s="15">
        <f t="shared" si="0"/>
        <v>18</v>
      </c>
      <c r="P48" s="15">
        <f t="shared" si="1"/>
        <v>38</v>
      </c>
      <c r="R48" s="8"/>
      <c r="T48"/>
    </row>
    <row r="49" spans="2:20" ht="23.1" customHeight="1" x14ac:dyDescent="0.25">
      <c r="B49" s="23" t="s">
        <v>76</v>
      </c>
      <c r="C49" s="50">
        <v>17</v>
      </c>
      <c r="D49" s="50">
        <v>1</v>
      </c>
      <c r="E49" s="50">
        <v>0</v>
      </c>
      <c r="F49" s="50">
        <v>3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1</v>
      </c>
      <c r="M49" s="50">
        <v>13</v>
      </c>
      <c r="N49" s="50">
        <v>0</v>
      </c>
      <c r="O49" s="15">
        <f t="shared" si="0"/>
        <v>23</v>
      </c>
      <c r="P49" s="15">
        <f t="shared" si="1"/>
        <v>36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3</v>
      </c>
      <c r="E50" s="50">
        <v>1</v>
      </c>
      <c r="F50" s="50">
        <v>7</v>
      </c>
      <c r="G50" s="50">
        <v>1</v>
      </c>
      <c r="H50" s="50">
        <v>0</v>
      </c>
      <c r="I50" s="50">
        <v>2</v>
      </c>
      <c r="J50" s="50">
        <v>4</v>
      </c>
      <c r="K50" s="50">
        <v>0</v>
      </c>
      <c r="L50" s="50">
        <v>1</v>
      </c>
      <c r="M50" s="50">
        <v>12</v>
      </c>
      <c r="N50" s="50">
        <v>0</v>
      </c>
      <c r="O50" s="15">
        <f t="shared" si="0"/>
        <v>28</v>
      </c>
      <c r="P50" s="15">
        <f t="shared" si="1"/>
        <v>40</v>
      </c>
      <c r="R50" s="8"/>
      <c r="T50"/>
    </row>
    <row r="51" spans="2:20" ht="23.1" customHeight="1" x14ac:dyDescent="0.25">
      <c r="B51" s="24" t="s">
        <v>78</v>
      </c>
      <c r="C51" s="50">
        <v>8</v>
      </c>
      <c r="D51" s="50">
        <v>1</v>
      </c>
      <c r="E51" s="50">
        <v>1</v>
      </c>
      <c r="F51" s="50">
        <v>12</v>
      </c>
      <c r="G51" s="50">
        <v>0</v>
      </c>
      <c r="H51" s="50">
        <v>1</v>
      </c>
      <c r="I51" s="50">
        <v>3</v>
      </c>
      <c r="J51" s="50">
        <v>0</v>
      </c>
      <c r="K51" s="50">
        <v>1</v>
      </c>
      <c r="L51" s="50">
        <v>1</v>
      </c>
      <c r="M51" s="50">
        <v>2</v>
      </c>
      <c r="N51" s="50">
        <v>0</v>
      </c>
      <c r="O51" s="15">
        <f t="shared" si="0"/>
        <v>28</v>
      </c>
      <c r="P51" s="15">
        <f t="shared" si="1"/>
        <v>30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0</v>
      </c>
      <c r="F52" s="50">
        <v>6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11</v>
      </c>
      <c r="P52" s="15">
        <f t="shared" si="1"/>
        <v>19</v>
      </c>
      <c r="R52" s="8"/>
      <c r="T52"/>
    </row>
    <row r="53" spans="2:20" ht="23.1" customHeight="1" x14ac:dyDescent="0.25">
      <c r="B53" s="23" t="s">
        <v>80</v>
      </c>
      <c r="C53" s="50">
        <v>10</v>
      </c>
      <c r="D53" s="50">
        <v>1</v>
      </c>
      <c r="E53" s="50">
        <v>0</v>
      </c>
      <c r="F53" s="50">
        <v>9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1</v>
      </c>
      <c r="M53" s="50">
        <v>15</v>
      </c>
      <c r="N53" s="50">
        <v>0</v>
      </c>
      <c r="O53" s="15">
        <f t="shared" si="0"/>
        <v>25</v>
      </c>
      <c r="P53" s="15">
        <f t="shared" si="1"/>
        <v>40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0</v>
      </c>
      <c r="E54" s="50">
        <v>2</v>
      </c>
      <c r="F54" s="50">
        <v>6</v>
      </c>
      <c r="G54" s="50">
        <v>0</v>
      </c>
      <c r="H54" s="50">
        <v>0</v>
      </c>
      <c r="I54" s="50">
        <v>0</v>
      </c>
      <c r="J54" s="50">
        <v>0</v>
      </c>
      <c r="K54" s="50">
        <v>1</v>
      </c>
      <c r="L54" s="50">
        <v>1</v>
      </c>
      <c r="M54" s="50">
        <v>10</v>
      </c>
      <c r="N54" s="50">
        <v>0</v>
      </c>
      <c r="O54" s="15">
        <f t="shared" si="0"/>
        <v>18</v>
      </c>
      <c r="P54" s="15">
        <f t="shared" si="1"/>
        <v>28</v>
      </c>
      <c r="R54" s="8"/>
      <c r="T54"/>
    </row>
    <row r="55" spans="2:20" ht="23.1" customHeight="1" x14ac:dyDescent="0.25">
      <c r="B55" s="23" t="s">
        <v>82</v>
      </c>
      <c r="C55" s="50">
        <v>12</v>
      </c>
      <c r="D55" s="50">
        <v>2</v>
      </c>
      <c r="E55" s="50">
        <v>0</v>
      </c>
      <c r="F55" s="50">
        <v>13</v>
      </c>
      <c r="G55" s="50">
        <v>0</v>
      </c>
      <c r="H55" s="50">
        <v>1</v>
      </c>
      <c r="I55" s="50">
        <v>1</v>
      </c>
      <c r="J55" s="50">
        <v>1</v>
      </c>
      <c r="K55" s="50">
        <v>0</v>
      </c>
      <c r="L55" s="50">
        <v>0</v>
      </c>
      <c r="M55" s="50">
        <v>7</v>
      </c>
      <c r="N55" s="50">
        <v>0</v>
      </c>
      <c r="O55" s="15">
        <f t="shared" si="0"/>
        <v>30</v>
      </c>
      <c r="P55" s="15">
        <f t="shared" si="1"/>
        <v>37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1</v>
      </c>
      <c r="E56" s="50">
        <v>1</v>
      </c>
      <c r="F56" s="50">
        <v>4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1</v>
      </c>
      <c r="M56" s="50">
        <v>13</v>
      </c>
      <c r="N56" s="50">
        <v>0</v>
      </c>
      <c r="O56" s="15">
        <f t="shared" si="0"/>
        <v>17</v>
      </c>
      <c r="P56" s="15">
        <f t="shared" si="1"/>
        <v>30</v>
      </c>
      <c r="R56" s="8"/>
      <c r="T56"/>
    </row>
    <row r="57" spans="2:20" ht="23.1" customHeight="1" x14ac:dyDescent="0.25">
      <c r="B57" s="23" t="s">
        <v>84</v>
      </c>
      <c r="C57" s="50">
        <v>16</v>
      </c>
      <c r="D57" s="50">
        <v>4</v>
      </c>
      <c r="E57" s="50">
        <v>3</v>
      </c>
      <c r="F57" s="50">
        <v>6</v>
      </c>
      <c r="G57" s="50">
        <v>0</v>
      </c>
      <c r="H57" s="50">
        <v>0</v>
      </c>
      <c r="I57" s="50">
        <v>7</v>
      </c>
      <c r="J57" s="50">
        <v>0</v>
      </c>
      <c r="K57" s="50">
        <v>0</v>
      </c>
      <c r="L57" s="50">
        <v>0</v>
      </c>
      <c r="M57" s="50">
        <v>8</v>
      </c>
      <c r="N57" s="50">
        <v>0</v>
      </c>
      <c r="O57" s="15">
        <f t="shared" si="0"/>
        <v>36</v>
      </c>
      <c r="P57" s="15">
        <f t="shared" si="1"/>
        <v>44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396</v>
      </c>
      <c r="D58" s="16">
        <f t="shared" si="21"/>
        <v>60</v>
      </c>
      <c r="E58" s="16">
        <f t="shared" si="21"/>
        <v>44</v>
      </c>
      <c r="F58" s="16">
        <f t="shared" si="21"/>
        <v>320</v>
      </c>
      <c r="G58" s="16">
        <f t="shared" si="21"/>
        <v>2</v>
      </c>
      <c r="H58" s="16">
        <f t="shared" si="21"/>
        <v>27</v>
      </c>
      <c r="I58" s="16">
        <f t="shared" si="21"/>
        <v>70</v>
      </c>
      <c r="J58" s="16">
        <f t="shared" si="21"/>
        <v>34</v>
      </c>
      <c r="K58" s="16">
        <f t="shared" si="21"/>
        <v>34</v>
      </c>
      <c r="L58" s="16">
        <f t="shared" si="21"/>
        <v>84</v>
      </c>
      <c r="M58" s="16">
        <f t="shared" si="21"/>
        <v>638</v>
      </c>
      <c r="N58" s="16">
        <f t="shared" si="21"/>
        <v>0</v>
      </c>
      <c r="O58" s="16">
        <f t="shared" si="21"/>
        <v>1071</v>
      </c>
      <c r="P58" s="16">
        <f t="shared" si="21"/>
        <v>1709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0.23171445289643067</v>
      </c>
      <c r="D59" s="43">
        <f t="shared" si="22"/>
        <v>3.5108250438853128E-2</v>
      </c>
      <c r="E59" s="43">
        <f t="shared" si="22"/>
        <v>2.5746050321825628E-2</v>
      </c>
      <c r="F59" s="43">
        <f t="shared" si="22"/>
        <v>0.18724400234055003</v>
      </c>
      <c r="G59" s="43">
        <f t="shared" si="22"/>
        <v>1.1702750146284377E-3</v>
      </c>
      <c r="H59" s="43">
        <f t="shared" si="22"/>
        <v>1.579871269748391E-2</v>
      </c>
      <c r="I59" s="43">
        <f t="shared" si="22"/>
        <v>4.0959625511995321E-2</v>
      </c>
      <c r="J59" s="43">
        <f t="shared" si="22"/>
        <v>1.9894675248683439E-2</v>
      </c>
      <c r="K59" s="43">
        <f t="shared" si="22"/>
        <v>1.9894675248683439E-2</v>
      </c>
      <c r="L59" s="43">
        <f t="shared" si="22"/>
        <v>4.9151550614394385E-2</v>
      </c>
      <c r="M59" s="43">
        <f t="shared" si="22"/>
        <v>0.37331772966647164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0.36974789915966388</v>
      </c>
      <c r="D60" s="44">
        <f t="shared" ref="D60:N60" si="23">D58/$O$58</f>
        <v>5.6022408963585436E-2</v>
      </c>
      <c r="E60" s="44">
        <f t="shared" si="23"/>
        <v>4.1083099906629318E-2</v>
      </c>
      <c r="F60" s="44">
        <f t="shared" si="23"/>
        <v>0.29878618113912231</v>
      </c>
      <c r="G60" s="44">
        <f t="shared" si="23"/>
        <v>1.8674136321195146E-3</v>
      </c>
      <c r="H60" s="44">
        <f t="shared" si="23"/>
        <v>2.5210084033613446E-2</v>
      </c>
      <c r="I60" s="44">
        <f t="shared" si="23"/>
        <v>6.535947712418301E-2</v>
      </c>
      <c r="J60" s="44">
        <f t="shared" si="23"/>
        <v>3.1746031746031744E-2</v>
      </c>
      <c r="K60" s="44">
        <f t="shared" si="23"/>
        <v>3.1746031746031744E-2</v>
      </c>
      <c r="L60" s="44">
        <f t="shared" si="23"/>
        <v>7.8431372549019607E-2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'27.10 Mbarara-Kabale'!C3:G3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30.75" customHeight="1" x14ac:dyDescent="0.25">
      <c r="C5" s="4" t="s">
        <v>3</v>
      </c>
      <c r="D5" s="36" t="s">
        <v>174</v>
      </c>
      <c r="E5" s="3"/>
      <c r="F5" s="41" t="s">
        <v>1</v>
      </c>
      <c r="G5" s="63" t="str">
        <f>'29.10 Kabale-Mbarara'!G5:H5</f>
        <v>Nyeihanga traffic station</v>
      </c>
      <c r="H5" s="64"/>
      <c r="I5" s="14"/>
      <c r="J5" s="2" t="s">
        <v>5</v>
      </c>
      <c r="K5" s="63" t="s">
        <v>175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'27.10 Mbarara-Kabale'!D6:E6</f>
        <v>Mbarara</v>
      </c>
      <c r="E6" s="64"/>
      <c r="F6" s="2" t="s">
        <v>2</v>
      </c>
      <c r="G6" s="63" t="str">
        <f>'27.10 Mbarara-Kabale'!G6:H6</f>
        <v>Kabale</v>
      </c>
      <c r="H6" s="64"/>
      <c r="J6" s="2" t="s">
        <v>21</v>
      </c>
      <c r="K6" s="63" t="str">
        <f>'29.10 Kabale-Mbarara'!K6:L6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5</v>
      </c>
      <c r="G10" s="50">
        <v>2</v>
      </c>
      <c r="H10" s="50">
        <v>3</v>
      </c>
      <c r="I10" s="50">
        <v>0</v>
      </c>
      <c r="J10" s="50">
        <v>0</v>
      </c>
      <c r="K10" s="50">
        <v>0</v>
      </c>
      <c r="L10" s="50">
        <v>4</v>
      </c>
      <c r="M10" s="50">
        <v>1</v>
      </c>
      <c r="N10" s="50">
        <v>0</v>
      </c>
      <c r="O10" s="15">
        <f t="shared" ref="O10:O57" si="0">SUM(C10:L10,N10)</f>
        <v>14</v>
      </c>
      <c r="P10" s="15">
        <f t="shared" ref="P10:P57" si="1">SUM(C10:N10)</f>
        <v>15</v>
      </c>
      <c r="R10" s="1" t="s">
        <v>6</v>
      </c>
      <c r="S10" s="17">
        <f t="shared" ref="S10:AF10" si="2">SUM(C10:C13)</f>
        <v>14</v>
      </c>
      <c r="T10" s="17">
        <f t="shared" si="2"/>
        <v>2</v>
      </c>
      <c r="U10" s="17">
        <f t="shared" si="2"/>
        <v>6</v>
      </c>
      <c r="V10" s="17">
        <f t="shared" si="2"/>
        <v>18</v>
      </c>
      <c r="W10" s="17">
        <f t="shared" si="2"/>
        <v>2</v>
      </c>
      <c r="X10" s="17">
        <f t="shared" si="2"/>
        <v>3</v>
      </c>
      <c r="Y10" s="17">
        <f t="shared" si="2"/>
        <v>13</v>
      </c>
      <c r="Z10" s="17">
        <f t="shared" si="2"/>
        <v>0</v>
      </c>
      <c r="AA10" s="17">
        <f t="shared" si="2"/>
        <v>4</v>
      </c>
      <c r="AB10" s="17">
        <f t="shared" si="2"/>
        <v>18</v>
      </c>
      <c r="AC10" s="17">
        <f t="shared" si="2"/>
        <v>20</v>
      </c>
      <c r="AD10" s="17">
        <f t="shared" si="2"/>
        <v>0</v>
      </c>
      <c r="AE10" s="31">
        <f t="shared" si="2"/>
        <v>80</v>
      </c>
      <c r="AF10" s="31">
        <f t="shared" si="2"/>
        <v>100</v>
      </c>
    </row>
    <row r="11" spans="2:32" s="6" customFormat="1" ht="23.1" customHeight="1" x14ac:dyDescent="0.25">
      <c r="B11" s="23" t="s">
        <v>38</v>
      </c>
      <c r="C11" s="50">
        <v>7</v>
      </c>
      <c r="D11" s="50">
        <v>0</v>
      </c>
      <c r="E11" s="50">
        <v>4</v>
      </c>
      <c r="F11" s="50">
        <v>12</v>
      </c>
      <c r="G11" s="50">
        <v>0</v>
      </c>
      <c r="H11" s="50">
        <v>0</v>
      </c>
      <c r="I11" s="50">
        <v>6</v>
      </c>
      <c r="J11" s="50">
        <v>0</v>
      </c>
      <c r="K11" s="50">
        <v>1</v>
      </c>
      <c r="L11" s="50">
        <v>1</v>
      </c>
      <c r="M11" s="50">
        <v>7</v>
      </c>
      <c r="N11" s="50">
        <v>0</v>
      </c>
      <c r="O11" s="15">
        <f t="shared" si="0"/>
        <v>31</v>
      </c>
      <c r="P11" s="15">
        <f t="shared" si="1"/>
        <v>38</v>
      </c>
      <c r="R11" s="1" t="s">
        <v>7</v>
      </c>
      <c r="S11" s="17">
        <f t="shared" ref="S11:AF11" si="3">SUM(C14:C17)</f>
        <v>18</v>
      </c>
      <c r="T11" s="17">
        <f t="shared" si="3"/>
        <v>6</v>
      </c>
      <c r="U11" s="17">
        <f t="shared" si="3"/>
        <v>7</v>
      </c>
      <c r="V11" s="17">
        <f t="shared" si="3"/>
        <v>17</v>
      </c>
      <c r="W11" s="17">
        <f t="shared" si="3"/>
        <v>0</v>
      </c>
      <c r="X11" s="17">
        <f t="shared" si="3"/>
        <v>0</v>
      </c>
      <c r="Y11" s="17">
        <f t="shared" si="3"/>
        <v>10</v>
      </c>
      <c r="Z11" s="17">
        <f t="shared" si="3"/>
        <v>4</v>
      </c>
      <c r="AA11" s="17">
        <f t="shared" si="3"/>
        <v>5</v>
      </c>
      <c r="AB11" s="17">
        <f t="shared" si="3"/>
        <v>17</v>
      </c>
      <c r="AC11" s="17">
        <f t="shared" si="3"/>
        <v>55</v>
      </c>
      <c r="AD11" s="17">
        <f t="shared" si="3"/>
        <v>0</v>
      </c>
      <c r="AE11" s="31">
        <f t="shared" si="3"/>
        <v>84</v>
      </c>
      <c r="AF11" s="31">
        <f t="shared" si="3"/>
        <v>139</v>
      </c>
    </row>
    <row r="12" spans="2:32" ht="23.1" customHeight="1" x14ac:dyDescent="0.25">
      <c r="B12" s="23" t="s">
        <v>39</v>
      </c>
      <c r="C12" s="50">
        <v>4</v>
      </c>
      <c r="D12" s="50">
        <v>2</v>
      </c>
      <c r="E12" s="50">
        <v>1</v>
      </c>
      <c r="F12" s="50">
        <v>1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6</v>
      </c>
      <c r="M12" s="50">
        <v>7</v>
      </c>
      <c r="N12" s="50">
        <v>0</v>
      </c>
      <c r="O12" s="15">
        <f t="shared" si="0"/>
        <v>17</v>
      </c>
      <c r="P12" s="15">
        <f t="shared" si="1"/>
        <v>24</v>
      </c>
      <c r="R12" s="1" t="s">
        <v>8</v>
      </c>
      <c r="S12" s="17">
        <f t="shared" ref="S12:AF12" si="4">SUM(C18:C21)</f>
        <v>19</v>
      </c>
      <c r="T12" s="17">
        <f t="shared" si="4"/>
        <v>12</v>
      </c>
      <c r="U12" s="17">
        <f t="shared" si="4"/>
        <v>15</v>
      </c>
      <c r="V12" s="17">
        <f t="shared" si="4"/>
        <v>25</v>
      </c>
      <c r="W12" s="17">
        <f t="shared" si="4"/>
        <v>0</v>
      </c>
      <c r="X12" s="17">
        <f t="shared" si="4"/>
        <v>1</v>
      </c>
      <c r="Y12" s="17">
        <f t="shared" si="4"/>
        <v>13</v>
      </c>
      <c r="Z12" s="17">
        <f t="shared" si="4"/>
        <v>4</v>
      </c>
      <c r="AA12" s="17">
        <f t="shared" si="4"/>
        <v>3</v>
      </c>
      <c r="AB12" s="17">
        <f t="shared" si="4"/>
        <v>16</v>
      </c>
      <c r="AC12" s="17">
        <f t="shared" si="4"/>
        <v>57</v>
      </c>
      <c r="AD12" s="17">
        <f t="shared" si="4"/>
        <v>0</v>
      </c>
      <c r="AE12" s="31">
        <f t="shared" si="4"/>
        <v>108</v>
      </c>
      <c r="AF12" s="31">
        <f t="shared" si="4"/>
        <v>165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4</v>
      </c>
      <c r="J13" s="50">
        <v>0</v>
      </c>
      <c r="K13" s="50">
        <v>3</v>
      </c>
      <c r="L13" s="50">
        <v>7</v>
      </c>
      <c r="M13" s="50">
        <v>5</v>
      </c>
      <c r="N13" s="50">
        <v>0</v>
      </c>
      <c r="O13" s="15">
        <f t="shared" si="0"/>
        <v>18</v>
      </c>
      <c r="P13" s="15">
        <f t="shared" si="1"/>
        <v>23</v>
      </c>
      <c r="R13" s="1" t="s">
        <v>9</v>
      </c>
      <c r="S13" s="17">
        <f t="shared" ref="S13:AF13" si="5">SUM(C22:C25)</f>
        <v>26</v>
      </c>
      <c r="T13" s="17">
        <f t="shared" si="5"/>
        <v>10</v>
      </c>
      <c r="U13" s="17">
        <f t="shared" si="5"/>
        <v>11</v>
      </c>
      <c r="V13" s="17">
        <f t="shared" si="5"/>
        <v>25</v>
      </c>
      <c r="W13" s="17">
        <f t="shared" si="5"/>
        <v>4</v>
      </c>
      <c r="X13" s="17">
        <f t="shared" si="5"/>
        <v>6</v>
      </c>
      <c r="Y13" s="17">
        <f t="shared" si="5"/>
        <v>19</v>
      </c>
      <c r="Z13" s="17">
        <f t="shared" si="5"/>
        <v>3</v>
      </c>
      <c r="AA13" s="17">
        <f t="shared" si="5"/>
        <v>7</v>
      </c>
      <c r="AB13" s="17">
        <f t="shared" si="5"/>
        <v>4</v>
      </c>
      <c r="AC13" s="17">
        <f t="shared" si="5"/>
        <v>32</v>
      </c>
      <c r="AD13" s="17">
        <f t="shared" si="5"/>
        <v>0</v>
      </c>
      <c r="AE13" s="31">
        <f t="shared" si="5"/>
        <v>115</v>
      </c>
      <c r="AF13" s="31">
        <f t="shared" si="5"/>
        <v>147</v>
      </c>
    </row>
    <row r="14" spans="2:32" ht="23.1" customHeight="1" x14ac:dyDescent="0.25">
      <c r="B14" s="23" t="s">
        <v>41</v>
      </c>
      <c r="C14" s="50">
        <v>3</v>
      </c>
      <c r="D14" s="50">
        <v>1</v>
      </c>
      <c r="E14" s="50">
        <v>2</v>
      </c>
      <c r="F14" s="50">
        <v>5</v>
      </c>
      <c r="G14" s="50">
        <v>0</v>
      </c>
      <c r="H14" s="50">
        <v>0</v>
      </c>
      <c r="I14" s="50">
        <v>2</v>
      </c>
      <c r="J14" s="50">
        <v>3</v>
      </c>
      <c r="K14" s="50">
        <v>0</v>
      </c>
      <c r="L14" s="50">
        <v>4</v>
      </c>
      <c r="M14" s="50">
        <v>10</v>
      </c>
      <c r="N14" s="50">
        <v>0</v>
      </c>
      <c r="O14" s="15">
        <f t="shared" si="0"/>
        <v>20</v>
      </c>
      <c r="P14" s="15">
        <f t="shared" si="1"/>
        <v>30</v>
      </c>
      <c r="R14" s="1" t="s">
        <v>10</v>
      </c>
      <c r="S14" s="17">
        <f t="shared" ref="S14:AF14" si="6">SUM(C26:C29)</f>
        <v>27</v>
      </c>
      <c r="T14" s="17">
        <f t="shared" si="6"/>
        <v>10</v>
      </c>
      <c r="U14" s="17">
        <f t="shared" si="6"/>
        <v>12</v>
      </c>
      <c r="V14" s="17">
        <f t="shared" si="6"/>
        <v>23</v>
      </c>
      <c r="W14" s="17">
        <f t="shared" si="6"/>
        <v>0</v>
      </c>
      <c r="X14" s="17">
        <f t="shared" si="6"/>
        <v>2</v>
      </c>
      <c r="Y14" s="17">
        <f t="shared" si="6"/>
        <v>7</v>
      </c>
      <c r="Z14" s="17">
        <f t="shared" si="6"/>
        <v>5</v>
      </c>
      <c r="AA14" s="17">
        <f t="shared" si="6"/>
        <v>10</v>
      </c>
      <c r="AB14" s="17">
        <f t="shared" si="6"/>
        <v>11</v>
      </c>
      <c r="AC14" s="17">
        <f t="shared" si="6"/>
        <v>57</v>
      </c>
      <c r="AD14" s="17">
        <f t="shared" si="6"/>
        <v>0</v>
      </c>
      <c r="AE14" s="31">
        <f t="shared" si="6"/>
        <v>107</v>
      </c>
      <c r="AF14" s="31">
        <f t="shared" si="6"/>
        <v>164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0</v>
      </c>
      <c r="F15" s="50">
        <v>4</v>
      </c>
      <c r="G15" s="50">
        <v>0</v>
      </c>
      <c r="H15" s="50">
        <v>0</v>
      </c>
      <c r="I15" s="50">
        <v>2</v>
      </c>
      <c r="J15" s="50">
        <v>0</v>
      </c>
      <c r="K15" s="50">
        <v>3</v>
      </c>
      <c r="L15" s="50">
        <v>1</v>
      </c>
      <c r="M15" s="50">
        <v>15</v>
      </c>
      <c r="N15" s="50">
        <v>0</v>
      </c>
      <c r="O15" s="15">
        <f t="shared" si="0"/>
        <v>15</v>
      </c>
      <c r="P15" s="15">
        <f t="shared" si="1"/>
        <v>30</v>
      </c>
      <c r="R15" s="1" t="s">
        <v>11</v>
      </c>
      <c r="S15" s="17">
        <f t="shared" ref="S15:AF15" si="7">SUM(C30:C33)</f>
        <v>35</v>
      </c>
      <c r="T15" s="17">
        <f t="shared" si="7"/>
        <v>21</v>
      </c>
      <c r="U15" s="17">
        <f t="shared" si="7"/>
        <v>10</v>
      </c>
      <c r="V15" s="17">
        <f t="shared" si="7"/>
        <v>20</v>
      </c>
      <c r="W15" s="17">
        <f t="shared" si="7"/>
        <v>0</v>
      </c>
      <c r="X15" s="17">
        <f t="shared" si="7"/>
        <v>1</v>
      </c>
      <c r="Y15" s="17">
        <f t="shared" si="7"/>
        <v>10</v>
      </c>
      <c r="Z15" s="17">
        <f t="shared" si="7"/>
        <v>4</v>
      </c>
      <c r="AA15" s="17">
        <f t="shared" si="7"/>
        <v>5</v>
      </c>
      <c r="AB15" s="17">
        <f t="shared" si="7"/>
        <v>7</v>
      </c>
      <c r="AC15" s="17">
        <f t="shared" si="7"/>
        <v>51</v>
      </c>
      <c r="AD15" s="17">
        <f t="shared" si="7"/>
        <v>0</v>
      </c>
      <c r="AE15" s="31">
        <f t="shared" si="7"/>
        <v>113</v>
      </c>
      <c r="AF15" s="31">
        <f t="shared" si="7"/>
        <v>164</v>
      </c>
    </row>
    <row r="16" spans="2:32" ht="23.1" customHeight="1" x14ac:dyDescent="0.25">
      <c r="B16" s="23" t="s">
        <v>43</v>
      </c>
      <c r="C16" s="50">
        <v>6</v>
      </c>
      <c r="D16" s="50">
        <v>4</v>
      </c>
      <c r="E16" s="50">
        <v>1</v>
      </c>
      <c r="F16" s="50">
        <v>3</v>
      </c>
      <c r="G16" s="50">
        <v>0</v>
      </c>
      <c r="H16" s="50">
        <v>0</v>
      </c>
      <c r="I16" s="50">
        <v>3</v>
      </c>
      <c r="J16" s="50">
        <v>1</v>
      </c>
      <c r="K16" s="50">
        <v>2</v>
      </c>
      <c r="L16" s="50">
        <v>12</v>
      </c>
      <c r="M16" s="50">
        <v>16</v>
      </c>
      <c r="N16" s="50">
        <v>0</v>
      </c>
      <c r="O16" s="15">
        <f t="shared" si="0"/>
        <v>32</v>
      </c>
      <c r="P16" s="15">
        <f t="shared" si="1"/>
        <v>48</v>
      </c>
      <c r="R16" s="1" t="s">
        <v>12</v>
      </c>
      <c r="S16" s="17">
        <f t="shared" ref="S16:AF16" si="8">SUM(C34:C37)</f>
        <v>13</v>
      </c>
      <c r="T16" s="17">
        <f t="shared" si="8"/>
        <v>9</v>
      </c>
      <c r="U16" s="17">
        <f t="shared" si="8"/>
        <v>5</v>
      </c>
      <c r="V16" s="17">
        <f t="shared" si="8"/>
        <v>15</v>
      </c>
      <c r="W16" s="17">
        <f t="shared" si="8"/>
        <v>0</v>
      </c>
      <c r="X16" s="17">
        <f t="shared" si="8"/>
        <v>6</v>
      </c>
      <c r="Y16" s="17">
        <f t="shared" si="8"/>
        <v>6</v>
      </c>
      <c r="Z16" s="17">
        <f t="shared" si="8"/>
        <v>2</v>
      </c>
      <c r="AA16" s="17">
        <f t="shared" si="8"/>
        <v>0</v>
      </c>
      <c r="AB16" s="17">
        <f t="shared" si="8"/>
        <v>7</v>
      </c>
      <c r="AC16" s="17">
        <f t="shared" si="8"/>
        <v>39</v>
      </c>
      <c r="AD16" s="17">
        <f t="shared" si="8"/>
        <v>0</v>
      </c>
      <c r="AE16" s="31">
        <f t="shared" si="8"/>
        <v>63</v>
      </c>
      <c r="AF16" s="31">
        <f t="shared" si="8"/>
        <v>102</v>
      </c>
    </row>
    <row r="17" spans="2:32" ht="23.1" customHeight="1" x14ac:dyDescent="0.25">
      <c r="B17" s="23" t="s">
        <v>44</v>
      </c>
      <c r="C17" s="50">
        <v>4</v>
      </c>
      <c r="D17" s="50">
        <v>1</v>
      </c>
      <c r="E17" s="50">
        <v>4</v>
      </c>
      <c r="F17" s="50">
        <v>5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14</v>
      </c>
      <c r="N17" s="50">
        <v>0</v>
      </c>
      <c r="O17" s="15">
        <f t="shared" si="0"/>
        <v>17</v>
      </c>
      <c r="P17" s="15">
        <f t="shared" si="1"/>
        <v>31</v>
      </c>
      <c r="R17" s="1" t="s">
        <v>13</v>
      </c>
      <c r="S17" s="17">
        <f t="shared" ref="S17:AF17" si="9">SUM(C38:C41)</f>
        <v>23</v>
      </c>
      <c r="T17" s="17">
        <f t="shared" si="9"/>
        <v>10</v>
      </c>
      <c r="U17" s="17">
        <f t="shared" si="9"/>
        <v>9</v>
      </c>
      <c r="V17" s="17">
        <f t="shared" si="9"/>
        <v>32</v>
      </c>
      <c r="W17" s="17">
        <f t="shared" si="9"/>
        <v>0</v>
      </c>
      <c r="X17" s="17">
        <f t="shared" si="9"/>
        <v>5</v>
      </c>
      <c r="Y17" s="17">
        <f t="shared" si="9"/>
        <v>5</v>
      </c>
      <c r="Z17" s="17">
        <f t="shared" si="9"/>
        <v>8</v>
      </c>
      <c r="AA17" s="17">
        <f t="shared" si="9"/>
        <v>8</v>
      </c>
      <c r="AB17" s="17">
        <f t="shared" si="9"/>
        <v>17</v>
      </c>
      <c r="AC17" s="17">
        <f t="shared" si="9"/>
        <v>41</v>
      </c>
      <c r="AD17" s="17">
        <f t="shared" si="9"/>
        <v>0</v>
      </c>
      <c r="AE17" s="31">
        <f t="shared" si="9"/>
        <v>117</v>
      </c>
      <c r="AF17" s="31">
        <f t="shared" si="9"/>
        <v>158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3</v>
      </c>
      <c r="F18" s="50">
        <v>9</v>
      </c>
      <c r="G18" s="50">
        <v>0</v>
      </c>
      <c r="H18" s="50">
        <v>0</v>
      </c>
      <c r="I18" s="50">
        <v>3</v>
      </c>
      <c r="J18" s="50">
        <v>1</v>
      </c>
      <c r="K18" s="50">
        <v>0</v>
      </c>
      <c r="L18" s="50">
        <v>4</v>
      </c>
      <c r="M18" s="50">
        <v>15</v>
      </c>
      <c r="N18" s="50">
        <v>0</v>
      </c>
      <c r="O18" s="15">
        <f t="shared" si="0"/>
        <v>23</v>
      </c>
      <c r="P18" s="15">
        <f t="shared" si="1"/>
        <v>38</v>
      </c>
      <c r="R18" s="1" t="s">
        <v>14</v>
      </c>
      <c r="S18" s="17">
        <f t="shared" ref="S18:AF18" si="10">SUM(C42:C45)</f>
        <v>25</v>
      </c>
      <c r="T18" s="17">
        <f t="shared" si="10"/>
        <v>5</v>
      </c>
      <c r="U18" s="17">
        <f t="shared" si="10"/>
        <v>9</v>
      </c>
      <c r="V18" s="17">
        <f t="shared" si="10"/>
        <v>25</v>
      </c>
      <c r="W18" s="17">
        <f t="shared" si="10"/>
        <v>2</v>
      </c>
      <c r="X18" s="17">
        <f t="shared" si="10"/>
        <v>4</v>
      </c>
      <c r="Y18" s="17">
        <f t="shared" si="10"/>
        <v>6</v>
      </c>
      <c r="Z18" s="17">
        <f t="shared" si="10"/>
        <v>5</v>
      </c>
      <c r="AA18" s="17">
        <f t="shared" si="10"/>
        <v>7</v>
      </c>
      <c r="AB18" s="17">
        <f t="shared" si="10"/>
        <v>5</v>
      </c>
      <c r="AC18" s="17">
        <f t="shared" si="10"/>
        <v>46</v>
      </c>
      <c r="AD18" s="17">
        <f t="shared" si="10"/>
        <v>0</v>
      </c>
      <c r="AE18" s="31">
        <f t="shared" si="10"/>
        <v>93</v>
      </c>
      <c r="AF18" s="31">
        <f t="shared" si="10"/>
        <v>139</v>
      </c>
    </row>
    <row r="19" spans="2:32" ht="23.1" customHeight="1" x14ac:dyDescent="0.25">
      <c r="B19" s="23" t="s">
        <v>46</v>
      </c>
      <c r="C19" s="50">
        <v>2</v>
      </c>
      <c r="D19" s="50">
        <v>4</v>
      </c>
      <c r="E19" s="50">
        <v>5</v>
      </c>
      <c r="F19" s="50">
        <v>3</v>
      </c>
      <c r="G19" s="50">
        <v>0</v>
      </c>
      <c r="H19" s="50">
        <v>1</v>
      </c>
      <c r="I19" s="50">
        <v>1</v>
      </c>
      <c r="J19" s="50">
        <v>3</v>
      </c>
      <c r="K19" s="50">
        <v>0</v>
      </c>
      <c r="L19" s="50">
        <v>6</v>
      </c>
      <c r="M19" s="50">
        <v>8</v>
      </c>
      <c r="N19" s="50">
        <v>0</v>
      </c>
      <c r="O19" s="15">
        <f t="shared" si="0"/>
        <v>25</v>
      </c>
      <c r="P19" s="15">
        <f t="shared" si="1"/>
        <v>33</v>
      </c>
      <c r="R19" s="1" t="s">
        <v>15</v>
      </c>
      <c r="S19" s="17">
        <f t="shared" ref="S19:AF19" si="11">SUM(C46:C49)</f>
        <v>28</v>
      </c>
      <c r="T19" s="17">
        <f t="shared" si="11"/>
        <v>6</v>
      </c>
      <c r="U19" s="17">
        <f t="shared" si="11"/>
        <v>5</v>
      </c>
      <c r="V19" s="17">
        <f t="shared" si="11"/>
        <v>16</v>
      </c>
      <c r="W19" s="17">
        <f t="shared" si="11"/>
        <v>1</v>
      </c>
      <c r="X19" s="17">
        <f t="shared" si="11"/>
        <v>2</v>
      </c>
      <c r="Y19" s="17">
        <f t="shared" si="11"/>
        <v>8</v>
      </c>
      <c r="Z19" s="17">
        <f t="shared" si="11"/>
        <v>7</v>
      </c>
      <c r="AA19" s="17">
        <f t="shared" si="11"/>
        <v>8</v>
      </c>
      <c r="AB19" s="17">
        <f t="shared" si="11"/>
        <v>10</v>
      </c>
      <c r="AC19" s="17">
        <f t="shared" si="11"/>
        <v>29</v>
      </c>
      <c r="AD19" s="17">
        <f t="shared" si="11"/>
        <v>0</v>
      </c>
      <c r="AE19" s="31">
        <f t="shared" si="11"/>
        <v>91</v>
      </c>
      <c r="AF19" s="31">
        <f t="shared" si="11"/>
        <v>120</v>
      </c>
    </row>
    <row r="20" spans="2:32" ht="23.1" customHeight="1" x14ac:dyDescent="0.25">
      <c r="B20" s="23" t="s">
        <v>47</v>
      </c>
      <c r="C20" s="50">
        <v>6</v>
      </c>
      <c r="D20" s="50">
        <v>5</v>
      </c>
      <c r="E20" s="50">
        <v>3</v>
      </c>
      <c r="F20" s="50">
        <v>6</v>
      </c>
      <c r="G20" s="50">
        <v>0</v>
      </c>
      <c r="H20" s="50">
        <v>0</v>
      </c>
      <c r="I20" s="50">
        <v>7</v>
      </c>
      <c r="J20" s="50">
        <v>0</v>
      </c>
      <c r="K20" s="50">
        <v>2</v>
      </c>
      <c r="L20" s="50">
        <v>3</v>
      </c>
      <c r="M20" s="50">
        <v>18</v>
      </c>
      <c r="N20" s="50">
        <v>0</v>
      </c>
      <c r="O20" s="15">
        <f t="shared" si="0"/>
        <v>32</v>
      </c>
      <c r="P20" s="15">
        <f t="shared" si="1"/>
        <v>50</v>
      </c>
      <c r="R20" s="1" t="s">
        <v>16</v>
      </c>
      <c r="S20" s="17">
        <f t="shared" ref="S20:AF20" si="12">SUM(C50:C53)</f>
        <v>26</v>
      </c>
      <c r="T20" s="17">
        <f t="shared" si="12"/>
        <v>7</v>
      </c>
      <c r="U20" s="17">
        <f t="shared" si="12"/>
        <v>17</v>
      </c>
      <c r="V20" s="17">
        <f t="shared" si="12"/>
        <v>15</v>
      </c>
      <c r="W20" s="17">
        <f t="shared" si="12"/>
        <v>0</v>
      </c>
      <c r="X20" s="17">
        <f t="shared" si="12"/>
        <v>0</v>
      </c>
      <c r="Y20" s="17">
        <f t="shared" si="12"/>
        <v>18</v>
      </c>
      <c r="Z20" s="17">
        <f t="shared" si="12"/>
        <v>2</v>
      </c>
      <c r="AA20" s="17">
        <f t="shared" si="12"/>
        <v>9</v>
      </c>
      <c r="AB20" s="17">
        <f t="shared" si="12"/>
        <v>18</v>
      </c>
      <c r="AC20" s="17">
        <f t="shared" si="12"/>
        <v>59</v>
      </c>
      <c r="AD20" s="17">
        <f t="shared" si="12"/>
        <v>0</v>
      </c>
      <c r="AE20" s="31">
        <f t="shared" si="12"/>
        <v>112</v>
      </c>
      <c r="AF20" s="31">
        <f t="shared" si="12"/>
        <v>171</v>
      </c>
    </row>
    <row r="21" spans="2:32" ht="23.1" customHeight="1" x14ac:dyDescent="0.25">
      <c r="B21" s="23" t="s">
        <v>48</v>
      </c>
      <c r="C21" s="50">
        <v>8</v>
      </c>
      <c r="D21" s="50">
        <v>3</v>
      </c>
      <c r="E21" s="50">
        <v>4</v>
      </c>
      <c r="F21" s="50">
        <v>7</v>
      </c>
      <c r="G21" s="50">
        <v>0</v>
      </c>
      <c r="H21" s="50">
        <v>0</v>
      </c>
      <c r="I21" s="50">
        <v>2</v>
      </c>
      <c r="J21" s="50">
        <v>0</v>
      </c>
      <c r="K21" s="50">
        <v>1</v>
      </c>
      <c r="L21" s="50">
        <v>3</v>
      </c>
      <c r="M21" s="50">
        <v>16</v>
      </c>
      <c r="N21" s="50">
        <v>0</v>
      </c>
      <c r="O21" s="15">
        <f t="shared" si="0"/>
        <v>28</v>
      </c>
      <c r="P21" s="15">
        <f t="shared" si="1"/>
        <v>44</v>
      </c>
      <c r="R21" s="36" t="s">
        <v>20</v>
      </c>
      <c r="S21" s="34">
        <f t="shared" ref="S21:AF21" si="13">SUM(C54:C57)</f>
        <v>25</v>
      </c>
      <c r="T21" s="17">
        <f t="shared" si="13"/>
        <v>8</v>
      </c>
      <c r="U21" s="17">
        <f t="shared" si="13"/>
        <v>14</v>
      </c>
      <c r="V21" s="17">
        <f t="shared" si="13"/>
        <v>21</v>
      </c>
      <c r="W21" s="17">
        <f t="shared" si="13"/>
        <v>1</v>
      </c>
      <c r="X21" s="17">
        <f t="shared" si="13"/>
        <v>2</v>
      </c>
      <c r="Y21" s="17">
        <f t="shared" si="13"/>
        <v>2</v>
      </c>
      <c r="Z21" s="17">
        <f t="shared" si="13"/>
        <v>8</v>
      </c>
      <c r="AA21" s="17">
        <f t="shared" si="13"/>
        <v>16</v>
      </c>
      <c r="AB21" s="17">
        <f t="shared" si="13"/>
        <v>15</v>
      </c>
      <c r="AC21" s="17">
        <f t="shared" si="13"/>
        <v>61</v>
      </c>
      <c r="AD21" s="17">
        <f t="shared" si="13"/>
        <v>0</v>
      </c>
      <c r="AE21" s="31">
        <f t="shared" si="13"/>
        <v>112</v>
      </c>
      <c r="AF21" s="31">
        <f t="shared" si="13"/>
        <v>173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2</v>
      </c>
      <c r="F22" s="50">
        <v>10</v>
      </c>
      <c r="G22" s="50">
        <v>2</v>
      </c>
      <c r="H22" s="50">
        <v>0</v>
      </c>
      <c r="I22" s="50">
        <v>3</v>
      </c>
      <c r="J22" s="50">
        <v>0</v>
      </c>
      <c r="K22" s="50">
        <v>0</v>
      </c>
      <c r="L22" s="50">
        <v>1</v>
      </c>
      <c r="M22" s="50">
        <v>4</v>
      </c>
      <c r="N22" s="50">
        <v>0</v>
      </c>
      <c r="O22" s="15">
        <f t="shared" si="0"/>
        <v>21</v>
      </c>
      <c r="P22" s="15">
        <f t="shared" si="1"/>
        <v>25</v>
      </c>
      <c r="R22" s="38" t="s">
        <v>90</v>
      </c>
      <c r="S22" s="39">
        <f>MAX(S10:S12)</f>
        <v>19</v>
      </c>
      <c r="T22" s="39">
        <f t="shared" ref="T22:AF22" si="14">MAX(T10:T12)</f>
        <v>12</v>
      </c>
      <c r="U22" s="39">
        <f t="shared" si="14"/>
        <v>15</v>
      </c>
      <c r="V22" s="39">
        <f t="shared" si="14"/>
        <v>25</v>
      </c>
      <c r="W22" s="39">
        <f t="shared" si="14"/>
        <v>2</v>
      </c>
      <c r="X22" s="39">
        <f t="shared" si="14"/>
        <v>3</v>
      </c>
      <c r="Y22" s="39">
        <f t="shared" si="14"/>
        <v>13</v>
      </c>
      <c r="Z22" s="39">
        <f t="shared" si="14"/>
        <v>4</v>
      </c>
      <c r="AA22" s="39">
        <f t="shared" si="14"/>
        <v>5</v>
      </c>
      <c r="AB22" s="39">
        <f t="shared" si="14"/>
        <v>18</v>
      </c>
      <c r="AC22" s="39">
        <f t="shared" si="14"/>
        <v>57</v>
      </c>
      <c r="AD22" s="39">
        <f t="shared" si="14"/>
        <v>0</v>
      </c>
      <c r="AE22" s="40">
        <f t="shared" si="14"/>
        <v>108</v>
      </c>
      <c r="AF22" s="40">
        <f t="shared" si="14"/>
        <v>165</v>
      </c>
    </row>
    <row r="23" spans="2:32" ht="23.1" customHeight="1" x14ac:dyDescent="0.25">
      <c r="B23" s="23" t="s">
        <v>50</v>
      </c>
      <c r="C23" s="50">
        <v>6</v>
      </c>
      <c r="D23" s="50">
        <v>5</v>
      </c>
      <c r="E23" s="50">
        <v>4</v>
      </c>
      <c r="F23" s="50">
        <v>9</v>
      </c>
      <c r="G23" s="50">
        <v>0</v>
      </c>
      <c r="H23" s="50">
        <v>0</v>
      </c>
      <c r="I23" s="50">
        <v>9</v>
      </c>
      <c r="J23" s="50">
        <v>3</v>
      </c>
      <c r="K23" s="50">
        <v>0</v>
      </c>
      <c r="L23" s="50">
        <v>0</v>
      </c>
      <c r="M23" s="50">
        <v>11</v>
      </c>
      <c r="N23" s="50">
        <v>0</v>
      </c>
      <c r="O23" s="15">
        <f t="shared" si="0"/>
        <v>36</v>
      </c>
      <c r="P23" s="15">
        <f t="shared" si="1"/>
        <v>47</v>
      </c>
      <c r="R23" s="38" t="s">
        <v>91</v>
      </c>
      <c r="S23" s="39">
        <f>MAX(S13:S18)</f>
        <v>35</v>
      </c>
      <c r="T23" s="39">
        <f t="shared" ref="T23:AF23" si="15">MAX(T13:T18)</f>
        <v>21</v>
      </c>
      <c r="U23" s="39">
        <f t="shared" si="15"/>
        <v>12</v>
      </c>
      <c r="V23" s="39">
        <f t="shared" si="15"/>
        <v>32</v>
      </c>
      <c r="W23" s="39">
        <f t="shared" si="15"/>
        <v>4</v>
      </c>
      <c r="X23" s="39">
        <f t="shared" si="15"/>
        <v>6</v>
      </c>
      <c r="Y23" s="39">
        <f t="shared" si="15"/>
        <v>19</v>
      </c>
      <c r="Z23" s="39">
        <f t="shared" si="15"/>
        <v>8</v>
      </c>
      <c r="AA23" s="39">
        <f t="shared" si="15"/>
        <v>10</v>
      </c>
      <c r="AB23" s="39">
        <f t="shared" si="15"/>
        <v>17</v>
      </c>
      <c r="AC23" s="39">
        <f t="shared" si="15"/>
        <v>57</v>
      </c>
      <c r="AD23" s="39">
        <f t="shared" si="15"/>
        <v>0</v>
      </c>
      <c r="AE23" s="40">
        <f t="shared" si="15"/>
        <v>117</v>
      </c>
      <c r="AF23" s="40">
        <f t="shared" si="15"/>
        <v>164</v>
      </c>
    </row>
    <row r="24" spans="2:32" ht="23.1" customHeight="1" x14ac:dyDescent="0.25">
      <c r="B24" s="23" t="s">
        <v>51</v>
      </c>
      <c r="C24" s="50">
        <v>8</v>
      </c>
      <c r="D24" s="50">
        <v>2</v>
      </c>
      <c r="E24" s="50">
        <v>0</v>
      </c>
      <c r="F24" s="50">
        <v>1</v>
      </c>
      <c r="G24" s="50">
        <v>0</v>
      </c>
      <c r="H24" s="50">
        <v>1</v>
      </c>
      <c r="I24" s="50">
        <v>3</v>
      </c>
      <c r="J24" s="50">
        <v>0</v>
      </c>
      <c r="K24" s="50">
        <v>2</v>
      </c>
      <c r="L24" s="50">
        <v>0</v>
      </c>
      <c r="M24" s="50">
        <v>8</v>
      </c>
      <c r="N24" s="50">
        <v>0</v>
      </c>
      <c r="O24" s="15">
        <f t="shared" si="0"/>
        <v>17</v>
      </c>
      <c r="P24" s="15">
        <f t="shared" si="1"/>
        <v>25</v>
      </c>
      <c r="R24" s="38" t="s">
        <v>92</v>
      </c>
      <c r="S24" s="39">
        <f>MAX(S19:S21)</f>
        <v>28</v>
      </c>
      <c r="T24" s="39">
        <f t="shared" ref="T24:AF24" si="16">MAX(T19:T21)</f>
        <v>8</v>
      </c>
      <c r="U24" s="39">
        <f t="shared" si="16"/>
        <v>17</v>
      </c>
      <c r="V24" s="39">
        <f t="shared" si="16"/>
        <v>21</v>
      </c>
      <c r="W24" s="39">
        <f t="shared" si="16"/>
        <v>1</v>
      </c>
      <c r="X24" s="39">
        <f t="shared" si="16"/>
        <v>2</v>
      </c>
      <c r="Y24" s="39">
        <f t="shared" si="16"/>
        <v>18</v>
      </c>
      <c r="Z24" s="39">
        <f t="shared" si="16"/>
        <v>8</v>
      </c>
      <c r="AA24" s="39">
        <f t="shared" si="16"/>
        <v>16</v>
      </c>
      <c r="AB24" s="39">
        <f t="shared" si="16"/>
        <v>18</v>
      </c>
      <c r="AC24" s="39">
        <f t="shared" si="16"/>
        <v>61</v>
      </c>
      <c r="AD24" s="39">
        <f t="shared" si="16"/>
        <v>0</v>
      </c>
      <c r="AE24" s="40">
        <f t="shared" si="16"/>
        <v>112</v>
      </c>
      <c r="AF24" s="40">
        <f t="shared" si="16"/>
        <v>173</v>
      </c>
    </row>
    <row r="25" spans="2:32" ht="23.1" customHeight="1" x14ac:dyDescent="0.25">
      <c r="B25" s="23" t="s">
        <v>52</v>
      </c>
      <c r="C25" s="50">
        <v>9</v>
      </c>
      <c r="D25" s="50">
        <v>3</v>
      </c>
      <c r="E25" s="50">
        <v>5</v>
      </c>
      <c r="F25" s="50">
        <v>5</v>
      </c>
      <c r="G25" s="50">
        <v>2</v>
      </c>
      <c r="H25" s="50">
        <v>5</v>
      </c>
      <c r="I25" s="50">
        <v>4</v>
      </c>
      <c r="J25" s="50">
        <v>0</v>
      </c>
      <c r="K25" s="50">
        <v>5</v>
      </c>
      <c r="L25" s="50">
        <v>3</v>
      </c>
      <c r="M25" s="50">
        <v>9</v>
      </c>
      <c r="N25" s="50">
        <v>0</v>
      </c>
      <c r="O25" s="15">
        <f t="shared" si="0"/>
        <v>41</v>
      </c>
      <c r="P25" s="15">
        <f t="shared" si="1"/>
        <v>50</v>
      </c>
      <c r="R25" s="37" t="s">
        <v>85</v>
      </c>
      <c r="S25" s="35">
        <f t="shared" ref="S25:AF25" si="17">SUM(S10:S12)</f>
        <v>51</v>
      </c>
      <c r="T25" s="16">
        <f t="shared" si="17"/>
        <v>20</v>
      </c>
      <c r="U25" s="16">
        <f t="shared" si="17"/>
        <v>28</v>
      </c>
      <c r="V25" s="16">
        <f t="shared" si="17"/>
        <v>60</v>
      </c>
      <c r="W25" s="16">
        <f t="shared" si="17"/>
        <v>2</v>
      </c>
      <c r="X25" s="16">
        <f t="shared" si="17"/>
        <v>4</v>
      </c>
      <c r="Y25" s="16">
        <f t="shared" si="17"/>
        <v>36</v>
      </c>
      <c r="Z25" s="16">
        <f t="shared" si="17"/>
        <v>8</v>
      </c>
      <c r="AA25" s="16">
        <f t="shared" si="17"/>
        <v>12</v>
      </c>
      <c r="AB25" s="16">
        <f t="shared" si="17"/>
        <v>51</v>
      </c>
      <c r="AC25" s="16">
        <f t="shared" si="17"/>
        <v>132</v>
      </c>
      <c r="AD25" s="16">
        <f t="shared" si="17"/>
        <v>0</v>
      </c>
      <c r="AE25" s="32">
        <f t="shared" si="17"/>
        <v>272</v>
      </c>
      <c r="AF25" s="32">
        <f t="shared" si="17"/>
        <v>404</v>
      </c>
    </row>
    <row r="26" spans="2:32" ht="23.1" customHeight="1" x14ac:dyDescent="0.25">
      <c r="B26" s="23" t="s">
        <v>53</v>
      </c>
      <c r="C26" s="50">
        <v>11</v>
      </c>
      <c r="D26" s="50">
        <v>2</v>
      </c>
      <c r="E26" s="50">
        <v>4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2</v>
      </c>
      <c r="L26" s="50">
        <v>0</v>
      </c>
      <c r="M26" s="50">
        <v>15</v>
      </c>
      <c r="N26" s="50">
        <v>0</v>
      </c>
      <c r="O26" s="15">
        <f t="shared" si="0"/>
        <v>22</v>
      </c>
      <c r="P26" s="15">
        <f t="shared" si="1"/>
        <v>37</v>
      </c>
      <c r="R26" s="28" t="s">
        <v>86</v>
      </c>
      <c r="S26" s="16">
        <f t="shared" ref="S26:AF26" si="18">SUM(S13:S18)</f>
        <v>149</v>
      </c>
      <c r="T26" s="16">
        <f t="shared" si="18"/>
        <v>65</v>
      </c>
      <c r="U26" s="16">
        <f t="shared" si="18"/>
        <v>56</v>
      </c>
      <c r="V26" s="16">
        <f t="shared" si="18"/>
        <v>140</v>
      </c>
      <c r="W26" s="16">
        <f t="shared" si="18"/>
        <v>6</v>
      </c>
      <c r="X26" s="16">
        <f t="shared" si="18"/>
        <v>24</v>
      </c>
      <c r="Y26" s="16">
        <f t="shared" si="18"/>
        <v>53</v>
      </c>
      <c r="Z26" s="16">
        <f t="shared" si="18"/>
        <v>27</v>
      </c>
      <c r="AA26" s="16">
        <f t="shared" si="18"/>
        <v>37</v>
      </c>
      <c r="AB26" s="16">
        <f t="shared" si="18"/>
        <v>51</v>
      </c>
      <c r="AC26" s="16">
        <f t="shared" si="18"/>
        <v>266</v>
      </c>
      <c r="AD26" s="16">
        <f t="shared" si="18"/>
        <v>0</v>
      </c>
      <c r="AE26" s="32">
        <f t="shared" si="18"/>
        <v>608</v>
      </c>
      <c r="AF26" s="32">
        <f t="shared" si="18"/>
        <v>874</v>
      </c>
    </row>
    <row r="27" spans="2:32" ht="23.1" customHeight="1" x14ac:dyDescent="0.25">
      <c r="B27" s="23" t="s">
        <v>54</v>
      </c>
      <c r="C27" s="50">
        <v>6</v>
      </c>
      <c r="D27" s="50">
        <v>3</v>
      </c>
      <c r="E27" s="50">
        <v>2</v>
      </c>
      <c r="F27" s="50">
        <v>6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7</v>
      </c>
      <c r="N27" s="50">
        <v>0</v>
      </c>
      <c r="O27" s="15">
        <f t="shared" si="0"/>
        <v>20</v>
      </c>
      <c r="P27" s="15">
        <f t="shared" si="1"/>
        <v>27</v>
      </c>
      <c r="R27" s="29" t="s">
        <v>87</v>
      </c>
      <c r="S27" s="16">
        <f t="shared" ref="S27:AF27" si="19">SUM(S19:S21)</f>
        <v>79</v>
      </c>
      <c r="T27" s="16">
        <f t="shared" si="19"/>
        <v>21</v>
      </c>
      <c r="U27" s="16">
        <f t="shared" si="19"/>
        <v>36</v>
      </c>
      <c r="V27" s="16">
        <f t="shared" si="19"/>
        <v>52</v>
      </c>
      <c r="W27" s="16">
        <f t="shared" si="19"/>
        <v>2</v>
      </c>
      <c r="X27" s="16">
        <f t="shared" si="19"/>
        <v>4</v>
      </c>
      <c r="Y27" s="16">
        <f t="shared" si="19"/>
        <v>28</v>
      </c>
      <c r="Z27" s="16">
        <f t="shared" si="19"/>
        <v>17</v>
      </c>
      <c r="AA27" s="16">
        <f t="shared" si="19"/>
        <v>33</v>
      </c>
      <c r="AB27" s="16">
        <f t="shared" si="19"/>
        <v>43</v>
      </c>
      <c r="AC27" s="16">
        <f t="shared" si="19"/>
        <v>149</v>
      </c>
      <c r="AD27" s="16">
        <f t="shared" si="19"/>
        <v>0</v>
      </c>
      <c r="AE27" s="32">
        <f t="shared" si="19"/>
        <v>315</v>
      </c>
      <c r="AF27" s="32">
        <f t="shared" si="19"/>
        <v>464</v>
      </c>
    </row>
    <row r="28" spans="2:32" ht="23.1" customHeight="1" x14ac:dyDescent="0.25">
      <c r="B28" s="23" t="s">
        <v>55</v>
      </c>
      <c r="C28" s="50">
        <v>7</v>
      </c>
      <c r="D28" s="50">
        <v>3</v>
      </c>
      <c r="E28" s="50">
        <v>3</v>
      </c>
      <c r="F28" s="50">
        <v>10</v>
      </c>
      <c r="G28" s="50">
        <v>0</v>
      </c>
      <c r="H28" s="50">
        <v>0</v>
      </c>
      <c r="I28" s="50">
        <v>2</v>
      </c>
      <c r="J28" s="50">
        <v>2</v>
      </c>
      <c r="K28" s="50">
        <v>3</v>
      </c>
      <c r="L28" s="50">
        <v>2</v>
      </c>
      <c r="M28" s="50">
        <v>16</v>
      </c>
      <c r="N28" s="50">
        <v>0</v>
      </c>
      <c r="O28" s="15">
        <f t="shared" si="0"/>
        <v>32</v>
      </c>
      <c r="P28" s="15">
        <f t="shared" si="1"/>
        <v>48</v>
      </c>
      <c r="R28" s="5" t="s">
        <v>17</v>
      </c>
      <c r="S28" s="16">
        <f t="shared" ref="S28:AF28" si="20">SUM(S10:S21)</f>
        <v>279</v>
      </c>
      <c r="T28" s="16">
        <f t="shared" si="20"/>
        <v>106</v>
      </c>
      <c r="U28" s="16">
        <f t="shared" si="20"/>
        <v>120</v>
      </c>
      <c r="V28" s="16">
        <f t="shared" si="20"/>
        <v>252</v>
      </c>
      <c r="W28" s="16">
        <f t="shared" si="20"/>
        <v>10</v>
      </c>
      <c r="X28" s="16">
        <f t="shared" si="20"/>
        <v>32</v>
      </c>
      <c r="Y28" s="16">
        <f t="shared" si="20"/>
        <v>117</v>
      </c>
      <c r="Z28" s="16">
        <f t="shared" si="20"/>
        <v>52</v>
      </c>
      <c r="AA28" s="16">
        <f t="shared" si="20"/>
        <v>82</v>
      </c>
      <c r="AB28" s="16">
        <f t="shared" si="20"/>
        <v>145</v>
      </c>
      <c r="AC28" s="16">
        <f t="shared" si="20"/>
        <v>547</v>
      </c>
      <c r="AD28" s="16">
        <f t="shared" si="20"/>
        <v>0</v>
      </c>
      <c r="AE28" s="32">
        <f t="shared" si="20"/>
        <v>1195</v>
      </c>
      <c r="AF28" s="32">
        <f t="shared" si="20"/>
        <v>1742</v>
      </c>
    </row>
    <row r="29" spans="2:32" ht="23.1" customHeight="1" x14ac:dyDescent="0.25">
      <c r="B29" s="23" t="s">
        <v>56</v>
      </c>
      <c r="C29" s="50">
        <v>3</v>
      </c>
      <c r="D29" s="50">
        <v>2</v>
      </c>
      <c r="E29" s="50">
        <v>3</v>
      </c>
      <c r="F29" s="50">
        <v>4</v>
      </c>
      <c r="G29" s="50">
        <v>0</v>
      </c>
      <c r="H29" s="50">
        <v>2</v>
      </c>
      <c r="I29" s="50">
        <v>2</v>
      </c>
      <c r="J29" s="50">
        <v>3</v>
      </c>
      <c r="K29" s="50">
        <v>5</v>
      </c>
      <c r="L29" s="50">
        <v>9</v>
      </c>
      <c r="M29" s="50">
        <v>19</v>
      </c>
      <c r="N29" s="50">
        <v>0</v>
      </c>
      <c r="O29" s="15">
        <f t="shared" si="0"/>
        <v>33</v>
      </c>
      <c r="P29" s="15">
        <f t="shared" si="1"/>
        <v>52</v>
      </c>
      <c r="R29"/>
      <c r="S29" s="20"/>
      <c r="T29" s="19"/>
    </row>
    <row r="30" spans="2:32" ht="23.1" customHeight="1" x14ac:dyDescent="0.25">
      <c r="B30" s="23" t="s">
        <v>57</v>
      </c>
      <c r="C30" s="50">
        <v>12</v>
      </c>
      <c r="D30" s="50">
        <v>2</v>
      </c>
      <c r="E30" s="50">
        <v>4</v>
      </c>
      <c r="F30" s="50">
        <v>5</v>
      </c>
      <c r="G30" s="50">
        <v>0</v>
      </c>
      <c r="H30" s="50">
        <v>1</v>
      </c>
      <c r="I30" s="50">
        <v>4</v>
      </c>
      <c r="J30" s="50">
        <v>1</v>
      </c>
      <c r="K30" s="50">
        <v>0</v>
      </c>
      <c r="L30" s="50">
        <v>2</v>
      </c>
      <c r="M30" s="50">
        <v>10</v>
      </c>
      <c r="N30" s="50">
        <v>0</v>
      </c>
      <c r="O30" s="15">
        <f t="shared" si="0"/>
        <v>31</v>
      </c>
      <c r="P30" s="15">
        <f t="shared" si="1"/>
        <v>41</v>
      </c>
    </row>
    <row r="31" spans="2:32" ht="23.1" customHeight="1" x14ac:dyDescent="0.25">
      <c r="B31" s="24" t="s">
        <v>58</v>
      </c>
      <c r="C31" s="50">
        <v>6</v>
      </c>
      <c r="D31" s="50">
        <v>13</v>
      </c>
      <c r="E31" s="50">
        <v>3</v>
      </c>
      <c r="F31" s="50">
        <v>8</v>
      </c>
      <c r="G31" s="50">
        <v>0</v>
      </c>
      <c r="H31" s="50">
        <v>0</v>
      </c>
      <c r="I31" s="50">
        <v>4</v>
      </c>
      <c r="J31" s="50">
        <v>1</v>
      </c>
      <c r="K31" s="50">
        <v>3</v>
      </c>
      <c r="L31" s="50">
        <v>0</v>
      </c>
      <c r="M31" s="50">
        <v>18</v>
      </c>
      <c r="N31" s="50">
        <v>0</v>
      </c>
      <c r="O31" s="15">
        <f t="shared" si="0"/>
        <v>38</v>
      </c>
      <c r="P31" s="15">
        <f t="shared" si="1"/>
        <v>56</v>
      </c>
    </row>
    <row r="32" spans="2:32" ht="23.1" customHeight="1" x14ac:dyDescent="0.25">
      <c r="B32" s="24" t="s">
        <v>59</v>
      </c>
      <c r="C32" s="50">
        <v>4</v>
      </c>
      <c r="D32" s="50">
        <v>5</v>
      </c>
      <c r="E32" s="50">
        <v>2</v>
      </c>
      <c r="F32" s="50">
        <v>5</v>
      </c>
      <c r="G32" s="50">
        <v>0</v>
      </c>
      <c r="H32" s="50">
        <v>0</v>
      </c>
      <c r="I32" s="50">
        <v>1</v>
      </c>
      <c r="J32" s="50">
        <v>2</v>
      </c>
      <c r="K32" s="50">
        <v>2</v>
      </c>
      <c r="L32" s="50">
        <v>4</v>
      </c>
      <c r="M32" s="50">
        <v>15</v>
      </c>
      <c r="N32" s="50">
        <v>0</v>
      </c>
      <c r="O32" s="15">
        <f t="shared" si="0"/>
        <v>25</v>
      </c>
      <c r="P32" s="15">
        <f t="shared" si="1"/>
        <v>40</v>
      </c>
    </row>
    <row r="33" spans="2:20" ht="23.1" customHeight="1" x14ac:dyDescent="0.25">
      <c r="B33" s="23" t="s">
        <v>60</v>
      </c>
      <c r="C33" s="50">
        <v>13</v>
      </c>
      <c r="D33" s="50">
        <v>1</v>
      </c>
      <c r="E33" s="50">
        <v>1</v>
      </c>
      <c r="F33" s="50">
        <v>2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1</v>
      </c>
      <c r="M33" s="50">
        <v>8</v>
      </c>
      <c r="N33" s="50">
        <v>0</v>
      </c>
      <c r="O33" s="15">
        <f t="shared" si="0"/>
        <v>19</v>
      </c>
      <c r="P33" s="15">
        <f t="shared" si="1"/>
        <v>27</v>
      </c>
    </row>
    <row r="34" spans="2:20" ht="23.1" customHeight="1" x14ac:dyDescent="0.25">
      <c r="B34" s="24" t="s">
        <v>61</v>
      </c>
      <c r="C34" s="50">
        <v>6</v>
      </c>
      <c r="D34" s="50">
        <v>6</v>
      </c>
      <c r="E34" s="50">
        <v>0</v>
      </c>
      <c r="F34" s="50">
        <v>3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2</v>
      </c>
      <c r="M34" s="50">
        <v>8</v>
      </c>
      <c r="N34" s="50">
        <v>0</v>
      </c>
      <c r="O34" s="15">
        <f t="shared" si="0"/>
        <v>17</v>
      </c>
      <c r="P34" s="15">
        <f t="shared" si="1"/>
        <v>25</v>
      </c>
    </row>
    <row r="35" spans="2:20" ht="23.1" customHeight="1" x14ac:dyDescent="0.25">
      <c r="B35" s="24" t="s">
        <v>62</v>
      </c>
      <c r="C35" s="50">
        <v>5</v>
      </c>
      <c r="D35" s="50">
        <v>3</v>
      </c>
      <c r="E35" s="50">
        <v>2</v>
      </c>
      <c r="F35" s="50">
        <v>5</v>
      </c>
      <c r="G35" s="50">
        <v>0</v>
      </c>
      <c r="H35" s="50">
        <v>2</v>
      </c>
      <c r="I35" s="50">
        <v>2</v>
      </c>
      <c r="J35" s="50">
        <v>2</v>
      </c>
      <c r="K35" s="50">
        <v>0</v>
      </c>
      <c r="L35" s="50">
        <v>3</v>
      </c>
      <c r="M35" s="50">
        <v>6</v>
      </c>
      <c r="N35" s="50">
        <v>0</v>
      </c>
      <c r="O35" s="15">
        <f t="shared" si="0"/>
        <v>24</v>
      </c>
      <c r="P35" s="15">
        <f t="shared" si="1"/>
        <v>30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3</v>
      </c>
      <c r="F36" s="50">
        <v>4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2</v>
      </c>
      <c r="M36" s="50">
        <v>7</v>
      </c>
      <c r="N36" s="50">
        <v>0</v>
      </c>
      <c r="O36" s="15">
        <f t="shared" si="0"/>
        <v>14</v>
      </c>
      <c r="P36" s="15">
        <f t="shared" si="1"/>
        <v>21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3</v>
      </c>
      <c r="G37" s="50">
        <v>0</v>
      </c>
      <c r="H37" s="50">
        <v>4</v>
      </c>
      <c r="I37" s="50">
        <v>1</v>
      </c>
      <c r="J37" s="50">
        <v>0</v>
      </c>
      <c r="K37" s="50">
        <v>0</v>
      </c>
      <c r="L37" s="50">
        <v>0</v>
      </c>
      <c r="M37" s="50">
        <v>18</v>
      </c>
      <c r="N37" s="50">
        <v>0</v>
      </c>
      <c r="O37" s="15">
        <f t="shared" si="0"/>
        <v>8</v>
      </c>
      <c r="P37" s="15">
        <f t="shared" si="1"/>
        <v>26</v>
      </c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0</v>
      </c>
      <c r="F38" s="50">
        <v>6</v>
      </c>
      <c r="G38" s="50">
        <v>0</v>
      </c>
      <c r="H38" s="50">
        <v>5</v>
      </c>
      <c r="I38" s="50">
        <v>2</v>
      </c>
      <c r="J38" s="50">
        <v>0</v>
      </c>
      <c r="K38" s="50">
        <v>1</v>
      </c>
      <c r="L38" s="50">
        <v>4</v>
      </c>
      <c r="M38" s="50">
        <v>8</v>
      </c>
      <c r="N38" s="50">
        <v>0</v>
      </c>
      <c r="O38" s="15">
        <f t="shared" si="0"/>
        <v>22</v>
      </c>
      <c r="P38" s="15">
        <f t="shared" si="1"/>
        <v>30</v>
      </c>
    </row>
    <row r="39" spans="2:20" ht="23.1" customHeight="1" x14ac:dyDescent="0.25">
      <c r="B39" s="24" t="s">
        <v>66</v>
      </c>
      <c r="C39" s="50">
        <v>5</v>
      </c>
      <c r="D39" s="50">
        <v>2</v>
      </c>
      <c r="E39" s="50">
        <v>4</v>
      </c>
      <c r="F39" s="50">
        <v>9</v>
      </c>
      <c r="G39" s="50">
        <v>0</v>
      </c>
      <c r="H39" s="50">
        <v>0</v>
      </c>
      <c r="I39" s="50">
        <v>2</v>
      </c>
      <c r="J39" s="50">
        <v>5</v>
      </c>
      <c r="K39" s="50">
        <v>4</v>
      </c>
      <c r="L39" s="50">
        <v>3</v>
      </c>
      <c r="M39" s="50">
        <v>7</v>
      </c>
      <c r="N39" s="50">
        <v>0</v>
      </c>
      <c r="O39" s="15">
        <f t="shared" si="0"/>
        <v>34</v>
      </c>
      <c r="P39" s="15">
        <f t="shared" si="1"/>
        <v>41</v>
      </c>
    </row>
    <row r="40" spans="2:20" ht="23.1" customHeight="1" x14ac:dyDescent="0.25">
      <c r="B40" s="24" t="s">
        <v>67</v>
      </c>
      <c r="C40" s="50">
        <v>8</v>
      </c>
      <c r="D40" s="50">
        <v>5</v>
      </c>
      <c r="E40" s="50">
        <v>4</v>
      </c>
      <c r="F40" s="50">
        <v>11</v>
      </c>
      <c r="G40" s="50">
        <v>0</v>
      </c>
      <c r="H40" s="50">
        <v>0</v>
      </c>
      <c r="I40" s="50">
        <v>1</v>
      </c>
      <c r="J40" s="50">
        <v>2</v>
      </c>
      <c r="K40" s="50">
        <v>3</v>
      </c>
      <c r="L40" s="50">
        <v>7</v>
      </c>
      <c r="M40" s="50">
        <v>19</v>
      </c>
      <c r="N40" s="50">
        <v>0</v>
      </c>
      <c r="O40" s="15">
        <f t="shared" si="0"/>
        <v>41</v>
      </c>
      <c r="P40" s="15">
        <f t="shared" si="1"/>
        <v>60</v>
      </c>
    </row>
    <row r="41" spans="2:20" ht="23.1" customHeight="1" x14ac:dyDescent="0.25">
      <c r="B41" s="23" t="s">
        <v>68</v>
      </c>
      <c r="C41" s="50">
        <v>7</v>
      </c>
      <c r="D41" s="50">
        <v>2</v>
      </c>
      <c r="E41" s="50">
        <v>1</v>
      </c>
      <c r="F41" s="50">
        <v>6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3</v>
      </c>
      <c r="M41" s="50">
        <v>7</v>
      </c>
      <c r="N41" s="50">
        <v>0</v>
      </c>
      <c r="O41" s="15">
        <f t="shared" si="0"/>
        <v>20</v>
      </c>
      <c r="P41" s="15">
        <f t="shared" si="1"/>
        <v>27</v>
      </c>
    </row>
    <row r="42" spans="2:20" ht="23.1" customHeight="1" x14ac:dyDescent="0.25">
      <c r="B42" s="24" t="s">
        <v>69</v>
      </c>
      <c r="C42" s="50">
        <v>9</v>
      </c>
      <c r="D42" s="50">
        <v>2</v>
      </c>
      <c r="E42" s="50">
        <v>4</v>
      </c>
      <c r="F42" s="50">
        <v>11</v>
      </c>
      <c r="G42" s="50">
        <v>0</v>
      </c>
      <c r="H42" s="50">
        <v>4</v>
      </c>
      <c r="I42" s="50">
        <v>1</v>
      </c>
      <c r="J42" s="50">
        <v>3</v>
      </c>
      <c r="K42" s="50">
        <v>6</v>
      </c>
      <c r="L42" s="50">
        <v>0</v>
      </c>
      <c r="M42" s="50">
        <v>14</v>
      </c>
      <c r="N42" s="50">
        <v>0</v>
      </c>
      <c r="O42" s="15">
        <f t="shared" si="0"/>
        <v>40</v>
      </c>
      <c r="P42" s="15">
        <f t="shared" si="1"/>
        <v>54</v>
      </c>
    </row>
    <row r="43" spans="2:20" ht="23.1" customHeight="1" x14ac:dyDescent="0.25">
      <c r="B43" s="23" t="s">
        <v>70</v>
      </c>
      <c r="C43" s="50">
        <v>4</v>
      </c>
      <c r="D43" s="50">
        <v>1</v>
      </c>
      <c r="E43" s="50">
        <v>3</v>
      </c>
      <c r="F43" s="50">
        <v>4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4</v>
      </c>
      <c r="N43" s="50">
        <v>0</v>
      </c>
      <c r="O43" s="15">
        <f t="shared" si="0"/>
        <v>14</v>
      </c>
      <c r="P43" s="15">
        <f t="shared" si="1"/>
        <v>18</v>
      </c>
    </row>
    <row r="44" spans="2:20" ht="23.1" customHeight="1" x14ac:dyDescent="0.25">
      <c r="B44" s="25" t="s">
        <v>71</v>
      </c>
      <c r="C44" s="50">
        <v>8</v>
      </c>
      <c r="D44" s="50">
        <v>1</v>
      </c>
      <c r="E44" s="50">
        <v>0</v>
      </c>
      <c r="F44" s="50">
        <v>6</v>
      </c>
      <c r="G44" s="50">
        <v>2</v>
      </c>
      <c r="H44" s="50">
        <v>0</v>
      </c>
      <c r="I44" s="50">
        <v>1</v>
      </c>
      <c r="J44" s="50">
        <v>2</v>
      </c>
      <c r="K44" s="50">
        <v>1</v>
      </c>
      <c r="L44" s="50">
        <v>4</v>
      </c>
      <c r="M44" s="50">
        <v>17</v>
      </c>
      <c r="N44" s="50">
        <v>0</v>
      </c>
      <c r="O44" s="15">
        <f t="shared" si="0"/>
        <v>25</v>
      </c>
      <c r="P44" s="15">
        <f t="shared" si="1"/>
        <v>42</v>
      </c>
    </row>
    <row r="45" spans="2:20" ht="23.1" customHeight="1" x14ac:dyDescent="0.25">
      <c r="B45" s="23" t="s">
        <v>72</v>
      </c>
      <c r="C45" s="50">
        <v>4</v>
      </c>
      <c r="D45" s="50">
        <v>1</v>
      </c>
      <c r="E45" s="50">
        <v>2</v>
      </c>
      <c r="F45" s="50">
        <v>4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1</v>
      </c>
      <c r="M45" s="50">
        <v>11</v>
      </c>
      <c r="N45" s="50">
        <v>0</v>
      </c>
      <c r="O45" s="15">
        <f t="shared" si="0"/>
        <v>14</v>
      </c>
      <c r="P45" s="15">
        <f t="shared" si="1"/>
        <v>25</v>
      </c>
    </row>
    <row r="46" spans="2:20" ht="23.1" customHeight="1" x14ac:dyDescent="0.25">
      <c r="B46" s="24" t="s">
        <v>73</v>
      </c>
      <c r="C46" s="50">
        <v>8</v>
      </c>
      <c r="D46" s="50">
        <v>3</v>
      </c>
      <c r="E46" s="50">
        <v>2</v>
      </c>
      <c r="F46" s="50">
        <v>5</v>
      </c>
      <c r="G46" s="50">
        <v>0</v>
      </c>
      <c r="H46" s="50">
        <v>1</v>
      </c>
      <c r="I46" s="50">
        <v>2</v>
      </c>
      <c r="J46" s="50">
        <v>3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0"/>
        <v>24</v>
      </c>
      <c r="P46" s="15">
        <f t="shared" si="1"/>
        <v>35</v>
      </c>
      <c r="R46" s="8"/>
      <c r="T46"/>
    </row>
    <row r="47" spans="2:20" ht="23.1" customHeight="1" x14ac:dyDescent="0.25">
      <c r="B47" s="24" t="s">
        <v>74</v>
      </c>
      <c r="C47" s="50">
        <v>10</v>
      </c>
      <c r="D47" s="50">
        <v>0</v>
      </c>
      <c r="E47" s="50">
        <v>3</v>
      </c>
      <c r="F47" s="50">
        <v>4</v>
      </c>
      <c r="G47" s="50">
        <v>0</v>
      </c>
      <c r="H47" s="50">
        <v>1</v>
      </c>
      <c r="I47" s="50">
        <v>5</v>
      </c>
      <c r="J47" s="50">
        <v>1</v>
      </c>
      <c r="K47" s="50">
        <v>0</v>
      </c>
      <c r="L47" s="50">
        <v>2</v>
      </c>
      <c r="M47" s="50">
        <v>6</v>
      </c>
      <c r="N47" s="50">
        <v>0</v>
      </c>
      <c r="O47" s="15">
        <f t="shared" si="0"/>
        <v>26</v>
      </c>
      <c r="P47" s="15">
        <f t="shared" si="1"/>
        <v>32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3</v>
      </c>
      <c r="M48" s="50">
        <v>5</v>
      </c>
      <c r="N48" s="50">
        <v>0</v>
      </c>
      <c r="O48" s="15">
        <f t="shared" si="0"/>
        <v>9</v>
      </c>
      <c r="P48" s="15">
        <f t="shared" si="1"/>
        <v>14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3</v>
      </c>
      <c r="E49" s="50">
        <v>0</v>
      </c>
      <c r="F49" s="50">
        <v>6</v>
      </c>
      <c r="G49" s="50">
        <v>1</v>
      </c>
      <c r="H49" s="50">
        <v>0</v>
      </c>
      <c r="I49" s="50">
        <v>0</v>
      </c>
      <c r="J49" s="50">
        <v>3</v>
      </c>
      <c r="K49" s="50">
        <v>8</v>
      </c>
      <c r="L49" s="50">
        <v>5</v>
      </c>
      <c r="M49" s="50">
        <v>7</v>
      </c>
      <c r="N49" s="50">
        <v>0</v>
      </c>
      <c r="O49" s="15">
        <f t="shared" si="0"/>
        <v>32</v>
      </c>
      <c r="P49" s="15">
        <f t="shared" si="1"/>
        <v>39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0</v>
      </c>
      <c r="E50" s="50">
        <v>2</v>
      </c>
      <c r="F50" s="50">
        <v>2</v>
      </c>
      <c r="G50" s="50">
        <v>0</v>
      </c>
      <c r="H50" s="50">
        <v>0</v>
      </c>
      <c r="I50" s="50">
        <v>6</v>
      </c>
      <c r="J50" s="50">
        <v>0</v>
      </c>
      <c r="K50" s="50">
        <v>0</v>
      </c>
      <c r="L50" s="50">
        <v>2</v>
      </c>
      <c r="M50" s="50">
        <v>21</v>
      </c>
      <c r="N50" s="50">
        <v>0</v>
      </c>
      <c r="O50" s="15">
        <f t="shared" si="0"/>
        <v>17</v>
      </c>
      <c r="P50" s="15">
        <f t="shared" si="1"/>
        <v>38</v>
      </c>
      <c r="R50" s="8"/>
      <c r="T50"/>
    </row>
    <row r="51" spans="2:20" ht="23.1" customHeight="1" x14ac:dyDescent="0.25">
      <c r="B51" s="24" t="s">
        <v>78</v>
      </c>
      <c r="C51" s="50">
        <v>10</v>
      </c>
      <c r="D51" s="50">
        <v>4</v>
      </c>
      <c r="E51" s="50">
        <v>1</v>
      </c>
      <c r="F51" s="50">
        <v>3</v>
      </c>
      <c r="G51" s="50">
        <v>0</v>
      </c>
      <c r="H51" s="50">
        <v>0</v>
      </c>
      <c r="I51" s="50">
        <v>8</v>
      </c>
      <c r="J51" s="50">
        <v>0</v>
      </c>
      <c r="K51" s="50">
        <v>3</v>
      </c>
      <c r="L51" s="50">
        <v>4</v>
      </c>
      <c r="M51" s="50">
        <v>12</v>
      </c>
      <c r="N51" s="50">
        <v>0</v>
      </c>
      <c r="O51" s="15">
        <f t="shared" si="0"/>
        <v>33</v>
      </c>
      <c r="P51" s="15">
        <f t="shared" si="1"/>
        <v>45</v>
      </c>
      <c r="R51" s="8"/>
      <c r="T51"/>
    </row>
    <row r="52" spans="2:20" ht="23.1" customHeight="1" x14ac:dyDescent="0.25">
      <c r="B52" s="24" t="s">
        <v>79</v>
      </c>
      <c r="C52" s="50">
        <v>8</v>
      </c>
      <c r="D52" s="50">
        <v>1</v>
      </c>
      <c r="E52" s="50">
        <v>4</v>
      </c>
      <c r="F52" s="50">
        <v>4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10</v>
      </c>
      <c r="N52" s="50">
        <v>0</v>
      </c>
      <c r="O52" s="15">
        <f t="shared" si="0"/>
        <v>17</v>
      </c>
      <c r="P52" s="15">
        <f t="shared" si="1"/>
        <v>27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2</v>
      </c>
      <c r="E53" s="50">
        <v>10</v>
      </c>
      <c r="F53" s="50">
        <v>6</v>
      </c>
      <c r="G53" s="50">
        <v>0</v>
      </c>
      <c r="H53" s="50">
        <v>0</v>
      </c>
      <c r="I53" s="50">
        <v>4</v>
      </c>
      <c r="J53" s="50">
        <v>2</v>
      </c>
      <c r="K53" s="50">
        <v>6</v>
      </c>
      <c r="L53" s="50">
        <v>12</v>
      </c>
      <c r="M53" s="50">
        <v>16</v>
      </c>
      <c r="N53" s="50">
        <v>0</v>
      </c>
      <c r="O53" s="15">
        <f t="shared" si="0"/>
        <v>45</v>
      </c>
      <c r="P53" s="15">
        <f t="shared" si="1"/>
        <v>61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2</v>
      </c>
      <c r="E54" s="50">
        <v>1</v>
      </c>
      <c r="F54" s="50">
        <v>4</v>
      </c>
      <c r="G54" s="50">
        <v>0</v>
      </c>
      <c r="H54" s="50">
        <v>1</v>
      </c>
      <c r="I54" s="50">
        <v>2</v>
      </c>
      <c r="J54" s="50">
        <v>0</v>
      </c>
      <c r="K54" s="50">
        <v>1</v>
      </c>
      <c r="L54" s="50">
        <v>3</v>
      </c>
      <c r="M54" s="50">
        <v>12</v>
      </c>
      <c r="N54" s="50">
        <v>0</v>
      </c>
      <c r="O54" s="15">
        <f t="shared" si="0"/>
        <v>21</v>
      </c>
      <c r="P54" s="15">
        <f t="shared" si="1"/>
        <v>33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0</v>
      </c>
      <c r="F55" s="50">
        <v>3</v>
      </c>
      <c r="G55" s="50">
        <v>1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8</v>
      </c>
      <c r="P55" s="15">
        <f t="shared" si="1"/>
        <v>17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2</v>
      </c>
      <c r="E56" s="50">
        <v>4</v>
      </c>
      <c r="F56" s="50">
        <v>8</v>
      </c>
      <c r="G56" s="50">
        <v>0</v>
      </c>
      <c r="H56" s="50">
        <v>1</v>
      </c>
      <c r="I56" s="50">
        <v>0</v>
      </c>
      <c r="J56" s="50">
        <v>8</v>
      </c>
      <c r="K56" s="50">
        <v>12</v>
      </c>
      <c r="L56" s="50">
        <v>4</v>
      </c>
      <c r="M56" s="50">
        <v>27</v>
      </c>
      <c r="N56" s="50">
        <v>0</v>
      </c>
      <c r="O56" s="15">
        <f t="shared" si="0"/>
        <v>42</v>
      </c>
      <c r="P56" s="15">
        <f t="shared" si="1"/>
        <v>69</v>
      </c>
      <c r="R56" s="8"/>
      <c r="T56"/>
    </row>
    <row r="57" spans="2:20" ht="23.1" customHeight="1" x14ac:dyDescent="0.25">
      <c r="B57" s="23" t="s">
        <v>84</v>
      </c>
      <c r="C57" s="50">
        <v>11</v>
      </c>
      <c r="D57" s="50">
        <v>4</v>
      </c>
      <c r="E57" s="50">
        <v>9</v>
      </c>
      <c r="F57" s="50">
        <v>6</v>
      </c>
      <c r="G57" s="50">
        <v>0</v>
      </c>
      <c r="H57" s="50">
        <v>0</v>
      </c>
      <c r="I57" s="50">
        <v>0</v>
      </c>
      <c r="J57" s="50">
        <v>0</v>
      </c>
      <c r="K57" s="50">
        <v>3</v>
      </c>
      <c r="L57" s="50">
        <v>8</v>
      </c>
      <c r="M57" s="50">
        <v>13</v>
      </c>
      <c r="N57" s="50">
        <v>0</v>
      </c>
      <c r="O57" s="15">
        <f t="shared" si="0"/>
        <v>41</v>
      </c>
      <c r="P57" s="15">
        <f t="shared" si="1"/>
        <v>54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279</v>
      </c>
      <c r="D58" s="16">
        <f t="shared" si="21"/>
        <v>106</v>
      </c>
      <c r="E58" s="16">
        <f t="shared" si="21"/>
        <v>120</v>
      </c>
      <c r="F58" s="16">
        <f t="shared" si="21"/>
        <v>252</v>
      </c>
      <c r="G58" s="16">
        <f t="shared" si="21"/>
        <v>10</v>
      </c>
      <c r="H58" s="16">
        <f t="shared" si="21"/>
        <v>32</v>
      </c>
      <c r="I58" s="16">
        <f t="shared" si="21"/>
        <v>117</v>
      </c>
      <c r="J58" s="16">
        <f t="shared" si="21"/>
        <v>52</v>
      </c>
      <c r="K58" s="16">
        <f t="shared" si="21"/>
        <v>82</v>
      </c>
      <c r="L58" s="16">
        <f t="shared" si="21"/>
        <v>145</v>
      </c>
      <c r="M58" s="16">
        <f t="shared" si="21"/>
        <v>547</v>
      </c>
      <c r="N58" s="16">
        <f t="shared" si="21"/>
        <v>0</v>
      </c>
      <c r="O58" s="16">
        <f t="shared" si="21"/>
        <v>1195</v>
      </c>
      <c r="P58" s="16">
        <f t="shared" si="21"/>
        <v>1742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0.16016073478760046</v>
      </c>
      <c r="D59" s="43">
        <f t="shared" si="22"/>
        <v>6.0849598163030996E-2</v>
      </c>
      <c r="E59" s="43">
        <f t="shared" si="22"/>
        <v>6.8886337543053955E-2</v>
      </c>
      <c r="F59" s="43">
        <f t="shared" si="22"/>
        <v>0.14466130884041331</v>
      </c>
      <c r="G59" s="43">
        <f t="shared" si="22"/>
        <v>5.7405281285878304E-3</v>
      </c>
      <c r="H59" s="43">
        <f t="shared" si="22"/>
        <v>1.8369690011481057E-2</v>
      </c>
      <c r="I59" s="43">
        <f t="shared" si="22"/>
        <v>6.7164179104477612E-2</v>
      </c>
      <c r="J59" s="43">
        <f t="shared" si="22"/>
        <v>2.9850746268656716E-2</v>
      </c>
      <c r="K59" s="43">
        <f t="shared" si="22"/>
        <v>4.7072330654420208E-2</v>
      </c>
      <c r="L59" s="43">
        <f t="shared" si="22"/>
        <v>8.3237657864523543E-2</v>
      </c>
      <c r="M59" s="43">
        <f t="shared" si="22"/>
        <v>0.31400688863375431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0.23347280334728032</v>
      </c>
      <c r="D60" s="44">
        <f t="shared" ref="D60:N60" si="23">D58/$O$58</f>
        <v>8.8702928870292894E-2</v>
      </c>
      <c r="E60" s="44">
        <f t="shared" si="23"/>
        <v>0.100418410041841</v>
      </c>
      <c r="F60" s="44">
        <f t="shared" si="23"/>
        <v>0.2108786610878661</v>
      </c>
      <c r="G60" s="44">
        <f t="shared" si="23"/>
        <v>8.368200836820083E-3</v>
      </c>
      <c r="H60" s="44">
        <f t="shared" si="23"/>
        <v>2.6778242677824266E-2</v>
      </c>
      <c r="I60" s="44">
        <f t="shared" si="23"/>
        <v>9.7907949790794979E-2</v>
      </c>
      <c r="J60" s="44">
        <f t="shared" si="23"/>
        <v>4.3514644351464432E-2</v>
      </c>
      <c r="K60" s="44">
        <f t="shared" si="23"/>
        <v>6.8619246861924679E-2</v>
      </c>
      <c r="L60" s="44">
        <f t="shared" si="23"/>
        <v>0.12133891213389121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26"/>
  <sheetViews>
    <sheetView view="pageBreakPreview" topLeftCell="A7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4.5703125" customWidth="1"/>
    <col min="7" max="7" width="14.85546875" customWidth="1"/>
    <col min="8" max="8" width="13.5703125" customWidth="1"/>
    <col min="9" max="9" width="12.42578125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'27.10 Kabale-Mbarara'!C3:G3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32.25" customHeight="1" x14ac:dyDescent="0.25">
      <c r="C5" s="4" t="s">
        <v>3</v>
      </c>
      <c r="D5" s="36" t="str">
        <f>'30.10 Mbarara-Kabale'!D5</f>
        <v>30.10.19</v>
      </c>
      <c r="E5" s="3"/>
      <c r="F5" s="41" t="s">
        <v>1</v>
      </c>
      <c r="G5" s="63" t="str">
        <f>'30.10 Mbarara-Kabale'!G5:H5</f>
        <v>Nyeihanga traffic station</v>
      </c>
      <c r="H5" s="64"/>
      <c r="I5" s="14"/>
      <c r="J5" s="2" t="s">
        <v>5</v>
      </c>
      <c r="K5" s="63" t="s">
        <v>176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'27.10 Kabale-Mbarara'!D6:E6</f>
        <v>Kabale</v>
      </c>
      <c r="E6" s="64"/>
      <c r="F6" s="2" t="s">
        <v>2</v>
      </c>
      <c r="G6" s="63" t="str">
        <f>'27.10 Kabale-Mbarara'!G6:H6</f>
        <v>Mbarara</v>
      </c>
      <c r="H6" s="64"/>
      <c r="J6" s="2" t="s">
        <v>21</v>
      </c>
      <c r="K6" s="63" t="str">
        <f>'30.10 Mbarara-Kabale'!K6:L6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1</v>
      </c>
      <c r="E10" s="50">
        <v>3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3</v>
      </c>
      <c r="M10" s="50">
        <v>4</v>
      </c>
      <c r="N10" s="50">
        <v>0</v>
      </c>
      <c r="O10" s="15">
        <f t="shared" ref="O10:O57" si="0">SUM(C10:L10,N10)</f>
        <v>12</v>
      </c>
      <c r="P10" s="15">
        <f t="shared" ref="P10:P57" si="1">SUM(C10:N10)</f>
        <v>16</v>
      </c>
      <c r="R10" s="1" t="s">
        <v>6</v>
      </c>
      <c r="S10" s="17">
        <f t="shared" ref="S10:AF10" si="2">SUM(C10:C13)</f>
        <v>7</v>
      </c>
      <c r="T10" s="17">
        <f t="shared" si="2"/>
        <v>1</v>
      </c>
      <c r="U10" s="17">
        <f t="shared" si="2"/>
        <v>4</v>
      </c>
      <c r="V10" s="17">
        <f t="shared" si="2"/>
        <v>6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0</v>
      </c>
      <c r="AA10" s="17">
        <f t="shared" si="2"/>
        <v>1</v>
      </c>
      <c r="AB10" s="17">
        <f t="shared" si="2"/>
        <v>6</v>
      </c>
      <c r="AC10" s="17">
        <f t="shared" si="2"/>
        <v>32</v>
      </c>
      <c r="AD10" s="17">
        <f t="shared" si="2"/>
        <v>0</v>
      </c>
      <c r="AE10" s="31">
        <f t="shared" si="2"/>
        <v>27</v>
      </c>
      <c r="AF10" s="31">
        <f t="shared" si="2"/>
        <v>59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2</v>
      </c>
      <c r="P11" s="15">
        <f t="shared" si="1"/>
        <v>11</v>
      </c>
      <c r="R11" s="1" t="s">
        <v>7</v>
      </c>
      <c r="S11" s="17">
        <f t="shared" ref="S11:AF11" si="3">SUM(C14:C17)</f>
        <v>24</v>
      </c>
      <c r="T11" s="17">
        <f t="shared" si="3"/>
        <v>0</v>
      </c>
      <c r="U11" s="17">
        <f t="shared" si="3"/>
        <v>3</v>
      </c>
      <c r="V11" s="17">
        <f t="shared" si="3"/>
        <v>25</v>
      </c>
      <c r="W11" s="17">
        <f t="shared" si="3"/>
        <v>1</v>
      </c>
      <c r="X11" s="17">
        <f t="shared" si="3"/>
        <v>1</v>
      </c>
      <c r="Y11" s="17">
        <f t="shared" si="3"/>
        <v>5</v>
      </c>
      <c r="Z11" s="17">
        <f t="shared" si="3"/>
        <v>3</v>
      </c>
      <c r="AA11" s="17">
        <f t="shared" si="3"/>
        <v>0</v>
      </c>
      <c r="AB11" s="17">
        <f t="shared" si="3"/>
        <v>10</v>
      </c>
      <c r="AC11" s="17">
        <f t="shared" si="3"/>
        <v>44</v>
      </c>
      <c r="AD11" s="17">
        <f t="shared" si="3"/>
        <v>0</v>
      </c>
      <c r="AE11" s="31">
        <f t="shared" si="3"/>
        <v>72</v>
      </c>
      <c r="AF11" s="31">
        <f t="shared" si="3"/>
        <v>116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1</v>
      </c>
      <c r="L12" s="50">
        <v>3</v>
      </c>
      <c r="M12" s="50">
        <v>11</v>
      </c>
      <c r="N12" s="50">
        <v>0</v>
      </c>
      <c r="O12" s="15">
        <f t="shared" si="0"/>
        <v>8</v>
      </c>
      <c r="P12" s="15">
        <f t="shared" si="1"/>
        <v>19</v>
      </c>
      <c r="R12" s="1" t="s">
        <v>8</v>
      </c>
      <c r="S12" s="17">
        <f t="shared" ref="S12:AF12" si="4">SUM(C18:C21)</f>
        <v>30</v>
      </c>
      <c r="T12" s="17">
        <f t="shared" si="4"/>
        <v>2</v>
      </c>
      <c r="U12" s="17">
        <f t="shared" si="4"/>
        <v>2</v>
      </c>
      <c r="V12" s="17">
        <f t="shared" si="4"/>
        <v>21</v>
      </c>
      <c r="W12" s="17">
        <f t="shared" si="4"/>
        <v>0</v>
      </c>
      <c r="X12" s="17">
        <f t="shared" si="4"/>
        <v>2</v>
      </c>
      <c r="Y12" s="17">
        <f t="shared" si="4"/>
        <v>5</v>
      </c>
      <c r="Z12" s="17">
        <f t="shared" si="4"/>
        <v>3</v>
      </c>
      <c r="AA12" s="17">
        <f t="shared" si="4"/>
        <v>1</v>
      </c>
      <c r="AB12" s="17">
        <f t="shared" si="4"/>
        <v>4</v>
      </c>
      <c r="AC12" s="17">
        <f t="shared" si="4"/>
        <v>49</v>
      </c>
      <c r="AD12" s="17">
        <f t="shared" si="4"/>
        <v>0</v>
      </c>
      <c r="AE12" s="31">
        <f t="shared" si="4"/>
        <v>70</v>
      </c>
      <c r="AF12" s="31">
        <f t="shared" si="4"/>
        <v>119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3</v>
      </c>
      <c r="G13" s="50">
        <v>0</v>
      </c>
      <c r="H13" s="50">
        <v>1</v>
      </c>
      <c r="I13" s="50">
        <v>0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5</v>
      </c>
      <c r="P13" s="15">
        <f t="shared" si="1"/>
        <v>13</v>
      </c>
      <c r="R13" s="1" t="s">
        <v>9</v>
      </c>
      <c r="S13" s="17">
        <f t="shared" ref="S13:AF13" si="5">SUM(C22:C25)</f>
        <v>25</v>
      </c>
      <c r="T13" s="17">
        <f t="shared" si="5"/>
        <v>0</v>
      </c>
      <c r="U13" s="17">
        <f t="shared" si="5"/>
        <v>1</v>
      </c>
      <c r="V13" s="17">
        <f t="shared" si="5"/>
        <v>27</v>
      </c>
      <c r="W13" s="17">
        <f t="shared" si="5"/>
        <v>0</v>
      </c>
      <c r="X13" s="17">
        <f t="shared" si="5"/>
        <v>1</v>
      </c>
      <c r="Y13" s="17">
        <f t="shared" si="5"/>
        <v>5</v>
      </c>
      <c r="Z13" s="17">
        <f t="shared" si="5"/>
        <v>5</v>
      </c>
      <c r="AA13" s="17">
        <f t="shared" si="5"/>
        <v>3</v>
      </c>
      <c r="AB13" s="17">
        <f t="shared" si="5"/>
        <v>4</v>
      </c>
      <c r="AC13" s="17">
        <f t="shared" si="5"/>
        <v>70</v>
      </c>
      <c r="AD13" s="17">
        <f t="shared" si="5"/>
        <v>0</v>
      </c>
      <c r="AE13" s="31">
        <f t="shared" si="5"/>
        <v>71</v>
      </c>
      <c r="AF13" s="31">
        <f t="shared" si="5"/>
        <v>141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1</v>
      </c>
      <c r="F14" s="50">
        <v>5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2</v>
      </c>
      <c r="M14" s="50">
        <v>7</v>
      </c>
      <c r="N14" s="50">
        <v>0</v>
      </c>
      <c r="O14" s="15">
        <f t="shared" si="0"/>
        <v>13</v>
      </c>
      <c r="P14" s="15">
        <f t="shared" si="1"/>
        <v>20</v>
      </c>
      <c r="R14" s="1" t="s">
        <v>10</v>
      </c>
      <c r="S14" s="17">
        <f t="shared" ref="S14:AF14" si="6">SUM(C26:C29)</f>
        <v>35</v>
      </c>
      <c r="T14" s="17">
        <f t="shared" si="6"/>
        <v>6</v>
      </c>
      <c r="U14" s="17">
        <f t="shared" si="6"/>
        <v>10</v>
      </c>
      <c r="V14" s="17">
        <f t="shared" si="6"/>
        <v>27</v>
      </c>
      <c r="W14" s="17">
        <f t="shared" si="6"/>
        <v>1</v>
      </c>
      <c r="X14" s="17">
        <f t="shared" si="6"/>
        <v>3</v>
      </c>
      <c r="Y14" s="17">
        <f t="shared" si="6"/>
        <v>4</v>
      </c>
      <c r="Z14" s="17">
        <f t="shared" si="6"/>
        <v>14</v>
      </c>
      <c r="AA14" s="17">
        <f t="shared" si="6"/>
        <v>1</v>
      </c>
      <c r="AB14" s="17">
        <f t="shared" si="6"/>
        <v>9</v>
      </c>
      <c r="AC14" s="17">
        <f t="shared" si="6"/>
        <v>71</v>
      </c>
      <c r="AD14" s="17">
        <f t="shared" si="6"/>
        <v>0</v>
      </c>
      <c r="AE14" s="31">
        <f t="shared" si="6"/>
        <v>110</v>
      </c>
      <c r="AF14" s="31">
        <f t="shared" si="6"/>
        <v>181</v>
      </c>
    </row>
    <row r="15" spans="2:32" ht="23.1" customHeight="1" x14ac:dyDescent="0.25">
      <c r="B15" s="23" t="s">
        <v>42</v>
      </c>
      <c r="C15" s="50">
        <v>7</v>
      </c>
      <c r="D15" s="50">
        <v>0</v>
      </c>
      <c r="E15" s="50">
        <v>1</v>
      </c>
      <c r="F15" s="50">
        <v>7</v>
      </c>
      <c r="G15" s="50">
        <v>0</v>
      </c>
      <c r="H15" s="50">
        <v>1</v>
      </c>
      <c r="I15" s="50">
        <v>1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17</v>
      </c>
      <c r="P15" s="15">
        <f t="shared" si="1"/>
        <v>29</v>
      </c>
      <c r="R15" s="1" t="s">
        <v>11</v>
      </c>
      <c r="S15" s="17">
        <f t="shared" ref="S15:AF15" si="7">SUM(C30:C33)</f>
        <v>27</v>
      </c>
      <c r="T15" s="17">
        <f t="shared" si="7"/>
        <v>0</v>
      </c>
      <c r="U15" s="17">
        <f t="shared" si="7"/>
        <v>7</v>
      </c>
      <c r="V15" s="17">
        <f t="shared" si="7"/>
        <v>34</v>
      </c>
      <c r="W15" s="17">
        <f t="shared" si="7"/>
        <v>1</v>
      </c>
      <c r="X15" s="17">
        <f t="shared" si="7"/>
        <v>2</v>
      </c>
      <c r="Y15" s="17">
        <f t="shared" si="7"/>
        <v>8</v>
      </c>
      <c r="Z15" s="17">
        <f t="shared" si="7"/>
        <v>1</v>
      </c>
      <c r="AA15" s="17">
        <f t="shared" si="7"/>
        <v>1</v>
      </c>
      <c r="AB15" s="17">
        <f t="shared" si="7"/>
        <v>3</v>
      </c>
      <c r="AC15" s="17">
        <f t="shared" si="7"/>
        <v>45</v>
      </c>
      <c r="AD15" s="17">
        <f t="shared" si="7"/>
        <v>0</v>
      </c>
      <c r="AE15" s="31">
        <f t="shared" si="7"/>
        <v>84</v>
      </c>
      <c r="AF15" s="31">
        <f t="shared" si="7"/>
        <v>129</v>
      </c>
    </row>
    <row r="16" spans="2:32" ht="23.1" customHeight="1" x14ac:dyDescent="0.25">
      <c r="B16" s="23" t="s">
        <v>43</v>
      </c>
      <c r="C16" s="50">
        <v>13</v>
      </c>
      <c r="D16" s="50">
        <v>0</v>
      </c>
      <c r="E16" s="50">
        <v>1</v>
      </c>
      <c r="F16" s="50">
        <v>11</v>
      </c>
      <c r="G16" s="50">
        <v>1</v>
      </c>
      <c r="H16" s="50">
        <v>0</v>
      </c>
      <c r="I16" s="50">
        <v>0</v>
      </c>
      <c r="J16" s="50">
        <v>3</v>
      </c>
      <c r="K16" s="50">
        <v>0</v>
      </c>
      <c r="L16" s="50">
        <v>1</v>
      </c>
      <c r="M16" s="50">
        <v>18</v>
      </c>
      <c r="N16" s="50">
        <v>0</v>
      </c>
      <c r="O16" s="15">
        <f t="shared" si="0"/>
        <v>30</v>
      </c>
      <c r="P16" s="15">
        <f t="shared" si="1"/>
        <v>48</v>
      </c>
      <c r="R16" s="1" t="s">
        <v>12</v>
      </c>
      <c r="S16" s="17">
        <f t="shared" ref="S16:AF16" si="8">SUM(C34:C37)</f>
        <v>24</v>
      </c>
      <c r="T16" s="17">
        <f t="shared" si="8"/>
        <v>8</v>
      </c>
      <c r="U16" s="17">
        <f t="shared" si="8"/>
        <v>7</v>
      </c>
      <c r="V16" s="17">
        <f t="shared" si="8"/>
        <v>31</v>
      </c>
      <c r="W16" s="17">
        <f t="shared" si="8"/>
        <v>0</v>
      </c>
      <c r="X16" s="17">
        <f t="shared" si="8"/>
        <v>2</v>
      </c>
      <c r="Y16" s="17">
        <f t="shared" si="8"/>
        <v>0</v>
      </c>
      <c r="Z16" s="17">
        <f t="shared" si="8"/>
        <v>0</v>
      </c>
      <c r="AA16" s="17">
        <f t="shared" si="8"/>
        <v>6</v>
      </c>
      <c r="AB16" s="17">
        <f t="shared" si="8"/>
        <v>10</v>
      </c>
      <c r="AC16" s="17">
        <f t="shared" si="8"/>
        <v>49</v>
      </c>
      <c r="AD16" s="17">
        <f t="shared" si="8"/>
        <v>0</v>
      </c>
      <c r="AE16" s="31">
        <f t="shared" si="8"/>
        <v>88</v>
      </c>
      <c r="AF16" s="31">
        <f t="shared" si="8"/>
        <v>137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7</v>
      </c>
      <c r="M17" s="50">
        <v>7</v>
      </c>
      <c r="N17" s="50">
        <v>0</v>
      </c>
      <c r="O17" s="15">
        <f t="shared" si="0"/>
        <v>12</v>
      </c>
      <c r="P17" s="15">
        <f t="shared" si="1"/>
        <v>19</v>
      </c>
      <c r="R17" s="1" t="s">
        <v>13</v>
      </c>
      <c r="S17" s="17">
        <f t="shared" ref="S17:AF17" si="9">SUM(C38:C41)</f>
        <v>20</v>
      </c>
      <c r="T17" s="17">
        <f t="shared" si="9"/>
        <v>14</v>
      </c>
      <c r="U17" s="17">
        <f t="shared" si="9"/>
        <v>8</v>
      </c>
      <c r="V17" s="17">
        <f t="shared" si="9"/>
        <v>17</v>
      </c>
      <c r="W17" s="17">
        <f t="shared" si="9"/>
        <v>1</v>
      </c>
      <c r="X17" s="17">
        <f t="shared" si="9"/>
        <v>8</v>
      </c>
      <c r="Y17" s="17">
        <f t="shared" si="9"/>
        <v>9</v>
      </c>
      <c r="Z17" s="17">
        <f t="shared" si="9"/>
        <v>11</v>
      </c>
      <c r="AA17" s="17">
        <f t="shared" si="9"/>
        <v>7</v>
      </c>
      <c r="AB17" s="17">
        <f t="shared" si="9"/>
        <v>13</v>
      </c>
      <c r="AC17" s="17">
        <f t="shared" si="9"/>
        <v>27</v>
      </c>
      <c r="AD17" s="17">
        <f t="shared" si="9"/>
        <v>0</v>
      </c>
      <c r="AE17" s="31">
        <f t="shared" si="9"/>
        <v>108</v>
      </c>
      <c r="AF17" s="31">
        <f t="shared" si="9"/>
        <v>135</v>
      </c>
    </row>
    <row r="18" spans="2:32" ht="23.1" customHeight="1" x14ac:dyDescent="0.25">
      <c r="B18" s="23" t="s">
        <v>45</v>
      </c>
      <c r="C18" s="50">
        <v>10</v>
      </c>
      <c r="D18" s="50">
        <v>0</v>
      </c>
      <c r="E18" s="50">
        <v>0</v>
      </c>
      <c r="F18" s="50">
        <v>4</v>
      </c>
      <c r="G18" s="50">
        <v>0</v>
      </c>
      <c r="H18" s="50">
        <v>1</v>
      </c>
      <c r="I18" s="50">
        <v>0</v>
      </c>
      <c r="J18" s="50">
        <v>1</v>
      </c>
      <c r="K18" s="50">
        <v>0</v>
      </c>
      <c r="L18" s="50">
        <v>1</v>
      </c>
      <c r="M18" s="50">
        <v>15</v>
      </c>
      <c r="N18" s="50">
        <v>0</v>
      </c>
      <c r="O18" s="15">
        <f t="shared" si="0"/>
        <v>17</v>
      </c>
      <c r="P18" s="15">
        <f t="shared" si="1"/>
        <v>32</v>
      </c>
      <c r="R18" s="1" t="s">
        <v>14</v>
      </c>
      <c r="S18" s="17">
        <f t="shared" ref="S18:AF18" si="10">SUM(C42:C45)</f>
        <v>20</v>
      </c>
      <c r="T18" s="17">
        <f t="shared" si="10"/>
        <v>1</v>
      </c>
      <c r="U18" s="17">
        <f t="shared" si="10"/>
        <v>1</v>
      </c>
      <c r="V18" s="17">
        <f t="shared" si="10"/>
        <v>18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7</v>
      </c>
      <c r="AA18" s="17">
        <f t="shared" si="10"/>
        <v>12</v>
      </c>
      <c r="AB18" s="17">
        <f t="shared" si="10"/>
        <v>14</v>
      </c>
      <c r="AC18" s="17">
        <f t="shared" si="10"/>
        <v>41</v>
      </c>
      <c r="AD18" s="17">
        <f t="shared" si="10"/>
        <v>0</v>
      </c>
      <c r="AE18" s="31">
        <f t="shared" si="10"/>
        <v>80</v>
      </c>
      <c r="AF18" s="31">
        <f t="shared" si="10"/>
        <v>121</v>
      </c>
    </row>
    <row r="19" spans="2:32" ht="23.1" customHeight="1" x14ac:dyDescent="0.25">
      <c r="B19" s="23" t="s">
        <v>46</v>
      </c>
      <c r="C19" s="50">
        <v>6</v>
      </c>
      <c r="D19" s="50">
        <v>1</v>
      </c>
      <c r="E19" s="50">
        <v>1</v>
      </c>
      <c r="F19" s="50">
        <v>9</v>
      </c>
      <c r="G19" s="50">
        <v>0</v>
      </c>
      <c r="H19" s="50">
        <v>0</v>
      </c>
      <c r="I19" s="50">
        <v>1</v>
      </c>
      <c r="J19" s="50">
        <v>0</v>
      </c>
      <c r="K19" s="50">
        <v>1</v>
      </c>
      <c r="L19" s="50">
        <v>2</v>
      </c>
      <c r="M19" s="50">
        <v>7</v>
      </c>
      <c r="N19" s="50">
        <v>0</v>
      </c>
      <c r="O19" s="15">
        <f t="shared" si="0"/>
        <v>21</v>
      </c>
      <c r="P19" s="15">
        <f t="shared" si="1"/>
        <v>28</v>
      </c>
      <c r="R19" s="1" t="s">
        <v>15</v>
      </c>
      <c r="S19" s="17">
        <f t="shared" ref="S19:AF19" si="11">SUM(C46:C49)</f>
        <v>22</v>
      </c>
      <c r="T19" s="17">
        <f t="shared" si="11"/>
        <v>1</v>
      </c>
      <c r="U19" s="17">
        <f t="shared" si="11"/>
        <v>8</v>
      </c>
      <c r="V19" s="17">
        <f t="shared" si="11"/>
        <v>12</v>
      </c>
      <c r="W19" s="17">
        <f t="shared" si="11"/>
        <v>0</v>
      </c>
      <c r="X19" s="17">
        <f t="shared" si="11"/>
        <v>2</v>
      </c>
      <c r="Y19" s="17">
        <f t="shared" si="11"/>
        <v>8</v>
      </c>
      <c r="Z19" s="17">
        <f t="shared" si="11"/>
        <v>1</v>
      </c>
      <c r="AA19" s="17">
        <f t="shared" si="11"/>
        <v>5</v>
      </c>
      <c r="AB19" s="17">
        <f t="shared" si="11"/>
        <v>9</v>
      </c>
      <c r="AC19" s="17">
        <f t="shared" si="11"/>
        <v>48</v>
      </c>
      <c r="AD19" s="17">
        <f t="shared" si="11"/>
        <v>0</v>
      </c>
      <c r="AE19" s="31">
        <f t="shared" si="11"/>
        <v>68</v>
      </c>
      <c r="AF19" s="31">
        <f t="shared" si="11"/>
        <v>116</v>
      </c>
    </row>
    <row r="20" spans="2:32" ht="23.1" customHeight="1" x14ac:dyDescent="0.25">
      <c r="B20" s="23" t="s">
        <v>47</v>
      </c>
      <c r="C20" s="50">
        <v>12</v>
      </c>
      <c r="D20" s="50">
        <v>1</v>
      </c>
      <c r="E20" s="50">
        <v>1</v>
      </c>
      <c r="F20" s="50">
        <v>6</v>
      </c>
      <c r="G20" s="50">
        <v>0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16</v>
      </c>
      <c r="N20" s="50">
        <v>0</v>
      </c>
      <c r="O20" s="15">
        <f t="shared" si="0"/>
        <v>24</v>
      </c>
      <c r="P20" s="15">
        <f t="shared" si="1"/>
        <v>40</v>
      </c>
      <c r="R20" s="1" t="s">
        <v>16</v>
      </c>
      <c r="S20" s="17">
        <f t="shared" ref="S20:AF20" si="12">SUM(C50:C53)</f>
        <v>28</v>
      </c>
      <c r="T20" s="17">
        <f t="shared" si="12"/>
        <v>2</v>
      </c>
      <c r="U20" s="17">
        <f t="shared" si="12"/>
        <v>1</v>
      </c>
      <c r="V20" s="17">
        <f t="shared" si="12"/>
        <v>21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11</v>
      </c>
      <c r="AB20" s="17">
        <f t="shared" si="12"/>
        <v>1</v>
      </c>
      <c r="AC20" s="17">
        <f t="shared" si="12"/>
        <v>40</v>
      </c>
      <c r="AD20" s="17">
        <f t="shared" si="12"/>
        <v>0</v>
      </c>
      <c r="AE20" s="31">
        <f t="shared" si="12"/>
        <v>67</v>
      </c>
      <c r="AF20" s="31">
        <f t="shared" si="12"/>
        <v>107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2</v>
      </c>
      <c r="G21" s="50">
        <v>0</v>
      </c>
      <c r="H21" s="50">
        <v>1</v>
      </c>
      <c r="I21" s="50">
        <v>0</v>
      </c>
      <c r="J21" s="50">
        <v>2</v>
      </c>
      <c r="K21" s="50">
        <v>0</v>
      </c>
      <c r="L21" s="50">
        <v>1</v>
      </c>
      <c r="M21" s="50">
        <v>11</v>
      </c>
      <c r="N21" s="50">
        <v>0</v>
      </c>
      <c r="O21" s="15">
        <f t="shared" si="0"/>
        <v>8</v>
      </c>
      <c r="P21" s="15">
        <f t="shared" si="1"/>
        <v>19</v>
      </c>
      <c r="R21" s="36" t="s">
        <v>20</v>
      </c>
      <c r="S21" s="34">
        <f t="shared" ref="S21:AF21" si="13">SUM(C54:C57)</f>
        <v>22</v>
      </c>
      <c r="T21" s="17">
        <f t="shared" si="13"/>
        <v>1</v>
      </c>
      <c r="U21" s="17">
        <f t="shared" si="13"/>
        <v>3</v>
      </c>
      <c r="V21" s="17">
        <f t="shared" si="13"/>
        <v>19</v>
      </c>
      <c r="W21" s="17">
        <f t="shared" si="13"/>
        <v>0</v>
      </c>
      <c r="X21" s="17">
        <f t="shared" si="13"/>
        <v>0</v>
      </c>
      <c r="Y21" s="17">
        <f t="shared" si="13"/>
        <v>8</v>
      </c>
      <c r="Z21" s="17">
        <f t="shared" si="13"/>
        <v>2</v>
      </c>
      <c r="AA21" s="17">
        <f t="shared" si="13"/>
        <v>1</v>
      </c>
      <c r="AB21" s="17">
        <f t="shared" si="13"/>
        <v>5</v>
      </c>
      <c r="AC21" s="17">
        <f t="shared" si="13"/>
        <v>40</v>
      </c>
      <c r="AD21" s="17">
        <f t="shared" si="13"/>
        <v>0</v>
      </c>
      <c r="AE21" s="31">
        <f t="shared" si="13"/>
        <v>61</v>
      </c>
      <c r="AF21" s="31">
        <f t="shared" si="13"/>
        <v>101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1</v>
      </c>
      <c r="F22" s="50">
        <v>7</v>
      </c>
      <c r="G22" s="50">
        <v>0</v>
      </c>
      <c r="H22" s="50">
        <v>0</v>
      </c>
      <c r="I22" s="50">
        <v>1</v>
      </c>
      <c r="J22" s="50">
        <v>3</v>
      </c>
      <c r="K22" s="50">
        <v>2</v>
      </c>
      <c r="L22" s="50">
        <v>0</v>
      </c>
      <c r="M22" s="50">
        <v>12</v>
      </c>
      <c r="N22" s="50">
        <v>0</v>
      </c>
      <c r="O22" s="15">
        <f t="shared" si="0"/>
        <v>17</v>
      </c>
      <c r="P22" s="15">
        <f t="shared" si="1"/>
        <v>29</v>
      </c>
      <c r="R22" s="38" t="s">
        <v>90</v>
      </c>
      <c r="S22" s="39">
        <f>MAX(S10:S12)</f>
        <v>30</v>
      </c>
      <c r="T22" s="39">
        <f t="shared" ref="T22:AF22" si="14">MAX(T10:T12)</f>
        <v>2</v>
      </c>
      <c r="U22" s="39">
        <f t="shared" si="14"/>
        <v>4</v>
      </c>
      <c r="V22" s="39">
        <f t="shared" si="14"/>
        <v>25</v>
      </c>
      <c r="W22" s="39">
        <f t="shared" si="14"/>
        <v>1</v>
      </c>
      <c r="X22" s="39">
        <f t="shared" si="14"/>
        <v>2</v>
      </c>
      <c r="Y22" s="39">
        <f t="shared" si="14"/>
        <v>5</v>
      </c>
      <c r="Z22" s="39">
        <f t="shared" si="14"/>
        <v>3</v>
      </c>
      <c r="AA22" s="39">
        <f t="shared" si="14"/>
        <v>1</v>
      </c>
      <c r="AB22" s="39">
        <f t="shared" si="14"/>
        <v>10</v>
      </c>
      <c r="AC22" s="39">
        <f t="shared" si="14"/>
        <v>49</v>
      </c>
      <c r="AD22" s="39">
        <f t="shared" si="14"/>
        <v>0</v>
      </c>
      <c r="AE22" s="40">
        <f t="shared" si="14"/>
        <v>72</v>
      </c>
      <c r="AF22" s="40">
        <f t="shared" si="14"/>
        <v>119</v>
      </c>
    </row>
    <row r="23" spans="2:32" ht="23.1" customHeight="1" x14ac:dyDescent="0.25">
      <c r="B23" s="23" t="s">
        <v>50</v>
      </c>
      <c r="C23" s="50">
        <v>11</v>
      </c>
      <c r="D23" s="50">
        <v>0</v>
      </c>
      <c r="E23" s="50">
        <v>0</v>
      </c>
      <c r="F23" s="50">
        <v>5</v>
      </c>
      <c r="G23" s="50">
        <v>0</v>
      </c>
      <c r="H23" s="50">
        <v>1</v>
      </c>
      <c r="I23" s="50">
        <v>2</v>
      </c>
      <c r="J23" s="50">
        <v>0</v>
      </c>
      <c r="K23" s="50">
        <v>1</v>
      </c>
      <c r="L23" s="50">
        <v>3</v>
      </c>
      <c r="M23" s="50">
        <v>22</v>
      </c>
      <c r="N23" s="50">
        <v>0</v>
      </c>
      <c r="O23" s="15">
        <f t="shared" si="0"/>
        <v>23</v>
      </c>
      <c r="P23" s="15">
        <f t="shared" si="1"/>
        <v>45</v>
      </c>
      <c r="R23" s="38" t="s">
        <v>91</v>
      </c>
      <c r="S23" s="39">
        <f>MAX(S13:S18)</f>
        <v>35</v>
      </c>
      <c r="T23" s="39">
        <f t="shared" ref="T23:AF23" si="15">MAX(T13:T18)</f>
        <v>14</v>
      </c>
      <c r="U23" s="39">
        <f t="shared" si="15"/>
        <v>10</v>
      </c>
      <c r="V23" s="39">
        <f t="shared" si="15"/>
        <v>34</v>
      </c>
      <c r="W23" s="39">
        <f t="shared" si="15"/>
        <v>1</v>
      </c>
      <c r="X23" s="39">
        <f t="shared" si="15"/>
        <v>8</v>
      </c>
      <c r="Y23" s="39">
        <f t="shared" si="15"/>
        <v>9</v>
      </c>
      <c r="Z23" s="39">
        <f t="shared" si="15"/>
        <v>14</v>
      </c>
      <c r="AA23" s="39">
        <f t="shared" si="15"/>
        <v>12</v>
      </c>
      <c r="AB23" s="39">
        <f t="shared" si="15"/>
        <v>14</v>
      </c>
      <c r="AC23" s="39">
        <f t="shared" si="15"/>
        <v>71</v>
      </c>
      <c r="AD23" s="39">
        <f t="shared" si="15"/>
        <v>0</v>
      </c>
      <c r="AE23" s="40">
        <f t="shared" si="15"/>
        <v>110</v>
      </c>
      <c r="AF23" s="40">
        <f t="shared" si="15"/>
        <v>181</v>
      </c>
    </row>
    <row r="24" spans="2:32" ht="23.1" customHeight="1" x14ac:dyDescent="0.25">
      <c r="B24" s="23" t="s">
        <v>51</v>
      </c>
      <c r="C24" s="50">
        <v>9</v>
      </c>
      <c r="D24" s="50">
        <v>0</v>
      </c>
      <c r="E24" s="50">
        <v>0</v>
      </c>
      <c r="F24" s="50">
        <v>9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13</v>
      </c>
      <c r="N24" s="50">
        <v>0</v>
      </c>
      <c r="O24" s="15">
        <f t="shared" si="0"/>
        <v>19</v>
      </c>
      <c r="P24" s="15">
        <f t="shared" si="1"/>
        <v>32</v>
      </c>
      <c r="R24" s="38" t="s">
        <v>92</v>
      </c>
      <c r="S24" s="39">
        <f>MAX(S19:S21)</f>
        <v>28</v>
      </c>
      <c r="T24" s="39">
        <f t="shared" ref="T24:AF24" si="16">MAX(T19:T21)</f>
        <v>2</v>
      </c>
      <c r="U24" s="39">
        <f t="shared" si="16"/>
        <v>8</v>
      </c>
      <c r="V24" s="39">
        <f t="shared" si="16"/>
        <v>21</v>
      </c>
      <c r="W24" s="39">
        <f t="shared" si="16"/>
        <v>0</v>
      </c>
      <c r="X24" s="39">
        <f t="shared" si="16"/>
        <v>2</v>
      </c>
      <c r="Y24" s="39">
        <f t="shared" si="16"/>
        <v>8</v>
      </c>
      <c r="Z24" s="39">
        <f t="shared" si="16"/>
        <v>2</v>
      </c>
      <c r="AA24" s="39">
        <f t="shared" si="16"/>
        <v>11</v>
      </c>
      <c r="AB24" s="39">
        <f t="shared" si="16"/>
        <v>9</v>
      </c>
      <c r="AC24" s="39">
        <f t="shared" si="16"/>
        <v>48</v>
      </c>
      <c r="AD24" s="39">
        <f t="shared" si="16"/>
        <v>0</v>
      </c>
      <c r="AE24" s="40">
        <f t="shared" si="16"/>
        <v>68</v>
      </c>
      <c r="AF24" s="40">
        <f t="shared" si="16"/>
        <v>116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0</v>
      </c>
      <c r="F25" s="50">
        <v>6</v>
      </c>
      <c r="G25" s="50">
        <v>0</v>
      </c>
      <c r="H25" s="50">
        <v>0</v>
      </c>
      <c r="I25" s="50">
        <v>2</v>
      </c>
      <c r="J25" s="50">
        <v>1</v>
      </c>
      <c r="K25" s="50">
        <v>0</v>
      </c>
      <c r="L25" s="50">
        <v>1</v>
      </c>
      <c r="M25" s="50">
        <v>23</v>
      </c>
      <c r="N25" s="50">
        <v>0</v>
      </c>
      <c r="O25" s="15">
        <f t="shared" si="0"/>
        <v>12</v>
      </c>
      <c r="P25" s="15">
        <f t="shared" si="1"/>
        <v>35</v>
      </c>
      <c r="R25" s="37" t="s">
        <v>85</v>
      </c>
      <c r="S25" s="35">
        <f t="shared" ref="S25:AF25" si="17">SUM(S10:S12)</f>
        <v>61</v>
      </c>
      <c r="T25" s="16">
        <f t="shared" si="17"/>
        <v>3</v>
      </c>
      <c r="U25" s="16">
        <f t="shared" si="17"/>
        <v>9</v>
      </c>
      <c r="V25" s="16">
        <f t="shared" si="17"/>
        <v>52</v>
      </c>
      <c r="W25" s="16">
        <f t="shared" si="17"/>
        <v>1</v>
      </c>
      <c r="X25" s="16">
        <f t="shared" si="17"/>
        <v>4</v>
      </c>
      <c r="Y25" s="16">
        <f t="shared" si="17"/>
        <v>11</v>
      </c>
      <c r="Z25" s="16">
        <f t="shared" si="17"/>
        <v>6</v>
      </c>
      <c r="AA25" s="16">
        <f t="shared" si="17"/>
        <v>2</v>
      </c>
      <c r="AB25" s="16">
        <f t="shared" si="17"/>
        <v>20</v>
      </c>
      <c r="AC25" s="16">
        <f t="shared" si="17"/>
        <v>125</v>
      </c>
      <c r="AD25" s="16">
        <f t="shared" si="17"/>
        <v>0</v>
      </c>
      <c r="AE25" s="32">
        <f t="shared" si="17"/>
        <v>169</v>
      </c>
      <c r="AF25" s="32">
        <f t="shared" si="17"/>
        <v>294</v>
      </c>
    </row>
    <row r="26" spans="2:32" ht="23.1" customHeight="1" x14ac:dyDescent="0.25">
      <c r="B26" s="23" t="s">
        <v>53</v>
      </c>
      <c r="C26" s="50">
        <v>10</v>
      </c>
      <c r="D26" s="50">
        <v>1</v>
      </c>
      <c r="E26" s="50">
        <v>1</v>
      </c>
      <c r="F26" s="50">
        <v>6</v>
      </c>
      <c r="G26" s="50">
        <v>1</v>
      </c>
      <c r="H26" s="50">
        <v>3</v>
      </c>
      <c r="I26" s="50">
        <v>0</v>
      </c>
      <c r="J26" s="50">
        <v>3</v>
      </c>
      <c r="K26" s="50">
        <v>1</v>
      </c>
      <c r="L26" s="50">
        <v>1</v>
      </c>
      <c r="M26" s="50">
        <v>20</v>
      </c>
      <c r="N26" s="50">
        <v>0</v>
      </c>
      <c r="O26" s="15">
        <f t="shared" si="0"/>
        <v>27</v>
      </c>
      <c r="P26" s="15">
        <f t="shared" si="1"/>
        <v>47</v>
      </c>
      <c r="R26" s="28" t="s">
        <v>86</v>
      </c>
      <c r="S26" s="16">
        <f t="shared" ref="S26:AF26" si="18">SUM(S13:S18)</f>
        <v>151</v>
      </c>
      <c r="T26" s="16">
        <f t="shared" si="18"/>
        <v>29</v>
      </c>
      <c r="U26" s="16">
        <f t="shared" si="18"/>
        <v>34</v>
      </c>
      <c r="V26" s="16">
        <f t="shared" si="18"/>
        <v>154</v>
      </c>
      <c r="W26" s="16">
        <f t="shared" si="18"/>
        <v>3</v>
      </c>
      <c r="X26" s="16">
        <f t="shared" si="18"/>
        <v>16</v>
      </c>
      <c r="Y26" s="16">
        <f t="shared" si="18"/>
        <v>33</v>
      </c>
      <c r="Z26" s="16">
        <f t="shared" si="18"/>
        <v>38</v>
      </c>
      <c r="AA26" s="16">
        <f t="shared" si="18"/>
        <v>30</v>
      </c>
      <c r="AB26" s="16">
        <f t="shared" si="18"/>
        <v>53</v>
      </c>
      <c r="AC26" s="16">
        <f t="shared" si="18"/>
        <v>303</v>
      </c>
      <c r="AD26" s="16">
        <f t="shared" si="18"/>
        <v>0</v>
      </c>
      <c r="AE26" s="32">
        <f t="shared" si="18"/>
        <v>541</v>
      </c>
      <c r="AF26" s="32">
        <f t="shared" si="18"/>
        <v>844</v>
      </c>
    </row>
    <row r="27" spans="2:32" ht="23.1" customHeight="1" x14ac:dyDescent="0.25">
      <c r="B27" s="23" t="s">
        <v>54</v>
      </c>
      <c r="C27" s="50">
        <v>8</v>
      </c>
      <c r="D27" s="50">
        <v>1</v>
      </c>
      <c r="E27" s="50">
        <v>2</v>
      </c>
      <c r="F27" s="50">
        <v>10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6</v>
      </c>
      <c r="M27" s="50">
        <v>24</v>
      </c>
      <c r="N27" s="50">
        <v>0</v>
      </c>
      <c r="O27" s="15">
        <f t="shared" si="0"/>
        <v>29</v>
      </c>
      <c r="P27" s="15">
        <f t="shared" si="1"/>
        <v>53</v>
      </c>
      <c r="R27" s="29" t="s">
        <v>87</v>
      </c>
      <c r="S27" s="16">
        <f t="shared" ref="S27:AF27" si="19">SUM(S19:S21)</f>
        <v>72</v>
      </c>
      <c r="T27" s="16">
        <f t="shared" si="19"/>
        <v>4</v>
      </c>
      <c r="U27" s="16">
        <f t="shared" si="19"/>
        <v>12</v>
      </c>
      <c r="V27" s="16">
        <f t="shared" si="19"/>
        <v>52</v>
      </c>
      <c r="W27" s="16">
        <f t="shared" si="19"/>
        <v>0</v>
      </c>
      <c r="X27" s="16">
        <f t="shared" si="19"/>
        <v>2</v>
      </c>
      <c r="Y27" s="16">
        <f t="shared" si="19"/>
        <v>18</v>
      </c>
      <c r="Z27" s="16">
        <f t="shared" si="19"/>
        <v>4</v>
      </c>
      <c r="AA27" s="16">
        <f t="shared" si="19"/>
        <v>17</v>
      </c>
      <c r="AB27" s="16">
        <f t="shared" si="19"/>
        <v>15</v>
      </c>
      <c r="AC27" s="16">
        <f t="shared" si="19"/>
        <v>128</v>
      </c>
      <c r="AD27" s="16">
        <f t="shared" si="19"/>
        <v>0</v>
      </c>
      <c r="AE27" s="32">
        <f t="shared" si="19"/>
        <v>196</v>
      </c>
      <c r="AF27" s="32">
        <f t="shared" si="19"/>
        <v>324</v>
      </c>
    </row>
    <row r="28" spans="2:32" ht="23.1" customHeight="1" x14ac:dyDescent="0.25">
      <c r="B28" s="23" t="s">
        <v>55</v>
      </c>
      <c r="C28" s="50">
        <v>10</v>
      </c>
      <c r="D28" s="50">
        <v>4</v>
      </c>
      <c r="E28" s="50">
        <v>7</v>
      </c>
      <c r="F28" s="50">
        <v>3</v>
      </c>
      <c r="G28" s="50">
        <v>0</v>
      </c>
      <c r="H28" s="50">
        <v>0</v>
      </c>
      <c r="I28" s="50">
        <v>3</v>
      </c>
      <c r="J28" s="50">
        <v>10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37</v>
      </c>
      <c r="P28" s="15">
        <f t="shared" si="1"/>
        <v>49</v>
      </c>
      <c r="R28" s="5" t="s">
        <v>17</v>
      </c>
      <c r="S28" s="16">
        <f t="shared" ref="S28:AF28" si="20">SUM(S10:S21)</f>
        <v>284</v>
      </c>
      <c r="T28" s="16">
        <f t="shared" si="20"/>
        <v>36</v>
      </c>
      <c r="U28" s="16">
        <f t="shared" si="20"/>
        <v>55</v>
      </c>
      <c r="V28" s="16">
        <f t="shared" si="20"/>
        <v>258</v>
      </c>
      <c r="W28" s="16">
        <f t="shared" si="20"/>
        <v>4</v>
      </c>
      <c r="X28" s="16">
        <f t="shared" si="20"/>
        <v>22</v>
      </c>
      <c r="Y28" s="16">
        <f t="shared" si="20"/>
        <v>62</v>
      </c>
      <c r="Z28" s="16">
        <f t="shared" si="20"/>
        <v>48</v>
      </c>
      <c r="AA28" s="16">
        <f t="shared" si="20"/>
        <v>49</v>
      </c>
      <c r="AB28" s="16">
        <f t="shared" si="20"/>
        <v>88</v>
      </c>
      <c r="AC28" s="16">
        <f t="shared" si="20"/>
        <v>556</v>
      </c>
      <c r="AD28" s="16">
        <f t="shared" si="20"/>
        <v>0</v>
      </c>
      <c r="AE28" s="32">
        <f t="shared" si="20"/>
        <v>906</v>
      </c>
      <c r="AF28" s="32">
        <f t="shared" si="20"/>
        <v>1462</v>
      </c>
    </row>
    <row r="29" spans="2:32" ht="23.1" customHeight="1" x14ac:dyDescent="0.25">
      <c r="B29" s="23" t="s">
        <v>56</v>
      </c>
      <c r="C29" s="50">
        <v>7</v>
      </c>
      <c r="D29" s="50">
        <v>0</v>
      </c>
      <c r="E29" s="50">
        <v>0</v>
      </c>
      <c r="F29" s="50">
        <v>8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2</v>
      </c>
      <c r="M29" s="50">
        <v>15</v>
      </c>
      <c r="N29" s="50">
        <v>0</v>
      </c>
      <c r="O29" s="15">
        <f t="shared" si="0"/>
        <v>17</v>
      </c>
      <c r="P29" s="15">
        <f t="shared" si="1"/>
        <v>32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0</v>
      </c>
      <c r="E30" s="50">
        <v>0</v>
      </c>
      <c r="F30" s="50">
        <v>5</v>
      </c>
      <c r="G30" s="50">
        <v>1</v>
      </c>
      <c r="H30" s="50">
        <v>2</v>
      </c>
      <c r="I30" s="50">
        <v>2</v>
      </c>
      <c r="J30" s="50">
        <v>1</v>
      </c>
      <c r="K30" s="50">
        <v>0</v>
      </c>
      <c r="L30" s="50">
        <v>0</v>
      </c>
      <c r="M30" s="50">
        <v>7</v>
      </c>
      <c r="N30" s="50">
        <v>0</v>
      </c>
      <c r="O30" s="15">
        <f t="shared" si="0"/>
        <v>22</v>
      </c>
      <c r="P30" s="15">
        <f t="shared" si="1"/>
        <v>29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6</v>
      </c>
      <c r="F31" s="50">
        <v>10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15</v>
      </c>
      <c r="N31" s="50">
        <v>0</v>
      </c>
      <c r="O31" s="15">
        <f t="shared" si="0"/>
        <v>22</v>
      </c>
      <c r="P31" s="15">
        <f t="shared" si="1"/>
        <v>37</v>
      </c>
    </row>
    <row r="32" spans="2:32" ht="23.1" customHeight="1" x14ac:dyDescent="0.25">
      <c r="B32" s="24" t="s">
        <v>59</v>
      </c>
      <c r="C32" s="50">
        <v>8</v>
      </c>
      <c r="D32" s="50">
        <v>0</v>
      </c>
      <c r="E32" s="50">
        <v>1</v>
      </c>
      <c r="F32" s="50">
        <v>6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6</v>
      </c>
      <c r="N32" s="50">
        <v>0</v>
      </c>
      <c r="O32" s="15">
        <f t="shared" si="0"/>
        <v>17</v>
      </c>
      <c r="P32" s="15">
        <f t="shared" si="1"/>
        <v>23</v>
      </c>
    </row>
    <row r="33" spans="2:20" ht="23.1" customHeight="1" x14ac:dyDescent="0.25">
      <c r="B33" s="23" t="s">
        <v>60</v>
      </c>
      <c r="C33" s="50">
        <v>6</v>
      </c>
      <c r="D33" s="50">
        <v>0</v>
      </c>
      <c r="E33" s="50">
        <v>0</v>
      </c>
      <c r="F33" s="50">
        <v>13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3</v>
      </c>
      <c r="M33" s="50">
        <v>17</v>
      </c>
      <c r="N33" s="50">
        <v>0</v>
      </c>
      <c r="O33" s="15">
        <f t="shared" si="0"/>
        <v>23</v>
      </c>
      <c r="P33" s="15">
        <f t="shared" si="1"/>
        <v>40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6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9</v>
      </c>
      <c r="P34" s="15">
        <f t="shared" si="1"/>
        <v>20</v>
      </c>
    </row>
    <row r="35" spans="2:20" ht="23.1" customHeight="1" x14ac:dyDescent="0.25">
      <c r="B35" s="24" t="s">
        <v>62</v>
      </c>
      <c r="C35" s="50">
        <v>15</v>
      </c>
      <c r="D35" s="50">
        <v>2</v>
      </c>
      <c r="E35" s="50">
        <v>0</v>
      </c>
      <c r="F35" s="50">
        <v>11</v>
      </c>
      <c r="G35" s="50">
        <v>0</v>
      </c>
      <c r="H35" s="50">
        <v>2</v>
      </c>
      <c r="I35" s="50">
        <v>0</v>
      </c>
      <c r="J35" s="50">
        <v>0</v>
      </c>
      <c r="K35" s="50">
        <v>0</v>
      </c>
      <c r="L35" s="50">
        <v>0</v>
      </c>
      <c r="M35" s="50">
        <v>21</v>
      </c>
      <c r="N35" s="50">
        <v>0</v>
      </c>
      <c r="O35" s="15">
        <f t="shared" si="0"/>
        <v>30</v>
      </c>
      <c r="P35" s="15">
        <f t="shared" si="1"/>
        <v>51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2</v>
      </c>
      <c r="F36" s="50">
        <v>14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0</v>
      </c>
      <c r="M36" s="50">
        <v>10</v>
      </c>
      <c r="N36" s="50">
        <v>0</v>
      </c>
      <c r="O36" s="15">
        <f t="shared" si="0"/>
        <v>19</v>
      </c>
      <c r="P36" s="15">
        <f t="shared" si="1"/>
        <v>29</v>
      </c>
    </row>
    <row r="37" spans="2:20" ht="23.1" customHeight="1" x14ac:dyDescent="0.25">
      <c r="B37" s="23" t="s">
        <v>64</v>
      </c>
      <c r="C37" s="50">
        <v>4</v>
      </c>
      <c r="D37" s="50">
        <v>6</v>
      </c>
      <c r="E37" s="50">
        <v>5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5</v>
      </c>
      <c r="L37" s="50">
        <v>10</v>
      </c>
      <c r="M37" s="50">
        <v>7</v>
      </c>
      <c r="N37" s="50">
        <v>0</v>
      </c>
      <c r="O37" s="15">
        <f t="shared" si="0"/>
        <v>30</v>
      </c>
      <c r="P37" s="15">
        <f t="shared" si="1"/>
        <v>37</v>
      </c>
    </row>
    <row r="38" spans="2:20" ht="23.1" customHeight="1" x14ac:dyDescent="0.25">
      <c r="B38" s="24" t="s">
        <v>65</v>
      </c>
      <c r="C38" s="50">
        <v>3</v>
      </c>
      <c r="D38" s="50">
        <v>2</v>
      </c>
      <c r="E38" s="50">
        <v>1</v>
      </c>
      <c r="F38" s="50">
        <v>3</v>
      </c>
      <c r="G38" s="50">
        <v>0</v>
      </c>
      <c r="H38" s="50">
        <v>4</v>
      </c>
      <c r="I38" s="50">
        <v>1</v>
      </c>
      <c r="J38" s="50">
        <v>2</v>
      </c>
      <c r="K38" s="50">
        <v>0</v>
      </c>
      <c r="L38" s="50">
        <v>6</v>
      </c>
      <c r="M38" s="50">
        <v>0</v>
      </c>
      <c r="N38" s="50">
        <v>0</v>
      </c>
      <c r="O38" s="15">
        <f t="shared" si="0"/>
        <v>22</v>
      </c>
      <c r="P38" s="15">
        <f t="shared" si="1"/>
        <v>22</v>
      </c>
    </row>
    <row r="39" spans="2:20" ht="23.1" customHeight="1" x14ac:dyDescent="0.25">
      <c r="B39" s="24" t="s">
        <v>66</v>
      </c>
      <c r="C39" s="50">
        <v>7</v>
      </c>
      <c r="D39" s="50">
        <v>4</v>
      </c>
      <c r="E39" s="50">
        <v>4</v>
      </c>
      <c r="F39" s="50">
        <v>9</v>
      </c>
      <c r="G39" s="50">
        <v>0</v>
      </c>
      <c r="H39" s="50">
        <v>2</v>
      </c>
      <c r="I39" s="50">
        <v>3</v>
      </c>
      <c r="J39" s="50">
        <v>6</v>
      </c>
      <c r="K39" s="50">
        <v>3</v>
      </c>
      <c r="L39" s="50">
        <v>0</v>
      </c>
      <c r="M39" s="50">
        <v>6</v>
      </c>
      <c r="N39" s="50">
        <v>0</v>
      </c>
      <c r="O39" s="15">
        <f t="shared" si="0"/>
        <v>38</v>
      </c>
      <c r="P39" s="15">
        <f t="shared" si="1"/>
        <v>44</v>
      </c>
    </row>
    <row r="40" spans="2:20" ht="23.1" customHeight="1" x14ac:dyDescent="0.25">
      <c r="B40" s="24" t="s">
        <v>67</v>
      </c>
      <c r="C40" s="50">
        <v>1</v>
      </c>
      <c r="D40" s="50">
        <v>6</v>
      </c>
      <c r="E40" s="50">
        <v>0</v>
      </c>
      <c r="F40" s="50">
        <v>3</v>
      </c>
      <c r="G40" s="50">
        <v>1</v>
      </c>
      <c r="H40" s="50">
        <v>0</v>
      </c>
      <c r="I40" s="50">
        <v>0</v>
      </c>
      <c r="J40" s="50">
        <v>0</v>
      </c>
      <c r="K40" s="50">
        <v>0</v>
      </c>
      <c r="L40" s="50">
        <v>4</v>
      </c>
      <c r="M40" s="50">
        <v>11</v>
      </c>
      <c r="N40" s="50">
        <v>0</v>
      </c>
      <c r="O40" s="15">
        <f t="shared" si="0"/>
        <v>15</v>
      </c>
      <c r="P40" s="15">
        <f t="shared" si="1"/>
        <v>26</v>
      </c>
    </row>
    <row r="41" spans="2:20" ht="23.1" customHeight="1" x14ac:dyDescent="0.25">
      <c r="B41" s="23" t="s">
        <v>68</v>
      </c>
      <c r="C41" s="50">
        <v>9</v>
      </c>
      <c r="D41" s="50">
        <v>2</v>
      </c>
      <c r="E41" s="50">
        <v>3</v>
      </c>
      <c r="F41" s="50">
        <v>2</v>
      </c>
      <c r="G41" s="50">
        <v>0</v>
      </c>
      <c r="H41" s="50">
        <v>2</v>
      </c>
      <c r="I41" s="50">
        <v>5</v>
      </c>
      <c r="J41" s="50">
        <v>3</v>
      </c>
      <c r="K41" s="50">
        <v>4</v>
      </c>
      <c r="L41" s="50">
        <v>3</v>
      </c>
      <c r="M41" s="50">
        <v>10</v>
      </c>
      <c r="N41" s="50">
        <v>0</v>
      </c>
      <c r="O41" s="15">
        <f t="shared" si="0"/>
        <v>33</v>
      </c>
      <c r="P41" s="15">
        <f t="shared" si="1"/>
        <v>43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0</v>
      </c>
      <c r="F42" s="50">
        <v>6</v>
      </c>
      <c r="G42" s="50">
        <v>0</v>
      </c>
      <c r="H42" s="50">
        <v>0</v>
      </c>
      <c r="I42" s="50">
        <v>3</v>
      </c>
      <c r="J42" s="50">
        <v>0</v>
      </c>
      <c r="K42" s="50">
        <v>2</v>
      </c>
      <c r="L42" s="50">
        <v>8</v>
      </c>
      <c r="M42" s="50">
        <v>5</v>
      </c>
      <c r="N42" s="50">
        <v>0</v>
      </c>
      <c r="O42" s="15">
        <f t="shared" si="0"/>
        <v>23</v>
      </c>
      <c r="P42" s="15">
        <f t="shared" si="1"/>
        <v>28</v>
      </c>
    </row>
    <row r="43" spans="2:20" ht="23.1" customHeight="1" x14ac:dyDescent="0.25">
      <c r="B43" s="23" t="s">
        <v>70</v>
      </c>
      <c r="C43" s="50">
        <v>3</v>
      </c>
      <c r="D43" s="50">
        <v>1</v>
      </c>
      <c r="E43" s="50">
        <v>0</v>
      </c>
      <c r="F43" s="50">
        <v>5</v>
      </c>
      <c r="G43" s="50">
        <v>0</v>
      </c>
      <c r="H43" s="50">
        <v>0</v>
      </c>
      <c r="I43" s="50">
        <v>2</v>
      </c>
      <c r="J43" s="50">
        <v>0</v>
      </c>
      <c r="K43" s="50">
        <v>3</v>
      </c>
      <c r="L43" s="50">
        <v>4</v>
      </c>
      <c r="M43" s="50">
        <v>8</v>
      </c>
      <c r="N43" s="50">
        <v>0</v>
      </c>
      <c r="O43" s="15">
        <f t="shared" si="0"/>
        <v>18</v>
      </c>
      <c r="P43" s="15">
        <f t="shared" si="1"/>
        <v>26</v>
      </c>
    </row>
    <row r="44" spans="2:20" ht="23.1" customHeight="1" x14ac:dyDescent="0.25">
      <c r="B44" s="25" t="s">
        <v>71</v>
      </c>
      <c r="C44" s="50">
        <v>8</v>
      </c>
      <c r="D44" s="50">
        <v>0</v>
      </c>
      <c r="E44" s="50">
        <v>1</v>
      </c>
      <c r="F44" s="50">
        <v>3</v>
      </c>
      <c r="G44" s="50">
        <v>0</v>
      </c>
      <c r="H44" s="50">
        <v>0</v>
      </c>
      <c r="I44" s="50">
        <v>1</v>
      </c>
      <c r="J44" s="50">
        <v>4</v>
      </c>
      <c r="K44" s="50">
        <v>2</v>
      </c>
      <c r="L44" s="50">
        <v>0</v>
      </c>
      <c r="M44" s="50">
        <v>16</v>
      </c>
      <c r="N44" s="50">
        <v>0</v>
      </c>
      <c r="O44" s="15">
        <f t="shared" si="0"/>
        <v>19</v>
      </c>
      <c r="P44" s="15">
        <f t="shared" si="1"/>
        <v>35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0</v>
      </c>
      <c r="F45" s="50">
        <v>4</v>
      </c>
      <c r="G45" s="50">
        <v>0</v>
      </c>
      <c r="H45" s="50">
        <v>0</v>
      </c>
      <c r="I45" s="50">
        <v>1</v>
      </c>
      <c r="J45" s="50">
        <v>3</v>
      </c>
      <c r="K45" s="50">
        <v>5</v>
      </c>
      <c r="L45" s="50">
        <v>2</v>
      </c>
      <c r="M45" s="50">
        <v>12</v>
      </c>
      <c r="N45" s="50">
        <v>0</v>
      </c>
      <c r="O45" s="15">
        <f t="shared" si="0"/>
        <v>20</v>
      </c>
      <c r="P45" s="15">
        <f t="shared" si="1"/>
        <v>32</v>
      </c>
    </row>
    <row r="46" spans="2:20" ht="23.1" customHeight="1" x14ac:dyDescent="0.25">
      <c r="B46" s="24" t="s">
        <v>73</v>
      </c>
      <c r="C46" s="50">
        <v>5</v>
      </c>
      <c r="D46" s="50">
        <v>1</v>
      </c>
      <c r="E46" s="50">
        <v>2</v>
      </c>
      <c r="F46" s="50">
        <v>2</v>
      </c>
      <c r="G46" s="50">
        <v>0</v>
      </c>
      <c r="H46" s="50">
        <v>1</v>
      </c>
      <c r="I46" s="50">
        <v>2</v>
      </c>
      <c r="J46" s="50">
        <v>1</v>
      </c>
      <c r="K46" s="50">
        <v>2</v>
      </c>
      <c r="L46" s="50">
        <v>6</v>
      </c>
      <c r="M46" s="50">
        <v>11</v>
      </c>
      <c r="N46" s="50">
        <v>0</v>
      </c>
      <c r="O46" s="15">
        <f t="shared" si="0"/>
        <v>22</v>
      </c>
      <c r="P46" s="15">
        <f t="shared" si="1"/>
        <v>33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2</v>
      </c>
      <c r="F47" s="50">
        <v>6</v>
      </c>
      <c r="G47" s="50">
        <v>0</v>
      </c>
      <c r="H47" s="50">
        <v>0</v>
      </c>
      <c r="I47" s="50">
        <v>1</v>
      </c>
      <c r="J47" s="50">
        <v>0</v>
      </c>
      <c r="K47" s="50">
        <v>2</v>
      </c>
      <c r="L47" s="50">
        <v>1</v>
      </c>
      <c r="M47" s="50">
        <v>22</v>
      </c>
      <c r="N47" s="50">
        <v>0</v>
      </c>
      <c r="O47" s="15">
        <f t="shared" si="0"/>
        <v>14</v>
      </c>
      <c r="P47" s="15">
        <f t="shared" si="1"/>
        <v>36</v>
      </c>
      <c r="R47" s="8"/>
      <c r="T47"/>
    </row>
    <row r="48" spans="2:20" ht="23.1" customHeight="1" x14ac:dyDescent="0.25">
      <c r="B48" s="24" t="s">
        <v>75</v>
      </c>
      <c r="C48" s="50">
        <v>9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1</v>
      </c>
      <c r="L48" s="50">
        <v>0</v>
      </c>
      <c r="M48" s="50">
        <v>10</v>
      </c>
      <c r="N48" s="50">
        <v>0</v>
      </c>
      <c r="O48" s="15">
        <f t="shared" si="0"/>
        <v>12</v>
      </c>
      <c r="P48" s="15">
        <f t="shared" si="1"/>
        <v>22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0</v>
      </c>
      <c r="E49" s="50">
        <v>3</v>
      </c>
      <c r="F49" s="50">
        <v>4</v>
      </c>
      <c r="G49" s="50">
        <v>0</v>
      </c>
      <c r="H49" s="50">
        <v>1</v>
      </c>
      <c r="I49" s="50">
        <v>4</v>
      </c>
      <c r="J49" s="50">
        <v>0</v>
      </c>
      <c r="K49" s="50">
        <v>0</v>
      </c>
      <c r="L49" s="50">
        <v>2</v>
      </c>
      <c r="M49" s="50">
        <v>5</v>
      </c>
      <c r="N49" s="50">
        <v>0</v>
      </c>
      <c r="O49" s="15">
        <f t="shared" si="0"/>
        <v>20</v>
      </c>
      <c r="P49" s="15">
        <f t="shared" si="1"/>
        <v>25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0</v>
      </c>
      <c r="E50" s="50">
        <v>0</v>
      </c>
      <c r="F50" s="50">
        <v>4</v>
      </c>
      <c r="G50" s="50">
        <v>0</v>
      </c>
      <c r="H50" s="50">
        <v>0</v>
      </c>
      <c r="I50" s="50">
        <v>0</v>
      </c>
      <c r="J50" s="50">
        <v>1</v>
      </c>
      <c r="K50" s="50">
        <v>2</v>
      </c>
      <c r="L50" s="50">
        <v>0</v>
      </c>
      <c r="M50" s="50">
        <v>7</v>
      </c>
      <c r="N50" s="50">
        <v>0</v>
      </c>
      <c r="O50" s="15">
        <f t="shared" si="0"/>
        <v>13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9</v>
      </c>
      <c r="D51" s="50">
        <v>2</v>
      </c>
      <c r="E51" s="50">
        <v>1</v>
      </c>
      <c r="F51" s="50">
        <v>3</v>
      </c>
      <c r="G51" s="50">
        <v>0</v>
      </c>
      <c r="H51" s="50">
        <v>0</v>
      </c>
      <c r="I51" s="50">
        <v>2</v>
      </c>
      <c r="J51" s="50">
        <v>0</v>
      </c>
      <c r="K51" s="50">
        <v>4</v>
      </c>
      <c r="L51" s="50">
        <v>1</v>
      </c>
      <c r="M51" s="50">
        <v>10</v>
      </c>
      <c r="N51" s="50">
        <v>0</v>
      </c>
      <c r="O51" s="15">
        <f t="shared" si="0"/>
        <v>22</v>
      </c>
      <c r="P51" s="15">
        <f t="shared" si="1"/>
        <v>32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0</v>
      </c>
      <c r="E52" s="50">
        <v>0</v>
      </c>
      <c r="F52" s="50">
        <v>10</v>
      </c>
      <c r="G52" s="50">
        <v>0</v>
      </c>
      <c r="H52" s="50">
        <v>0</v>
      </c>
      <c r="I52" s="50">
        <v>0</v>
      </c>
      <c r="J52" s="50">
        <v>0</v>
      </c>
      <c r="K52" s="50">
        <v>2</v>
      </c>
      <c r="L52" s="50">
        <v>0</v>
      </c>
      <c r="M52" s="50">
        <v>17</v>
      </c>
      <c r="N52" s="50">
        <v>0</v>
      </c>
      <c r="O52" s="15">
        <f t="shared" si="0"/>
        <v>17</v>
      </c>
      <c r="P52" s="15">
        <f t="shared" si="1"/>
        <v>34</v>
      </c>
      <c r="R52" s="8"/>
      <c r="T52"/>
    </row>
    <row r="53" spans="2:20" ht="23.1" customHeight="1" x14ac:dyDescent="0.25">
      <c r="B53" s="23" t="s">
        <v>80</v>
      </c>
      <c r="C53" s="50">
        <v>8</v>
      </c>
      <c r="D53" s="50">
        <v>0</v>
      </c>
      <c r="E53" s="50">
        <v>0</v>
      </c>
      <c r="F53" s="50">
        <v>4</v>
      </c>
      <c r="G53" s="50">
        <v>0</v>
      </c>
      <c r="H53" s="50">
        <v>0</v>
      </c>
      <c r="I53" s="50">
        <v>0</v>
      </c>
      <c r="J53" s="50">
        <v>0</v>
      </c>
      <c r="K53" s="50">
        <v>3</v>
      </c>
      <c r="L53" s="50">
        <v>0</v>
      </c>
      <c r="M53" s="50">
        <v>6</v>
      </c>
      <c r="N53" s="50">
        <v>0</v>
      </c>
      <c r="O53" s="15">
        <f t="shared" si="0"/>
        <v>15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1</v>
      </c>
      <c r="F54" s="50">
        <v>2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6</v>
      </c>
      <c r="N54" s="50">
        <v>0</v>
      </c>
      <c r="O54" s="15">
        <f t="shared" si="0"/>
        <v>7</v>
      </c>
      <c r="P54" s="15">
        <f t="shared" si="1"/>
        <v>13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0</v>
      </c>
      <c r="E55" s="50">
        <v>0</v>
      </c>
      <c r="F55" s="50">
        <v>7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2</v>
      </c>
      <c r="M55" s="50">
        <v>11</v>
      </c>
      <c r="N55" s="50">
        <v>0</v>
      </c>
      <c r="O55" s="15">
        <f t="shared" si="0"/>
        <v>15</v>
      </c>
      <c r="P55" s="15">
        <f t="shared" si="1"/>
        <v>26</v>
      </c>
      <c r="R55" s="8"/>
      <c r="T55"/>
    </row>
    <row r="56" spans="2:20" ht="23.1" customHeight="1" x14ac:dyDescent="0.25">
      <c r="B56" s="23" t="s">
        <v>83</v>
      </c>
      <c r="C56" s="50">
        <v>9</v>
      </c>
      <c r="D56" s="50">
        <v>0</v>
      </c>
      <c r="E56" s="50">
        <v>2</v>
      </c>
      <c r="F56" s="50">
        <v>3</v>
      </c>
      <c r="G56" s="50">
        <v>0</v>
      </c>
      <c r="H56" s="50">
        <v>0</v>
      </c>
      <c r="I56" s="50">
        <v>4</v>
      </c>
      <c r="J56" s="50">
        <v>2</v>
      </c>
      <c r="K56" s="50">
        <v>1</v>
      </c>
      <c r="L56" s="50">
        <v>0</v>
      </c>
      <c r="M56" s="50">
        <v>8</v>
      </c>
      <c r="N56" s="50">
        <v>0</v>
      </c>
      <c r="O56" s="15">
        <f t="shared" si="0"/>
        <v>21</v>
      </c>
      <c r="P56" s="15">
        <f t="shared" si="1"/>
        <v>29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1</v>
      </c>
      <c r="E57" s="50">
        <v>0</v>
      </c>
      <c r="F57" s="50">
        <v>7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3</v>
      </c>
      <c r="M57" s="50">
        <v>15</v>
      </c>
      <c r="N57" s="50">
        <v>0</v>
      </c>
      <c r="O57" s="15">
        <f t="shared" si="0"/>
        <v>18</v>
      </c>
      <c r="P57" s="15">
        <f t="shared" si="1"/>
        <v>33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284</v>
      </c>
      <c r="D58" s="16">
        <f t="shared" si="21"/>
        <v>36</v>
      </c>
      <c r="E58" s="16">
        <f t="shared" si="21"/>
        <v>55</v>
      </c>
      <c r="F58" s="16">
        <f t="shared" si="21"/>
        <v>258</v>
      </c>
      <c r="G58" s="16">
        <f t="shared" si="21"/>
        <v>4</v>
      </c>
      <c r="H58" s="16">
        <f t="shared" si="21"/>
        <v>22</v>
      </c>
      <c r="I58" s="16">
        <f t="shared" si="21"/>
        <v>62</v>
      </c>
      <c r="J58" s="16">
        <f t="shared" si="21"/>
        <v>48</v>
      </c>
      <c r="K58" s="16">
        <f t="shared" si="21"/>
        <v>49</v>
      </c>
      <c r="L58" s="16">
        <f t="shared" si="21"/>
        <v>88</v>
      </c>
      <c r="M58" s="16">
        <f t="shared" si="21"/>
        <v>556</v>
      </c>
      <c r="N58" s="16">
        <f t="shared" si="21"/>
        <v>0</v>
      </c>
      <c r="O58" s="16">
        <f t="shared" si="21"/>
        <v>906</v>
      </c>
      <c r="P58" s="16">
        <f t="shared" si="21"/>
        <v>1462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0.19425444596443228</v>
      </c>
      <c r="D59" s="43">
        <f t="shared" si="22"/>
        <v>2.4623803009575923E-2</v>
      </c>
      <c r="E59" s="43">
        <f t="shared" si="22"/>
        <v>3.761969904240766E-2</v>
      </c>
      <c r="F59" s="43">
        <f t="shared" si="22"/>
        <v>0.17647058823529413</v>
      </c>
      <c r="G59" s="43">
        <f t="shared" si="22"/>
        <v>2.7359781121751026E-3</v>
      </c>
      <c r="H59" s="43">
        <f t="shared" si="22"/>
        <v>1.5047879616963064E-2</v>
      </c>
      <c r="I59" s="43">
        <f t="shared" si="22"/>
        <v>4.240766073871409E-2</v>
      </c>
      <c r="J59" s="43">
        <f t="shared" si="22"/>
        <v>3.2831737346101231E-2</v>
      </c>
      <c r="K59" s="43">
        <f t="shared" si="22"/>
        <v>3.3515731874145006E-2</v>
      </c>
      <c r="L59" s="43">
        <f t="shared" si="22"/>
        <v>6.0191518467852256E-2</v>
      </c>
      <c r="M59" s="43">
        <f t="shared" si="22"/>
        <v>0.38030095759233928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0.31346578366445915</v>
      </c>
      <c r="D60" s="44">
        <f t="shared" ref="D60:N60" si="23">D58/$O$58</f>
        <v>3.9735099337748346E-2</v>
      </c>
      <c r="E60" s="44">
        <f t="shared" si="23"/>
        <v>6.0706401766004413E-2</v>
      </c>
      <c r="F60" s="44">
        <f t="shared" si="23"/>
        <v>0.28476821192052981</v>
      </c>
      <c r="G60" s="44">
        <f t="shared" si="23"/>
        <v>4.4150110375275938E-3</v>
      </c>
      <c r="H60" s="44">
        <f t="shared" si="23"/>
        <v>2.4282560706401765E-2</v>
      </c>
      <c r="I60" s="44">
        <f t="shared" si="23"/>
        <v>6.8432671081677707E-2</v>
      </c>
      <c r="J60" s="44">
        <f t="shared" si="23"/>
        <v>5.2980132450331126E-2</v>
      </c>
      <c r="K60" s="44">
        <f t="shared" si="23"/>
        <v>5.4083885209713023E-2</v>
      </c>
      <c r="L60" s="44">
        <f t="shared" si="23"/>
        <v>9.713024282560706E-2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B1:AF174"/>
  <sheetViews>
    <sheetView view="pageBreakPreview" topLeftCell="A49" zoomScale="60" workbookViewId="0">
      <selection activeCell="F102" sqref="F10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2.42578125" customWidth="1"/>
    <col min="4" max="4" width="16.85546875" customWidth="1"/>
    <col min="5" max="5" width="15.28515625" customWidth="1"/>
    <col min="6" max="6" width="15.140625" customWidth="1"/>
    <col min="7" max="7" width="14.85546875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'27.10 Mbarara-Kabale'!C3:G3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8.5" customHeight="1" x14ac:dyDescent="0.25">
      <c r="C5" s="4" t="s">
        <v>3</v>
      </c>
      <c r="D5" s="36" t="s">
        <v>180</v>
      </c>
      <c r="E5" s="3"/>
      <c r="F5" s="41" t="s">
        <v>1</v>
      </c>
      <c r="G5" s="63" t="str">
        <f>'30.10 Kabale -Mbarara'!G5:H5</f>
        <v>Nyeihanga traffic station</v>
      </c>
      <c r="H5" s="64"/>
      <c r="I5" s="14"/>
      <c r="J5" s="2" t="s">
        <v>5</v>
      </c>
      <c r="K5" s="63" t="s">
        <v>181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'27.10 Mbarara-Kabale'!D6:E6</f>
        <v>Mbarara</v>
      </c>
      <c r="E6" s="64"/>
      <c r="F6" s="2" t="s">
        <v>2</v>
      </c>
      <c r="G6" s="63" t="str">
        <f>'27.10 Mbarara-Kabale'!G6:H6</f>
        <v>Kabale</v>
      </c>
      <c r="H6" s="64"/>
      <c r="J6" s="2" t="s">
        <v>21</v>
      </c>
      <c r="K6" s="63" t="str">
        <f>'30.10 Kabale -Mbarara'!K6:L6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0</v>
      </c>
      <c r="F10" s="50">
        <v>2</v>
      </c>
      <c r="G10" s="50">
        <v>1</v>
      </c>
      <c r="H10" s="50">
        <v>0</v>
      </c>
      <c r="I10" s="50">
        <v>1</v>
      </c>
      <c r="J10" s="50">
        <v>3</v>
      </c>
      <c r="K10" s="50">
        <v>0</v>
      </c>
      <c r="L10" s="50">
        <v>2</v>
      </c>
      <c r="M10" s="50">
        <v>18</v>
      </c>
      <c r="N10" s="50">
        <v>0</v>
      </c>
      <c r="O10" s="15">
        <f t="shared" ref="O10:O57" si="0">SUM(C10:L10,N10)</f>
        <v>10</v>
      </c>
      <c r="P10" s="15">
        <f t="shared" ref="P10:P57" si="1">SUM(C10:N10)</f>
        <v>28</v>
      </c>
      <c r="R10" s="1" t="s">
        <v>6</v>
      </c>
      <c r="S10" s="17">
        <f t="shared" ref="S10:AF10" si="2">SUM(C10:C13)</f>
        <v>14</v>
      </c>
      <c r="T10" s="17">
        <f t="shared" si="2"/>
        <v>3</v>
      </c>
      <c r="U10" s="17">
        <f t="shared" si="2"/>
        <v>1</v>
      </c>
      <c r="V10" s="17">
        <f t="shared" si="2"/>
        <v>9</v>
      </c>
      <c r="W10" s="17">
        <f t="shared" si="2"/>
        <v>1</v>
      </c>
      <c r="X10" s="17">
        <f t="shared" si="2"/>
        <v>0</v>
      </c>
      <c r="Y10" s="17">
        <f t="shared" si="2"/>
        <v>5</v>
      </c>
      <c r="Z10" s="17">
        <f t="shared" si="2"/>
        <v>3</v>
      </c>
      <c r="AA10" s="17">
        <f t="shared" si="2"/>
        <v>0</v>
      </c>
      <c r="AB10" s="17">
        <f t="shared" si="2"/>
        <v>7</v>
      </c>
      <c r="AC10" s="17">
        <f t="shared" si="2"/>
        <v>63</v>
      </c>
      <c r="AD10" s="17">
        <f t="shared" si="2"/>
        <v>0</v>
      </c>
      <c r="AE10" s="31">
        <f t="shared" si="2"/>
        <v>43</v>
      </c>
      <c r="AF10" s="31">
        <f t="shared" si="2"/>
        <v>106</v>
      </c>
    </row>
    <row r="11" spans="2:32" s="6" customFormat="1" ht="23.1" customHeight="1" x14ac:dyDescent="0.25">
      <c r="B11" s="45" t="s">
        <v>38</v>
      </c>
      <c r="C11" s="50">
        <v>3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2</v>
      </c>
      <c r="M11" s="50">
        <v>12</v>
      </c>
      <c r="N11" s="50">
        <v>0</v>
      </c>
      <c r="O11" s="15">
        <f t="shared" si="0"/>
        <v>6</v>
      </c>
      <c r="P11" s="15">
        <f t="shared" si="1"/>
        <v>18</v>
      </c>
      <c r="R11" s="1" t="s">
        <v>7</v>
      </c>
      <c r="S11" s="17">
        <f t="shared" ref="S11:AF11" si="3">SUM(C14:C17)</f>
        <v>24</v>
      </c>
      <c r="T11" s="17">
        <f t="shared" si="3"/>
        <v>6</v>
      </c>
      <c r="U11" s="17">
        <f t="shared" si="3"/>
        <v>9</v>
      </c>
      <c r="V11" s="17">
        <f t="shared" si="3"/>
        <v>7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8</v>
      </c>
      <c r="AA11" s="17">
        <f t="shared" si="3"/>
        <v>2</v>
      </c>
      <c r="AB11" s="17">
        <f t="shared" si="3"/>
        <v>7</v>
      </c>
      <c r="AC11" s="17">
        <f t="shared" si="3"/>
        <v>82</v>
      </c>
      <c r="AD11" s="17">
        <f t="shared" si="3"/>
        <v>0</v>
      </c>
      <c r="AE11" s="31">
        <f t="shared" si="3"/>
        <v>64</v>
      </c>
      <c r="AF11" s="31">
        <f t="shared" si="3"/>
        <v>146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1</v>
      </c>
      <c r="F12" s="50">
        <v>3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2</v>
      </c>
      <c r="M12" s="50">
        <v>19</v>
      </c>
      <c r="N12" s="50">
        <v>0</v>
      </c>
      <c r="O12" s="15">
        <f t="shared" si="0"/>
        <v>9</v>
      </c>
      <c r="P12" s="15">
        <f t="shared" si="1"/>
        <v>28</v>
      </c>
      <c r="R12" s="1" t="s">
        <v>8</v>
      </c>
      <c r="S12" s="17">
        <f t="shared" ref="S12:AF12" si="4">SUM(C18:C21)</f>
        <v>27</v>
      </c>
      <c r="T12" s="17">
        <f t="shared" si="4"/>
        <v>8</v>
      </c>
      <c r="U12" s="17">
        <f t="shared" si="4"/>
        <v>9</v>
      </c>
      <c r="V12" s="17">
        <f t="shared" si="4"/>
        <v>16</v>
      </c>
      <c r="W12" s="17">
        <f t="shared" si="4"/>
        <v>1</v>
      </c>
      <c r="X12" s="17">
        <f t="shared" si="4"/>
        <v>3</v>
      </c>
      <c r="Y12" s="17">
        <f t="shared" si="4"/>
        <v>7</v>
      </c>
      <c r="Z12" s="17">
        <f t="shared" si="4"/>
        <v>11</v>
      </c>
      <c r="AA12" s="17">
        <f t="shared" si="4"/>
        <v>3</v>
      </c>
      <c r="AB12" s="17">
        <f t="shared" si="4"/>
        <v>3</v>
      </c>
      <c r="AC12" s="17">
        <f t="shared" si="4"/>
        <v>92</v>
      </c>
      <c r="AD12" s="17">
        <f t="shared" si="4"/>
        <v>0</v>
      </c>
      <c r="AE12" s="31">
        <f t="shared" si="4"/>
        <v>88</v>
      </c>
      <c r="AF12" s="31">
        <f t="shared" si="4"/>
        <v>180</v>
      </c>
    </row>
    <row r="13" spans="2:32" ht="23.1" customHeight="1" x14ac:dyDescent="0.25">
      <c r="B13" s="45" t="s">
        <v>40</v>
      </c>
      <c r="C13" s="50">
        <v>8</v>
      </c>
      <c r="D13" s="50">
        <v>3</v>
      </c>
      <c r="E13" s="50">
        <v>0</v>
      </c>
      <c r="F13" s="50">
        <v>3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1</v>
      </c>
      <c r="M13" s="50">
        <v>14</v>
      </c>
      <c r="N13" s="50">
        <v>0</v>
      </c>
      <c r="O13" s="15">
        <f t="shared" si="0"/>
        <v>18</v>
      </c>
      <c r="P13" s="15">
        <f t="shared" si="1"/>
        <v>32</v>
      </c>
      <c r="R13" s="1" t="s">
        <v>9</v>
      </c>
      <c r="S13" s="17">
        <f t="shared" ref="S13:AF13" si="5">SUM(C22:C25)</f>
        <v>31</v>
      </c>
      <c r="T13" s="17">
        <f t="shared" si="5"/>
        <v>8</v>
      </c>
      <c r="U13" s="17">
        <f t="shared" si="5"/>
        <v>12</v>
      </c>
      <c r="V13" s="17">
        <f t="shared" si="5"/>
        <v>17</v>
      </c>
      <c r="W13" s="17">
        <f t="shared" si="5"/>
        <v>0</v>
      </c>
      <c r="X13" s="17">
        <f t="shared" si="5"/>
        <v>0</v>
      </c>
      <c r="Y13" s="17">
        <f t="shared" si="5"/>
        <v>9</v>
      </c>
      <c r="Z13" s="17">
        <f t="shared" si="5"/>
        <v>9</v>
      </c>
      <c r="AA13" s="17">
        <f t="shared" si="5"/>
        <v>5</v>
      </c>
      <c r="AB13" s="17">
        <f t="shared" si="5"/>
        <v>3</v>
      </c>
      <c r="AC13" s="17">
        <f t="shared" si="5"/>
        <v>102</v>
      </c>
      <c r="AD13" s="17">
        <f t="shared" si="5"/>
        <v>0</v>
      </c>
      <c r="AE13" s="31">
        <f t="shared" si="5"/>
        <v>94</v>
      </c>
      <c r="AF13" s="31">
        <f t="shared" si="5"/>
        <v>196</v>
      </c>
    </row>
    <row r="14" spans="2:32" ht="23.1" customHeight="1" x14ac:dyDescent="0.25">
      <c r="B14" s="45" t="s">
        <v>41</v>
      </c>
      <c r="C14" s="50">
        <v>7</v>
      </c>
      <c r="D14" s="50">
        <v>1</v>
      </c>
      <c r="E14" s="50">
        <v>1</v>
      </c>
      <c r="F14" s="50">
        <v>3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2</v>
      </c>
      <c r="M14" s="50">
        <v>14</v>
      </c>
      <c r="N14" s="50">
        <v>0</v>
      </c>
      <c r="O14" s="15">
        <f t="shared" si="0"/>
        <v>15</v>
      </c>
      <c r="P14" s="15">
        <f t="shared" si="1"/>
        <v>29</v>
      </c>
      <c r="R14" s="1" t="s">
        <v>10</v>
      </c>
      <c r="S14" s="17">
        <f t="shared" ref="S14:AF14" si="6">SUM(C26:C29)</f>
        <v>31</v>
      </c>
      <c r="T14" s="17">
        <f t="shared" si="6"/>
        <v>7</v>
      </c>
      <c r="U14" s="17">
        <f t="shared" si="6"/>
        <v>2</v>
      </c>
      <c r="V14" s="17">
        <f t="shared" si="6"/>
        <v>12</v>
      </c>
      <c r="W14" s="17">
        <f t="shared" si="6"/>
        <v>1</v>
      </c>
      <c r="X14" s="17">
        <f t="shared" si="6"/>
        <v>1</v>
      </c>
      <c r="Y14" s="17">
        <f t="shared" si="6"/>
        <v>6</v>
      </c>
      <c r="Z14" s="17">
        <f t="shared" si="6"/>
        <v>11</v>
      </c>
      <c r="AA14" s="17">
        <f t="shared" si="6"/>
        <v>5</v>
      </c>
      <c r="AB14" s="17">
        <f t="shared" si="6"/>
        <v>5</v>
      </c>
      <c r="AC14" s="17">
        <f t="shared" si="6"/>
        <v>60</v>
      </c>
      <c r="AD14" s="17">
        <f t="shared" si="6"/>
        <v>0</v>
      </c>
      <c r="AE14" s="31">
        <f t="shared" si="6"/>
        <v>81</v>
      </c>
      <c r="AF14" s="31">
        <f t="shared" si="6"/>
        <v>141</v>
      </c>
    </row>
    <row r="15" spans="2:32" ht="23.1" customHeight="1" x14ac:dyDescent="0.25">
      <c r="B15" s="45" t="s">
        <v>42</v>
      </c>
      <c r="C15" s="50">
        <v>6</v>
      </c>
      <c r="D15" s="50">
        <v>1</v>
      </c>
      <c r="E15" s="50">
        <v>1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2</v>
      </c>
      <c r="M15" s="50">
        <v>14</v>
      </c>
      <c r="N15" s="50">
        <v>0</v>
      </c>
      <c r="O15" s="15">
        <f t="shared" si="0"/>
        <v>12</v>
      </c>
      <c r="P15" s="15">
        <f t="shared" si="1"/>
        <v>26</v>
      </c>
      <c r="R15" s="1" t="s">
        <v>11</v>
      </c>
      <c r="S15" s="17">
        <f t="shared" ref="S15:AF15" si="7">SUM(C30:C33)</f>
        <v>26</v>
      </c>
      <c r="T15" s="17">
        <f t="shared" si="7"/>
        <v>11</v>
      </c>
      <c r="U15" s="17">
        <f t="shared" si="7"/>
        <v>4</v>
      </c>
      <c r="V15" s="17">
        <f t="shared" si="7"/>
        <v>15</v>
      </c>
      <c r="W15" s="17">
        <f t="shared" si="7"/>
        <v>0</v>
      </c>
      <c r="X15" s="17">
        <f t="shared" si="7"/>
        <v>3</v>
      </c>
      <c r="Y15" s="17">
        <f t="shared" si="7"/>
        <v>3</v>
      </c>
      <c r="Z15" s="17">
        <f t="shared" si="7"/>
        <v>10</v>
      </c>
      <c r="AA15" s="17">
        <f t="shared" si="7"/>
        <v>2</v>
      </c>
      <c r="AB15" s="17">
        <f t="shared" si="7"/>
        <v>5</v>
      </c>
      <c r="AC15" s="17">
        <f t="shared" si="7"/>
        <v>47</v>
      </c>
      <c r="AD15" s="17">
        <f t="shared" si="7"/>
        <v>0</v>
      </c>
      <c r="AE15" s="31">
        <f t="shared" si="7"/>
        <v>79</v>
      </c>
      <c r="AF15" s="31">
        <f t="shared" si="7"/>
        <v>126</v>
      </c>
    </row>
    <row r="16" spans="2:32" ht="23.1" customHeight="1" x14ac:dyDescent="0.25">
      <c r="B16" s="45" t="s">
        <v>43</v>
      </c>
      <c r="C16" s="50">
        <v>6</v>
      </c>
      <c r="D16" s="50">
        <v>2</v>
      </c>
      <c r="E16" s="50">
        <v>2</v>
      </c>
      <c r="F16" s="50">
        <v>1</v>
      </c>
      <c r="G16" s="50">
        <v>0</v>
      </c>
      <c r="H16" s="50">
        <v>0</v>
      </c>
      <c r="I16" s="50">
        <v>0</v>
      </c>
      <c r="J16" s="50">
        <v>5</v>
      </c>
      <c r="K16" s="50">
        <v>1</v>
      </c>
      <c r="L16" s="50">
        <v>1</v>
      </c>
      <c r="M16" s="50">
        <v>24</v>
      </c>
      <c r="N16" s="50">
        <v>0</v>
      </c>
      <c r="O16" s="15">
        <f t="shared" si="0"/>
        <v>18</v>
      </c>
      <c r="P16" s="15">
        <f t="shared" si="1"/>
        <v>42</v>
      </c>
      <c r="R16" s="1" t="s">
        <v>12</v>
      </c>
      <c r="S16" s="17">
        <f t="shared" ref="S16:AF16" si="8">SUM(C34:C37)</f>
        <v>27</v>
      </c>
      <c r="T16" s="17">
        <f t="shared" si="8"/>
        <v>10</v>
      </c>
      <c r="U16" s="17">
        <f t="shared" si="8"/>
        <v>5</v>
      </c>
      <c r="V16" s="17">
        <f t="shared" si="8"/>
        <v>14</v>
      </c>
      <c r="W16" s="17">
        <f t="shared" si="8"/>
        <v>1</v>
      </c>
      <c r="X16" s="17">
        <f t="shared" si="8"/>
        <v>1</v>
      </c>
      <c r="Y16" s="17">
        <f t="shared" si="8"/>
        <v>3</v>
      </c>
      <c r="Z16" s="17">
        <f t="shared" si="8"/>
        <v>5</v>
      </c>
      <c r="AA16" s="17">
        <f t="shared" si="8"/>
        <v>0</v>
      </c>
      <c r="AB16" s="17">
        <f t="shared" si="8"/>
        <v>2</v>
      </c>
      <c r="AC16" s="17">
        <f t="shared" si="8"/>
        <v>48</v>
      </c>
      <c r="AD16" s="17">
        <f t="shared" si="8"/>
        <v>0</v>
      </c>
      <c r="AE16" s="31">
        <f t="shared" si="8"/>
        <v>68</v>
      </c>
      <c r="AF16" s="31">
        <f t="shared" si="8"/>
        <v>116</v>
      </c>
    </row>
    <row r="17" spans="2:32" ht="23.1" customHeight="1" x14ac:dyDescent="0.25">
      <c r="B17" s="45" t="s">
        <v>44</v>
      </c>
      <c r="C17" s="50">
        <v>5</v>
      </c>
      <c r="D17" s="50">
        <v>2</v>
      </c>
      <c r="E17" s="50">
        <v>5</v>
      </c>
      <c r="F17" s="50">
        <v>2</v>
      </c>
      <c r="G17" s="50">
        <v>0</v>
      </c>
      <c r="H17" s="50">
        <v>0</v>
      </c>
      <c r="I17" s="50">
        <v>0</v>
      </c>
      <c r="J17" s="50">
        <v>2</v>
      </c>
      <c r="K17" s="50">
        <v>1</v>
      </c>
      <c r="L17" s="50">
        <v>2</v>
      </c>
      <c r="M17" s="50">
        <v>30</v>
      </c>
      <c r="N17" s="50">
        <v>0</v>
      </c>
      <c r="O17" s="15">
        <f t="shared" si="0"/>
        <v>19</v>
      </c>
      <c r="P17" s="15">
        <f t="shared" si="1"/>
        <v>49</v>
      </c>
      <c r="R17" s="1" t="s">
        <v>13</v>
      </c>
      <c r="S17" s="17">
        <f t="shared" ref="S17:AF17" si="9">SUM(C38:C41)</f>
        <v>30</v>
      </c>
      <c r="T17" s="17">
        <f t="shared" si="9"/>
        <v>6</v>
      </c>
      <c r="U17" s="17">
        <f t="shared" si="9"/>
        <v>5</v>
      </c>
      <c r="V17" s="17">
        <f t="shared" si="9"/>
        <v>14</v>
      </c>
      <c r="W17" s="17">
        <f t="shared" si="9"/>
        <v>4</v>
      </c>
      <c r="X17" s="17">
        <f t="shared" si="9"/>
        <v>3</v>
      </c>
      <c r="Y17" s="17">
        <f t="shared" si="9"/>
        <v>9</v>
      </c>
      <c r="Z17" s="17">
        <f t="shared" si="9"/>
        <v>7</v>
      </c>
      <c r="AA17" s="17">
        <f t="shared" si="9"/>
        <v>3</v>
      </c>
      <c r="AB17" s="17">
        <f t="shared" si="9"/>
        <v>4</v>
      </c>
      <c r="AC17" s="17">
        <f t="shared" si="9"/>
        <v>102</v>
      </c>
      <c r="AD17" s="17">
        <f t="shared" si="9"/>
        <v>0</v>
      </c>
      <c r="AE17" s="31">
        <f t="shared" si="9"/>
        <v>85</v>
      </c>
      <c r="AF17" s="31">
        <f t="shared" si="9"/>
        <v>187</v>
      </c>
    </row>
    <row r="18" spans="2:32" ht="23.1" customHeight="1" x14ac:dyDescent="0.25">
      <c r="B18" s="45" t="s">
        <v>45</v>
      </c>
      <c r="C18" s="50">
        <v>5</v>
      </c>
      <c r="D18" s="50">
        <v>4</v>
      </c>
      <c r="E18" s="50">
        <v>3</v>
      </c>
      <c r="F18" s="50">
        <v>4</v>
      </c>
      <c r="G18" s="50">
        <v>1</v>
      </c>
      <c r="H18" s="50">
        <v>2</v>
      </c>
      <c r="I18" s="50">
        <v>2</v>
      </c>
      <c r="J18" s="50">
        <v>4</v>
      </c>
      <c r="K18" s="50">
        <v>2</v>
      </c>
      <c r="L18" s="50">
        <v>1</v>
      </c>
      <c r="M18" s="50">
        <v>27</v>
      </c>
      <c r="N18" s="50">
        <v>0</v>
      </c>
      <c r="O18" s="15">
        <f t="shared" si="0"/>
        <v>28</v>
      </c>
      <c r="P18" s="15">
        <f t="shared" si="1"/>
        <v>55</v>
      </c>
      <c r="R18" s="1" t="s">
        <v>14</v>
      </c>
      <c r="S18" s="17">
        <f t="shared" ref="S18:AF18" si="10">SUM(C42:C45)</f>
        <v>29</v>
      </c>
      <c r="T18" s="17">
        <f t="shared" si="10"/>
        <v>6</v>
      </c>
      <c r="U18" s="17">
        <f t="shared" si="10"/>
        <v>5</v>
      </c>
      <c r="V18" s="17">
        <f t="shared" si="10"/>
        <v>19</v>
      </c>
      <c r="W18" s="17">
        <f t="shared" si="10"/>
        <v>2</v>
      </c>
      <c r="X18" s="17">
        <f t="shared" si="10"/>
        <v>3</v>
      </c>
      <c r="Y18" s="17">
        <f t="shared" si="10"/>
        <v>6</v>
      </c>
      <c r="Z18" s="17">
        <f t="shared" si="10"/>
        <v>7</v>
      </c>
      <c r="AA18" s="17">
        <f t="shared" si="10"/>
        <v>0</v>
      </c>
      <c r="AB18" s="17">
        <f t="shared" si="10"/>
        <v>3</v>
      </c>
      <c r="AC18" s="17">
        <f t="shared" si="10"/>
        <v>89</v>
      </c>
      <c r="AD18" s="17">
        <f t="shared" si="10"/>
        <v>0</v>
      </c>
      <c r="AE18" s="31">
        <f t="shared" si="10"/>
        <v>80</v>
      </c>
      <c r="AF18" s="31">
        <f t="shared" si="10"/>
        <v>169</v>
      </c>
    </row>
    <row r="19" spans="2:32" ht="23.1" customHeight="1" x14ac:dyDescent="0.25">
      <c r="B19" s="45" t="s">
        <v>46</v>
      </c>
      <c r="C19" s="50">
        <v>6</v>
      </c>
      <c r="D19" s="50">
        <v>2</v>
      </c>
      <c r="E19" s="50">
        <v>4</v>
      </c>
      <c r="F19" s="50">
        <v>2</v>
      </c>
      <c r="G19" s="50">
        <v>0</v>
      </c>
      <c r="H19" s="50">
        <v>0</v>
      </c>
      <c r="I19" s="50">
        <v>2</v>
      </c>
      <c r="J19" s="50">
        <v>3</v>
      </c>
      <c r="K19" s="50">
        <v>0</v>
      </c>
      <c r="L19" s="50">
        <v>0</v>
      </c>
      <c r="M19" s="50">
        <v>13</v>
      </c>
      <c r="N19" s="50">
        <v>0</v>
      </c>
      <c r="O19" s="15">
        <f t="shared" si="0"/>
        <v>19</v>
      </c>
      <c r="P19" s="15">
        <f t="shared" si="1"/>
        <v>32</v>
      </c>
      <c r="R19" s="1" t="s">
        <v>15</v>
      </c>
      <c r="S19" s="17">
        <f t="shared" ref="S19:AF19" si="11">SUM(C46:C49)</f>
        <v>30</v>
      </c>
      <c r="T19" s="17">
        <f t="shared" si="11"/>
        <v>4</v>
      </c>
      <c r="U19" s="17">
        <f t="shared" si="11"/>
        <v>4</v>
      </c>
      <c r="V19" s="17">
        <f t="shared" si="11"/>
        <v>20</v>
      </c>
      <c r="W19" s="17">
        <f t="shared" si="11"/>
        <v>0</v>
      </c>
      <c r="X19" s="17">
        <f t="shared" si="11"/>
        <v>2</v>
      </c>
      <c r="Y19" s="17">
        <f t="shared" si="11"/>
        <v>5</v>
      </c>
      <c r="Z19" s="17">
        <f t="shared" si="11"/>
        <v>4</v>
      </c>
      <c r="AA19" s="17">
        <f t="shared" si="11"/>
        <v>0</v>
      </c>
      <c r="AB19" s="17">
        <f t="shared" si="11"/>
        <v>3</v>
      </c>
      <c r="AC19" s="17">
        <f t="shared" si="11"/>
        <v>73</v>
      </c>
      <c r="AD19" s="17">
        <f t="shared" si="11"/>
        <v>0</v>
      </c>
      <c r="AE19" s="31">
        <f t="shared" si="11"/>
        <v>72</v>
      </c>
      <c r="AF19" s="31">
        <f t="shared" si="11"/>
        <v>145</v>
      </c>
    </row>
    <row r="20" spans="2:32" ht="23.1" customHeight="1" x14ac:dyDescent="0.25">
      <c r="B20" s="45" t="s">
        <v>47</v>
      </c>
      <c r="C20" s="50">
        <v>8</v>
      </c>
      <c r="D20" s="50">
        <v>1</v>
      </c>
      <c r="E20" s="50">
        <v>1</v>
      </c>
      <c r="F20" s="50">
        <v>6</v>
      </c>
      <c r="G20" s="50">
        <v>0</v>
      </c>
      <c r="H20" s="50">
        <v>0</v>
      </c>
      <c r="I20" s="50">
        <v>0</v>
      </c>
      <c r="J20" s="50">
        <v>3</v>
      </c>
      <c r="K20" s="50">
        <v>1</v>
      </c>
      <c r="L20" s="50">
        <v>1</v>
      </c>
      <c r="M20" s="50">
        <v>24</v>
      </c>
      <c r="N20" s="50">
        <v>0</v>
      </c>
      <c r="O20" s="15">
        <f t="shared" si="0"/>
        <v>21</v>
      </c>
      <c r="P20" s="15">
        <f t="shared" si="1"/>
        <v>45</v>
      </c>
      <c r="R20" s="1" t="s">
        <v>16</v>
      </c>
      <c r="S20" s="17">
        <f t="shared" ref="S20:AF20" si="12">SUM(C50:C53)</f>
        <v>24</v>
      </c>
      <c r="T20" s="17">
        <f t="shared" si="12"/>
        <v>6</v>
      </c>
      <c r="U20" s="17">
        <f t="shared" si="12"/>
        <v>6</v>
      </c>
      <c r="V20" s="17">
        <f t="shared" si="12"/>
        <v>15</v>
      </c>
      <c r="W20" s="17">
        <f t="shared" si="12"/>
        <v>1</v>
      </c>
      <c r="X20" s="17">
        <f t="shared" si="12"/>
        <v>3</v>
      </c>
      <c r="Y20" s="17">
        <f t="shared" si="12"/>
        <v>5</v>
      </c>
      <c r="Z20" s="17">
        <f t="shared" si="12"/>
        <v>4</v>
      </c>
      <c r="AA20" s="17">
        <f t="shared" si="12"/>
        <v>2</v>
      </c>
      <c r="AB20" s="17">
        <f t="shared" si="12"/>
        <v>2</v>
      </c>
      <c r="AC20" s="17">
        <f t="shared" si="12"/>
        <v>75</v>
      </c>
      <c r="AD20" s="17">
        <f t="shared" si="12"/>
        <v>0</v>
      </c>
      <c r="AE20" s="31">
        <f t="shared" si="12"/>
        <v>68</v>
      </c>
      <c r="AF20" s="31">
        <f t="shared" si="12"/>
        <v>143</v>
      </c>
    </row>
    <row r="21" spans="2:32" ht="23.1" customHeight="1" x14ac:dyDescent="0.25">
      <c r="B21" s="45" t="s">
        <v>48</v>
      </c>
      <c r="C21" s="50">
        <v>8</v>
      </c>
      <c r="D21" s="50">
        <v>1</v>
      </c>
      <c r="E21" s="50">
        <v>1</v>
      </c>
      <c r="F21" s="50">
        <v>4</v>
      </c>
      <c r="G21" s="50">
        <v>0</v>
      </c>
      <c r="H21" s="50">
        <v>1</v>
      </c>
      <c r="I21" s="50">
        <v>3</v>
      </c>
      <c r="J21" s="50">
        <v>1</v>
      </c>
      <c r="K21" s="50">
        <v>0</v>
      </c>
      <c r="L21" s="50">
        <v>1</v>
      </c>
      <c r="M21" s="50">
        <v>28</v>
      </c>
      <c r="N21" s="50">
        <v>0</v>
      </c>
      <c r="O21" s="15">
        <f t="shared" si="0"/>
        <v>20</v>
      </c>
      <c r="P21" s="15">
        <f t="shared" si="1"/>
        <v>48</v>
      </c>
      <c r="R21" s="36" t="s">
        <v>20</v>
      </c>
      <c r="S21" s="34">
        <f t="shared" ref="S21:AF21" si="13">SUM(C54:C57)</f>
        <v>30</v>
      </c>
      <c r="T21" s="17">
        <f t="shared" si="13"/>
        <v>8</v>
      </c>
      <c r="U21" s="17">
        <f t="shared" si="13"/>
        <v>0</v>
      </c>
      <c r="V21" s="17">
        <f t="shared" si="13"/>
        <v>18</v>
      </c>
      <c r="W21" s="17">
        <f t="shared" si="13"/>
        <v>1</v>
      </c>
      <c r="X21" s="17">
        <f t="shared" si="13"/>
        <v>2</v>
      </c>
      <c r="Y21" s="17">
        <f t="shared" si="13"/>
        <v>3</v>
      </c>
      <c r="Z21" s="17">
        <f t="shared" si="13"/>
        <v>3</v>
      </c>
      <c r="AA21" s="17">
        <f t="shared" si="13"/>
        <v>1</v>
      </c>
      <c r="AB21" s="17">
        <f t="shared" si="13"/>
        <v>2</v>
      </c>
      <c r="AC21" s="17">
        <f t="shared" si="13"/>
        <v>75</v>
      </c>
      <c r="AD21" s="17">
        <f t="shared" si="13"/>
        <v>0</v>
      </c>
      <c r="AE21" s="31">
        <f t="shared" si="13"/>
        <v>68</v>
      </c>
      <c r="AF21" s="31">
        <f t="shared" si="13"/>
        <v>143</v>
      </c>
    </row>
    <row r="22" spans="2:32" ht="23.1" customHeight="1" x14ac:dyDescent="0.25">
      <c r="B22" s="45" t="s">
        <v>49</v>
      </c>
      <c r="C22" s="50">
        <v>13</v>
      </c>
      <c r="D22" s="50">
        <v>2</v>
      </c>
      <c r="E22" s="50">
        <v>5</v>
      </c>
      <c r="F22" s="50">
        <v>4</v>
      </c>
      <c r="G22" s="50">
        <v>0</v>
      </c>
      <c r="H22" s="50">
        <v>0</v>
      </c>
      <c r="I22" s="50">
        <v>3</v>
      </c>
      <c r="J22" s="50">
        <v>0</v>
      </c>
      <c r="K22" s="50">
        <v>3</v>
      </c>
      <c r="L22" s="50">
        <v>3</v>
      </c>
      <c r="M22" s="50">
        <v>24</v>
      </c>
      <c r="N22" s="50">
        <v>0</v>
      </c>
      <c r="O22" s="15">
        <f t="shared" si="0"/>
        <v>33</v>
      </c>
      <c r="P22" s="15">
        <f t="shared" si="1"/>
        <v>57</v>
      </c>
      <c r="R22" s="36" t="s">
        <v>146</v>
      </c>
      <c r="S22" s="34">
        <f>SUM(C58:C61)</f>
        <v>22</v>
      </c>
      <c r="T22" s="34">
        <f t="shared" ref="T22:AF22" si="14">SUM(D58:D61)</f>
        <v>18</v>
      </c>
      <c r="U22" s="34">
        <f t="shared" si="14"/>
        <v>5</v>
      </c>
      <c r="V22" s="34">
        <f t="shared" si="14"/>
        <v>41</v>
      </c>
      <c r="W22" s="34">
        <f t="shared" si="14"/>
        <v>3</v>
      </c>
      <c r="X22" s="34">
        <f t="shared" si="14"/>
        <v>0</v>
      </c>
      <c r="Y22" s="34">
        <f t="shared" si="14"/>
        <v>8</v>
      </c>
      <c r="Z22" s="34">
        <f t="shared" si="14"/>
        <v>18</v>
      </c>
      <c r="AA22" s="34">
        <f t="shared" si="14"/>
        <v>19</v>
      </c>
      <c r="AB22" s="34">
        <f t="shared" si="14"/>
        <v>27</v>
      </c>
      <c r="AC22" s="34">
        <f t="shared" si="14"/>
        <v>46</v>
      </c>
      <c r="AD22" s="34">
        <f t="shared" si="14"/>
        <v>0</v>
      </c>
      <c r="AE22" s="31">
        <f t="shared" si="14"/>
        <v>161</v>
      </c>
      <c r="AF22" s="31">
        <f t="shared" si="14"/>
        <v>207</v>
      </c>
    </row>
    <row r="23" spans="2:32" ht="23.1" customHeight="1" x14ac:dyDescent="0.25">
      <c r="B23" s="45" t="s">
        <v>50</v>
      </c>
      <c r="C23" s="50">
        <v>7</v>
      </c>
      <c r="D23" s="50">
        <v>2</v>
      </c>
      <c r="E23" s="50">
        <v>4</v>
      </c>
      <c r="F23" s="50">
        <v>3</v>
      </c>
      <c r="G23" s="50">
        <v>0</v>
      </c>
      <c r="H23" s="50">
        <v>0</v>
      </c>
      <c r="I23" s="50">
        <v>2</v>
      </c>
      <c r="J23" s="50">
        <v>2</v>
      </c>
      <c r="K23" s="50">
        <v>0</v>
      </c>
      <c r="L23" s="50">
        <v>0</v>
      </c>
      <c r="M23" s="50">
        <v>34</v>
      </c>
      <c r="N23" s="50">
        <v>0</v>
      </c>
      <c r="O23" s="15">
        <f t="shared" si="0"/>
        <v>20</v>
      </c>
      <c r="P23" s="15">
        <f t="shared" si="1"/>
        <v>54</v>
      </c>
      <c r="R23" s="36" t="s">
        <v>147</v>
      </c>
      <c r="S23" s="34">
        <f>SUM(C62:C65)</f>
        <v>26</v>
      </c>
      <c r="T23" s="34">
        <f t="shared" ref="T23:AF23" si="15">SUM(D62:D65)</f>
        <v>16</v>
      </c>
      <c r="U23" s="34">
        <f t="shared" si="15"/>
        <v>10</v>
      </c>
      <c r="V23" s="34">
        <f t="shared" si="15"/>
        <v>25</v>
      </c>
      <c r="W23" s="34">
        <f t="shared" si="15"/>
        <v>4</v>
      </c>
      <c r="X23" s="34">
        <f t="shared" si="15"/>
        <v>0</v>
      </c>
      <c r="Y23" s="34">
        <f t="shared" si="15"/>
        <v>4</v>
      </c>
      <c r="Z23" s="34">
        <f t="shared" si="15"/>
        <v>9</v>
      </c>
      <c r="AA23" s="34">
        <f t="shared" si="15"/>
        <v>11</v>
      </c>
      <c r="AB23" s="34">
        <f t="shared" si="15"/>
        <v>10</v>
      </c>
      <c r="AC23" s="34">
        <f t="shared" si="15"/>
        <v>32</v>
      </c>
      <c r="AD23" s="34">
        <f t="shared" si="15"/>
        <v>0</v>
      </c>
      <c r="AE23" s="31">
        <f t="shared" si="15"/>
        <v>115</v>
      </c>
      <c r="AF23" s="31">
        <f t="shared" si="15"/>
        <v>147</v>
      </c>
    </row>
    <row r="24" spans="2:32" ht="23.1" customHeight="1" x14ac:dyDescent="0.25">
      <c r="B24" s="45" t="s">
        <v>51</v>
      </c>
      <c r="C24" s="50">
        <v>6</v>
      </c>
      <c r="D24" s="50">
        <v>3</v>
      </c>
      <c r="E24" s="50">
        <v>0</v>
      </c>
      <c r="F24" s="50">
        <v>5</v>
      </c>
      <c r="G24" s="50">
        <v>0</v>
      </c>
      <c r="H24" s="50">
        <v>0</v>
      </c>
      <c r="I24" s="50">
        <v>4</v>
      </c>
      <c r="J24" s="50">
        <v>4</v>
      </c>
      <c r="K24" s="50">
        <v>2</v>
      </c>
      <c r="L24" s="50">
        <v>0</v>
      </c>
      <c r="M24" s="50">
        <v>27</v>
      </c>
      <c r="N24" s="50">
        <v>0</v>
      </c>
      <c r="O24" s="15">
        <f t="shared" si="0"/>
        <v>24</v>
      </c>
      <c r="P24" s="15">
        <f t="shared" si="1"/>
        <v>51</v>
      </c>
      <c r="R24" s="36" t="s">
        <v>148</v>
      </c>
      <c r="S24" s="34">
        <f>SUM(C66:C69)</f>
        <v>12</v>
      </c>
      <c r="T24" s="34">
        <f t="shared" ref="T24:AF24" si="16">SUM(D66:D69)</f>
        <v>6</v>
      </c>
      <c r="U24" s="34">
        <f t="shared" si="16"/>
        <v>4</v>
      </c>
      <c r="V24" s="34">
        <f t="shared" si="16"/>
        <v>17</v>
      </c>
      <c r="W24" s="34">
        <f t="shared" si="16"/>
        <v>0</v>
      </c>
      <c r="X24" s="34">
        <f t="shared" si="16"/>
        <v>2</v>
      </c>
      <c r="Y24" s="34">
        <f t="shared" si="16"/>
        <v>4</v>
      </c>
      <c r="Z24" s="34">
        <f t="shared" si="16"/>
        <v>4</v>
      </c>
      <c r="AA24" s="34">
        <f t="shared" si="16"/>
        <v>5</v>
      </c>
      <c r="AB24" s="34">
        <f t="shared" si="16"/>
        <v>10</v>
      </c>
      <c r="AC24" s="34">
        <f t="shared" si="16"/>
        <v>25</v>
      </c>
      <c r="AD24" s="34">
        <f t="shared" si="16"/>
        <v>0</v>
      </c>
      <c r="AE24" s="31">
        <f t="shared" si="16"/>
        <v>64</v>
      </c>
      <c r="AF24" s="31">
        <f t="shared" si="16"/>
        <v>89</v>
      </c>
    </row>
    <row r="25" spans="2:32" ht="23.1" customHeight="1" x14ac:dyDescent="0.25">
      <c r="B25" s="45" t="s">
        <v>52</v>
      </c>
      <c r="C25" s="50">
        <v>5</v>
      </c>
      <c r="D25" s="50">
        <v>1</v>
      </c>
      <c r="E25" s="50">
        <v>3</v>
      </c>
      <c r="F25" s="50">
        <v>5</v>
      </c>
      <c r="G25" s="50">
        <v>0</v>
      </c>
      <c r="H25" s="50">
        <v>0</v>
      </c>
      <c r="I25" s="50">
        <v>0</v>
      </c>
      <c r="J25" s="50">
        <v>3</v>
      </c>
      <c r="K25" s="50">
        <v>0</v>
      </c>
      <c r="L25" s="50">
        <v>0</v>
      </c>
      <c r="M25" s="50">
        <v>17</v>
      </c>
      <c r="N25" s="50">
        <v>0</v>
      </c>
      <c r="O25" s="15">
        <f t="shared" si="0"/>
        <v>17</v>
      </c>
      <c r="P25" s="15">
        <f t="shared" si="1"/>
        <v>34</v>
      </c>
      <c r="R25" s="36" t="s">
        <v>149</v>
      </c>
      <c r="S25" s="34">
        <f>SUM(C70:C73)</f>
        <v>4</v>
      </c>
      <c r="T25" s="34">
        <f t="shared" ref="T25:AF25" si="17">SUM(D70:D73)</f>
        <v>7</v>
      </c>
      <c r="U25" s="34">
        <f t="shared" si="17"/>
        <v>12</v>
      </c>
      <c r="V25" s="34">
        <f t="shared" si="17"/>
        <v>16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1</v>
      </c>
      <c r="AA25" s="34">
        <f t="shared" si="17"/>
        <v>10</v>
      </c>
      <c r="AB25" s="34">
        <f t="shared" si="17"/>
        <v>7</v>
      </c>
      <c r="AC25" s="34">
        <f t="shared" si="17"/>
        <v>15</v>
      </c>
      <c r="AD25" s="34">
        <f t="shared" si="17"/>
        <v>0</v>
      </c>
      <c r="AE25" s="31">
        <f t="shared" si="17"/>
        <v>59</v>
      </c>
      <c r="AF25" s="31">
        <f t="shared" si="17"/>
        <v>74</v>
      </c>
    </row>
    <row r="26" spans="2:32" ht="23.1" customHeight="1" x14ac:dyDescent="0.25">
      <c r="B26" s="45" t="s">
        <v>53</v>
      </c>
      <c r="C26" s="50">
        <v>11</v>
      </c>
      <c r="D26" s="50">
        <v>2</v>
      </c>
      <c r="E26" s="50">
        <v>1</v>
      </c>
      <c r="F26" s="50">
        <v>1</v>
      </c>
      <c r="G26" s="50">
        <v>0</v>
      </c>
      <c r="H26" s="50">
        <v>0</v>
      </c>
      <c r="I26" s="50">
        <v>2</v>
      </c>
      <c r="J26" s="50">
        <v>2</v>
      </c>
      <c r="K26" s="50">
        <v>1</v>
      </c>
      <c r="L26" s="50">
        <v>1</v>
      </c>
      <c r="M26" s="50">
        <v>16</v>
      </c>
      <c r="N26" s="50">
        <v>0</v>
      </c>
      <c r="O26" s="15">
        <f t="shared" si="0"/>
        <v>21</v>
      </c>
      <c r="P26" s="15">
        <f t="shared" si="1"/>
        <v>37</v>
      </c>
      <c r="R26" s="36" t="s">
        <v>150</v>
      </c>
      <c r="S26" s="34">
        <f>SUM(C74:C77)</f>
        <v>3</v>
      </c>
      <c r="T26" s="34">
        <f t="shared" ref="T26:AF26" si="18">SUM(D74:D77)</f>
        <v>2</v>
      </c>
      <c r="U26" s="34">
        <f t="shared" si="18"/>
        <v>1</v>
      </c>
      <c r="V26" s="34">
        <f t="shared" si="18"/>
        <v>11</v>
      </c>
      <c r="W26" s="34">
        <f t="shared" si="18"/>
        <v>1</v>
      </c>
      <c r="X26" s="34">
        <f t="shared" si="18"/>
        <v>1</v>
      </c>
      <c r="Y26" s="34">
        <f t="shared" si="18"/>
        <v>3</v>
      </c>
      <c r="Z26" s="34">
        <f t="shared" si="18"/>
        <v>2</v>
      </c>
      <c r="AA26" s="34">
        <f t="shared" si="18"/>
        <v>7</v>
      </c>
      <c r="AB26" s="34">
        <f t="shared" si="18"/>
        <v>13</v>
      </c>
      <c r="AC26" s="34">
        <f t="shared" si="18"/>
        <v>10</v>
      </c>
      <c r="AD26" s="34">
        <f t="shared" si="18"/>
        <v>0</v>
      </c>
      <c r="AE26" s="31">
        <f t="shared" si="18"/>
        <v>44</v>
      </c>
      <c r="AF26" s="31">
        <f t="shared" si="18"/>
        <v>54</v>
      </c>
    </row>
    <row r="27" spans="2:32" ht="23.1" customHeight="1" x14ac:dyDescent="0.25">
      <c r="B27" s="45" t="s">
        <v>54</v>
      </c>
      <c r="C27" s="50">
        <v>7</v>
      </c>
      <c r="D27" s="50">
        <v>1</v>
      </c>
      <c r="E27" s="50">
        <v>0</v>
      </c>
      <c r="F27" s="50">
        <v>2</v>
      </c>
      <c r="G27" s="50">
        <v>1</v>
      </c>
      <c r="H27" s="50">
        <v>1</v>
      </c>
      <c r="I27" s="50">
        <v>0</v>
      </c>
      <c r="J27" s="50">
        <v>1</v>
      </c>
      <c r="K27" s="50">
        <v>2</v>
      </c>
      <c r="L27" s="50">
        <v>2</v>
      </c>
      <c r="M27" s="50">
        <v>21</v>
      </c>
      <c r="N27" s="50">
        <v>0</v>
      </c>
      <c r="O27" s="15">
        <f t="shared" si="0"/>
        <v>17</v>
      </c>
      <c r="P27" s="15">
        <f t="shared" si="1"/>
        <v>38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3</v>
      </c>
      <c r="W27" s="34">
        <f t="shared" si="19"/>
        <v>0</v>
      </c>
      <c r="X27" s="34">
        <f t="shared" si="19"/>
        <v>2</v>
      </c>
      <c r="Y27" s="34">
        <f t="shared" si="19"/>
        <v>1</v>
      </c>
      <c r="Z27" s="34">
        <f t="shared" si="19"/>
        <v>6</v>
      </c>
      <c r="AA27" s="34">
        <f t="shared" si="19"/>
        <v>2</v>
      </c>
      <c r="AB27" s="34">
        <f t="shared" si="19"/>
        <v>9</v>
      </c>
      <c r="AC27" s="34">
        <f t="shared" si="19"/>
        <v>2</v>
      </c>
      <c r="AD27" s="34">
        <f t="shared" si="19"/>
        <v>0</v>
      </c>
      <c r="AE27" s="31">
        <f t="shared" si="19"/>
        <v>25</v>
      </c>
      <c r="AF27" s="31">
        <f t="shared" si="19"/>
        <v>27</v>
      </c>
    </row>
    <row r="28" spans="2:32" ht="23.1" customHeight="1" x14ac:dyDescent="0.25">
      <c r="B28" s="45" t="s">
        <v>55</v>
      </c>
      <c r="C28" s="50">
        <v>9</v>
      </c>
      <c r="D28" s="50">
        <v>1</v>
      </c>
      <c r="E28" s="50">
        <v>0</v>
      </c>
      <c r="F28" s="50">
        <v>6</v>
      </c>
      <c r="G28" s="50">
        <v>0</v>
      </c>
      <c r="H28" s="50">
        <v>0</v>
      </c>
      <c r="I28" s="50">
        <v>4</v>
      </c>
      <c r="J28" s="50">
        <v>7</v>
      </c>
      <c r="K28" s="50">
        <v>1</v>
      </c>
      <c r="L28" s="50">
        <v>1</v>
      </c>
      <c r="M28" s="50">
        <v>11</v>
      </c>
      <c r="N28" s="50">
        <v>0</v>
      </c>
      <c r="O28" s="15">
        <f t="shared" si="0"/>
        <v>29</v>
      </c>
      <c r="P28" s="15">
        <f t="shared" si="1"/>
        <v>40</v>
      </c>
      <c r="R28" s="36" t="s">
        <v>152</v>
      </c>
      <c r="S28" s="34">
        <f>SUM(C82:C85)</f>
        <v>0</v>
      </c>
      <c r="T28" s="34">
        <f t="shared" ref="T28:AF28" si="20">SUM(D82:D85)</f>
        <v>2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5</v>
      </c>
      <c r="AC28" s="34">
        <f t="shared" si="20"/>
        <v>10</v>
      </c>
      <c r="AD28" s="34">
        <f t="shared" si="20"/>
        <v>0</v>
      </c>
      <c r="AE28" s="31">
        <f t="shared" si="20"/>
        <v>7</v>
      </c>
      <c r="AF28" s="31">
        <f t="shared" si="20"/>
        <v>17</v>
      </c>
    </row>
    <row r="29" spans="2:32" ht="23.1" customHeight="1" x14ac:dyDescent="0.25">
      <c r="B29" s="45" t="s">
        <v>56</v>
      </c>
      <c r="C29" s="50">
        <v>4</v>
      </c>
      <c r="D29" s="50">
        <v>3</v>
      </c>
      <c r="E29" s="50">
        <v>1</v>
      </c>
      <c r="F29" s="50">
        <v>3</v>
      </c>
      <c r="G29" s="50">
        <v>0</v>
      </c>
      <c r="H29" s="50">
        <v>0</v>
      </c>
      <c r="I29" s="50">
        <v>0</v>
      </c>
      <c r="J29" s="50">
        <v>1</v>
      </c>
      <c r="K29" s="50">
        <v>1</v>
      </c>
      <c r="L29" s="50">
        <v>1</v>
      </c>
      <c r="M29" s="50">
        <v>12</v>
      </c>
      <c r="N29" s="50">
        <v>0</v>
      </c>
      <c r="O29" s="15">
        <f t="shared" si="0"/>
        <v>14</v>
      </c>
      <c r="P29" s="15">
        <f t="shared" si="1"/>
        <v>26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1</v>
      </c>
      <c r="AB29" s="34">
        <f t="shared" si="21"/>
        <v>0</v>
      </c>
      <c r="AC29" s="34">
        <f t="shared" si="21"/>
        <v>2</v>
      </c>
      <c r="AD29" s="34">
        <f t="shared" si="21"/>
        <v>0</v>
      </c>
      <c r="AE29" s="31">
        <f t="shared" si="21"/>
        <v>1</v>
      </c>
      <c r="AF29" s="31">
        <f t="shared" si="21"/>
        <v>3</v>
      </c>
    </row>
    <row r="30" spans="2:32" ht="23.1" customHeight="1" x14ac:dyDescent="0.25">
      <c r="B30" s="45" t="s">
        <v>57</v>
      </c>
      <c r="C30" s="50">
        <v>8</v>
      </c>
      <c r="D30" s="50">
        <v>5</v>
      </c>
      <c r="E30" s="50">
        <v>1</v>
      </c>
      <c r="F30" s="50">
        <v>4</v>
      </c>
      <c r="G30" s="50">
        <v>0</v>
      </c>
      <c r="H30" s="50">
        <v>2</v>
      </c>
      <c r="I30" s="50">
        <v>1</v>
      </c>
      <c r="J30" s="50">
        <v>2</v>
      </c>
      <c r="K30" s="50">
        <v>1</v>
      </c>
      <c r="L30" s="50">
        <v>1</v>
      </c>
      <c r="M30" s="50">
        <v>28</v>
      </c>
      <c r="N30" s="50">
        <v>0</v>
      </c>
      <c r="O30" s="15">
        <f t="shared" si="0"/>
        <v>25</v>
      </c>
      <c r="P30" s="15">
        <f t="shared" si="1"/>
        <v>53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13</v>
      </c>
      <c r="D31" s="50">
        <v>0</v>
      </c>
      <c r="E31" s="50">
        <v>2</v>
      </c>
      <c r="F31" s="50">
        <v>4</v>
      </c>
      <c r="G31" s="50">
        <v>0</v>
      </c>
      <c r="H31" s="50">
        <v>0</v>
      </c>
      <c r="I31" s="50">
        <v>0</v>
      </c>
      <c r="J31" s="50">
        <v>4</v>
      </c>
      <c r="K31" s="50">
        <v>0</v>
      </c>
      <c r="L31" s="50">
        <v>2</v>
      </c>
      <c r="M31" s="50">
        <v>13</v>
      </c>
      <c r="N31" s="50">
        <v>0</v>
      </c>
      <c r="O31" s="15">
        <f t="shared" si="0"/>
        <v>25</v>
      </c>
      <c r="P31" s="15">
        <f t="shared" si="1"/>
        <v>38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3</v>
      </c>
      <c r="AA31" s="34">
        <f t="shared" si="23"/>
        <v>3</v>
      </c>
      <c r="AB31" s="34">
        <f t="shared" si="23"/>
        <v>4</v>
      </c>
      <c r="AC31" s="34">
        <f t="shared" si="23"/>
        <v>0</v>
      </c>
      <c r="AD31" s="34">
        <f t="shared" si="23"/>
        <v>0</v>
      </c>
      <c r="AE31" s="31">
        <f t="shared" si="23"/>
        <v>11</v>
      </c>
      <c r="AF31" s="31">
        <f t="shared" si="23"/>
        <v>11</v>
      </c>
    </row>
    <row r="32" spans="2:32" ht="23.1" customHeight="1" x14ac:dyDescent="0.25">
      <c r="B32" s="46" t="s">
        <v>59</v>
      </c>
      <c r="C32" s="50">
        <v>4</v>
      </c>
      <c r="D32" s="50">
        <v>5</v>
      </c>
      <c r="E32" s="50">
        <v>1</v>
      </c>
      <c r="F32" s="50">
        <v>3</v>
      </c>
      <c r="G32" s="50">
        <v>0</v>
      </c>
      <c r="H32" s="50">
        <v>0</v>
      </c>
      <c r="I32" s="50">
        <v>1</v>
      </c>
      <c r="J32" s="50">
        <v>1</v>
      </c>
      <c r="K32" s="50">
        <v>1</v>
      </c>
      <c r="L32" s="50">
        <v>2</v>
      </c>
      <c r="M32" s="50">
        <v>1</v>
      </c>
      <c r="N32" s="50">
        <v>0</v>
      </c>
      <c r="O32" s="15">
        <f t="shared" si="0"/>
        <v>18</v>
      </c>
      <c r="P32" s="15">
        <f t="shared" si="1"/>
        <v>19</v>
      </c>
      <c r="R32" s="33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4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1</v>
      </c>
      <c r="AA32" s="34">
        <f t="shared" si="24"/>
        <v>7</v>
      </c>
      <c r="AB32" s="34">
        <f t="shared" si="24"/>
        <v>4</v>
      </c>
      <c r="AC32" s="34">
        <f t="shared" si="24"/>
        <v>0</v>
      </c>
      <c r="AD32" s="34">
        <f t="shared" si="24"/>
        <v>0</v>
      </c>
      <c r="AE32" s="31">
        <f t="shared" si="24"/>
        <v>21</v>
      </c>
      <c r="AF32" s="31">
        <f t="shared" si="24"/>
        <v>21</v>
      </c>
    </row>
    <row r="33" spans="2:32" ht="23.1" customHeight="1" x14ac:dyDescent="0.25">
      <c r="B33" s="45" t="s">
        <v>60</v>
      </c>
      <c r="C33" s="50">
        <v>1</v>
      </c>
      <c r="D33" s="50">
        <v>1</v>
      </c>
      <c r="E33" s="50">
        <v>0</v>
      </c>
      <c r="F33" s="50">
        <v>4</v>
      </c>
      <c r="G33" s="50">
        <v>0</v>
      </c>
      <c r="H33" s="50">
        <v>1</v>
      </c>
      <c r="I33" s="50">
        <v>1</v>
      </c>
      <c r="J33" s="50">
        <v>3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11</v>
      </c>
      <c r="P33" s="15">
        <f t="shared" si="1"/>
        <v>16</v>
      </c>
      <c r="R33" s="33" t="s">
        <v>157</v>
      </c>
      <c r="S33" s="34">
        <f>SUM(C102:C105)</f>
        <v>8</v>
      </c>
      <c r="T33" s="34">
        <f t="shared" ref="T33:AF33" si="25">SUM(D102:D105)</f>
        <v>6</v>
      </c>
      <c r="U33" s="34">
        <f t="shared" si="25"/>
        <v>10</v>
      </c>
      <c r="V33" s="34">
        <f t="shared" si="25"/>
        <v>17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4</v>
      </c>
      <c r="AA33" s="34">
        <f t="shared" si="25"/>
        <v>0</v>
      </c>
      <c r="AB33" s="34">
        <f t="shared" si="25"/>
        <v>7</v>
      </c>
      <c r="AC33" s="34">
        <f t="shared" si="25"/>
        <v>20</v>
      </c>
      <c r="AD33" s="34">
        <f t="shared" si="25"/>
        <v>0</v>
      </c>
      <c r="AE33" s="31">
        <f t="shared" si="25"/>
        <v>53</v>
      </c>
      <c r="AF33" s="31">
        <f t="shared" si="25"/>
        <v>73</v>
      </c>
    </row>
    <row r="34" spans="2:32" ht="23.1" customHeight="1" x14ac:dyDescent="0.25">
      <c r="B34" s="46" t="s">
        <v>61</v>
      </c>
      <c r="C34" s="50">
        <v>6</v>
      </c>
      <c r="D34" s="50">
        <v>0</v>
      </c>
      <c r="E34" s="50">
        <v>0</v>
      </c>
      <c r="F34" s="50">
        <v>4</v>
      </c>
      <c r="G34" s="50">
        <v>1</v>
      </c>
      <c r="H34" s="50">
        <v>0</v>
      </c>
      <c r="I34" s="50">
        <v>0</v>
      </c>
      <c r="J34" s="50">
        <v>1</v>
      </c>
      <c r="K34" s="50">
        <v>0</v>
      </c>
      <c r="L34" s="50">
        <v>1</v>
      </c>
      <c r="M34" s="50">
        <v>9</v>
      </c>
      <c r="N34" s="50">
        <v>0</v>
      </c>
      <c r="O34" s="15">
        <f t="shared" si="0"/>
        <v>13</v>
      </c>
      <c r="P34" s="15">
        <f t="shared" si="1"/>
        <v>22</v>
      </c>
      <c r="R34" s="38" t="s">
        <v>90</v>
      </c>
      <c r="S34" s="39">
        <f t="shared" ref="S34:AF34" si="26">MAX(S10:S12)</f>
        <v>27</v>
      </c>
      <c r="T34" s="39">
        <f t="shared" si="26"/>
        <v>8</v>
      </c>
      <c r="U34" s="39">
        <f t="shared" si="26"/>
        <v>9</v>
      </c>
      <c r="V34" s="39">
        <f t="shared" si="26"/>
        <v>16</v>
      </c>
      <c r="W34" s="39">
        <f t="shared" si="26"/>
        <v>1</v>
      </c>
      <c r="X34" s="39">
        <f t="shared" si="26"/>
        <v>3</v>
      </c>
      <c r="Y34" s="39">
        <f t="shared" si="26"/>
        <v>7</v>
      </c>
      <c r="Z34" s="39">
        <f t="shared" si="26"/>
        <v>11</v>
      </c>
      <c r="AA34" s="39">
        <f t="shared" si="26"/>
        <v>3</v>
      </c>
      <c r="AB34" s="39">
        <f t="shared" si="26"/>
        <v>7</v>
      </c>
      <c r="AC34" s="39">
        <f t="shared" si="26"/>
        <v>92</v>
      </c>
      <c r="AD34" s="39">
        <f t="shared" si="26"/>
        <v>0</v>
      </c>
      <c r="AE34" s="40">
        <f t="shared" si="26"/>
        <v>88</v>
      </c>
      <c r="AF34" s="40">
        <f t="shared" si="26"/>
        <v>180</v>
      </c>
    </row>
    <row r="35" spans="2:32" ht="23.1" customHeight="1" x14ac:dyDescent="0.25">
      <c r="B35" s="46" t="s">
        <v>62</v>
      </c>
      <c r="C35" s="50">
        <v>7</v>
      </c>
      <c r="D35" s="50">
        <v>3</v>
      </c>
      <c r="E35" s="50">
        <v>2</v>
      </c>
      <c r="F35" s="50">
        <v>2</v>
      </c>
      <c r="G35" s="50">
        <v>0</v>
      </c>
      <c r="H35" s="50">
        <v>1</v>
      </c>
      <c r="I35" s="50">
        <v>2</v>
      </c>
      <c r="J35" s="50">
        <v>2</v>
      </c>
      <c r="K35" s="50">
        <v>0</v>
      </c>
      <c r="L35" s="50">
        <v>1</v>
      </c>
      <c r="M35" s="50">
        <v>8</v>
      </c>
      <c r="N35" s="50">
        <v>0</v>
      </c>
      <c r="O35" s="15">
        <f t="shared" si="0"/>
        <v>20</v>
      </c>
      <c r="P35" s="15">
        <f t="shared" si="1"/>
        <v>28</v>
      </c>
      <c r="R35" s="38" t="s">
        <v>91</v>
      </c>
      <c r="S35" s="39">
        <f t="shared" ref="S35:AF35" si="27">MAX(S13:S18)</f>
        <v>31</v>
      </c>
      <c r="T35" s="39">
        <f t="shared" si="27"/>
        <v>11</v>
      </c>
      <c r="U35" s="39">
        <f t="shared" si="27"/>
        <v>12</v>
      </c>
      <c r="V35" s="39">
        <f t="shared" si="27"/>
        <v>19</v>
      </c>
      <c r="W35" s="39">
        <f t="shared" si="27"/>
        <v>4</v>
      </c>
      <c r="X35" s="39">
        <f t="shared" si="27"/>
        <v>3</v>
      </c>
      <c r="Y35" s="39">
        <f t="shared" si="27"/>
        <v>9</v>
      </c>
      <c r="Z35" s="39">
        <f t="shared" si="27"/>
        <v>11</v>
      </c>
      <c r="AA35" s="39">
        <f t="shared" si="27"/>
        <v>5</v>
      </c>
      <c r="AB35" s="39">
        <f t="shared" si="27"/>
        <v>5</v>
      </c>
      <c r="AC35" s="39">
        <f t="shared" si="27"/>
        <v>102</v>
      </c>
      <c r="AD35" s="39">
        <f t="shared" si="27"/>
        <v>0</v>
      </c>
      <c r="AE35" s="40">
        <f t="shared" si="27"/>
        <v>94</v>
      </c>
      <c r="AF35" s="40">
        <f t="shared" si="27"/>
        <v>196</v>
      </c>
    </row>
    <row r="36" spans="2:32" ht="23.1" customHeight="1" x14ac:dyDescent="0.25">
      <c r="B36" s="46" t="s">
        <v>63</v>
      </c>
      <c r="C36" s="50">
        <v>6</v>
      </c>
      <c r="D36" s="50">
        <v>5</v>
      </c>
      <c r="E36" s="50">
        <v>2</v>
      </c>
      <c r="F36" s="50">
        <v>4</v>
      </c>
      <c r="G36" s="50">
        <v>0</v>
      </c>
      <c r="H36" s="50">
        <v>0</v>
      </c>
      <c r="I36" s="50">
        <v>0</v>
      </c>
      <c r="J36" s="50">
        <v>2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19</v>
      </c>
      <c r="P36" s="15">
        <f t="shared" si="1"/>
        <v>34</v>
      </c>
      <c r="R36" s="38" t="s">
        <v>92</v>
      </c>
      <c r="S36" s="39">
        <f t="shared" ref="S36:AF36" si="28">MAX(S19:S21)</f>
        <v>30</v>
      </c>
      <c r="T36" s="39">
        <f t="shared" si="28"/>
        <v>8</v>
      </c>
      <c r="U36" s="39">
        <f t="shared" si="28"/>
        <v>6</v>
      </c>
      <c r="V36" s="39">
        <f t="shared" si="28"/>
        <v>20</v>
      </c>
      <c r="W36" s="39">
        <f t="shared" si="28"/>
        <v>1</v>
      </c>
      <c r="X36" s="39">
        <f t="shared" si="28"/>
        <v>3</v>
      </c>
      <c r="Y36" s="39">
        <f t="shared" si="28"/>
        <v>5</v>
      </c>
      <c r="Z36" s="39">
        <f t="shared" si="28"/>
        <v>4</v>
      </c>
      <c r="AA36" s="39">
        <f t="shared" si="28"/>
        <v>2</v>
      </c>
      <c r="AB36" s="39">
        <f t="shared" si="28"/>
        <v>3</v>
      </c>
      <c r="AC36" s="39">
        <f t="shared" si="28"/>
        <v>75</v>
      </c>
      <c r="AD36" s="39">
        <f t="shared" si="28"/>
        <v>0</v>
      </c>
      <c r="AE36" s="40">
        <f t="shared" si="28"/>
        <v>72</v>
      </c>
      <c r="AF36" s="40">
        <f t="shared" si="28"/>
        <v>145</v>
      </c>
    </row>
    <row r="37" spans="2:32" ht="23.1" customHeight="1" x14ac:dyDescent="0.25">
      <c r="B37" s="45" t="s">
        <v>64</v>
      </c>
      <c r="C37" s="50">
        <v>8</v>
      </c>
      <c r="D37" s="50">
        <v>2</v>
      </c>
      <c r="E37" s="50">
        <v>1</v>
      </c>
      <c r="F37" s="50">
        <v>4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16</v>
      </c>
      <c r="N37" s="50">
        <v>0</v>
      </c>
      <c r="O37" s="15">
        <f t="shared" si="0"/>
        <v>16</v>
      </c>
      <c r="P37" s="15">
        <f t="shared" si="1"/>
        <v>32</v>
      </c>
      <c r="R37" s="37" t="s">
        <v>85</v>
      </c>
      <c r="S37" s="35">
        <f t="shared" ref="S37:AF37" si="29">SUM(S10:S12)</f>
        <v>65</v>
      </c>
      <c r="T37" s="16">
        <f t="shared" si="29"/>
        <v>17</v>
      </c>
      <c r="U37" s="16">
        <f t="shared" si="29"/>
        <v>19</v>
      </c>
      <c r="V37" s="16">
        <f t="shared" si="29"/>
        <v>32</v>
      </c>
      <c r="W37" s="16">
        <f t="shared" si="29"/>
        <v>2</v>
      </c>
      <c r="X37" s="16">
        <f t="shared" si="29"/>
        <v>3</v>
      </c>
      <c r="Y37" s="16">
        <f t="shared" si="29"/>
        <v>13</v>
      </c>
      <c r="Z37" s="16">
        <f t="shared" si="29"/>
        <v>22</v>
      </c>
      <c r="AA37" s="16">
        <f t="shared" si="29"/>
        <v>5</v>
      </c>
      <c r="AB37" s="16">
        <f t="shared" si="29"/>
        <v>17</v>
      </c>
      <c r="AC37" s="16">
        <f t="shared" si="29"/>
        <v>237</v>
      </c>
      <c r="AD37" s="16">
        <f t="shared" si="29"/>
        <v>0</v>
      </c>
      <c r="AE37" s="32">
        <f t="shared" si="29"/>
        <v>195</v>
      </c>
      <c r="AF37" s="32">
        <f t="shared" si="29"/>
        <v>432</v>
      </c>
    </row>
    <row r="38" spans="2:32" ht="23.1" customHeight="1" x14ac:dyDescent="0.25">
      <c r="B38" s="46" t="s">
        <v>65</v>
      </c>
      <c r="C38" s="50">
        <v>7</v>
      </c>
      <c r="D38" s="50">
        <v>2</v>
      </c>
      <c r="E38" s="50">
        <v>1</v>
      </c>
      <c r="F38" s="50">
        <v>4</v>
      </c>
      <c r="G38" s="50">
        <v>2</v>
      </c>
      <c r="H38" s="50">
        <v>1</v>
      </c>
      <c r="I38" s="50">
        <v>3</v>
      </c>
      <c r="J38" s="50">
        <v>2</v>
      </c>
      <c r="K38" s="50">
        <v>0</v>
      </c>
      <c r="L38" s="50">
        <v>2</v>
      </c>
      <c r="M38" s="50">
        <v>23</v>
      </c>
      <c r="N38" s="50">
        <v>0</v>
      </c>
      <c r="O38" s="15">
        <f t="shared" si="0"/>
        <v>24</v>
      </c>
      <c r="P38" s="15">
        <f t="shared" si="1"/>
        <v>47</v>
      </c>
      <c r="R38" s="28" t="s">
        <v>86</v>
      </c>
      <c r="S38" s="16">
        <f t="shared" ref="S38:AF38" si="30">SUM(S13:S18)</f>
        <v>174</v>
      </c>
      <c r="T38" s="16">
        <f t="shared" si="30"/>
        <v>48</v>
      </c>
      <c r="U38" s="16">
        <f t="shared" si="30"/>
        <v>33</v>
      </c>
      <c r="V38" s="16">
        <f t="shared" si="30"/>
        <v>91</v>
      </c>
      <c r="W38" s="16">
        <f t="shared" si="30"/>
        <v>8</v>
      </c>
      <c r="X38" s="16">
        <f t="shared" si="30"/>
        <v>11</v>
      </c>
      <c r="Y38" s="16">
        <f t="shared" si="30"/>
        <v>36</v>
      </c>
      <c r="Z38" s="16">
        <f t="shared" si="30"/>
        <v>49</v>
      </c>
      <c r="AA38" s="16">
        <f t="shared" si="30"/>
        <v>15</v>
      </c>
      <c r="AB38" s="16">
        <f t="shared" si="30"/>
        <v>22</v>
      </c>
      <c r="AC38" s="16">
        <f t="shared" si="30"/>
        <v>448</v>
      </c>
      <c r="AD38" s="16">
        <f t="shared" si="30"/>
        <v>0</v>
      </c>
      <c r="AE38" s="32">
        <f t="shared" si="30"/>
        <v>487</v>
      </c>
      <c r="AF38" s="32">
        <f t="shared" si="30"/>
        <v>935</v>
      </c>
    </row>
    <row r="39" spans="2:32" ht="23.1" customHeight="1" x14ac:dyDescent="0.25">
      <c r="B39" s="46" t="s">
        <v>66</v>
      </c>
      <c r="C39" s="50">
        <v>8</v>
      </c>
      <c r="D39" s="50">
        <v>0</v>
      </c>
      <c r="E39" s="50">
        <v>2</v>
      </c>
      <c r="F39" s="50">
        <v>3</v>
      </c>
      <c r="G39" s="50">
        <v>0</v>
      </c>
      <c r="H39" s="50">
        <v>1</v>
      </c>
      <c r="I39" s="50">
        <v>3</v>
      </c>
      <c r="J39" s="50">
        <v>1</v>
      </c>
      <c r="K39" s="50">
        <v>0</v>
      </c>
      <c r="L39" s="50">
        <v>0</v>
      </c>
      <c r="M39" s="50">
        <v>30</v>
      </c>
      <c r="N39" s="50">
        <v>0</v>
      </c>
      <c r="O39" s="15">
        <f t="shared" si="0"/>
        <v>18</v>
      </c>
      <c r="P39" s="15">
        <f t="shared" si="1"/>
        <v>48</v>
      </c>
      <c r="R39" s="29" t="s">
        <v>87</v>
      </c>
      <c r="S39" s="16">
        <f t="shared" ref="S39:AF39" si="31">SUM(S19:S21)</f>
        <v>84</v>
      </c>
      <c r="T39" s="16">
        <f t="shared" si="31"/>
        <v>18</v>
      </c>
      <c r="U39" s="16">
        <f t="shared" si="31"/>
        <v>10</v>
      </c>
      <c r="V39" s="16">
        <f t="shared" si="31"/>
        <v>53</v>
      </c>
      <c r="W39" s="16">
        <f t="shared" si="31"/>
        <v>2</v>
      </c>
      <c r="X39" s="16">
        <f t="shared" si="31"/>
        <v>7</v>
      </c>
      <c r="Y39" s="16">
        <f t="shared" si="31"/>
        <v>13</v>
      </c>
      <c r="Z39" s="16">
        <f t="shared" si="31"/>
        <v>11</v>
      </c>
      <c r="AA39" s="16">
        <f t="shared" si="31"/>
        <v>3</v>
      </c>
      <c r="AB39" s="16">
        <f t="shared" si="31"/>
        <v>7</v>
      </c>
      <c r="AC39" s="16">
        <f t="shared" si="31"/>
        <v>223</v>
      </c>
      <c r="AD39" s="16">
        <f t="shared" si="31"/>
        <v>0</v>
      </c>
      <c r="AE39" s="32">
        <f t="shared" si="31"/>
        <v>208</v>
      </c>
      <c r="AF39" s="32">
        <f t="shared" si="31"/>
        <v>431</v>
      </c>
    </row>
    <row r="40" spans="2:32" ht="23.1" customHeight="1" x14ac:dyDescent="0.25">
      <c r="B40" s="46" t="s">
        <v>67</v>
      </c>
      <c r="C40" s="50">
        <v>6</v>
      </c>
      <c r="D40" s="50">
        <v>2</v>
      </c>
      <c r="E40" s="50">
        <v>1</v>
      </c>
      <c r="F40" s="50">
        <v>2</v>
      </c>
      <c r="G40" s="50">
        <v>1</v>
      </c>
      <c r="H40" s="50">
        <v>0</v>
      </c>
      <c r="I40" s="50">
        <v>2</v>
      </c>
      <c r="J40" s="50">
        <v>2</v>
      </c>
      <c r="K40" s="50">
        <v>2</v>
      </c>
      <c r="L40" s="50">
        <v>1</v>
      </c>
      <c r="M40" s="50">
        <v>34</v>
      </c>
      <c r="N40" s="50">
        <v>0</v>
      </c>
      <c r="O40" s="15">
        <f t="shared" si="0"/>
        <v>19</v>
      </c>
      <c r="P40" s="15">
        <f t="shared" si="1"/>
        <v>53</v>
      </c>
      <c r="R40" s="5" t="s">
        <v>17</v>
      </c>
      <c r="S40" s="16">
        <f t="shared" ref="S40:AF40" si="32">SUM(S10:S21)</f>
        <v>323</v>
      </c>
      <c r="T40" s="16">
        <f t="shared" si="32"/>
        <v>83</v>
      </c>
      <c r="U40" s="16">
        <f t="shared" si="32"/>
        <v>62</v>
      </c>
      <c r="V40" s="16">
        <f t="shared" si="32"/>
        <v>176</v>
      </c>
      <c r="W40" s="16">
        <f t="shared" si="32"/>
        <v>12</v>
      </c>
      <c r="X40" s="16">
        <f t="shared" si="32"/>
        <v>21</v>
      </c>
      <c r="Y40" s="16">
        <f t="shared" si="32"/>
        <v>62</v>
      </c>
      <c r="Z40" s="16">
        <f t="shared" si="32"/>
        <v>82</v>
      </c>
      <c r="AA40" s="16">
        <f t="shared" si="32"/>
        <v>23</v>
      </c>
      <c r="AB40" s="16">
        <f t="shared" si="32"/>
        <v>46</v>
      </c>
      <c r="AC40" s="16">
        <f t="shared" si="32"/>
        <v>908</v>
      </c>
      <c r="AD40" s="16">
        <f t="shared" si="32"/>
        <v>0</v>
      </c>
      <c r="AE40" s="32">
        <f t="shared" si="32"/>
        <v>890</v>
      </c>
      <c r="AF40" s="32">
        <f t="shared" si="32"/>
        <v>1798</v>
      </c>
    </row>
    <row r="41" spans="2:32" ht="23.1" customHeight="1" x14ac:dyDescent="0.25">
      <c r="B41" s="45" t="s">
        <v>68</v>
      </c>
      <c r="C41" s="50">
        <v>9</v>
      </c>
      <c r="D41" s="50">
        <v>2</v>
      </c>
      <c r="E41" s="50">
        <v>1</v>
      </c>
      <c r="F41" s="50">
        <v>5</v>
      </c>
      <c r="G41" s="50">
        <v>1</v>
      </c>
      <c r="H41" s="50">
        <v>1</v>
      </c>
      <c r="I41" s="50">
        <v>1</v>
      </c>
      <c r="J41" s="50">
        <v>2</v>
      </c>
      <c r="K41" s="50">
        <v>1</v>
      </c>
      <c r="L41" s="50">
        <v>1</v>
      </c>
      <c r="M41" s="50">
        <v>15</v>
      </c>
      <c r="N41" s="50">
        <v>0</v>
      </c>
      <c r="O41" s="15">
        <f t="shared" si="0"/>
        <v>24</v>
      </c>
      <c r="P41" s="15">
        <f t="shared" si="1"/>
        <v>39</v>
      </c>
      <c r="R41" s="5" t="s">
        <v>159</v>
      </c>
      <c r="S41" s="16">
        <f>SUM(S10:S33)</f>
        <v>401</v>
      </c>
      <c r="T41" s="16">
        <f t="shared" ref="T41:AF41" si="33">SUM(T10:T33)</f>
        <v>140</v>
      </c>
      <c r="U41" s="16">
        <f t="shared" si="33"/>
        <v>110</v>
      </c>
      <c r="V41" s="16">
        <f t="shared" si="33"/>
        <v>309</v>
      </c>
      <c r="W41" s="16">
        <f t="shared" si="33"/>
        <v>20</v>
      </c>
      <c r="X41" s="16">
        <f t="shared" si="33"/>
        <v>26</v>
      </c>
      <c r="Y41" s="16">
        <f t="shared" si="33"/>
        <v>85</v>
      </c>
      <c r="Z41" s="16">
        <f t="shared" si="33"/>
        <v>130</v>
      </c>
      <c r="AA41" s="16">
        <f t="shared" si="33"/>
        <v>88</v>
      </c>
      <c r="AB41" s="16">
        <f t="shared" si="33"/>
        <v>142</v>
      </c>
      <c r="AC41" s="16">
        <f t="shared" si="33"/>
        <v>1070</v>
      </c>
      <c r="AD41" s="16">
        <f t="shared" si="33"/>
        <v>0</v>
      </c>
      <c r="AE41" s="32">
        <f t="shared" si="33"/>
        <v>1451</v>
      </c>
      <c r="AF41" s="32">
        <f t="shared" si="33"/>
        <v>2521</v>
      </c>
    </row>
    <row r="42" spans="2:32" ht="23.1" customHeight="1" x14ac:dyDescent="0.25">
      <c r="B42" s="46" t="s">
        <v>69</v>
      </c>
      <c r="C42" s="50">
        <v>8</v>
      </c>
      <c r="D42" s="50">
        <v>2</v>
      </c>
      <c r="E42" s="50">
        <v>1</v>
      </c>
      <c r="F42" s="50">
        <v>3</v>
      </c>
      <c r="G42" s="50">
        <v>0</v>
      </c>
      <c r="H42" s="50">
        <v>0</v>
      </c>
      <c r="I42" s="50">
        <v>2</v>
      </c>
      <c r="J42" s="50">
        <v>3</v>
      </c>
      <c r="K42" s="50">
        <v>0</v>
      </c>
      <c r="L42" s="50">
        <v>1</v>
      </c>
      <c r="M42" s="50">
        <v>19</v>
      </c>
      <c r="N42" s="50">
        <v>0</v>
      </c>
      <c r="O42" s="15">
        <f t="shared" si="0"/>
        <v>20</v>
      </c>
      <c r="P42" s="15">
        <f t="shared" si="1"/>
        <v>39</v>
      </c>
      <c r="R42" s="5" t="s">
        <v>160</v>
      </c>
      <c r="S42" s="48">
        <f>S41/S40</f>
        <v>1.241486068111455</v>
      </c>
      <c r="T42" s="48">
        <f t="shared" ref="T42:AF42" si="34">T41/T40</f>
        <v>1.6867469879518073</v>
      </c>
      <c r="U42" s="48">
        <f t="shared" si="34"/>
        <v>1.7741935483870968</v>
      </c>
      <c r="V42" s="48">
        <f t="shared" si="34"/>
        <v>1.7556818181818181</v>
      </c>
      <c r="W42" s="48">
        <f t="shared" si="34"/>
        <v>1.6666666666666667</v>
      </c>
      <c r="X42" s="48">
        <f t="shared" si="34"/>
        <v>1.2380952380952381</v>
      </c>
      <c r="Y42" s="48">
        <f t="shared" si="34"/>
        <v>1.3709677419354838</v>
      </c>
      <c r="Z42" s="48">
        <f t="shared" si="34"/>
        <v>1.5853658536585367</v>
      </c>
      <c r="AA42" s="48">
        <f t="shared" si="34"/>
        <v>3.8260869565217392</v>
      </c>
      <c r="AB42" s="48">
        <f t="shared" si="34"/>
        <v>3.0869565217391304</v>
      </c>
      <c r="AC42" s="48">
        <f t="shared" si="34"/>
        <v>1.1784140969162995</v>
      </c>
      <c r="AD42" s="48" t="e">
        <f t="shared" si="34"/>
        <v>#DIV/0!</v>
      </c>
      <c r="AE42" s="48">
        <f t="shared" si="34"/>
        <v>1.6303370786516853</v>
      </c>
      <c r="AF42" s="48">
        <f t="shared" si="34"/>
        <v>1.4021134593993325</v>
      </c>
    </row>
    <row r="43" spans="2:32" ht="23.1" customHeight="1" x14ac:dyDescent="0.25">
      <c r="B43" s="45" t="s">
        <v>70</v>
      </c>
      <c r="C43" s="50">
        <v>12</v>
      </c>
      <c r="D43" s="50">
        <v>3</v>
      </c>
      <c r="E43" s="50">
        <v>2</v>
      </c>
      <c r="F43" s="50">
        <v>6</v>
      </c>
      <c r="G43" s="50">
        <v>2</v>
      </c>
      <c r="H43" s="50">
        <v>3</v>
      </c>
      <c r="I43" s="50">
        <v>2</v>
      </c>
      <c r="J43" s="50">
        <v>1</v>
      </c>
      <c r="K43" s="50">
        <v>0</v>
      </c>
      <c r="L43" s="50">
        <v>1</v>
      </c>
      <c r="M43" s="50">
        <v>31</v>
      </c>
      <c r="N43" s="50">
        <v>0</v>
      </c>
      <c r="O43" s="15">
        <f t="shared" si="0"/>
        <v>32</v>
      </c>
      <c r="P43" s="15">
        <f t="shared" si="1"/>
        <v>63</v>
      </c>
    </row>
    <row r="44" spans="2:32" ht="23.1" customHeight="1" x14ac:dyDescent="0.25">
      <c r="B44" s="47" t="s">
        <v>71</v>
      </c>
      <c r="C44" s="50">
        <v>3</v>
      </c>
      <c r="D44" s="50">
        <v>1</v>
      </c>
      <c r="E44" s="50">
        <v>2</v>
      </c>
      <c r="F44" s="50">
        <v>7</v>
      </c>
      <c r="G44" s="50">
        <v>0</v>
      </c>
      <c r="H44" s="50">
        <v>0</v>
      </c>
      <c r="I44" s="50">
        <v>2</v>
      </c>
      <c r="J44" s="50">
        <v>1</v>
      </c>
      <c r="K44" s="50">
        <v>0</v>
      </c>
      <c r="L44" s="50">
        <v>0</v>
      </c>
      <c r="M44" s="50">
        <v>22</v>
      </c>
      <c r="N44" s="50">
        <v>0</v>
      </c>
      <c r="O44" s="15">
        <f t="shared" si="0"/>
        <v>16</v>
      </c>
      <c r="P44" s="15">
        <f t="shared" si="1"/>
        <v>38</v>
      </c>
    </row>
    <row r="45" spans="2:32" ht="23.1" customHeight="1" x14ac:dyDescent="0.25">
      <c r="B45" s="45" t="s">
        <v>72</v>
      </c>
      <c r="C45" s="50">
        <v>6</v>
      </c>
      <c r="D45" s="50">
        <v>0</v>
      </c>
      <c r="E45" s="50">
        <v>0</v>
      </c>
      <c r="F45" s="50">
        <v>3</v>
      </c>
      <c r="G45" s="50">
        <v>0</v>
      </c>
      <c r="H45" s="50">
        <v>0</v>
      </c>
      <c r="I45" s="50">
        <v>0</v>
      </c>
      <c r="J45" s="50">
        <v>2</v>
      </c>
      <c r="K45" s="50">
        <v>0</v>
      </c>
      <c r="L45" s="50">
        <v>1</v>
      </c>
      <c r="M45" s="50">
        <v>17</v>
      </c>
      <c r="N45" s="50">
        <v>0</v>
      </c>
      <c r="O45" s="15">
        <f t="shared" si="0"/>
        <v>12</v>
      </c>
      <c r="P45" s="15">
        <f t="shared" si="1"/>
        <v>29</v>
      </c>
    </row>
    <row r="46" spans="2:32" ht="23.1" customHeight="1" x14ac:dyDescent="0.25">
      <c r="B46" s="46" t="s">
        <v>73</v>
      </c>
      <c r="C46" s="50">
        <v>12</v>
      </c>
      <c r="D46" s="50">
        <v>1</v>
      </c>
      <c r="E46" s="50">
        <v>0</v>
      </c>
      <c r="F46" s="50">
        <v>6</v>
      </c>
      <c r="G46" s="50">
        <v>0</v>
      </c>
      <c r="H46" s="50">
        <v>0</v>
      </c>
      <c r="I46" s="50">
        <v>2</v>
      </c>
      <c r="J46" s="50">
        <v>3</v>
      </c>
      <c r="K46" s="50">
        <v>0</v>
      </c>
      <c r="L46" s="50">
        <v>1</v>
      </c>
      <c r="M46" s="50">
        <v>23</v>
      </c>
      <c r="N46" s="50">
        <v>0</v>
      </c>
      <c r="O46" s="15">
        <f t="shared" si="0"/>
        <v>25</v>
      </c>
      <c r="P46" s="15">
        <f t="shared" si="1"/>
        <v>48</v>
      </c>
      <c r="R46" s="8"/>
      <c r="T46"/>
    </row>
    <row r="47" spans="2:32" ht="23.1" customHeight="1" x14ac:dyDescent="0.25">
      <c r="B47" s="46" t="s">
        <v>74</v>
      </c>
      <c r="C47" s="50">
        <v>7</v>
      </c>
      <c r="D47" s="50">
        <v>0</v>
      </c>
      <c r="E47" s="50">
        <v>1</v>
      </c>
      <c r="F47" s="50">
        <v>7</v>
      </c>
      <c r="G47" s="50">
        <v>0</v>
      </c>
      <c r="H47" s="50">
        <v>1</v>
      </c>
      <c r="I47" s="50">
        <v>2</v>
      </c>
      <c r="J47" s="50">
        <v>0</v>
      </c>
      <c r="K47" s="50">
        <v>0</v>
      </c>
      <c r="L47" s="50">
        <v>2</v>
      </c>
      <c r="M47" s="50">
        <v>17</v>
      </c>
      <c r="N47" s="50">
        <v>0</v>
      </c>
      <c r="O47" s="15">
        <f t="shared" si="0"/>
        <v>20</v>
      </c>
      <c r="P47" s="15">
        <f t="shared" si="1"/>
        <v>37</v>
      </c>
      <c r="R47" s="8"/>
      <c r="T47"/>
    </row>
    <row r="48" spans="2:32" ht="23.1" customHeight="1" x14ac:dyDescent="0.25">
      <c r="B48" s="46" t="s">
        <v>75</v>
      </c>
      <c r="C48" s="50">
        <v>6</v>
      </c>
      <c r="D48" s="50">
        <v>0</v>
      </c>
      <c r="E48" s="50">
        <v>1</v>
      </c>
      <c r="F48" s="50">
        <v>3</v>
      </c>
      <c r="G48" s="50">
        <v>0</v>
      </c>
      <c r="H48" s="50">
        <v>1</v>
      </c>
      <c r="I48" s="50">
        <v>1</v>
      </c>
      <c r="J48" s="50">
        <v>0</v>
      </c>
      <c r="K48" s="50">
        <v>0</v>
      </c>
      <c r="L48" s="50">
        <v>0</v>
      </c>
      <c r="M48" s="50">
        <v>12</v>
      </c>
      <c r="N48" s="50">
        <v>0</v>
      </c>
      <c r="O48" s="15">
        <f t="shared" si="0"/>
        <v>12</v>
      </c>
      <c r="P48" s="15">
        <f t="shared" si="1"/>
        <v>24</v>
      </c>
      <c r="R48" s="8"/>
      <c r="T48"/>
    </row>
    <row r="49" spans="2:20" ht="23.1" customHeight="1" x14ac:dyDescent="0.25">
      <c r="B49" s="45" t="s">
        <v>76</v>
      </c>
      <c r="C49" s="50">
        <v>5</v>
      </c>
      <c r="D49" s="50">
        <v>3</v>
      </c>
      <c r="E49" s="50">
        <v>2</v>
      </c>
      <c r="F49" s="50">
        <v>4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21</v>
      </c>
      <c r="N49" s="50">
        <v>0</v>
      </c>
      <c r="O49" s="15">
        <f t="shared" si="0"/>
        <v>15</v>
      </c>
      <c r="P49" s="15">
        <f t="shared" si="1"/>
        <v>36</v>
      </c>
      <c r="R49" s="8"/>
      <c r="T49"/>
    </row>
    <row r="50" spans="2:20" ht="23.1" customHeight="1" x14ac:dyDescent="0.25">
      <c r="B50" s="46" t="s">
        <v>77</v>
      </c>
      <c r="C50" s="50">
        <v>10</v>
      </c>
      <c r="D50" s="50">
        <v>4</v>
      </c>
      <c r="E50" s="50">
        <v>0</v>
      </c>
      <c r="F50" s="50">
        <v>3</v>
      </c>
      <c r="G50" s="50">
        <v>0</v>
      </c>
      <c r="H50" s="50">
        <v>1</v>
      </c>
      <c r="I50" s="50">
        <v>3</v>
      </c>
      <c r="J50" s="50">
        <v>2</v>
      </c>
      <c r="K50" s="50">
        <v>0</v>
      </c>
      <c r="L50" s="50">
        <v>1</v>
      </c>
      <c r="M50" s="50">
        <v>22</v>
      </c>
      <c r="N50" s="50">
        <v>0</v>
      </c>
      <c r="O50" s="15">
        <f t="shared" si="0"/>
        <v>24</v>
      </c>
      <c r="P50" s="15">
        <f t="shared" si="1"/>
        <v>46</v>
      </c>
      <c r="R50" s="8"/>
      <c r="T50"/>
    </row>
    <row r="51" spans="2:20" ht="23.1" customHeight="1" x14ac:dyDescent="0.25">
      <c r="B51" s="46" t="s">
        <v>78</v>
      </c>
      <c r="C51" s="50">
        <v>5</v>
      </c>
      <c r="D51" s="50">
        <v>0</v>
      </c>
      <c r="E51" s="50">
        <v>2</v>
      </c>
      <c r="F51" s="50">
        <v>5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1</v>
      </c>
      <c r="M51" s="50">
        <v>28</v>
      </c>
      <c r="N51" s="50">
        <v>0</v>
      </c>
      <c r="O51" s="15">
        <f t="shared" si="0"/>
        <v>15</v>
      </c>
      <c r="P51" s="15">
        <f t="shared" si="1"/>
        <v>43</v>
      </c>
      <c r="R51" s="8"/>
      <c r="T51"/>
    </row>
    <row r="52" spans="2:20" ht="23.1" customHeight="1" x14ac:dyDescent="0.25">
      <c r="B52" s="46" t="s">
        <v>79</v>
      </c>
      <c r="C52" s="50">
        <v>4</v>
      </c>
      <c r="D52" s="50">
        <v>1</v>
      </c>
      <c r="E52" s="50">
        <v>4</v>
      </c>
      <c r="F52" s="50">
        <v>3</v>
      </c>
      <c r="G52" s="50">
        <v>1</v>
      </c>
      <c r="H52" s="50">
        <v>0</v>
      </c>
      <c r="I52" s="50">
        <v>1</v>
      </c>
      <c r="J52" s="50">
        <v>0</v>
      </c>
      <c r="K52" s="50">
        <v>1</v>
      </c>
      <c r="L52" s="50">
        <v>0</v>
      </c>
      <c r="M52" s="50">
        <v>16</v>
      </c>
      <c r="N52" s="50">
        <v>0</v>
      </c>
      <c r="O52" s="15">
        <f t="shared" si="0"/>
        <v>15</v>
      </c>
      <c r="P52" s="15">
        <f t="shared" si="1"/>
        <v>31</v>
      </c>
      <c r="R52" s="8"/>
      <c r="T52"/>
    </row>
    <row r="53" spans="2:20" ht="23.1" customHeight="1" x14ac:dyDescent="0.25">
      <c r="B53" s="45" t="s">
        <v>80</v>
      </c>
      <c r="C53" s="50">
        <v>5</v>
      </c>
      <c r="D53" s="50">
        <v>1</v>
      </c>
      <c r="E53" s="50">
        <v>0</v>
      </c>
      <c r="F53" s="50">
        <v>4</v>
      </c>
      <c r="G53" s="50">
        <v>0</v>
      </c>
      <c r="H53" s="50">
        <v>2</v>
      </c>
      <c r="I53" s="50">
        <v>0</v>
      </c>
      <c r="J53" s="50">
        <v>1</v>
      </c>
      <c r="K53" s="50">
        <v>1</v>
      </c>
      <c r="L53" s="50">
        <v>0</v>
      </c>
      <c r="M53" s="50">
        <v>9</v>
      </c>
      <c r="N53" s="50">
        <v>0</v>
      </c>
      <c r="O53" s="15">
        <f t="shared" si="0"/>
        <v>14</v>
      </c>
      <c r="P53" s="15">
        <f t="shared" si="1"/>
        <v>23</v>
      </c>
      <c r="R53" s="8"/>
      <c r="T53"/>
    </row>
    <row r="54" spans="2:20" ht="23.1" customHeight="1" x14ac:dyDescent="0.25">
      <c r="B54" s="45" t="s">
        <v>81</v>
      </c>
      <c r="C54" s="50">
        <v>6</v>
      </c>
      <c r="D54" s="50">
        <v>2</v>
      </c>
      <c r="E54" s="50">
        <v>0</v>
      </c>
      <c r="F54" s="50">
        <v>6</v>
      </c>
      <c r="G54" s="50">
        <v>0</v>
      </c>
      <c r="H54" s="50">
        <v>0</v>
      </c>
      <c r="I54" s="50">
        <v>1</v>
      </c>
      <c r="J54" s="50">
        <v>3</v>
      </c>
      <c r="K54" s="50">
        <v>1</v>
      </c>
      <c r="L54" s="50">
        <v>0</v>
      </c>
      <c r="M54" s="50">
        <v>23</v>
      </c>
      <c r="N54" s="50">
        <v>0</v>
      </c>
      <c r="O54" s="15">
        <f t="shared" si="0"/>
        <v>19</v>
      </c>
      <c r="P54" s="15">
        <f t="shared" si="1"/>
        <v>42</v>
      </c>
      <c r="R54" s="8"/>
      <c r="T54"/>
    </row>
    <row r="55" spans="2:20" ht="23.1" customHeight="1" x14ac:dyDescent="0.25">
      <c r="B55" s="45" t="s">
        <v>82</v>
      </c>
      <c r="C55" s="50">
        <v>4</v>
      </c>
      <c r="D55" s="50">
        <v>1</v>
      </c>
      <c r="E55" s="50">
        <v>0</v>
      </c>
      <c r="F55" s="50">
        <v>0</v>
      </c>
      <c r="G55" s="50">
        <v>1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18</v>
      </c>
      <c r="N55" s="50">
        <v>0</v>
      </c>
      <c r="O55" s="15">
        <f t="shared" si="0"/>
        <v>7</v>
      </c>
      <c r="P55" s="15">
        <f t="shared" si="1"/>
        <v>25</v>
      </c>
      <c r="R55" s="8"/>
      <c r="T55"/>
    </row>
    <row r="56" spans="2:20" ht="23.1" customHeight="1" x14ac:dyDescent="0.25">
      <c r="B56" s="45" t="s">
        <v>83</v>
      </c>
      <c r="C56" s="50">
        <v>17</v>
      </c>
      <c r="D56" s="50">
        <v>5</v>
      </c>
      <c r="E56" s="50">
        <v>0</v>
      </c>
      <c r="F56" s="50">
        <v>8</v>
      </c>
      <c r="G56" s="50">
        <v>0</v>
      </c>
      <c r="H56" s="50">
        <v>1</v>
      </c>
      <c r="I56" s="50">
        <v>1</v>
      </c>
      <c r="J56" s="50">
        <v>0</v>
      </c>
      <c r="K56" s="50">
        <v>0</v>
      </c>
      <c r="L56" s="50">
        <v>2</v>
      </c>
      <c r="M56" s="50">
        <v>24</v>
      </c>
      <c r="N56" s="50">
        <v>0</v>
      </c>
      <c r="O56" s="15">
        <f t="shared" si="0"/>
        <v>34</v>
      </c>
      <c r="P56" s="15">
        <f t="shared" si="1"/>
        <v>58</v>
      </c>
      <c r="R56" s="8"/>
      <c r="T56"/>
    </row>
    <row r="57" spans="2:20" ht="23.1" customHeight="1" x14ac:dyDescent="0.25">
      <c r="B57" s="45" t="s">
        <v>84</v>
      </c>
      <c r="C57" s="50">
        <v>3</v>
      </c>
      <c r="D57" s="50">
        <v>0</v>
      </c>
      <c r="E57" s="50">
        <v>0</v>
      </c>
      <c r="F57" s="50">
        <v>4</v>
      </c>
      <c r="G57" s="50">
        <v>0</v>
      </c>
      <c r="H57" s="50">
        <v>1</v>
      </c>
      <c r="I57" s="50">
        <v>0</v>
      </c>
      <c r="J57" s="50">
        <v>0</v>
      </c>
      <c r="K57" s="50">
        <v>0</v>
      </c>
      <c r="L57" s="50">
        <v>0</v>
      </c>
      <c r="M57" s="50">
        <v>10</v>
      </c>
      <c r="N57" s="50">
        <v>0</v>
      </c>
      <c r="O57" s="15">
        <f t="shared" si="0"/>
        <v>8</v>
      </c>
      <c r="P57" s="15">
        <f t="shared" si="1"/>
        <v>18</v>
      </c>
      <c r="R57" s="8"/>
      <c r="T57"/>
    </row>
    <row r="58" spans="2:20" ht="23.1" customHeight="1" x14ac:dyDescent="0.25">
      <c r="B58" s="45" t="s">
        <v>99</v>
      </c>
      <c r="C58" s="50">
        <v>9</v>
      </c>
      <c r="D58" s="50">
        <v>3</v>
      </c>
      <c r="E58" s="50">
        <v>1</v>
      </c>
      <c r="F58" s="50">
        <v>12</v>
      </c>
      <c r="G58" s="50">
        <v>1</v>
      </c>
      <c r="H58" s="50">
        <v>0</v>
      </c>
      <c r="I58" s="50">
        <v>0</v>
      </c>
      <c r="J58" s="50">
        <v>3</v>
      </c>
      <c r="K58" s="50">
        <v>7</v>
      </c>
      <c r="L58" s="50">
        <v>3</v>
      </c>
      <c r="M58" s="50">
        <v>18</v>
      </c>
      <c r="N58" s="50">
        <v>0</v>
      </c>
      <c r="O58" s="15">
        <f t="shared" ref="O58:O105" si="35">SUM(C58:L58,N58)</f>
        <v>39</v>
      </c>
      <c r="P58" s="15">
        <f t="shared" ref="P58:P105" si="36">SUM(C58:N58)</f>
        <v>57</v>
      </c>
      <c r="R58" s="8"/>
      <c r="T58"/>
    </row>
    <row r="59" spans="2:20" ht="23.1" customHeight="1" x14ac:dyDescent="0.25">
      <c r="B59" s="45" t="s">
        <v>100</v>
      </c>
      <c r="C59" s="50">
        <v>6</v>
      </c>
      <c r="D59" s="50">
        <v>5</v>
      </c>
      <c r="E59" s="50">
        <v>0</v>
      </c>
      <c r="F59" s="50">
        <v>8</v>
      </c>
      <c r="G59" s="50">
        <v>0</v>
      </c>
      <c r="H59" s="50">
        <v>0</v>
      </c>
      <c r="I59" s="50">
        <v>3</v>
      </c>
      <c r="J59" s="50">
        <v>9</v>
      </c>
      <c r="K59" s="50">
        <v>4</v>
      </c>
      <c r="L59" s="50">
        <v>2</v>
      </c>
      <c r="M59" s="50">
        <v>10</v>
      </c>
      <c r="N59" s="50">
        <v>0</v>
      </c>
      <c r="O59" s="15">
        <f t="shared" si="35"/>
        <v>37</v>
      </c>
      <c r="P59" s="15">
        <f t="shared" si="36"/>
        <v>47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7</v>
      </c>
      <c r="E60" s="50">
        <v>3</v>
      </c>
      <c r="F60" s="50">
        <v>13</v>
      </c>
      <c r="G60" s="50">
        <v>2</v>
      </c>
      <c r="H60" s="50">
        <v>0</v>
      </c>
      <c r="I60" s="50">
        <v>5</v>
      </c>
      <c r="J60" s="50">
        <v>2</v>
      </c>
      <c r="K60" s="50">
        <v>5</v>
      </c>
      <c r="L60" s="50">
        <v>9</v>
      </c>
      <c r="M60" s="50">
        <v>11</v>
      </c>
      <c r="N60" s="50">
        <v>0</v>
      </c>
      <c r="O60" s="15">
        <f t="shared" si="35"/>
        <v>48</v>
      </c>
      <c r="P60" s="15">
        <f t="shared" si="36"/>
        <v>59</v>
      </c>
      <c r="R60" s="8"/>
      <c r="T60"/>
    </row>
    <row r="61" spans="2:20" ht="23.1" customHeight="1" x14ac:dyDescent="0.25">
      <c r="B61" s="45" t="s">
        <v>102</v>
      </c>
      <c r="C61" s="50">
        <v>5</v>
      </c>
      <c r="D61" s="50">
        <v>3</v>
      </c>
      <c r="E61" s="50">
        <v>1</v>
      </c>
      <c r="F61" s="50">
        <v>8</v>
      </c>
      <c r="G61" s="50">
        <v>0</v>
      </c>
      <c r="H61" s="50">
        <v>0</v>
      </c>
      <c r="I61" s="50">
        <v>0</v>
      </c>
      <c r="J61" s="50">
        <v>4</v>
      </c>
      <c r="K61" s="50">
        <v>3</v>
      </c>
      <c r="L61" s="50">
        <v>13</v>
      </c>
      <c r="M61" s="50">
        <v>7</v>
      </c>
      <c r="N61" s="50">
        <v>0</v>
      </c>
      <c r="O61" s="15">
        <f t="shared" si="35"/>
        <v>37</v>
      </c>
      <c r="P61" s="15">
        <f t="shared" si="36"/>
        <v>44</v>
      </c>
      <c r="R61" s="8"/>
      <c r="T61"/>
    </row>
    <row r="62" spans="2:20" ht="23.1" customHeight="1" x14ac:dyDescent="0.25">
      <c r="B62" s="45" t="s">
        <v>107</v>
      </c>
      <c r="C62" s="50">
        <v>4</v>
      </c>
      <c r="D62" s="50">
        <v>0</v>
      </c>
      <c r="E62" s="50">
        <v>6</v>
      </c>
      <c r="F62" s="50">
        <v>8</v>
      </c>
      <c r="G62" s="50">
        <v>1</v>
      </c>
      <c r="H62" s="50">
        <v>0</v>
      </c>
      <c r="I62" s="50">
        <v>3</v>
      </c>
      <c r="J62" s="50">
        <v>1</v>
      </c>
      <c r="K62" s="50">
        <v>4</v>
      </c>
      <c r="L62" s="50">
        <v>6</v>
      </c>
      <c r="M62" s="50">
        <v>8</v>
      </c>
      <c r="N62" s="50">
        <v>0</v>
      </c>
      <c r="O62" s="15">
        <f t="shared" si="35"/>
        <v>33</v>
      </c>
      <c r="P62" s="15">
        <f t="shared" si="36"/>
        <v>41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2</v>
      </c>
      <c r="F63" s="50">
        <v>3</v>
      </c>
      <c r="G63" s="50">
        <v>3</v>
      </c>
      <c r="H63" s="50">
        <v>0</v>
      </c>
      <c r="I63" s="50">
        <v>1</v>
      </c>
      <c r="J63" s="50">
        <v>7</v>
      </c>
      <c r="K63" s="50">
        <v>5</v>
      </c>
      <c r="L63" s="50">
        <v>0</v>
      </c>
      <c r="M63" s="50">
        <v>11</v>
      </c>
      <c r="N63" s="50">
        <v>0</v>
      </c>
      <c r="O63" s="15">
        <f t="shared" si="35"/>
        <v>21</v>
      </c>
      <c r="P63" s="15">
        <f t="shared" si="36"/>
        <v>32</v>
      </c>
      <c r="R63" s="8"/>
      <c r="T63"/>
    </row>
    <row r="64" spans="2:20" ht="23.1" customHeight="1" x14ac:dyDescent="0.25">
      <c r="B64" s="45" t="s">
        <v>109</v>
      </c>
      <c r="C64" s="50">
        <v>8</v>
      </c>
      <c r="D64" s="50">
        <v>13</v>
      </c>
      <c r="E64" s="50">
        <v>0</v>
      </c>
      <c r="F64" s="50">
        <v>11</v>
      </c>
      <c r="G64" s="50">
        <v>0</v>
      </c>
      <c r="H64" s="50">
        <v>0</v>
      </c>
      <c r="I64" s="50">
        <v>0</v>
      </c>
      <c r="J64" s="50">
        <v>1</v>
      </c>
      <c r="K64" s="50">
        <v>2</v>
      </c>
      <c r="L64" s="50">
        <v>4</v>
      </c>
      <c r="M64" s="50">
        <v>6</v>
      </c>
      <c r="N64" s="50">
        <v>0</v>
      </c>
      <c r="O64" s="15">
        <f t="shared" si="35"/>
        <v>39</v>
      </c>
      <c r="P64" s="15">
        <f t="shared" si="36"/>
        <v>45</v>
      </c>
      <c r="R64" s="8"/>
      <c r="T64"/>
    </row>
    <row r="65" spans="2:20" ht="23.1" customHeight="1" x14ac:dyDescent="0.25">
      <c r="B65" s="45" t="s">
        <v>158</v>
      </c>
      <c r="C65" s="50">
        <v>14</v>
      </c>
      <c r="D65" s="50">
        <v>3</v>
      </c>
      <c r="E65" s="50">
        <v>2</v>
      </c>
      <c r="F65" s="50">
        <v>3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7</v>
      </c>
      <c r="N65" s="50">
        <v>0</v>
      </c>
      <c r="O65" s="15">
        <f t="shared" si="35"/>
        <v>22</v>
      </c>
      <c r="P65" s="15">
        <f t="shared" si="36"/>
        <v>29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1</v>
      </c>
      <c r="E66" s="50">
        <v>0</v>
      </c>
      <c r="F66" s="50">
        <v>6</v>
      </c>
      <c r="G66" s="50">
        <v>0</v>
      </c>
      <c r="H66" s="50">
        <v>0</v>
      </c>
      <c r="I66" s="50">
        <v>2</v>
      </c>
      <c r="J66" s="50">
        <v>0</v>
      </c>
      <c r="K66" s="50">
        <v>0</v>
      </c>
      <c r="L66" s="50">
        <v>3</v>
      </c>
      <c r="M66" s="50">
        <v>9</v>
      </c>
      <c r="N66" s="50">
        <v>0</v>
      </c>
      <c r="O66" s="15">
        <f t="shared" si="35"/>
        <v>15</v>
      </c>
      <c r="P66" s="15">
        <f t="shared" si="36"/>
        <v>24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9</v>
      </c>
      <c r="G67" s="50">
        <v>0</v>
      </c>
      <c r="H67" s="50">
        <v>2</v>
      </c>
      <c r="I67" s="50">
        <v>0</v>
      </c>
      <c r="J67" s="50">
        <v>0</v>
      </c>
      <c r="K67" s="50">
        <v>5</v>
      </c>
      <c r="L67" s="50">
        <v>7</v>
      </c>
      <c r="M67" s="50">
        <v>10</v>
      </c>
      <c r="N67" s="50">
        <v>0</v>
      </c>
      <c r="O67" s="15">
        <f t="shared" si="35"/>
        <v>23</v>
      </c>
      <c r="P67" s="15">
        <f t="shared" si="36"/>
        <v>33</v>
      </c>
      <c r="R67" s="8"/>
      <c r="T67"/>
    </row>
    <row r="68" spans="2:20" ht="23.1" customHeight="1" x14ac:dyDescent="0.25">
      <c r="B68" s="45" t="s">
        <v>105</v>
      </c>
      <c r="C68" s="50">
        <v>5</v>
      </c>
      <c r="D68" s="50">
        <v>1</v>
      </c>
      <c r="E68" s="50">
        <v>4</v>
      </c>
      <c r="F68" s="50">
        <v>2</v>
      </c>
      <c r="G68" s="50">
        <v>0</v>
      </c>
      <c r="H68" s="50">
        <v>0</v>
      </c>
      <c r="I68" s="50">
        <v>0</v>
      </c>
      <c r="J68" s="50">
        <v>3</v>
      </c>
      <c r="K68" s="50">
        <v>0</v>
      </c>
      <c r="L68" s="50">
        <v>0</v>
      </c>
      <c r="M68" s="50">
        <v>6</v>
      </c>
      <c r="N68" s="50">
        <v>0</v>
      </c>
      <c r="O68" s="15">
        <f t="shared" si="35"/>
        <v>15</v>
      </c>
      <c r="P68" s="15">
        <f t="shared" si="36"/>
        <v>21</v>
      </c>
      <c r="R68" s="8"/>
      <c r="T68"/>
    </row>
    <row r="69" spans="2:20" ht="23.1" customHeight="1" x14ac:dyDescent="0.25">
      <c r="B69" s="45" t="s">
        <v>106</v>
      </c>
      <c r="C69" s="50">
        <v>4</v>
      </c>
      <c r="D69" s="50">
        <v>4</v>
      </c>
      <c r="E69" s="50">
        <v>0</v>
      </c>
      <c r="F69" s="50">
        <v>0</v>
      </c>
      <c r="G69" s="50">
        <v>0</v>
      </c>
      <c r="H69" s="50">
        <v>0</v>
      </c>
      <c r="I69" s="50">
        <v>2</v>
      </c>
      <c r="J69" s="50">
        <v>1</v>
      </c>
      <c r="K69" s="50">
        <v>0</v>
      </c>
      <c r="L69" s="50">
        <v>0</v>
      </c>
      <c r="M69" s="50">
        <v>0</v>
      </c>
      <c r="N69" s="50">
        <v>0</v>
      </c>
      <c r="O69" s="15">
        <f t="shared" si="35"/>
        <v>11</v>
      </c>
      <c r="P69" s="15">
        <f t="shared" si="36"/>
        <v>11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2</v>
      </c>
      <c r="E70" s="50">
        <v>5</v>
      </c>
      <c r="F70" s="50">
        <v>4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3</v>
      </c>
      <c r="M70" s="50">
        <v>8</v>
      </c>
      <c r="N70" s="50">
        <v>0</v>
      </c>
      <c r="O70" s="15">
        <f t="shared" si="35"/>
        <v>14</v>
      </c>
      <c r="P70" s="15">
        <f t="shared" si="36"/>
        <v>22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7</v>
      </c>
      <c r="G71" s="50">
        <v>0</v>
      </c>
      <c r="H71" s="50">
        <v>0</v>
      </c>
      <c r="I71" s="50">
        <v>2</v>
      </c>
      <c r="J71" s="50">
        <v>1</v>
      </c>
      <c r="K71" s="50">
        <v>4</v>
      </c>
      <c r="L71" s="50">
        <v>0</v>
      </c>
      <c r="M71" s="50">
        <v>0</v>
      </c>
      <c r="N71" s="50">
        <v>0</v>
      </c>
      <c r="O71" s="15">
        <f t="shared" si="35"/>
        <v>14</v>
      </c>
      <c r="P71" s="15">
        <f t="shared" si="36"/>
        <v>14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1</v>
      </c>
      <c r="E72" s="50">
        <v>6</v>
      </c>
      <c r="F72" s="50">
        <v>4</v>
      </c>
      <c r="G72" s="50">
        <v>0</v>
      </c>
      <c r="H72" s="50">
        <v>0</v>
      </c>
      <c r="I72" s="50">
        <v>0</v>
      </c>
      <c r="J72" s="50">
        <v>0</v>
      </c>
      <c r="K72" s="50">
        <v>6</v>
      </c>
      <c r="L72" s="50">
        <v>4</v>
      </c>
      <c r="M72" s="50">
        <v>7</v>
      </c>
      <c r="N72" s="50">
        <v>0</v>
      </c>
      <c r="O72" s="15">
        <f t="shared" si="35"/>
        <v>24</v>
      </c>
      <c r="P72" s="15">
        <f t="shared" si="36"/>
        <v>31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4</v>
      </c>
      <c r="E73" s="50">
        <v>1</v>
      </c>
      <c r="F73" s="50">
        <v>1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35"/>
        <v>7</v>
      </c>
      <c r="P73" s="15">
        <f t="shared" si="36"/>
        <v>7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1</v>
      </c>
      <c r="E74" s="50">
        <v>0</v>
      </c>
      <c r="F74" s="50">
        <v>4</v>
      </c>
      <c r="G74" s="50">
        <v>0</v>
      </c>
      <c r="H74" s="50">
        <v>0</v>
      </c>
      <c r="I74" s="50">
        <v>0</v>
      </c>
      <c r="J74" s="50">
        <v>0</v>
      </c>
      <c r="K74" s="50">
        <v>3</v>
      </c>
      <c r="L74" s="50">
        <v>5</v>
      </c>
      <c r="M74" s="50">
        <v>2</v>
      </c>
      <c r="N74" s="50">
        <v>0</v>
      </c>
      <c r="O74" s="15">
        <f t="shared" si="35"/>
        <v>15</v>
      </c>
      <c r="P74" s="15">
        <f t="shared" si="36"/>
        <v>17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2</v>
      </c>
      <c r="G75" s="50">
        <v>0</v>
      </c>
      <c r="H75" s="50">
        <v>1</v>
      </c>
      <c r="I75" s="50">
        <v>0</v>
      </c>
      <c r="J75" s="50">
        <v>2</v>
      </c>
      <c r="K75" s="50">
        <v>0</v>
      </c>
      <c r="L75" s="50">
        <v>0</v>
      </c>
      <c r="M75" s="50">
        <v>5</v>
      </c>
      <c r="N75" s="50">
        <v>0</v>
      </c>
      <c r="O75" s="15">
        <f t="shared" si="35"/>
        <v>5</v>
      </c>
      <c r="P75" s="15">
        <f t="shared" si="36"/>
        <v>10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1</v>
      </c>
      <c r="E76" s="50">
        <v>1</v>
      </c>
      <c r="F76" s="50">
        <v>5</v>
      </c>
      <c r="G76" s="50">
        <v>0</v>
      </c>
      <c r="H76" s="50">
        <v>0</v>
      </c>
      <c r="I76" s="50">
        <v>2</v>
      </c>
      <c r="J76" s="50">
        <v>0</v>
      </c>
      <c r="K76" s="50">
        <v>4</v>
      </c>
      <c r="L76" s="50">
        <v>3</v>
      </c>
      <c r="M76" s="50">
        <v>3</v>
      </c>
      <c r="N76" s="50">
        <v>0</v>
      </c>
      <c r="O76" s="15">
        <f t="shared" si="35"/>
        <v>17</v>
      </c>
      <c r="P76" s="15">
        <f t="shared" si="36"/>
        <v>20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1</v>
      </c>
      <c r="H77" s="50">
        <v>0</v>
      </c>
      <c r="I77" s="50">
        <v>1</v>
      </c>
      <c r="J77" s="50">
        <v>0</v>
      </c>
      <c r="K77" s="50">
        <v>0</v>
      </c>
      <c r="L77" s="50">
        <v>5</v>
      </c>
      <c r="M77" s="50">
        <v>0</v>
      </c>
      <c r="N77" s="50">
        <v>0</v>
      </c>
      <c r="O77" s="15">
        <f t="shared" si="35"/>
        <v>7</v>
      </c>
      <c r="P77" s="15">
        <f t="shared" si="36"/>
        <v>7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2</v>
      </c>
      <c r="I78" s="50">
        <v>1</v>
      </c>
      <c r="J78" s="50">
        <v>0</v>
      </c>
      <c r="K78" s="50">
        <v>0</v>
      </c>
      <c r="L78" s="50">
        <v>3</v>
      </c>
      <c r="M78" s="50">
        <v>0</v>
      </c>
      <c r="N78" s="50">
        <v>0</v>
      </c>
      <c r="O78" s="15">
        <f t="shared" si="35"/>
        <v>6</v>
      </c>
      <c r="P78" s="15">
        <f t="shared" si="36"/>
        <v>6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2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3</v>
      </c>
      <c r="P79" s="15">
        <f t="shared" si="36"/>
        <v>3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1</v>
      </c>
      <c r="F80" s="50">
        <v>1</v>
      </c>
      <c r="G80" s="50">
        <v>0</v>
      </c>
      <c r="H80" s="50">
        <v>0</v>
      </c>
      <c r="I80" s="50">
        <v>0</v>
      </c>
      <c r="J80" s="50">
        <v>2</v>
      </c>
      <c r="K80" s="50">
        <v>1</v>
      </c>
      <c r="L80" s="50">
        <v>4</v>
      </c>
      <c r="M80" s="50">
        <v>2</v>
      </c>
      <c r="N80" s="50">
        <v>0</v>
      </c>
      <c r="O80" s="15">
        <f t="shared" si="35"/>
        <v>9</v>
      </c>
      <c r="P80" s="15">
        <f t="shared" si="36"/>
        <v>11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4</v>
      </c>
      <c r="K81" s="50">
        <v>1</v>
      </c>
      <c r="L81" s="50">
        <v>2</v>
      </c>
      <c r="M81" s="50">
        <v>0</v>
      </c>
      <c r="N81" s="50">
        <v>0</v>
      </c>
      <c r="O81" s="15">
        <f t="shared" si="35"/>
        <v>7</v>
      </c>
      <c r="P81" s="15">
        <f t="shared" si="36"/>
        <v>7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2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1</v>
      </c>
      <c r="M82" s="50">
        <v>2</v>
      </c>
      <c r="N82" s="50">
        <v>0</v>
      </c>
      <c r="O82" s="15">
        <f t="shared" si="35"/>
        <v>3</v>
      </c>
      <c r="P82" s="15">
        <f t="shared" si="36"/>
        <v>5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3</v>
      </c>
      <c r="M84" s="50">
        <v>5</v>
      </c>
      <c r="N84" s="50">
        <v>0</v>
      </c>
      <c r="O84" s="15">
        <f t="shared" si="35"/>
        <v>3</v>
      </c>
      <c r="P84" s="15">
        <f t="shared" si="36"/>
        <v>8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1</v>
      </c>
      <c r="M85" s="50">
        <v>3</v>
      </c>
      <c r="N85" s="50">
        <v>0</v>
      </c>
      <c r="O85" s="15">
        <f t="shared" si="35"/>
        <v>1</v>
      </c>
      <c r="P85" s="15">
        <f t="shared" si="36"/>
        <v>4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1</v>
      </c>
      <c r="L86" s="50">
        <v>0</v>
      </c>
      <c r="M86" s="50">
        <v>2</v>
      </c>
      <c r="N86" s="50">
        <v>0</v>
      </c>
      <c r="O86" s="15">
        <f t="shared" si="35"/>
        <v>1</v>
      </c>
      <c r="P86" s="15">
        <f t="shared" si="36"/>
        <v>3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3</v>
      </c>
      <c r="L94" s="50">
        <v>2</v>
      </c>
      <c r="M94" s="50">
        <v>0</v>
      </c>
      <c r="N94" s="50">
        <v>0</v>
      </c>
      <c r="O94" s="15">
        <f t="shared" si="35"/>
        <v>5</v>
      </c>
      <c r="P94" s="15">
        <f t="shared" si="36"/>
        <v>5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1</v>
      </c>
      <c r="M95" s="50">
        <v>0</v>
      </c>
      <c r="N95" s="50"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2</v>
      </c>
      <c r="K97" s="50">
        <v>0</v>
      </c>
      <c r="L97" s="50">
        <v>1</v>
      </c>
      <c r="M97" s="50">
        <v>0</v>
      </c>
      <c r="N97" s="50">
        <v>0</v>
      </c>
      <c r="O97" s="15">
        <f t="shared" si="35"/>
        <v>4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2</v>
      </c>
      <c r="G98" s="50">
        <v>0</v>
      </c>
      <c r="H98" s="50">
        <v>0</v>
      </c>
      <c r="I98" s="50">
        <v>0</v>
      </c>
      <c r="J98" s="50">
        <v>0</v>
      </c>
      <c r="K98" s="50">
        <v>3</v>
      </c>
      <c r="L98" s="50">
        <v>0</v>
      </c>
      <c r="M98" s="50">
        <v>0</v>
      </c>
      <c r="N98" s="50">
        <v>0</v>
      </c>
      <c r="O98" s="15">
        <f t="shared" si="35"/>
        <v>5</v>
      </c>
      <c r="P98" s="15">
        <f t="shared" si="36"/>
        <v>5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1</v>
      </c>
      <c r="L99" s="50">
        <v>4</v>
      </c>
      <c r="M99" s="50">
        <v>0</v>
      </c>
      <c r="N99" s="50">
        <v>0</v>
      </c>
      <c r="O99" s="15">
        <f t="shared" si="35"/>
        <v>6</v>
      </c>
      <c r="P99" s="15">
        <f t="shared" si="36"/>
        <v>6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0</v>
      </c>
      <c r="E101" s="50">
        <v>4</v>
      </c>
      <c r="F101" s="50">
        <v>0</v>
      </c>
      <c r="G101" s="50">
        <v>0</v>
      </c>
      <c r="H101" s="50">
        <v>0</v>
      </c>
      <c r="I101" s="50">
        <v>0</v>
      </c>
      <c r="J101" s="50">
        <v>1</v>
      </c>
      <c r="K101" s="50">
        <v>3</v>
      </c>
      <c r="L101" s="50">
        <v>0</v>
      </c>
      <c r="M101" s="50">
        <v>0</v>
      </c>
      <c r="N101" s="50">
        <v>0</v>
      </c>
      <c r="O101" s="15">
        <f t="shared" si="35"/>
        <v>10</v>
      </c>
      <c r="P101" s="15">
        <f t="shared" si="36"/>
        <v>10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0</v>
      </c>
      <c r="E102" s="50">
        <v>1</v>
      </c>
      <c r="F102" s="50">
        <v>4</v>
      </c>
      <c r="G102" s="50">
        <v>0</v>
      </c>
      <c r="H102" s="50">
        <v>0</v>
      </c>
      <c r="I102" s="50">
        <v>0</v>
      </c>
      <c r="J102" s="50">
        <v>1</v>
      </c>
      <c r="K102" s="50">
        <v>0</v>
      </c>
      <c r="L102" s="50">
        <v>0</v>
      </c>
      <c r="M102" s="50">
        <v>5</v>
      </c>
      <c r="N102" s="50">
        <v>0</v>
      </c>
      <c r="O102" s="15">
        <f t="shared" si="35"/>
        <v>8</v>
      </c>
      <c r="P102" s="15">
        <f t="shared" si="36"/>
        <v>13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3</v>
      </c>
      <c r="E103" s="50">
        <v>0</v>
      </c>
      <c r="F103" s="50">
        <v>2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1</v>
      </c>
      <c r="M103" s="50">
        <v>2</v>
      </c>
      <c r="N103" s="50">
        <v>0</v>
      </c>
      <c r="O103" s="15">
        <f t="shared" si="35"/>
        <v>7</v>
      </c>
      <c r="P103" s="15">
        <f t="shared" si="36"/>
        <v>9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2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7</v>
      </c>
      <c r="N104" s="50">
        <v>0</v>
      </c>
      <c r="O104" s="15">
        <f t="shared" si="35"/>
        <v>3</v>
      </c>
      <c r="P104" s="15">
        <f t="shared" si="36"/>
        <v>10</v>
      </c>
      <c r="R104" s="8"/>
      <c r="T104"/>
    </row>
    <row r="105" spans="2:20" ht="23.1" customHeight="1" x14ac:dyDescent="0.25">
      <c r="B105" s="45" t="s">
        <v>145</v>
      </c>
      <c r="C105" s="50">
        <v>5</v>
      </c>
      <c r="D105" s="50">
        <v>1</v>
      </c>
      <c r="E105" s="50">
        <v>8</v>
      </c>
      <c r="F105" s="50">
        <v>11</v>
      </c>
      <c r="G105" s="50">
        <v>0</v>
      </c>
      <c r="H105" s="50">
        <v>0</v>
      </c>
      <c r="I105" s="50">
        <v>1</v>
      </c>
      <c r="J105" s="50">
        <v>3</v>
      </c>
      <c r="K105" s="50">
        <v>0</v>
      </c>
      <c r="L105" s="50">
        <v>6</v>
      </c>
      <c r="M105" s="50">
        <v>6</v>
      </c>
      <c r="N105" s="50">
        <v>0</v>
      </c>
      <c r="O105" s="15">
        <f t="shared" si="35"/>
        <v>35</v>
      </c>
      <c r="P105" s="15">
        <f t="shared" si="36"/>
        <v>41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401</v>
      </c>
      <c r="D106" s="16">
        <f t="shared" ref="D106:P106" si="37">SUM(D10:D105)</f>
        <v>140</v>
      </c>
      <c r="E106" s="16">
        <f t="shared" si="37"/>
        <v>110</v>
      </c>
      <c r="F106" s="16">
        <f t="shared" si="37"/>
        <v>309</v>
      </c>
      <c r="G106" s="16">
        <f t="shared" si="37"/>
        <v>20</v>
      </c>
      <c r="H106" s="16">
        <f t="shared" si="37"/>
        <v>26</v>
      </c>
      <c r="I106" s="16">
        <f t="shared" si="37"/>
        <v>85</v>
      </c>
      <c r="J106" s="16">
        <f t="shared" si="37"/>
        <v>130</v>
      </c>
      <c r="K106" s="16">
        <f t="shared" si="37"/>
        <v>88</v>
      </c>
      <c r="L106" s="16">
        <f t="shared" si="37"/>
        <v>142</v>
      </c>
      <c r="M106" s="16">
        <f t="shared" si="37"/>
        <v>1070</v>
      </c>
      <c r="N106" s="16">
        <f t="shared" si="37"/>
        <v>0</v>
      </c>
      <c r="O106" s="16">
        <f t="shared" si="37"/>
        <v>1451</v>
      </c>
      <c r="P106" s="16">
        <f t="shared" si="37"/>
        <v>2521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0.15906386354621183</v>
      </c>
      <c r="D107" s="43">
        <f t="shared" si="38"/>
        <v>5.5533518445061485E-2</v>
      </c>
      <c r="E107" s="43">
        <f t="shared" si="38"/>
        <v>4.3633478778262597E-2</v>
      </c>
      <c r="F107" s="43">
        <f t="shared" si="38"/>
        <v>0.12257040856802856</v>
      </c>
      <c r="G107" s="43">
        <f t="shared" si="38"/>
        <v>7.9333597778659254E-3</v>
      </c>
      <c r="H107" s="43">
        <f t="shared" si="38"/>
        <v>1.0313367711225704E-2</v>
      </c>
      <c r="I107" s="43">
        <f t="shared" si="38"/>
        <v>3.3716779055930186E-2</v>
      </c>
      <c r="J107" s="43">
        <f t="shared" si="38"/>
        <v>5.1566838556128522E-2</v>
      </c>
      <c r="K107" s="43">
        <f t="shared" si="38"/>
        <v>3.4906783022610077E-2</v>
      </c>
      <c r="L107" s="43">
        <f t="shared" si="38"/>
        <v>5.6326854422848079E-2</v>
      </c>
      <c r="M107" s="43">
        <f t="shared" si="38"/>
        <v>0.42443474811582704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0.27636113025499653</v>
      </c>
      <c r="D108" s="44">
        <f t="shared" ref="D108:N108" si="39">D106/$O$106</f>
        <v>9.648518263266713E-2</v>
      </c>
      <c r="E108" s="44">
        <f t="shared" si="39"/>
        <v>7.5809786354238462E-2</v>
      </c>
      <c r="F108" s="44">
        <f t="shared" si="39"/>
        <v>0.21295658166781531</v>
      </c>
      <c r="G108" s="44">
        <f t="shared" si="39"/>
        <v>1.3783597518952447E-2</v>
      </c>
      <c r="H108" s="44">
        <f t="shared" si="39"/>
        <v>1.7918676774638181E-2</v>
      </c>
      <c r="I108" s="44">
        <f t="shared" si="39"/>
        <v>5.8580289455547899E-2</v>
      </c>
      <c r="J108" s="44">
        <f t="shared" si="39"/>
        <v>8.9593383873190907E-2</v>
      </c>
      <c r="K108" s="44">
        <f t="shared" si="39"/>
        <v>6.0647829083390767E-2</v>
      </c>
      <c r="L108" s="44">
        <f t="shared" si="39"/>
        <v>9.7863542384562366E-2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B1:AF174"/>
  <sheetViews>
    <sheetView view="pageBreakPreview" topLeftCell="A43" zoomScale="60" workbookViewId="0">
      <selection activeCell="P26" sqref="P2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6.140625" customWidth="1"/>
    <col min="7" max="7" width="15.5703125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'27.10 Mbarara-Kabale'!C3:G3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13.5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8.5" customHeight="1" x14ac:dyDescent="0.25">
      <c r="C5" s="4" t="s">
        <v>3</v>
      </c>
      <c r="D5" s="36" t="str">
        <f>'31.10 Mbarara-Kabale-24hr'!D5</f>
        <v>31.10.19</v>
      </c>
      <c r="E5" s="3"/>
      <c r="F5" s="41" t="s">
        <v>1</v>
      </c>
      <c r="G5" s="63" t="str">
        <f>'31.10 Mbarara-Kabale-24hr'!G5:H5</f>
        <v>Nyeihanga traffic station</v>
      </c>
      <c r="H5" s="64"/>
      <c r="I5" s="14"/>
      <c r="J5" s="2" t="s">
        <v>5</v>
      </c>
      <c r="K5" s="63" t="s">
        <v>182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'27.10 Kabale-Mbarara'!D6:E6</f>
        <v>Kabale</v>
      </c>
      <c r="E6" s="64"/>
      <c r="F6" s="2" t="s">
        <v>2</v>
      </c>
      <c r="G6" s="63" t="str">
        <f>'28.10 Kabale-Mbarara'!G6:H6</f>
        <v>Mbarara</v>
      </c>
      <c r="H6" s="64"/>
      <c r="J6" s="2" t="s">
        <v>21</v>
      </c>
      <c r="K6" s="63" t="str">
        <f>'31.10 Mbarara-Kabale-24hr'!K6:L6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12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13</v>
      </c>
      <c r="R10" s="1" t="s">
        <v>6</v>
      </c>
      <c r="S10" s="17">
        <f t="shared" ref="S10:AF10" si="2">SUM(C10:C13)</f>
        <v>13</v>
      </c>
      <c r="T10" s="17">
        <f t="shared" si="2"/>
        <v>2</v>
      </c>
      <c r="U10" s="17">
        <f t="shared" si="2"/>
        <v>2</v>
      </c>
      <c r="V10" s="17">
        <f t="shared" si="2"/>
        <v>9</v>
      </c>
      <c r="W10" s="17">
        <f t="shared" si="2"/>
        <v>0</v>
      </c>
      <c r="X10" s="17">
        <f t="shared" si="2"/>
        <v>1</v>
      </c>
      <c r="Y10" s="17">
        <f t="shared" si="2"/>
        <v>3</v>
      </c>
      <c r="Z10" s="17">
        <f t="shared" si="2"/>
        <v>2</v>
      </c>
      <c r="AA10" s="17">
        <f t="shared" si="2"/>
        <v>2</v>
      </c>
      <c r="AB10" s="17">
        <f t="shared" si="2"/>
        <v>10</v>
      </c>
      <c r="AC10" s="17">
        <f t="shared" si="2"/>
        <v>81</v>
      </c>
      <c r="AD10" s="17">
        <f t="shared" si="2"/>
        <v>0</v>
      </c>
      <c r="AE10" s="31">
        <f t="shared" si="2"/>
        <v>44</v>
      </c>
      <c r="AF10" s="31">
        <f t="shared" si="2"/>
        <v>125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0</v>
      </c>
      <c r="F11" s="50">
        <v>3</v>
      </c>
      <c r="G11" s="50">
        <v>0</v>
      </c>
      <c r="H11" s="50">
        <v>0</v>
      </c>
      <c r="I11" s="50">
        <v>0</v>
      </c>
      <c r="J11" s="50">
        <v>2</v>
      </c>
      <c r="K11" s="50">
        <v>1</v>
      </c>
      <c r="L11" s="50">
        <v>3</v>
      </c>
      <c r="M11" s="50">
        <v>16</v>
      </c>
      <c r="N11" s="50">
        <v>0</v>
      </c>
      <c r="O11" s="15">
        <f t="shared" si="0"/>
        <v>11</v>
      </c>
      <c r="P11" s="15">
        <f t="shared" si="1"/>
        <v>27</v>
      </c>
      <c r="R11" s="1" t="s">
        <v>7</v>
      </c>
      <c r="S11" s="17">
        <f t="shared" ref="S11:AF11" si="3">SUM(C14:C17)</f>
        <v>16</v>
      </c>
      <c r="T11" s="17">
        <f t="shared" si="3"/>
        <v>4</v>
      </c>
      <c r="U11" s="17">
        <f t="shared" si="3"/>
        <v>5</v>
      </c>
      <c r="V11" s="17">
        <f t="shared" si="3"/>
        <v>20</v>
      </c>
      <c r="W11" s="17">
        <f t="shared" si="3"/>
        <v>0</v>
      </c>
      <c r="X11" s="17">
        <f t="shared" si="3"/>
        <v>1</v>
      </c>
      <c r="Y11" s="17">
        <f t="shared" si="3"/>
        <v>8</v>
      </c>
      <c r="Z11" s="17">
        <f t="shared" si="3"/>
        <v>4</v>
      </c>
      <c r="AA11" s="17">
        <f t="shared" si="3"/>
        <v>0</v>
      </c>
      <c r="AB11" s="17">
        <f t="shared" si="3"/>
        <v>2</v>
      </c>
      <c r="AC11" s="17">
        <f t="shared" si="3"/>
        <v>100</v>
      </c>
      <c r="AD11" s="17">
        <f t="shared" si="3"/>
        <v>0</v>
      </c>
      <c r="AE11" s="31">
        <f t="shared" si="3"/>
        <v>60</v>
      </c>
      <c r="AF11" s="31">
        <f t="shared" si="3"/>
        <v>160</v>
      </c>
    </row>
    <row r="12" spans="2:32" ht="23.1" customHeight="1" x14ac:dyDescent="0.25">
      <c r="B12" s="45" t="s">
        <v>39</v>
      </c>
      <c r="C12" s="50">
        <v>4</v>
      </c>
      <c r="D12" s="50">
        <v>0</v>
      </c>
      <c r="E12" s="50">
        <v>0</v>
      </c>
      <c r="F12" s="50">
        <v>5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5</v>
      </c>
      <c r="M12" s="50">
        <v>26</v>
      </c>
      <c r="N12" s="50">
        <v>0</v>
      </c>
      <c r="O12" s="15">
        <f t="shared" si="0"/>
        <v>16</v>
      </c>
      <c r="P12" s="15">
        <f t="shared" si="1"/>
        <v>42</v>
      </c>
      <c r="R12" s="1" t="s">
        <v>8</v>
      </c>
      <c r="S12" s="17">
        <f t="shared" ref="S12:AF12" si="4">SUM(C18:C21)</f>
        <v>15</v>
      </c>
      <c r="T12" s="17">
        <f t="shared" si="4"/>
        <v>6</v>
      </c>
      <c r="U12" s="17">
        <f t="shared" si="4"/>
        <v>5</v>
      </c>
      <c r="V12" s="17">
        <f t="shared" si="4"/>
        <v>18</v>
      </c>
      <c r="W12" s="17">
        <f t="shared" si="4"/>
        <v>1</v>
      </c>
      <c r="X12" s="17">
        <f t="shared" si="4"/>
        <v>3</v>
      </c>
      <c r="Y12" s="17">
        <f t="shared" si="4"/>
        <v>11</v>
      </c>
      <c r="Z12" s="17">
        <f t="shared" si="4"/>
        <v>3</v>
      </c>
      <c r="AA12" s="17">
        <f t="shared" si="4"/>
        <v>1</v>
      </c>
      <c r="AB12" s="17">
        <f t="shared" si="4"/>
        <v>1</v>
      </c>
      <c r="AC12" s="17">
        <f t="shared" si="4"/>
        <v>101</v>
      </c>
      <c r="AD12" s="17">
        <f t="shared" si="4"/>
        <v>1</v>
      </c>
      <c r="AE12" s="31">
        <f t="shared" si="4"/>
        <v>65</v>
      </c>
      <c r="AF12" s="31">
        <f t="shared" si="4"/>
        <v>166</v>
      </c>
    </row>
    <row r="13" spans="2:32" ht="23.1" customHeight="1" x14ac:dyDescent="0.25">
      <c r="B13" s="45" t="s">
        <v>40</v>
      </c>
      <c r="C13" s="50">
        <v>7</v>
      </c>
      <c r="D13" s="50">
        <v>2</v>
      </c>
      <c r="E13" s="50">
        <v>2</v>
      </c>
      <c r="F13" s="50">
        <v>1</v>
      </c>
      <c r="G13" s="50">
        <v>0</v>
      </c>
      <c r="H13" s="50">
        <v>1</v>
      </c>
      <c r="I13" s="50">
        <v>1</v>
      </c>
      <c r="J13" s="50">
        <v>0</v>
      </c>
      <c r="K13" s="50">
        <v>0</v>
      </c>
      <c r="L13" s="50">
        <v>2</v>
      </c>
      <c r="M13" s="50">
        <v>27</v>
      </c>
      <c r="N13" s="50">
        <v>0</v>
      </c>
      <c r="O13" s="15">
        <f t="shared" si="0"/>
        <v>16</v>
      </c>
      <c r="P13" s="15">
        <f t="shared" si="1"/>
        <v>43</v>
      </c>
      <c r="R13" s="1" t="s">
        <v>9</v>
      </c>
      <c r="S13" s="17">
        <f t="shared" ref="S13:AF13" si="5">SUM(C22:C25)</f>
        <v>22</v>
      </c>
      <c r="T13" s="17">
        <f t="shared" si="5"/>
        <v>9</v>
      </c>
      <c r="U13" s="17">
        <f t="shared" si="5"/>
        <v>4</v>
      </c>
      <c r="V13" s="17">
        <f t="shared" si="5"/>
        <v>18</v>
      </c>
      <c r="W13" s="17">
        <f t="shared" si="5"/>
        <v>0</v>
      </c>
      <c r="X13" s="17">
        <f t="shared" si="5"/>
        <v>3</v>
      </c>
      <c r="Y13" s="17">
        <f t="shared" si="5"/>
        <v>7</v>
      </c>
      <c r="Z13" s="17">
        <f t="shared" si="5"/>
        <v>4</v>
      </c>
      <c r="AA13" s="17">
        <f t="shared" si="5"/>
        <v>3</v>
      </c>
      <c r="AB13" s="17">
        <f t="shared" si="5"/>
        <v>4</v>
      </c>
      <c r="AC13" s="17">
        <f t="shared" si="5"/>
        <v>125</v>
      </c>
      <c r="AD13" s="17">
        <f t="shared" si="5"/>
        <v>0</v>
      </c>
      <c r="AE13" s="31">
        <f t="shared" si="5"/>
        <v>74</v>
      </c>
      <c r="AF13" s="31">
        <f t="shared" si="5"/>
        <v>199</v>
      </c>
    </row>
    <row r="14" spans="2:32" ht="23.1" customHeight="1" x14ac:dyDescent="0.25">
      <c r="B14" s="45" t="s">
        <v>41</v>
      </c>
      <c r="C14" s="50">
        <v>6</v>
      </c>
      <c r="D14" s="50">
        <v>1</v>
      </c>
      <c r="E14" s="50">
        <v>0</v>
      </c>
      <c r="F14" s="50">
        <v>5</v>
      </c>
      <c r="G14" s="50">
        <v>0</v>
      </c>
      <c r="H14" s="50">
        <v>1</v>
      </c>
      <c r="I14" s="50">
        <v>2</v>
      </c>
      <c r="J14" s="50">
        <v>1</v>
      </c>
      <c r="K14" s="50">
        <v>0</v>
      </c>
      <c r="L14" s="50">
        <v>0</v>
      </c>
      <c r="M14" s="50">
        <v>22</v>
      </c>
      <c r="N14" s="50">
        <v>0</v>
      </c>
      <c r="O14" s="15">
        <f t="shared" si="0"/>
        <v>16</v>
      </c>
      <c r="P14" s="15">
        <f t="shared" si="1"/>
        <v>38</v>
      </c>
      <c r="R14" s="1" t="s">
        <v>10</v>
      </c>
      <c r="S14" s="17">
        <f t="shared" ref="S14:AF14" si="6">SUM(C26:C29)</f>
        <v>23</v>
      </c>
      <c r="T14" s="17">
        <f t="shared" si="6"/>
        <v>7</v>
      </c>
      <c r="U14" s="17">
        <f t="shared" si="6"/>
        <v>2</v>
      </c>
      <c r="V14" s="17">
        <f t="shared" si="6"/>
        <v>20</v>
      </c>
      <c r="W14" s="17">
        <f t="shared" si="6"/>
        <v>0</v>
      </c>
      <c r="X14" s="17">
        <f t="shared" si="6"/>
        <v>7</v>
      </c>
      <c r="Y14" s="17">
        <f t="shared" si="6"/>
        <v>4</v>
      </c>
      <c r="Z14" s="17">
        <f t="shared" si="6"/>
        <v>3</v>
      </c>
      <c r="AA14" s="17">
        <f t="shared" si="6"/>
        <v>1</v>
      </c>
      <c r="AB14" s="17">
        <f t="shared" si="6"/>
        <v>3</v>
      </c>
      <c r="AC14" s="17">
        <f t="shared" si="6"/>
        <v>60</v>
      </c>
      <c r="AD14" s="17">
        <f t="shared" si="6"/>
        <v>1</v>
      </c>
      <c r="AE14" s="31">
        <f t="shared" si="6"/>
        <v>63</v>
      </c>
      <c r="AF14" s="31">
        <f t="shared" si="6"/>
        <v>131</v>
      </c>
    </row>
    <row r="15" spans="2:32" ht="23.1" customHeight="1" x14ac:dyDescent="0.25">
      <c r="B15" s="45" t="s">
        <v>42</v>
      </c>
      <c r="C15" s="50">
        <v>3</v>
      </c>
      <c r="D15" s="50">
        <v>2</v>
      </c>
      <c r="E15" s="50">
        <v>1</v>
      </c>
      <c r="F15" s="50">
        <v>6</v>
      </c>
      <c r="G15" s="50">
        <v>0</v>
      </c>
      <c r="H15" s="50">
        <v>0</v>
      </c>
      <c r="I15" s="50">
        <v>3</v>
      </c>
      <c r="J15" s="50">
        <v>2</v>
      </c>
      <c r="K15" s="50">
        <v>0</v>
      </c>
      <c r="L15" s="50">
        <v>0</v>
      </c>
      <c r="M15" s="50">
        <v>26</v>
      </c>
      <c r="N15" s="50">
        <v>0</v>
      </c>
      <c r="O15" s="15">
        <f t="shared" si="0"/>
        <v>17</v>
      </c>
      <c r="P15" s="15">
        <f t="shared" si="1"/>
        <v>43</v>
      </c>
      <c r="R15" s="1" t="s">
        <v>11</v>
      </c>
      <c r="S15" s="17">
        <f t="shared" ref="S15:AF15" si="7">SUM(C30:C33)</f>
        <v>17</v>
      </c>
      <c r="T15" s="17">
        <f t="shared" si="7"/>
        <v>9</v>
      </c>
      <c r="U15" s="17">
        <f t="shared" si="7"/>
        <v>2</v>
      </c>
      <c r="V15" s="17">
        <f t="shared" si="7"/>
        <v>13</v>
      </c>
      <c r="W15" s="17">
        <f t="shared" si="7"/>
        <v>0</v>
      </c>
      <c r="X15" s="17">
        <f t="shared" si="7"/>
        <v>3</v>
      </c>
      <c r="Y15" s="17">
        <f t="shared" si="7"/>
        <v>2</v>
      </c>
      <c r="Z15" s="17">
        <f t="shared" si="7"/>
        <v>4</v>
      </c>
      <c r="AA15" s="17">
        <f t="shared" si="7"/>
        <v>3</v>
      </c>
      <c r="AB15" s="17">
        <f t="shared" si="7"/>
        <v>5</v>
      </c>
      <c r="AC15" s="17">
        <f t="shared" si="7"/>
        <v>20</v>
      </c>
      <c r="AD15" s="17">
        <f t="shared" si="7"/>
        <v>0</v>
      </c>
      <c r="AE15" s="31">
        <f t="shared" si="7"/>
        <v>58</v>
      </c>
      <c r="AF15" s="31">
        <f t="shared" si="7"/>
        <v>78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1</v>
      </c>
      <c r="F16" s="50">
        <v>1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1</v>
      </c>
      <c r="M16" s="50">
        <v>23</v>
      </c>
      <c r="N16" s="50">
        <v>0</v>
      </c>
      <c r="O16" s="15">
        <f t="shared" si="0"/>
        <v>6</v>
      </c>
      <c r="P16" s="15">
        <f t="shared" si="1"/>
        <v>29</v>
      </c>
      <c r="R16" s="1" t="s">
        <v>12</v>
      </c>
      <c r="S16" s="17">
        <f t="shared" ref="S16:AF16" si="8">SUM(C34:C37)</f>
        <v>17</v>
      </c>
      <c r="T16" s="17">
        <f t="shared" si="8"/>
        <v>9</v>
      </c>
      <c r="U16" s="17">
        <f t="shared" si="8"/>
        <v>4</v>
      </c>
      <c r="V16" s="17">
        <f t="shared" si="8"/>
        <v>16</v>
      </c>
      <c r="W16" s="17">
        <f t="shared" si="8"/>
        <v>1</v>
      </c>
      <c r="X16" s="17">
        <f t="shared" si="8"/>
        <v>2</v>
      </c>
      <c r="Y16" s="17">
        <f t="shared" si="8"/>
        <v>3</v>
      </c>
      <c r="Z16" s="17">
        <f t="shared" si="8"/>
        <v>1</v>
      </c>
      <c r="AA16" s="17">
        <f t="shared" si="8"/>
        <v>6</v>
      </c>
      <c r="AB16" s="17">
        <f t="shared" si="8"/>
        <v>9</v>
      </c>
      <c r="AC16" s="17">
        <f t="shared" si="8"/>
        <v>68</v>
      </c>
      <c r="AD16" s="17">
        <f t="shared" si="8"/>
        <v>2</v>
      </c>
      <c r="AE16" s="31">
        <f t="shared" si="8"/>
        <v>70</v>
      </c>
      <c r="AF16" s="31">
        <f t="shared" si="8"/>
        <v>138</v>
      </c>
    </row>
    <row r="17" spans="2:32" ht="23.1" customHeight="1" x14ac:dyDescent="0.25">
      <c r="B17" s="45" t="s">
        <v>44</v>
      </c>
      <c r="C17" s="50">
        <v>6</v>
      </c>
      <c r="D17" s="50">
        <v>1</v>
      </c>
      <c r="E17" s="50">
        <v>3</v>
      </c>
      <c r="F17" s="50">
        <v>8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1</v>
      </c>
      <c r="M17" s="50">
        <v>29</v>
      </c>
      <c r="N17" s="50">
        <v>0</v>
      </c>
      <c r="O17" s="15">
        <f t="shared" si="0"/>
        <v>21</v>
      </c>
      <c r="P17" s="15">
        <f t="shared" si="1"/>
        <v>50</v>
      </c>
      <c r="R17" s="1" t="s">
        <v>13</v>
      </c>
      <c r="S17" s="17">
        <f t="shared" ref="S17:AF17" si="9">SUM(C38:C41)</f>
        <v>25</v>
      </c>
      <c r="T17" s="17">
        <f t="shared" si="9"/>
        <v>6</v>
      </c>
      <c r="U17" s="17">
        <f t="shared" si="9"/>
        <v>4</v>
      </c>
      <c r="V17" s="17">
        <f t="shared" si="9"/>
        <v>7</v>
      </c>
      <c r="W17" s="17">
        <f t="shared" si="9"/>
        <v>1</v>
      </c>
      <c r="X17" s="17">
        <f t="shared" si="9"/>
        <v>2</v>
      </c>
      <c r="Y17" s="17">
        <f t="shared" si="9"/>
        <v>5</v>
      </c>
      <c r="Z17" s="17">
        <f t="shared" si="9"/>
        <v>2</v>
      </c>
      <c r="AA17" s="17">
        <f t="shared" si="9"/>
        <v>3</v>
      </c>
      <c r="AB17" s="17">
        <f t="shared" si="9"/>
        <v>6</v>
      </c>
      <c r="AC17" s="17">
        <f t="shared" si="9"/>
        <v>52</v>
      </c>
      <c r="AD17" s="17">
        <f t="shared" si="9"/>
        <v>0</v>
      </c>
      <c r="AE17" s="31">
        <f t="shared" si="9"/>
        <v>61</v>
      </c>
      <c r="AF17" s="31">
        <f t="shared" si="9"/>
        <v>113</v>
      </c>
    </row>
    <row r="18" spans="2:32" ht="23.1" customHeight="1" x14ac:dyDescent="0.25">
      <c r="B18" s="45" t="s">
        <v>45</v>
      </c>
      <c r="C18" s="50">
        <v>7</v>
      </c>
      <c r="D18" s="50">
        <v>0</v>
      </c>
      <c r="E18" s="50">
        <v>1</v>
      </c>
      <c r="F18" s="50">
        <v>2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25</v>
      </c>
      <c r="N18" s="50">
        <v>0</v>
      </c>
      <c r="O18" s="15">
        <f t="shared" si="0"/>
        <v>11</v>
      </c>
      <c r="P18" s="15">
        <f t="shared" si="1"/>
        <v>36</v>
      </c>
      <c r="R18" s="1" t="s">
        <v>14</v>
      </c>
      <c r="S18" s="17">
        <f t="shared" ref="S18:AF18" si="10">SUM(C42:C45)</f>
        <v>24</v>
      </c>
      <c r="T18" s="17">
        <f t="shared" si="10"/>
        <v>12</v>
      </c>
      <c r="U18" s="17">
        <f t="shared" si="10"/>
        <v>6</v>
      </c>
      <c r="V18" s="17">
        <f t="shared" si="10"/>
        <v>9</v>
      </c>
      <c r="W18" s="17">
        <f t="shared" si="10"/>
        <v>0</v>
      </c>
      <c r="X18" s="17">
        <f t="shared" si="10"/>
        <v>2</v>
      </c>
      <c r="Y18" s="17">
        <f t="shared" si="10"/>
        <v>6</v>
      </c>
      <c r="Z18" s="17">
        <f t="shared" si="10"/>
        <v>5</v>
      </c>
      <c r="AA18" s="17">
        <f t="shared" si="10"/>
        <v>11</v>
      </c>
      <c r="AB18" s="17">
        <f t="shared" si="10"/>
        <v>0</v>
      </c>
      <c r="AC18" s="17">
        <f t="shared" si="10"/>
        <v>107</v>
      </c>
      <c r="AD18" s="17">
        <f t="shared" si="10"/>
        <v>0</v>
      </c>
      <c r="AE18" s="31">
        <f t="shared" si="10"/>
        <v>75</v>
      </c>
      <c r="AF18" s="31">
        <f t="shared" si="10"/>
        <v>182</v>
      </c>
    </row>
    <row r="19" spans="2:32" ht="23.1" customHeight="1" x14ac:dyDescent="0.25">
      <c r="B19" s="45" t="s">
        <v>46</v>
      </c>
      <c r="C19" s="50">
        <v>2</v>
      </c>
      <c r="D19" s="50">
        <v>2</v>
      </c>
      <c r="E19" s="50">
        <v>0</v>
      </c>
      <c r="F19" s="50">
        <v>7</v>
      </c>
      <c r="G19" s="50">
        <v>0</v>
      </c>
      <c r="H19" s="50">
        <v>0</v>
      </c>
      <c r="I19" s="50">
        <v>2</v>
      </c>
      <c r="J19" s="50">
        <v>1</v>
      </c>
      <c r="K19" s="50">
        <v>1</v>
      </c>
      <c r="L19" s="50">
        <v>0</v>
      </c>
      <c r="M19" s="50">
        <v>17</v>
      </c>
      <c r="N19" s="50">
        <v>0</v>
      </c>
      <c r="O19" s="15">
        <f t="shared" si="0"/>
        <v>15</v>
      </c>
      <c r="P19" s="15">
        <f t="shared" si="1"/>
        <v>32</v>
      </c>
      <c r="R19" s="1" t="s">
        <v>15</v>
      </c>
      <c r="S19" s="17">
        <f t="shared" ref="S19:AF19" si="11">SUM(C46:C49)</f>
        <v>30</v>
      </c>
      <c r="T19" s="17">
        <f t="shared" si="11"/>
        <v>16</v>
      </c>
      <c r="U19" s="17">
        <f t="shared" si="11"/>
        <v>7</v>
      </c>
      <c r="V19" s="17">
        <f t="shared" si="11"/>
        <v>17</v>
      </c>
      <c r="W19" s="17">
        <f t="shared" si="11"/>
        <v>0</v>
      </c>
      <c r="X19" s="17">
        <f t="shared" si="11"/>
        <v>1</v>
      </c>
      <c r="Y19" s="17">
        <f t="shared" si="11"/>
        <v>5</v>
      </c>
      <c r="Z19" s="17">
        <f t="shared" si="11"/>
        <v>1</v>
      </c>
      <c r="AA19" s="17">
        <f t="shared" si="11"/>
        <v>17</v>
      </c>
      <c r="AB19" s="17">
        <f t="shared" si="11"/>
        <v>10</v>
      </c>
      <c r="AC19" s="17">
        <f t="shared" si="11"/>
        <v>113</v>
      </c>
      <c r="AD19" s="17">
        <f t="shared" si="11"/>
        <v>0</v>
      </c>
      <c r="AE19" s="31">
        <f t="shared" si="11"/>
        <v>104</v>
      </c>
      <c r="AF19" s="31">
        <f t="shared" si="11"/>
        <v>217</v>
      </c>
    </row>
    <row r="20" spans="2:32" ht="23.1" customHeight="1" x14ac:dyDescent="0.25">
      <c r="B20" s="45" t="s">
        <v>47</v>
      </c>
      <c r="C20" s="50">
        <v>3</v>
      </c>
      <c r="D20" s="50">
        <v>3</v>
      </c>
      <c r="E20" s="50">
        <v>2</v>
      </c>
      <c r="F20" s="50">
        <v>5</v>
      </c>
      <c r="G20" s="50">
        <v>1</v>
      </c>
      <c r="H20" s="50">
        <v>3</v>
      </c>
      <c r="I20" s="50">
        <v>4</v>
      </c>
      <c r="J20" s="50">
        <v>0</v>
      </c>
      <c r="K20" s="50">
        <v>0</v>
      </c>
      <c r="L20" s="50">
        <v>0</v>
      </c>
      <c r="M20" s="50">
        <v>26</v>
      </c>
      <c r="N20" s="50">
        <v>1</v>
      </c>
      <c r="O20" s="15">
        <f t="shared" si="0"/>
        <v>22</v>
      </c>
      <c r="P20" s="15">
        <f t="shared" si="1"/>
        <v>48</v>
      </c>
      <c r="R20" s="1" t="s">
        <v>16</v>
      </c>
      <c r="S20" s="17">
        <f t="shared" ref="S20:AF20" si="12">SUM(C50:C53)</f>
        <v>28</v>
      </c>
      <c r="T20" s="17">
        <f t="shared" si="12"/>
        <v>7</v>
      </c>
      <c r="U20" s="17">
        <f t="shared" si="12"/>
        <v>5</v>
      </c>
      <c r="V20" s="17">
        <f t="shared" si="12"/>
        <v>16</v>
      </c>
      <c r="W20" s="17">
        <f t="shared" si="12"/>
        <v>0</v>
      </c>
      <c r="X20" s="17">
        <f t="shared" si="12"/>
        <v>0</v>
      </c>
      <c r="Y20" s="17">
        <f t="shared" si="12"/>
        <v>9</v>
      </c>
      <c r="Z20" s="17">
        <f t="shared" si="12"/>
        <v>0</v>
      </c>
      <c r="AA20" s="17">
        <f t="shared" si="12"/>
        <v>17</v>
      </c>
      <c r="AB20" s="17">
        <f t="shared" si="12"/>
        <v>1</v>
      </c>
      <c r="AC20" s="17">
        <f t="shared" si="12"/>
        <v>77</v>
      </c>
      <c r="AD20" s="17">
        <f t="shared" si="12"/>
        <v>0</v>
      </c>
      <c r="AE20" s="31">
        <f t="shared" si="12"/>
        <v>83</v>
      </c>
      <c r="AF20" s="31">
        <f t="shared" si="12"/>
        <v>160</v>
      </c>
    </row>
    <row r="21" spans="2:32" ht="23.1" customHeight="1" x14ac:dyDescent="0.25">
      <c r="B21" s="45" t="s">
        <v>48</v>
      </c>
      <c r="C21" s="50">
        <v>3</v>
      </c>
      <c r="D21" s="50">
        <v>1</v>
      </c>
      <c r="E21" s="50">
        <v>2</v>
      </c>
      <c r="F21" s="50">
        <v>4</v>
      </c>
      <c r="G21" s="50">
        <v>0</v>
      </c>
      <c r="H21" s="50">
        <v>0</v>
      </c>
      <c r="I21" s="50">
        <v>5</v>
      </c>
      <c r="J21" s="50">
        <v>1</v>
      </c>
      <c r="K21" s="50">
        <v>0</v>
      </c>
      <c r="L21" s="50">
        <v>1</v>
      </c>
      <c r="M21" s="50">
        <v>33</v>
      </c>
      <c r="N21" s="50">
        <v>0</v>
      </c>
      <c r="O21" s="15">
        <f t="shared" si="0"/>
        <v>17</v>
      </c>
      <c r="P21" s="15">
        <f t="shared" si="1"/>
        <v>50</v>
      </c>
      <c r="R21" s="36" t="s">
        <v>20</v>
      </c>
      <c r="S21" s="34">
        <f t="shared" ref="S21:AF21" si="13">SUM(C54:C57)</f>
        <v>21</v>
      </c>
      <c r="T21" s="17">
        <f t="shared" si="13"/>
        <v>8</v>
      </c>
      <c r="U21" s="17">
        <f t="shared" si="13"/>
        <v>6</v>
      </c>
      <c r="V21" s="17">
        <f t="shared" si="13"/>
        <v>14</v>
      </c>
      <c r="W21" s="17">
        <f t="shared" si="13"/>
        <v>1</v>
      </c>
      <c r="X21" s="17">
        <f t="shared" si="13"/>
        <v>0</v>
      </c>
      <c r="Y21" s="17">
        <f t="shared" si="13"/>
        <v>6</v>
      </c>
      <c r="Z21" s="17">
        <f t="shared" si="13"/>
        <v>4</v>
      </c>
      <c r="AA21" s="17">
        <f t="shared" si="13"/>
        <v>16</v>
      </c>
      <c r="AB21" s="17">
        <f t="shared" si="13"/>
        <v>5</v>
      </c>
      <c r="AC21" s="17">
        <f t="shared" si="13"/>
        <v>89</v>
      </c>
      <c r="AD21" s="17">
        <f t="shared" si="13"/>
        <v>1</v>
      </c>
      <c r="AE21" s="31">
        <f t="shared" si="13"/>
        <v>82</v>
      </c>
      <c r="AF21" s="31">
        <f t="shared" si="13"/>
        <v>171</v>
      </c>
    </row>
    <row r="22" spans="2:32" ht="23.1" customHeight="1" x14ac:dyDescent="0.25">
      <c r="B22" s="45" t="s">
        <v>49</v>
      </c>
      <c r="C22" s="50">
        <v>7</v>
      </c>
      <c r="D22" s="50">
        <v>3</v>
      </c>
      <c r="E22" s="50">
        <v>2</v>
      </c>
      <c r="F22" s="50">
        <v>3</v>
      </c>
      <c r="G22" s="50">
        <v>0</v>
      </c>
      <c r="H22" s="50">
        <v>0</v>
      </c>
      <c r="I22" s="50">
        <v>4</v>
      </c>
      <c r="J22" s="50">
        <v>0</v>
      </c>
      <c r="K22" s="50">
        <v>1</v>
      </c>
      <c r="L22" s="50">
        <v>2</v>
      </c>
      <c r="M22" s="50">
        <v>43</v>
      </c>
      <c r="N22" s="50">
        <v>0</v>
      </c>
      <c r="O22" s="15">
        <f t="shared" si="0"/>
        <v>22</v>
      </c>
      <c r="P22" s="15">
        <f t="shared" si="1"/>
        <v>65</v>
      </c>
      <c r="R22" s="36" t="s">
        <v>146</v>
      </c>
      <c r="S22" s="34">
        <f>SUM(C58:C61)</f>
        <v>12</v>
      </c>
      <c r="T22" s="34">
        <f t="shared" ref="T22:AF22" si="14">SUM(D58:D61)</f>
        <v>2</v>
      </c>
      <c r="U22" s="34">
        <f t="shared" si="14"/>
        <v>2</v>
      </c>
      <c r="V22" s="34">
        <f t="shared" si="14"/>
        <v>30</v>
      </c>
      <c r="W22" s="34">
        <f t="shared" si="14"/>
        <v>0</v>
      </c>
      <c r="X22" s="34">
        <f t="shared" si="14"/>
        <v>1</v>
      </c>
      <c r="Y22" s="34">
        <f t="shared" si="14"/>
        <v>5</v>
      </c>
      <c r="Z22" s="34">
        <f t="shared" si="14"/>
        <v>8</v>
      </c>
      <c r="AA22" s="34">
        <f t="shared" si="14"/>
        <v>2</v>
      </c>
      <c r="AB22" s="34">
        <f t="shared" si="14"/>
        <v>4</v>
      </c>
      <c r="AC22" s="34">
        <f t="shared" si="14"/>
        <v>67</v>
      </c>
      <c r="AD22" s="34">
        <f t="shared" si="14"/>
        <v>0</v>
      </c>
      <c r="AE22" s="31">
        <f t="shared" si="14"/>
        <v>66</v>
      </c>
      <c r="AF22" s="31">
        <f t="shared" si="14"/>
        <v>133</v>
      </c>
    </row>
    <row r="23" spans="2:32" ht="23.1" customHeight="1" x14ac:dyDescent="0.25">
      <c r="B23" s="45" t="s">
        <v>50</v>
      </c>
      <c r="C23" s="50">
        <v>7</v>
      </c>
      <c r="D23" s="50">
        <v>3</v>
      </c>
      <c r="E23" s="50">
        <v>2</v>
      </c>
      <c r="F23" s="50">
        <v>4</v>
      </c>
      <c r="G23" s="50">
        <v>0</v>
      </c>
      <c r="H23" s="50">
        <v>1</v>
      </c>
      <c r="I23" s="50">
        <v>0</v>
      </c>
      <c r="J23" s="50">
        <v>2</v>
      </c>
      <c r="K23" s="50">
        <v>1</v>
      </c>
      <c r="L23" s="50">
        <v>0</v>
      </c>
      <c r="M23" s="50">
        <v>31</v>
      </c>
      <c r="N23" s="50">
        <v>0</v>
      </c>
      <c r="O23" s="15">
        <f t="shared" si="0"/>
        <v>20</v>
      </c>
      <c r="P23" s="15">
        <f t="shared" si="1"/>
        <v>51</v>
      </c>
      <c r="R23" s="36" t="s">
        <v>147</v>
      </c>
      <c r="S23" s="34">
        <f>SUM(C62:C65)</f>
        <v>15</v>
      </c>
      <c r="T23" s="34">
        <f t="shared" ref="T23:AF23" si="15">SUM(D62:D65)</f>
        <v>6</v>
      </c>
      <c r="U23" s="34">
        <f t="shared" si="15"/>
        <v>1</v>
      </c>
      <c r="V23" s="34">
        <f t="shared" si="15"/>
        <v>11</v>
      </c>
      <c r="W23" s="34">
        <f t="shared" si="15"/>
        <v>1</v>
      </c>
      <c r="X23" s="34">
        <f t="shared" si="15"/>
        <v>0</v>
      </c>
      <c r="Y23" s="34">
        <f t="shared" si="15"/>
        <v>5</v>
      </c>
      <c r="Z23" s="34">
        <f t="shared" si="15"/>
        <v>2</v>
      </c>
      <c r="AA23" s="34">
        <f t="shared" si="15"/>
        <v>2</v>
      </c>
      <c r="AB23" s="34">
        <f t="shared" si="15"/>
        <v>5</v>
      </c>
      <c r="AC23" s="34">
        <f t="shared" si="15"/>
        <v>42</v>
      </c>
      <c r="AD23" s="34">
        <f t="shared" si="15"/>
        <v>0</v>
      </c>
      <c r="AE23" s="31">
        <f t="shared" si="15"/>
        <v>48</v>
      </c>
      <c r="AF23" s="31">
        <f t="shared" si="15"/>
        <v>90</v>
      </c>
    </row>
    <row r="24" spans="2:32" ht="23.1" customHeight="1" x14ac:dyDescent="0.25">
      <c r="B24" s="45" t="s">
        <v>51</v>
      </c>
      <c r="C24" s="50">
        <v>3</v>
      </c>
      <c r="D24" s="50">
        <v>2</v>
      </c>
      <c r="E24" s="50">
        <v>0</v>
      </c>
      <c r="F24" s="50">
        <v>7</v>
      </c>
      <c r="G24" s="50">
        <v>0</v>
      </c>
      <c r="H24" s="50">
        <v>1</v>
      </c>
      <c r="I24" s="50">
        <v>1</v>
      </c>
      <c r="J24" s="50">
        <v>2</v>
      </c>
      <c r="K24" s="50">
        <v>1</v>
      </c>
      <c r="L24" s="50">
        <v>1</v>
      </c>
      <c r="M24" s="50">
        <v>25</v>
      </c>
      <c r="N24" s="50">
        <v>0</v>
      </c>
      <c r="O24" s="15">
        <f t="shared" si="0"/>
        <v>18</v>
      </c>
      <c r="P24" s="15">
        <f t="shared" si="1"/>
        <v>43</v>
      </c>
      <c r="R24" s="36" t="s">
        <v>148</v>
      </c>
      <c r="S24" s="34">
        <f>SUM(C66:C69)</f>
        <v>6</v>
      </c>
      <c r="T24" s="34">
        <f t="shared" ref="T24:AF24" si="16">SUM(D66:D69)</f>
        <v>7</v>
      </c>
      <c r="U24" s="34">
        <f t="shared" si="16"/>
        <v>3</v>
      </c>
      <c r="V24" s="34">
        <f t="shared" si="16"/>
        <v>6</v>
      </c>
      <c r="W24" s="34">
        <f t="shared" si="16"/>
        <v>0</v>
      </c>
      <c r="X24" s="34">
        <f t="shared" si="16"/>
        <v>0</v>
      </c>
      <c r="Y24" s="34">
        <f t="shared" si="16"/>
        <v>5</v>
      </c>
      <c r="Z24" s="34">
        <f t="shared" si="16"/>
        <v>0</v>
      </c>
      <c r="AA24" s="34">
        <f t="shared" si="16"/>
        <v>1</v>
      </c>
      <c r="AB24" s="34">
        <f t="shared" si="16"/>
        <v>2</v>
      </c>
      <c r="AC24" s="34">
        <f t="shared" si="16"/>
        <v>34</v>
      </c>
      <c r="AD24" s="34">
        <f t="shared" si="16"/>
        <v>0</v>
      </c>
      <c r="AE24" s="31">
        <f t="shared" si="16"/>
        <v>30</v>
      </c>
      <c r="AF24" s="31">
        <f t="shared" si="16"/>
        <v>64</v>
      </c>
    </row>
    <row r="25" spans="2:32" ht="23.1" customHeight="1" x14ac:dyDescent="0.25">
      <c r="B25" s="45" t="s">
        <v>52</v>
      </c>
      <c r="C25" s="50">
        <v>5</v>
      </c>
      <c r="D25" s="50">
        <v>1</v>
      </c>
      <c r="E25" s="50">
        <v>0</v>
      </c>
      <c r="F25" s="50">
        <v>4</v>
      </c>
      <c r="G25" s="50">
        <v>0</v>
      </c>
      <c r="H25" s="50">
        <v>1</v>
      </c>
      <c r="I25" s="50">
        <v>2</v>
      </c>
      <c r="J25" s="50">
        <v>0</v>
      </c>
      <c r="K25" s="50">
        <v>0</v>
      </c>
      <c r="L25" s="50">
        <v>1</v>
      </c>
      <c r="M25" s="50">
        <v>26</v>
      </c>
      <c r="N25" s="50">
        <v>0</v>
      </c>
      <c r="O25" s="15">
        <f t="shared" si="0"/>
        <v>14</v>
      </c>
      <c r="P25" s="15">
        <f t="shared" si="1"/>
        <v>40</v>
      </c>
      <c r="R25" s="36" t="s">
        <v>149</v>
      </c>
      <c r="S25" s="34">
        <f>SUM(C70:C73)</f>
        <v>19</v>
      </c>
      <c r="T25" s="34">
        <f t="shared" ref="T25:AF26" si="17">SUM(D70:D73)</f>
        <v>1</v>
      </c>
      <c r="U25" s="34">
        <f t="shared" si="17"/>
        <v>4</v>
      </c>
      <c r="V25" s="34">
        <f t="shared" si="17"/>
        <v>8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5</v>
      </c>
      <c r="AA25" s="34">
        <f t="shared" si="17"/>
        <v>3</v>
      </c>
      <c r="AB25" s="34">
        <f t="shared" si="17"/>
        <v>5</v>
      </c>
      <c r="AC25" s="34">
        <f t="shared" si="17"/>
        <v>26</v>
      </c>
      <c r="AD25" s="34">
        <f t="shared" si="17"/>
        <v>0</v>
      </c>
      <c r="AE25" s="31">
        <f t="shared" si="17"/>
        <v>46</v>
      </c>
      <c r="AF25" s="31">
        <f t="shared" si="17"/>
        <v>72</v>
      </c>
    </row>
    <row r="26" spans="2:32" ht="23.1" customHeight="1" x14ac:dyDescent="0.25">
      <c r="B26" s="45" t="s">
        <v>53</v>
      </c>
      <c r="C26" s="50">
        <v>3</v>
      </c>
      <c r="D26" s="50">
        <v>1</v>
      </c>
      <c r="E26" s="50">
        <v>1</v>
      </c>
      <c r="F26" s="50">
        <v>5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1</v>
      </c>
      <c r="M26" s="50">
        <v>13</v>
      </c>
      <c r="N26" s="50">
        <v>1</v>
      </c>
      <c r="O26" s="15">
        <v>5</v>
      </c>
      <c r="P26" s="15">
        <f t="shared" si="1"/>
        <v>26</v>
      </c>
      <c r="R26" s="36" t="s">
        <v>150</v>
      </c>
      <c r="S26" s="34">
        <f>SUM(C71:C74)</f>
        <v>18</v>
      </c>
      <c r="T26" s="34">
        <f t="shared" ref="T26" si="18">SUM(D71:D74)</f>
        <v>1</v>
      </c>
      <c r="U26" s="34">
        <f t="shared" si="17"/>
        <v>4</v>
      </c>
      <c r="V26" s="34">
        <f t="shared" ref="V26:AF26" si="19">SUM(F74:F77)</f>
        <v>5</v>
      </c>
      <c r="W26" s="34">
        <f t="shared" si="19"/>
        <v>0</v>
      </c>
      <c r="X26" s="34">
        <f t="shared" si="19"/>
        <v>0</v>
      </c>
      <c r="Y26" s="34">
        <f t="shared" si="19"/>
        <v>2</v>
      </c>
      <c r="Z26" s="34">
        <f t="shared" si="19"/>
        <v>5</v>
      </c>
      <c r="AA26" s="34">
        <f t="shared" si="19"/>
        <v>0</v>
      </c>
      <c r="AB26" s="34">
        <f t="shared" si="19"/>
        <v>3</v>
      </c>
      <c r="AC26" s="34">
        <f t="shared" si="19"/>
        <v>21</v>
      </c>
      <c r="AD26" s="34">
        <f t="shared" si="19"/>
        <v>0</v>
      </c>
      <c r="AE26" s="31">
        <f t="shared" si="19"/>
        <v>31</v>
      </c>
      <c r="AF26" s="31">
        <f t="shared" si="19"/>
        <v>52</v>
      </c>
    </row>
    <row r="27" spans="2:32" ht="23.1" customHeight="1" x14ac:dyDescent="0.25">
      <c r="B27" s="45" t="s">
        <v>54</v>
      </c>
      <c r="C27" s="50">
        <v>10</v>
      </c>
      <c r="D27" s="50">
        <v>5</v>
      </c>
      <c r="E27" s="50">
        <v>0</v>
      </c>
      <c r="F27" s="50">
        <v>4</v>
      </c>
      <c r="G27" s="50">
        <v>0</v>
      </c>
      <c r="H27" s="50">
        <v>5</v>
      </c>
      <c r="I27" s="50">
        <v>2</v>
      </c>
      <c r="J27" s="50">
        <v>1</v>
      </c>
      <c r="K27" s="50">
        <v>0</v>
      </c>
      <c r="L27" s="50">
        <v>1</v>
      </c>
      <c r="M27" s="50">
        <v>19</v>
      </c>
      <c r="N27" s="50">
        <v>0</v>
      </c>
      <c r="O27" s="15">
        <f t="shared" si="0"/>
        <v>28</v>
      </c>
      <c r="P27" s="15">
        <f t="shared" si="1"/>
        <v>47</v>
      </c>
      <c r="R27" s="36" t="s">
        <v>151</v>
      </c>
      <c r="S27" s="34">
        <f>SUM(C78:C81)</f>
        <v>3</v>
      </c>
      <c r="T27" s="34">
        <f t="shared" ref="T27:AF27" si="20">SUM(D78:D81)</f>
        <v>2</v>
      </c>
      <c r="U27" s="34">
        <f t="shared" si="20"/>
        <v>2</v>
      </c>
      <c r="V27" s="34">
        <f t="shared" si="20"/>
        <v>4</v>
      </c>
      <c r="W27" s="34">
        <f t="shared" si="20"/>
        <v>1</v>
      </c>
      <c r="X27" s="34">
        <f t="shared" si="20"/>
        <v>0</v>
      </c>
      <c r="Y27" s="34">
        <f t="shared" si="20"/>
        <v>0</v>
      </c>
      <c r="Z27" s="34">
        <f t="shared" si="20"/>
        <v>0</v>
      </c>
      <c r="AA27" s="34">
        <f t="shared" si="20"/>
        <v>2</v>
      </c>
      <c r="AB27" s="34">
        <f t="shared" si="20"/>
        <v>4</v>
      </c>
      <c r="AC27" s="34">
        <f t="shared" si="20"/>
        <v>2</v>
      </c>
      <c r="AD27" s="34">
        <f t="shared" si="20"/>
        <v>0</v>
      </c>
      <c r="AE27" s="31">
        <f t="shared" si="20"/>
        <v>18</v>
      </c>
      <c r="AF27" s="31">
        <f t="shared" si="20"/>
        <v>20</v>
      </c>
    </row>
    <row r="28" spans="2:32" ht="23.1" customHeight="1" x14ac:dyDescent="0.25">
      <c r="B28" s="45" t="s">
        <v>55</v>
      </c>
      <c r="C28" s="50">
        <v>3</v>
      </c>
      <c r="D28" s="50">
        <v>1</v>
      </c>
      <c r="E28" s="50">
        <v>1</v>
      </c>
      <c r="F28" s="50">
        <v>7</v>
      </c>
      <c r="G28" s="50">
        <v>0</v>
      </c>
      <c r="H28" s="50">
        <v>1</v>
      </c>
      <c r="I28" s="50">
        <v>2</v>
      </c>
      <c r="J28" s="50">
        <v>0</v>
      </c>
      <c r="K28" s="50">
        <v>1</v>
      </c>
      <c r="L28" s="50">
        <v>0</v>
      </c>
      <c r="M28" s="50">
        <v>16</v>
      </c>
      <c r="N28" s="50">
        <v>0</v>
      </c>
      <c r="O28" s="15">
        <f t="shared" si="0"/>
        <v>16</v>
      </c>
      <c r="P28" s="15">
        <f t="shared" si="1"/>
        <v>32</v>
      </c>
      <c r="R28" s="36" t="s">
        <v>152</v>
      </c>
      <c r="S28" s="34">
        <f>SUM(C82:C85)</f>
        <v>2</v>
      </c>
      <c r="T28" s="34">
        <f t="shared" ref="T28:AF28" si="21">SUM(D82:D85)</f>
        <v>0</v>
      </c>
      <c r="U28" s="34">
        <f t="shared" si="21"/>
        <v>1</v>
      </c>
      <c r="V28" s="34">
        <f t="shared" si="21"/>
        <v>1</v>
      </c>
      <c r="W28" s="34">
        <f t="shared" si="21"/>
        <v>0</v>
      </c>
      <c r="X28" s="34">
        <f t="shared" si="21"/>
        <v>1</v>
      </c>
      <c r="Y28" s="34">
        <f t="shared" si="21"/>
        <v>0</v>
      </c>
      <c r="Z28" s="34">
        <f t="shared" si="21"/>
        <v>2</v>
      </c>
      <c r="AA28" s="34">
        <f t="shared" si="21"/>
        <v>1</v>
      </c>
      <c r="AB28" s="34">
        <f t="shared" si="21"/>
        <v>4</v>
      </c>
      <c r="AC28" s="34">
        <f t="shared" si="21"/>
        <v>2</v>
      </c>
      <c r="AD28" s="34">
        <f t="shared" si="21"/>
        <v>0</v>
      </c>
      <c r="AE28" s="31">
        <f t="shared" si="21"/>
        <v>12</v>
      </c>
      <c r="AF28" s="31">
        <f t="shared" si="21"/>
        <v>14</v>
      </c>
    </row>
    <row r="29" spans="2:32" ht="23.1" customHeight="1" x14ac:dyDescent="0.25">
      <c r="B29" s="45" t="s">
        <v>56</v>
      </c>
      <c r="C29" s="50">
        <v>7</v>
      </c>
      <c r="D29" s="50">
        <v>0</v>
      </c>
      <c r="E29" s="50">
        <v>0</v>
      </c>
      <c r="F29" s="50">
        <v>4</v>
      </c>
      <c r="G29" s="50">
        <v>0</v>
      </c>
      <c r="H29" s="50">
        <v>1</v>
      </c>
      <c r="I29" s="50">
        <v>0</v>
      </c>
      <c r="J29" s="50">
        <v>1</v>
      </c>
      <c r="K29" s="50">
        <v>0</v>
      </c>
      <c r="L29" s="50">
        <v>1</v>
      </c>
      <c r="M29" s="50">
        <v>12</v>
      </c>
      <c r="N29" s="50">
        <v>0</v>
      </c>
      <c r="O29" s="15">
        <f t="shared" si="0"/>
        <v>14</v>
      </c>
      <c r="P29" s="15">
        <f t="shared" si="1"/>
        <v>26</v>
      </c>
      <c r="R29" s="36" t="s">
        <v>153</v>
      </c>
      <c r="S29" s="34">
        <f>SUM(C86:C89)</f>
        <v>17</v>
      </c>
      <c r="T29" s="34">
        <f t="shared" ref="T29:AF29" si="22">SUM(D86:D89)</f>
        <v>2</v>
      </c>
      <c r="U29" s="34">
        <f t="shared" si="22"/>
        <v>0</v>
      </c>
      <c r="V29" s="34">
        <f t="shared" si="22"/>
        <v>5</v>
      </c>
      <c r="W29" s="34">
        <f t="shared" si="22"/>
        <v>0</v>
      </c>
      <c r="X29" s="34">
        <f t="shared" si="22"/>
        <v>0</v>
      </c>
      <c r="Y29" s="34">
        <f t="shared" si="22"/>
        <v>0</v>
      </c>
      <c r="Z29" s="34">
        <f t="shared" si="22"/>
        <v>0</v>
      </c>
      <c r="AA29" s="34">
        <f t="shared" si="22"/>
        <v>5</v>
      </c>
      <c r="AB29" s="34">
        <f t="shared" si="22"/>
        <v>4</v>
      </c>
      <c r="AC29" s="34">
        <f t="shared" si="22"/>
        <v>2</v>
      </c>
      <c r="AD29" s="34">
        <f t="shared" si="22"/>
        <v>0</v>
      </c>
      <c r="AE29" s="31">
        <f t="shared" si="22"/>
        <v>33</v>
      </c>
      <c r="AF29" s="31">
        <f t="shared" si="22"/>
        <v>35</v>
      </c>
    </row>
    <row r="30" spans="2:32" ht="23.1" customHeight="1" x14ac:dyDescent="0.25">
      <c r="B30" s="45" t="s">
        <v>57</v>
      </c>
      <c r="C30" s="50">
        <v>3</v>
      </c>
      <c r="D30" s="50">
        <v>4</v>
      </c>
      <c r="E30" s="50">
        <v>2</v>
      </c>
      <c r="F30" s="50">
        <v>3</v>
      </c>
      <c r="G30" s="50">
        <v>0</v>
      </c>
      <c r="H30" s="50">
        <v>1</v>
      </c>
      <c r="I30" s="50">
        <v>0</v>
      </c>
      <c r="J30" s="50">
        <v>2</v>
      </c>
      <c r="K30" s="50">
        <v>0</v>
      </c>
      <c r="L30" s="50">
        <v>0</v>
      </c>
      <c r="M30" s="50">
        <v>10</v>
      </c>
      <c r="N30" s="50">
        <v>0</v>
      </c>
      <c r="O30" s="15">
        <f t="shared" si="0"/>
        <v>15</v>
      </c>
      <c r="P30" s="15">
        <f t="shared" si="1"/>
        <v>25</v>
      </c>
      <c r="R30" s="36" t="s">
        <v>154</v>
      </c>
      <c r="S30" s="34">
        <f>SUM(C90:C93)</f>
        <v>4</v>
      </c>
      <c r="T30" s="34">
        <f t="shared" ref="T30:AF30" si="23">SUM(D90:D93)</f>
        <v>3</v>
      </c>
      <c r="U30" s="34">
        <f t="shared" si="23"/>
        <v>3</v>
      </c>
      <c r="V30" s="34">
        <f t="shared" si="23"/>
        <v>5</v>
      </c>
      <c r="W30" s="34">
        <f t="shared" si="23"/>
        <v>0</v>
      </c>
      <c r="X30" s="34">
        <f t="shared" si="23"/>
        <v>0</v>
      </c>
      <c r="Y30" s="34">
        <f t="shared" si="23"/>
        <v>4</v>
      </c>
      <c r="Z30" s="34">
        <f t="shared" si="23"/>
        <v>2</v>
      </c>
      <c r="AA30" s="34">
        <f t="shared" si="23"/>
        <v>8</v>
      </c>
      <c r="AB30" s="34">
        <f t="shared" si="23"/>
        <v>6</v>
      </c>
      <c r="AC30" s="34">
        <f t="shared" si="23"/>
        <v>5</v>
      </c>
      <c r="AD30" s="34">
        <f t="shared" si="23"/>
        <v>0</v>
      </c>
      <c r="AE30" s="31">
        <f t="shared" si="23"/>
        <v>35</v>
      </c>
      <c r="AF30" s="31">
        <f t="shared" si="23"/>
        <v>40</v>
      </c>
    </row>
    <row r="31" spans="2:32" ht="23.1" customHeight="1" x14ac:dyDescent="0.25">
      <c r="B31" s="46" t="s">
        <v>58</v>
      </c>
      <c r="C31" s="50">
        <v>8</v>
      </c>
      <c r="D31" s="50">
        <v>3</v>
      </c>
      <c r="E31" s="50">
        <v>0</v>
      </c>
      <c r="F31" s="50">
        <v>3</v>
      </c>
      <c r="G31" s="50">
        <v>0</v>
      </c>
      <c r="H31" s="50">
        <v>1</v>
      </c>
      <c r="I31" s="50">
        <v>1</v>
      </c>
      <c r="J31" s="50">
        <v>1</v>
      </c>
      <c r="K31" s="50">
        <v>2</v>
      </c>
      <c r="L31" s="50">
        <v>2</v>
      </c>
      <c r="M31" s="50">
        <v>7</v>
      </c>
      <c r="N31" s="50">
        <v>0</v>
      </c>
      <c r="O31" s="15">
        <f t="shared" si="0"/>
        <v>21</v>
      </c>
      <c r="P31" s="15">
        <f t="shared" si="1"/>
        <v>28</v>
      </c>
      <c r="R31" s="36" t="s">
        <v>155</v>
      </c>
      <c r="S31" s="34">
        <f>SUM(C94:C97)</f>
        <v>2</v>
      </c>
      <c r="T31" s="34">
        <f t="shared" ref="T31:AF31" si="24">SUM(D94:D97)</f>
        <v>0</v>
      </c>
      <c r="U31" s="34">
        <f t="shared" si="24"/>
        <v>1</v>
      </c>
      <c r="V31" s="34">
        <f t="shared" si="24"/>
        <v>3</v>
      </c>
      <c r="W31" s="34">
        <f t="shared" si="24"/>
        <v>0</v>
      </c>
      <c r="X31" s="34">
        <f t="shared" si="24"/>
        <v>1</v>
      </c>
      <c r="Y31" s="34">
        <f t="shared" si="24"/>
        <v>3</v>
      </c>
      <c r="Z31" s="34">
        <f t="shared" si="24"/>
        <v>6</v>
      </c>
      <c r="AA31" s="34">
        <f t="shared" si="24"/>
        <v>11</v>
      </c>
      <c r="AB31" s="34">
        <f t="shared" si="24"/>
        <v>11</v>
      </c>
      <c r="AC31" s="34">
        <f t="shared" si="24"/>
        <v>11</v>
      </c>
      <c r="AD31" s="34">
        <f t="shared" si="24"/>
        <v>0</v>
      </c>
      <c r="AE31" s="31">
        <f t="shared" si="24"/>
        <v>38</v>
      </c>
      <c r="AF31" s="31">
        <f t="shared" si="24"/>
        <v>49</v>
      </c>
    </row>
    <row r="32" spans="2:32" ht="23.1" customHeight="1" x14ac:dyDescent="0.25">
      <c r="B32" s="46" t="s">
        <v>59</v>
      </c>
      <c r="C32" s="50">
        <v>3</v>
      </c>
      <c r="D32" s="50">
        <v>1</v>
      </c>
      <c r="E32" s="50">
        <v>0</v>
      </c>
      <c r="F32" s="50">
        <v>4</v>
      </c>
      <c r="G32" s="50">
        <v>0</v>
      </c>
      <c r="H32" s="50">
        <v>0</v>
      </c>
      <c r="I32" s="50">
        <v>1</v>
      </c>
      <c r="J32" s="50">
        <v>0</v>
      </c>
      <c r="K32" s="50">
        <v>1</v>
      </c>
      <c r="L32" s="50">
        <v>0</v>
      </c>
      <c r="M32" s="50">
        <v>3</v>
      </c>
      <c r="N32" s="50">
        <v>0</v>
      </c>
      <c r="O32" s="15">
        <f t="shared" si="0"/>
        <v>10</v>
      </c>
      <c r="P32" s="15">
        <f t="shared" si="1"/>
        <v>13</v>
      </c>
      <c r="R32" s="33" t="s">
        <v>156</v>
      </c>
      <c r="S32" s="34">
        <f>SUM(C98:C101)</f>
        <v>1</v>
      </c>
      <c r="T32" s="34">
        <f t="shared" ref="T32:AF32" si="25">SUM(D98:D101)</f>
        <v>0</v>
      </c>
      <c r="U32" s="34">
        <f t="shared" si="25"/>
        <v>0</v>
      </c>
      <c r="V32" s="34">
        <f t="shared" si="25"/>
        <v>11</v>
      </c>
      <c r="W32" s="34">
        <f t="shared" si="25"/>
        <v>0</v>
      </c>
      <c r="X32" s="34">
        <f t="shared" si="25"/>
        <v>2</v>
      </c>
      <c r="Y32" s="34">
        <f t="shared" si="25"/>
        <v>0</v>
      </c>
      <c r="Z32" s="34">
        <f t="shared" si="25"/>
        <v>0</v>
      </c>
      <c r="AA32" s="34">
        <f t="shared" si="25"/>
        <v>0</v>
      </c>
      <c r="AB32" s="34">
        <f t="shared" si="25"/>
        <v>10</v>
      </c>
      <c r="AC32" s="34">
        <f t="shared" si="25"/>
        <v>2</v>
      </c>
      <c r="AD32" s="34">
        <f t="shared" si="25"/>
        <v>0</v>
      </c>
      <c r="AE32" s="31">
        <f t="shared" si="25"/>
        <v>24</v>
      </c>
      <c r="AF32" s="31">
        <f t="shared" si="25"/>
        <v>26</v>
      </c>
    </row>
    <row r="33" spans="2:32" ht="23.1" customHeight="1" x14ac:dyDescent="0.25">
      <c r="B33" s="45" t="s">
        <v>60</v>
      </c>
      <c r="C33" s="50">
        <v>3</v>
      </c>
      <c r="D33" s="50">
        <v>1</v>
      </c>
      <c r="E33" s="50">
        <v>0</v>
      </c>
      <c r="F33" s="50">
        <v>3</v>
      </c>
      <c r="G33" s="50">
        <v>0</v>
      </c>
      <c r="H33" s="50">
        <v>1</v>
      </c>
      <c r="I33" s="50">
        <v>0</v>
      </c>
      <c r="J33" s="50">
        <v>1</v>
      </c>
      <c r="K33" s="50">
        <v>0</v>
      </c>
      <c r="L33" s="50">
        <v>3</v>
      </c>
      <c r="M33" s="50">
        <v>0</v>
      </c>
      <c r="N33" s="50">
        <v>0</v>
      </c>
      <c r="O33" s="15">
        <f t="shared" si="0"/>
        <v>12</v>
      </c>
      <c r="P33" s="15">
        <f t="shared" si="1"/>
        <v>12</v>
      </c>
      <c r="R33" s="33" t="s">
        <v>157</v>
      </c>
      <c r="S33" s="34">
        <f>SUM(C102:C105)</f>
        <v>8</v>
      </c>
      <c r="T33" s="34">
        <f t="shared" ref="T33:AF33" si="26">SUM(D102:D105)</f>
        <v>2</v>
      </c>
      <c r="U33" s="34">
        <f t="shared" si="26"/>
        <v>1</v>
      </c>
      <c r="V33" s="34">
        <f t="shared" si="26"/>
        <v>12</v>
      </c>
      <c r="W33" s="34">
        <f t="shared" si="26"/>
        <v>2</v>
      </c>
      <c r="X33" s="34">
        <f t="shared" si="26"/>
        <v>3</v>
      </c>
      <c r="Y33" s="34">
        <f t="shared" si="26"/>
        <v>0</v>
      </c>
      <c r="Z33" s="34">
        <f t="shared" si="26"/>
        <v>2</v>
      </c>
      <c r="AA33" s="34">
        <f t="shared" si="26"/>
        <v>2</v>
      </c>
      <c r="AB33" s="34">
        <f t="shared" si="26"/>
        <v>1</v>
      </c>
      <c r="AC33" s="34">
        <f t="shared" si="26"/>
        <v>10</v>
      </c>
      <c r="AD33" s="34">
        <f t="shared" si="26"/>
        <v>0</v>
      </c>
      <c r="AE33" s="31">
        <f t="shared" si="26"/>
        <v>33</v>
      </c>
      <c r="AF33" s="31">
        <f t="shared" si="26"/>
        <v>43</v>
      </c>
    </row>
    <row r="34" spans="2:32" ht="23.1" customHeight="1" x14ac:dyDescent="0.25">
      <c r="B34" s="46" t="s">
        <v>61</v>
      </c>
      <c r="C34" s="50">
        <v>5</v>
      </c>
      <c r="D34" s="50">
        <v>2</v>
      </c>
      <c r="E34" s="50">
        <v>2</v>
      </c>
      <c r="F34" s="50">
        <v>5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3</v>
      </c>
      <c r="M34" s="50">
        <v>4</v>
      </c>
      <c r="N34" s="50">
        <v>0</v>
      </c>
      <c r="O34" s="15">
        <f t="shared" si="0"/>
        <v>19</v>
      </c>
      <c r="P34" s="15">
        <f t="shared" si="1"/>
        <v>23</v>
      </c>
      <c r="R34" s="38" t="s">
        <v>90</v>
      </c>
      <c r="S34" s="39">
        <f t="shared" ref="S34:AF34" si="27">MAX(S10:S12)</f>
        <v>16</v>
      </c>
      <c r="T34" s="39">
        <f t="shared" si="27"/>
        <v>6</v>
      </c>
      <c r="U34" s="39">
        <f t="shared" si="27"/>
        <v>5</v>
      </c>
      <c r="V34" s="39">
        <f t="shared" si="27"/>
        <v>20</v>
      </c>
      <c r="W34" s="39">
        <f t="shared" si="27"/>
        <v>1</v>
      </c>
      <c r="X34" s="39">
        <f t="shared" si="27"/>
        <v>3</v>
      </c>
      <c r="Y34" s="39">
        <f t="shared" si="27"/>
        <v>11</v>
      </c>
      <c r="Z34" s="39">
        <f t="shared" si="27"/>
        <v>4</v>
      </c>
      <c r="AA34" s="39">
        <f t="shared" si="27"/>
        <v>2</v>
      </c>
      <c r="AB34" s="39">
        <f t="shared" si="27"/>
        <v>10</v>
      </c>
      <c r="AC34" s="39">
        <f t="shared" si="27"/>
        <v>101</v>
      </c>
      <c r="AD34" s="39">
        <f t="shared" si="27"/>
        <v>1</v>
      </c>
      <c r="AE34" s="40">
        <f t="shared" si="27"/>
        <v>65</v>
      </c>
      <c r="AF34" s="40">
        <f t="shared" si="27"/>
        <v>166</v>
      </c>
    </row>
    <row r="35" spans="2:32" ht="23.1" customHeight="1" x14ac:dyDescent="0.25">
      <c r="B35" s="46" t="s">
        <v>62</v>
      </c>
      <c r="C35" s="50">
        <v>3</v>
      </c>
      <c r="D35" s="50">
        <v>2</v>
      </c>
      <c r="E35" s="50">
        <v>1</v>
      </c>
      <c r="F35" s="50">
        <v>3</v>
      </c>
      <c r="G35" s="50">
        <v>1</v>
      </c>
      <c r="H35" s="50">
        <v>2</v>
      </c>
      <c r="I35" s="50">
        <v>1</v>
      </c>
      <c r="J35" s="50">
        <v>0</v>
      </c>
      <c r="K35" s="50">
        <v>0</v>
      </c>
      <c r="L35" s="50">
        <v>3</v>
      </c>
      <c r="M35" s="50">
        <v>19</v>
      </c>
      <c r="N35" s="50">
        <v>0</v>
      </c>
      <c r="O35" s="15">
        <f t="shared" si="0"/>
        <v>16</v>
      </c>
      <c r="P35" s="15">
        <f t="shared" si="1"/>
        <v>35</v>
      </c>
      <c r="R35" s="38" t="s">
        <v>91</v>
      </c>
      <c r="S35" s="39">
        <f t="shared" ref="S35:AF35" si="28">MAX(S13:S18)</f>
        <v>25</v>
      </c>
      <c r="T35" s="39">
        <f t="shared" si="28"/>
        <v>12</v>
      </c>
      <c r="U35" s="39">
        <f t="shared" si="28"/>
        <v>6</v>
      </c>
      <c r="V35" s="39">
        <f t="shared" si="28"/>
        <v>20</v>
      </c>
      <c r="W35" s="39">
        <f t="shared" si="28"/>
        <v>1</v>
      </c>
      <c r="X35" s="39">
        <f t="shared" si="28"/>
        <v>7</v>
      </c>
      <c r="Y35" s="39">
        <f t="shared" si="28"/>
        <v>7</v>
      </c>
      <c r="Z35" s="39">
        <f t="shared" si="28"/>
        <v>5</v>
      </c>
      <c r="AA35" s="39">
        <f t="shared" si="28"/>
        <v>11</v>
      </c>
      <c r="AB35" s="39">
        <f t="shared" si="28"/>
        <v>9</v>
      </c>
      <c r="AC35" s="39">
        <f t="shared" si="28"/>
        <v>125</v>
      </c>
      <c r="AD35" s="39">
        <f t="shared" si="28"/>
        <v>2</v>
      </c>
      <c r="AE35" s="40">
        <f t="shared" si="28"/>
        <v>75</v>
      </c>
      <c r="AF35" s="40">
        <f t="shared" si="28"/>
        <v>199</v>
      </c>
    </row>
    <row r="36" spans="2:32" ht="23.1" customHeight="1" x14ac:dyDescent="0.25">
      <c r="B36" s="46" t="s">
        <v>63</v>
      </c>
      <c r="C36" s="50">
        <v>4</v>
      </c>
      <c r="D36" s="50">
        <v>2</v>
      </c>
      <c r="E36" s="50">
        <v>1</v>
      </c>
      <c r="F36" s="50">
        <v>4</v>
      </c>
      <c r="G36" s="50">
        <v>0</v>
      </c>
      <c r="H36" s="50">
        <v>0</v>
      </c>
      <c r="I36" s="50">
        <v>1</v>
      </c>
      <c r="J36" s="50">
        <v>0</v>
      </c>
      <c r="K36" s="50">
        <v>2</v>
      </c>
      <c r="L36" s="50">
        <v>1</v>
      </c>
      <c r="M36" s="50">
        <v>20</v>
      </c>
      <c r="N36" s="50">
        <v>0</v>
      </c>
      <c r="O36" s="15">
        <f t="shared" si="0"/>
        <v>15</v>
      </c>
      <c r="P36" s="15">
        <f t="shared" si="1"/>
        <v>35</v>
      </c>
      <c r="R36" s="38" t="s">
        <v>92</v>
      </c>
      <c r="S36" s="39">
        <f t="shared" ref="S36:AF36" si="29">MAX(S19:S21)</f>
        <v>30</v>
      </c>
      <c r="T36" s="39">
        <f t="shared" si="29"/>
        <v>16</v>
      </c>
      <c r="U36" s="39">
        <f t="shared" si="29"/>
        <v>7</v>
      </c>
      <c r="V36" s="39">
        <f t="shared" si="29"/>
        <v>17</v>
      </c>
      <c r="W36" s="39">
        <f t="shared" si="29"/>
        <v>1</v>
      </c>
      <c r="X36" s="39">
        <f t="shared" si="29"/>
        <v>1</v>
      </c>
      <c r="Y36" s="39">
        <f t="shared" si="29"/>
        <v>9</v>
      </c>
      <c r="Z36" s="39">
        <f t="shared" si="29"/>
        <v>4</v>
      </c>
      <c r="AA36" s="39">
        <f t="shared" si="29"/>
        <v>17</v>
      </c>
      <c r="AB36" s="39">
        <f t="shared" si="29"/>
        <v>10</v>
      </c>
      <c r="AC36" s="39">
        <f t="shared" si="29"/>
        <v>113</v>
      </c>
      <c r="AD36" s="39">
        <f t="shared" si="29"/>
        <v>1</v>
      </c>
      <c r="AE36" s="40">
        <f t="shared" si="29"/>
        <v>104</v>
      </c>
      <c r="AF36" s="40">
        <f t="shared" si="29"/>
        <v>217</v>
      </c>
    </row>
    <row r="37" spans="2:32" ht="23.1" customHeight="1" x14ac:dyDescent="0.25">
      <c r="B37" s="45" t="s">
        <v>64</v>
      </c>
      <c r="C37" s="50">
        <v>5</v>
      </c>
      <c r="D37" s="50">
        <v>3</v>
      </c>
      <c r="E37" s="50">
        <v>0</v>
      </c>
      <c r="F37" s="50">
        <v>4</v>
      </c>
      <c r="G37" s="50">
        <v>0</v>
      </c>
      <c r="H37" s="50">
        <v>0</v>
      </c>
      <c r="I37" s="50">
        <v>0</v>
      </c>
      <c r="J37" s="50">
        <v>0</v>
      </c>
      <c r="K37" s="50">
        <v>4</v>
      </c>
      <c r="L37" s="50">
        <v>2</v>
      </c>
      <c r="M37" s="50">
        <v>25</v>
      </c>
      <c r="N37" s="50">
        <v>2</v>
      </c>
      <c r="O37" s="15">
        <f t="shared" si="0"/>
        <v>20</v>
      </c>
      <c r="P37" s="15">
        <f t="shared" si="1"/>
        <v>45</v>
      </c>
      <c r="R37" s="37" t="s">
        <v>85</v>
      </c>
      <c r="S37" s="35">
        <f t="shared" ref="S37:AF37" si="30">SUM(S10:S12)</f>
        <v>44</v>
      </c>
      <c r="T37" s="16">
        <f t="shared" si="30"/>
        <v>12</v>
      </c>
      <c r="U37" s="16">
        <f t="shared" si="30"/>
        <v>12</v>
      </c>
      <c r="V37" s="16">
        <f t="shared" si="30"/>
        <v>47</v>
      </c>
      <c r="W37" s="16">
        <f t="shared" si="30"/>
        <v>1</v>
      </c>
      <c r="X37" s="16">
        <f t="shared" si="30"/>
        <v>5</v>
      </c>
      <c r="Y37" s="16">
        <f t="shared" si="30"/>
        <v>22</v>
      </c>
      <c r="Z37" s="16">
        <f t="shared" si="30"/>
        <v>9</v>
      </c>
      <c r="AA37" s="16">
        <f t="shared" si="30"/>
        <v>3</v>
      </c>
      <c r="AB37" s="16">
        <f t="shared" si="30"/>
        <v>13</v>
      </c>
      <c r="AC37" s="16">
        <f t="shared" si="30"/>
        <v>282</v>
      </c>
      <c r="AD37" s="16">
        <f t="shared" si="30"/>
        <v>1</v>
      </c>
      <c r="AE37" s="32">
        <f t="shared" si="30"/>
        <v>169</v>
      </c>
      <c r="AF37" s="32">
        <f t="shared" si="30"/>
        <v>451</v>
      </c>
    </row>
    <row r="38" spans="2:32" ht="23.1" customHeight="1" x14ac:dyDescent="0.25">
      <c r="B38" s="46" t="s">
        <v>65</v>
      </c>
      <c r="C38" s="50">
        <v>8</v>
      </c>
      <c r="D38" s="50">
        <v>3</v>
      </c>
      <c r="E38" s="50">
        <v>0</v>
      </c>
      <c r="F38" s="50">
        <v>2</v>
      </c>
      <c r="G38" s="50">
        <v>0</v>
      </c>
      <c r="H38" s="50">
        <v>0</v>
      </c>
      <c r="I38" s="50">
        <v>0</v>
      </c>
      <c r="J38" s="50">
        <v>2</v>
      </c>
      <c r="K38" s="50">
        <v>0</v>
      </c>
      <c r="L38" s="50">
        <v>2</v>
      </c>
      <c r="M38" s="50">
        <v>5</v>
      </c>
      <c r="N38" s="50">
        <v>0</v>
      </c>
      <c r="O38" s="15">
        <f t="shared" si="0"/>
        <v>17</v>
      </c>
      <c r="P38" s="15">
        <f t="shared" si="1"/>
        <v>22</v>
      </c>
      <c r="R38" s="28" t="s">
        <v>86</v>
      </c>
      <c r="S38" s="16">
        <f t="shared" ref="S38:AF38" si="31">SUM(S13:S18)</f>
        <v>128</v>
      </c>
      <c r="T38" s="16">
        <f t="shared" si="31"/>
        <v>52</v>
      </c>
      <c r="U38" s="16">
        <f t="shared" si="31"/>
        <v>22</v>
      </c>
      <c r="V38" s="16">
        <f t="shared" si="31"/>
        <v>83</v>
      </c>
      <c r="W38" s="16">
        <f t="shared" si="31"/>
        <v>2</v>
      </c>
      <c r="X38" s="16">
        <f t="shared" si="31"/>
        <v>19</v>
      </c>
      <c r="Y38" s="16">
        <f t="shared" si="31"/>
        <v>27</v>
      </c>
      <c r="Z38" s="16">
        <f t="shared" si="31"/>
        <v>19</v>
      </c>
      <c r="AA38" s="16">
        <f t="shared" si="31"/>
        <v>27</v>
      </c>
      <c r="AB38" s="16">
        <f t="shared" si="31"/>
        <v>27</v>
      </c>
      <c r="AC38" s="16">
        <f t="shared" si="31"/>
        <v>432</v>
      </c>
      <c r="AD38" s="16">
        <f t="shared" si="31"/>
        <v>3</v>
      </c>
      <c r="AE38" s="32">
        <f t="shared" si="31"/>
        <v>401</v>
      </c>
      <c r="AF38" s="32">
        <f t="shared" si="31"/>
        <v>841</v>
      </c>
    </row>
    <row r="39" spans="2:32" ht="23.1" customHeight="1" x14ac:dyDescent="0.25">
      <c r="B39" s="46" t="s">
        <v>66</v>
      </c>
      <c r="C39" s="50">
        <v>5</v>
      </c>
      <c r="D39" s="50">
        <v>2</v>
      </c>
      <c r="E39" s="50">
        <v>1</v>
      </c>
      <c r="F39" s="50">
        <v>2</v>
      </c>
      <c r="G39" s="50">
        <v>0</v>
      </c>
      <c r="H39" s="50">
        <v>1</v>
      </c>
      <c r="I39" s="50">
        <v>0</v>
      </c>
      <c r="J39" s="50">
        <v>0</v>
      </c>
      <c r="K39" s="50">
        <v>2</v>
      </c>
      <c r="L39" s="50">
        <v>0</v>
      </c>
      <c r="M39" s="50">
        <v>11</v>
      </c>
      <c r="N39" s="50">
        <v>0</v>
      </c>
      <c r="O39" s="15">
        <f t="shared" si="0"/>
        <v>13</v>
      </c>
      <c r="P39" s="15">
        <f t="shared" si="1"/>
        <v>24</v>
      </c>
      <c r="R39" s="29" t="s">
        <v>87</v>
      </c>
      <c r="S39" s="16">
        <f t="shared" ref="S39:AF39" si="32">SUM(S19:S21)</f>
        <v>79</v>
      </c>
      <c r="T39" s="16">
        <f t="shared" si="32"/>
        <v>31</v>
      </c>
      <c r="U39" s="16">
        <f t="shared" si="32"/>
        <v>18</v>
      </c>
      <c r="V39" s="16">
        <f t="shared" si="32"/>
        <v>47</v>
      </c>
      <c r="W39" s="16">
        <f t="shared" si="32"/>
        <v>1</v>
      </c>
      <c r="X39" s="16">
        <f t="shared" si="32"/>
        <v>1</v>
      </c>
      <c r="Y39" s="16">
        <f t="shared" si="32"/>
        <v>20</v>
      </c>
      <c r="Z39" s="16">
        <f t="shared" si="32"/>
        <v>5</v>
      </c>
      <c r="AA39" s="16">
        <f t="shared" si="32"/>
        <v>50</v>
      </c>
      <c r="AB39" s="16">
        <f t="shared" si="32"/>
        <v>16</v>
      </c>
      <c r="AC39" s="16">
        <f t="shared" si="32"/>
        <v>279</v>
      </c>
      <c r="AD39" s="16">
        <f t="shared" si="32"/>
        <v>1</v>
      </c>
      <c r="AE39" s="32">
        <f t="shared" si="32"/>
        <v>269</v>
      </c>
      <c r="AF39" s="32">
        <f t="shared" si="32"/>
        <v>548</v>
      </c>
    </row>
    <row r="40" spans="2:32" ht="23.1" customHeight="1" x14ac:dyDescent="0.25">
      <c r="B40" s="46" t="s">
        <v>67</v>
      </c>
      <c r="C40" s="50">
        <v>7</v>
      </c>
      <c r="D40" s="50">
        <v>0</v>
      </c>
      <c r="E40" s="50">
        <v>2</v>
      </c>
      <c r="F40" s="50">
        <v>3</v>
      </c>
      <c r="G40" s="50">
        <v>1</v>
      </c>
      <c r="H40" s="50">
        <v>0</v>
      </c>
      <c r="I40" s="50">
        <v>3</v>
      </c>
      <c r="J40" s="50">
        <v>0</v>
      </c>
      <c r="K40" s="50">
        <v>1</v>
      </c>
      <c r="L40" s="50">
        <v>2</v>
      </c>
      <c r="M40" s="50">
        <v>18</v>
      </c>
      <c r="N40" s="50">
        <v>0</v>
      </c>
      <c r="O40" s="15">
        <f t="shared" si="0"/>
        <v>19</v>
      </c>
      <c r="P40" s="15">
        <f t="shared" si="1"/>
        <v>37</v>
      </c>
      <c r="R40" s="5" t="s">
        <v>17</v>
      </c>
      <c r="S40" s="16">
        <f t="shared" ref="S40:AF40" si="33">SUM(S10:S21)</f>
        <v>251</v>
      </c>
      <c r="T40" s="16">
        <f t="shared" si="33"/>
        <v>95</v>
      </c>
      <c r="U40" s="16">
        <f t="shared" si="33"/>
        <v>52</v>
      </c>
      <c r="V40" s="16">
        <f t="shared" si="33"/>
        <v>177</v>
      </c>
      <c r="W40" s="16">
        <f t="shared" si="33"/>
        <v>4</v>
      </c>
      <c r="X40" s="16">
        <f t="shared" si="33"/>
        <v>25</v>
      </c>
      <c r="Y40" s="16">
        <f t="shared" si="33"/>
        <v>69</v>
      </c>
      <c r="Z40" s="16">
        <f t="shared" si="33"/>
        <v>33</v>
      </c>
      <c r="AA40" s="16">
        <f t="shared" si="33"/>
        <v>80</v>
      </c>
      <c r="AB40" s="16">
        <f t="shared" si="33"/>
        <v>56</v>
      </c>
      <c r="AC40" s="16">
        <f t="shared" si="33"/>
        <v>993</v>
      </c>
      <c r="AD40" s="16">
        <f t="shared" si="33"/>
        <v>5</v>
      </c>
      <c r="AE40" s="32">
        <f t="shared" si="33"/>
        <v>839</v>
      </c>
      <c r="AF40" s="32">
        <f t="shared" si="33"/>
        <v>1840</v>
      </c>
    </row>
    <row r="41" spans="2:32" ht="23.1" customHeight="1" x14ac:dyDescent="0.25">
      <c r="B41" s="45" t="s">
        <v>68</v>
      </c>
      <c r="C41" s="50">
        <v>5</v>
      </c>
      <c r="D41" s="50">
        <v>1</v>
      </c>
      <c r="E41" s="50">
        <v>1</v>
      </c>
      <c r="F41" s="50">
        <v>0</v>
      </c>
      <c r="G41" s="50">
        <v>0</v>
      </c>
      <c r="H41" s="50">
        <v>1</v>
      </c>
      <c r="I41" s="50">
        <v>2</v>
      </c>
      <c r="J41" s="50">
        <v>0</v>
      </c>
      <c r="K41" s="50">
        <v>0</v>
      </c>
      <c r="L41" s="50">
        <v>2</v>
      </c>
      <c r="M41" s="50">
        <v>18</v>
      </c>
      <c r="N41" s="50">
        <v>0</v>
      </c>
      <c r="O41" s="15">
        <f t="shared" si="0"/>
        <v>12</v>
      </c>
      <c r="P41" s="15">
        <f t="shared" si="1"/>
        <v>30</v>
      </c>
      <c r="R41" s="5" t="s">
        <v>159</v>
      </c>
      <c r="S41" s="16">
        <f>SUM(S10:S33)</f>
        <v>358</v>
      </c>
      <c r="T41" s="16">
        <f t="shared" ref="T41:AF41" si="34">SUM(T10:T33)</f>
        <v>121</v>
      </c>
      <c r="U41" s="16">
        <f t="shared" si="34"/>
        <v>74</v>
      </c>
      <c r="V41" s="16">
        <f t="shared" si="34"/>
        <v>278</v>
      </c>
      <c r="W41" s="16">
        <f t="shared" si="34"/>
        <v>8</v>
      </c>
      <c r="X41" s="16">
        <f t="shared" si="34"/>
        <v>33</v>
      </c>
      <c r="Y41" s="16">
        <f t="shared" si="34"/>
        <v>94</v>
      </c>
      <c r="Z41" s="16">
        <f t="shared" si="34"/>
        <v>65</v>
      </c>
      <c r="AA41" s="16">
        <f t="shared" si="34"/>
        <v>117</v>
      </c>
      <c r="AB41" s="16">
        <f t="shared" si="34"/>
        <v>115</v>
      </c>
      <c r="AC41" s="16">
        <f t="shared" si="34"/>
        <v>1217</v>
      </c>
      <c r="AD41" s="16">
        <f t="shared" si="34"/>
        <v>5</v>
      </c>
      <c r="AE41" s="32">
        <f t="shared" si="34"/>
        <v>1253</v>
      </c>
      <c r="AF41" s="32">
        <f t="shared" si="34"/>
        <v>2478</v>
      </c>
    </row>
    <row r="42" spans="2:32" ht="23.1" customHeight="1" x14ac:dyDescent="0.25">
      <c r="B42" s="46" t="s">
        <v>69</v>
      </c>
      <c r="C42" s="50">
        <v>5</v>
      </c>
      <c r="D42" s="50">
        <v>1</v>
      </c>
      <c r="E42" s="50">
        <v>0</v>
      </c>
      <c r="F42" s="50">
        <v>1</v>
      </c>
      <c r="G42" s="50">
        <v>0</v>
      </c>
      <c r="H42" s="50">
        <v>0</v>
      </c>
      <c r="I42" s="50">
        <v>1</v>
      </c>
      <c r="J42" s="50">
        <v>1</v>
      </c>
      <c r="K42" s="50">
        <v>1</v>
      </c>
      <c r="L42" s="50">
        <v>0</v>
      </c>
      <c r="M42" s="50">
        <v>17</v>
      </c>
      <c r="N42" s="50">
        <v>0</v>
      </c>
      <c r="O42" s="15">
        <f t="shared" si="0"/>
        <v>10</v>
      </c>
      <c r="P42" s="15">
        <f t="shared" si="1"/>
        <v>27</v>
      </c>
      <c r="R42" s="5" t="s">
        <v>160</v>
      </c>
      <c r="S42" s="48">
        <f>S41/S40</f>
        <v>1.4262948207171315</v>
      </c>
      <c r="T42" s="48">
        <f t="shared" ref="T42:AF42" si="35">T41/T40</f>
        <v>1.2736842105263158</v>
      </c>
      <c r="U42" s="48">
        <f t="shared" si="35"/>
        <v>1.4230769230769231</v>
      </c>
      <c r="V42" s="48">
        <f t="shared" si="35"/>
        <v>1.5706214689265536</v>
      </c>
      <c r="W42" s="48">
        <f t="shared" si="35"/>
        <v>2</v>
      </c>
      <c r="X42" s="48">
        <f t="shared" si="35"/>
        <v>1.32</v>
      </c>
      <c r="Y42" s="48">
        <f t="shared" si="35"/>
        <v>1.3623188405797102</v>
      </c>
      <c r="Z42" s="48">
        <f t="shared" si="35"/>
        <v>1.9696969696969697</v>
      </c>
      <c r="AA42" s="48">
        <f t="shared" si="35"/>
        <v>1.4624999999999999</v>
      </c>
      <c r="AB42" s="48">
        <f t="shared" si="35"/>
        <v>2.0535714285714284</v>
      </c>
      <c r="AC42" s="48">
        <f t="shared" si="35"/>
        <v>1.2255790533736153</v>
      </c>
      <c r="AD42" s="48">
        <f t="shared" si="35"/>
        <v>1</v>
      </c>
      <c r="AE42" s="48">
        <f t="shared" si="35"/>
        <v>1.4934445768772349</v>
      </c>
      <c r="AF42" s="48">
        <f t="shared" si="35"/>
        <v>1.3467391304347827</v>
      </c>
    </row>
    <row r="43" spans="2:32" ht="23.1" customHeight="1" x14ac:dyDescent="0.25">
      <c r="B43" s="45" t="s">
        <v>70</v>
      </c>
      <c r="C43" s="50">
        <v>3</v>
      </c>
      <c r="D43" s="50">
        <v>4</v>
      </c>
      <c r="E43" s="50">
        <v>3</v>
      </c>
      <c r="F43" s="50">
        <v>3</v>
      </c>
      <c r="G43" s="50">
        <v>0</v>
      </c>
      <c r="H43" s="50">
        <v>1</v>
      </c>
      <c r="I43" s="50">
        <v>2</v>
      </c>
      <c r="J43" s="50">
        <v>1</v>
      </c>
      <c r="K43" s="50">
        <v>3</v>
      </c>
      <c r="L43" s="50">
        <v>0</v>
      </c>
      <c r="M43" s="50">
        <v>27</v>
      </c>
      <c r="N43" s="50">
        <v>0</v>
      </c>
      <c r="O43" s="15">
        <f t="shared" si="0"/>
        <v>20</v>
      </c>
      <c r="P43" s="15">
        <f t="shared" si="1"/>
        <v>47</v>
      </c>
    </row>
    <row r="44" spans="2:32" ht="23.1" customHeight="1" x14ac:dyDescent="0.25">
      <c r="B44" s="47" t="s">
        <v>71</v>
      </c>
      <c r="C44" s="50">
        <v>9</v>
      </c>
      <c r="D44" s="50">
        <v>2</v>
      </c>
      <c r="E44" s="50">
        <v>0</v>
      </c>
      <c r="F44" s="50">
        <v>2</v>
      </c>
      <c r="G44" s="50">
        <v>0</v>
      </c>
      <c r="H44" s="50">
        <v>1</v>
      </c>
      <c r="I44" s="50">
        <v>1</v>
      </c>
      <c r="J44" s="50">
        <v>3</v>
      </c>
      <c r="K44" s="50">
        <v>5</v>
      </c>
      <c r="L44" s="50">
        <v>0</v>
      </c>
      <c r="M44" s="50">
        <v>35</v>
      </c>
      <c r="N44" s="50">
        <v>0</v>
      </c>
      <c r="O44" s="15">
        <f t="shared" si="0"/>
        <v>23</v>
      </c>
      <c r="P44" s="15">
        <f t="shared" si="1"/>
        <v>58</v>
      </c>
    </row>
    <row r="45" spans="2:32" ht="23.1" customHeight="1" x14ac:dyDescent="0.25">
      <c r="B45" s="45" t="s">
        <v>72</v>
      </c>
      <c r="C45" s="50">
        <v>7</v>
      </c>
      <c r="D45" s="50">
        <v>5</v>
      </c>
      <c r="E45" s="50">
        <v>3</v>
      </c>
      <c r="F45" s="50">
        <v>3</v>
      </c>
      <c r="G45" s="50">
        <v>0</v>
      </c>
      <c r="H45" s="50">
        <v>0</v>
      </c>
      <c r="I45" s="50">
        <v>2</v>
      </c>
      <c r="J45" s="50">
        <v>0</v>
      </c>
      <c r="K45" s="50">
        <v>2</v>
      </c>
      <c r="L45" s="50">
        <v>0</v>
      </c>
      <c r="M45" s="50">
        <v>28</v>
      </c>
      <c r="N45" s="50">
        <v>0</v>
      </c>
      <c r="O45" s="15">
        <f t="shared" si="0"/>
        <v>22</v>
      </c>
      <c r="P45" s="15">
        <f t="shared" si="1"/>
        <v>50</v>
      </c>
    </row>
    <row r="46" spans="2:32" ht="23.1" customHeight="1" x14ac:dyDescent="0.25">
      <c r="B46" s="46" t="s">
        <v>73</v>
      </c>
      <c r="C46" s="50">
        <v>16</v>
      </c>
      <c r="D46" s="50">
        <v>2</v>
      </c>
      <c r="E46" s="50">
        <v>0</v>
      </c>
      <c r="F46" s="50">
        <v>5</v>
      </c>
      <c r="G46" s="50">
        <v>0</v>
      </c>
      <c r="H46" s="50">
        <v>0</v>
      </c>
      <c r="I46" s="50">
        <v>3</v>
      </c>
      <c r="J46" s="50">
        <v>1</v>
      </c>
      <c r="K46" s="50">
        <v>3</v>
      </c>
      <c r="L46" s="50">
        <v>2</v>
      </c>
      <c r="M46" s="50">
        <v>22</v>
      </c>
      <c r="N46" s="50">
        <v>0</v>
      </c>
      <c r="O46" s="15">
        <f t="shared" si="0"/>
        <v>32</v>
      </c>
      <c r="P46" s="15">
        <f t="shared" si="1"/>
        <v>54</v>
      </c>
      <c r="R46" s="8"/>
      <c r="T46"/>
    </row>
    <row r="47" spans="2:32" ht="23.1" customHeight="1" x14ac:dyDescent="0.25">
      <c r="B47" s="46" t="s">
        <v>74</v>
      </c>
      <c r="C47" s="50">
        <v>5</v>
      </c>
      <c r="D47" s="50">
        <v>4</v>
      </c>
      <c r="E47" s="50">
        <v>1</v>
      </c>
      <c r="F47" s="50">
        <v>3</v>
      </c>
      <c r="G47" s="50">
        <v>0</v>
      </c>
      <c r="H47" s="50">
        <v>0</v>
      </c>
      <c r="I47" s="50">
        <v>1</v>
      </c>
      <c r="J47" s="50">
        <v>0</v>
      </c>
      <c r="K47" s="50">
        <v>5</v>
      </c>
      <c r="L47" s="50">
        <v>4</v>
      </c>
      <c r="M47" s="50">
        <v>30</v>
      </c>
      <c r="N47" s="50">
        <v>0</v>
      </c>
      <c r="O47" s="15">
        <f t="shared" si="0"/>
        <v>23</v>
      </c>
      <c r="P47" s="15">
        <f t="shared" si="1"/>
        <v>53</v>
      </c>
      <c r="R47" s="8"/>
      <c r="T47"/>
    </row>
    <row r="48" spans="2:32" ht="23.1" customHeight="1" x14ac:dyDescent="0.25">
      <c r="B48" s="46" t="s">
        <v>75</v>
      </c>
      <c r="C48" s="50">
        <v>3</v>
      </c>
      <c r="D48" s="50">
        <v>4</v>
      </c>
      <c r="E48" s="50">
        <v>4</v>
      </c>
      <c r="F48" s="50">
        <v>6</v>
      </c>
      <c r="G48" s="50">
        <v>0</v>
      </c>
      <c r="H48" s="50">
        <v>1</v>
      </c>
      <c r="I48" s="50">
        <v>1</v>
      </c>
      <c r="J48" s="50">
        <v>0</v>
      </c>
      <c r="K48" s="50">
        <v>2</v>
      </c>
      <c r="L48" s="50">
        <v>3</v>
      </c>
      <c r="M48" s="50">
        <v>35</v>
      </c>
      <c r="N48" s="50">
        <v>0</v>
      </c>
      <c r="O48" s="15">
        <f t="shared" si="0"/>
        <v>24</v>
      </c>
      <c r="P48" s="15">
        <f t="shared" si="1"/>
        <v>59</v>
      </c>
      <c r="R48" s="8"/>
      <c r="T48"/>
    </row>
    <row r="49" spans="2:20" ht="23.1" customHeight="1" x14ac:dyDescent="0.25">
      <c r="B49" s="45" t="s">
        <v>76</v>
      </c>
      <c r="C49" s="50">
        <v>6</v>
      </c>
      <c r="D49" s="50">
        <v>6</v>
      </c>
      <c r="E49" s="50">
        <v>2</v>
      </c>
      <c r="F49" s="50">
        <v>3</v>
      </c>
      <c r="G49" s="50">
        <v>0</v>
      </c>
      <c r="H49" s="50">
        <v>0</v>
      </c>
      <c r="I49" s="50">
        <v>0</v>
      </c>
      <c r="J49" s="50">
        <v>0</v>
      </c>
      <c r="K49" s="50">
        <v>7</v>
      </c>
      <c r="L49" s="50">
        <v>1</v>
      </c>
      <c r="M49" s="50">
        <v>26</v>
      </c>
      <c r="N49" s="50">
        <v>0</v>
      </c>
      <c r="O49" s="15">
        <f t="shared" si="0"/>
        <v>25</v>
      </c>
      <c r="P49" s="15">
        <f t="shared" si="1"/>
        <v>51</v>
      </c>
      <c r="R49" s="8"/>
      <c r="T49"/>
    </row>
    <row r="50" spans="2:20" ht="23.1" customHeight="1" x14ac:dyDescent="0.25">
      <c r="B50" s="46" t="s">
        <v>77</v>
      </c>
      <c r="C50" s="50">
        <v>9</v>
      </c>
      <c r="D50" s="50">
        <v>1</v>
      </c>
      <c r="E50" s="50">
        <v>0</v>
      </c>
      <c r="F50" s="50">
        <v>4</v>
      </c>
      <c r="G50" s="50">
        <v>0</v>
      </c>
      <c r="H50" s="50">
        <v>0</v>
      </c>
      <c r="I50" s="50">
        <v>0</v>
      </c>
      <c r="J50" s="50">
        <v>0</v>
      </c>
      <c r="K50" s="50">
        <v>4</v>
      </c>
      <c r="L50" s="50">
        <v>0</v>
      </c>
      <c r="M50" s="50">
        <v>25</v>
      </c>
      <c r="N50" s="50">
        <v>0</v>
      </c>
      <c r="O50" s="15">
        <f t="shared" si="0"/>
        <v>18</v>
      </c>
      <c r="P50" s="15">
        <f t="shared" si="1"/>
        <v>43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2</v>
      </c>
      <c r="E51" s="50">
        <v>1</v>
      </c>
      <c r="F51" s="50">
        <v>7</v>
      </c>
      <c r="G51" s="50">
        <v>0</v>
      </c>
      <c r="H51" s="50">
        <v>0</v>
      </c>
      <c r="I51" s="50">
        <v>3</v>
      </c>
      <c r="J51" s="50">
        <v>0</v>
      </c>
      <c r="K51" s="50">
        <v>4</v>
      </c>
      <c r="L51" s="50">
        <v>0</v>
      </c>
      <c r="M51" s="50">
        <v>20</v>
      </c>
      <c r="N51" s="50">
        <v>0</v>
      </c>
      <c r="O51" s="15">
        <f t="shared" si="0"/>
        <v>23</v>
      </c>
      <c r="P51" s="15">
        <f t="shared" si="1"/>
        <v>43</v>
      </c>
      <c r="R51" s="8"/>
      <c r="T51"/>
    </row>
    <row r="52" spans="2:20" ht="23.1" customHeight="1" x14ac:dyDescent="0.25">
      <c r="B52" s="46" t="s">
        <v>79</v>
      </c>
      <c r="C52" s="50">
        <v>5</v>
      </c>
      <c r="D52" s="50">
        <v>2</v>
      </c>
      <c r="E52" s="50">
        <v>2</v>
      </c>
      <c r="F52" s="50">
        <v>1</v>
      </c>
      <c r="G52" s="50">
        <v>0</v>
      </c>
      <c r="H52" s="50">
        <v>0</v>
      </c>
      <c r="I52" s="50">
        <v>2</v>
      </c>
      <c r="J52" s="50">
        <v>0</v>
      </c>
      <c r="K52" s="50">
        <v>6</v>
      </c>
      <c r="L52" s="50">
        <v>0</v>
      </c>
      <c r="M52" s="50">
        <v>17</v>
      </c>
      <c r="N52" s="50">
        <v>0</v>
      </c>
      <c r="O52" s="15">
        <f t="shared" si="0"/>
        <v>18</v>
      </c>
      <c r="P52" s="15">
        <f t="shared" si="1"/>
        <v>35</v>
      </c>
      <c r="R52" s="8"/>
      <c r="T52"/>
    </row>
    <row r="53" spans="2:20" ht="23.1" customHeight="1" x14ac:dyDescent="0.25">
      <c r="B53" s="45" t="s">
        <v>80</v>
      </c>
      <c r="C53" s="50">
        <v>8</v>
      </c>
      <c r="D53" s="50">
        <v>2</v>
      </c>
      <c r="E53" s="50">
        <v>2</v>
      </c>
      <c r="F53" s="50">
        <v>4</v>
      </c>
      <c r="G53" s="50">
        <v>0</v>
      </c>
      <c r="H53" s="50">
        <v>0</v>
      </c>
      <c r="I53" s="50">
        <v>4</v>
      </c>
      <c r="J53" s="50">
        <v>0</v>
      </c>
      <c r="K53" s="50">
        <v>3</v>
      </c>
      <c r="L53" s="50">
        <v>1</v>
      </c>
      <c r="M53" s="50">
        <v>15</v>
      </c>
      <c r="N53" s="50">
        <v>0</v>
      </c>
      <c r="O53" s="15">
        <f t="shared" si="0"/>
        <v>24</v>
      </c>
      <c r="P53" s="15">
        <f t="shared" si="1"/>
        <v>39</v>
      </c>
      <c r="R53" s="8"/>
      <c r="T53"/>
    </row>
    <row r="54" spans="2:20" ht="23.1" customHeight="1" x14ac:dyDescent="0.25">
      <c r="B54" s="45" t="s">
        <v>81</v>
      </c>
      <c r="C54" s="50">
        <v>4</v>
      </c>
      <c r="D54" s="50">
        <v>1</v>
      </c>
      <c r="E54" s="50">
        <v>1</v>
      </c>
      <c r="F54" s="50">
        <v>4</v>
      </c>
      <c r="G54" s="50">
        <v>1</v>
      </c>
      <c r="H54" s="50">
        <v>0</v>
      </c>
      <c r="I54" s="50">
        <v>5</v>
      </c>
      <c r="J54" s="50">
        <v>3</v>
      </c>
      <c r="K54" s="50">
        <v>4</v>
      </c>
      <c r="L54" s="50">
        <v>1</v>
      </c>
      <c r="M54" s="50">
        <v>27</v>
      </c>
      <c r="N54" s="50">
        <v>0</v>
      </c>
      <c r="O54" s="15">
        <f t="shared" si="0"/>
        <v>24</v>
      </c>
      <c r="P54" s="15">
        <f t="shared" si="1"/>
        <v>51</v>
      </c>
      <c r="R54" s="8"/>
      <c r="T54"/>
    </row>
    <row r="55" spans="2:20" ht="23.1" customHeight="1" x14ac:dyDescent="0.25">
      <c r="B55" s="45" t="s">
        <v>82</v>
      </c>
      <c r="C55" s="50">
        <v>7</v>
      </c>
      <c r="D55" s="50">
        <v>5</v>
      </c>
      <c r="E55" s="50">
        <v>3</v>
      </c>
      <c r="F55" s="50">
        <v>4</v>
      </c>
      <c r="G55" s="50">
        <v>0</v>
      </c>
      <c r="H55" s="50">
        <v>0</v>
      </c>
      <c r="I55" s="50">
        <v>0</v>
      </c>
      <c r="J55" s="50">
        <v>1</v>
      </c>
      <c r="K55" s="50">
        <v>4</v>
      </c>
      <c r="L55" s="50">
        <v>1</v>
      </c>
      <c r="M55" s="50">
        <v>29</v>
      </c>
      <c r="N55" s="50">
        <v>1</v>
      </c>
      <c r="O55" s="15">
        <f t="shared" si="0"/>
        <v>26</v>
      </c>
      <c r="P55" s="15">
        <f t="shared" si="1"/>
        <v>55</v>
      </c>
      <c r="R55" s="8"/>
      <c r="T55"/>
    </row>
    <row r="56" spans="2:20" ht="23.1" customHeight="1" x14ac:dyDescent="0.25">
      <c r="B56" s="45" t="s">
        <v>83</v>
      </c>
      <c r="C56" s="50">
        <v>5</v>
      </c>
      <c r="D56" s="50">
        <v>1</v>
      </c>
      <c r="E56" s="50">
        <v>2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5</v>
      </c>
      <c r="L56" s="50">
        <v>1</v>
      </c>
      <c r="M56" s="50">
        <v>23</v>
      </c>
      <c r="N56" s="50">
        <v>0</v>
      </c>
      <c r="O56" s="15">
        <f t="shared" si="0"/>
        <v>16</v>
      </c>
      <c r="P56" s="15">
        <f t="shared" si="1"/>
        <v>39</v>
      </c>
      <c r="R56" s="8"/>
      <c r="T56"/>
    </row>
    <row r="57" spans="2:20" ht="23.1" customHeight="1" x14ac:dyDescent="0.25">
      <c r="B57" s="45" t="s">
        <v>84</v>
      </c>
      <c r="C57" s="50">
        <v>5</v>
      </c>
      <c r="D57" s="50">
        <v>1</v>
      </c>
      <c r="E57" s="50">
        <v>0</v>
      </c>
      <c r="F57" s="50">
        <v>5</v>
      </c>
      <c r="G57" s="50">
        <v>0</v>
      </c>
      <c r="H57" s="50">
        <v>0</v>
      </c>
      <c r="I57" s="50">
        <v>0</v>
      </c>
      <c r="J57" s="50">
        <v>0</v>
      </c>
      <c r="K57" s="50">
        <v>3</v>
      </c>
      <c r="L57" s="50">
        <v>2</v>
      </c>
      <c r="M57" s="50">
        <v>10</v>
      </c>
      <c r="N57" s="50">
        <v>0</v>
      </c>
      <c r="O57" s="15">
        <f t="shared" si="0"/>
        <v>16</v>
      </c>
      <c r="P57" s="15">
        <f t="shared" si="1"/>
        <v>26</v>
      </c>
      <c r="R57" s="8"/>
      <c r="T57"/>
    </row>
    <row r="58" spans="2:20" ht="23.1" customHeight="1" x14ac:dyDescent="0.25">
      <c r="B58" s="45" t="s">
        <v>99</v>
      </c>
      <c r="C58" s="50">
        <v>4</v>
      </c>
      <c r="D58" s="50">
        <v>2</v>
      </c>
      <c r="E58" s="50">
        <v>0</v>
      </c>
      <c r="F58" s="50">
        <v>11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23</v>
      </c>
      <c r="N58" s="50">
        <v>0</v>
      </c>
      <c r="O58" s="15">
        <f t="shared" si="0"/>
        <v>17</v>
      </c>
      <c r="P58" s="15">
        <f t="shared" si="1"/>
        <v>40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0</v>
      </c>
      <c r="E59" s="50">
        <v>2</v>
      </c>
      <c r="F59" s="50">
        <v>4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4</v>
      </c>
      <c r="M59" s="50">
        <v>13</v>
      </c>
      <c r="N59" s="50">
        <v>0</v>
      </c>
      <c r="O59" s="15">
        <f t="shared" si="0"/>
        <v>13</v>
      </c>
      <c r="P59" s="15">
        <f t="shared" si="1"/>
        <v>26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6</v>
      </c>
      <c r="G60" s="50">
        <v>0</v>
      </c>
      <c r="H60" s="50">
        <v>1</v>
      </c>
      <c r="I60" s="50">
        <v>3</v>
      </c>
      <c r="J60" s="50">
        <v>6</v>
      </c>
      <c r="K60" s="50">
        <v>2</v>
      </c>
      <c r="L60" s="50">
        <v>0</v>
      </c>
      <c r="M60" s="50">
        <v>21</v>
      </c>
      <c r="N60" s="50">
        <v>0</v>
      </c>
      <c r="O60" s="15">
        <f t="shared" si="0"/>
        <v>18</v>
      </c>
      <c r="P60" s="15">
        <f t="shared" si="1"/>
        <v>39</v>
      </c>
      <c r="R60" s="8"/>
      <c r="T60"/>
    </row>
    <row r="61" spans="2:20" ht="23.1" customHeight="1" x14ac:dyDescent="0.25">
      <c r="B61" s="45" t="s">
        <v>102</v>
      </c>
      <c r="C61" s="50">
        <v>6</v>
      </c>
      <c r="D61" s="50">
        <v>0</v>
      </c>
      <c r="E61" s="50">
        <v>0</v>
      </c>
      <c r="F61" s="50">
        <v>9</v>
      </c>
      <c r="G61" s="50">
        <v>0</v>
      </c>
      <c r="H61" s="50">
        <v>0</v>
      </c>
      <c r="I61" s="50">
        <v>1</v>
      </c>
      <c r="J61" s="50">
        <v>2</v>
      </c>
      <c r="K61" s="50">
        <v>0</v>
      </c>
      <c r="L61" s="50">
        <v>0</v>
      </c>
      <c r="M61" s="50">
        <v>10</v>
      </c>
      <c r="N61" s="50">
        <v>0</v>
      </c>
      <c r="O61" s="15">
        <f t="shared" si="0"/>
        <v>18</v>
      </c>
      <c r="P61" s="15">
        <f t="shared" si="1"/>
        <v>28</v>
      </c>
      <c r="R61" s="8"/>
      <c r="T61"/>
    </row>
    <row r="62" spans="2:20" ht="23.1" customHeight="1" x14ac:dyDescent="0.25">
      <c r="B62" s="45" t="s">
        <v>107</v>
      </c>
      <c r="C62" s="50">
        <v>3</v>
      </c>
      <c r="D62" s="50">
        <v>0</v>
      </c>
      <c r="E62" s="50">
        <v>0</v>
      </c>
      <c r="F62" s="50">
        <v>3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2</v>
      </c>
      <c r="M62" s="50">
        <v>10</v>
      </c>
      <c r="N62" s="50">
        <v>0</v>
      </c>
      <c r="O62" s="15">
        <f t="shared" si="0"/>
        <v>8</v>
      </c>
      <c r="P62" s="15">
        <f t="shared" si="1"/>
        <v>18</v>
      </c>
      <c r="R62" s="8"/>
      <c r="T62"/>
    </row>
    <row r="63" spans="2:20" ht="23.1" customHeight="1" x14ac:dyDescent="0.25">
      <c r="B63" s="45" t="s">
        <v>108</v>
      </c>
      <c r="C63" s="50">
        <v>6</v>
      </c>
      <c r="D63" s="50">
        <v>2</v>
      </c>
      <c r="E63" s="50">
        <v>0</v>
      </c>
      <c r="F63" s="50">
        <v>0</v>
      </c>
      <c r="G63" s="50">
        <v>0</v>
      </c>
      <c r="H63" s="50">
        <v>0</v>
      </c>
      <c r="I63" s="50">
        <v>2</v>
      </c>
      <c r="J63" s="50">
        <v>0</v>
      </c>
      <c r="K63" s="50">
        <v>2</v>
      </c>
      <c r="L63" s="50">
        <v>0</v>
      </c>
      <c r="M63" s="50">
        <v>14</v>
      </c>
      <c r="N63" s="50">
        <v>0</v>
      </c>
      <c r="O63" s="15">
        <f t="shared" si="0"/>
        <v>12</v>
      </c>
      <c r="P63" s="15">
        <f t="shared" si="1"/>
        <v>26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0</v>
      </c>
      <c r="E64" s="50">
        <v>1</v>
      </c>
      <c r="F64" s="50">
        <v>2</v>
      </c>
      <c r="G64" s="50">
        <v>0</v>
      </c>
      <c r="H64" s="50">
        <v>0</v>
      </c>
      <c r="I64" s="50">
        <v>0</v>
      </c>
      <c r="J64" s="50">
        <v>1</v>
      </c>
      <c r="K64" s="50">
        <v>0</v>
      </c>
      <c r="L64" s="50">
        <v>0</v>
      </c>
      <c r="M64" s="50">
        <v>7</v>
      </c>
      <c r="N64" s="50">
        <v>0</v>
      </c>
      <c r="O64" s="15">
        <f t="shared" si="0"/>
        <v>6</v>
      </c>
      <c r="P64" s="15">
        <f t="shared" si="1"/>
        <v>13</v>
      </c>
      <c r="R64" s="8"/>
      <c r="T64"/>
    </row>
    <row r="65" spans="2:20" ht="23.1" customHeight="1" x14ac:dyDescent="0.25">
      <c r="B65" s="45" t="s">
        <v>158</v>
      </c>
      <c r="C65" s="50">
        <v>4</v>
      </c>
      <c r="D65" s="50">
        <v>4</v>
      </c>
      <c r="E65" s="50">
        <v>0</v>
      </c>
      <c r="F65" s="50">
        <v>6</v>
      </c>
      <c r="G65" s="50">
        <v>1</v>
      </c>
      <c r="H65" s="50">
        <v>0</v>
      </c>
      <c r="I65" s="50">
        <v>3</v>
      </c>
      <c r="J65" s="50">
        <v>1</v>
      </c>
      <c r="K65" s="50">
        <v>0</v>
      </c>
      <c r="L65" s="50">
        <v>3</v>
      </c>
      <c r="M65" s="50">
        <v>11</v>
      </c>
      <c r="N65" s="50">
        <v>0</v>
      </c>
      <c r="O65" s="15">
        <f t="shared" si="0"/>
        <v>22</v>
      </c>
      <c r="P65" s="15">
        <f t="shared" si="1"/>
        <v>33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4</v>
      </c>
      <c r="E66" s="50">
        <v>0</v>
      </c>
      <c r="F66" s="50">
        <v>3</v>
      </c>
      <c r="G66" s="50">
        <v>0</v>
      </c>
      <c r="H66" s="50">
        <v>0</v>
      </c>
      <c r="I66" s="50">
        <v>4</v>
      </c>
      <c r="J66" s="50">
        <v>0</v>
      </c>
      <c r="K66" s="50">
        <v>0</v>
      </c>
      <c r="L66" s="50">
        <v>0</v>
      </c>
      <c r="M66" s="50">
        <v>7</v>
      </c>
      <c r="N66" s="50">
        <v>0</v>
      </c>
      <c r="O66" s="15">
        <f t="shared" si="0"/>
        <v>13</v>
      </c>
      <c r="P66" s="15">
        <f t="shared" si="1"/>
        <v>20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2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2</v>
      </c>
      <c r="M67" s="50">
        <v>12</v>
      </c>
      <c r="N67" s="50">
        <v>0</v>
      </c>
      <c r="O67" s="15">
        <f t="shared" si="0"/>
        <v>4</v>
      </c>
      <c r="P67" s="15">
        <f t="shared" si="1"/>
        <v>16</v>
      </c>
      <c r="R67" s="8"/>
      <c r="T67"/>
    </row>
    <row r="68" spans="2:20" ht="23.1" customHeight="1" x14ac:dyDescent="0.25">
      <c r="B68" s="45" t="s">
        <v>105</v>
      </c>
      <c r="C68" s="50">
        <v>4</v>
      </c>
      <c r="D68" s="50">
        <v>3</v>
      </c>
      <c r="E68" s="50">
        <v>0</v>
      </c>
      <c r="F68" s="50">
        <v>2</v>
      </c>
      <c r="G68" s="50">
        <v>0</v>
      </c>
      <c r="H68" s="50">
        <v>0</v>
      </c>
      <c r="I68" s="50">
        <v>0</v>
      </c>
      <c r="J68" s="50">
        <v>0</v>
      </c>
      <c r="K68" s="50">
        <v>1</v>
      </c>
      <c r="L68" s="50">
        <v>0</v>
      </c>
      <c r="M68" s="50">
        <v>9</v>
      </c>
      <c r="N68" s="50">
        <v>0</v>
      </c>
      <c r="O68" s="15">
        <f t="shared" si="0"/>
        <v>10</v>
      </c>
      <c r="P68" s="15">
        <f t="shared" si="1"/>
        <v>19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1</v>
      </c>
      <c r="F69" s="50">
        <v>1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6</v>
      </c>
      <c r="N69" s="50">
        <v>0</v>
      </c>
      <c r="O69" s="15">
        <f t="shared" si="0"/>
        <v>3</v>
      </c>
      <c r="P69" s="15">
        <f t="shared" si="1"/>
        <v>9</v>
      </c>
      <c r="R69" s="8"/>
      <c r="T69"/>
    </row>
    <row r="70" spans="2:20" ht="23.1" customHeight="1" x14ac:dyDescent="0.25">
      <c r="B70" s="45" t="s">
        <v>110</v>
      </c>
      <c r="C70" s="50">
        <v>4</v>
      </c>
      <c r="D70" s="50">
        <v>0</v>
      </c>
      <c r="E70" s="50">
        <v>0</v>
      </c>
      <c r="F70" s="50">
        <v>4</v>
      </c>
      <c r="G70" s="50">
        <v>0</v>
      </c>
      <c r="H70" s="50">
        <v>0</v>
      </c>
      <c r="I70" s="50">
        <v>0</v>
      </c>
      <c r="J70" s="50">
        <v>3</v>
      </c>
      <c r="K70" s="50">
        <v>0</v>
      </c>
      <c r="L70" s="50">
        <v>0</v>
      </c>
      <c r="M70" s="50">
        <v>6</v>
      </c>
      <c r="N70" s="50">
        <v>0</v>
      </c>
      <c r="O70" s="15">
        <f t="shared" si="0"/>
        <v>11</v>
      </c>
      <c r="P70" s="15">
        <f t="shared" si="1"/>
        <v>17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3</v>
      </c>
      <c r="F71" s="50">
        <v>2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3</v>
      </c>
      <c r="M71" s="50">
        <v>4</v>
      </c>
      <c r="N71" s="50">
        <v>0</v>
      </c>
      <c r="O71" s="15">
        <f t="shared" si="0"/>
        <v>8</v>
      </c>
      <c r="P71" s="15">
        <f t="shared" si="1"/>
        <v>12</v>
      </c>
      <c r="R71" s="8"/>
      <c r="T71"/>
    </row>
    <row r="72" spans="2:20" ht="23.1" customHeight="1" x14ac:dyDescent="0.25">
      <c r="B72" s="45" t="s">
        <v>112</v>
      </c>
      <c r="C72" s="50">
        <v>4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1</v>
      </c>
      <c r="J72" s="50">
        <v>0</v>
      </c>
      <c r="K72" s="50">
        <v>1</v>
      </c>
      <c r="L72" s="50">
        <v>0</v>
      </c>
      <c r="M72" s="50">
        <v>10</v>
      </c>
      <c r="N72" s="50">
        <v>0</v>
      </c>
      <c r="O72" s="15">
        <f t="shared" si="0"/>
        <v>6</v>
      </c>
      <c r="P72" s="15">
        <f t="shared" si="1"/>
        <v>16</v>
      </c>
      <c r="R72" s="8"/>
      <c r="T72"/>
    </row>
    <row r="73" spans="2:20" ht="23.1" customHeight="1" x14ac:dyDescent="0.25">
      <c r="B73" s="45" t="s">
        <v>113</v>
      </c>
      <c r="C73" s="50">
        <v>11</v>
      </c>
      <c r="D73" s="50">
        <v>1</v>
      </c>
      <c r="E73" s="50">
        <v>1</v>
      </c>
      <c r="F73" s="50">
        <v>2</v>
      </c>
      <c r="G73" s="50">
        <v>0</v>
      </c>
      <c r="H73" s="50">
        <v>0</v>
      </c>
      <c r="I73" s="50">
        <v>0</v>
      </c>
      <c r="J73" s="50">
        <v>2</v>
      </c>
      <c r="K73" s="50">
        <v>2</v>
      </c>
      <c r="L73" s="50">
        <v>2</v>
      </c>
      <c r="M73" s="50">
        <v>6</v>
      </c>
      <c r="N73" s="50">
        <v>0</v>
      </c>
      <c r="O73" s="15">
        <f t="shared" si="0"/>
        <v>21</v>
      </c>
      <c r="P73" s="15">
        <f t="shared" si="1"/>
        <v>27</v>
      </c>
      <c r="R73" s="8"/>
      <c r="T73"/>
    </row>
    <row r="74" spans="2:20" ht="23.1" customHeight="1" x14ac:dyDescent="0.25">
      <c r="B74" s="45" t="s">
        <v>114</v>
      </c>
      <c r="C74" s="50">
        <v>3</v>
      </c>
      <c r="D74" s="50">
        <v>0</v>
      </c>
      <c r="E74" s="50">
        <v>0</v>
      </c>
      <c r="F74" s="50">
        <v>3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2</v>
      </c>
      <c r="M74" s="50">
        <v>5</v>
      </c>
      <c r="N74" s="50">
        <v>0</v>
      </c>
      <c r="O74" s="15">
        <f t="shared" ref="O74:O105" si="36">SUM(C74:L74,N74)</f>
        <v>8</v>
      </c>
      <c r="P74" s="15">
        <f t="shared" ref="P74:P105" si="37">SUM(C74:N74)</f>
        <v>13</v>
      </c>
      <c r="R74" s="8"/>
      <c r="T74"/>
    </row>
    <row r="75" spans="2:20" ht="23.1" customHeight="1" x14ac:dyDescent="0.25">
      <c r="B75" s="45" t="s">
        <v>115</v>
      </c>
      <c r="C75" s="50">
        <v>2</v>
      </c>
      <c r="D75" s="50">
        <v>2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4</v>
      </c>
      <c r="K75" s="50">
        <v>0</v>
      </c>
      <c r="L75" s="50">
        <v>0</v>
      </c>
      <c r="M75" s="50">
        <v>9</v>
      </c>
      <c r="N75" s="50">
        <v>0</v>
      </c>
      <c r="O75" s="15">
        <f t="shared" si="36"/>
        <v>8</v>
      </c>
      <c r="P75" s="15">
        <f t="shared" si="37"/>
        <v>17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1</v>
      </c>
      <c r="E76" s="50">
        <v>1</v>
      </c>
      <c r="F76" s="50">
        <v>0</v>
      </c>
      <c r="G76" s="50">
        <v>0</v>
      </c>
      <c r="H76" s="50">
        <v>0</v>
      </c>
      <c r="I76" s="50">
        <v>2</v>
      </c>
      <c r="J76" s="50">
        <v>1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6"/>
        <v>5</v>
      </c>
      <c r="P76" s="15">
        <f t="shared" si="37"/>
        <v>7</v>
      </c>
      <c r="R76" s="8"/>
      <c r="T76"/>
    </row>
    <row r="77" spans="2:20" ht="23.1" customHeight="1" x14ac:dyDescent="0.25">
      <c r="B77" s="45" t="s">
        <v>117</v>
      </c>
      <c r="C77" s="50">
        <v>6</v>
      </c>
      <c r="D77" s="50">
        <v>0</v>
      </c>
      <c r="E77" s="50">
        <v>1</v>
      </c>
      <c r="F77" s="50">
        <v>2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1</v>
      </c>
      <c r="M77" s="50">
        <v>5</v>
      </c>
      <c r="N77" s="50">
        <v>0</v>
      </c>
      <c r="O77" s="15">
        <f t="shared" si="36"/>
        <v>10</v>
      </c>
      <c r="P77" s="15">
        <f t="shared" si="37"/>
        <v>15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1</v>
      </c>
      <c r="E78" s="50">
        <v>0</v>
      </c>
      <c r="F78" s="50">
        <v>4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3</v>
      </c>
      <c r="M78" s="50">
        <v>0</v>
      </c>
      <c r="N78" s="50">
        <v>0</v>
      </c>
      <c r="O78" s="15">
        <f t="shared" si="36"/>
        <v>10</v>
      </c>
      <c r="P78" s="15">
        <f t="shared" si="37"/>
        <v>10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1</v>
      </c>
      <c r="E79" s="50">
        <v>2</v>
      </c>
      <c r="F79" s="50">
        <v>0</v>
      </c>
      <c r="G79" s="50">
        <v>1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6"/>
        <v>4</v>
      </c>
      <c r="P79" s="15">
        <f t="shared" si="37"/>
        <v>6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2</v>
      </c>
      <c r="L80" s="50">
        <v>1</v>
      </c>
      <c r="M80" s="50">
        <v>0</v>
      </c>
      <c r="N80" s="50">
        <v>0</v>
      </c>
      <c r="O80" s="15">
        <f t="shared" si="36"/>
        <v>3</v>
      </c>
      <c r="P80" s="15">
        <f t="shared" si="37"/>
        <v>3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6"/>
        <v>1</v>
      </c>
      <c r="P81" s="15">
        <f t="shared" si="37"/>
        <v>1</v>
      </c>
      <c r="R81" s="8"/>
      <c r="T81"/>
    </row>
    <row r="82" spans="2:20" ht="23.1" customHeight="1" x14ac:dyDescent="0.25">
      <c r="B82" s="46" t="s">
        <v>122</v>
      </c>
      <c r="C82" s="50">
        <v>2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2</v>
      </c>
      <c r="K82" s="50">
        <v>0</v>
      </c>
      <c r="L82" s="50">
        <v>4</v>
      </c>
      <c r="M82" s="50">
        <v>0</v>
      </c>
      <c r="N82" s="50">
        <v>0</v>
      </c>
      <c r="O82" s="15">
        <f t="shared" si="36"/>
        <v>8</v>
      </c>
      <c r="P82" s="15">
        <f t="shared" si="37"/>
        <v>8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1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6"/>
        <v>2</v>
      </c>
      <c r="P83" s="15">
        <f t="shared" si="37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1</v>
      </c>
      <c r="L84" s="50">
        <v>0</v>
      </c>
      <c r="M84" s="50">
        <v>2</v>
      </c>
      <c r="N84" s="50">
        <v>0</v>
      </c>
      <c r="O84" s="15">
        <f t="shared" si="36"/>
        <v>2</v>
      </c>
      <c r="P84" s="15">
        <f t="shared" si="37"/>
        <v>4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6"/>
        <v>0</v>
      </c>
      <c r="P85" s="15">
        <f t="shared" si="37"/>
        <v>0</v>
      </c>
      <c r="R85" s="8"/>
      <c r="T85"/>
    </row>
    <row r="86" spans="2:20" ht="23.1" customHeight="1" x14ac:dyDescent="0.25">
      <c r="B86" s="46" t="s">
        <v>126</v>
      </c>
      <c r="C86" s="50">
        <v>4</v>
      </c>
      <c r="D86" s="50">
        <v>0</v>
      </c>
      <c r="E86" s="50">
        <v>0</v>
      </c>
      <c r="F86" s="50">
        <v>2</v>
      </c>
      <c r="G86" s="50">
        <v>0</v>
      </c>
      <c r="H86" s="50">
        <v>0</v>
      </c>
      <c r="I86" s="50">
        <v>0</v>
      </c>
      <c r="J86" s="50">
        <v>0</v>
      </c>
      <c r="K86" s="50">
        <v>2</v>
      </c>
      <c r="L86" s="50">
        <v>0</v>
      </c>
      <c r="M86" s="50">
        <v>2</v>
      </c>
      <c r="N86" s="50">
        <v>0</v>
      </c>
      <c r="O86" s="15">
        <f t="shared" si="36"/>
        <v>8</v>
      </c>
      <c r="P86" s="15">
        <f t="shared" si="37"/>
        <v>10</v>
      </c>
      <c r="R86" s="8"/>
      <c r="T86"/>
    </row>
    <row r="87" spans="2:20" ht="23.1" customHeight="1" x14ac:dyDescent="0.25">
      <c r="B87" s="45" t="s">
        <v>127</v>
      </c>
      <c r="C87" s="50">
        <v>7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4</v>
      </c>
      <c r="M87" s="50">
        <v>0</v>
      </c>
      <c r="N87" s="50">
        <v>0</v>
      </c>
      <c r="O87" s="15">
        <f t="shared" si="36"/>
        <v>11</v>
      </c>
      <c r="P87" s="15">
        <f t="shared" si="37"/>
        <v>11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2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6"/>
        <v>4</v>
      </c>
      <c r="P88" s="15">
        <f t="shared" si="37"/>
        <v>4</v>
      </c>
      <c r="R88" s="8"/>
      <c r="T88"/>
    </row>
    <row r="89" spans="2:20" ht="23.1" customHeight="1" x14ac:dyDescent="0.25">
      <c r="B89" s="45" t="s">
        <v>129</v>
      </c>
      <c r="C89" s="50">
        <v>4</v>
      </c>
      <c r="D89" s="50">
        <v>0</v>
      </c>
      <c r="E89" s="50">
        <v>0</v>
      </c>
      <c r="F89" s="50">
        <v>3</v>
      </c>
      <c r="G89" s="50">
        <v>0</v>
      </c>
      <c r="H89" s="50">
        <v>0</v>
      </c>
      <c r="I89" s="50">
        <v>0</v>
      </c>
      <c r="J89" s="50">
        <v>0</v>
      </c>
      <c r="K89" s="50">
        <v>3</v>
      </c>
      <c r="L89" s="50">
        <v>0</v>
      </c>
      <c r="M89" s="50">
        <v>0</v>
      </c>
      <c r="N89" s="50">
        <v>0</v>
      </c>
      <c r="O89" s="15">
        <f t="shared" si="36"/>
        <v>10</v>
      </c>
      <c r="P89" s="15">
        <f t="shared" si="37"/>
        <v>10</v>
      </c>
      <c r="R89" s="8"/>
      <c r="T89"/>
    </row>
    <row r="90" spans="2:20" ht="23.1" customHeight="1" x14ac:dyDescent="0.25">
      <c r="B90" s="46" t="s">
        <v>130</v>
      </c>
      <c r="C90" s="50">
        <v>3</v>
      </c>
      <c r="D90" s="50">
        <v>0</v>
      </c>
      <c r="E90" s="50">
        <v>0</v>
      </c>
      <c r="F90" s="50">
        <v>2</v>
      </c>
      <c r="G90" s="50">
        <v>0</v>
      </c>
      <c r="H90" s="50">
        <v>0</v>
      </c>
      <c r="I90" s="50">
        <v>0</v>
      </c>
      <c r="J90" s="50">
        <v>0</v>
      </c>
      <c r="K90" s="50">
        <v>6</v>
      </c>
      <c r="L90" s="50">
        <v>2</v>
      </c>
      <c r="M90" s="50">
        <v>2</v>
      </c>
      <c r="N90" s="50">
        <v>0</v>
      </c>
      <c r="O90" s="15">
        <f t="shared" si="36"/>
        <v>13</v>
      </c>
      <c r="P90" s="15">
        <f t="shared" si="37"/>
        <v>15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3</v>
      </c>
      <c r="E91" s="50">
        <v>1</v>
      </c>
      <c r="F91" s="50">
        <v>0</v>
      </c>
      <c r="G91" s="50">
        <v>0</v>
      </c>
      <c r="H91" s="50">
        <v>0</v>
      </c>
      <c r="I91" s="50">
        <v>4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6"/>
        <v>8</v>
      </c>
      <c r="P91" s="15">
        <f t="shared" si="37"/>
        <v>8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2</v>
      </c>
      <c r="F92" s="50">
        <v>3</v>
      </c>
      <c r="G92" s="50">
        <v>0</v>
      </c>
      <c r="H92" s="50">
        <v>0</v>
      </c>
      <c r="I92" s="50">
        <v>0</v>
      </c>
      <c r="J92" s="50">
        <v>2</v>
      </c>
      <c r="K92" s="50">
        <v>2</v>
      </c>
      <c r="L92" s="50">
        <v>4</v>
      </c>
      <c r="M92" s="50">
        <v>0</v>
      </c>
      <c r="N92" s="50">
        <v>0</v>
      </c>
      <c r="O92" s="15">
        <f t="shared" si="36"/>
        <v>13</v>
      </c>
      <c r="P92" s="15">
        <f t="shared" si="37"/>
        <v>13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6"/>
        <v>1</v>
      </c>
      <c r="P93" s="15">
        <f t="shared" si="37"/>
        <v>4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2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4</v>
      </c>
      <c r="M94" s="50">
        <v>6</v>
      </c>
      <c r="N94" s="50">
        <v>0</v>
      </c>
      <c r="O94" s="15">
        <f t="shared" si="36"/>
        <v>6</v>
      </c>
      <c r="P94" s="15">
        <f t="shared" si="37"/>
        <v>12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0</v>
      </c>
      <c r="E95" s="50">
        <v>0</v>
      </c>
      <c r="F95" s="50">
        <v>0</v>
      </c>
      <c r="G95" s="50">
        <v>0</v>
      </c>
      <c r="H95" s="50">
        <v>1</v>
      </c>
      <c r="I95" s="50">
        <v>0</v>
      </c>
      <c r="J95" s="50">
        <v>0</v>
      </c>
      <c r="K95" s="50">
        <v>2</v>
      </c>
      <c r="L95" s="50">
        <v>1</v>
      </c>
      <c r="M95" s="50">
        <v>2</v>
      </c>
      <c r="N95" s="50">
        <v>0</v>
      </c>
      <c r="O95" s="15">
        <f t="shared" si="36"/>
        <v>6</v>
      </c>
      <c r="P95" s="15">
        <f t="shared" si="37"/>
        <v>8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3</v>
      </c>
      <c r="J96" s="50">
        <v>4</v>
      </c>
      <c r="K96" s="50">
        <v>6</v>
      </c>
      <c r="L96" s="50">
        <v>4</v>
      </c>
      <c r="M96" s="50">
        <v>0</v>
      </c>
      <c r="N96" s="50">
        <v>0</v>
      </c>
      <c r="O96" s="15">
        <f t="shared" si="36"/>
        <v>18</v>
      </c>
      <c r="P96" s="15">
        <f t="shared" si="37"/>
        <v>18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0</v>
      </c>
      <c r="J97" s="50">
        <v>2</v>
      </c>
      <c r="K97" s="50">
        <v>3</v>
      </c>
      <c r="L97" s="50">
        <v>2</v>
      </c>
      <c r="M97" s="50">
        <v>3</v>
      </c>
      <c r="N97" s="50">
        <v>0</v>
      </c>
      <c r="O97" s="15">
        <f t="shared" si="36"/>
        <v>8</v>
      </c>
      <c r="P97" s="15">
        <f t="shared" si="37"/>
        <v>11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3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3</v>
      </c>
      <c r="M98" s="50">
        <v>0</v>
      </c>
      <c r="N98" s="50">
        <v>0</v>
      </c>
      <c r="O98" s="15">
        <f t="shared" si="36"/>
        <v>6</v>
      </c>
      <c r="P98" s="15">
        <f t="shared" si="37"/>
        <v>6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1</v>
      </c>
      <c r="I99" s="50">
        <v>0</v>
      </c>
      <c r="J99" s="50">
        <v>0</v>
      </c>
      <c r="K99" s="50">
        <v>0</v>
      </c>
      <c r="L99" s="50">
        <v>1</v>
      </c>
      <c r="M99" s="50">
        <v>0</v>
      </c>
      <c r="N99" s="50">
        <v>0</v>
      </c>
      <c r="O99" s="15">
        <f t="shared" si="36"/>
        <v>2</v>
      </c>
      <c r="P99" s="15">
        <f t="shared" si="37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6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4</v>
      </c>
      <c r="M100" s="50">
        <v>0</v>
      </c>
      <c r="N100" s="50">
        <v>0</v>
      </c>
      <c r="O100" s="15">
        <f t="shared" si="36"/>
        <v>10</v>
      </c>
      <c r="P100" s="15">
        <f t="shared" si="37"/>
        <v>10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2</v>
      </c>
      <c r="G101" s="50">
        <v>0</v>
      </c>
      <c r="H101" s="50">
        <v>1</v>
      </c>
      <c r="I101" s="50">
        <v>0</v>
      </c>
      <c r="J101" s="50">
        <v>0</v>
      </c>
      <c r="K101" s="50">
        <v>0</v>
      </c>
      <c r="L101" s="50">
        <v>2</v>
      </c>
      <c r="M101" s="50">
        <v>2</v>
      </c>
      <c r="N101" s="50">
        <v>0</v>
      </c>
      <c r="O101" s="15">
        <f t="shared" si="36"/>
        <v>6</v>
      </c>
      <c r="P101" s="15">
        <f t="shared" si="37"/>
        <v>8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0</v>
      </c>
      <c r="E102" s="50">
        <v>0</v>
      </c>
      <c r="F102" s="50">
        <v>2</v>
      </c>
      <c r="G102" s="50">
        <v>0</v>
      </c>
      <c r="H102" s="50">
        <v>2</v>
      </c>
      <c r="I102" s="50">
        <v>0</v>
      </c>
      <c r="J102" s="50">
        <v>0</v>
      </c>
      <c r="K102" s="50">
        <v>2</v>
      </c>
      <c r="L102" s="50">
        <v>0</v>
      </c>
      <c r="M102" s="50">
        <v>4</v>
      </c>
      <c r="N102" s="50">
        <v>0</v>
      </c>
      <c r="O102" s="15">
        <f t="shared" si="36"/>
        <v>8</v>
      </c>
      <c r="P102" s="15">
        <f t="shared" si="37"/>
        <v>12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1</v>
      </c>
      <c r="F103" s="50">
        <v>6</v>
      </c>
      <c r="G103" s="50">
        <v>1</v>
      </c>
      <c r="H103" s="50">
        <v>0</v>
      </c>
      <c r="I103" s="50">
        <v>0</v>
      </c>
      <c r="J103" s="50">
        <v>2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6"/>
        <v>10</v>
      </c>
      <c r="P103" s="15">
        <f t="shared" si="37"/>
        <v>10</v>
      </c>
      <c r="R103" s="8"/>
      <c r="T103"/>
    </row>
    <row r="104" spans="2:20" ht="23.1" customHeight="1" x14ac:dyDescent="0.25">
      <c r="B104" s="47" t="s">
        <v>144</v>
      </c>
      <c r="C104" s="50">
        <v>5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1</v>
      </c>
      <c r="M104" s="50">
        <v>0</v>
      </c>
      <c r="N104" s="50">
        <v>0</v>
      </c>
      <c r="O104" s="15">
        <f t="shared" si="36"/>
        <v>6</v>
      </c>
      <c r="P104" s="15">
        <f t="shared" si="37"/>
        <v>6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2</v>
      </c>
      <c r="E105" s="50">
        <v>0</v>
      </c>
      <c r="F105" s="50">
        <v>4</v>
      </c>
      <c r="G105" s="50">
        <v>1</v>
      </c>
      <c r="H105" s="50">
        <v>1</v>
      </c>
      <c r="I105" s="50">
        <v>0</v>
      </c>
      <c r="J105" s="50">
        <v>0</v>
      </c>
      <c r="K105" s="50">
        <v>0</v>
      </c>
      <c r="L105" s="50">
        <v>0</v>
      </c>
      <c r="M105" s="50">
        <v>6</v>
      </c>
      <c r="N105" s="50">
        <v>0</v>
      </c>
      <c r="O105" s="15">
        <f t="shared" si="36"/>
        <v>9</v>
      </c>
      <c r="P105" s="15">
        <f t="shared" si="37"/>
        <v>15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351</v>
      </c>
      <c r="D106" s="16">
        <f t="shared" ref="D106:P106" si="38">SUM(D10:D105)</f>
        <v>123</v>
      </c>
      <c r="E106" s="16">
        <f t="shared" si="38"/>
        <v>72</v>
      </c>
      <c r="F106" s="16">
        <f t="shared" si="38"/>
        <v>278</v>
      </c>
      <c r="G106" s="16">
        <f t="shared" si="38"/>
        <v>8</v>
      </c>
      <c r="H106" s="16">
        <f t="shared" si="38"/>
        <v>33</v>
      </c>
      <c r="I106" s="16">
        <f t="shared" si="38"/>
        <v>94</v>
      </c>
      <c r="J106" s="16">
        <f t="shared" si="38"/>
        <v>65</v>
      </c>
      <c r="K106" s="16">
        <f t="shared" si="38"/>
        <v>117</v>
      </c>
      <c r="L106" s="16">
        <f t="shared" si="38"/>
        <v>115</v>
      </c>
      <c r="M106" s="16">
        <f t="shared" si="38"/>
        <v>1217</v>
      </c>
      <c r="N106" s="16">
        <f t="shared" si="38"/>
        <v>5</v>
      </c>
      <c r="O106" s="16">
        <f t="shared" si="38"/>
        <v>1253</v>
      </c>
      <c r="P106" s="16">
        <f t="shared" si="38"/>
        <v>2478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9">C106/$P$106</f>
        <v>0.14164648910411623</v>
      </c>
      <c r="D107" s="43">
        <f t="shared" si="39"/>
        <v>4.9636803874092007E-2</v>
      </c>
      <c r="E107" s="43">
        <f t="shared" si="39"/>
        <v>2.9055690072639227E-2</v>
      </c>
      <c r="F107" s="43">
        <f t="shared" si="39"/>
        <v>0.11218724778046812</v>
      </c>
      <c r="G107" s="43">
        <f t="shared" si="39"/>
        <v>3.2284100080710249E-3</v>
      </c>
      <c r="H107" s="43">
        <f t="shared" si="39"/>
        <v>1.3317191283292978E-2</v>
      </c>
      <c r="I107" s="43">
        <f t="shared" si="39"/>
        <v>3.7933817594834544E-2</v>
      </c>
      <c r="J107" s="43">
        <f t="shared" si="39"/>
        <v>2.6230831315577078E-2</v>
      </c>
      <c r="K107" s="43">
        <f t="shared" si="39"/>
        <v>4.7215496368038741E-2</v>
      </c>
      <c r="L107" s="43">
        <f t="shared" si="39"/>
        <v>4.6408393866020983E-2</v>
      </c>
      <c r="M107" s="43">
        <f t="shared" si="39"/>
        <v>0.4911218724778047</v>
      </c>
      <c r="N107" s="43">
        <f t="shared" si="39"/>
        <v>2.0177562550443904E-3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0.28012769353551475</v>
      </c>
      <c r="D108" s="44">
        <f t="shared" ref="D108:N108" si="40">D106/$O$106</f>
        <v>9.8164405426975257E-2</v>
      </c>
      <c r="E108" s="44">
        <f t="shared" si="40"/>
        <v>5.7462090981644051E-2</v>
      </c>
      <c r="F108" s="44">
        <f t="shared" si="40"/>
        <v>0.22186751795690343</v>
      </c>
      <c r="G108" s="44">
        <f t="shared" si="40"/>
        <v>6.3846767757382286E-3</v>
      </c>
      <c r="H108" s="44">
        <f t="shared" si="40"/>
        <v>2.6336791699920193E-2</v>
      </c>
      <c r="I108" s="44">
        <f t="shared" si="40"/>
        <v>7.5019952114924182E-2</v>
      </c>
      <c r="J108" s="44">
        <f t="shared" si="40"/>
        <v>5.1875498802873107E-2</v>
      </c>
      <c r="K108" s="44">
        <f t="shared" si="40"/>
        <v>9.3375897845171585E-2</v>
      </c>
      <c r="L108" s="44">
        <f t="shared" si="40"/>
        <v>9.1779728651237028E-2</v>
      </c>
      <c r="M108" s="44"/>
      <c r="N108" s="44">
        <f t="shared" si="40"/>
        <v>3.9904229848363925E-3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zoomScale="60" workbookViewId="0">
      <selection activeCell="I17" sqref="I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5.140625" customWidth="1"/>
    <col min="7" max="7" width="14.5703125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'27.10 Mbarara-Kabale'!C3:G3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15.75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9.25" customHeight="1" x14ac:dyDescent="0.25">
      <c r="C5" s="4" t="s">
        <v>3</v>
      </c>
      <c r="D5" s="36" t="s">
        <v>177</v>
      </c>
      <c r="E5" s="3"/>
      <c r="F5" s="41" t="s">
        <v>1</v>
      </c>
      <c r="G5" s="63" t="str">
        <f>'2.11 Kabale-Mbarara-24hr'!G5:H5</f>
        <v>Nyeihanga traffic station</v>
      </c>
      <c r="H5" s="64"/>
      <c r="I5" s="14"/>
      <c r="J5" s="2" t="s">
        <v>5</v>
      </c>
      <c r="K5" s="63" t="str">
        <f>'27.10 Mbarara-Kabale'!K5:L5</f>
        <v>Norman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'27.10 Mbarara-Kabale'!D6:E6</f>
        <v>Mbarara</v>
      </c>
      <c r="E6" s="64"/>
      <c r="F6" s="2" t="s">
        <v>2</v>
      </c>
      <c r="G6" s="63" t="str">
        <f>'27.10 Mbarara-Kabale'!G6:H6</f>
        <v>Kabale</v>
      </c>
      <c r="H6" s="64"/>
      <c r="J6" s="2" t="s">
        <v>21</v>
      </c>
      <c r="K6" s="63" t="str">
        <f>'2.11 Kabale-Mbarara-24hr'!K6:L6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2</v>
      </c>
      <c r="E10" s="50">
        <v>0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3</v>
      </c>
      <c r="L10" s="50">
        <v>2</v>
      </c>
      <c r="M10" s="50">
        <v>7</v>
      </c>
      <c r="N10" s="50">
        <v>0</v>
      </c>
      <c r="O10" s="15">
        <f t="shared" ref="O10:O57" si="0">SUM(C10:L10,N10)</f>
        <v>14</v>
      </c>
      <c r="P10" s="15">
        <f t="shared" ref="P10:P57" si="1">SUM(C10:N10)</f>
        <v>21</v>
      </c>
      <c r="R10" s="1" t="s">
        <v>6</v>
      </c>
      <c r="S10" s="17">
        <f t="shared" ref="S10:AF10" si="2">SUM(C10:C13)</f>
        <v>11</v>
      </c>
      <c r="T10" s="17">
        <f t="shared" si="2"/>
        <v>6</v>
      </c>
      <c r="U10" s="17">
        <f t="shared" si="2"/>
        <v>1</v>
      </c>
      <c r="V10" s="17">
        <f t="shared" si="2"/>
        <v>9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6</v>
      </c>
      <c r="AB10" s="17">
        <f t="shared" si="2"/>
        <v>8</v>
      </c>
      <c r="AC10" s="17">
        <f t="shared" si="2"/>
        <v>32</v>
      </c>
      <c r="AD10" s="17">
        <f t="shared" si="2"/>
        <v>0</v>
      </c>
      <c r="AE10" s="31">
        <f t="shared" si="2"/>
        <v>44</v>
      </c>
      <c r="AF10" s="31">
        <f t="shared" si="2"/>
        <v>76</v>
      </c>
    </row>
    <row r="11" spans="2:32" s="6" customFormat="1" ht="23.1" customHeight="1" x14ac:dyDescent="0.25">
      <c r="B11" s="23" t="s">
        <v>38</v>
      </c>
      <c r="C11" s="50">
        <v>3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2</v>
      </c>
      <c r="J11" s="50">
        <v>0</v>
      </c>
      <c r="K11" s="50">
        <v>1</v>
      </c>
      <c r="L11" s="50">
        <v>4</v>
      </c>
      <c r="M11" s="50">
        <v>3</v>
      </c>
      <c r="N11" s="50">
        <v>0</v>
      </c>
      <c r="O11" s="15">
        <f t="shared" si="0"/>
        <v>11</v>
      </c>
      <c r="P11" s="15">
        <f t="shared" si="1"/>
        <v>14</v>
      </c>
      <c r="R11" s="1" t="s">
        <v>7</v>
      </c>
      <c r="S11" s="17">
        <f t="shared" ref="S11:AF11" si="3">SUM(C14:C17)</f>
        <v>21</v>
      </c>
      <c r="T11" s="17">
        <f t="shared" si="3"/>
        <v>12</v>
      </c>
      <c r="U11" s="17">
        <f t="shared" si="3"/>
        <v>6</v>
      </c>
      <c r="V11" s="17">
        <f t="shared" si="3"/>
        <v>13</v>
      </c>
      <c r="W11" s="17">
        <f t="shared" si="3"/>
        <v>3</v>
      </c>
      <c r="X11" s="17">
        <f t="shared" si="3"/>
        <v>0</v>
      </c>
      <c r="Y11" s="17">
        <f t="shared" si="3"/>
        <v>4</v>
      </c>
      <c r="Z11" s="17">
        <f t="shared" si="3"/>
        <v>5</v>
      </c>
      <c r="AA11" s="17">
        <f t="shared" si="3"/>
        <v>2</v>
      </c>
      <c r="AB11" s="17">
        <f t="shared" si="3"/>
        <v>3</v>
      </c>
      <c r="AC11" s="17">
        <f t="shared" si="3"/>
        <v>29</v>
      </c>
      <c r="AD11" s="17">
        <f t="shared" si="3"/>
        <v>0</v>
      </c>
      <c r="AE11" s="31">
        <f t="shared" si="3"/>
        <v>69</v>
      </c>
      <c r="AF11" s="31">
        <f t="shared" si="3"/>
        <v>98</v>
      </c>
    </row>
    <row r="12" spans="2:32" ht="23.1" customHeight="1" x14ac:dyDescent="0.25">
      <c r="B12" s="23" t="s">
        <v>39</v>
      </c>
      <c r="C12" s="50">
        <v>1</v>
      </c>
      <c r="D12" s="50">
        <v>1</v>
      </c>
      <c r="E12" s="50">
        <v>0</v>
      </c>
      <c r="F12" s="50">
        <v>4</v>
      </c>
      <c r="G12" s="50">
        <v>0</v>
      </c>
      <c r="H12" s="50">
        <v>0</v>
      </c>
      <c r="I12" s="50">
        <v>1</v>
      </c>
      <c r="J12" s="50">
        <v>0</v>
      </c>
      <c r="K12" s="50">
        <v>2</v>
      </c>
      <c r="L12" s="50">
        <v>2</v>
      </c>
      <c r="M12" s="50">
        <v>10</v>
      </c>
      <c r="N12" s="50">
        <v>0</v>
      </c>
      <c r="O12" s="15">
        <f t="shared" si="0"/>
        <v>11</v>
      </c>
      <c r="P12" s="15">
        <f t="shared" si="1"/>
        <v>21</v>
      </c>
      <c r="R12" s="1" t="s">
        <v>8</v>
      </c>
      <c r="S12" s="17">
        <f t="shared" ref="S12:AF12" si="4">SUM(C18:C21)</f>
        <v>25</v>
      </c>
      <c r="T12" s="17">
        <f t="shared" si="4"/>
        <v>7</v>
      </c>
      <c r="U12" s="17">
        <f t="shared" si="4"/>
        <v>9</v>
      </c>
      <c r="V12" s="17">
        <f t="shared" si="4"/>
        <v>20</v>
      </c>
      <c r="W12" s="17">
        <f t="shared" si="4"/>
        <v>1</v>
      </c>
      <c r="X12" s="17">
        <f t="shared" si="4"/>
        <v>0</v>
      </c>
      <c r="Y12" s="17">
        <f t="shared" si="4"/>
        <v>7</v>
      </c>
      <c r="Z12" s="17">
        <f t="shared" si="4"/>
        <v>7</v>
      </c>
      <c r="AA12" s="17">
        <f t="shared" si="4"/>
        <v>1</v>
      </c>
      <c r="AB12" s="17">
        <f t="shared" si="4"/>
        <v>8</v>
      </c>
      <c r="AC12" s="17">
        <f t="shared" si="4"/>
        <v>78</v>
      </c>
      <c r="AD12" s="17">
        <f t="shared" si="4"/>
        <v>0</v>
      </c>
      <c r="AE12" s="31">
        <f t="shared" si="4"/>
        <v>85</v>
      </c>
      <c r="AF12" s="31">
        <f t="shared" si="4"/>
        <v>163</v>
      </c>
    </row>
    <row r="13" spans="2:32" ht="23.1" customHeight="1" x14ac:dyDescent="0.25">
      <c r="B13" s="23" t="s">
        <v>40</v>
      </c>
      <c r="C13" s="50">
        <v>3</v>
      </c>
      <c r="D13" s="50">
        <v>2</v>
      </c>
      <c r="E13" s="50">
        <v>1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12</v>
      </c>
      <c r="N13" s="50">
        <v>0</v>
      </c>
      <c r="O13" s="15">
        <f t="shared" si="0"/>
        <v>8</v>
      </c>
      <c r="P13" s="15">
        <f t="shared" si="1"/>
        <v>20</v>
      </c>
      <c r="R13" s="1" t="s">
        <v>9</v>
      </c>
      <c r="S13" s="17">
        <f t="shared" ref="S13:AF13" si="5">SUM(C22:C25)</f>
        <v>34</v>
      </c>
      <c r="T13" s="17">
        <f t="shared" si="5"/>
        <v>13</v>
      </c>
      <c r="U13" s="17">
        <f t="shared" si="5"/>
        <v>10</v>
      </c>
      <c r="V13" s="17">
        <f t="shared" si="5"/>
        <v>26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4</v>
      </c>
      <c r="AA13" s="17">
        <f t="shared" si="5"/>
        <v>6</v>
      </c>
      <c r="AB13" s="17">
        <f t="shared" si="5"/>
        <v>12</v>
      </c>
      <c r="AC13" s="17">
        <f t="shared" si="5"/>
        <v>65</v>
      </c>
      <c r="AD13" s="17">
        <f t="shared" si="5"/>
        <v>0</v>
      </c>
      <c r="AE13" s="31">
        <f t="shared" si="5"/>
        <v>115</v>
      </c>
      <c r="AF13" s="31">
        <f t="shared" si="5"/>
        <v>180</v>
      </c>
    </row>
    <row r="14" spans="2:32" ht="23.1" customHeight="1" x14ac:dyDescent="0.25">
      <c r="B14" s="23" t="s">
        <v>41</v>
      </c>
      <c r="C14" s="50">
        <v>5</v>
      </c>
      <c r="D14" s="50">
        <v>6</v>
      </c>
      <c r="E14" s="50">
        <v>0</v>
      </c>
      <c r="F14" s="50">
        <v>2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15</v>
      </c>
      <c r="P14" s="15">
        <f t="shared" si="1"/>
        <v>21</v>
      </c>
      <c r="R14" s="1" t="s">
        <v>10</v>
      </c>
      <c r="S14" s="17">
        <f t="shared" ref="S14:AF14" si="6">SUM(C26:C29)</f>
        <v>30</v>
      </c>
      <c r="T14" s="17">
        <f t="shared" si="6"/>
        <v>11</v>
      </c>
      <c r="U14" s="17">
        <f t="shared" si="6"/>
        <v>6</v>
      </c>
      <c r="V14" s="17">
        <f t="shared" si="6"/>
        <v>19</v>
      </c>
      <c r="W14" s="17">
        <f t="shared" si="6"/>
        <v>2</v>
      </c>
      <c r="X14" s="17">
        <f t="shared" si="6"/>
        <v>3</v>
      </c>
      <c r="Y14" s="17">
        <f t="shared" si="6"/>
        <v>6</v>
      </c>
      <c r="Z14" s="17">
        <f t="shared" si="6"/>
        <v>0</v>
      </c>
      <c r="AA14" s="17">
        <f t="shared" si="6"/>
        <v>4</v>
      </c>
      <c r="AB14" s="17">
        <f t="shared" si="6"/>
        <v>11</v>
      </c>
      <c r="AC14" s="17">
        <f t="shared" si="6"/>
        <v>83</v>
      </c>
      <c r="AD14" s="17">
        <f t="shared" si="6"/>
        <v>0</v>
      </c>
      <c r="AE14" s="31">
        <f t="shared" si="6"/>
        <v>92</v>
      </c>
      <c r="AF14" s="31">
        <f t="shared" si="6"/>
        <v>175</v>
      </c>
    </row>
    <row r="15" spans="2:32" ht="23.1" customHeight="1" x14ac:dyDescent="0.25">
      <c r="B15" s="23" t="s">
        <v>42</v>
      </c>
      <c r="C15" s="50">
        <v>6</v>
      </c>
      <c r="D15" s="50">
        <v>2</v>
      </c>
      <c r="E15" s="50">
        <v>3</v>
      </c>
      <c r="F15" s="50">
        <v>5</v>
      </c>
      <c r="G15" s="50">
        <v>3</v>
      </c>
      <c r="H15" s="50">
        <v>0</v>
      </c>
      <c r="I15" s="50">
        <v>0</v>
      </c>
      <c r="J15" s="50">
        <v>3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22</v>
      </c>
      <c r="P15" s="15">
        <f t="shared" si="1"/>
        <v>32</v>
      </c>
      <c r="R15" s="1" t="s">
        <v>11</v>
      </c>
      <c r="S15" s="17">
        <f t="shared" ref="S15:AF15" si="7">SUM(C30:C33)</f>
        <v>30</v>
      </c>
      <c r="T15" s="17">
        <f t="shared" si="7"/>
        <v>20</v>
      </c>
      <c r="U15" s="17">
        <f t="shared" si="7"/>
        <v>12</v>
      </c>
      <c r="V15" s="17">
        <f t="shared" si="7"/>
        <v>24</v>
      </c>
      <c r="W15" s="17">
        <f t="shared" si="7"/>
        <v>1</v>
      </c>
      <c r="X15" s="17">
        <f t="shared" si="7"/>
        <v>6</v>
      </c>
      <c r="Y15" s="17">
        <f t="shared" si="7"/>
        <v>7</v>
      </c>
      <c r="Z15" s="17">
        <f t="shared" si="7"/>
        <v>11</v>
      </c>
      <c r="AA15" s="17">
        <f t="shared" si="7"/>
        <v>11</v>
      </c>
      <c r="AB15" s="17">
        <f t="shared" si="7"/>
        <v>15</v>
      </c>
      <c r="AC15" s="17">
        <f t="shared" si="7"/>
        <v>64</v>
      </c>
      <c r="AD15" s="17">
        <f t="shared" si="7"/>
        <v>0</v>
      </c>
      <c r="AE15" s="31">
        <f t="shared" si="7"/>
        <v>137</v>
      </c>
      <c r="AF15" s="31">
        <f t="shared" si="7"/>
        <v>201</v>
      </c>
    </row>
    <row r="16" spans="2:32" ht="23.1" customHeight="1" x14ac:dyDescent="0.25">
      <c r="B16" s="23" t="s">
        <v>43</v>
      </c>
      <c r="C16" s="50">
        <v>7</v>
      </c>
      <c r="D16" s="50">
        <v>0</v>
      </c>
      <c r="E16" s="50">
        <v>1</v>
      </c>
      <c r="F16" s="50">
        <v>6</v>
      </c>
      <c r="G16" s="50">
        <v>0</v>
      </c>
      <c r="H16" s="50">
        <v>0</v>
      </c>
      <c r="I16" s="50">
        <v>2</v>
      </c>
      <c r="J16" s="50">
        <v>0</v>
      </c>
      <c r="K16" s="50">
        <v>2</v>
      </c>
      <c r="L16" s="50">
        <v>0</v>
      </c>
      <c r="M16" s="50">
        <v>7</v>
      </c>
      <c r="N16" s="50">
        <v>0</v>
      </c>
      <c r="O16" s="15">
        <f t="shared" si="0"/>
        <v>18</v>
      </c>
      <c r="P16" s="15">
        <f t="shared" si="1"/>
        <v>25</v>
      </c>
      <c r="R16" s="1" t="s">
        <v>12</v>
      </c>
      <c r="S16" s="17">
        <f t="shared" ref="S16:AF16" si="8">SUM(C34:C37)</f>
        <v>40</v>
      </c>
      <c r="T16" s="17">
        <f t="shared" si="8"/>
        <v>22</v>
      </c>
      <c r="U16" s="17">
        <f t="shared" si="8"/>
        <v>23</v>
      </c>
      <c r="V16" s="17">
        <f t="shared" si="8"/>
        <v>41</v>
      </c>
      <c r="W16" s="17">
        <f t="shared" si="8"/>
        <v>1</v>
      </c>
      <c r="X16" s="17">
        <f t="shared" si="8"/>
        <v>4</v>
      </c>
      <c r="Y16" s="17">
        <f t="shared" si="8"/>
        <v>8</v>
      </c>
      <c r="Z16" s="17">
        <f t="shared" si="8"/>
        <v>6</v>
      </c>
      <c r="AA16" s="17">
        <f t="shared" si="8"/>
        <v>25</v>
      </c>
      <c r="AB16" s="17">
        <f t="shared" si="8"/>
        <v>29</v>
      </c>
      <c r="AC16" s="17">
        <f t="shared" si="8"/>
        <v>77</v>
      </c>
      <c r="AD16" s="17">
        <f t="shared" si="8"/>
        <v>0</v>
      </c>
      <c r="AE16" s="31">
        <f t="shared" si="8"/>
        <v>199</v>
      </c>
      <c r="AF16" s="31">
        <f t="shared" si="8"/>
        <v>276</v>
      </c>
    </row>
    <row r="17" spans="2:32" ht="23.1" customHeight="1" x14ac:dyDescent="0.25">
      <c r="B17" s="23" t="s">
        <v>44</v>
      </c>
      <c r="C17" s="50">
        <v>3</v>
      </c>
      <c r="D17" s="50">
        <v>4</v>
      </c>
      <c r="E17" s="50">
        <v>2</v>
      </c>
      <c r="F17" s="50">
        <v>0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3</v>
      </c>
      <c r="M17" s="50">
        <v>6</v>
      </c>
      <c r="N17" s="50">
        <v>0</v>
      </c>
      <c r="O17" s="15">
        <f t="shared" si="0"/>
        <v>14</v>
      </c>
      <c r="P17" s="15">
        <f t="shared" si="1"/>
        <v>20</v>
      </c>
      <c r="R17" s="1" t="s">
        <v>13</v>
      </c>
      <c r="S17" s="17">
        <f t="shared" ref="S17:AF17" si="9">SUM(C38:C41)</f>
        <v>19</v>
      </c>
      <c r="T17" s="17">
        <f t="shared" si="9"/>
        <v>16</v>
      </c>
      <c r="U17" s="17">
        <f t="shared" si="9"/>
        <v>15</v>
      </c>
      <c r="V17" s="17">
        <f t="shared" si="9"/>
        <v>30</v>
      </c>
      <c r="W17" s="17">
        <f t="shared" si="9"/>
        <v>1</v>
      </c>
      <c r="X17" s="17">
        <f t="shared" si="9"/>
        <v>2</v>
      </c>
      <c r="Y17" s="17">
        <f t="shared" si="9"/>
        <v>5</v>
      </c>
      <c r="Z17" s="17">
        <f t="shared" si="9"/>
        <v>15</v>
      </c>
      <c r="AA17" s="17">
        <f t="shared" si="9"/>
        <v>22</v>
      </c>
      <c r="AB17" s="17">
        <f t="shared" si="9"/>
        <v>23</v>
      </c>
      <c r="AC17" s="17">
        <f t="shared" si="9"/>
        <v>46</v>
      </c>
      <c r="AD17" s="17">
        <f t="shared" si="9"/>
        <v>0</v>
      </c>
      <c r="AE17" s="31">
        <f t="shared" si="9"/>
        <v>148</v>
      </c>
      <c r="AF17" s="31">
        <f t="shared" si="9"/>
        <v>194</v>
      </c>
    </row>
    <row r="18" spans="2:32" ht="23.1" customHeight="1" x14ac:dyDescent="0.25">
      <c r="B18" s="23" t="s">
        <v>45</v>
      </c>
      <c r="C18" s="50">
        <v>5</v>
      </c>
      <c r="D18" s="50">
        <v>4</v>
      </c>
      <c r="E18" s="50">
        <v>2</v>
      </c>
      <c r="F18" s="50">
        <v>6</v>
      </c>
      <c r="G18" s="50">
        <v>1</v>
      </c>
      <c r="H18" s="50">
        <v>0</v>
      </c>
      <c r="I18" s="50">
        <v>3</v>
      </c>
      <c r="J18" s="50">
        <v>4</v>
      </c>
      <c r="K18" s="50">
        <v>0</v>
      </c>
      <c r="L18" s="50">
        <v>2</v>
      </c>
      <c r="M18" s="50">
        <v>12</v>
      </c>
      <c r="N18" s="50">
        <v>0</v>
      </c>
      <c r="O18" s="15">
        <f t="shared" si="0"/>
        <v>27</v>
      </c>
      <c r="P18" s="15">
        <f t="shared" si="1"/>
        <v>39</v>
      </c>
      <c r="R18" s="1" t="s">
        <v>14</v>
      </c>
      <c r="S18" s="17">
        <f t="shared" ref="S18:AF18" si="10">SUM(C42:C45)</f>
        <v>31</v>
      </c>
      <c r="T18" s="17">
        <f t="shared" si="10"/>
        <v>11</v>
      </c>
      <c r="U18" s="17">
        <f t="shared" si="10"/>
        <v>10</v>
      </c>
      <c r="V18" s="17">
        <f t="shared" si="10"/>
        <v>21</v>
      </c>
      <c r="W18" s="17">
        <f t="shared" si="10"/>
        <v>2</v>
      </c>
      <c r="X18" s="17">
        <f t="shared" si="10"/>
        <v>0</v>
      </c>
      <c r="Y18" s="17">
        <f t="shared" si="10"/>
        <v>11</v>
      </c>
      <c r="Z18" s="17">
        <f t="shared" si="10"/>
        <v>6</v>
      </c>
      <c r="AA18" s="17">
        <f t="shared" si="10"/>
        <v>5</v>
      </c>
      <c r="AB18" s="17">
        <f t="shared" si="10"/>
        <v>9</v>
      </c>
      <c r="AC18" s="17">
        <f t="shared" si="10"/>
        <v>69</v>
      </c>
      <c r="AD18" s="17">
        <f t="shared" si="10"/>
        <v>0</v>
      </c>
      <c r="AE18" s="31">
        <f t="shared" si="10"/>
        <v>106</v>
      </c>
      <c r="AF18" s="31">
        <f t="shared" si="10"/>
        <v>175</v>
      </c>
    </row>
    <row r="19" spans="2:32" ht="23.1" customHeight="1" x14ac:dyDescent="0.25">
      <c r="B19" s="23" t="s">
        <v>46</v>
      </c>
      <c r="C19" s="50">
        <v>3</v>
      </c>
      <c r="D19" s="50">
        <v>1</v>
      </c>
      <c r="E19" s="50">
        <v>2</v>
      </c>
      <c r="F19" s="50">
        <v>5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27</v>
      </c>
      <c r="N19" s="50">
        <v>0</v>
      </c>
      <c r="O19" s="15">
        <f t="shared" si="0"/>
        <v>13</v>
      </c>
      <c r="P19" s="15">
        <f t="shared" si="1"/>
        <v>40</v>
      </c>
      <c r="R19" s="1" t="s">
        <v>15</v>
      </c>
      <c r="S19" s="17">
        <f t="shared" ref="S19:AF19" si="11">SUM(C46:C49)</f>
        <v>18</v>
      </c>
      <c r="T19" s="17">
        <f t="shared" si="11"/>
        <v>8</v>
      </c>
      <c r="U19" s="17">
        <f t="shared" si="11"/>
        <v>4</v>
      </c>
      <c r="V19" s="17">
        <f t="shared" si="11"/>
        <v>14</v>
      </c>
      <c r="W19" s="17">
        <f t="shared" si="11"/>
        <v>2</v>
      </c>
      <c r="X19" s="17">
        <f t="shared" si="11"/>
        <v>4</v>
      </c>
      <c r="Y19" s="17">
        <f t="shared" si="11"/>
        <v>4</v>
      </c>
      <c r="Z19" s="17">
        <f t="shared" si="11"/>
        <v>2</v>
      </c>
      <c r="AA19" s="17">
        <f t="shared" si="11"/>
        <v>0</v>
      </c>
      <c r="AB19" s="17">
        <f t="shared" si="11"/>
        <v>1</v>
      </c>
      <c r="AC19" s="17">
        <f t="shared" si="11"/>
        <v>63</v>
      </c>
      <c r="AD19" s="17">
        <f t="shared" si="11"/>
        <v>0</v>
      </c>
      <c r="AE19" s="31">
        <f t="shared" si="11"/>
        <v>57</v>
      </c>
      <c r="AF19" s="31">
        <f t="shared" si="11"/>
        <v>120</v>
      </c>
    </row>
    <row r="20" spans="2:32" ht="23.1" customHeight="1" x14ac:dyDescent="0.25">
      <c r="B20" s="23" t="s">
        <v>47</v>
      </c>
      <c r="C20" s="50">
        <v>9</v>
      </c>
      <c r="D20" s="50">
        <v>2</v>
      </c>
      <c r="E20" s="50">
        <v>4</v>
      </c>
      <c r="F20" s="50">
        <v>3</v>
      </c>
      <c r="G20" s="50">
        <v>0</v>
      </c>
      <c r="H20" s="50">
        <v>0</v>
      </c>
      <c r="I20" s="50">
        <v>3</v>
      </c>
      <c r="J20" s="50">
        <v>2</v>
      </c>
      <c r="K20" s="50">
        <v>1</v>
      </c>
      <c r="L20" s="50">
        <v>4</v>
      </c>
      <c r="M20" s="50">
        <v>18</v>
      </c>
      <c r="N20" s="50">
        <v>0</v>
      </c>
      <c r="O20" s="15">
        <f t="shared" si="0"/>
        <v>28</v>
      </c>
      <c r="P20" s="15">
        <f t="shared" si="1"/>
        <v>46</v>
      </c>
      <c r="R20" s="1" t="s">
        <v>16</v>
      </c>
      <c r="S20" s="17">
        <f t="shared" ref="S20:AF20" si="12">SUM(C50:C53)</f>
        <v>20</v>
      </c>
      <c r="T20" s="17">
        <f t="shared" si="12"/>
        <v>16</v>
      </c>
      <c r="U20" s="17">
        <f t="shared" si="12"/>
        <v>5</v>
      </c>
      <c r="V20" s="17">
        <f t="shared" si="12"/>
        <v>19</v>
      </c>
      <c r="W20" s="17">
        <f t="shared" si="12"/>
        <v>0</v>
      </c>
      <c r="X20" s="17">
        <f t="shared" si="12"/>
        <v>1</v>
      </c>
      <c r="Y20" s="17">
        <f t="shared" si="12"/>
        <v>6</v>
      </c>
      <c r="Z20" s="17">
        <f t="shared" si="12"/>
        <v>0</v>
      </c>
      <c r="AA20" s="17">
        <f t="shared" si="12"/>
        <v>3</v>
      </c>
      <c r="AB20" s="17">
        <f t="shared" si="12"/>
        <v>13</v>
      </c>
      <c r="AC20" s="17">
        <f t="shared" si="12"/>
        <v>38</v>
      </c>
      <c r="AD20" s="17">
        <f t="shared" si="12"/>
        <v>0</v>
      </c>
      <c r="AE20" s="31">
        <f t="shared" si="12"/>
        <v>83</v>
      </c>
      <c r="AF20" s="31">
        <f t="shared" si="12"/>
        <v>121</v>
      </c>
    </row>
    <row r="21" spans="2:32" ht="23.1" customHeight="1" x14ac:dyDescent="0.25">
      <c r="B21" s="23" t="s">
        <v>48</v>
      </c>
      <c r="C21" s="50">
        <v>8</v>
      </c>
      <c r="D21" s="50">
        <v>0</v>
      </c>
      <c r="E21" s="50">
        <v>1</v>
      </c>
      <c r="F21" s="50">
        <v>6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2</v>
      </c>
      <c r="M21" s="50">
        <v>21</v>
      </c>
      <c r="N21" s="50">
        <v>0</v>
      </c>
      <c r="O21" s="15">
        <f t="shared" si="0"/>
        <v>17</v>
      </c>
      <c r="P21" s="15">
        <f t="shared" si="1"/>
        <v>38</v>
      </c>
      <c r="R21" s="36" t="s">
        <v>20</v>
      </c>
      <c r="S21" s="34">
        <f t="shared" ref="S21:AF21" si="13">SUM(C54:C57)</f>
        <v>28</v>
      </c>
      <c r="T21" s="17">
        <f t="shared" si="13"/>
        <v>11</v>
      </c>
      <c r="U21" s="17">
        <f t="shared" si="13"/>
        <v>13</v>
      </c>
      <c r="V21" s="17">
        <f t="shared" si="13"/>
        <v>17</v>
      </c>
      <c r="W21" s="17">
        <f t="shared" si="13"/>
        <v>3</v>
      </c>
      <c r="X21" s="17">
        <f t="shared" si="13"/>
        <v>3</v>
      </c>
      <c r="Y21" s="17">
        <f t="shared" si="13"/>
        <v>12</v>
      </c>
      <c r="Z21" s="17">
        <f t="shared" si="13"/>
        <v>13</v>
      </c>
      <c r="AA21" s="17">
        <f t="shared" si="13"/>
        <v>9</v>
      </c>
      <c r="AB21" s="17">
        <f t="shared" si="13"/>
        <v>7</v>
      </c>
      <c r="AC21" s="17">
        <f t="shared" si="13"/>
        <v>79</v>
      </c>
      <c r="AD21" s="17">
        <f t="shared" si="13"/>
        <v>0</v>
      </c>
      <c r="AE21" s="31">
        <f t="shared" si="13"/>
        <v>116</v>
      </c>
      <c r="AF21" s="31">
        <f t="shared" si="13"/>
        <v>195</v>
      </c>
    </row>
    <row r="22" spans="2:32" ht="23.1" customHeight="1" x14ac:dyDescent="0.25">
      <c r="B22" s="23" t="s">
        <v>49</v>
      </c>
      <c r="C22" s="50">
        <v>6</v>
      </c>
      <c r="D22" s="50">
        <v>2</v>
      </c>
      <c r="E22" s="50">
        <v>2</v>
      </c>
      <c r="F22" s="50">
        <v>8</v>
      </c>
      <c r="G22" s="50">
        <v>0</v>
      </c>
      <c r="H22" s="50">
        <v>0</v>
      </c>
      <c r="I22" s="50">
        <v>4</v>
      </c>
      <c r="J22" s="50">
        <v>1</v>
      </c>
      <c r="K22" s="50">
        <v>4</v>
      </c>
      <c r="L22" s="50">
        <v>3</v>
      </c>
      <c r="M22" s="50">
        <v>16</v>
      </c>
      <c r="N22" s="50">
        <v>0</v>
      </c>
      <c r="O22" s="15">
        <f t="shared" si="0"/>
        <v>30</v>
      </c>
      <c r="P22" s="15">
        <f t="shared" si="1"/>
        <v>46</v>
      </c>
      <c r="R22" s="38" t="s">
        <v>90</v>
      </c>
      <c r="S22" s="39">
        <f>MAX(S10:S12)</f>
        <v>25</v>
      </c>
      <c r="T22" s="39">
        <f t="shared" ref="T22:AF22" si="14">MAX(T10:T12)</f>
        <v>12</v>
      </c>
      <c r="U22" s="39">
        <f t="shared" si="14"/>
        <v>9</v>
      </c>
      <c r="V22" s="39">
        <f t="shared" si="14"/>
        <v>20</v>
      </c>
      <c r="W22" s="39">
        <f t="shared" si="14"/>
        <v>3</v>
      </c>
      <c r="X22" s="39">
        <f t="shared" si="14"/>
        <v>0</v>
      </c>
      <c r="Y22" s="39">
        <f t="shared" si="14"/>
        <v>7</v>
      </c>
      <c r="Z22" s="39">
        <f t="shared" si="14"/>
        <v>7</v>
      </c>
      <c r="AA22" s="39">
        <f t="shared" si="14"/>
        <v>6</v>
      </c>
      <c r="AB22" s="39">
        <f t="shared" si="14"/>
        <v>8</v>
      </c>
      <c r="AC22" s="39">
        <f t="shared" si="14"/>
        <v>78</v>
      </c>
      <c r="AD22" s="39">
        <f t="shared" si="14"/>
        <v>0</v>
      </c>
      <c r="AE22" s="40">
        <f t="shared" si="14"/>
        <v>85</v>
      </c>
      <c r="AF22" s="40">
        <f t="shared" si="14"/>
        <v>163</v>
      </c>
    </row>
    <row r="23" spans="2:32" ht="23.1" customHeight="1" x14ac:dyDescent="0.25">
      <c r="B23" s="23" t="s">
        <v>50</v>
      </c>
      <c r="C23" s="50">
        <v>8</v>
      </c>
      <c r="D23" s="50">
        <v>2</v>
      </c>
      <c r="E23" s="50">
        <v>4</v>
      </c>
      <c r="F23" s="50">
        <v>6</v>
      </c>
      <c r="G23" s="50">
        <v>0</v>
      </c>
      <c r="H23" s="50">
        <v>0</v>
      </c>
      <c r="I23" s="50">
        <v>0</v>
      </c>
      <c r="J23" s="50">
        <v>2</v>
      </c>
      <c r="K23" s="50">
        <v>1</v>
      </c>
      <c r="L23" s="50">
        <v>6</v>
      </c>
      <c r="M23" s="50">
        <v>13</v>
      </c>
      <c r="N23" s="50">
        <v>0</v>
      </c>
      <c r="O23" s="15">
        <f t="shared" si="0"/>
        <v>29</v>
      </c>
      <c r="P23" s="15">
        <f t="shared" si="1"/>
        <v>42</v>
      </c>
      <c r="R23" s="38" t="s">
        <v>91</v>
      </c>
      <c r="S23" s="39">
        <f>MAX(S13:S18)</f>
        <v>40</v>
      </c>
      <c r="T23" s="39">
        <f t="shared" ref="T23:AF23" si="15">MAX(T13:T18)</f>
        <v>22</v>
      </c>
      <c r="U23" s="39">
        <f t="shared" si="15"/>
        <v>23</v>
      </c>
      <c r="V23" s="39">
        <f t="shared" si="15"/>
        <v>41</v>
      </c>
      <c r="W23" s="39">
        <f t="shared" si="15"/>
        <v>2</v>
      </c>
      <c r="X23" s="39">
        <f t="shared" si="15"/>
        <v>6</v>
      </c>
      <c r="Y23" s="39">
        <f t="shared" si="15"/>
        <v>11</v>
      </c>
      <c r="Z23" s="39">
        <f t="shared" si="15"/>
        <v>15</v>
      </c>
      <c r="AA23" s="39">
        <f t="shared" si="15"/>
        <v>25</v>
      </c>
      <c r="AB23" s="39">
        <f t="shared" si="15"/>
        <v>29</v>
      </c>
      <c r="AC23" s="39">
        <f t="shared" si="15"/>
        <v>83</v>
      </c>
      <c r="AD23" s="39">
        <f t="shared" si="15"/>
        <v>0</v>
      </c>
      <c r="AE23" s="40">
        <f t="shared" si="15"/>
        <v>199</v>
      </c>
      <c r="AF23" s="40">
        <f t="shared" si="15"/>
        <v>276</v>
      </c>
    </row>
    <row r="24" spans="2:32" ht="23.1" customHeight="1" x14ac:dyDescent="0.25">
      <c r="B24" s="23" t="s">
        <v>51</v>
      </c>
      <c r="C24" s="50">
        <v>10</v>
      </c>
      <c r="D24" s="50">
        <v>5</v>
      </c>
      <c r="E24" s="50">
        <v>3</v>
      </c>
      <c r="F24" s="50">
        <v>10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3</v>
      </c>
      <c r="M24" s="50">
        <v>9</v>
      </c>
      <c r="N24" s="50">
        <v>0</v>
      </c>
      <c r="O24" s="15">
        <f t="shared" si="0"/>
        <v>35</v>
      </c>
      <c r="P24" s="15">
        <f t="shared" si="1"/>
        <v>44</v>
      </c>
      <c r="R24" s="38" t="s">
        <v>92</v>
      </c>
      <c r="S24" s="39">
        <f>MAX(S19:S21)</f>
        <v>28</v>
      </c>
      <c r="T24" s="39">
        <f t="shared" ref="T24:AF24" si="16">MAX(T19:T21)</f>
        <v>16</v>
      </c>
      <c r="U24" s="39">
        <f t="shared" si="16"/>
        <v>13</v>
      </c>
      <c r="V24" s="39">
        <f t="shared" si="16"/>
        <v>19</v>
      </c>
      <c r="W24" s="39">
        <f t="shared" si="16"/>
        <v>3</v>
      </c>
      <c r="X24" s="39">
        <f t="shared" si="16"/>
        <v>4</v>
      </c>
      <c r="Y24" s="39">
        <f t="shared" si="16"/>
        <v>12</v>
      </c>
      <c r="Z24" s="39">
        <f t="shared" si="16"/>
        <v>13</v>
      </c>
      <c r="AA24" s="39">
        <f t="shared" si="16"/>
        <v>9</v>
      </c>
      <c r="AB24" s="39">
        <f t="shared" si="16"/>
        <v>13</v>
      </c>
      <c r="AC24" s="39">
        <f t="shared" si="16"/>
        <v>79</v>
      </c>
      <c r="AD24" s="39">
        <f t="shared" si="16"/>
        <v>0</v>
      </c>
      <c r="AE24" s="40">
        <f t="shared" si="16"/>
        <v>116</v>
      </c>
      <c r="AF24" s="40">
        <f t="shared" si="16"/>
        <v>195</v>
      </c>
    </row>
    <row r="25" spans="2:32" ht="23.1" customHeight="1" x14ac:dyDescent="0.25">
      <c r="B25" s="23" t="s">
        <v>52</v>
      </c>
      <c r="C25" s="50">
        <v>10</v>
      </c>
      <c r="D25" s="50">
        <v>4</v>
      </c>
      <c r="E25" s="50">
        <v>1</v>
      </c>
      <c r="F25" s="50">
        <v>2</v>
      </c>
      <c r="G25" s="50">
        <v>0</v>
      </c>
      <c r="H25" s="50">
        <v>0</v>
      </c>
      <c r="I25" s="50">
        <v>3</v>
      </c>
      <c r="J25" s="50">
        <v>0</v>
      </c>
      <c r="K25" s="50">
        <v>1</v>
      </c>
      <c r="L25" s="50">
        <v>0</v>
      </c>
      <c r="M25" s="50">
        <v>27</v>
      </c>
      <c r="N25" s="50">
        <v>0</v>
      </c>
      <c r="O25" s="15">
        <f t="shared" si="0"/>
        <v>21</v>
      </c>
      <c r="P25" s="15">
        <f t="shared" si="1"/>
        <v>48</v>
      </c>
      <c r="R25" s="37" t="s">
        <v>85</v>
      </c>
      <c r="S25" s="35">
        <f t="shared" ref="S25:AF25" si="17">SUM(S10:S12)</f>
        <v>57</v>
      </c>
      <c r="T25" s="16">
        <f t="shared" si="17"/>
        <v>25</v>
      </c>
      <c r="U25" s="16">
        <f t="shared" si="17"/>
        <v>16</v>
      </c>
      <c r="V25" s="16">
        <f t="shared" si="17"/>
        <v>42</v>
      </c>
      <c r="W25" s="16">
        <f t="shared" si="17"/>
        <v>4</v>
      </c>
      <c r="X25" s="16">
        <f t="shared" si="17"/>
        <v>0</v>
      </c>
      <c r="Y25" s="16">
        <f t="shared" si="17"/>
        <v>14</v>
      </c>
      <c r="Z25" s="16">
        <f t="shared" si="17"/>
        <v>12</v>
      </c>
      <c r="AA25" s="16">
        <f t="shared" si="17"/>
        <v>9</v>
      </c>
      <c r="AB25" s="16">
        <f t="shared" si="17"/>
        <v>19</v>
      </c>
      <c r="AC25" s="16">
        <f t="shared" si="17"/>
        <v>139</v>
      </c>
      <c r="AD25" s="16">
        <f t="shared" si="17"/>
        <v>0</v>
      </c>
      <c r="AE25" s="32">
        <f t="shared" si="17"/>
        <v>198</v>
      </c>
      <c r="AF25" s="32">
        <f t="shared" si="17"/>
        <v>337</v>
      </c>
    </row>
    <row r="26" spans="2:32" ht="23.1" customHeight="1" x14ac:dyDescent="0.25">
      <c r="B26" s="23" t="s">
        <v>53</v>
      </c>
      <c r="C26" s="50">
        <v>5</v>
      </c>
      <c r="D26" s="50">
        <v>0</v>
      </c>
      <c r="E26" s="50">
        <v>1</v>
      </c>
      <c r="F26" s="50">
        <v>5</v>
      </c>
      <c r="G26" s="50">
        <v>1</v>
      </c>
      <c r="H26" s="50">
        <v>0</v>
      </c>
      <c r="I26" s="50">
        <v>0</v>
      </c>
      <c r="J26" s="50">
        <v>0</v>
      </c>
      <c r="K26" s="50">
        <v>0</v>
      </c>
      <c r="L26" s="50">
        <v>3</v>
      </c>
      <c r="M26" s="50">
        <v>16</v>
      </c>
      <c r="N26" s="50">
        <v>0</v>
      </c>
      <c r="O26" s="15">
        <f t="shared" si="0"/>
        <v>15</v>
      </c>
      <c r="P26" s="15">
        <f t="shared" si="1"/>
        <v>31</v>
      </c>
      <c r="R26" s="28" t="s">
        <v>86</v>
      </c>
      <c r="S26" s="16">
        <f t="shared" ref="S26:AF26" si="18">SUM(S13:S18)</f>
        <v>184</v>
      </c>
      <c r="T26" s="16">
        <f t="shared" si="18"/>
        <v>93</v>
      </c>
      <c r="U26" s="16">
        <f t="shared" si="18"/>
        <v>76</v>
      </c>
      <c r="V26" s="16">
        <f t="shared" si="18"/>
        <v>161</v>
      </c>
      <c r="W26" s="16">
        <f t="shared" si="18"/>
        <v>7</v>
      </c>
      <c r="X26" s="16">
        <f t="shared" si="18"/>
        <v>15</v>
      </c>
      <c r="Y26" s="16">
        <f t="shared" si="18"/>
        <v>47</v>
      </c>
      <c r="Z26" s="16">
        <f t="shared" si="18"/>
        <v>42</v>
      </c>
      <c r="AA26" s="16">
        <f t="shared" si="18"/>
        <v>73</v>
      </c>
      <c r="AB26" s="16">
        <f t="shared" si="18"/>
        <v>99</v>
      </c>
      <c r="AC26" s="16">
        <f t="shared" si="18"/>
        <v>404</v>
      </c>
      <c r="AD26" s="16">
        <f t="shared" si="18"/>
        <v>0</v>
      </c>
      <c r="AE26" s="32">
        <f t="shared" si="18"/>
        <v>797</v>
      </c>
      <c r="AF26" s="32">
        <f t="shared" si="18"/>
        <v>1201</v>
      </c>
    </row>
    <row r="27" spans="2:32" ht="23.1" customHeight="1" x14ac:dyDescent="0.25">
      <c r="B27" s="23" t="s">
        <v>54</v>
      </c>
      <c r="C27" s="50">
        <v>11</v>
      </c>
      <c r="D27" s="50">
        <v>2</v>
      </c>
      <c r="E27" s="50">
        <v>4</v>
      </c>
      <c r="F27" s="50">
        <v>6</v>
      </c>
      <c r="G27" s="50">
        <v>1</v>
      </c>
      <c r="H27" s="50">
        <v>3</v>
      </c>
      <c r="I27" s="50">
        <v>1</v>
      </c>
      <c r="J27" s="50">
        <v>0</v>
      </c>
      <c r="K27" s="50">
        <v>2</v>
      </c>
      <c r="L27" s="50">
        <v>2</v>
      </c>
      <c r="M27" s="50">
        <v>23</v>
      </c>
      <c r="N27" s="50">
        <v>0</v>
      </c>
      <c r="O27" s="15">
        <f t="shared" si="0"/>
        <v>32</v>
      </c>
      <c r="P27" s="15">
        <f t="shared" si="1"/>
        <v>55</v>
      </c>
      <c r="R27" s="29" t="s">
        <v>87</v>
      </c>
      <c r="S27" s="16">
        <f t="shared" ref="S27:AF27" si="19">SUM(S19:S21)</f>
        <v>66</v>
      </c>
      <c r="T27" s="16">
        <f t="shared" si="19"/>
        <v>35</v>
      </c>
      <c r="U27" s="16">
        <f t="shared" si="19"/>
        <v>22</v>
      </c>
      <c r="V27" s="16">
        <f t="shared" si="19"/>
        <v>50</v>
      </c>
      <c r="W27" s="16">
        <f t="shared" si="19"/>
        <v>5</v>
      </c>
      <c r="X27" s="16">
        <f t="shared" si="19"/>
        <v>8</v>
      </c>
      <c r="Y27" s="16">
        <f t="shared" si="19"/>
        <v>22</v>
      </c>
      <c r="Z27" s="16">
        <f t="shared" si="19"/>
        <v>15</v>
      </c>
      <c r="AA27" s="16">
        <f t="shared" si="19"/>
        <v>12</v>
      </c>
      <c r="AB27" s="16">
        <f t="shared" si="19"/>
        <v>21</v>
      </c>
      <c r="AC27" s="16">
        <f t="shared" si="19"/>
        <v>180</v>
      </c>
      <c r="AD27" s="16">
        <f t="shared" si="19"/>
        <v>0</v>
      </c>
      <c r="AE27" s="32">
        <f t="shared" si="19"/>
        <v>256</v>
      </c>
      <c r="AF27" s="32">
        <f t="shared" si="19"/>
        <v>436</v>
      </c>
    </row>
    <row r="28" spans="2:32" ht="23.1" customHeight="1" x14ac:dyDescent="0.25">
      <c r="B28" s="23" t="s">
        <v>55</v>
      </c>
      <c r="C28" s="50">
        <v>5</v>
      </c>
      <c r="D28" s="50">
        <v>5</v>
      </c>
      <c r="E28" s="50">
        <v>1</v>
      </c>
      <c r="F28" s="50">
        <v>4</v>
      </c>
      <c r="G28" s="50">
        <v>0</v>
      </c>
      <c r="H28" s="50">
        <v>0</v>
      </c>
      <c r="I28" s="50">
        <v>2</v>
      </c>
      <c r="J28" s="50">
        <v>0</v>
      </c>
      <c r="K28" s="50">
        <v>2</v>
      </c>
      <c r="L28" s="50">
        <v>3</v>
      </c>
      <c r="M28" s="50">
        <v>13</v>
      </c>
      <c r="N28" s="50">
        <v>0</v>
      </c>
      <c r="O28" s="15">
        <f t="shared" si="0"/>
        <v>22</v>
      </c>
      <c r="P28" s="15">
        <f t="shared" si="1"/>
        <v>35</v>
      </c>
      <c r="R28" s="5" t="s">
        <v>17</v>
      </c>
      <c r="S28" s="16">
        <f t="shared" ref="S28:AF28" si="20">SUM(S10:S21)</f>
        <v>307</v>
      </c>
      <c r="T28" s="16">
        <f t="shared" si="20"/>
        <v>153</v>
      </c>
      <c r="U28" s="16">
        <f t="shared" si="20"/>
        <v>114</v>
      </c>
      <c r="V28" s="16">
        <f t="shared" si="20"/>
        <v>253</v>
      </c>
      <c r="W28" s="16">
        <f t="shared" si="20"/>
        <v>16</v>
      </c>
      <c r="X28" s="16">
        <f t="shared" si="20"/>
        <v>23</v>
      </c>
      <c r="Y28" s="16">
        <f t="shared" si="20"/>
        <v>83</v>
      </c>
      <c r="Z28" s="16">
        <f t="shared" si="20"/>
        <v>69</v>
      </c>
      <c r="AA28" s="16">
        <f t="shared" si="20"/>
        <v>94</v>
      </c>
      <c r="AB28" s="16">
        <f t="shared" si="20"/>
        <v>139</v>
      </c>
      <c r="AC28" s="16">
        <f t="shared" si="20"/>
        <v>723</v>
      </c>
      <c r="AD28" s="16">
        <f t="shared" si="20"/>
        <v>0</v>
      </c>
      <c r="AE28" s="32">
        <f t="shared" si="20"/>
        <v>1251</v>
      </c>
      <c r="AF28" s="32">
        <f t="shared" si="20"/>
        <v>1974</v>
      </c>
    </row>
    <row r="29" spans="2:32" ht="23.1" customHeight="1" x14ac:dyDescent="0.25">
      <c r="B29" s="23" t="s">
        <v>56</v>
      </c>
      <c r="C29" s="50">
        <v>9</v>
      </c>
      <c r="D29" s="50">
        <v>4</v>
      </c>
      <c r="E29" s="50">
        <v>0</v>
      </c>
      <c r="F29" s="50">
        <v>4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3</v>
      </c>
      <c r="M29" s="50">
        <v>31</v>
      </c>
      <c r="N29" s="50">
        <v>0</v>
      </c>
      <c r="O29" s="15">
        <f t="shared" si="0"/>
        <v>23</v>
      </c>
      <c r="P29" s="15">
        <f t="shared" si="1"/>
        <v>54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2</v>
      </c>
      <c r="E30" s="50">
        <v>0</v>
      </c>
      <c r="F30" s="50">
        <v>5</v>
      </c>
      <c r="G30" s="50">
        <v>0</v>
      </c>
      <c r="H30" s="50">
        <v>1</v>
      </c>
      <c r="I30" s="50">
        <v>4</v>
      </c>
      <c r="J30" s="50">
        <v>2</v>
      </c>
      <c r="K30" s="50">
        <v>7</v>
      </c>
      <c r="L30" s="50">
        <v>0</v>
      </c>
      <c r="M30" s="50">
        <v>17</v>
      </c>
      <c r="N30" s="50">
        <v>0</v>
      </c>
      <c r="O30" s="15">
        <f t="shared" si="0"/>
        <v>26</v>
      </c>
      <c r="P30" s="15">
        <f t="shared" si="1"/>
        <v>43</v>
      </c>
    </row>
    <row r="31" spans="2:32" ht="23.1" customHeight="1" x14ac:dyDescent="0.25">
      <c r="B31" s="24" t="s">
        <v>58</v>
      </c>
      <c r="C31" s="50">
        <v>8</v>
      </c>
      <c r="D31" s="50">
        <v>10</v>
      </c>
      <c r="E31" s="50">
        <v>4</v>
      </c>
      <c r="F31" s="50">
        <v>9</v>
      </c>
      <c r="G31" s="50">
        <v>1</v>
      </c>
      <c r="H31" s="50">
        <v>2</v>
      </c>
      <c r="I31" s="50">
        <v>1</v>
      </c>
      <c r="J31" s="50">
        <v>4</v>
      </c>
      <c r="K31" s="50">
        <v>3</v>
      </c>
      <c r="L31" s="50">
        <v>6</v>
      </c>
      <c r="M31" s="50">
        <v>21</v>
      </c>
      <c r="N31" s="50">
        <v>0</v>
      </c>
      <c r="O31" s="15">
        <f t="shared" si="0"/>
        <v>48</v>
      </c>
      <c r="P31" s="15">
        <f t="shared" si="1"/>
        <v>69</v>
      </c>
    </row>
    <row r="32" spans="2:32" ht="23.1" customHeight="1" x14ac:dyDescent="0.25">
      <c r="B32" s="24" t="s">
        <v>59</v>
      </c>
      <c r="C32" s="50">
        <v>13</v>
      </c>
      <c r="D32" s="50">
        <v>6</v>
      </c>
      <c r="E32" s="50">
        <v>7</v>
      </c>
      <c r="F32" s="50">
        <v>6</v>
      </c>
      <c r="G32" s="50">
        <v>0</v>
      </c>
      <c r="H32" s="50">
        <v>0</v>
      </c>
      <c r="I32" s="50">
        <v>0</v>
      </c>
      <c r="J32" s="50">
        <v>2</v>
      </c>
      <c r="K32" s="50">
        <v>1</v>
      </c>
      <c r="L32" s="50">
        <v>4</v>
      </c>
      <c r="M32" s="50">
        <v>11</v>
      </c>
      <c r="N32" s="50">
        <v>0</v>
      </c>
      <c r="O32" s="15">
        <f t="shared" si="0"/>
        <v>39</v>
      </c>
      <c r="P32" s="15">
        <f t="shared" si="1"/>
        <v>50</v>
      </c>
    </row>
    <row r="33" spans="2:20" ht="23.1" customHeight="1" x14ac:dyDescent="0.25">
      <c r="B33" s="23" t="s">
        <v>60</v>
      </c>
      <c r="C33" s="50">
        <v>4</v>
      </c>
      <c r="D33" s="50">
        <v>2</v>
      </c>
      <c r="E33" s="50">
        <v>1</v>
      </c>
      <c r="F33" s="50">
        <v>4</v>
      </c>
      <c r="G33" s="50">
        <v>0</v>
      </c>
      <c r="H33" s="50">
        <v>3</v>
      </c>
      <c r="I33" s="50">
        <v>2</v>
      </c>
      <c r="J33" s="50">
        <v>3</v>
      </c>
      <c r="K33" s="50">
        <v>0</v>
      </c>
      <c r="L33" s="50">
        <v>5</v>
      </c>
      <c r="M33" s="50">
        <v>15</v>
      </c>
      <c r="N33" s="50">
        <v>0</v>
      </c>
      <c r="O33" s="15">
        <f t="shared" si="0"/>
        <v>24</v>
      </c>
      <c r="P33" s="15">
        <f t="shared" si="1"/>
        <v>39</v>
      </c>
    </row>
    <row r="34" spans="2:20" ht="23.1" customHeight="1" x14ac:dyDescent="0.25">
      <c r="B34" s="24" t="s">
        <v>61</v>
      </c>
      <c r="C34" s="50">
        <v>6</v>
      </c>
      <c r="D34" s="50">
        <v>3</v>
      </c>
      <c r="E34" s="50">
        <v>7</v>
      </c>
      <c r="F34" s="50">
        <v>11</v>
      </c>
      <c r="G34" s="50">
        <v>0</v>
      </c>
      <c r="H34" s="50">
        <v>1</v>
      </c>
      <c r="I34" s="50">
        <v>4</v>
      </c>
      <c r="J34" s="50">
        <v>2</v>
      </c>
      <c r="K34" s="50">
        <v>8</v>
      </c>
      <c r="L34" s="50">
        <v>5</v>
      </c>
      <c r="M34" s="50">
        <v>32</v>
      </c>
      <c r="N34" s="50">
        <v>0</v>
      </c>
      <c r="O34" s="15">
        <f t="shared" si="0"/>
        <v>47</v>
      </c>
      <c r="P34" s="15">
        <f t="shared" si="1"/>
        <v>79</v>
      </c>
    </row>
    <row r="35" spans="2:20" ht="23.1" customHeight="1" x14ac:dyDescent="0.25">
      <c r="B35" s="24" t="s">
        <v>62</v>
      </c>
      <c r="C35" s="50">
        <v>10</v>
      </c>
      <c r="D35" s="50">
        <v>9</v>
      </c>
      <c r="E35" s="50">
        <v>4</v>
      </c>
      <c r="F35" s="50">
        <v>20</v>
      </c>
      <c r="G35" s="50">
        <v>0</v>
      </c>
      <c r="H35" s="50">
        <v>3</v>
      </c>
      <c r="I35" s="50">
        <v>0</v>
      </c>
      <c r="J35" s="50">
        <v>0</v>
      </c>
      <c r="K35" s="50">
        <v>5</v>
      </c>
      <c r="L35" s="50">
        <v>12</v>
      </c>
      <c r="M35" s="50">
        <v>23</v>
      </c>
      <c r="N35" s="50">
        <v>0</v>
      </c>
      <c r="O35" s="15">
        <f t="shared" si="0"/>
        <v>63</v>
      </c>
      <c r="P35" s="15">
        <f t="shared" si="1"/>
        <v>86</v>
      </c>
    </row>
    <row r="36" spans="2:20" ht="23.1" customHeight="1" x14ac:dyDescent="0.25">
      <c r="B36" s="24" t="s">
        <v>63</v>
      </c>
      <c r="C36" s="50">
        <v>7</v>
      </c>
      <c r="D36" s="50">
        <v>3</v>
      </c>
      <c r="E36" s="50">
        <v>10</v>
      </c>
      <c r="F36" s="50">
        <v>8</v>
      </c>
      <c r="G36" s="50">
        <v>0</v>
      </c>
      <c r="H36" s="50">
        <v>0</v>
      </c>
      <c r="I36" s="50">
        <v>0</v>
      </c>
      <c r="J36" s="50">
        <v>3</v>
      </c>
      <c r="K36" s="50">
        <v>9</v>
      </c>
      <c r="L36" s="50">
        <v>8</v>
      </c>
      <c r="M36" s="50">
        <v>13</v>
      </c>
      <c r="N36" s="50">
        <v>0</v>
      </c>
      <c r="O36" s="15">
        <f t="shared" si="0"/>
        <v>48</v>
      </c>
      <c r="P36" s="15">
        <f t="shared" si="1"/>
        <v>61</v>
      </c>
    </row>
    <row r="37" spans="2:20" ht="23.1" customHeight="1" x14ac:dyDescent="0.25">
      <c r="B37" s="23" t="s">
        <v>64</v>
      </c>
      <c r="C37" s="50">
        <v>17</v>
      </c>
      <c r="D37" s="50">
        <v>7</v>
      </c>
      <c r="E37" s="50">
        <v>2</v>
      </c>
      <c r="F37" s="50">
        <v>2</v>
      </c>
      <c r="G37" s="50">
        <v>1</v>
      </c>
      <c r="H37" s="50">
        <v>0</v>
      </c>
      <c r="I37" s="50">
        <v>4</v>
      </c>
      <c r="J37" s="50">
        <v>1</v>
      </c>
      <c r="K37" s="50">
        <v>3</v>
      </c>
      <c r="L37" s="50">
        <v>4</v>
      </c>
      <c r="M37" s="50">
        <v>9</v>
      </c>
      <c r="N37" s="50">
        <v>0</v>
      </c>
      <c r="O37" s="15">
        <f t="shared" si="0"/>
        <v>41</v>
      </c>
      <c r="P37" s="15">
        <f t="shared" si="1"/>
        <v>50</v>
      </c>
    </row>
    <row r="38" spans="2:20" ht="23.1" customHeight="1" x14ac:dyDescent="0.25">
      <c r="B38" s="24" t="s">
        <v>65</v>
      </c>
      <c r="C38" s="50">
        <v>7</v>
      </c>
      <c r="D38" s="50">
        <v>3</v>
      </c>
      <c r="E38" s="50">
        <v>2</v>
      </c>
      <c r="F38" s="50">
        <v>12</v>
      </c>
      <c r="G38" s="50">
        <v>0</v>
      </c>
      <c r="H38" s="50">
        <v>2</v>
      </c>
      <c r="I38" s="50">
        <v>4</v>
      </c>
      <c r="J38" s="50">
        <v>2</v>
      </c>
      <c r="K38" s="50">
        <v>5</v>
      </c>
      <c r="L38" s="50">
        <v>7</v>
      </c>
      <c r="M38" s="50">
        <v>6</v>
      </c>
      <c r="N38" s="50">
        <v>0</v>
      </c>
      <c r="O38" s="15">
        <f t="shared" si="0"/>
        <v>44</v>
      </c>
      <c r="P38" s="15">
        <f t="shared" si="1"/>
        <v>50</v>
      </c>
    </row>
    <row r="39" spans="2:20" ht="23.1" customHeight="1" x14ac:dyDescent="0.25">
      <c r="B39" s="24" t="s">
        <v>66</v>
      </c>
      <c r="C39" s="50">
        <v>4</v>
      </c>
      <c r="D39" s="50">
        <v>10</v>
      </c>
      <c r="E39" s="50">
        <v>7</v>
      </c>
      <c r="F39" s="50">
        <v>9</v>
      </c>
      <c r="G39" s="50">
        <v>1</v>
      </c>
      <c r="H39" s="50">
        <v>0</v>
      </c>
      <c r="I39" s="50">
        <v>1</v>
      </c>
      <c r="J39" s="50">
        <v>10</v>
      </c>
      <c r="K39" s="50">
        <v>7</v>
      </c>
      <c r="L39" s="50">
        <v>4</v>
      </c>
      <c r="M39" s="50">
        <v>11</v>
      </c>
      <c r="N39" s="50">
        <v>0</v>
      </c>
      <c r="O39" s="15">
        <f t="shared" si="0"/>
        <v>53</v>
      </c>
      <c r="P39" s="15">
        <f t="shared" si="1"/>
        <v>64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2</v>
      </c>
      <c r="F40" s="50">
        <v>4</v>
      </c>
      <c r="G40" s="50">
        <v>0</v>
      </c>
      <c r="H40" s="50">
        <v>0</v>
      </c>
      <c r="I40" s="50">
        <v>0</v>
      </c>
      <c r="J40" s="50">
        <v>1</v>
      </c>
      <c r="K40" s="50">
        <v>3</v>
      </c>
      <c r="L40" s="50">
        <v>8</v>
      </c>
      <c r="M40" s="50">
        <v>11</v>
      </c>
      <c r="N40" s="50">
        <v>0</v>
      </c>
      <c r="O40" s="15">
        <f t="shared" si="0"/>
        <v>21</v>
      </c>
      <c r="P40" s="15">
        <f t="shared" si="1"/>
        <v>32</v>
      </c>
    </row>
    <row r="41" spans="2:20" ht="23.1" customHeight="1" x14ac:dyDescent="0.25">
      <c r="B41" s="23" t="s">
        <v>68</v>
      </c>
      <c r="C41" s="50">
        <v>5</v>
      </c>
      <c r="D41" s="50">
        <v>3</v>
      </c>
      <c r="E41" s="50">
        <v>4</v>
      </c>
      <c r="F41" s="50">
        <v>5</v>
      </c>
      <c r="G41" s="50">
        <v>0</v>
      </c>
      <c r="H41" s="50">
        <v>0</v>
      </c>
      <c r="I41" s="50">
        <v>0</v>
      </c>
      <c r="J41" s="50">
        <v>2</v>
      </c>
      <c r="K41" s="50">
        <v>7</v>
      </c>
      <c r="L41" s="50">
        <v>4</v>
      </c>
      <c r="M41" s="50">
        <v>18</v>
      </c>
      <c r="N41" s="50">
        <v>0</v>
      </c>
      <c r="O41" s="15">
        <f t="shared" si="0"/>
        <v>30</v>
      </c>
      <c r="P41" s="15">
        <f t="shared" si="1"/>
        <v>48</v>
      </c>
    </row>
    <row r="42" spans="2:20" ht="23.1" customHeight="1" x14ac:dyDescent="0.25">
      <c r="B42" s="24" t="s">
        <v>69</v>
      </c>
      <c r="C42" s="50">
        <v>4</v>
      </c>
      <c r="D42" s="50">
        <v>2</v>
      </c>
      <c r="E42" s="50">
        <v>3</v>
      </c>
      <c r="F42" s="50">
        <v>7</v>
      </c>
      <c r="G42" s="50">
        <v>1</v>
      </c>
      <c r="H42" s="50">
        <v>0</v>
      </c>
      <c r="I42" s="50">
        <v>5</v>
      </c>
      <c r="J42" s="50">
        <v>3</v>
      </c>
      <c r="K42" s="50">
        <v>4</v>
      </c>
      <c r="L42" s="50">
        <v>5</v>
      </c>
      <c r="M42" s="50">
        <v>12</v>
      </c>
      <c r="N42" s="50">
        <v>0</v>
      </c>
      <c r="O42" s="15">
        <f t="shared" si="0"/>
        <v>34</v>
      </c>
      <c r="P42" s="15">
        <f t="shared" si="1"/>
        <v>46</v>
      </c>
    </row>
    <row r="43" spans="2:20" ht="23.1" customHeight="1" x14ac:dyDescent="0.25">
      <c r="B43" s="23" t="s">
        <v>70</v>
      </c>
      <c r="C43" s="50">
        <v>6</v>
      </c>
      <c r="D43" s="50">
        <v>1</v>
      </c>
      <c r="E43" s="50">
        <v>2</v>
      </c>
      <c r="F43" s="50">
        <v>3</v>
      </c>
      <c r="G43" s="50">
        <v>0</v>
      </c>
      <c r="H43" s="50">
        <v>0</v>
      </c>
      <c r="I43" s="50">
        <v>3</v>
      </c>
      <c r="J43" s="50">
        <v>0</v>
      </c>
      <c r="K43" s="50">
        <v>1</v>
      </c>
      <c r="L43" s="50">
        <v>3</v>
      </c>
      <c r="M43" s="50">
        <v>17</v>
      </c>
      <c r="N43" s="50">
        <v>0</v>
      </c>
      <c r="O43" s="15">
        <f t="shared" si="0"/>
        <v>19</v>
      </c>
      <c r="P43" s="15">
        <f t="shared" si="1"/>
        <v>36</v>
      </c>
    </row>
    <row r="44" spans="2:20" ht="23.1" customHeight="1" x14ac:dyDescent="0.25">
      <c r="B44" s="25" t="s">
        <v>71</v>
      </c>
      <c r="C44" s="50">
        <v>11</v>
      </c>
      <c r="D44" s="50">
        <v>6</v>
      </c>
      <c r="E44" s="50">
        <v>4</v>
      </c>
      <c r="F44" s="50">
        <v>6</v>
      </c>
      <c r="G44" s="50">
        <v>0</v>
      </c>
      <c r="H44" s="50">
        <v>0</v>
      </c>
      <c r="I44" s="50">
        <v>2</v>
      </c>
      <c r="J44" s="50">
        <v>1</v>
      </c>
      <c r="K44" s="50">
        <v>0</v>
      </c>
      <c r="L44" s="50">
        <v>1</v>
      </c>
      <c r="M44" s="50">
        <v>15</v>
      </c>
      <c r="N44" s="50">
        <v>0</v>
      </c>
      <c r="O44" s="15">
        <f t="shared" si="0"/>
        <v>31</v>
      </c>
      <c r="P44" s="15">
        <f t="shared" si="1"/>
        <v>46</v>
      </c>
    </row>
    <row r="45" spans="2:20" ht="23.1" customHeight="1" x14ac:dyDescent="0.25">
      <c r="B45" s="23" t="s">
        <v>72</v>
      </c>
      <c r="C45" s="50">
        <v>10</v>
      </c>
      <c r="D45" s="50">
        <v>2</v>
      </c>
      <c r="E45" s="50">
        <v>1</v>
      </c>
      <c r="F45" s="50">
        <v>5</v>
      </c>
      <c r="G45" s="50">
        <v>1</v>
      </c>
      <c r="H45" s="50">
        <v>0</v>
      </c>
      <c r="I45" s="50">
        <v>1</v>
      </c>
      <c r="J45" s="50">
        <v>2</v>
      </c>
      <c r="K45" s="50">
        <v>0</v>
      </c>
      <c r="L45" s="50">
        <v>0</v>
      </c>
      <c r="M45" s="50">
        <v>25</v>
      </c>
      <c r="N45" s="50">
        <v>0</v>
      </c>
      <c r="O45" s="15">
        <f t="shared" si="0"/>
        <v>22</v>
      </c>
      <c r="P45" s="15">
        <f t="shared" si="1"/>
        <v>47</v>
      </c>
    </row>
    <row r="46" spans="2:20" ht="23.1" customHeight="1" x14ac:dyDescent="0.25">
      <c r="B46" s="24" t="s">
        <v>73</v>
      </c>
      <c r="C46" s="50">
        <v>9</v>
      </c>
      <c r="D46" s="50">
        <v>3</v>
      </c>
      <c r="E46" s="50">
        <v>1</v>
      </c>
      <c r="F46" s="50">
        <v>6</v>
      </c>
      <c r="G46" s="50">
        <v>2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32</v>
      </c>
      <c r="N46" s="50">
        <v>0</v>
      </c>
      <c r="O46" s="15">
        <f t="shared" si="0"/>
        <v>23</v>
      </c>
      <c r="P46" s="15">
        <f t="shared" si="1"/>
        <v>55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2</v>
      </c>
      <c r="E47" s="50">
        <v>1</v>
      </c>
      <c r="F47" s="50">
        <v>8</v>
      </c>
      <c r="G47" s="50">
        <v>0</v>
      </c>
      <c r="H47" s="50">
        <v>3</v>
      </c>
      <c r="I47" s="50">
        <v>0</v>
      </c>
      <c r="J47" s="50">
        <v>0</v>
      </c>
      <c r="K47" s="50">
        <v>0</v>
      </c>
      <c r="L47" s="50">
        <v>1</v>
      </c>
      <c r="M47" s="50">
        <v>10</v>
      </c>
      <c r="N47" s="50">
        <v>0</v>
      </c>
      <c r="O47" s="15">
        <f t="shared" si="0"/>
        <v>20</v>
      </c>
      <c r="P47" s="15">
        <f t="shared" si="1"/>
        <v>30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3</v>
      </c>
      <c r="E48" s="50">
        <v>1</v>
      </c>
      <c r="F48" s="50">
        <v>0</v>
      </c>
      <c r="G48" s="50">
        <v>0</v>
      </c>
      <c r="H48" s="50">
        <v>1</v>
      </c>
      <c r="I48" s="50">
        <v>3</v>
      </c>
      <c r="J48" s="50">
        <v>0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12</v>
      </c>
      <c r="P48" s="15">
        <f t="shared" si="1"/>
        <v>27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6</v>
      </c>
      <c r="N49" s="50">
        <v>0</v>
      </c>
      <c r="O49" s="15">
        <f t="shared" si="0"/>
        <v>2</v>
      </c>
      <c r="P49" s="15">
        <f t="shared" si="1"/>
        <v>8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4</v>
      </c>
      <c r="E50" s="50">
        <v>1</v>
      </c>
      <c r="F50" s="50">
        <v>6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13</v>
      </c>
      <c r="P50" s="15">
        <f t="shared" si="1"/>
        <v>13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7</v>
      </c>
      <c r="E51" s="50">
        <v>3</v>
      </c>
      <c r="F51" s="50">
        <v>8</v>
      </c>
      <c r="G51" s="50">
        <v>0</v>
      </c>
      <c r="H51" s="50">
        <v>1</v>
      </c>
      <c r="I51" s="50">
        <v>0</v>
      </c>
      <c r="J51" s="50">
        <v>0</v>
      </c>
      <c r="K51" s="50">
        <v>3</v>
      </c>
      <c r="L51" s="50">
        <v>5</v>
      </c>
      <c r="M51" s="50">
        <v>3</v>
      </c>
      <c r="N51" s="50">
        <v>0</v>
      </c>
      <c r="O51" s="15">
        <f t="shared" si="0"/>
        <v>32</v>
      </c>
      <c r="P51" s="15">
        <f t="shared" si="1"/>
        <v>35</v>
      </c>
      <c r="R51" s="8"/>
      <c r="T51"/>
    </row>
    <row r="52" spans="2:20" ht="23.1" customHeight="1" x14ac:dyDescent="0.25">
      <c r="B52" s="24" t="s">
        <v>79</v>
      </c>
      <c r="C52" s="50">
        <v>7</v>
      </c>
      <c r="D52" s="50">
        <v>3</v>
      </c>
      <c r="E52" s="50">
        <v>0</v>
      </c>
      <c r="F52" s="50">
        <v>2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14</v>
      </c>
      <c r="N52" s="50">
        <v>0</v>
      </c>
      <c r="O52" s="15">
        <f t="shared" si="0"/>
        <v>13</v>
      </c>
      <c r="P52" s="15">
        <f t="shared" si="1"/>
        <v>27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2</v>
      </c>
      <c r="E53" s="50">
        <v>1</v>
      </c>
      <c r="F53" s="50">
        <v>3</v>
      </c>
      <c r="G53" s="50">
        <v>0</v>
      </c>
      <c r="H53" s="50">
        <v>0</v>
      </c>
      <c r="I53" s="50">
        <v>5</v>
      </c>
      <c r="J53" s="50">
        <v>0</v>
      </c>
      <c r="K53" s="50">
        <v>0</v>
      </c>
      <c r="L53" s="50">
        <v>8</v>
      </c>
      <c r="M53" s="50">
        <v>21</v>
      </c>
      <c r="N53" s="50">
        <v>0</v>
      </c>
      <c r="O53" s="15">
        <f t="shared" si="0"/>
        <v>25</v>
      </c>
      <c r="P53" s="15">
        <f t="shared" si="1"/>
        <v>46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1</v>
      </c>
      <c r="E54" s="50">
        <v>0</v>
      </c>
      <c r="F54" s="50">
        <v>1</v>
      </c>
      <c r="G54" s="50">
        <v>1</v>
      </c>
      <c r="H54" s="50">
        <v>0</v>
      </c>
      <c r="I54" s="50">
        <v>0</v>
      </c>
      <c r="J54" s="50">
        <v>0</v>
      </c>
      <c r="K54" s="50">
        <v>1</v>
      </c>
      <c r="L54" s="50">
        <v>2</v>
      </c>
      <c r="M54" s="50">
        <v>7</v>
      </c>
      <c r="N54" s="50">
        <v>0</v>
      </c>
      <c r="O54" s="15">
        <f t="shared" si="0"/>
        <v>9</v>
      </c>
      <c r="P54" s="15">
        <f t="shared" si="1"/>
        <v>16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0</v>
      </c>
      <c r="E55" s="50">
        <v>3</v>
      </c>
      <c r="F55" s="50">
        <v>0</v>
      </c>
      <c r="G55" s="50">
        <v>0</v>
      </c>
      <c r="H55" s="50">
        <v>0</v>
      </c>
      <c r="I55" s="50">
        <v>5</v>
      </c>
      <c r="J55" s="50">
        <v>3</v>
      </c>
      <c r="K55" s="50">
        <v>0</v>
      </c>
      <c r="L55" s="50">
        <v>1</v>
      </c>
      <c r="M55" s="50">
        <v>18</v>
      </c>
      <c r="N55" s="50">
        <v>0</v>
      </c>
      <c r="O55" s="15">
        <f t="shared" si="0"/>
        <v>18</v>
      </c>
      <c r="P55" s="15">
        <f t="shared" si="1"/>
        <v>36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4</v>
      </c>
      <c r="E56" s="50">
        <v>2</v>
      </c>
      <c r="F56" s="50">
        <v>4</v>
      </c>
      <c r="G56" s="50">
        <v>2</v>
      </c>
      <c r="H56" s="50">
        <v>3</v>
      </c>
      <c r="I56" s="50">
        <v>5</v>
      </c>
      <c r="J56" s="50">
        <v>2</v>
      </c>
      <c r="K56" s="50">
        <v>3</v>
      </c>
      <c r="L56" s="50">
        <v>0</v>
      </c>
      <c r="M56" s="50">
        <v>28</v>
      </c>
      <c r="N56" s="50">
        <v>0</v>
      </c>
      <c r="O56" s="15">
        <f t="shared" si="0"/>
        <v>33</v>
      </c>
      <c r="P56" s="15">
        <f t="shared" si="1"/>
        <v>61</v>
      </c>
      <c r="R56" s="8"/>
      <c r="T56"/>
    </row>
    <row r="57" spans="2:20" ht="23.1" customHeight="1" x14ac:dyDescent="0.25">
      <c r="B57" s="23" t="s">
        <v>84</v>
      </c>
      <c r="C57" s="50">
        <v>11</v>
      </c>
      <c r="D57" s="50">
        <v>6</v>
      </c>
      <c r="E57" s="50">
        <v>8</v>
      </c>
      <c r="F57" s="50">
        <v>12</v>
      </c>
      <c r="G57" s="50">
        <v>0</v>
      </c>
      <c r="H57" s="50">
        <v>0</v>
      </c>
      <c r="I57" s="50">
        <v>2</v>
      </c>
      <c r="J57" s="50">
        <v>8</v>
      </c>
      <c r="K57" s="50">
        <v>5</v>
      </c>
      <c r="L57" s="50">
        <v>4</v>
      </c>
      <c r="M57" s="50">
        <v>26</v>
      </c>
      <c r="N57" s="50">
        <v>0</v>
      </c>
      <c r="O57" s="15">
        <f t="shared" si="0"/>
        <v>56</v>
      </c>
      <c r="P57" s="15">
        <f t="shared" si="1"/>
        <v>82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307</v>
      </c>
      <c r="D58" s="16">
        <f t="shared" si="21"/>
        <v>153</v>
      </c>
      <c r="E58" s="16">
        <f t="shared" si="21"/>
        <v>114</v>
      </c>
      <c r="F58" s="16">
        <f t="shared" si="21"/>
        <v>253</v>
      </c>
      <c r="G58" s="16">
        <f t="shared" si="21"/>
        <v>16</v>
      </c>
      <c r="H58" s="16">
        <f t="shared" si="21"/>
        <v>23</v>
      </c>
      <c r="I58" s="16">
        <f t="shared" si="21"/>
        <v>83</v>
      </c>
      <c r="J58" s="16">
        <f t="shared" si="21"/>
        <v>69</v>
      </c>
      <c r="K58" s="16">
        <f t="shared" si="21"/>
        <v>94</v>
      </c>
      <c r="L58" s="16">
        <f t="shared" si="21"/>
        <v>139</v>
      </c>
      <c r="M58" s="16">
        <f t="shared" si="21"/>
        <v>723</v>
      </c>
      <c r="N58" s="16">
        <f t="shared" si="21"/>
        <v>0</v>
      </c>
      <c r="O58" s="16">
        <f t="shared" si="21"/>
        <v>1251</v>
      </c>
      <c r="P58" s="16">
        <f t="shared" si="21"/>
        <v>1974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0.15552178318135765</v>
      </c>
      <c r="D59" s="43">
        <f t="shared" si="22"/>
        <v>7.7507598784194526E-2</v>
      </c>
      <c r="E59" s="43">
        <f t="shared" si="22"/>
        <v>5.7750759878419454E-2</v>
      </c>
      <c r="F59" s="43">
        <f t="shared" si="22"/>
        <v>0.12816616008105369</v>
      </c>
      <c r="G59" s="43">
        <f t="shared" si="22"/>
        <v>8.1053698074974676E-3</v>
      </c>
      <c r="H59" s="43">
        <f t="shared" si="22"/>
        <v>1.1651469098277609E-2</v>
      </c>
      <c r="I59" s="43">
        <f t="shared" si="22"/>
        <v>4.2046605876393112E-2</v>
      </c>
      <c r="J59" s="43">
        <f t="shared" si="22"/>
        <v>3.4954407294832825E-2</v>
      </c>
      <c r="K59" s="43">
        <f t="shared" si="22"/>
        <v>4.7619047619047616E-2</v>
      </c>
      <c r="L59" s="43">
        <f t="shared" si="22"/>
        <v>7.0415400202634246E-2</v>
      </c>
      <c r="M59" s="43">
        <f t="shared" si="22"/>
        <v>0.36626139817629177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0.24540367705835331</v>
      </c>
      <c r="D60" s="44">
        <f t="shared" ref="D60:N60" si="23">D58/$O$58</f>
        <v>0.1223021582733813</v>
      </c>
      <c r="E60" s="44">
        <f t="shared" si="23"/>
        <v>9.1127098321342928E-2</v>
      </c>
      <c r="F60" s="44">
        <f t="shared" si="23"/>
        <v>0.20223820943245405</v>
      </c>
      <c r="G60" s="44">
        <f t="shared" si="23"/>
        <v>1.2789768185451638E-2</v>
      </c>
      <c r="H60" s="44">
        <f t="shared" si="23"/>
        <v>1.838529176658673E-2</v>
      </c>
      <c r="I60" s="44">
        <f t="shared" si="23"/>
        <v>6.6346922462030375E-2</v>
      </c>
      <c r="J60" s="44">
        <f t="shared" si="23"/>
        <v>5.5155875299760189E-2</v>
      </c>
      <c r="K60" s="44">
        <f t="shared" si="23"/>
        <v>7.5139888089528373E-2</v>
      </c>
      <c r="L60" s="44">
        <f t="shared" si="23"/>
        <v>0.1111111111111111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zoomScale="60" workbookViewId="0">
      <selection activeCell="I17" sqref="I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4.140625" customWidth="1"/>
    <col min="4" max="4" width="14.42578125" customWidth="1"/>
    <col min="5" max="5" width="13.5703125" customWidth="1"/>
    <col min="6" max="6" width="12.5703125" customWidth="1"/>
    <col min="7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'27.10 Kabale-Mbarara'!C3:G3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7" customHeight="1" x14ac:dyDescent="0.25">
      <c r="C5" s="4" t="s">
        <v>3</v>
      </c>
      <c r="D5" s="36" t="str">
        <f>'1.11 Mbarara-Kabale'!D5</f>
        <v>1.11.19</v>
      </c>
      <c r="E5" s="3"/>
      <c r="F5" s="41" t="s">
        <v>1</v>
      </c>
      <c r="G5" s="63" t="str">
        <f>'1.11 Mbarara-Kabale'!G5:H5</f>
        <v>Nyeihanga traffic station</v>
      </c>
      <c r="H5" s="64"/>
      <c r="I5" s="14"/>
      <c r="J5" s="2" t="s">
        <v>5</v>
      </c>
      <c r="K5" s="63" t="str">
        <f>'31.10 Mbarara-Kabale-24hr'!K5:L5</f>
        <v>Onesmus, Justine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'27.10 Kabale-Mbarara'!D6:E6</f>
        <v>Kabale</v>
      </c>
      <c r="E6" s="64"/>
      <c r="F6" s="2" t="s">
        <v>2</v>
      </c>
      <c r="G6" s="63" t="str">
        <f>'27.10 Kabale-Mbarara'!G6:H6</f>
        <v>Mbarara</v>
      </c>
      <c r="H6" s="64"/>
      <c r="J6" s="2" t="s">
        <v>21</v>
      </c>
      <c r="K6" s="63" t="str">
        <f>'1.11 Mbarara-Kabale'!K6:L6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0</v>
      </c>
      <c r="F10" s="50">
        <v>4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2</v>
      </c>
      <c r="M10" s="50">
        <v>7</v>
      </c>
      <c r="N10" s="50">
        <v>0</v>
      </c>
      <c r="O10" s="15">
        <f t="shared" ref="O10:O57" si="0">SUM(C10:L10,N10)</f>
        <v>10</v>
      </c>
      <c r="P10" s="15">
        <f t="shared" ref="P10:P57" si="1">SUM(C10:N10)</f>
        <v>17</v>
      </c>
      <c r="R10" s="1" t="s">
        <v>6</v>
      </c>
      <c r="S10" s="17">
        <f t="shared" ref="S10:AF10" si="2">SUM(C10:C13)</f>
        <v>11</v>
      </c>
      <c r="T10" s="17">
        <f t="shared" si="2"/>
        <v>1</v>
      </c>
      <c r="U10" s="17">
        <f t="shared" si="2"/>
        <v>1</v>
      </c>
      <c r="V10" s="17">
        <f t="shared" si="2"/>
        <v>13</v>
      </c>
      <c r="W10" s="17">
        <f t="shared" si="2"/>
        <v>0</v>
      </c>
      <c r="X10" s="17">
        <f t="shared" si="2"/>
        <v>2</v>
      </c>
      <c r="Y10" s="17">
        <f t="shared" si="2"/>
        <v>2</v>
      </c>
      <c r="Z10" s="17">
        <f t="shared" si="2"/>
        <v>1</v>
      </c>
      <c r="AA10" s="17">
        <f t="shared" si="2"/>
        <v>5</v>
      </c>
      <c r="AB10" s="17">
        <f t="shared" si="2"/>
        <v>13</v>
      </c>
      <c r="AC10" s="17">
        <f t="shared" si="2"/>
        <v>41</v>
      </c>
      <c r="AD10" s="17">
        <f t="shared" si="2"/>
        <v>0</v>
      </c>
      <c r="AE10" s="31">
        <f t="shared" si="2"/>
        <v>49</v>
      </c>
      <c r="AF10" s="31">
        <f t="shared" si="2"/>
        <v>90</v>
      </c>
    </row>
    <row r="11" spans="2:32" s="6" customFormat="1" ht="23.1" customHeight="1" x14ac:dyDescent="0.25">
      <c r="B11" s="23" t="s">
        <v>38</v>
      </c>
      <c r="C11" s="50">
        <v>1</v>
      </c>
      <c r="D11" s="50">
        <v>1</v>
      </c>
      <c r="E11" s="50">
        <v>0</v>
      </c>
      <c r="F11" s="50">
        <v>3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3</v>
      </c>
      <c r="M11" s="50">
        <v>16</v>
      </c>
      <c r="N11" s="50">
        <v>0</v>
      </c>
      <c r="O11" s="15">
        <f t="shared" si="0"/>
        <v>8</v>
      </c>
      <c r="P11" s="15">
        <f t="shared" si="1"/>
        <v>24</v>
      </c>
      <c r="R11" s="1" t="s">
        <v>7</v>
      </c>
      <c r="S11" s="17">
        <f t="shared" ref="S11:AF11" si="3">SUM(C14:C17)</f>
        <v>12</v>
      </c>
      <c r="T11" s="17">
        <f t="shared" si="3"/>
        <v>1</v>
      </c>
      <c r="U11" s="17">
        <f t="shared" si="3"/>
        <v>2</v>
      </c>
      <c r="V11" s="17">
        <f t="shared" si="3"/>
        <v>18</v>
      </c>
      <c r="W11" s="17">
        <f t="shared" si="3"/>
        <v>2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4</v>
      </c>
      <c r="AB11" s="17">
        <f t="shared" si="3"/>
        <v>3</v>
      </c>
      <c r="AC11" s="17">
        <f t="shared" si="3"/>
        <v>34</v>
      </c>
      <c r="AD11" s="17">
        <f t="shared" si="3"/>
        <v>0</v>
      </c>
      <c r="AE11" s="31">
        <f t="shared" si="3"/>
        <v>44</v>
      </c>
      <c r="AF11" s="31">
        <f t="shared" si="3"/>
        <v>78</v>
      </c>
    </row>
    <row r="12" spans="2:32" ht="23.1" customHeight="1" x14ac:dyDescent="0.25">
      <c r="B12" s="23" t="s">
        <v>39</v>
      </c>
      <c r="C12" s="50">
        <v>4</v>
      </c>
      <c r="D12" s="50">
        <v>0</v>
      </c>
      <c r="E12" s="50">
        <v>1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3</v>
      </c>
      <c r="L12" s="50">
        <v>7</v>
      </c>
      <c r="M12" s="50">
        <v>5</v>
      </c>
      <c r="N12" s="50">
        <v>0</v>
      </c>
      <c r="O12" s="15">
        <f t="shared" si="0"/>
        <v>18</v>
      </c>
      <c r="P12" s="15">
        <f t="shared" si="1"/>
        <v>23</v>
      </c>
      <c r="R12" s="1" t="s">
        <v>8</v>
      </c>
      <c r="S12" s="17">
        <f t="shared" ref="S12:AF12" si="4">SUM(C18:C21)</f>
        <v>23</v>
      </c>
      <c r="T12" s="17">
        <f t="shared" si="4"/>
        <v>7</v>
      </c>
      <c r="U12" s="17">
        <f t="shared" si="4"/>
        <v>1</v>
      </c>
      <c r="V12" s="17">
        <f t="shared" si="4"/>
        <v>21</v>
      </c>
      <c r="W12" s="17">
        <f t="shared" si="4"/>
        <v>1</v>
      </c>
      <c r="X12" s="17">
        <f t="shared" si="4"/>
        <v>1</v>
      </c>
      <c r="Y12" s="17">
        <f t="shared" si="4"/>
        <v>0</v>
      </c>
      <c r="Z12" s="17">
        <f t="shared" si="4"/>
        <v>8</v>
      </c>
      <c r="AA12" s="17">
        <f t="shared" si="4"/>
        <v>2</v>
      </c>
      <c r="AB12" s="17">
        <f t="shared" si="4"/>
        <v>7</v>
      </c>
      <c r="AC12" s="17">
        <f t="shared" si="4"/>
        <v>52</v>
      </c>
      <c r="AD12" s="17">
        <f t="shared" si="4"/>
        <v>0</v>
      </c>
      <c r="AE12" s="31">
        <f t="shared" si="4"/>
        <v>71</v>
      </c>
      <c r="AF12" s="31">
        <f t="shared" si="4"/>
        <v>123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0</v>
      </c>
      <c r="F13" s="50">
        <v>4</v>
      </c>
      <c r="G13" s="50">
        <v>0</v>
      </c>
      <c r="H13" s="50">
        <v>2</v>
      </c>
      <c r="I13" s="50">
        <v>0</v>
      </c>
      <c r="J13" s="50">
        <v>1</v>
      </c>
      <c r="K13" s="50">
        <v>2</v>
      </c>
      <c r="L13" s="50">
        <v>1</v>
      </c>
      <c r="M13" s="50">
        <v>13</v>
      </c>
      <c r="N13" s="50">
        <v>0</v>
      </c>
      <c r="O13" s="15">
        <f t="shared" si="0"/>
        <v>13</v>
      </c>
      <c r="P13" s="15">
        <f t="shared" si="1"/>
        <v>26</v>
      </c>
      <c r="R13" s="1" t="s">
        <v>9</v>
      </c>
      <c r="S13" s="17">
        <f t="shared" ref="S13:AF13" si="5">SUM(C22:C25)</f>
        <v>23</v>
      </c>
      <c r="T13" s="17">
        <f t="shared" si="5"/>
        <v>3</v>
      </c>
      <c r="U13" s="17">
        <f t="shared" si="5"/>
        <v>2</v>
      </c>
      <c r="V13" s="17">
        <f t="shared" si="5"/>
        <v>23</v>
      </c>
      <c r="W13" s="17">
        <f t="shared" si="5"/>
        <v>0</v>
      </c>
      <c r="X13" s="17">
        <f t="shared" si="5"/>
        <v>2</v>
      </c>
      <c r="Y13" s="17">
        <f t="shared" si="5"/>
        <v>3</v>
      </c>
      <c r="Z13" s="17">
        <f t="shared" si="5"/>
        <v>0</v>
      </c>
      <c r="AA13" s="17">
        <f t="shared" si="5"/>
        <v>3</v>
      </c>
      <c r="AB13" s="17">
        <f t="shared" si="5"/>
        <v>7</v>
      </c>
      <c r="AC13" s="17">
        <f t="shared" si="5"/>
        <v>44</v>
      </c>
      <c r="AD13" s="17">
        <f t="shared" si="5"/>
        <v>0</v>
      </c>
      <c r="AE13" s="31">
        <f t="shared" si="5"/>
        <v>66</v>
      </c>
      <c r="AF13" s="31">
        <f t="shared" si="5"/>
        <v>110</v>
      </c>
    </row>
    <row r="14" spans="2:32" ht="23.1" customHeight="1" x14ac:dyDescent="0.25">
      <c r="B14" s="23" t="s">
        <v>41</v>
      </c>
      <c r="C14" s="50">
        <v>3</v>
      </c>
      <c r="D14" s="50">
        <v>1</v>
      </c>
      <c r="E14" s="50">
        <v>0</v>
      </c>
      <c r="F14" s="50">
        <v>3</v>
      </c>
      <c r="G14" s="50">
        <v>2</v>
      </c>
      <c r="H14" s="50">
        <v>0</v>
      </c>
      <c r="I14" s="50">
        <v>2</v>
      </c>
      <c r="J14" s="50">
        <v>0</v>
      </c>
      <c r="K14" s="50">
        <v>1</v>
      </c>
      <c r="L14" s="50">
        <v>1</v>
      </c>
      <c r="M14" s="50">
        <v>9</v>
      </c>
      <c r="N14" s="50">
        <v>0</v>
      </c>
      <c r="O14" s="15">
        <f t="shared" si="0"/>
        <v>13</v>
      </c>
      <c r="P14" s="15">
        <f t="shared" si="1"/>
        <v>22</v>
      </c>
      <c r="R14" s="1" t="s">
        <v>10</v>
      </c>
      <c r="S14" s="17">
        <f t="shared" ref="S14:AF14" si="6">SUM(C26:C29)</f>
        <v>32</v>
      </c>
      <c r="T14" s="17">
        <f t="shared" si="6"/>
        <v>3</v>
      </c>
      <c r="U14" s="17">
        <f t="shared" si="6"/>
        <v>5</v>
      </c>
      <c r="V14" s="17">
        <f t="shared" si="6"/>
        <v>22</v>
      </c>
      <c r="W14" s="17">
        <f t="shared" si="6"/>
        <v>1</v>
      </c>
      <c r="X14" s="17">
        <f t="shared" si="6"/>
        <v>1</v>
      </c>
      <c r="Y14" s="17">
        <f t="shared" si="6"/>
        <v>4</v>
      </c>
      <c r="Z14" s="17">
        <f t="shared" si="6"/>
        <v>1</v>
      </c>
      <c r="AA14" s="17">
        <f t="shared" si="6"/>
        <v>12</v>
      </c>
      <c r="AB14" s="17">
        <f t="shared" si="6"/>
        <v>12</v>
      </c>
      <c r="AC14" s="17">
        <f t="shared" si="6"/>
        <v>41</v>
      </c>
      <c r="AD14" s="17">
        <f t="shared" si="6"/>
        <v>0</v>
      </c>
      <c r="AE14" s="31">
        <f t="shared" si="6"/>
        <v>93</v>
      </c>
      <c r="AF14" s="31">
        <f t="shared" si="6"/>
        <v>134</v>
      </c>
    </row>
    <row r="15" spans="2:32" ht="23.1" customHeight="1" x14ac:dyDescent="0.25">
      <c r="B15" s="23" t="s">
        <v>42</v>
      </c>
      <c r="C15" s="50">
        <v>4</v>
      </c>
      <c r="D15" s="50">
        <v>0</v>
      </c>
      <c r="E15" s="50">
        <v>0</v>
      </c>
      <c r="F15" s="50">
        <v>3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7</v>
      </c>
      <c r="P15" s="15">
        <f t="shared" si="1"/>
        <v>14</v>
      </c>
      <c r="R15" s="1" t="s">
        <v>11</v>
      </c>
      <c r="S15" s="17">
        <f t="shared" ref="S15:AF15" si="7">SUM(C30:C33)</f>
        <v>22</v>
      </c>
      <c r="T15" s="17">
        <f t="shared" si="7"/>
        <v>3</v>
      </c>
      <c r="U15" s="17">
        <f t="shared" si="7"/>
        <v>5</v>
      </c>
      <c r="V15" s="17">
        <f t="shared" si="7"/>
        <v>29</v>
      </c>
      <c r="W15" s="17">
        <f t="shared" si="7"/>
        <v>0</v>
      </c>
      <c r="X15" s="17">
        <f t="shared" si="7"/>
        <v>8</v>
      </c>
      <c r="Y15" s="17">
        <f t="shared" si="7"/>
        <v>4</v>
      </c>
      <c r="Z15" s="17">
        <f t="shared" si="7"/>
        <v>4</v>
      </c>
      <c r="AA15" s="17">
        <f t="shared" si="7"/>
        <v>10</v>
      </c>
      <c r="AB15" s="17">
        <f t="shared" si="7"/>
        <v>11</v>
      </c>
      <c r="AC15" s="17">
        <f t="shared" si="7"/>
        <v>24</v>
      </c>
      <c r="AD15" s="17">
        <f t="shared" si="7"/>
        <v>0</v>
      </c>
      <c r="AE15" s="31">
        <f t="shared" si="7"/>
        <v>96</v>
      </c>
      <c r="AF15" s="31">
        <f t="shared" si="7"/>
        <v>120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7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2</v>
      </c>
      <c r="M16" s="50">
        <v>5</v>
      </c>
      <c r="N16" s="50">
        <v>0</v>
      </c>
      <c r="O16" s="15">
        <f t="shared" si="0"/>
        <v>12</v>
      </c>
      <c r="P16" s="15">
        <f t="shared" si="1"/>
        <v>17</v>
      </c>
      <c r="R16" s="1" t="s">
        <v>12</v>
      </c>
      <c r="S16" s="17">
        <f t="shared" ref="S16:AF16" si="8">SUM(C34:C37)</f>
        <v>24</v>
      </c>
      <c r="T16" s="17">
        <f t="shared" si="8"/>
        <v>4</v>
      </c>
      <c r="U16" s="17">
        <f t="shared" si="8"/>
        <v>5</v>
      </c>
      <c r="V16" s="17">
        <f t="shared" si="8"/>
        <v>26</v>
      </c>
      <c r="W16" s="17">
        <f t="shared" si="8"/>
        <v>0</v>
      </c>
      <c r="X16" s="17">
        <f t="shared" si="8"/>
        <v>1</v>
      </c>
      <c r="Y16" s="17">
        <f t="shared" si="8"/>
        <v>7</v>
      </c>
      <c r="Z16" s="17">
        <f t="shared" si="8"/>
        <v>1</v>
      </c>
      <c r="AA16" s="17">
        <f t="shared" si="8"/>
        <v>4</v>
      </c>
      <c r="AB16" s="17">
        <f t="shared" si="8"/>
        <v>15</v>
      </c>
      <c r="AC16" s="17">
        <f t="shared" si="8"/>
        <v>41</v>
      </c>
      <c r="AD16" s="17">
        <f t="shared" si="8"/>
        <v>0</v>
      </c>
      <c r="AE16" s="31">
        <f t="shared" si="8"/>
        <v>87</v>
      </c>
      <c r="AF16" s="31">
        <f t="shared" si="8"/>
        <v>128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2</v>
      </c>
      <c r="F17" s="50">
        <v>5</v>
      </c>
      <c r="G17" s="50">
        <v>0</v>
      </c>
      <c r="H17" s="50">
        <v>0</v>
      </c>
      <c r="I17" s="50">
        <v>0</v>
      </c>
      <c r="J17" s="50">
        <v>0</v>
      </c>
      <c r="K17" s="50">
        <v>3</v>
      </c>
      <c r="L17" s="50">
        <v>0</v>
      </c>
      <c r="M17" s="50">
        <v>13</v>
      </c>
      <c r="N17" s="50">
        <v>0</v>
      </c>
      <c r="O17" s="15">
        <f t="shared" si="0"/>
        <v>12</v>
      </c>
      <c r="P17" s="15">
        <f t="shared" si="1"/>
        <v>25</v>
      </c>
      <c r="R17" s="1" t="s">
        <v>13</v>
      </c>
      <c r="S17" s="17">
        <f t="shared" ref="S17:AF17" si="9">SUM(C38:C41)</f>
        <v>38</v>
      </c>
      <c r="T17" s="17">
        <f t="shared" si="9"/>
        <v>7</v>
      </c>
      <c r="U17" s="17">
        <f t="shared" si="9"/>
        <v>7</v>
      </c>
      <c r="V17" s="17">
        <f t="shared" si="9"/>
        <v>18</v>
      </c>
      <c r="W17" s="17">
        <f t="shared" si="9"/>
        <v>1</v>
      </c>
      <c r="X17" s="17">
        <f t="shared" si="9"/>
        <v>1</v>
      </c>
      <c r="Y17" s="17">
        <f t="shared" si="9"/>
        <v>6</v>
      </c>
      <c r="Z17" s="17">
        <f t="shared" si="9"/>
        <v>4</v>
      </c>
      <c r="AA17" s="17">
        <f t="shared" si="9"/>
        <v>6</v>
      </c>
      <c r="AB17" s="17">
        <f t="shared" si="9"/>
        <v>13</v>
      </c>
      <c r="AC17" s="17">
        <f t="shared" si="9"/>
        <v>62</v>
      </c>
      <c r="AD17" s="17">
        <f t="shared" si="9"/>
        <v>0</v>
      </c>
      <c r="AE17" s="31">
        <f t="shared" si="9"/>
        <v>101</v>
      </c>
      <c r="AF17" s="31">
        <f t="shared" si="9"/>
        <v>163</v>
      </c>
    </row>
    <row r="18" spans="2:32" ht="23.1" customHeight="1" x14ac:dyDescent="0.25">
      <c r="B18" s="23" t="s">
        <v>45</v>
      </c>
      <c r="C18" s="50">
        <v>4</v>
      </c>
      <c r="D18" s="50">
        <v>0</v>
      </c>
      <c r="E18" s="50">
        <v>0</v>
      </c>
      <c r="F18" s="50">
        <v>6</v>
      </c>
      <c r="G18" s="50">
        <v>0</v>
      </c>
      <c r="H18" s="50">
        <v>0</v>
      </c>
      <c r="I18" s="50">
        <v>0</v>
      </c>
      <c r="J18" s="50">
        <v>2</v>
      </c>
      <c r="K18" s="50">
        <v>0</v>
      </c>
      <c r="L18" s="50">
        <v>1</v>
      </c>
      <c r="M18" s="50">
        <v>12</v>
      </c>
      <c r="N18" s="50">
        <v>0</v>
      </c>
      <c r="O18" s="15">
        <f t="shared" si="0"/>
        <v>13</v>
      </c>
      <c r="P18" s="15">
        <f t="shared" si="1"/>
        <v>25</v>
      </c>
      <c r="R18" s="1" t="s">
        <v>14</v>
      </c>
      <c r="S18" s="17">
        <f t="shared" ref="S18:AF18" si="10">SUM(C42:C45)</f>
        <v>44</v>
      </c>
      <c r="T18" s="17">
        <f t="shared" si="10"/>
        <v>3</v>
      </c>
      <c r="U18" s="17">
        <f t="shared" si="10"/>
        <v>3</v>
      </c>
      <c r="V18" s="17">
        <f t="shared" si="10"/>
        <v>29</v>
      </c>
      <c r="W18" s="17">
        <f t="shared" si="10"/>
        <v>1</v>
      </c>
      <c r="X18" s="17">
        <f t="shared" si="10"/>
        <v>0</v>
      </c>
      <c r="Y18" s="17">
        <f t="shared" si="10"/>
        <v>5</v>
      </c>
      <c r="Z18" s="17">
        <f t="shared" si="10"/>
        <v>6</v>
      </c>
      <c r="AA18" s="17">
        <f t="shared" si="10"/>
        <v>1</v>
      </c>
      <c r="AB18" s="17">
        <f t="shared" si="10"/>
        <v>10</v>
      </c>
      <c r="AC18" s="17">
        <f t="shared" si="10"/>
        <v>66</v>
      </c>
      <c r="AD18" s="17">
        <f t="shared" si="10"/>
        <v>0</v>
      </c>
      <c r="AE18" s="31">
        <f t="shared" si="10"/>
        <v>102</v>
      </c>
      <c r="AF18" s="31">
        <f t="shared" si="10"/>
        <v>168</v>
      </c>
    </row>
    <row r="19" spans="2:32" ht="23.1" customHeight="1" x14ac:dyDescent="0.25">
      <c r="B19" s="23" t="s">
        <v>46</v>
      </c>
      <c r="C19" s="50">
        <v>8</v>
      </c>
      <c r="D19" s="50">
        <v>0</v>
      </c>
      <c r="E19" s="50">
        <v>0</v>
      </c>
      <c r="F19" s="50">
        <v>4</v>
      </c>
      <c r="G19" s="50">
        <v>0</v>
      </c>
      <c r="H19" s="50">
        <v>1</v>
      </c>
      <c r="I19" s="50">
        <v>0</v>
      </c>
      <c r="J19" s="50">
        <v>0</v>
      </c>
      <c r="K19" s="50">
        <v>0</v>
      </c>
      <c r="L19" s="50">
        <v>2</v>
      </c>
      <c r="M19" s="50">
        <v>17</v>
      </c>
      <c r="N19" s="50">
        <v>0</v>
      </c>
      <c r="O19" s="15">
        <f t="shared" si="0"/>
        <v>15</v>
      </c>
      <c r="P19" s="15">
        <f t="shared" si="1"/>
        <v>32</v>
      </c>
      <c r="R19" s="1" t="s">
        <v>15</v>
      </c>
      <c r="S19" s="17">
        <f t="shared" ref="S19:AF19" si="11">SUM(C46:C49)</f>
        <v>18</v>
      </c>
      <c r="T19" s="17">
        <f t="shared" si="11"/>
        <v>3</v>
      </c>
      <c r="U19" s="17">
        <f t="shared" si="11"/>
        <v>5</v>
      </c>
      <c r="V19" s="17">
        <f t="shared" si="11"/>
        <v>17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9</v>
      </c>
      <c r="AA19" s="17">
        <f t="shared" si="11"/>
        <v>5</v>
      </c>
      <c r="AB19" s="17">
        <f t="shared" si="11"/>
        <v>11</v>
      </c>
      <c r="AC19" s="17">
        <f t="shared" si="11"/>
        <v>68</v>
      </c>
      <c r="AD19" s="17">
        <f t="shared" si="11"/>
        <v>0</v>
      </c>
      <c r="AE19" s="31">
        <f t="shared" si="11"/>
        <v>71</v>
      </c>
      <c r="AF19" s="31">
        <f t="shared" si="11"/>
        <v>139</v>
      </c>
    </row>
    <row r="20" spans="2:32" ht="23.1" customHeight="1" x14ac:dyDescent="0.25">
      <c r="B20" s="23" t="s">
        <v>47</v>
      </c>
      <c r="C20" s="50">
        <v>3</v>
      </c>
      <c r="D20" s="50">
        <v>2</v>
      </c>
      <c r="E20" s="50">
        <v>1</v>
      </c>
      <c r="F20" s="50">
        <v>7</v>
      </c>
      <c r="G20" s="50">
        <v>0</v>
      </c>
      <c r="H20" s="50">
        <v>0</v>
      </c>
      <c r="I20" s="50">
        <v>0</v>
      </c>
      <c r="J20" s="50">
        <v>4</v>
      </c>
      <c r="K20" s="50">
        <v>2</v>
      </c>
      <c r="L20" s="50">
        <v>0</v>
      </c>
      <c r="M20" s="50">
        <v>13</v>
      </c>
      <c r="N20" s="50">
        <v>0</v>
      </c>
      <c r="O20" s="15">
        <f t="shared" si="0"/>
        <v>19</v>
      </c>
      <c r="P20" s="15">
        <f t="shared" si="1"/>
        <v>32</v>
      </c>
      <c r="R20" s="1" t="s">
        <v>16</v>
      </c>
      <c r="S20" s="17">
        <f t="shared" ref="S20:AF20" si="12">SUM(C50:C53)</f>
        <v>16</v>
      </c>
      <c r="T20" s="17">
        <f t="shared" si="12"/>
        <v>3</v>
      </c>
      <c r="U20" s="17">
        <f t="shared" si="12"/>
        <v>9</v>
      </c>
      <c r="V20" s="17">
        <f t="shared" si="12"/>
        <v>18</v>
      </c>
      <c r="W20" s="17">
        <f t="shared" si="12"/>
        <v>0</v>
      </c>
      <c r="X20" s="17">
        <f t="shared" si="12"/>
        <v>1</v>
      </c>
      <c r="Y20" s="17">
        <f t="shared" si="12"/>
        <v>6</v>
      </c>
      <c r="Z20" s="17">
        <f t="shared" si="12"/>
        <v>9</v>
      </c>
      <c r="AA20" s="17">
        <f t="shared" si="12"/>
        <v>6</v>
      </c>
      <c r="AB20" s="17">
        <f t="shared" si="12"/>
        <v>8</v>
      </c>
      <c r="AC20" s="17">
        <f t="shared" si="12"/>
        <v>45</v>
      </c>
      <c r="AD20" s="17">
        <f t="shared" si="12"/>
        <v>0</v>
      </c>
      <c r="AE20" s="31">
        <f t="shared" si="12"/>
        <v>76</v>
      </c>
      <c r="AF20" s="31">
        <f t="shared" si="12"/>
        <v>121</v>
      </c>
    </row>
    <row r="21" spans="2:32" ht="23.1" customHeight="1" x14ac:dyDescent="0.25">
      <c r="B21" s="23" t="s">
        <v>48</v>
      </c>
      <c r="C21" s="50">
        <v>8</v>
      </c>
      <c r="D21" s="50">
        <v>5</v>
      </c>
      <c r="E21" s="50">
        <v>0</v>
      </c>
      <c r="F21" s="50">
        <v>4</v>
      </c>
      <c r="G21" s="50">
        <v>1</v>
      </c>
      <c r="H21" s="50">
        <v>0</v>
      </c>
      <c r="I21" s="50">
        <v>0</v>
      </c>
      <c r="J21" s="50">
        <v>2</v>
      </c>
      <c r="K21" s="50">
        <v>0</v>
      </c>
      <c r="L21" s="50">
        <v>4</v>
      </c>
      <c r="M21" s="50">
        <v>10</v>
      </c>
      <c r="N21" s="50">
        <v>0</v>
      </c>
      <c r="O21" s="15">
        <f t="shared" si="0"/>
        <v>24</v>
      </c>
      <c r="P21" s="15">
        <f t="shared" si="1"/>
        <v>34</v>
      </c>
      <c r="R21" s="36" t="s">
        <v>20</v>
      </c>
      <c r="S21" s="34">
        <f t="shared" ref="S21:AF21" si="13">SUM(C54:C57)</f>
        <v>15</v>
      </c>
      <c r="T21" s="17">
        <f t="shared" si="13"/>
        <v>5</v>
      </c>
      <c r="U21" s="17">
        <f t="shared" si="13"/>
        <v>5</v>
      </c>
      <c r="V21" s="17">
        <f t="shared" si="13"/>
        <v>20</v>
      </c>
      <c r="W21" s="17">
        <f t="shared" si="13"/>
        <v>2</v>
      </c>
      <c r="X21" s="17">
        <f t="shared" si="13"/>
        <v>0</v>
      </c>
      <c r="Y21" s="17">
        <f t="shared" si="13"/>
        <v>6</v>
      </c>
      <c r="Z21" s="17">
        <f t="shared" si="13"/>
        <v>4</v>
      </c>
      <c r="AA21" s="17">
        <f t="shared" si="13"/>
        <v>5</v>
      </c>
      <c r="AB21" s="17">
        <f t="shared" si="13"/>
        <v>8</v>
      </c>
      <c r="AC21" s="17">
        <f t="shared" si="13"/>
        <v>39</v>
      </c>
      <c r="AD21" s="17">
        <f t="shared" si="13"/>
        <v>0</v>
      </c>
      <c r="AE21" s="31">
        <f t="shared" si="13"/>
        <v>70</v>
      </c>
      <c r="AF21" s="31">
        <f t="shared" si="13"/>
        <v>109</v>
      </c>
    </row>
    <row r="22" spans="2:32" ht="23.1" customHeight="1" x14ac:dyDescent="0.25">
      <c r="B22" s="23" t="s">
        <v>49</v>
      </c>
      <c r="C22" s="50">
        <v>2</v>
      </c>
      <c r="D22" s="50">
        <v>1</v>
      </c>
      <c r="E22" s="50">
        <v>0</v>
      </c>
      <c r="F22" s="50">
        <v>4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2</v>
      </c>
      <c r="M22" s="50">
        <v>9</v>
      </c>
      <c r="N22" s="50">
        <v>0</v>
      </c>
      <c r="O22" s="15">
        <f t="shared" si="0"/>
        <v>11</v>
      </c>
      <c r="P22" s="15">
        <f t="shared" si="1"/>
        <v>20</v>
      </c>
      <c r="R22" s="38" t="s">
        <v>90</v>
      </c>
      <c r="S22" s="39">
        <f>MAX(S10:S12)</f>
        <v>23</v>
      </c>
      <c r="T22" s="39">
        <f t="shared" ref="T22:AF22" si="14">MAX(T10:T12)</f>
        <v>7</v>
      </c>
      <c r="U22" s="39">
        <f t="shared" si="14"/>
        <v>2</v>
      </c>
      <c r="V22" s="39">
        <f t="shared" si="14"/>
        <v>21</v>
      </c>
      <c r="W22" s="39">
        <f t="shared" si="14"/>
        <v>2</v>
      </c>
      <c r="X22" s="39">
        <f t="shared" si="14"/>
        <v>2</v>
      </c>
      <c r="Y22" s="39">
        <f t="shared" si="14"/>
        <v>2</v>
      </c>
      <c r="Z22" s="39">
        <f t="shared" si="14"/>
        <v>8</v>
      </c>
      <c r="AA22" s="39">
        <f t="shared" si="14"/>
        <v>5</v>
      </c>
      <c r="AB22" s="39">
        <f t="shared" si="14"/>
        <v>13</v>
      </c>
      <c r="AC22" s="39">
        <f t="shared" si="14"/>
        <v>52</v>
      </c>
      <c r="AD22" s="39">
        <f t="shared" si="14"/>
        <v>0</v>
      </c>
      <c r="AE22" s="40">
        <f t="shared" si="14"/>
        <v>71</v>
      </c>
      <c r="AF22" s="40">
        <f t="shared" si="14"/>
        <v>123</v>
      </c>
    </row>
    <row r="23" spans="2:32" ht="23.1" customHeight="1" x14ac:dyDescent="0.25">
      <c r="B23" s="23" t="s">
        <v>50</v>
      </c>
      <c r="C23" s="50">
        <v>4</v>
      </c>
      <c r="D23" s="50">
        <v>0</v>
      </c>
      <c r="E23" s="50">
        <v>0</v>
      </c>
      <c r="F23" s="50">
        <v>6</v>
      </c>
      <c r="G23" s="50">
        <v>0</v>
      </c>
      <c r="H23" s="50">
        <v>0</v>
      </c>
      <c r="I23" s="50">
        <v>0</v>
      </c>
      <c r="J23" s="50">
        <v>0</v>
      </c>
      <c r="K23" s="50">
        <v>2</v>
      </c>
      <c r="L23" s="50">
        <v>0</v>
      </c>
      <c r="M23" s="50">
        <v>7</v>
      </c>
      <c r="N23" s="50">
        <v>0</v>
      </c>
      <c r="O23" s="15">
        <f t="shared" si="0"/>
        <v>12</v>
      </c>
      <c r="P23" s="15">
        <f t="shared" si="1"/>
        <v>19</v>
      </c>
      <c r="R23" s="38" t="s">
        <v>91</v>
      </c>
      <c r="S23" s="39">
        <f>MAX(S13:S18)</f>
        <v>44</v>
      </c>
      <c r="T23" s="39">
        <f t="shared" ref="T23:AF23" si="15">MAX(T13:T18)</f>
        <v>7</v>
      </c>
      <c r="U23" s="39">
        <f t="shared" si="15"/>
        <v>7</v>
      </c>
      <c r="V23" s="39">
        <f t="shared" si="15"/>
        <v>29</v>
      </c>
      <c r="W23" s="39">
        <f t="shared" si="15"/>
        <v>1</v>
      </c>
      <c r="X23" s="39">
        <f t="shared" si="15"/>
        <v>8</v>
      </c>
      <c r="Y23" s="39">
        <f t="shared" si="15"/>
        <v>7</v>
      </c>
      <c r="Z23" s="39">
        <f t="shared" si="15"/>
        <v>6</v>
      </c>
      <c r="AA23" s="39">
        <f t="shared" si="15"/>
        <v>12</v>
      </c>
      <c r="AB23" s="39">
        <f t="shared" si="15"/>
        <v>15</v>
      </c>
      <c r="AC23" s="39">
        <f t="shared" si="15"/>
        <v>66</v>
      </c>
      <c r="AD23" s="39">
        <f t="shared" si="15"/>
        <v>0</v>
      </c>
      <c r="AE23" s="40">
        <f t="shared" si="15"/>
        <v>102</v>
      </c>
      <c r="AF23" s="40">
        <f t="shared" si="15"/>
        <v>168</v>
      </c>
    </row>
    <row r="24" spans="2:32" ht="23.1" customHeight="1" x14ac:dyDescent="0.25">
      <c r="B24" s="23" t="s">
        <v>51</v>
      </c>
      <c r="C24" s="50">
        <v>2</v>
      </c>
      <c r="D24" s="50">
        <v>2</v>
      </c>
      <c r="E24" s="50">
        <v>1</v>
      </c>
      <c r="F24" s="50">
        <v>9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4</v>
      </c>
      <c r="M24" s="50">
        <v>12</v>
      </c>
      <c r="N24" s="50">
        <v>0</v>
      </c>
      <c r="O24" s="15">
        <f t="shared" si="0"/>
        <v>19</v>
      </c>
      <c r="P24" s="15">
        <f t="shared" si="1"/>
        <v>31</v>
      </c>
      <c r="R24" s="38" t="s">
        <v>92</v>
      </c>
      <c r="S24" s="39">
        <f>MAX(S19:S21)</f>
        <v>18</v>
      </c>
      <c r="T24" s="39">
        <f t="shared" ref="T24:AF24" si="16">MAX(T19:T21)</f>
        <v>5</v>
      </c>
      <c r="U24" s="39">
        <f t="shared" si="16"/>
        <v>9</v>
      </c>
      <c r="V24" s="39">
        <f t="shared" si="16"/>
        <v>20</v>
      </c>
      <c r="W24" s="39">
        <f t="shared" si="16"/>
        <v>2</v>
      </c>
      <c r="X24" s="39">
        <f t="shared" si="16"/>
        <v>1</v>
      </c>
      <c r="Y24" s="39">
        <f t="shared" si="16"/>
        <v>6</v>
      </c>
      <c r="Z24" s="39">
        <f t="shared" si="16"/>
        <v>9</v>
      </c>
      <c r="AA24" s="39">
        <f t="shared" si="16"/>
        <v>6</v>
      </c>
      <c r="AB24" s="39">
        <f t="shared" si="16"/>
        <v>11</v>
      </c>
      <c r="AC24" s="39">
        <f t="shared" si="16"/>
        <v>68</v>
      </c>
      <c r="AD24" s="39">
        <f t="shared" si="16"/>
        <v>0</v>
      </c>
      <c r="AE24" s="40">
        <f t="shared" si="16"/>
        <v>76</v>
      </c>
      <c r="AF24" s="40">
        <f t="shared" si="16"/>
        <v>139</v>
      </c>
    </row>
    <row r="25" spans="2:32" ht="23.1" customHeight="1" x14ac:dyDescent="0.25">
      <c r="B25" s="23" t="s">
        <v>52</v>
      </c>
      <c r="C25" s="50">
        <v>15</v>
      </c>
      <c r="D25" s="50">
        <v>0</v>
      </c>
      <c r="E25" s="50">
        <v>1</v>
      </c>
      <c r="F25" s="50">
        <v>4</v>
      </c>
      <c r="G25" s="50">
        <v>0</v>
      </c>
      <c r="H25" s="50">
        <v>2</v>
      </c>
      <c r="I25" s="50">
        <v>0</v>
      </c>
      <c r="J25" s="50">
        <v>0</v>
      </c>
      <c r="K25" s="50">
        <v>1</v>
      </c>
      <c r="L25" s="50">
        <v>1</v>
      </c>
      <c r="M25" s="50">
        <v>16</v>
      </c>
      <c r="N25" s="50">
        <v>0</v>
      </c>
      <c r="O25" s="15">
        <f t="shared" si="0"/>
        <v>24</v>
      </c>
      <c r="P25" s="15">
        <f t="shared" si="1"/>
        <v>40</v>
      </c>
      <c r="R25" s="37" t="s">
        <v>85</v>
      </c>
      <c r="S25" s="35">
        <f t="shared" ref="S25:AF25" si="17">SUM(S10:S12)</f>
        <v>46</v>
      </c>
      <c r="T25" s="16">
        <f t="shared" si="17"/>
        <v>9</v>
      </c>
      <c r="U25" s="16">
        <f t="shared" si="17"/>
        <v>4</v>
      </c>
      <c r="V25" s="16">
        <f t="shared" si="17"/>
        <v>52</v>
      </c>
      <c r="W25" s="16">
        <f t="shared" si="17"/>
        <v>3</v>
      </c>
      <c r="X25" s="16">
        <f t="shared" si="17"/>
        <v>3</v>
      </c>
      <c r="Y25" s="16">
        <f t="shared" si="17"/>
        <v>4</v>
      </c>
      <c r="Z25" s="16">
        <f t="shared" si="17"/>
        <v>9</v>
      </c>
      <c r="AA25" s="16">
        <f t="shared" si="17"/>
        <v>11</v>
      </c>
      <c r="AB25" s="16">
        <f t="shared" si="17"/>
        <v>23</v>
      </c>
      <c r="AC25" s="16">
        <f t="shared" si="17"/>
        <v>127</v>
      </c>
      <c r="AD25" s="16">
        <f t="shared" si="17"/>
        <v>0</v>
      </c>
      <c r="AE25" s="32">
        <f t="shared" si="17"/>
        <v>164</v>
      </c>
      <c r="AF25" s="32">
        <f t="shared" si="17"/>
        <v>291</v>
      </c>
    </row>
    <row r="26" spans="2:32" ht="23.1" customHeight="1" x14ac:dyDescent="0.25">
      <c r="B26" s="23" t="s">
        <v>53</v>
      </c>
      <c r="C26" s="50">
        <v>7</v>
      </c>
      <c r="D26" s="50">
        <v>0</v>
      </c>
      <c r="E26" s="50">
        <v>1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2</v>
      </c>
      <c r="L26" s="50">
        <v>4</v>
      </c>
      <c r="M26" s="50">
        <v>12</v>
      </c>
      <c r="N26" s="50">
        <v>0</v>
      </c>
      <c r="O26" s="15">
        <f t="shared" si="0"/>
        <v>17</v>
      </c>
      <c r="P26" s="15">
        <f t="shared" si="1"/>
        <v>29</v>
      </c>
      <c r="R26" s="28" t="s">
        <v>86</v>
      </c>
      <c r="S26" s="16">
        <f t="shared" ref="S26:AF26" si="18">SUM(S13:S18)</f>
        <v>183</v>
      </c>
      <c r="T26" s="16">
        <f t="shared" si="18"/>
        <v>23</v>
      </c>
      <c r="U26" s="16">
        <f t="shared" si="18"/>
        <v>27</v>
      </c>
      <c r="V26" s="16">
        <f t="shared" si="18"/>
        <v>147</v>
      </c>
      <c r="W26" s="16">
        <f t="shared" si="18"/>
        <v>3</v>
      </c>
      <c r="X26" s="16">
        <f t="shared" si="18"/>
        <v>13</v>
      </c>
      <c r="Y26" s="16">
        <f t="shared" si="18"/>
        <v>29</v>
      </c>
      <c r="Z26" s="16">
        <f t="shared" si="18"/>
        <v>16</v>
      </c>
      <c r="AA26" s="16">
        <f t="shared" si="18"/>
        <v>36</v>
      </c>
      <c r="AB26" s="16">
        <f t="shared" si="18"/>
        <v>68</v>
      </c>
      <c r="AC26" s="16">
        <f t="shared" si="18"/>
        <v>278</v>
      </c>
      <c r="AD26" s="16">
        <f t="shared" si="18"/>
        <v>0</v>
      </c>
      <c r="AE26" s="32">
        <f t="shared" si="18"/>
        <v>545</v>
      </c>
      <c r="AF26" s="32">
        <f t="shared" si="18"/>
        <v>823</v>
      </c>
    </row>
    <row r="27" spans="2:32" ht="23.1" customHeight="1" x14ac:dyDescent="0.25">
      <c r="B27" s="23" t="s">
        <v>54</v>
      </c>
      <c r="C27" s="50">
        <v>10</v>
      </c>
      <c r="D27" s="50">
        <v>0</v>
      </c>
      <c r="E27" s="50">
        <v>1</v>
      </c>
      <c r="F27" s="50">
        <v>7</v>
      </c>
      <c r="G27" s="50">
        <v>1</v>
      </c>
      <c r="H27" s="50">
        <v>0</v>
      </c>
      <c r="I27" s="50">
        <v>0</v>
      </c>
      <c r="J27" s="50">
        <v>1</v>
      </c>
      <c r="K27" s="50">
        <v>1</v>
      </c>
      <c r="L27" s="50">
        <v>0</v>
      </c>
      <c r="M27" s="50">
        <v>11</v>
      </c>
      <c r="N27" s="50">
        <v>0</v>
      </c>
      <c r="O27" s="15">
        <f t="shared" si="0"/>
        <v>21</v>
      </c>
      <c r="P27" s="15">
        <f t="shared" si="1"/>
        <v>32</v>
      </c>
      <c r="R27" s="29" t="s">
        <v>87</v>
      </c>
      <c r="S27" s="16">
        <f t="shared" ref="S27:AF27" si="19">SUM(S19:S21)</f>
        <v>49</v>
      </c>
      <c r="T27" s="16">
        <f t="shared" si="19"/>
        <v>11</v>
      </c>
      <c r="U27" s="16">
        <f t="shared" si="19"/>
        <v>19</v>
      </c>
      <c r="V27" s="16">
        <f t="shared" si="19"/>
        <v>55</v>
      </c>
      <c r="W27" s="16">
        <f t="shared" si="19"/>
        <v>2</v>
      </c>
      <c r="X27" s="16">
        <f t="shared" si="19"/>
        <v>1</v>
      </c>
      <c r="Y27" s="16">
        <f t="shared" si="19"/>
        <v>15</v>
      </c>
      <c r="Z27" s="16">
        <f t="shared" si="19"/>
        <v>22</v>
      </c>
      <c r="AA27" s="16">
        <f t="shared" si="19"/>
        <v>16</v>
      </c>
      <c r="AB27" s="16">
        <f t="shared" si="19"/>
        <v>27</v>
      </c>
      <c r="AC27" s="16">
        <f t="shared" si="19"/>
        <v>152</v>
      </c>
      <c r="AD27" s="16">
        <f t="shared" si="19"/>
        <v>0</v>
      </c>
      <c r="AE27" s="32">
        <f t="shared" si="19"/>
        <v>217</v>
      </c>
      <c r="AF27" s="32">
        <f t="shared" si="19"/>
        <v>369</v>
      </c>
    </row>
    <row r="28" spans="2:32" ht="23.1" customHeight="1" x14ac:dyDescent="0.25">
      <c r="B28" s="23" t="s">
        <v>55</v>
      </c>
      <c r="C28" s="50">
        <v>4</v>
      </c>
      <c r="D28" s="50">
        <v>1</v>
      </c>
      <c r="E28" s="50">
        <v>3</v>
      </c>
      <c r="F28" s="50">
        <v>4</v>
      </c>
      <c r="G28" s="50">
        <v>0</v>
      </c>
      <c r="H28" s="50">
        <v>0</v>
      </c>
      <c r="I28" s="50">
        <v>0</v>
      </c>
      <c r="J28" s="50">
        <v>0</v>
      </c>
      <c r="K28" s="50">
        <v>5</v>
      </c>
      <c r="L28" s="50">
        <v>2</v>
      </c>
      <c r="M28" s="50">
        <v>10</v>
      </c>
      <c r="N28" s="50">
        <v>0</v>
      </c>
      <c r="O28" s="15">
        <f t="shared" si="0"/>
        <v>19</v>
      </c>
      <c r="P28" s="15">
        <f t="shared" si="1"/>
        <v>29</v>
      </c>
      <c r="R28" s="5" t="s">
        <v>17</v>
      </c>
      <c r="S28" s="16">
        <f t="shared" ref="S28:AF28" si="20">SUM(S10:S21)</f>
        <v>278</v>
      </c>
      <c r="T28" s="16">
        <f t="shared" si="20"/>
        <v>43</v>
      </c>
      <c r="U28" s="16">
        <f t="shared" si="20"/>
        <v>50</v>
      </c>
      <c r="V28" s="16">
        <f t="shared" si="20"/>
        <v>254</v>
      </c>
      <c r="W28" s="16">
        <f t="shared" si="20"/>
        <v>8</v>
      </c>
      <c r="X28" s="16">
        <f t="shared" si="20"/>
        <v>17</v>
      </c>
      <c r="Y28" s="16">
        <f t="shared" si="20"/>
        <v>48</v>
      </c>
      <c r="Z28" s="16">
        <f t="shared" si="20"/>
        <v>47</v>
      </c>
      <c r="AA28" s="16">
        <f t="shared" si="20"/>
        <v>63</v>
      </c>
      <c r="AB28" s="16">
        <f t="shared" si="20"/>
        <v>118</v>
      </c>
      <c r="AC28" s="16">
        <f t="shared" si="20"/>
        <v>557</v>
      </c>
      <c r="AD28" s="16">
        <f t="shared" si="20"/>
        <v>0</v>
      </c>
      <c r="AE28" s="32">
        <f t="shared" si="20"/>
        <v>926</v>
      </c>
      <c r="AF28" s="32">
        <f t="shared" si="20"/>
        <v>1483</v>
      </c>
    </row>
    <row r="29" spans="2:32" ht="23.1" customHeight="1" x14ac:dyDescent="0.25">
      <c r="B29" s="23" t="s">
        <v>56</v>
      </c>
      <c r="C29" s="50">
        <v>11</v>
      </c>
      <c r="D29" s="50">
        <v>2</v>
      </c>
      <c r="E29" s="50">
        <v>0</v>
      </c>
      <c r="F29" s="50">
        <v>8</v>
      </c>
      <c r="G29" s="50">
        <v>0</v>
      </c>
      <c r="H29" s="50">
        <v>1</v>
      </c>
      <c r="I29" s="50">
        <v>4</v>
      </c>
      <c r="J29" s="50">
        <v>0</v>
      </c>
      <c r="K29" s="50">
        <v>4</v>
      </c>
      <c r="L29" s="50">
        <v>6</v>
      </c>
      <c r="M29" s="50">
        <v>8</v>
      </c>
      <c r="N29" s="50">
        <v>0</v>
      </c>
      <c r="O29" s="15">
        <f t="shared" si="0"/>
        <v>36</v>
      </c>
      <c r="P29" s="15">
        <f t="shared" si="1"/>
        <v>44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1</v>
      </c>
      <c r="F30" s="50">
        <v>4</v>
      </c>
      <c r="G30" s="50">
        <v>0</v>
      </c>
      <c r="H30" s="50">
        <v>1</v>
      </c>
      <c r="I30" s="50">
        <v>0</v>
      </c>
      <c r="J30" s="50">
        <v>1</v>
      </c>
      <c r="K30" s="50">
        <v>0</v>
      </c>
      <c r="L30" s="50">
        <v>3</v>
      </c>
      <c r="M30" s="50">
        <v>11</v>
      </c>
      <c r="N30" s="50">
        <v>0</v>
      </c>
      <c r="O30" s="15">
        <f t="shared" si="0"/>
        <v>13</v>
      </c>
      <c r="P30" s="15">
        <f t="shared" si="1"/>
        <v>24</v>
      </c>
    </row>
    <row r="31" spans="2:32" ht="23.1" customHeight="1" x14ac:dyDescent="0.25">
      <c r="B31" s="24" t="s">
        <v>58</v>
      </c>
      <c r="C31" s="50">
        <v>9</v>
      </c>
      <c r="D31" s="50">
        <v>1</v>
      </c>
      <c r="E31" s="50">
        <v>0</v>
      </c>
      <c r="F31" s="50">
        <v>9</v>
      </c>
      <c r="G31" s="50">
        <v>0</v>
      </c>
      <c r="H31" s="50">
        <v>1</v>
      </c>
      <c r="I31" s="50">
        <v>0</v>
      </c>
      <c r="J31" s="50">
        <v>1</v>
      </c>
      <c r="K31" s="50">
        <v>0</v>
      </c>
      <c r="L31" s="50">
        <v>2</v>
      </c>
      <c r="M31" s="50">
        <v>9</v>
      </c>
      <c r="N31" s="50">
        <v>0</v>
      </c>
      <c r="O31" s="15">
        <f t="shared" si="0"/>
        <v>23</v>
      </c>
      <c r="P31" s="15">
        <f t="shared" si="1"/>
        <v>32</v>
      </c>
    </row>
    <row r="32" spans="2:32" ht="23.1" customHeight="1" x14ac:dyDescent="0.25">
      <c r="B32" s="24" t="s">
        <v>59</v>
      </c>
      <c r="C32" s="50">
        <v>4</v>
      </c>
      <c r="D32" s="50">
        <v>2</v>
      </c>
      <c r="E32" s="50">
        <v>4</v>
      </c>
      <c r="F32" s="50">
        <v>10</v>
      </c>
      <c r="G32" s="50">
        <v>0</v>
      </c>
      <c r="H32" s="50">
        <v>2</v>
      </c>
      <c r="I32" s="50">
        <v>4</v>
      </c>
      <c r="J32" s="50">
        <v>2</v>
      </c>
      <c r="K32" s="50">
        <v>4</v>
      </c>
      <c r="L32" s="50">
        <v>4</v>
      </c>
      <c r="M32" s="50">
        <v>4</v>
      </c>
      <c r="N32" s="50">
        <v>0</v>
      </c>
      <c r="O32" s="15">
        <f t="shared" si="0"/>
        <v>36</v>
      </c>
      <c r="P32" s="15">
        <f t="shared" si="1"/>
        <v>40</v>
      </c>
    </row>
    <row r="33" spans="2:20" ht="23.1" customHeight="1" x14ac:dyDescent="0.25">
      <c r="B33" s="23" t="s">
        <v>60</v>
      </c>
      <c r="C33" s="50">
        <v>6</v>
      </c>
      <c r="D33" s="50">
        <v>0</v>
      </c>
      <c r="E33" s="50">
        <v>0</v>
      </c>
      <c r="F33" s="50">
        <v>6</v>
      </c>
      <c r="G33" s="50">
        <v>0</v>
      </c>
      <c r="H33" s="50">
        <v>4</v>
      </c>
      <c r="I33" s="50">
        <v>0</v>
      </c>
      <c r="J33" s="50">
        <v>0</v>
      </c>
      <c r="K33" s="50">
        <v>6</v>
      </c>
      <c r="L33" s="50">
        <v>2</v>
      </c>
      <c r="M33" s="50" t="s">
        <v>179</v>
      </c>
      <c r="N33" s="50">
        <v>0</v>
      </c>
      <c r="O33" s="15">
        <f t="shared" si="0"/>
        <v>24</v>
      </c>
      <c r="P33" s="15">
        <f t="shared" si="1"/>
        <v>24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2</v>
      </c>
      <c r="F34" s="50">
        <v>6</v>
      </c>
      <c r="G34" s="50">
        <v>0</v>
      </c>
      <c r="H34" s="50">
        <v>1</v>
      </c>
      <c r="I34" s="50">
        <v>4</v>
      </c>
      <c r="J34" s="50">
        <v>1</v>
      </c>
      <c r="K34" s="50">
        <v>2</v>
      </c>
      <c r="L34" s="50">
        <v>7</v>
      </c>
      <c r="M34" s="50">
        <v>9</v>
      </c>
      <c r="N34" s="50">
        <v>0</v>
      </c>
      <c r="O34" s="15">
        <f t="shared" si="0"/>
        <v>28</v>
      </c>
      <c r="P34" s="15">
        <f t="shared" si="1"/>
        <v>37</v>
      </c>
    </row>
    <row r="35" spans="2:20" ht="23.1" customHeight="1" x14ac:dyDescent="0.25">
      <c r="B35" s="24" t="s">
        <v>62</v>
      </c>
      <c r="C35" s="50">
        <v>9</v>
      </c>
      <c r="D35" s="50">
        <v>3</v>
      </c>
      <c r="E35" s="50">
        <v>1</v>
      </c>
      <c r="F35" s="50">
        <v>11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3</v>
      </c>
      <c r="M35" s="50">
        <v>14</v>
      </c>
      <c r="N35" s="50">
        <v>0</v>
      </c>
      <c r="O35" s="15">
        <f t="shared" si="0"/>
        <v>29</v>
      </c>
      <c r="P35" s="15">
        <f t="shared" si="1"/>
        <v>43</v>
      </c>
    </row>
    <row r="36" spans="2:20" ht="23.1" customHeight="1" x14ac:dyDescent="0.25">
      <c r="B36" s="24" t="s">
        <v>63</v>
      </c>
      <c r="C36" s="50">
        <v>4</v>
      </c>
      <c r="D36" s="50">
        <v>1</v>
      </c>
      <c r="E36" s="50">
        <v>2</v>
      </c>
      <c r="F36" s="50">
        <v>3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1</v>
      </c>
      <c r="M36" s="50">
        <v>8</v>
      </c>
      <c r="N36" s="50">
        <v>0</v>
      </c>
      <c r="O36" s="15">
        <f t="shared" si="0"/>
        <v>12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6</v>
      </c>
      <c r="D37" s="50">
        <v>0</v>
      </c>
      <c r="E37" s="50">
        <v>0</v>
      </c>
      <c r="F37" s="50">
        <v>6</v>
      </c>
      <c r="G37" s="50">
        <v>0</v>
      </c>
      <c r="H37" s="50">
        <v>0</v>
      </c>
      <c r="I37" s="50">
        <v>0</v>
      </c>
      <c r="J37" s="50">
        <v>0</v>
      </c>
      <c r="K37" s="50">
        <v>2</v>
      </c>
      <c r="L37" s="50">
        <v>4</v>
      </c>
      <c r="M37" s="50">
        <v>10</v>
      </c>
      <c r="N37" s="50">
        <v>0</v>
      </c>
      <c r="O37" s="15">
        <f t="shared" si="0"/>
        <v>18</v>
      </c>
      <c r="P37" s="15">
        <f t="shared" si="1"/>
        <v>28</v>
      </c>
    </row>
    <row r="38" spans="2:20" ht="23.1" customHeight="1" x14ac:dyDescent="0.25">
      <c r="B38" s="24" t="s">
        <v>65</v>
      </c>
      <c r="C38" s="50">
        <v>14</v>
      </c>
      <c r="D38" s="50">
        <v>0</v>
      </c>
      <c r="E38" s="50">
        <v>2</v>
      </c>
      <c r="F38" s="50">
        <v>6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4</v>
      </c>
      <c r="M38" s="50">
        <v>15</v>
      </c>
      <c r="N38" s="50">
        <v>0</v>
      </c>
      <c r="O38" s="15">
        <f t="shared" si="0"/>
        <v>28</v>
      </c>
      <c r="P38" s="15">
        <f t="shared" si="1"/>
        <v>43</v>
      </c>
    </row>
    <row r="39" spans="2:20" ht="23.1" customHeight="1" x14ac:dyDescent="0.25">
      <c r="B39" s="24" t="s">
        <v>66</v>
      </c>
      <c r="C39" s="50">
        <v>8</v>
      </c>
      <c r="D39" s="50">
        <v>4</v>
      </c>
      <c r="E39" s="50">
        <v>0</v>
      </c>
      <c r="F39" s="50">
        <v>4</v>
      </c>
      <c r="G39" s="50">
        <v>1</v>
      </c>
      <c r="H39" s="50">
        <v>0</v>
      </c>
      <c r="I39" s="50">
        <v>3</v>
      </c>
      <c r="J39" s="50">
        <v>0</v>
      </c>
      <c r="K39" s="50">
        <v>4</v>
      </c>
      <c r="L39" s="50">
        <v>2</v>
      </c>
      <c r="M39" s="50">
        <v>12</v>
      </c>
      <c r="N39" s="50">
        <v>0</v>
      </c>
      <c r="O39" s="15">
        <f t="shared" si="0"/>
        <v>26</v>
      </c>
      <c r="P39" s="15">
        <f t="shared" si="1"/>
        <v>38</v>
      </c>
    </row>
    <row r="40" spans="2:20" ht="23.1" customHeight="1" x14ac:dyDescent="0.25">
      <c r="B40" s="24" t="s">
        <v>67</v>
      </c>
      <c r="C40" s="50">
        <v>11</v>
      </c>
      <c r="D40" s="50">
        <v>1</v>
      </c>
      <c r="E40" s="50">
        <v>1</v>
      </c>
      <c r="F40" s="50">
        <v>8</v>
      </c>
      <c r="G40" s="50">
        <v>0</v>
      </c>
      <c r="H40" s="50">
        <v>1</v>
      </c>
      <c r="I40" s="50">
        <v>1</v>
      </c>
      <c r="J40" s="50">
        <v>3</v>
      </c>
      <c r="K40" s="50">
        <v>0</v>
      </c>
      <c r="L40" s="50">
        <v>5</v>
      </c>
      <c r="M40" s="50">
        <v>22</v>
      </c>
      <c r="N40" s="50">
        <v>0</v>
      </c>
      <c r="O40" s="15">
        <f t="shared" si="0"/>
        <v>31</v>
      </c>
      <c r="P40" s="15">
        <f t="shared" si="1"/>
        <v>53</v>
      </c>
    </row>
    <row r="41" spans="2:20" ht="23.1" customHeight="1" x14ac:dyDescent="0.25">
      <c r="B41" s="23" t="s">
        <v>68</v>
      </c>
      <c r="C41" s="50">
        <v>5</v>
      </c>
      <c r="D41" s="50">
        <v>2</v>
      </c>
      <c r="E41" s="50">
        <v>4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2</v>
      </c>
      <c r="L41" s="50">
        <v>2</v>
      </c>
      <c r="M41" s="50">
        <v>13</v>
      </c>
      <c r="N41" s="50">
        <v>0</v>
      </c>
      <c r="O41" s="15">
        <f t="shared" si="0"/>
        <v>16</v>
      </c>
      <c r="P41" s="15">
        <f t="shared" si="1"/>
        <v>29</v>
      </c>
    </row>
    <row r="42" spans="2:20" ht="23.1" customHeight="1" x14ac:dyDescent="0.25">
      <c r="B42" s="24" t="s">
        <v>69</v>
      </c>
      <c r="C42" s="50">
        <v>11</v>
      </c>
      <c r="D42" s="50">
        <v>2</v>
      </c>
      <c r="E42" s="50">
        <v>0</v>
      </c>
      <c r="F42" s="50">
        <v>7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3</v>
      </c>
      <c r="M42" s="50">
        <v>12</v>
      </c>
      <c r="N42" s="50">
        <v>0</v>
      </c>
      <c r="O42" s="15">
        <f t="shared" si="0"/>
        <v>26</v>
      </c>
      <c r="P42" s="15">
        <f t="shared" si="1"/>
        <v>38</v>
      </c>
    </row>
    <row r="43" spans="2:20" ht="23.1" customHeight="1" x14ac:dyDescent="0.25">
      <c r="B43" s="23" t="s">
        <v>70</v>
      </c>
      <c r="C43" s="50">
        <v>6</v>
      </c>
      <c r="D43" s="50">
        <v>1</v>
      </c>
      <c r="E43" s="50">
        <v>2</v>
      </c>
      <c r="F43" s="50">
        <v>11</v>
      </c>
      <c r="G43" s="50">
        <v>1</v>
      </c>
      <c r="H43" s="50">
        <v>0</v>
      </c>
      <c r="I43" s="50">
        <v>0</v>
      </c>
      <c r="J43" s="50">
        <v>3</v>
      </c>
      <c r="K43" s="50">
        <v>0</v>
      </c>
      <c r="L43" s="50">
        <v>1</v>
      </c>
      <c r="M43" s="50">
        <v>20</v>
      </c>
      <c r="N43" s="50">
        <v>0</v>
      </c>
      <c r="O43" s="15">
        <f t="shared" si="0"/>
        <v>25</v>
      </c>
      <c r="P43" s="15">
        <f t="shared" si="1"/>
        <v>45</v>
      </c>
    </row>
    <row r="44" spans="2:20" ht="23.1" customHeight="1" x14ac:dyDescent="0.25">
      <c r="B44" s="25" t="s">
        <v>71</v>
      </c>
      <c r="C44" s="50">
        <v>11</v>
      </c>
      <c r="D44" s="50">
        <v>0</v>
      </c>
      <c r="E44" s="50">
        <v>0</v>
      </c>
      <c r="F44" s="50">
        <v>4</v>
      </c>
      <c r="G44" s="50">
        <v>0</v>
      </c>
      <c r="H44" s="50">
        <v>0</v>
      </c>
      <c r="I44" s="50">
        <v>0</v>
      </c>
      <c r="J44" s="50">
        <v>2</v>
      </c>
      <c r="K44" s="50">
        <v>1</v>
      </c>
      <c r="L44" s="50">
        <v>5</v>
      </c>
      <c r="M44" s="50">
        <v>12</v>
      </c>
      <c r="N44" s="50">
        <v>0</v>
      </c>
      <c r="O44" s="15">
        <f t="shared" si="0"/>
        <v>23</v>
      </c>
      <c r="P44" s="15">
        <f t="shared" si="1"/>
        <v>35</v>
      </c>
    </row>
    <row r="45" spans="2:20" ht="23.1" customHeight="1" x14ac:dyDescent="0.25">
      <c r="B45" s="23" t="s">
        <v>72</v>
      </c>
      <c r="C45" s="50">
        <v>16</v>
      </c>
      <c r="D45" s="50">
        <v>0</v>
      </c>
      <c r="E45" s="50">
        <v>1</v>
      </c>
      <c r="F45" s="50">
        <v>7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1</v>
      </c>
      <c r="M45" s="50">
        <v>22</v>
      </c>
      <c r="N45" s="50">
        <v>0</v>
      </c>
      <c r="O45" s="15">
        <f t="shared" si="0"/>
        <v>28</v>
      </c>
      <c r="P45" s="15">
        <f t="shared" si="1"/>
        <v>50</v>
      </c>
    </row>
    <row r="46" spans="2:20" ht="23.1" customHeight="1" x14ac:dyDescent="0.25">
      <c r="B46" s="24" t="s">
        <v>73</v>
      </c>
      <c r="C46" s="50">
        <v>6</v>
      </c>
      <c r="D46" s="50">
        <v>1</v>
      </c>
      <c r="E46" s="50">
        <v>0</v>
      </c>
      <c r="F46" s="50">
        <v>3</v>
      </c>
      <c r="G46" s="50">
        <v>0</v>
      </c>
      <c r="H46" s="50">
        <v>0</v>
      </c>
      <c r="I46" s="50">
        <v>0</v>
      </c>
      <c r="J46" s="50">
        <v>2</v>
      </c>
      <c r="K46" s="50">
        <v>2</v>
      </c>
      <c r="L46" s="50">
        <v>2</v>
      </c>
      <c r="M46" s="50">
        <v>23</v>
      </c>
      <c r="N46" s="50">
        <v>0</v>
      </c>
      <c r="O46" s="15">
        <f t="shared" si="0"/>
        <v>16</v>
      </c>
      <c r="P46" s="15">
        <f t="shared" si="1"/>
        <v>39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1</v>
      </c>
      <c r="E47" s="50">
        <v>3</v>
      </c>
      <c r="F47" s="50">
        <v>3</v>
      </c>
      <c r="G47" s="50">
        <v>0</v>
      </c>
      <c r="H47" s="50">
        <v>0</v>
      </c>
      <c r="I47" s="50">
        <v>3</v>
      </c>
      <c r="J47" s="50">
        <v>5</v>
      </c>
      <c r="K47" s="50">
        <v>1</v>
      </c>
      <c r="L47" s="50">
        <v>2</v>
      </c>
      <c r="M47" s="50">
        <v>23</v>
      </c>
      <c r="N47" s="50">
        <v>0</v>
      </c>
      <c r="O47" s="15">
        <f t="shared" si="0"/>
        <v>23</v>
      </c>
      <c r="P47" s="15">
        <f t="shared" si="1"/>
        <v>46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1</v>
      </c>
      <c r="E48" s="50">
        <v>0</v>
      </c>
      <c r="F48" s="50">
        <v>6</v>
      </c>
      <c r="G48" s="50">
        <v>0</v>
      </c>
      <c r="H48" s="50">
        <v>0</v>
      </c>
      <c r="I48" s="50">
        <v>0</v>
      </c>
      <c r="J48" s="50">
        <v>2</v>
      </c>
      <c r="K48" s="50">
        <v>2</v>
      </c>
      <c r="L48" s="50">
        <v>5</v>
      </c>
      <c r="M48" s="50">
        <v>15</v>
      </c>
      <c r="N48" s="50">
        <v>0</v>
      </c>
      <c r="O48" s="15">
        <f t="shared" si="0"/>
        <v>20</v>
      </c>
      <c r="P48" s="15">
        <f t="shared" si="1"/>
        <v>35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2</v>
      </c>
      <c r="F49" s="50">
        <v>5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2</v>
      </c>
      <c r="M49" s="50">
        <v>7</v>
      </c>
      <c r="N49" s="50">
        <v>0</v>
      </c>
      <c r="O49" s="15">
        <f t="shared" si="0"/>
        <v>12</v>
      </c>
      <c r="P49" s="15">
        <f t="shared" si="1"/>
        <v>19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0</v>
      </c>
      <c r="E50" s="50">
        <v>0</v>
      </c>
      <c r="F50" s="50">
        <v>6</v>
      </c>
      <c r="G50" s="50">
        <v>0</v>
      </c>
      <c r="H50" s="50">
        <v>0</v>
      </c>
      <c r="I50" s="50">
        <v>2</v>
      </c>
      <c r="J50" s="50">
        <v>1</v>
      </c>
      <c r="K50" s="50">
        <v>4</v>
      </c>
      <c r="L50" s="50">
        <v>2</v>
      </c>
      <c r="M50" s="50">
        <v>10</v>
      </c>
      <c r="N50" s="50">
        <v>0</v>
      </c>
      <c r="O50" s="15">
        <f t="shared" si="0"/>
        <v>19</v>
      </c>
      <c r="P50" s="15">
        <f t="shared" si="1"/>
        <v>29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0</v>
      </c>
      <c r="E51" s="50">
        <v>2</v>
      </c>
      <c r="F51" s="50">
        <v>4</v>
      </c>
      <c r="G51" s="50">
        <v>0</v>
      </c>
      <c r="H51" s="50">
        <v>1</v>
      </c>
      <c r="I51" s="50">
        <v>0</v>
      </c>
      <c r="J51" s="50">
        <v>0</v>
      </c>
      <c r="K51" s="50">
        <v>0</v>
      </c>
      <c r="L51" s="50">
        <v>2</v>
      </c>
      <c r="M51" s="50">
        <v>12</v>
      </c>
      <c r="N51" s="50">
        <v>0</v>
      </c>
      <c r="O51" s="15">
        <f t="shared" si="0"/>
        <v>15</v>
      </c>
      <c r="P51" s="15">
        <f t="shared" si="1"/>
        <v>27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3</v>
      </c>
      <c r="E52" s="50">
        <v>5</v>
      </c>
      <c r="F52" s="50">
        <v>5</v>
      </c>
      <c r="G52" s="50">
        <v>0</v>
      </c>
      <c r="H52" s="50">
        <v>0</v>
      </c>
      <c r="I52" s="50">
        <v>4</v>
      </c>
      <c r="J52" s="50">
        <v>6</v>
      </c>
      <c r="K52" s="50">
        <v>2</v>
      </c>
      <c r="L52" s="50">
        <v>4</v>
      </c>
      <c r="M52" s="50">
        <v>10</v>
      </c>
      <c r="N52" s="50">
        <v>0</v>
      </c>
      <c r="O52" s="15">
        <f t="shared" si="0"/>
        <v>31</v>
      </c>
      <c r="P52" s="15">
        <f t="shared" si="1"/>
        <v>41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2</v>
      </c>
      <c r="F53" s="50">
        <v>3</v>
      </c>
      <c r="G53" s="50">
        <v>0</v>
      </c>
      <c r="H53" s="50">
        <v>0</v>
      </c>
      <c r="I53" s="50">
        <v>0</v>
      </c>
      <c r="J53" s="50">
        <v>2</v>
      </c>
      <c r="K53" s="50">
        <v>0</v>
      </c>
      <c r="L53" s="50">
        <v>0</v>
      </c>
      <c r="M53" s="50">
        <v>13</v>
      </c>
      <c r="N53" s="50">
        <v>0</v>
      </c>
      <c r="O53" s="15">
        <f t="shared" si="0"/>
        <v>11</v>
      </c>
      <c r="P53" s="15">
        <f t="shared" si="1"/>
        <v>24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2</v>
      </c>
      <c r="F54" s="50">
        <v>4</v>
      </c>
      <c r="G54" s="50">
        <v>0</v>
      </c>
      <c r="H54" s="50">
        <v>0</v>
      </c>
      <c r="I54" s="50">
        <v>3</v>
      </c>
      <c r="J54" s="50">
        <v>1</v>
      </c>
      <c r="K54" s="50">
        <v>0</v>
      </c>
      <c r="L54" s="50">
        <v>3</v>
      </c>
      <c r="M54" s="50">
        <v>9</v>
      </c>
      <c r="N54" s="50">
        <v>0</v>
      </c>
      <c r="O54" s="15">
        <f t="shared" si="0"/>
        <v>16</v>
      </c>
      <c r="P54" s="15">
        <f t="shared" si="1"/>
        <v>25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3</v>
      </c>
      <c r="E55" s="50">
        <v>0</v>
      </c>
      <c r="F55" s="50">
        <v>6</v>
      </c>
      <c r="G55" s="50">
        <v>1</v>
      </c>
      <c r="H55" s="50">
        <v>0</v>
      </c>
      <c r="I55" s="50">
        <v>1</v>
      </c>
      <c r="J55" s="50">
        <v>2</v>
      </c>
      <c r="K55" s="50">
        <v>2</v>
      </c>
      <c r="L55" s="50">
        <v>2</v>
      </c>
      <c r="M55" s="50">
        <v>12</v>
      </c>
      <c r="N55" s="50">
        <v>0</v>
      </c>
      <c r="O55" s="15">
        <f t="shared" si="0"/>
        <v>23</v>
      </c>
      <c r="P55" s="15">
        <f t="shared" si="1"/>
        <v>35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3</v>
      </c>
      <c r="F56" s="50">
        <v>7</v>
      </c>
      <c r="G56" s="50">
        <v>1</v>
      </c>
      <c r="H56" s="50">
        <v>0</v>
      </c>
      <c r="I56" s="50">
        <v>0</v>
      </c>
      <c r="J56" s="50">
        <v>0</v>
      </c>
      <c r="K56" s="50">
        <v>0</v>
      </c>
      <c r="L56" s="50">
        <v>3</v>
      </c>
      <c r="M56" s="50">
        <v>8</v>
      </c>
      <c r="N56" s="50">
        <v>0</v>
      </c>
      <c r="O56" s="15">
        <f t="shared" si="0"/>
        <v>16</v>
      </c>
      <c r="P56" s="15">
        <f t="shared" si="1"/>
        <v>24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2</v>
      </c>
      <c r="E57" s="50">
        <v>0</v>
      </c>
      <c r="F57" s="50">
        <v>3</v>
      </c>
      <c r="G57" s="50">
        <v>0</v>
      </c>
      <c r="H57" s="50">
        <v>0</v>
      </c>
      <c r="I57" s="50">
        <v>2</v>
      </c>
      <c r="J57" s="50">
        <v>1</v>
      </c>
      <c r="K57" s="50">
        <v>3</v>
      </c>
      <c r="L57" s="50">
        <v>0</v>
      </c>
      <c r="M57" s="50">
        <v>10</v>
      </c>
      <c r="N57" s="50">
        <v>0</v>
      </c>
      <c r="O57" s="15">
        <f t="shared" si="0"/>
        <v>15</v>
      </c>
      <c r="P57" s="15">
        <f t="shared" si="1"/>
        <v>25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278</v>
      </c>
      <c r="D58" s="16">
        <f t="shared" si="21"/>
        <v>43</v>
      </c>
      <c r="E58" s="16">
        <f t="shared" si="21"/>
        <v>50</v>
      </c>
      <c r="F58" s="16">
        <f t="shared" si="21"/>
        <v>254</v>
      </c>
      <c r="G58" s="16">
        <f t="shared" si="21"/>
        <v>8</v>
      </c>
      <c r="H58" s="16">
        <f t="shared" si="21"/>
        <v>17</v>
      </c>
      <c r="I58" s="16">
        <f t="shared" si="21"/>
        <v>48</v>
      </c>
      <c r="J58" s="16">
        <f t="shared" si="21"/>
        <v>47</v>
      </c>
      <c r="K58" s="16">
        <f t="shared" si="21"/>
        <v>63</v>
      </c>
      <c r="L58" s="16">
        <f t="shared" si="21"/>
        <v>118</v>
      </c>
      <c r="M58" s="16">
        <f t="shared" si="21"/>
        <v>557</v>
      </c>
      <c r="N58" s="16">
        <f t="shared" si="21"/>
        <v>0</v>
      </c>
      <c r="O58" s="16">
        <f t="shared" si="21"/>
        <v>926</v>
      </c>
      <c r="P58" s="16">
        <f t="shared" si="21"/>
        <v>1483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0.18745785569790965</v>
      </c>
      <c r="D59" s="43">
        <f t="shared" si="22"/>
        <v>2.8995279838165879E-2</v>
      </c>
      <c r="E59" s="43">
        <f t="shared" si="22"/>
        <v>3.3715441672285906E-2</v>
      </c>
      <c r="F59" s="43">
        <f t="shared" si="22"/>
        <v>0.17127444369521241</v>
      </c>
      <c r="G59" s="43">
        <f t="shared" si="22"/>
        <v>5.394470667565745E-3</v>
      </c>
      <c r="H59" s="43">
        <f t="shared" si="22"/>
        <v>1.1463250168577209E-2</v>
      </c>
      <c r="I59" s="43">
        <f t="shared" si="22"/>
        <v>3.2366824005394472E-2</v>
      </c>
      <c r="J59" s="43">
        <f t="shared" si="22"/>
        <v>3.1692515171948751E-2</v>
      </c>
      <c r="K59" s="43">
        <f t="shared" si="22"/>
        <v>4.248145650708024E-2</v>
      </c>
      <c r="L59" s="43">
        <f t="shared" si="22"/>
        <v>7.9568442346594742E-2</v>
      </c>
      <c r="M59" s="43">
        <f t="shared" si="22"/>
        <v>0.37559002022926502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0.30021598272138228</v>
      </c>
      <c r="D60" s="44">
        <f t="shared" ref="D60:N60" si="23">D58/$O$58</f>
        <v>4.6436285097192227E-2</v>
      </c>
      <c r="E60" s="44">
        <f t="shared" si="23"/>
        <v>5.3995680345572353E-2</v>
      </c>
      <c r="F60" s="44">
        <f t="shared" si="23"/>
        <v>0.27429805615550756</v>
      </c>
      <c r="G60" s="44">
        <f t="shared" si="23"/>
        <v>8.6393088552915772E-3</v>
      </c>
      <c r="H60" s="44">
        <f t="shared" si="23"/>
        <v>1.8358531317494601E-2</v>
      </c>
      <c r="I60" s="44">
        <f t="shared" si="23"/>
        <v>5.183585313174946E-2</v>
      </c>
      <c r="J60" s="44">
        <f t="shared" si="23"/>
        <v>5.0755939524838013E-2</v>
      </c>
      <c r="K60" s="44">
        <f t="shared" si="23"/>
        <v>6.8034557235421164E-2</v>
      </c>
      <c r="L60" s="44">
        <f t="shared" si="23"/>
        <v>0.12742980561555076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 tint="-0.249977111117893"/>
  </sheetPr>
  <dimension ref="B1:AF174"/>
  <sheetViews>
    <sheetView view="pageBreakPreview" topLeftCell="A43" zoomScale="60" workbookViewId="0">
      <selection activeCell="B1" sqref="B1:AE1"/>
    </sheetView>
  </sheetViews>
  <sheetFormatPr defaultColWidth="15" defaultRowHeight="20.100000000000001" customHeight="1" x14ac:dyDescent="0.25"/>
  <cols>
    <col min="1" max="1" width="4.85546875" customWidth="1"/>
    <col min="2" max="2" width="18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6.42578125" customWidth="1"/>
    <col min="8" max="8" width="15.42578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'27.10 Mbarara-Kabale'!C3:G3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63" t="str">
        <f>'31.10 Kabale-Mbarara-24hr'!G5:H5</f>
        <v>Nyeihanga traffic station</v>
      </c>
      <c r="H5" s="64"/>
      <c r="I5" s="14"/>
      <c r="J5" s="2" t="s">
        <v>5</v>
      </c>
      <c r="K5" s="63" t="s">
        <v>184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'27.10 Mbarara-Kabale'!D6:E6</f>
        <v>Mbarara</v>
      </c>
      <c r="E6" s="64"/>
      <c r="F6" s="2" t="s">
        <v>2</v>
      </c>
      <c r="G6" s="63" t="str">
        <f>'27.10 Mbarara-Kabale'!G6:H6</f>
        <v>Kabale</v>
      </c>
      <c r="H6" s="64"/>
      <c r="J6" s="2" t="s">
        <v>21</v>
      </c>
      <c r="K6" s="63" t="str">
        <f>'31.10 Kabale-Mbarara-24hr'!K6:L6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</v>
      </c>
      <c r="D10" s="50">
        <v>0</v>
      </c>
      <c r="E10" s="50">
        <v>0</v>
      </c>
      <c r="F10" s="50">
        <v>4</v>
      </c>
      <c r="G10" s="50">
        <v>0</v>
      </c>
      <c r="H10" s="50">
        <v>0</v>
      </c>
      <c r="I10" s="50">
        <v>1</v>
      </c>
      <c r="J10" s="50">
        <v>4</v>
      </c>
      <c r="K10" s="50">
        <v>1</v>
      </c>
      <c r="L10" s="50">
        <v>0</v>
      </c>
      <c r="M10" s="50">
        <v>7</v>
      </c>
      <c r="N10" s="50">
        <v>0</v>
      </c>
      <c r="O10" s="15">
        <f t="shared" ref="O10:O73" si="0">SUM(C10:L10,N10)</f>
        <v>14</v>
      </c>
      <c r="P10" s="15">
        <f t="shared" ref="P10:P73" si="1">SUM(C10:N10)</f>
        <v>21</v>
      </c>
      <c r="R10" s="1" t="s">
        <v>6</v>
      </c>
      <c r="S10" s="17">
        <f t="shared" ref="S10:AF10" si="2">SUM(C10:C13)</f>
        <v>25</v>
      </c>
      <c r="T10" s="17">
        <f t="shared" si="2"/>
        <v>2</v>
      </c>
      <c r="U10" s="17">
        <f t="shared" si="2"/>
        <v>1</v>
      </c>
      <c r="V10" s="17">
        <f t="shared" si="2"/>
        <v>12</v>
      </c>
      <c r="W10" s="17">
        <f t="shared" si="2"/>
        <v>1</v>
      </c>
      <c r="X10" s="17">
        <f t="shared" si="2"/>
        <v>0</v>
      </c>
      <c r="Y10" s="17">
        <f t="shared" si="2"/>
        <v>5</v>
      </c>
      <c r="Z10" s="17">
        <f t="shared" si="2"/>
        <v>9</v>
      </c>
      <c r="AA10" s="17">
        <f t="shared" si="2"/>
        <v>3</v>
      </c>
      <c r="AB10" s="17">
        <f t="shared" si="2"/>
        <v>5</v>
      </c>
      <c r="AC10" s="17">
        <f t="shared" si="2"/>
        <v>45</v>
      </c>
      <c r="AD10" s="17">
        <f t="shared" si="2"/>
        <v>0</v>
      </c>
      <c r="AE10" s="31">
        <f t="shared" si="2"/>
        <v>63</v>
      </c>
      <c r="AF10" s="31">
        <f t="shared" si="2"/>
        <v>108</v>
      </c>
    </row>
    <row r="11" spans="2:32" s="6" customFormat="1" ht="23.1" customHeight="1" x14ac:dyDescent="0.25">
      <c r="B11" s="45" t="s">
        <v>38</v>
      </c>
      <c r="C11" s="50">
        <v>6</v>
      </c>
      <c r="D11" s="50">
        <v>0</v>
      </c>
      <c r="E11" s="50">
        <v>0</v>
      </c>
      <c r="F11" s="50">
        <v>2</v>
      </c>
      <c r="G11" s="50">
        <v>0</v>
      </c>
      <c r="H11" s="50">
        <v>0</v>
      </c>
      <c r="I11" s="50">
        <v>1</v>
      </c>
      <c r="J11" s="50">
        <v>2</v>
      </c>
      <c r="K11" s="50">
        <v>1</v>
      </c>
      <c r="L11" s="50">
        <v>2</v>
      </c>
      <c r="M11" s="50">
        <v>18</v>
      </c>
      <c r="N11" s="50">
        <v>0</v>
      </c>
      <c r="O11" s="15">
        <f t="shared" si="0"/>
        <v>14</v>
      </c>
      <c r="P11" s="15">
        <f t="shared" si="1"/>
        <v>32</v>
      </c>
      <c r="R11" s="1" t="s">
        <v>7</v>
      </c>
      <c r="S11" s="17">
        <f t="shared" ref="S11:AF11" si="3">SUM(C14:C17)</f>
        <v>19</v>
      </c>
      <c r="T11" s="17">
        <f t="shared" si="3"/>
        <v>8</v>
      </c>
      <c r="U11" s="17">
        <f t="shared" si="3"/>
        <v>5</v>
      </c>
      <c r="V11" s="17">
        <f t="shared" si="3"/>
        <v>7</v>
      </c>
      <c r="W11" s="17">
        <f t="shared" si="3"/>
        <v>2</v>
      </c>
      <c r="X11" s="17">
        <f t="shared" si="3"/>
        <v>0</v>
      </c>
      <c r="Y11" s="17">
        <f t="shared" si="3"/>
        <v>3</v>
      </c>
      <c r="Z11" s="17">
        <f t="shared" si="3"/>
        <v>5</v>
      </c>
      <c r="AA11" s="17">
        <f t="shared" si="3"/>
        <v>0</v>
      </c>
      <c r="AB11" s="17">
        <f t="shared" si="3"/>
        <v>1</v>
      </c>
      <c r="AC11" s="17">
        <f t="shared" si="3"/>
        <v>30</v>
      </c>
      <c r="AD11" s="17">
        <f t="shared" si="3"/>
        <v>0</v>
      </c>
      <c r="AE11" s="31">
        <f t="shared" si="3"/>
        <v>50</v>
      </c>
      <c r="AF11" s="31">
        <f t="shared" si="3"/>
        <v>80</v>
      </c>
    </row>
    <row r="12" spans="2:32" ht="23.1" customHeight="1" x14ac:dyDescent="0.25">
      <c r="B12" s="45" t="s">
        <v>39</v>
      </c>
      <c r="C12" s="50">
        <v>8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2</v>
      </c>
      <c r="M12" s="50">
        <v>8</v>
      </c>
      <c r="N12" s="50">
        <v>0</v>
      </c>
      <c r="O12" s="15">
        <f t="shared" si="0"/>
        <v>15</v>
      </c>
      <c r="P12" s="15">
        <f t="shared" si="1"/>
        <v>23</v>
      </c>
      <c r="R12" s="1" t="s">
        <v>8</v>
      </c>
      <c r="S12" s="17">
        <f t="shared" ref="S12:AF12" si="4">SUM(C18:C21)</f>
        <v>23</v>
      </c>
      <c r="T12" s="17">
        <f t="shared" si="4"/>
        <v>14</v>
      </c>
      <c r="U12" s="17">
        <f t="shared" si="4"/>
        <v>6</v>
      </c>
      <c r="V12" s="17">
        <f t="shared" si="4"/>
        <v>13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6</v>
      </c>
      <c r="AA12" s="17">
        <f t="shared" si="4"/>
        <v>3</v>
      </c>
      <c r="AB12" s="17">
        <f t="shared" si="4"/>
        <v>5</v>
      </c>
      <c r="AC12" s="17">
        <f t="shared" si="4"/>
        <v>55</v>
      </c>
      <c r="AD12" s="17">
        <f t="shared" si="4"/>
        <v>1</v>
      </c>
      <c r="AE12" s="31">
        <f t="shared" si="4"/>
        <v>74</v>
      </c>
      <c r="AF12" s="31">
        <f t="shared" si="4"/>
        <v>129</v>
      </c>
    </row>
    <row r="13" spans="2:32" ht="23.1" customHeight="1" x14ac:dyDescent="0.25">
      <c r="B13" s="45" t="s">
        <v>40</v>
      </c>
      <c r="C13" s="50">
        <v>7</v>
      </c>
      <c r="D13" s="50">
        <v>2</v>
      </c>
      <c r="E13" s="50">
        <v>1</v>
      </c>
      <c r="F13" s="50">
        <v>4</v>
      </c>
      <c r="G13" s="50">
        <v>1</v>
      </c>
      <c r="H13" s="50">
        <v>0</v>
      </c>
      <c r="I13" s="50">
        <v>1</v>
      </c>
      <c r="J13" s="50">
        <v>2</v>
      </c>
      <c r="K13" s="50">
        <v>1</v>
      </c>
      <c r="L13" s="50">
        <v>1</v>
      </c>
      <c r="M13" s="50">
        <v>12</v>
      </c>
      <c r="N13" s="50">
        <v>0</v>
      </c>
      <c r="O13" s="15">
        <f t="shared" si="0"/>
        <v>20</v>
      </c>
      <c r="P13" s="15">
        <f t="shared" si="1"/>
        <v>32</v>
      </c>
      <c r="R13" s="1" t="s">
        <v>9</v>
      </c>
      <c r="S13" s="17">
        <f t="shared" ref="S13:AF13" si="5">SUM(C22:C25)</f>
        <v>42</v>
      </c>
      <c r="T13" s="17">
        <f t="shared" si="5"/>
        <v>12</v>
      </c>
      <c r="U13" s="17">
        <f t="shared" si="5"/>
        <v>6</v>
      </c>
      <c r="V13" s="17">
        <f t="shared" si="5"/>
        <v>18</v>
      </c>
      <c r="W13" s="17">
        <f t="shared" si="5"/>
        <v>0</v>
      </c>
      <c r="X13" s="17">
        <f t="shared" si="5"/>
        <v>7</v>
      </c>
      <c r="Y13" s="17">
        <f t="shared" si="5"/>
        <v>3</v>
      </c>
      <c r="Z13" s="17">
        <f t="shared" si="5"/>
        <v>11</v>
      </c>
      <c r="AA13" s="17">
        <f t="shared" si="5"/>
        <v>2</v>
      </c>
      <c r="AB13" s="17">
        <f t="shared" si="5"/>
        <v>3</v>
      </c>
      <c r="AC13" s="17">
        <f t="shared" si="5"/>
        <v>73</v>
      </c>
      <c r="AD13" s="17">
        <f t="shared" si="5"/>
        <v>0</v>
      </c>
      <c r="AE13" s="31">
        <f t="shared" si="5"/>
        <v>104</v>
      </c>
      <c r="AF13" s="31">
        <f t="shared" si="5"/>
        <v>177</v>
      </c>
    </row>
    <row r="14" spans="2:32" ht="23.1" customHeight="1" x14ac:dyDescent="0.25">
      <c r="B14" s="45" t="s">
        <v>41</v>
      </c>
      <c r="C14" s="50">
        <v>7</v>
      </c>
      <c r="D14" s="50">
        <v>1</v>
      </c>
      <c r="E14" s="50">
        <v>1</v>
      </c>
      <c r="F14" s="50">
        <v>1</v>
      </c>
      <c r="G14" s="50">
        <v>0</v>
      </c>
      <c r="H14" s="50">
        <v>0</v>
      </c>
      <c r="I14" s="50">
        <v>0</v>
      </c>
      <c r="J14" s="50">
        <v>2</v>
      </c>
      <c r="K14" s="50">
        <v>0</v>
      </c>
      <c r="L14" s="50">
        <v>1</v>
      </c>
      <c r="M14" s="50">
        <v>2</v>
      </c>
      <c r="N14" s="50">
        <v>0</v>
      </c>
      <c r="O14" s="15">
        <f t="shared" si="0"/>
        <v>13</v>
      </c>
      <c r="P14" s="15">
        <f t="shared" si="1"/>
        <v>15</v>
      </c>
      <c r="R14" s="1" t="s">
        <v>10</v>
      </c>
      <c r="S14" s="17">
        <f t="shared" ref="S14:AF14" si="6">SUM(C26:C29)</f>
        <v>41</v>
      </c>
      <c r="T14" s="17">
        <f t="shared" si="6"/>
        <v>24</v>
      </c>
      <c r="U14" s="17">
        <f t="shared" si="6"/>
        <v>9</v>
      </c>
      <c r="V14" s="17">
        <f t="shared" si="6"/>
        <v>21</v>
      </c>
      <c r="W14" s="17">
        <f t="shared" si="6"/>
        <v>1</v>
      </c>
      <c r="X14" s="17">
        <f t="shared" si="6"/>
        <v>0</v>
      </c>
      <c r="Y14" s="17">
        <f t="shared" si="6"/>
        <v>4</v>
      </c>
      <c r="Z14" s="17">
        <f t="shared" si="6"/>
        <v>7</v>
      </c>
      <c r="AA14" s="17">
        <f t="shared" si="6"/>
        <v>2</v>
      </c>
      <c r="AB14" s="17">
        <f t="shared" si="6"/>
        <v>1</v>
      </c>
      <c r="AC14" s="17">
        <f t="shared" si="6"/>
        <v>41</v>
      </c>
      <c r="AD14" s="17">
        <f t="shared" si="6"/>
        <v>0</v>
      </c>
      <c r="AE14" s="31">
        <f t="shared" si="6"/>
        <v>110</v>
      </c>
      <c r="AF14" s="31">
        <f t="shared" si="6"/>
        <v>151</v>
      </c>
    </row>
    <row r="15" spans="2:32" ht="23.1" customHeight="1" x14ac:dyDescent="0.25">
      <c r="B15" s="45" t="s">
        <v>42</v>
      </c>
      <c r="C15" s="50">
        <v>6</v>
      </c>
      <c r="D15" s="50">
        <v>0</v>
      </c>
      <c r="E15" s="50">
        <v>0</v>
      </c>
      <c r="F15" s="50">
        <v>2</v>
      </c>
      <c r="G15" s="50">
        <v>1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10</v>
      </c>
      <c r="P15" s="15">
        <f t="shared" si="1"/>
        <v>10</v>
      </c>
      <c r="R15" s="1" t="s">
        <v>11</v>
      </c>
      <c r="S15" s="17">
        <f t="shared" ref="S15:AF15" si="7">SUM(C30:C33)</f>
        <v>42</v>
      </c>
      <c r="T15" s="17">
        <f t="shared" si="7"/>
        <v>17</v>
      </c>
      <c r="U15" s="17">
        <f t="shared" si="7"/>
        <v>1</v>
      </c>
      <c r="V15" s="17">
        <f t="shared" si="7"/>
        <v>22</v>
      </c>
      <c r="W15" s="17">
        <f t="shared" si="7"/>
        <v>0</v>
      </c>
      <c r="X15" s="17">
        <f t="shared" si="7"/>
        <v>3</v>
      </c>
      <c r="Y15" s="17">
        <f t="shared" si="7"/>
        <v>1</v>
      </c>
      <c r="Z15" s="17">
        <f t="shared" si="7"/>
        <v>4</v>
      </c>
      <c r="AA15" s="17">
        <f t="shared" si="7"/>
        <v>1</v>
      </c>
      <c r="AB15" s="17">
        <f t="shared" si="7"/>
        <v>4</v>
      </c>
      <c r="AC15" s="17">
        <f t="shared" si="7"/>
        <v>72</v>
      </c>
      <c r="AD15" s="17">
        <f t="shared" si="7"/>
        <v>0</v>
      </c>
      <c r="AE15" s="31">
        <f t="shared" si="7"/>
        <v>95</v>
      </c>
      <c r="AF15" s="31">
        <f t="shared" si="7"/>
        <v>167</v>
      </c>
    </row>
    <row r="16" spans="2:32" ht="23.1" customHeight="1" x14ac:dyDescent="0.25">
      <c r="B16" s="45" t="s">
        <v>43</v>
      </c>
      <c r="C16" s="50">
        <v>3</v>
      </c>
      <c r="D16" s="50">
        <v>3</v>
      </c>
      <c r="E16" s="50">
        <v>3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11</v>
      </c>
      <c r="N16" s="50">
        <v>0</v>
      </c>
      <c r="O16" s="15">
        <f t="shared" si="0"/>
        <v>10</v>
      </c>
      <c r="P16" s="15">
        <f t="shared" si="1"/>
        <v>21</v>
      </c>
      <c r="R16" s="1" t="s">
        <v>12</v>
      </c>
      <c r="S16" s="17">
        <f t="shared" ref="S16:AF16" si="8">SUM(C34:C37)</f>
        <v>27</v>
      </c>
      <c r="T16" s="17">
        <f t="shared" si="8"/>
        <v>21</v>
      </c>
      <c r="U16" s="17">
        <f t="shared" si="8"/>
        <v>5</v>
      </c>
      <c r="V16" s="17">
        <f t="shared" si="8"/>
        <v>13</v>
      </c>
      <c r="W16" s="17">
        <f t="shared" si="8"/>
        <v>1</v>
      </c>
      <c r="X16" s="17">
        <f t="shared" si="8"/>
        <v>1</v>
      </c>
      <c r="Y16" s="17">
        <f t="shared" si="8"/>
        <v>7</v>
      </c>
      <c r="Z16" s="17">
        <f t="shared" si="8"/>
        <v>2</v>
      </c>
      <c r="AA16" s="17">
        <f t="shared" si="8"/>
        <v>1</v>
      </c>
      <c r="AB16" s="17">
        <f t="shared" si="8"/>
        <v>5</v>
      </c>
      <c r="AC16" s="17">
        <f t="shared" si="8"/>
        <v>34</v>
      </c>
      <c r="AD16" s="17">
        <f t="shared" si="8"/>
        <v>0</v>
      </c>
      <c r="AE16" s="31">
        <f t="shared" si="8"/>
        <v>83</v>
      </c>
      <c r="AF16" s="31">
        <f t="shared" si="8"/>
        <v>117</v>
      </c>
    </row>
    <row r="17" spans="2:32" ht="23.1" customHeight="1" x14ac:dyDescent="0.25">
      <c r="B17" s="45" t="s">
        <v>44</v>
      </c>
      <c r="C17" s="50">
        <v>3</v>
      </c>
      <c r="D17" s="50">
        <v>4</v>
      </c>
      <c r="E17" s="50">
        <v>1</v>
      </c>
      <c r="F17" s="50">
        <v>4</v>
      </c>
      <c r="G17" s="50">
        <v>1</v>
      </c>
      <c r="H17" s="50">
        <v>0</v>
      </c>
      <c r="I17" s="50">
        <v>2</v>
      </c>
      <c r="J17" s="50">
        <v>2</v>
      </c>
      <c r="K17" s="50">
        <v>0</v>
      </c>
      <c r="L17" s="50">
        <v>0</v>
      </c>
      <c r="M17" s="50">
        <v>17</v>
      </c>
      <c r="N17" s="50">
        <v>0</v>
      </c>
      <c r="O17" s="15">
        <f t="shared" si="0"/>
        <v>17</v>
      </c>
      <c r="P17" s="15">
        <f t="shared" si="1"/>
        <v>34</v>
      </c>
      <c r="R17" s="1" t="s">
        <v>13</v>
      </c>
      <c r="S17" s="17">
        <f t="shared" ref="S17:AF17" si="9">SUM(C38:C41)</f>
        <v>40</v>
      </c>
      <c r="T17" s="17">
        <f t="shared" si="9"/>
        <v>8</v>
      </c>
      <c r="U17" s="17">
        <f t="shared" si="9"/>
        <v>7</v>
      </c>
      <c r="V17" s="17">
        <f t="shared" si="9"/>
        <v>16</v>
      </c>
      <c r="W17" s="17">
        <f t="shared" si="9"/>
        <v>1</v>
      </c>
      <c r="X17" s="17">
        <f t="shared" si="9"/>
        <v>3</v>
      </c>
      <c r="Y17" s="17">
        <f t="shared" si="9"/>
        <v>4</v>
      </c>
      <c r="Z17" s="17">
        <f t="shared" si="9"/>
        <v>9</v>
      </c>
      <c r="AA17" s="17">
        <f t="shared" si="9"/>
        <v>3</v>
      </c>
      <c r="AB17" s="17">
        <f t="shared" si="9"/>
        <v>0</v>
      </c>
      <c r="AC17" s="17">
        <f t="shared" si="9"/>
        <v>45</v>
      </c>
      <c r="AD17" s="17">
        <f t="shared" si="9"/>
        <v>1</v>
      </c>
      <c r="AE17" s="31">
        <f t="shared" si="9"/>
        <v>92</v>
      </c>
      <c r="AF17" s="31">
        <f t="shared" si="9"/>
        <v>137</v>
      </c>
    </row>
    <row r="18" spans="2:32" ht="23.1" customHeight="1" x14ac:dyDescent="0.25">
      <c r="B18" s="45" t="s">
        <v>45</v>
      </c>
      <c r="C18" s="50">
        <v>1</v>
      </c>
      <c r="D18" s="50">
        <v>4</v>
      </c>
      <c r="E18" s="50">
        <v>1</v>
      </c>
      <c r="F18" s="50">
        <v>3</v>
      </c>
      <c r="G18" s="50">
        <v>0</v>
      </c>
      <c r="H18" s="50">
        <v>0</v>
      </c>
      <c r="I18" s="50">
        <v>0</v>
      </c>
      <c r="J18" s="50">
        <v>0</v>
      </c>
      <c r="K18" s="50">
        <v>2</v>
      </c>
      <c r="L18" s="50">
        <v>2</v>
      </c>
      <c r="M18" s="50">
        <v>8</v>
      </c>
      <c r="N18" s="50">
        <v>0</v>
      </c>
      <c r="O18" s="15">
        <f t="shared" si="0"/>
        <v>13</v>
      </c>
      <c r="P18" s="15">
        <f t="shared" si="1"/>
        <v>21</v>
      </c>
      <c r="R18" s="1" t="s">
        <v>14</v>
      </c>
      <c r="S18" s="17">
        <f t="shared" ref="S18:AF18" si="10">SUM(C42:C45)</f>
        <v>39</v>
      </c>
      <c r="T18" s="17">
        <f t="shared" si="10"/>
        <v>7</v>
      </c>
      <c r="U18" s="17">
        <f t="shared" si="10"/>
        <v>5</v>
      </c>
      <c r="V18" s="17">
        <f t="shared" si="10"/>
        <v>24</v>
      </c>
      <c r="W18" s="17">
        <f t="shared" si="10"/>
        <v>1</v>
      </c>
      <c r="X18" s="17">
        <f t="shared" si="10"/>
        <v>1</v>
      </c>
      <c r="Y18" s="17">
        <f t="shared" si="10"/>
        <v>5</v>
      </c>
      <c r="Z18" s="17">
        <f t="shared" si="10"/>
        <v>7</v>
      </c>
      <c r="AA18" s="17">
        <f t="shared" si="10"/>
        <v>3</v>
      </c>
      <c r="AB18" s="17">
        <f t="shared" si="10"/>
        <v>4</v>
      </c>
      <c r="AC18" s="17">
        <f t="shared" si="10"/>
        <v>81</v>
      </c>
      <c r="AD18" s="17">
        <f t="shared" si="10"/>
        <v>0</v>
      </c>
      <c r="AE18" s="31">
        <f t="shared" si="10"/>
        <v>96</v>
      </c>
      <c r="AF18" s="31">
        <f t="shared" si="10"/>
        <v>177</v>
      </c>
    </row>
    <row r="19" spans="2:32" ht="23.1" customHeight="1" x14ac:dyDescent="0.25">
      <c r="B19" s="45" t="s">
        <v>46</v>
      </c>
      <c r="C19" s="50">
        <v>8</v>
      </c>
      <c r="D19" s="50">
        <v>4</v>
      </c>
      <c r="E19" s="50">
        <v>3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1</v>
      </c>
      <c r="M19" s="50">
        <v>7</v>
      </c>
      <c r="N19" s="50">
        <v>1</v>
      </c>
      <c r="O19" s="15">
        <f t="shared" si="0"/>
        <v>18</v>
      </c>
      <c r="P19" s="15">
        <f t="shared" si="1"/>
        <v>25</v>
      </c>
      <c r="R19" s="1" t="s">
        <v>15</v>
      </c>
      <c r="S19" s="17">
        <f t="shared" ref="S19:AF19" si="11">SUM(C46:C49)</f>
        <v>30</v>
      </c>
      <c r="T19" s="17">
        <f t="shared" si="11"/>
        <v>12</v>
      </c>
      <c r="U19" s="17">
        <f t="shared" si="11"/>
        <v>6</v>
      </c>
      <c r="V19" s="17">
        <f t="shared" si="11"/>
        <v>15</v>
      </c>
      <c r="W19" s="17">
        <f t="shared" si="11"/>
        <v>0</v>
      </c>
      <c r="X19" s="17">
        <f t="shared" si="11"/>
        <v>5</v>
      </c>
      <c r="Y19" s="17">
        <f t="shared" si="11"/>
        <v>5</v>
      </c>
      <c r="Z19" s="17">
        <f t="shared" si="11"/>
        <v>6</v>
      </c>
      <c r="AA19" s="17">
        <f t="shared" si="11"/>
        <v>0</v>
      </c>
      <c r="AB19" s="17">
        <f t="shared" si="11"/>
        <v>6</v>
      </c>
      <c r="AC19" s="17">
        <f t="shared" si="11"/>
        <v>86</v>
      </c>
      <c r="AD19" s="17">
        <f t="shared" si="11"/>
        <v>0</v>
      </c>
      <c r="AE19" s="31">
        <f t="shared" si="11"/>
        <v>85</v>
      </c>
      <c r="AF19" s="31">
        <f t="shared" si="11"/>
        <v>171</v>
      </c>
    </row>
    <row r="20" spans="2:32" ht="23.1" customHeight="1" x14ac:dyDescent="0.25">
      <c r="B20" s="45" t="s">
        <v>47</v>
      </c>
      <c r="C20" s="50">
        <v>12</v>
      </c>
      <c r="D20" s="50">
        <v>5</v>
      </c>
      <c r="E20" s="50">
        <v>1</v>
      </c>
      <c r="F20" s="50">
        <v>7</v>
      </c>
      <c r="G20" s="50">
        <v>0</v>
      </c>
      <c r="H20" s="50">
        <v>0</v>
      </c>
      <c r="I20" s="50">
        <v>2</v>
      </c>
      <c r="J20" s="50">
        <v>3</v>
      </c>
      <c r="K20" s="50">
        <v>0</v>
      </c>
      <c r="L20" s="50">
        <v>2</v>
      </c>
      <c r="M20" s="50">
        <v>18</v>
      </c>
      <c r="N20" s="50">
        <v>0</v>
      </c>
      <c r="O20" s="15">
        <f t="shared" si="0"/>
        <v>32</v>
      </c>
      <c r="P20" s="15">
        <f t="shared" si="1"/>
        <v>50</v>
      </c>
      <c r="R20" s="1" t="s">
        <v>16</v>
      </c>
      <c r="S20" s="17">
        <f t="shared" ref="S20:AF20" si="12">SUM(C50:C53)</f>
        <v>36</v>
      </c>
      <c r="T20" s="17">
        <f t="shared" si="12"/>
        <v>7</v>
      </c>
      <c r="U20" s="17">
        <f t="shared" si="12"/>
        <v>5</v>
      </c>
      <c r="V20" s="17">
        <f t="shared" si="12"/>
        <v>19</v>
      </c>
      <c r="W20" s="17">
        <f t="shared" si="12"/>
        <v>0</v>
      </c>
      <c r="X20" s="17">
        <f t="shared" si="12"/>
        <v>1</v>
      </c>
      <c r="Y20" s="17">
        <f t="shared" si="12"/>
        <v>4</v>
      </c>
      <c r="Z20" s="17">
        <f t="shared" si="12"/>
        <v>4</v>
      </c>
      <c r="AA20" s="17">
        <f t="shared" si="12"/>
        <v>0</v>
      </c>
      <c r="AB20" s="17">
        <f t="shared" si="12"/>
        <v>1</v>
      </c>
      <c r="AC20" s="17">
        <f t="shared" si="12"/>
        <v>59</v>
      </c>
      <c r="AD20" s="17">
        <f t="shared" si="12"/>
        <v>0</v>
      </c>
      <c r="AE20" s="31">
        <f t="shared" si="12"/>
        <v>77</v>
      </c>
      <c r="AF20" s="31">
        <f t="shared" si="12"/>
        <v>136</v>
      </c>
    </row>
    <row r="21" spans="2:32" ht="23.1" customHeight="1" x14ac:dyDescent="0.25">
      <c r="B21" s="45" t="s">
        <v>48</v>
      </c>
      <c r="C21" s="50">
        <v>2</v>
      </c>
      <c r="D21" s="50">
        <v>1</v>
      </c>
      <c r="E21" s="50">
        <v>1</v>
      </c>
      <c r="F21" s="50">
        <v>3</v>
      </c>
      <c r="G21" s="50">
        <v>0</v>
      </c>
      <c r="H21" s="50">
        <v>0</v>
      </c>
      <c r="I21" s="50">
        <v>1</v>
      </c>
      <c r="J21" s="50">
        <v>2</v>
      </c>
      <c r="K21" s="50">
        <v>1</v>
      </c>
      <c r="L21" s="50">
        <v>0</v>
      </c>
      <c r="M21" s="50">
        <v>22</v>
      </c>
      <c r="N21" s="50">
        <v>0</v>
      </c>
      <c r="O21" s="15">
        <f t="shared" si="0"/>
        <v>11</v>
      </c>
      <c r="P21" s="15">
        <f t="shared" si="1"/>
        <v>33</v>
      </c>
      <c r="R21" s="36" t="s">
        <v>20</v>
      </c>
      <c r="S21" s="34">
        <f t="shared" ref="S21:AF21" si="13">SUM(C54:C57)</f>
        <v>21</v>
      </c>
      <c r="T21" s="17">
        <f t="shared" si="13"/>
        <v>7</v>
      </c>
      <c r="U21" s="17">
        <f t="shared" si="13"/>
        <v>3</v>
      </c>
      <c r="V21" s="17">
        <f t="shared" si="13"/>
        <v>15</v>
      </c>
      <c r="W21" s="17">
        <f t="shared" si="13"/>
        <v>0</v>
      </c>
      <c r="X21" s="17">
        <f t="shared" si="13"/>
        <v>2</v>
      </c>
      <c r="Y21" s="17">
        <f t="shared" si="13"/>
        <v>4</v>
      </c>
      <c r="Z21" s="17">
        <f t="shared" si="13"/>
        <v>3</v>
      </c>
      <c r="AA21" s="17">
        <f t="shared" si="13"/>
        <v>1</v>
      </c>
      <c r="AB21" s="17">
        <f t="shared" si="13"/>
        <v>3</v>
      </c>
      <c r="AC21" s="17">
        <f t="shared" si="13"/>
        <v>55</v>
      </c>
      <c r="AD21" s="17">
        <f t="shared" si="13"/>
        <v>0</v>
      </c>
      <c r="AE21" s="31">
        <f t="shared" si="13"/>
        <v>59</v>
      </c>
      <c r="AF21" s="31">
        <f t="shared" si="13"/>
        <v>114</v>
      </c>
    </row>
    <row r="22" spans="2:32" ht="23.1" customHeight="1" x14ac:dyDescent="0.25">
      <c r="B22" s="45" t="s">
        <v>49</v>
      </c>
      <c r="C22" s="50">
        <v>7</v>
      </c>
      <c r="D22" s="50">
        <v>3</v>
      </c>
      <c r="E22" s="50">
        <v>4</v>
      </c>
      <c r="F22" s="50">
        <v>4</v>
      </c>
      <c r="G22" s="50">
        <v>0</v>
      </c>
      <c r="H22" s="50">
        <v>0</v>
      </c>
      <c r="I22" s="50">
        <v>1</v>
      </c>
      <c r="J22" s="50">
        <v>4</v>
      </c>
      <c r="K22" s="50">
        <v>2</v>
      </c>
      <c r="L22" s="50">
        <v>0</v>
      </c>
      <c r="M22" s="50">
        <v>22</v>
      </c>
      <c r="N22" s="50">
        <v>0</v>
      </c>
      <c r="O22" s="15">
        <f t="shared" si="0"/>
        <v>25</v>
      </c>
      <c r="P22" s="15">
        <f t="shared" si="1"/>
        <v>47</v>
      </c>
      <c r="R22" s="36" t="s">
        <v>146</v>
      </c>
      <c r="S22" s="34">
        <f>SUM(C58:C61)</f>
        <v>53</v>
      </c>
      <c r="T22" s="34">
        <f t="shared" ref="T22:AF22" si="14">SUM(D58:D61)</f>
        <v>11</v>
      </c>
      <c r="U22" s="34">
        <f t="shared" si="14"/>
        <v>22</v>
      </c>
      <c r="V22" s="34">
        <f t="shared" si="14"/>
        <v>34</v>
      </c>
      <c r="W22" s="34">
        <f t="shared" si="14"/>
        <v>3</v>
      </c>
      <c r="X22" s="34">
        <f t="shared" si="14"/>
        <v>1</v>
      </c>
      <c r="Y22" s="34">
        <f t="shared" si="14"/>
        <v>8</v>
      </c>
      <c r="Z22" s="34">
        <f t="shared" si="14"/>
        <v>8</v>
      </c>
      <c r="AA22" s="34">
        <f t="shared" si="14"/>
        <v>11</v>
      </c>
      <c r="AB22" s="34">
        <f t="shared" si="14"/>
        <v>20</v>
      </c>
      <c r="AC22" s="34">
        <f t="shared" si="14"/>
        <v>40</v>
      </c>
      <c r="AD22" s="34">
        <f t="shared" si="14"/>
        <v>0</v>
      </c>
      <c r="AE22" s="31">
        <f t="shared" si="14"/>
        <v>171</v>
      </c>
      <c r="AF22" s="31">
        <f t="shared" si="14"/>
        <v>211</v>
      </c>
    </row>
    <row r="23" spans="2:32" ht="23.1" customHeight="1" x14ac:dyDescent="0.25">
      <c r="B23" s="45" t="s">
        <v>50</v>
      </c>
      <c r="C23" s="50">
        <v>5</v>
      </c>
      <c r="D23" s="50">
        <v>1</v>
      </c>
      <c r="E23" s="50">
        <v>0</v>
      </c>
      <c r="F23" s="50">
        <v>4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18</v>
      </c>
      <c r="N23" s="50">
        <v>0</v>
      </c>
      <c r="O23" s="15">
        <f t="shared" si="0"/>
        <v>13</v>
      </c>
      <c r="P23" s="15">
        <f t="shared" si="1"/>
        <v>31</v>
      </c>
      <c r="R23" s="36" t="s">
        <v>147</v>
      </c>
      <c r="S23" s="34">
        <f>SUM(C62:C65)</f>
        <v>24</v>
      </c>
      <c r="T23" s="34">
        <f t="shared" ref="T23:AF23" si="15">SUM(D62:D65)</f>
        <v>13</v>
      </c>
      <c r="U23" s="34">
        <f t="shared" si="15"/>
        <v>4</v>
      </c>
      <c r="V23" s="34">
        <f t="shared" si="15"/>
        <v>11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1</v>
      </c>
      <c r="AA23" s="34">
        <f t="shared" si="15"/>
        <v>0</v>
      </c>
      <c r="AB23" s="34">
        <f t="shared" si="15"/>
        <v>6</v>
      </c>
      <c r="AC23" s="34">
        <f t="shared" si="15"/>
        <v>17</v>
      </c>
      <c r="AD23" s="34">
        <f t="shared" si="15"/>
        <v>0</v>
      </c>
      <c r="AE23" s="31">
        <f t="shared" si="15"/>
        <v>62</v>
      </c>
      <c r="AF23" s="31">
        <f t="shared" si="15"/>
        <v>79</v>
      </c>
    </row>
    <row r="24" spans="2:32" ht="23.1" customHeight="1" x14ac:dyDescent="0.25">
      <c r="B24" s="45" t="s">
        <v>51</v>
      </c>
      <c r="C24" s="50">
        <v>14</v>
      </c>
      <c r="D24" s="50">
        <v>4</v>
      </c>
      <c r="E24" s="50">
        <v>2</v>
      </c>
      <c r="F24" s="50">
        <v>3</v>
      </c>
      <c r="G24" s="50">
        <v>0</v>
      </c>
      <c r="H24" s="50">
        <v>0</v>
      </c>
      <c r="I24" s="50">
        <v>0</v>
      </c>
      <c r="J24" s="50">
        <v>5</v>
      </c>
      <c r="K24" s="50">
        <v>0</v>
      </c>
      <c r="L24" s="50">
        <v>2</v>
      </c>
      <c r="M24" s="50">
        <v>17</v>
      </c>
      <c r="N24" s="50">
        <v>0</v>
      </c>
      <c r="O24" s="15">
        <f t="shared" si="0"/>
        <v>30</v>
      </c>
      <c r="P24" s="15">
        <f t="shared" si="1"/>
        <v>47</v>
      </c>
      <c r="R24" s="36" t="s">
        <v>148</v>
      </c>
      <c r="S24" s="34">
        <f>SUM(C66:C69)</f>
        <v>20</v>
      </c>
      <c r="T24" s="34">
        <f t="shared" ref="T24:AF24" si="16">SUM(D66:D69)</f>
        <v>1</v>
      </c>
      <c r="U24" s="34">
        <f t="shared" si="16"/>
        <v>6</v>
      </c>
      <c r="V24" s="34">
        <f t="shared" si="16"/>
        <v>5</v>
      </c>
      <c r="W24" s="34">
        <f t="shared" si="16"/>
        <v>0</v>
      </c>
      <c r="X24" s="34">
        <f t="shared" si="16"/>
        <v>4</v>
      </c>
      <c r="Y24" s="34">
        <f t="shared" si="16"/>
        <v>1</v>
      </c>
      <c r="Z24" s="34">
        <f t="shared" si="16"/>
        <v>4</v>
      </c>
      <c r="AA24" s="34">
        <f t="shared" si="16"/>
        <v>0</v>
      </c>
      <c r="AB24" s="34">
        <f t="shared" si="16"/>
        <v>3</v>
      </c>
      <c r="AC24" s="34">
        <f t="shared" si="16"/>
        <v>13</v>
      </c>
      <c r="AD24" s="34">
        <f t="shared" si="16"/>
        <v>0</v>
      </c>
      <c r="AE24" s="31">
        <f t="shared" si="16"/>
        <v>44</v>
      </c>
      <c r="AF24" s="31">
        <f t="shared" si="16"/>
        <v>57</v>
      </c>
    </row>
    <row r="25" spans="2:32" ht="23.1" customHeight="1" x14ac:dyDescent="0.25">
      <c r="B25" s="45" t="s">
        <v>52</v>
      </c>
      <c r="C25" s="50">
        <v>16</v>
      </c>
      <c r="D25" s="50">
        <v>4</v>
      </c>
      <c r="E25" s="50">
        <v>0</v>
      </c>
      <c r="F25" s="50">
        <v>7</v>
      </c>
      <c r="G25" s="50">
        <v>0</v>
      </c>
      <c r="H25" s="50">
        <v>7</v>
      </c>
      <c r="I25" s="50">
        <v>0</v>
      </c>
      <c r="J25" s="50">
        <v>1</v>
      </c>
      <c r="K25" s="50">
        <v>0</v>
      </c>
      <c r="L25" s="50">
        <v>1</v>
      </c>
      <c r="M25" s="50">
        <v>16</v>
      </c>
      <c r="N25" s="50">
        <v>0</v>
      </c>
      <c r="O25" s="15">
        <f t="shared" si="0"/>
        <v>36</v>
      </c>
      <c r="P25" s="15">
        <f t="shared" si="1"/>
        <v>52</v>
      </c>
      <c r="R25" s="36" t="s">
        <v>149</v>
      </c>
      <c r="S25" s="34">
        <f>SUM(C70:C73)</f>
        <v>16</v>
      </c>
      <c r="T25" s="34">
        <f t="shared" ref="T25:AF25" si="17">SUM(D70:D73)</f>
        <v>8</v>
      </c>
      <c r="U25" s="34">
        <f t="shared" si="17"/>
        <v>5</v>
      </c>
      <c r="V25" s="34">
        <f t="shared" si="17"/>
        <v>7</v>
      </c>
      <c r="W25" s="34">
        <f t="shared" si="17"/>
        <v>1</v>
      </c>
      <c r="X25" s="34">
        <f t="shared" si="17"/>
        <v>3</v>
      </c>
      <c r="Y25" s="34">
        <f t="shared" si="17"/>
        <v>0</v>
      </c>
      <c r="Z25" s="34">
        <f t="shared" si="17"/>
        <v>3</v>
      </c>
      <c r="AA25" s="34">
        <f t="shared" si="17"/>
        <v>0</v>
      </c>
      <c r="AB25" s="34">
        <f t="shared" si="17"/>
        <v>0</v>
      </c>
      <c r="AC25" s="34">
        <f t="shared" si="17"/>
        <v>2</v>
      </c>
      <c r="AD25" s="34">
        <f t="shared" si="17"/>
        <v>0</v>
      </c>
      <c r="AE25" s="31">
        <f t="shared" si="17"/>
        <v>43</v>
      </c>
      <c r="AF25" s="31">
        <f t="shared" si="17"/>
        <v>45</v>
      </c>
    </row>
    <row r="26" spans="2:32" ht="23.1" customHeight="1" x14ac:dyDescent="0.25">
      <c r="B26" s="45" t="s">
        <v>53</v>
      </c>
      <c r="C26" s="50">
        <v>9</v>
      </c>
      <c r="D26" s="50">
        <v>5</v>
      </c>
      <c r="E26" s="50">
        <v>5</v>
      </c>
      <c r="F26" s="50">
        <v>5</v>
      </c>
      <c r="G26" s="50">
        <v>0</v>
      </c>
      <c r="H26" s="50">
        <v>0</v>
      </c>
      <c r="I26" s="50">
        <v>0</v>
      </c>
      <c r="J26" s="50">
        <v>3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27</v>
      </c>
      <c r="P26" s="15">
        <f t="shared" si="1"/>
        <v>38</v>
      </c>
      <c r="R26" s="36" t="s">
        <v>150</v>
      </c>
      <c r="S26" s="34">
        <f>SUM(C74:C77)</f>
        <v>10</v>
      </c>
      <c r="T26" s="34">
        <f t="shared" ref="T26:AF26" si="18">SUM(D74:D77)</f>
        <v>2</v>
      </c>
      <c r="U26" s="34">
        <f t="shared" si="18"/>
        <v>2</v>
      </c>
      <c r="V26" s="34">
        <f t="shared" si="18"/>
        <v>7</v>
      </c>
      <c r="W26" s="34">
        <f t="shared" si="18"/>
        <v>0</v>
      </c>
      <c r="X26" s="34">
        <f t="shared" si="18"/>
        <v>1</v>
      </c>
      <c r="Y26" s="34">
        <f t="shared" si="18"/>
        <v>1</v>
      </c>
      <c r="Z26" s="34">
        <f t="shared" si="18"/>
        <v>4</v>
      </c>
      <c r="AA26" s="34">
        <f t="shared" si="18"/>
        <v>3</v>
      </c>
      <c r="AB26" s="34">
        <f t="shared" si="18"/>
        <v>12</v>
      </c>
      <c r="AC26" s="34">
        <f t="shared" si="18"/>
        <v>0</v>
      </c>
      <c r="AD26" s="34">
        <f t="shared" si="18"/>
        <v>0</v>
      </c>
      <c r="AE26" s="31">
        <f t="shared" si="18"/>
        <v>42</v>
      </c>
      <c r="AF26" s="31">
        <f t="shared" si="18"/>
        <v>42</v>
      </c>
    </row>
    <row r="27" spans="2:32" ht="23.1" customHeight="1" x14ac:dyDescent="0.25">
      <c r="B27" s="45" t="s">
        <v>54</v>
      </c>
      <c r="C27" s="50">
        <v>16</v>
      </c>
      <c r="D27" s="50">
        <v>5</v>
      </c>
      <c r="E27" s="50">
        <v>2</v>
      </c>
      <c r="F27" s="50">
        <v>6</v>
      </c>
      <c r="G27" s="50">
        <v>0</v>
      </c>
      <c r="H27" s="50">
        <v>0</v>
      </c>
      <c r="I27" s="50">
        <v>1</v>
      </c>
      <c r="J27" s="50">
        <v>3</v>
      </c>
      <c r="K27" s="50">
        <v>1</v>
      </c>
      <c r="L27" s="50">
        <v>1</v>
      </c>
      <c r="M27" s="50">
        <v>6</v>
      </c>
      <c r="N27" s="50">
        <v>0</v>
      </c>
      <c r="O27" s="15">
        <f t="shared" si="0"/>
        <v>35</v>
      </c>
      <c r="P27" s="15">
        <f t="shared" si="1"/>
        <v>41</v>
      </c>
      <c r="R27" s="36" t="s">
        <v>151</v>
      </c>
      <c r="S27" s="34">
        <f>SUM(C78:C81)</f>
        <v>1</v>
      </c>
      <c r="T27" s="34">
        <f t="shared" ref="T27:AF27" si="19">SUM(D78:D81)</f>
        <v>4</v>
      </c>
      <c r="U27" s="34">
        <f t="shared" si="19"/>
        <v>2</v>
      </c>
      <c r="V27" s="34">
        <f t="shared" si="19"/>
        <v>6</v>
      </c>
      <c r="W27" s="34">
        <f t="shared" si="19"/>
        <v>0</v>
      </c>
      <c r="X27" s="34">
        <f t="shared" si="19"/>
        <v>1</v>
      </c>
      <c r="Y27" s="34">
        <f t="shared" si="19"/>
        <v>0</v>
      </c>
      <c r="Z27" s="34">
        <f t="shared" si="19"/>
        <v>2</v>
      </c>
      <c r="AA27" s="34">
        <f t="shared" si="19"/>
        <v>4</v>
      </c>
      <c r="AB27" s="34">
        <f t="shared" si="19"/>
        <v>4</v>
      </c>
      <c r="AC27" s="34">
        <f t="shared" si="19"/>
        <v>2</v>
      </c>
      <c r="AD27" s="34">
        <f t="shared" si="19"/>
        <v>0</v>
      </c>
      <c r="AE27" s="31">
        <f t="shared" si="19"/>
        <v>24</v>
      </c>
      <c r="AF27" s="31">
        <f t="shared" si="19"/>
        <v>26</v>
      </c>
    </row>
    <row r="28" spans="2:32" ht="23.1" customHeight="1" x14ac:dyDescent="0.25">
      <c r="B28" s="45" t="s">
        <v>55</v>
      </c>
      <c r="C28" s="50">
        <v>9</v>
      </c>
      <c r="D28" s="50">
        <v>3</v>
      </c>
      <c r="E28" s="50">
        <v>2</v>
      </c>
      <c r="F28" s="50">
        <v>5</v>
      </c>
      <c r="G28" s="50">
        <v>1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11</v>
      </c>
      <c r="N28" s="50">
        <v>0</v>
      </c>
      <c r="O28" s="15">
        <f t="shared" si="0"/>
        <v>22</v>
      </c>
      <c r="P28" s="15">
        <f t="shared" si="1"/>
        <v>33</v>
      </c>
      <c r="R28" s="36" t="s">
        <v>152</v>
      </c>
      <c r="S28" s="34">
        <f>SUM(C82:C85)</f>
        <v>2</v>
      </c>
      <c r="T28" s="34">
        <f t="shared" ref="T28:AF28" si="20">SUM(D82:D85)</f>
        <v>9</v>
      </c>
      <c r="U28" s="34">
        <f t="shared" si="20"/>
        <v>3</v>
      </c>
      <c r="V28" s="34">
        <f t="shared" si="20"/>
        <v>0</v>
      </c>
      <c r="W28" s="34">
        <f t="shared" si="20"/>
        <v>2</v>
      </c>
      <c r="X28" s="34">
        <f t="shared" si="20"/>
        <v>0</v>
      </c>
      <c r="Y28" s="34">
        <f t="shared" si="20"/>
        <v>0</v>
      </c>
      <c r="Z28" s="34">
        <f t="shared" si="20"/>
        <v>3</v>
      </c>
      <c r="AA28" s="34">
        <f t="shared" si="20"/>
        <v>7</v>
      </c>
      <c r="AB28" s="34">
        <f t="shared" si="20"/>
        <v>12</v>
      </c>
      <c r="AC28" s="34">
        <f t="shared" si="20"/>
        <v>0</v>
      </c>
      <c r="AD28" s="34">
        <f t="shared" si="20"/>
        <v>0</v>
      </c>
      <c r="AE28" s="31">
        <f t="shared" si="20"/>
        <v>38</v>
      </c>
      <c r="AF28" s="31">
        <f t="shared" si="20"/>
        <v>38</v>
      </c>
    </row>
    <row r="29" spans="2:32" ht="23.1" customHeight="1" x14ac:dyDescent="0.25">
      <c r="B29" s="45" t="s">
        <v>56</v>
      </c>
      <c r="C29" s="50">
        <v>7</v>
      </c>
      <c r="D29" s="50">
        <v>11</v>
      </c>
      <c r="E29" s="50">
        <v>0</v>
      </c>
      <c r="F29" s="50">
        <v>5</v>
      </c>
      <c r="G29" s="50">
        <v>0</v>
      </c>
      <c r="H29" s="50">
        <v>0</v>
      </c>
      <c r="I29" s="50">
        <v>1</v>
      </c>
      <c r="J29" s="50">
        <v>1</v>
      </c>
      <c r="K29" s="50">
        <v>1</v>
      </c>
      <c r="L29" s="50">
        <v>0</v>
      </c>
      <c r="M29" s="50">
        <v>13</v>
      </c>
      <c r="N29" s="50">
        <v>0</v>
      </c>
      <c r="O29" s="15">
        <f t="shared" si="0"/>
        <v>26</v>
      </c>
      <c r="P29" s="15">
        <f t="shared" si="1"/>
        <v>39</v>
      </c>
      <c r="R29" s="36" t="s">
        <v>153</v>
      </c>
      <c r="S29" s="34">
        <f>SUM(C86:C89)</f>
        <v>1</v>
      </c>
      <c r="T29" s="34">
        <f t="shared" ref="T29:AF29" si="21">SUM(D86:D89)</f>
        <v>2</v>
      </c>
      <c r="U29" s="34">
        <f t="shared" si="21"/>
        <v>0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5</v>
      </c>
      <c r="AB29" s="34">
        <f t="shared" si="21"/>
        <v>9</v>
      </c>
      <c r="AC29" s="34">
        <f t="shared" si="21"/>
        <v>0</v>
      </c>
      <c r="AD29" s="34">
        <f t="shared" si="21"/>
        <v>0</v>
      </c>
      <c r="AE29" s="31">
        <f t="shared" si="21"/>
        <v>20</v>
      </c>
      <c r="AF29" s="31">
        <f t="shared" si="21"/>
        <v>20</v>
      </c>
    </row>
    <row r="30" spans="2:32" ht="23.1" customHeight="1" x14ac:dyDescent="0.25">
      <c r="B30" s="45" t="s">
        <v>57</v>
      </c>
      <c r="C30" s="50">
        <v>6</v>
      </c>
      <c r="D30" s="50">
        <v>3</v>
      </c>
      <c r="E30" s="50">
        <v>0</v>
      </c>
      <c r="F30" s="50">
        <v>4</v>
      </c>
      <c r="G30" s="50">
        <v>0</v>
      </c>
      <c r="H30" s="50">
        <v>2</v>
      </c>
      <c r="I30" s="50">
        <v>0</v>
      </c>
      <c r="J30" s="50">
        <v>2</v>
      </c>
      <c r="K30" s="50">
        <v>0</v>
      </c>
      <c r="L30" s="50">
        <v>1</v>
      </c>
      <c r="M30" s="50">
        <v>23</v>
      </c>
      <c r="N30" s="50">
        <v>0</v>
      </c>
      <c r="O30" s="15">
        <f t="shared" si="0"/>
        <v>18</v>
      </c>
      <c r="P30" s="15">
        <f t="shared" si="1"/>
        <v>41</v>
      </c>
      <c r="R30" s="36" t="s">
        <v>154</v>
      </c>
      <c r="S30" s="34">
        <f>SUM(C90:C93)</f>
        <v>0</v>
      </c>
      <c r="T30" s="34">
        <f t="shared" ref="T30:AF30" si="22">SUM(D90:D93)</f>
        <v>1</v>
      </c>
      <c r="U30" s="34">
        <f t="shared" si="22"/>
        <v>2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2</v>
      </c>
      <c r="AA30" s="34">
        <f t="shared" si="22"/>
        <v>3</v>
      </c>
      <c r="AB30" s="34">
        <f t="shared" si="22"/>
        <v>9</v>
      </c>
      <c r="AC30" s="34">
        <f t="shared" si="22"/>
        <v>0</v>
      </c>
      <c r="AD30" s="34">
        <f t="shared" si="22"/>
        <v>0</v>
      </c>
      <c r="AE30" s="31">
        <f t="shared" si="22"/>
        <v>19</v>
      </c>
      <c r="AF30" s="31">
        <f t="shared" si="22"/>
        <v>19</v>
      </c>
    </row>
    <row r="31" spans="2:32" ht="23.1" customHeight="1" x14ac:dyDescent="0.25">
      <c r="B31" s="46" t="s">
        <v>58</v>
      </c>
      <c r="C31" s="50">
        <v>11</v>
      </c>
      <c r="D31" s="50">
        <v>7</v>
      </c>
      <c r="E31" s="50">
        <v>0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19</v>
      </c>
      <c r="N31" s="50">
        <v>0</v>
      </c>
      <c r="O31" s="15">
        <f t="shared" si="0"/>
        <v>20</v>
      </c>
      <c r="P31" s="15">
        <f t="shared" si="1"/>
        <v>39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2</v>
      </c>
      <c r="AA31" s="34">
        <f t="shared" si="23"/>
        <v>10</v>
      </c>
      <c r="AB31" s="34">
        <f t="shared" si="23"/>
        <v>27</v>
      </c>
      <c r="AC31" s="34">
        <f t="shared" si="23"/>
        <v>0</v>
      </c>
      <c r="AD31" s="34">
        <f t="shared" si="23"/>
        <v>0</v>
      </c>
      <c r="AE31" s="31">
        <f t="shared" si="23"/>
        <v>43</v>
      </c>
      <c r="AF31" s="31">
        <f t="shared" si="23"/>
        <v>43</v>
      </c>
    </row>
    <row r="32" spans="2:32" ht="23.1" customHeight="1" x14ac:dyDescent="0.25">
      <c r="B32" s="46" t="s">
        <v>59</v>
      </c>
      <c r="C32" s="50">
        <v>16</v>
      </c>
      <c r="D32" s="50">
        <v>3</v>
      </c>
      <c r="E32" s="50">
        <v>1</v>
      </c>
      <c r="F32" s="50">
        <v>11</v>
      </c>
      <c r="G32" s="50">
        <v>0</v>
      </c>
      <c r="H32" s="50">
        <v>0</v>
      </c>
      <c r="I32" s="50">
        <v>1</v>
      </c>
      <c r="J32" s="50">
        <v>1</v>
      </c>
      <c r="K32" s="50">
        <v>1</v>
      </c>
      <c r="L32" s="50">
        <v>1</v>
      </c>
      <c r="M32" s="50">
        <v>12</v>
      </c>
      <c r="N32" s="50">
        <v>0</v>
      </c>
      <c r="O32" s="15">
        <f t="shared" si="0"/>
        <v>35</v>
      </c>
      <c r="P32" s="15">
        <f t="shared" si="1"/>
        <v>47</v>
      </c>
      <c r="R32" s="33" t="s">
        <v>156</v>
      </c>
      <c r="S32" s="34">
        <f>SUM(C98:C101)</f>
        <v>4</v>
      </c>
      <c r="T32" s="34">
        <f t="shared" ref="T32:AF32" si="24">SUM(D98:D101)</f>
        <v>7</v>
      </c>
      <c r="U32" s="34">
        <f t="shared" si="24"/>
        <v>9</v>
      </c>
      <c r="V32" s="34">
        <f t="shared" si="24"/>
        <v>11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3</v>
      </c>
      <c r="AA32" s="34">
        <f t="shared" si="24"/>
        <v>11</v>
      </c>
      <c r="AB32" s="34">
        <f t="shared" si="24"/>
        <v>24</v>
      </c>
      <c r="AC32" s="34">
        <f t="shared" si="24"/>
        <v>6</v>
      </c>
      <c r="AD32" s="34">
        <f t="shared" si="24"/>
        <v>0</v>
      </c>
      <c r="AE32" s="31">
        <f t="shared" si="24"/>
        <v>70</v>
      </c>
      <c r="AF32" s="31">
        <f t="shared" si="24"/>
        <v>76</v>
      </c>
    </row>
    <row r="33" spans="2:32" ht="23.1" customHeight="1" x14ac:dyDescent="0.25">
      <c r="B33" s="45" t="s">
        <v>60</v>
      </c>
      <c r="C33" s="50">
        <v>9</v>
      </c>
      <c r="D33" s="50">
        <v>4</v>
      </c>
      <c r="E33" s="50">
        <v>0</v>
      </c>
      <c r="F33" s="50">
        <v>5</v>
      </c>
      <c r="G33" s="50">
        <v>0</v>
      </c>
      <c r="H33" s="50">
        <v>1</v>
      </c>
      <c r="I33" s="50">
        <v>0</v>
      </c>
      <c r="J33" s="50">
        <v>1</v>
      </c>
      <c r="K33" s="50">
        <v>0</v>
      </c>
      <c r="L33" s="50">
        <v>2</v>
      </c>
      <c r="M33" s="50">
        <v>18</v>
      </c>
      <c r="N33" s="50">
        <v>0</v>
      </c>
      <c r="O33" s="15">
        <f t="shared" si="0"/>
        <v>22</v>
      </c>
      <c r="P33" s="15">
        <f t="shared" si="1"/>
        <v>40</v>
      </c>
      <c r="R33" s="33" t="s">
        <v>157</v>
      </c>
      <c r="S33" s="34">
        <f>SUM(C102:C105)</f>
        <v>7</v>
      </c>
      <c r="T33" s="34">
        <f t="shared" ref="T33:AF33" si="25">SUM(D102:D105)</f>
        <v>8</v>
      </c>
      <c r="U33" s="34">
        <f t="shared" si="25"/>
        <v>5</v>
      </c>
      <c r="V33" s="34">
        <f t="shared" si="25"/>
        <v>18</v>
      </c>
      <c r="W33" s="34">
        <f t="shared" si="25"/>
        <v>2</v>
      </c>
      <c r="X33" s="34">
        <f t="shared" si="25"/>
        <v>0</v>
      </c>
      <c r="Y33" s="34">
        <f t="shared" si="25"/>
        <v>3</v>
      </c>
      <c r="Z33" s="34">
        <f t="shared" si="25"/>
        <v>9</v>
      </c>
      <c r="AA33" s="34">
        <f t="shared" si="25"/>
        <v>9</v>
      </c>
      <c r="AB33" s="34">
        <f t="shared" si="25"/>
        <v>30</v>
      </c>
      <c r="AC33" s="34">
        <f t="shared" si="25"/>
        <v>10</v>
      </c>
      <c r="AD33" s="34">
        <f t="shared" si="25"/>
        <v>0</v>
      </c>
      <c r="AE33" s="31">
        <f t="shared" si="25"/>
        <v>91</v>
      </c>
      <c r="AF33" s="31">
        <f t="shared" si="25"/>
        <v>101</v>
      </c>
    </row>
    <row r="34" spans="2:32" ht="23.1" customHeight="1" x14ac:dyDescent="0.25">
      <c r="B34" s="46" t="s">
        <v>61</v>
      </c>
      <c r="C34" s="50">
        <v>7</v>
      </c>
      <c r="D34" s="50">
        <v>1</v>
      </c>
      <c r="E34" s="50">
        <v>3</v>
      </c>
      <c r="F34" s="50">
        <v>2</v>
      </c>
      <c r="G34" s="50">
        <v>1</v>
      </c>
      <c r="H34" s="50">
        <v>1</v>
      </c>
      <c r="I34" s="50">
        <v>2</v>
      </c>
      <c r="J34" s="50">
        <v>0</v>
      </c>
      <c r="K34" s="50">
        <v>0</v>
      </c>
      <c r="L34" s="50">
        <v>1</v>
      </c>
      <c r="M34" s="50">
        <v>11</v>
      </c>
      <c r="N34" s="50">
        <v>0</v>
      </c>
      <c r="O34" s="15">
        <f t="shared" si="0"/>
        <v>18</v>
      </c>
      <c r="P34" s="15">
        <f t="shared" si="1"/>
        <v>29</v>
      </c>
      <c r="R34" s="38" t="s">
        <v>90</v>
      </c>
      <c r="S34" s="39">
        <f t="shared" ref="S34:AF34" si="26">MAX(S10:S12)</f>
        <v>25</v>
      </c>
      <c r="T34" s="39">
        <f t="shared" si="26"/>
        <v>14</v>
      </c>
      <c r="U34" s="39">
        <f t="shared" si="26"/>
        <v>6</v>
      </c>
      <c r="V34" s="39">
        <f t="shared" si="26"/>
        <v>13</v>
      </c>
      <c r="W34" s="39">
        <f t="shared" si="26"/>
        <v>2</v>
      </c>
      <c r="X34" s="39">
        <f t="shared" si="26"/>
        <v>0</v>
      </c>
      <c r="Y34" s="39">
        <f t="shared" si="26"/>
        <v>5</v>
      </c>
      <c r="Z34" s="39">
        <f t="shared" si="26"/>
        <v>9</v>
      </c>
      <c r="AA34" s="39">
        <f t="shared" si="26"/>
        <v>3</v>
      </c>
      <c r="AB34" s="39">
        <f t="shared" si="26"/>
        <v>5</v>
      </c>
      <c r="AC34" s="39">
        <f t="shared" si="26"/>
        <v>55</v>
      </c>
      <c r="AD34" s="39">
        <f t="shared" si="26"/>
        <v>1</v>
      </c>
      <c r="AE34" s="40">
        <f t="shared" si="26"/>
        <v>74</v>
      </c>
      <c r="AF34" s="40">
        <f t="shared" si="26"/>
        <v>129</v>
      </c>
    </row>
    <row r="35" spans="2:32" ht="23.1" customHeight="1" x14ac:dyDescent="0.25">
      <c r="B35" s="46" t="s">
        <v>62</v>
      </c>
      <c r="C35" s="50">
        <v>6</v>
      </c>
      <c r="D35" s="50">
        <v>8</v>
      </c>
      <c r="E35" s="50">
        <v>1</v>
      </c>
      <c r="F35" s="50">
        <v>4</v>
      </c>
      <c r="G35" s="50">
        <v>0</v>
      </c>
      <c r="H35" s="50">
        <v>0</v>
      </c>
      <c r="I35" s="50">
        <v>4</v>
      </c>
      <c r="J35" s="50">
        <v>2</v>
      </c>
      <c r="K35" s="50">
        <v>0</v>
      </c>
      <c r="L35" s="50">
        <v>0</v>
      </c>
      <c r="M35" s="50">
        <v>18</v>
      </c>
      <c r="N35" s="50">
        <v>0</v>
      </c>
      <c r="O35" s="15">
        <f t="shared" si="0"/>
        <v>25</v>
      </c>
      <c r="P35" s="15">
        <f t="shared" si="1"/>
        <v>43</v>
      </c>
      <c r="R35" s="38" t="s">
        <v>91</v>
      </c>
      <c r="S35" s="39">
        <f t="shared" ref="S35:AF35" si="27">MAX(S13:S18)</f>
        <v>42</v>
      </c>
      <c r="T35" s="39">
        <f t="shared" si="27"/>
        <v>24</v>
      </c>
      <c r="U35" s="39">
        <f t="shared" si="27"/>
        <v>9</v>
      </c>
      <c r="V35" s="39">
        <f t="shared" si="27"/>
        <v>24</v>
      </c>
      <c r="W35" s="39">
        <f t="shared" si="27"/>
        <v>1</v>
      </c>
      <c r="X35" s="39">
        <f t="shared" si="27"/>
        <v>7</v>
      </c>
      <c r="Y35" s="39">
        <f t="shared" si="27"/>
        <v>7</v>
      </c>
      <c r="Z35" s="39">
        <f t="shared" si="27"/>
        <v>11</v>
      </c>
      <c r="AA35" s="39">
        <f t="shared" si="27"/>
        <v>3</v>
      </c>
      <c r="AB35" s="39">
        <f t="shared" si="27"/>
        <v>5</v>
      </c>
      <c r="AC35" s="39">
        <f t="shared" si="27"/>
        <v>81</v>
      </c>
      <c r="AD35" s="39">
        <f t="shared" si="27"/>
        <v>1</v>
      </c>
      <c r="AE35" s="40">
        <f t="shared" si="27"/>
        <v>110</v>
      </c>
      <c r="AF35" s="40">
        <f t="shared" si="27"/>
        <v>177</v>
      </c>
    </row>
    <row r="36" spans="2:32" ht="23.1" customHeight="1" x14ac:dyDescent="0.25">
      <c r="B36" s="46" t="s">
        <v>63</v>
      </c>
      <c r="C36" s="50">
        <v>5</v>
      </c>
      <c r="D36" s="50">
        <v>8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15</v>
      </c>
      <c r="P36" s="15">
        <f t="shared" si="1"/>
        <v>15</v>
      </c>
      <c r="R36" s="38" t="s">
        <v>92</v>
      </c>
      <c r="S36" s="39">
        <f t="shared" ref="S36:AF36" si="28">MAX(S19:S21)</f>
        <v>36</v>
      </c>
      <c r="T36" s="39">
        <f t="shared" si="28"/>
        <v>12</v>
      </c>
      <c r="U36" s="39">
        <f t="shared" si="28"/>
        <v>6</v>
      </c>
      <c r="V36" s="39">
        <f t="shared" si="28"/>
        <v>19</v>
      </c>
      <c r="W36" s="39">
        <f t="shared" si="28"/>
        <v>0</v>
      </c>
      <c r="X36" s="39">
        <f t="shared" si="28"/>
        <v>5</v>
      </c>
      <c r="Y36" s="39">
        <f t="shared" si="28"/>
        <v>5</v>
      </c>
      <c r="Z36" s="39">
        <f t="shared" si="28"/>
        <v>6</v>
      </c>
      <c r="AA36" s="39">
        <f t="shared" si="28"/>
        <v>1</v>
      </c>
      <c r="AB36" s="39">
        <f t="shared" si="28"/>
        <v>6</v>
      </c>
      <c r="AC36" s="39">
        <f t="shared" si="28"/>
        <v>86</v>
      </c>
      <c r="AD36" s="39">
        <f t="shared" si="28"/>
        <v>0</v>
      </c>
      <c r="AE36" s="40">
        <f t="shared" si="28"/>
        <v>85</v>
      </c>
      <c r="AF36" s="40">
        <f t="shared" si="28"/>
        <v>171</v>
      </c>
    </row>
    <row r="37" spans="2:32" ht="23.1" customHeight="1" x14ac:dyDescent="0.25">
      <c r="B37" s="45" t="s">
        <v>64</v>
      </c>
      <c r="C37" s="50">
        <v>9</v>
      </c>
      <c r="D37" s="50">
        <v>4</v>
      </c>
      <c r="E37" s="50">
        <v>1</v>
      </c>
      <c r="F37" s="50">
        <v>5</v>
      </c>
      <c r="G37" s="50">
        <v>0</v>
      </c>
      <c r="H37" s="50">
        <v>0</v>
      </c>
      <c r="I37" s="50">
        <v>1</v>
      </c>
      <c r="J37" s="50">
        <v>0</v>
      </c>
      <c r="K37" s="50">
        <v>1</v>
      </c>
      <c r="L37" s="50">
        <v>4</v>
      </c>
      <c r="M37" s="50">
        <v>5</v>
      </c>
      <c r="N37" s="50">
        <v>0</v>
      </c>
      <c r="O37" s="15">
        <f t="shared" si="0"/>
        <v>25</v>
      </c>
      <c r="P37" s="15">
        <f t="shared" si="1"/>
        <v>30</v>
      </c>
      <c r="R37" s="37" t="s">
        <v>85</v>
      </c>
      <c r="S37" s="35">
        <f t="shared" ref="S37:AF37" si="29">SUM(S10:S12)</f>
        <v>67</v>
      </c>
      <c r="T37" s="16">
        <f t="shared" si="29"/>
        <v>24</v>
      </c>
      <c r="U37" s="16">
        <f t="shared" si="29"/>
        <v>12</v>
      </c>
      <c r="V37" s="16">
        <f t="shared" si="29"/>
        <v>32</v>
      </c>
      <c r="W37" s="16">
        <f t="shared" si="29"/>
        <v>3</v>
      </c>
      <c r="X37" s="16">
        <f t="shared" si="29"/>
        <v>0</v>
      </c>
      <c r="Y37" s="16">
        <f t="shared" si="29"/>
        <v>11</v>
      </c>
      <c r="Z37" s="16">
        <f t="shared" si="29"/>
        <v>20</v>
      </c>
      <c r="AA37" s="16">
        <f t="shared" si="29"/>
        <v>6</v>
      </c>
      <c r="AB37" s="16">
        <f t="shared" si="29"/>
        <v>11</v>
      </c>
      <c r="AC37" s="16">
        <f t="shared" si="29"/>
        <v>130</v>
      </c>
      <c r="AD37" s="16">
        <f t="shared" si="29"/>
        <v>1</v>
      </c>
      <c r="AE37" s="32">
        <f t="shared" si="29"/>
        <v>187</v>
      </c>
      <c r="AF37" s="32">
        <f t="shared" si="29"/>
        <v>317</v>
      </c>
    </row>
    <row r="38" spans="2:32" ht="23.1" customHeight="1" x14ac:dyDescent="0.25">
      <c r="B38" s="46" t="s">
        <v>65</v>
      </c>
      <c r="C38" s="50">
        <v>9</v>
      </c>
      <c r="D38" s="50">
        <v>2</v>
      </c>
      <c r="E38" s="50">
        <v>2</v>
      </c>
      <c r="F38" s="50">
        <v>5</v>
      </c>
      <c r="G38" s="50">
        <v>1</v>
      </c>
      <c r="H38" s="50">
        <v>0</v>
      </c>
      <c r="I38" s="50">
        <v>1</v>
      </c>
      <c r="J38" s="50">
        <v>2</v>
      </c>
      <c r="K38" s="50">
        <v>1</v>
      </c>
      <c r="L38" s="50">
        <v>0</v>
      </c>
      <c r="M38" s="50">
        <v>3</v>
      </c>
      <c r="N38" s="50">
        <v>0</v>
      </c>
      <c r="O38" s="15">
        <f t="shared" si="0"/>
        <v>23</v>
      </c>
      <c r="P38" s="15">
        <f t="shared" si="1"/>
        <v>26</v>
      </c>
      <c r="R38" s="28" t="s">
        <v>86</v>
      </c>
      <c r="S38" s="16">
        <f t="shared" ref="S38:AF38" si="30">SUM(S13:S18)</f>
        <v>231</v>
      </c>
      <c r="T38" s="16">
        <f t="shared" si="30"/>
        <v>89</v>
      </c>
      <c r="U38" s="16">
        <f t="shared" si="30"/>
        <v>33</v>
      </c>
      <c r="V38" s="16">
        <f t="shared" si="30"/>
        <v>114</v>
      </c>
      <c r="W38" s="16">
        <f t="shared" si="30"/>
        <v>4</v>
      </c>
      <c r="X38" s="16">
        <f t="shared" si="30"/>
        <v>15</v>
      </c>
      <c r="Y38" s="16">
        <f t="shared" si="30"/>
        <v>24</v>
      </c>
      <c r="Z38" s="16">
        <f t="shared" si="30"/>
        <v>40</v>
      </c>
      <c r="AA38" s="16">
        <f t="shared" si="30"/>
        <v>12</v>
      </c>
      <c r="AB38" s="16">
        <f t="shared" si="30"/>
        <v>17</v>
      </c>
      <c r="AC38" s="16">
        <f t="shared" si="30"/>
        <v>346</v>
      </c>
      <c r="AD38" s="16">
        <f t="shared" si="30"/>
        <v>1</v>
      </c>
      <c r="AE38" s="32">
        <f t="shared" si="30"/>
        <v>580</v>
      </c>
      <c r="AF38" s="32">
        <f t="shared" si="30"/>
        <v>926</v>
      </c>
    </row>
    <row r="39" spans="2:32" ht="23.1" customHeight="1" x14ac:dyDescent="0.25">
      <c r="B39" s="46" t="s">
        <v>66</v>
      </c>
      <c r="C39" s="50">
        <v>9</v>
      </c>
      <c r="D39" s="50">
        <v>2</v>
      </c>
      <c r="E39" s="50">
        <v>3</v>
      </c>
      <c r="F39" s="50">
        <v>4</v>
      </c>
      <c r="G39" s="50">
        <v>0</v>
      </c>
      <c r="H39" s="50">
        <v>3</v>
      </c>
      <c r="I39" s="50">
        <v>2</v>
      </c>
      <c r="J39" s="50">
        <v>3</v>
      </c>
      <c r="K39" s="50">
        <v>1</v>
      </c>
      <c r="L39" s="50">
        <v>0</v>
      </c>
      <c r="M39" s="50">
        <v>11</v>
      </c>
      <c r="N39" s="50">
        <v>0</v>
      </c>
      <c r="O39" s="15">
        <f t="shared" si="0"/>
        <v>27</v>
      </c>
      <c r="P39" s="15">
        <f t="shared" si="1"/>
        <v>38</v>
      </c>
      <c r="R39" s="29" t="s">
        <v>87</v>
      </c>
      <c r="S39" s="16">
        <f t="shared" ref="S39:AF39" si="31">SUM(S19:S21)</f>
        <v>87</v>
      </c>
      <c r="T39" s="16">
        <f t="shared" si="31"/>
        <v>26</v>
      </c>
      <c r="U39" s="16">
        <f t="shared" si="31"/>
        <v>14</v>
      </c>
      <c r="V39" s="16">
        <f t="shared" si="31"/>
        <v>49</v>
      </c>
      <c r="W39" s="16">
        <f t="shared" si="31"/>
        <v>0</v>
      </c>
      <c r="X39" s="16">
        <f t="shared" si="31"/>
        <v>8</v>
      </c>
      <c r="Y39" s="16">
        <f t="shared" si="31"/>
        <v>13</v>
      </c>
      <c r="Z39" s="16">
        <f t="shared" si="31"/>
        <v>13</v>
      </c>
      <c r="AA39" s="16">
        <f t="shared" si="31"/>
        <v>1</v>
      </c>
      <c r="AB39" s="16">
        <f t="shared" si="31"/>
        <v>10</v>
      </c>
      <c r="AC39" s="16">
        <f t="shared" si="31"/>
        <v>200</v>
      </c>
      <c r="AD39" s="16">
        <f t="shared" si="31"/>
        <v>0</v>
      </c>
      <c r="AE39" s="32">
        <f t="shared" si="31"/>
        <v>221</v>
      </c>
      <c r="AF39" s="32">
        <f t="shared" si="31"/>
        <v>421</v>
      </c>
    </row>
    <row r="40" spans="2:32" ht="23.1" customHeight="1" x14ac:dyDescent="0.25">
      <c r="B40" s="46" t="s">
        <v>67</v>
      </c>
      <c r="C40" s="50">
        <v>16</v>
      </c>
      <c r="D40" s="50">
        <v>2</v>
      </c>
      <c r="E40" s="50">
        <v>1</v>
      </c>
      <c r="F40" s="50">
        <v>4</v>
      </c>
      <c r="G40" s="50">
        <v>0</v>
      </c>
      <c r="H40" s="50">
        <v>0</v>
      </c>
      <c r="I40" s="50">
        <v>1</v>
      </c>
      <c r="J40" s="50">
        <v>2</v>
      </c>
      <c r="K40" s="50">
        <v>1</v>
      </c>
      <c r="L40" s="50">
        <v>0</v>
      </c>
      <c r="M40" s="50">
        <v>23</v>
      </c>
      <c r="N40" s="50">
        <v>1</v>
      </c>
      <c r="O40" s="15">
        <f t="shared" si="0"/>
        <v>28</v>
      </c>
      <c r="P40" s="15">
        <f t="shared" si="1"/>
        <v>51</v>
      </c>
      <c r="R40" s="5" t="s">
        <v>17</v>
      </c>
      <c r="S40" s="16">
        <f t="shared" ref="S40:AF40" si="32">SUM(S10:S21)</f>
        <v>385</v>
      </c>
      <c r="T40" s="16">
        <f t="shared" si="32"/>
        <v>139</v>
      </c>
      <c r="U40" s="16">
        <f t="shared" si="32"/>
        <v>59</v>
      </c>
      <c r="V40" s="16">
        <f t="shared" si="32"/>
        <v>195</v>
      </c>
      <c r="W40" s="16">
        <f t="shared" si="32"/>
        <v>7</v>
      </c>
      <c r="X40" s="16">
        <f t="shared" si="32"/>
        <v>23</v>
      </c>
      <c r="Y40" s="16">
        <f t="shared" si="32"/>
        <v>48</v>
      </c>
      <c r="Z40" s="16">
        <f t="shared" si="32"/>
        <v>73</v>
      </c>
      <c r="AA40" s="16">
        <f t="shared" si="32"/>
        <v>19</v>
      </c>
      <c r="AB40" s="16">
        <f t="shared" si="32"/>
        <v>38</v>
      </c>
      <c r="AC40" s="16">
        <f t="shared" si="32"/>
        <v>676</v>
      </c>
      <c r="AD40" s="16">
        <f t="shared" si="32"/>
        <v>2</v>
      </c>
      <c r="AE40" s="32">
        <f t="shared" si="32"/>
        <v>988</v>
      </c>
      <c r="AF40" s="32">
        <f t="shared" si="32"/>
        <v>1664</v>
      </c>
    </row>
    <row r="41" spans="2:32" ht="23.1" customHeight="1" x14ac:dyDescent="0.25">
      <c r="B41" s="45" t="s">
        <v>68</v>
      </c>
      <c r="C41" s="50">
        <v>6</v>
      </c>
      <c r="D41" s="50">
        <v>2</v>
      </c>
      <c r="E41" s="50">
        <v>1</v>
      </c>
      <c r="F41" s="50">
        <v>3</v>
      </c>
      <c r="G41" s="50">
        <v>0</v>
      </c>
      <c r="H41" s="50">
        <v>0</v>
      </c>
      <c r="I41" s="50">
        <v>0</v>
      </c>
      <c r="J41" s="50">
        <v>2</v>
      </c>
      <c r="K41" s="50">
        <v>0</v>
      </c>
      <c r="L41" s="50">
        <v>0</v>
      </c>
      <c r="M41" s="50">
        <v>8</v>
      </c>
      <c r="N41" s="50">
        <v>0</v>
      </c>
      <c r="O41" s="15">
        <f t="shared" si="0"/>
        <v>14</v>
      </c>
      <c r="P41" s="15">
        <f t="shared" si="1"/>
        <v>22</v>
      </c>
      <c r="R41" s="5" t="s">
        <v>159</v>
      </c>
      <c r="S41" s="16">
        <f>SUM(S10:S33)</f>
        <v>523</v>
      </c>
      <c r="T41" s="16">
        <f t="shared" ref="T41:AF41" si="33">SUM(T10:T33)</f>
        <v>205</v>
      </c>
      <c r="U41" s="16">
        <f t="shared" si="33"/>
        <v>119</v>
      </c>
      <c r="V41" s="16">
        <f t="shared" si="33"/>
        <v>299</v>
      </c>
      <c r="W41" s="16">
        <f t="shared" si="33"/>
        <v>15</v>
      </c>
      <c r="X41" s="16">
        <f t="shared" si="33"/>
        <v>33</v>
      </c>
      <c r="Y41" s="16">
        <f t="shared" si="33"/>
        <v>68</v>
      </c>
      <c r="Z41" s="16">
        <f t="shared" si="33"/>
        <v>115</v>
      </c>
      <c r="AA41" s="16">
        <f t="shared" si="33"/>
        <v>82</v>
      </c>
      <c r="AB41" s="16">
        <f t="shared" si="33"/>
        <v>194</v>
      </c>
      <c r="AC41" s="16">
        <f t="shared" si="33"/>
        <v>766</v>
      </c>
      <c r="AD41" s="16">
        <f t="shared" si="33"/>
        <v>2</v>
      </c>
      <c r="AE41" s="32">
        <f t="shared" si="33"/>
        <v>1655</v>
      </c>
      <c r="AF41" s="32">
        <f t="shared" si="33"/>
        <v>2421</v>
      </c>
    </row>
    <row r="42" spans="2:32" ht="23.1" customHeight="1" x14ac:dyDescent="0.25">
      <c r="B42" s="46" t="s">
        <v>69</v>
      </c>
      <c r="C42" s="50">
        <v>6</v>
      </c>
      <c r="D42" s="50">
        <v>2</v>
      </c>
      <c r="E42" s="50">
        <v>2</v>
      </c>
      <c r="F42" s="50">
        <v>4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15</v>
      </c>
      <c r="P42" s="15">
        <f t="shared" si="1"/>
        <v>26</v>
      </c>
      <c r="R42" s="5" t="s">
        <v>160</v>
      </c>
      <c r="S42" s="48">
        <f>S41/S40</f>
        <v>1.3584415584415583</v>
      </c>
      <c r="T42" s="48">
        <f t="shared" ref="T42:AF42" si="34">T41/T40</f>
        <v>1.474820143884892</v>
      </c>
      <c r="U42" s="48">
        <f t="shared" si="34"/>
        <v>2.0169491525423728</v>
      </c>
      <c r="V42" s="48">
        <f t="shared" si="34"/>
        <v>1.5333333333333334</v>
      </c>
      <c r="W42" s="48">
        <f t="shared" si="34"/>
        <v>2.1428571428571428</v>
      </c>
      <c r="X42" s="48">
        <f t="shared" si="34"/>
        <v>1.4347826086956521</v>
      </c>
      <c r="Y42" s="48">
        <f t="shared" si="34"/>
        <v>1.4166666666666667</v>
      </c>
      <c r="Z42" s="48">
        <f t="shared" si="34"/>
        <v>1.5753424657534247</v>
      </c>
      <c r="AA42" s="48">
        <f t="shared" si="34"/>
        <v>4.3157894736842106</v>
      </c>
      <c r="AB42" s="48">
        <f t="shared" si="34"/>
        <v>5.1052631578947372</v>
      </c>
      <c r="AC42" s="48">
        <f t="shared" si="34"/>
        <v>1.1331360946745561</v>
      </c>
      <c r="AD42" s="48">
        <f t="shared" si="34"/>
        <v>1</v>
      </c>
      <c r="AE42" s="48">
        <f t="shared" si="34"/>
        <v>1.6751012145748987</v>
      </c>
      <c r="AF42" s="48">
        <f t="shared" si="34"/>
        <v>1.4549278846153846</v>
      </c>
    </row>
    <row r="43" spans="2:32" ht="23.1" customHeight="1" x14ac:dyDescent="0.25">
      <c r="B43" s="45" t="s">
        <v>70</v>
      </c>
      <c r="C43" s="50">
        <v>6</v>
      </c>
      <c r="D43" s="50">
        <v>2</v>
      </c>
      <c r="E43" s="50">
        <v>1</v>
      </c>
      <c r="F43" s="50">
        <v>4</v>
      </c>
      <c r="G43" s="50">
        <v>0</v>
      </c>
      <c r="H43" s="50">
        <v>1</v>
      </c>
      <c r="I43" s="50">
        <v>2</v>
      </c>
      <c r="J43" s="50">
        <v>2</v>
      </c>
      <c r="K43" s="50">
        <v>0</v>
      </c>
      <c r="L43" s="50">
        <v>1</v>
      </c>
      <c r="M43" s="50">
        <v>21</v>
      </c>
      <c r="N43" s="50">
        <v>0</v>
      </c>
      <c r="O43" s="15">
        <f t="shared" si="0"/>
        <v>19</v>
      </c>
      <c r="P43" s="15">
        <f t="shared" si="1"/>
        <v>40</v>
      </c>
    </row>
    <row r="44" spans="2:32" ht="23.1" customHeight="1" x14ac:dyDescent="0.25">
      <c r="B44" s="47" t="s">
        <v>71</v>
      </c>
      <c r="C44" s="50">
        <v>12</v>
      </c>
      <c r="D44" s="50">
        <v>2</v>
      </c>
      <c r="E44" s="50">
        <v>2</v>
      </c>
      <c r="F44" s="50">
        <v>4</v>
      </c>
      <c r="G44" s="50">
        <v>0</v>
      </c>
      <c r="H44" s="50">
        <v>0</v>
      </c>
      <c r="I44" s="50">
        <v>1</v>
      </c>
      <c r="J44" s="50">
        <v>1</v>
      </c>
      <c r="K44" s="50">
        <v>3</v>
      </c>
      <c r="L44" s="50">
        <v>3</v>
      </c>
      <c r="M44" s="50">
        <v>27</v>
      </c>
      <c r="N44" s="50">
        <v>0</v>
      </c>
      <c r="O44" s="15">
        <f t="shared" si="0"/>
        <v>28</v>
      </c>
      <c r="P44" s="15">
        <f t="shared" si="1"/>
        <v>55</v>
      </c>
    </row>
    <row r="45" spans="2:32" ht="23.1" customHeight="1" x14ac:dyDescent="0.25">
      <c r="B45" s="45" t="s">
        <v>72</v>
      </c>
      <c r="C45" s="50">
        <v>15</v>
      </c>
      <c r="D45" s="50">
        <v>1</v>
      </c>
      <c r="E45" s="50">
        <v>0</v>
      </c>
      <c r="F45" s="50">
        <v>12</v>
      </c>
      <c r="G45" s="50">
        <v>1</v>
      </c>
      <c r="H45" s="50">
        <v>0</v>
      </c>
      <c r="I45" s="50">
        <v>2</v>
      </c>
      <c r="J45" s="50">
        <v>3</v>
      </c>
      <c r="K45" s="50">
        <v>0</v>
      </c>
      <c r="L45" s="50">
        <v>0</v>
      </c>
      <c r="M45" s="50">
        <v>22</v>
      </c>
      <c r="N45" s="50">
        <v>0</v>
      </c>
      <c r="O45" s="15">
        <f t="shared" si="0"/>
        <v>34</v>
      </c>
      <c r="P45" s="15">
        <f t="shared" si="1"/>
        <v>56</v>
      </c>
    </row>
    <row r="46" spans="2:32" ht="23.1" customHeight="1" x14ac:dyDescent="0.25">
      <c r="B46" s="46" t="s">
        <v>73</v>
      </c>
      <c r="C46" s="50">
        <v>8</v>
      </c>
      <c r="D46" s="50">
        <v>5</v>
      </c>
      <c r="E46" s="50">
        <v>2</v>
      </c>
      <c r="F46" s="50">
        <v>4</v>
      </c>
      <c r="G46" s="50">
        <v>0</v>
      </c>
      <c r="H46" s="50">
        <v>1</v>
      </c>
      <c r="I46" s="50">
        <v>1</v>
      </c>
      <c r="J46" s="50">
        <v>1</v>
      </c>
      <c r="K46" s="50">
        <v>0</v>
      </c>
      <c r="L46" s="50">
        <v>3</v>
      </c>
      <c r="M46" s="50">
        <v>18</v>
      </c>
      <c r="N46" s="50">
        <v>0</v>
      </c>
      <c r="O46" s="15">
        <f t="shared" si="0"/>
        <v>25</v>
      </c>
      <c r="P46" s="15">
        <f t="shared" si="1"/>
        <v>43</v>
      </c>
      <c r="R46" s="8"/>
      <c r="T46"/>
    </row>
    <row r="47" spans="2:32" ht="23.1" customHeight="1" x14ac:dyDescent="0.25">
      <c r="B47" s="46" t="s">
        <v>74</v>
      </c>
      <c r="C47" s="50">
        <v>10</v>
      </c>
      <c r="D47" s="50">
        <v>3</v>
      </c>
      <c r="E47" s="50">
        <v>1</v>
      </c>
      <c r="F47" s="50">
        <v>4</v>
      </c>
      <c r="G47" s="50">
        <v>0</v>
      </c>
      <c r="H47" s="50">
        <v>1</v>
      </c>
      <c r="I47" s="50">
        <v>2</v>
      </c>
      <c r="J47" s="50">
        <v>3</v>
      </c>
      <c r="K47" s="50">
        <v>0</v>
      </c>
      <c r="L47" s="50">
        <v>2</v>
      </c>
      <c r="M47" s="50">
        <v>34</v>
      </c>
      <c r="N47" s="50">
        <v>0</v>
      </c>
      <c r="O47" s="15">
        <f t="shared" si="0"/>
        <v>26</v>
      </c>
      <c r="P47" s="15">
        <f t="shared" si="1"/>
        <v>60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1</v>
      </c>
      <c r="E48" s="50">
        <v>0</v>
      </c>
      <c r="F48" s="50">
        <v>1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12</v>
      </c>
      <c r="N48" s="50">
        <v>0</v>
      </c>
      <c r="O48" s="15">
        <f t="shared" si="0"/>
        <v>6</v>
      </c>
      <c r="P48" s="15">
        <f t="shared" si="1"/>
        <v>18</v>
      </c>
      <c r="R48" s="8"/>
      <c r="T48"/>
    </row>
    <row r="49" spans="2:20" ht="23.1" customHeight="1" x14ac:dyDescent="0.25">
      <c r="B49" s="45" t="s">
        <v>76</v>
      </c>
      <c r="C49" s="50">
        <v>10</v>
      </c>
      <c r="D49" s="50">
        <v>3</v>
      </c>
      <c r="E49" s="50">
        <v>3</v>
      </c>
      <c r="F49" s="50">
        <v>6</v>
      </c>
      <c r="G49" s="50">
        <v>0</v>
      </c>
      <c r="H49" s="50">
        <v>3</v>
      </c>
      <c r="I49" s="50">
        <v>0</v>
      </c>
      <c r="J49" s="50">
        <v>2</v>
      </c>
      <c r="K49" s="50">
        <v>0</v>
      </c>
      <c r="L49" s="50">
        <v>1</v>
      </c>
      <c r="M49" s="50">
        <v>22</v>
      </c>
      <c r="N49" s="50">
        <v>0</v>
      </c>
      <c r="O49" s="15">
        <f t="shared" si="0"/>
        <v>28</v>
      </c>
      <c r="P49" s="15">
        <f t="shared" si="1"/>
        <v>50</v>
      </c>
      <c r="R49" s="8"/>
      <c r="T49"/>
    </row>
    <row r="50" spans="2:20" ht="23.1" customHeight="1" x14ac:dyDescent="0.25">
      <c r="B50" s="46" t="s">
        <v>77</v>
      </c>
      <c r="C50" s="50">
        <v>8</v>
      </c>
      <c r="D50" s="50">
        <v>4</v>
      </c>
      <c r="E50" s="50">
        <v>1</v>
      </c>
      <c r="F50" s="50">
        <v>4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9</v>
      </c>
      <c r="N50" s="50">
        <v>0</v>
      </c>
      <c r="O50" s="15">
        <f t="shared" si="0"/>
        <v>17</v>
      </c>
      <c r="P50" s="15">
        <f t="shared" si="1"/>
        <v>26</v>
      </c>
      <c r="R50" s="8"/>
      <c r="T50"/>
    </row>
    <row r="51" spans="2:20" ht="23.1" customHeight="1" x14ac:dyDescent="0.25">
      <c r="B51" s="46" t="s">
        <v>78</v>
      </c>
      <c r="C51" s="50">
        <v>17</v>
      </c>
      <c r="D51" s="50">
        <v>2</v>
      </c>
      <c r="E51" s="50">
        <v>0</v>
      </c>
      <c r="F51" s="50">
        <v>6</v>
      </c>
      <c r="G51" s="50">
        <v>0</v>
      </c>
      <c r="H51" s="50">
        <v>1</v>
      </c>
      <c r="I51" s="50">
        <v>2</v>
      </c>
      <c r="J51" s="50">
        <v>3</v>
      </c>
      <c r="K51" s="50">
        <v>0</v>
      </c>
      <c r="L51" s="50">
        <v>0</v>
      </c>
      <c r="M51" s="50">
        <v>19</v>
      </c>
      <c r="N51" s="50">
        <v>0</v>
      </c>
      <c r="O51" s="15">
        <f t="shared" si="0"/>
        <v>31</v>
      </c>
      <c r="P51" s="15">
        <f t="shared" si="1"/>
        <v>50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0</v>
      </c>
      <c r="E52" s="50">
        <v>2</v>
      </c>
      <c r="F52" s="50">
        <v>5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15</v>
      </c>
      <c r="N52" s="50">
        <v>0</v>
      </c>
      <c r="O52" s="15">
        <f t="shared" si="0"/>
        <v>10</v>
      </c>
      <c r="P52" s="15">
        <f t="shared" si="1"/>
        <v>25</v>
      </c>
      <c r="R52" s="8"/>
      <c r="T52"/>
    </row>
    <row r="53" spans="2:20" ht="23.1" customHeight="1" x14ac:dyDescent="0.25">
      <c r="B53" s="45" t="s">
        <v>80</v>
      </c>
      <c r="C53" s="50">
        <v>9</v>
      </c>
      <c r="D53" s="50">
        <v>1</v>
      </c>
      <c r="E53" s="50">
        <v>2</v>
      </c>
      <c r="F53" s="50">
        <v>4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1</v>
      </c>
      <c r="M53" s="50">
        <v>16</v>
      </c>
      <c r="N53" s="50">
        <v>0</v>
      </c>
      <c r="O53" s="15">
        <f t="shared" si="0"/>
        <v>19</v>
      </c>
      <c r="P53" s="15">
        <f t="shared" si="1"/>
        <v>35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0</v>
      </c>
      <c r="E54" s="50">
        <v>1</v>
      </c>
      <c r="F54" s="50">
        <v>5</v>
      </c>
      <c r="G54" s="50">
        <v>0</v>
      </c>
      <c r="H54" s="50">
        <v>1</v>
      </c>
      <c r="I54" s="50">
        <v>2</v>
      </c>
      <c r="J54" s="50">
        <v>2</v>
      </c>
      <c r="K54" s="50">
        <v>0</v>
      </c>
      <c r="L54" s="50">
        <v>1</v>
      </c>
      <c r="M54" s="50">
        <v>11</v>
      </c>
      <c r="N54" s="50">
        <v>0</v>
      </c>
      <c r="O54" s="15">
        <f t="shared" si="0"/>
        <v>14</v>
      </c>
      <c r="P54" s="15">
        <f t="shared" si="1"/>
        <v>25</v>
      </c>
      <c r="R54" s="8"/>
      <c r="T54"/>
    </row>
    <row r="55" spans="2:20" ht="23.1" customHeight="1" x14ac:dyDescent="0.25">
      <c r="B55" s="45" t="s">
        <v>82</v>
      </c>
      <c r="C55" s="50">
        <v>8</v>
      </c>
      <c r="D55" s="50">
        <v>3</v>
      </c>
      <c r="E55" s="50">
        <v>0</v>
      </c>
      <c r="F55" s="50">
        <v>6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2</v>
      </c>
      <c r="M55" s="50">
        <v>13</v>
      </c>
      <c r="N55" s="50">
        <v>0</v>
      </c>
      <c r="O55" s="15">
        <f t="shared" si="0"/>
        <v>21</v>
      </c>
      <c r="P55" s="15">
        <f t="shared" si="1"/>
        <v>34</v>
      </c>
      <c r="R55" s="8"/>
      <c r="T55"/>
    </row>
    <row r="56" spans="2:20" ht="23.1" customHeight="1" x14ac:dyDescent="0.25">
      <c r="B56" s="45" t="s">
        <v>83</v>
      </c>
      <c r="C56" s="50">
        <v>7</v>
      </c>
      <c r="D56" s="50">
        <v>2</v>
      </c>
      <c r="E56" s="50">
        <v>2</v>
      </c>
      <c r="F56" s="50">
        <v>2</v>
      </c>
      <c r="G56" s="50">
        <v>0</v>
      </c>
      <c r="H56" s="50">
        <v>1</v>
      </c>
      <c r="I56" s="50">
        <v>0</v>
      </c>
      <c r="J56" s="50">
        <v>0</v>
      </c>
      <c r="K56" s="50">
        <v>1</v>
      </c>
      <c r="L56" s="50">
        <v>0</v>
      </c>
      <c r="M56" s="50">
        <v>17</v>
      </c>
      <c r="N56" s="50">
        <v>0</v>
      </c>
      <c r="O56" s="15">
        <f t="shared" si="0"/>
        <v>15</v>
      </c>
      <c r="P56" s="15">
        <f t="shared" si="1"/>
        <v>32</v>
      </c>
      <c r="R56" s="8"/>
      <c r="T56"/>
    </row>
    <row r="57" spans="2:20" ht="23.1" customHeight="1" x14ac:dyDescent="0.25">
      <c r="B57" s="45" t="s">
        <v>84</v>
      </c>
      <c r="C57" s="50">
        <v>4</v>
      </c>
      <c r="D57" s="50">
        <v>2</v>
      </c>
      <c r="E57" s="50">
        <v>0</v>
      </c>
      <c r="F57" s="50">
        <v>2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14</v>
      </c>
      <c r="N57" s="50">
        <v>0</v>
      </c>
      <c r="O57" s="15">
        <f t="shared" si="0"/>
        <v>9</v>
      </c>
      <c r="P57" s="15">
        <f t="shared" si="1"/>
        <v>23</v>
      </c>
      <c r="R57" s="8"/>
      <c r="T57"/>
    </row>
    <row r="58" spans="2:20" ht="23.1" customHeight="1" x14ac:dyDescent="0.25">
      <c r="B58" s="45" t="s">
        <v>99</v>
      </c>
      <c r="C58" s="50">
        <v>13</v>
      </c>
      <c r="D58" s="50">
        <v>2</v>
      </c>
      <c r="E58" s="50">
        <v>7</v>
      </c>
      <c r="F58" s="50">
        <v>13</v>
      </c>
      <c r="G58" s="50">
        <v>3</v>
      </c>
      <c r="H58" s="50">
        <v>0</v>
      </c>
      <c r="I58" s="50">
        <v>3</v>
      </c>
      <c r="J58" s="50">
        <v>5</v>
      </c>
      <c r="K58" s="50">
        <v>8</v>
      </c>
      <c r="L58" s="50">
        <v>10</v>
      </c>
      <c r="M58" s="50">
        <v>13</v>
      </c>
      <c r="N58" s="50">
        <v>0</v>
      </c>
      <c r="O58" s="15">
        <f t="shared" si="0"/>
        <v>64</v>
      </c>
      <c r="P58" s="15">
        <f t="shared" si="1"/>
        <v>77</v>
      </c>
      <c r="R58" s="8"/>
      <c r="T58"/>
    </row>
    <row r="59" spans="2:20" ht="23.1" customHeight="1" x14ac:dyDescent="0.25">
      <c r="B59" s="45" t="s">
        <v>100</v>
      </c>
      <c r="C59" s="50">
        <v>21</v>
      </c>
      <c r="D59" s="50">
        <v>4</v>
      </c>
      <c r="E59" s="50">
        <v>9</v>
      </c>
      <c r="F59" s="50">
        <v>17</v>
      </c>
      <c r="G59" s="50">
        <v>0</v>
      </c>
      <c r="H59" s="50">
        <v>0</v>
      </c>
      <c r="I59" s="50">
        <v>0</v>
      </c>
      <c r="J59" s="50">
        <v>0</v>
      </c>
      <c r="K59" s="50">
        <v>3</v>
      </c>
      <c r="L59" s="50">
        <v>4</v>
      </c>
      <c r="M59" s="50">
        <v>9</v>
      </c>
      <c r="N59" s="50">
        <v>0</v>
      </c>
      <c r="O59" s="15">
        <f t="shared" si="0"/>
        <v>58</v>
      </c>
      <c r="P59" s="15">
        <f t="shared" si="1"/>
        <v>67</v>
      </c>
      <c r="R59" s="8"/>
      <c r="T59"/>
    </row>
    <row r="60" spans="2:20" ht="23.1" customHeight="1" x14ac:dyDescent="0.25">
      <c r="B60" s="45" t="s">
        <v>101</v>
      </c>
      <c r="C60" s="50">
        <v>9</v>
      </c>
      <c r="D60" s="50">
        <v>1</v>
      </c>
      <c r="E60" s="50">
        <v>6</v>
      </c>
      <c r="F60" s="50">
        <v>4</v>
      </c>
      <c r="G60" s="50">
        <v>0</v>
      </c>
      <c r="H60" s="50">
        <v>1</v>
      </c>
      <c r="I60" s="50">
        <v>2</v>
      </c>
      <c r="J60" s="50">
        <v>3</v>
      </c>
      <c r="K60" s="50">
        <v>0</v>
      </c>
      <c r="L60" s="50">
        <v>3</v>
      </c>
      <c r="M60" s="50">
        <v>7</v>
      </c>
      <c r="N60" s="50">
        <v>0</v>
      </c>
      <c r="O60" s="15">
        <f t="shared" si="0"/>
        <v>29</v>
      </c>
      <c r="P60" s="15">
        <f t="shared" si="1"/>
        <v>36</v>
      </c>
      <c r="R60" s="8"/>
      <c r="T60"/>
    </row>
    <row r="61" spans="2:20" ht="23.1" customHeight="1" x14ac:dyDescent="0.25">
      <c r="B61" s="45" t="s">
        <v>102</v>
      </c>
      <c r="C61" s="50">
        <v>10</v>
      </c>
      <c r="D61" s="50">
        <v>4</v>
      </c>
      <c r="E61" s="50">
        <v>0</v>
      </c>
      <c r="F61" s="50">
        <v>0</v>
      </c>
      <c r="G61" s="50">
        <v>0</v>
      </c>
      <c r="H61" s="50">
        <v>0</v>
      </c>
      <c r="I61" s="50">
        <v>3</v>
      </c>
      <c r="J61" s="50">
        <v>0</v>
      </c>
      <c r="K61" s="50">
        <v>0</v>
      </c>
      <c r="L61" s="50">
        <v>3</v>
      </c>
      <c r="M61" s="50">
        <v>11</v>
      </c>
      <c r="N61" s="50">
        <v>0</v>
      </c>
      <c r="O61" s="15">
        <f t="shared" si="0"/>
        <v>20</v>
      </c>
      <c r="P61" s="15">
        <f t="shared" si="1"/>
        <v>31</v>
      </c>
      <c r="R61" s="8"/>
      <c r="T61"/>
    </row>
    <row r="62" spans="2:20" ht="23.1" customHeight="1" x14ac:dyDescent="0.25">
      <c r="B62" s="45" t="s">
        <v>107</v>
      </c>
      <c r="C62" s="50">
        <v>7</v>
      </c>
      <c r="D62" s="50">
        <v>8</v>
      </c>
      <c r="E62" s="50">
        <v>0</v>
      </c>
      <c r="F62" s="50">
        <v>1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1</v>
      </c>
      <c r="M62" s="50">
        <v>10</v>
      </c>
      <c r="N62" s="50">
        <v>0</v>
      </c>
      <c r="O62" s="15">
        <f t="shared" si="0"/>
        <v>17</v>
      </c>
      <c r="P62" s="15">
        <f t="shared" si="1"/>
        <v>27</v>
      </c>
      <c r="R62" s="8"/>
      <c r="T62"/>
    </row>
    <row r="63" spans="2:20" ht="23.1" customHeight="1" x14ac:dyDescent="0.25">
      <c r="B63" s="45" t="s">
        <v>108</v>
      </c>
      <c r="C63" s="50">
        <v>6</v>
      </c>
      <c r="D63" s="50">
        <v>5</v>
      </c>
      <c r="E63" s="50">
        <v>0</v>
      </c>
      <c r="F63" s="50">
        <v>5</v>
      </c>
      <c r="G63" s="50">
        <v>0</v>
      </c>
      <c r="H63" s="50">
        <v>0</v>
      </c>
      <c r="I63" s="50">
        <v>2</v>
      </c>
      <c r="J63" s="50">
        <v>1</v>
      </c>
      <c r="K63" s="50">
        <v>0</v>
      </c>
      <c r="L63" s="50">
        <v>1</v>
      </c>
      <c r="M63" s="50">
        <v>4</v>
      </c>
      <c r="N63" s="50">
        <v>0</v>
      </c>
      <c r="O63" s="15">
        <f t="shared" si="0"/>
        <v>20</v>
      </c>
      <c r="P63" s="15">
        <f t="shared" si="1"/>
        <v>24</v>
      </c>
      <c r="R63" s="8"/>
      <c r="T63"/>
    </row>
    <row r="64" spans="2:20" ht="23.1" customHeight="1" x14ac:dyDescent="0.25">
      <c r="B64" s="45" t="s">
        <v>109</v>
      </c>
      <c r="C64" s="50">
        <v>5</v>
      </c>
      <c r="D64" s="50">
        <v>0</v>
      </c>
      <c r="E64" s="50">
        <v>4</v>
      </c>
      <c r="F64" s="50">
        <v>2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0"/>
        <v>12</v>
      </c>
      <c r="P64" s="15">
        <f t="shared" si="1"/>
        <v>12</v>
      </c>
      <c r="R64" s="8"/>
      <c r="T64"/>
    </row>
    <row r="65" spans="2:20" ht="23.1" customHeight="1" x14ac:dyDescent="0.25">
      <c r="B65" s="45" t="s">
        <v>158</v>
      </c>
      <c r="C65" s="50">
        <v>6</v>
      </c>
      <c r="D65" s="50">
        <v>0</v>
      </c>
      <c r="E65" s="50">
        <v>0</v>
      </c>
      <c r="F65" s="50">
        <v>3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4</v>
      </c>
      <c r="M65" s="50">
        <v>3</v>
      </c>
      <c r="N65" s="50">
        <v>0</v>
      </c>
      <c r="O65" s="15">
        <f t="shared" si="0"/>
        <v>13</v>
      </c>
      <c r="P65" s="15">
        <f t="shared" si="1"/>
        <v>16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0</v>
      </c>
      <c r="E66" s="50">
        <v>4</v>
      </c>
      <c r="F66" s="50">
        <v>0</v>
      </c>
      <c r="G66" s="50">
        <v>0</v>
      </c>
      <c r="H66" s="50">
        <v>0</v>
      </c>
      <c r="I66" s="50">
        <v>0</v>
      </c>
      <c r="J66" s="50">
        <v>1</v>
      </c>
      <c r="K66" s="50">
        <v>0</v>
      </c>
      <c r="L66" s="50">
        <v>0</v>
      </c>
      <c r="M66" s="50">
        <v>8</v>
      </c>
      <c r="N66" s="50">
        <v>0</v>
      </c>
      <c r="O66" s="15">
        <f t="shared" si="0"/>
        <v>8</v>
      </c>
      <c r="P66" s="15">
        <f t="shared" si="1"/>
        <v>16</v>
      </c>
      <c r="R66" s="8"/>
      <c r="T66"/>
    </row>
    <row r="67" spans="2:20" ht="23.1" customHeight="1" x14ac:dyDescent="0.25">
      <c r="B67" s="45" t="s">
        <v>104</v>
      </c>
      <c r="C67" s="50">
        <v>9</v>
      </c>
      <c r="D67" s="50">
        <v>0</v>
      </c>
      <c r="E67" s="50">
        <v>0</v>
      </c>
      <c r="F67" s="50">
        <v>2</v>
      </c>
      <c r="G67" s="50">
        <v>0</v>
      </c>
      <c r="H67" s="50">
        <v>2</v>
      </c>
      <c r="I67" s="50">
        <v>0</v>
      </c>
      <c r="J67" s="50">
        <v>1</v>
      </c>
      <c r="K67" s="50">
        <v>0</v>
      </c>
      <c r="L67" s="50">
        <v>1</v>
      </c>
      <c r="M67" s="50">
        <v>2</v>
      </c>
      <c r="N67" s="50">
        <v>0</v>
      </c>
      <c r="O67" s="15">
        <f t="shared" si="0"/>
        <v>15</v>
      </c>
      <c r="P67" s="15">
        <f t="shared" si="1"/>
        <v>17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0</v>
      </c>
      <c r="E68" s="50">
        <v>1</v>
      </c>
      <c r="F68" s="50">
        <v>2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2</v>
      </c>
      <c r="M68" s="50">
        <v>2</v>
      </c>
      <c r="N68" s="50">
        <v>0</v>
      </c>
      <c r="O68" s="15">
        <f t="shared" si="0"/>
        <v>6</v>
      </c>
      <c r="P68" s="15">
        <f t="shared" si="1"/>
        <v>8</v>
      </c>
      <c r="R68" s="8"/>
      <c r="T68"/>
    </row>
    <row r="69" spans="2:20" ht="23.1" customHeight="1" x14ac:dyDescent="0.25">
      <c r="B69" s="45" t="s">
        <v>106</v>
      </c>
      <c r="C69" s="50">
        <v>7</v>
      </c>
      <c r="D69" s="50">
        <v>1</v>
      </c>
      <c r="E69" s="50">
        <v>1</v>
      </c>
      <c r="F69" s="50">
        <v>1</v>
      </c>
      <c r="G69" s="50">
        <v>0</v>
      </c>
      <c r="H69" s="50">
        <v>2</v>
      </c>
      <c r="I69" s="50">
        <v>1</v>
      </c>
      <c r="J69" s="50">
        <v>2</v>
      </c>
      <c r="K69" s="50">
        <v>0</v>
      </c>
      <c r="L69" s="50">
        <v>0</v>
      </c>
      <c r="M69" s="50">
        <v>1</v>
      </c>
      <c r="N69" s="50">
        <v>0</v>
      </c>
      <c r="O69" s="15">
        <f t="shared" si="0"/>
        <v>15</v>
      </c>
      <c r="P69" s="15">
        <f t="shared" si="1"/>
        <v>16</v>
      </c>
      <c r="R69" s="8"/>
      <c r="T69"/>
    </row>
    <row r="70" spans="2:20" ht="23.1" customHeight="1" x14ac:dyDescent="0.25">
      <c r="B70" s="45" t="s">
        <v>110</v>
      </c>
      <c r="C70" s="50">
        <v>4</v>
      </c>
      <c r="D70" s="50">
        <v>2</v>
      </c>
      <c r="E70" s="50">
        <v>0</v>
      </c>
      <c r="F70" s="50">
        <v>2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8</v>
      </c>
      <c r="P70" s="15">
        <f t="shared" si="1"/>
        <v>8</v>
      </c>
      <c r="R70" s="8"/>
      <c r="T70"/>
    </row>
    <row r="71" spans="2:20" ht="23.1" customHeight="1" x14ac:dyDescent="0.25">
      <c r="B71" s="45" t="s">
        <v>111</v>
      </c>
      <c r="C71" s="50">
        <v>5</v>
      </c>
      <c r="D71" s="50">
        <v>1</v>
      </c>
      <c r="E71" s="50">
        <v>4</v>
      </c>
      <c r="F71" s="50">
        <v>3</v>
      </c>
      <c r="G71" s="50">
        <v>1</v>
      </c>
      <c r="H71" s="50">
        <v>3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17</v>
      </c>
      <c r="P71" s="15">
        <f t="shared" si="1"/>
        <v>17</v>
      </c>
      <c r="R71" s="8"/>
      <c r="T71"/>
    </row>
    <row r="72" spans="2:20" ht="23.1" customHeight="1" x14ac:dyDescent="0.25">
      <c r="B72" s="45" t="s">
        <v>112</v>
      </c>
      <c r="C72" s="50">
        <v>5</v>
      </c>
      <c r="D72" s="50">
        <v>4</v>
      </c>
      <c r="E72" s="50">
        <v>1</v>
      </c>
      <c r="F72" s="50">
        <v>2</v>
      </c>
      <c r="G72" s="50">
        <v>0</v>
      </c>
      <c r="H72" s="50">
        <v>0</v>
      </c>
      <c r="I72" s="50">
        <v>0</v>
      </c>
      <c r="J72" s="50">
        <v>3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15</v>
      </c>
      <c r="P72" s="15">
        <f t="shared" si="1"/>
        <v>15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1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2</v>
      </c>
      <c r="N73" s="50">
        <v>0</v>
      </c>
      <c r="O73" s="15">
        <f t="shared" si="0"/>
        <v>3</v>
      </c>
      <c r="P73" s="15">
        <f t="shared" si="1"/>
        <v>5</v>
      </c>
      <c r="R73" s="8"/>
      <c r="T73"/>
    </row>
    <row r="74" spans="2:20" ht="23.1" customHeight="1" x14ac:dyDescent="0.25">
      <c r="B74" s="45" t="s">
        <v>114</v>
      </c>
      <c r="C74" s="50">
        <v>3</v>
      </c>
      <c r="D74" s="50">
        <v>0</v>
      </c>
      <c r="E74" s="50">
        <v>0</v>
      </c>
      <c r="F74" s="50">
        <v>0</v>
      </c>
      <c r="G74" s="50">
        <v>0</v>
      </c>
      <c r="H74" s="50">
        <v>1</v>
      </c>
      <c r="I74" s="50">
        <v>0</v>
      </c>
      <c r="J74" s="50">
        <v>0</v>
      </c>
      <c r="K74" s="50">
        <v>0</v>
      </c>
      <c r="L74" s="50">
        <v>4</v>
      </c>
      <c r="M74" s="50">
        <v>0</v>
      </c>
      <c r="N74" s="50">
        <v>0</v>
      </c>
      <c r="O74" s="15">
        <f t="shared" ref="O74:O105" si="35">SUM(C74:L74,N74)</f>
        <v>8</v>
      </c>
      <c r="P74" s="15">
        <f t="shared" ref="P74:P105" si="36">SUM(C74:N74)</f>
        <v>8</v>
      </c>
      <c r="R74" s="8"/>
      <c r="T74"/>
    </row>
    <row r="75" spans="2:20" ht="23.1" customHeight="1" x14ac:dyDescent="0.25">
      <c r="B75" s="45" t="s">
        <v>115</v>
      </c>
      <c r="C75" s="50">
        <v>6</v>
      </c>
      <c r="D75" s="50">
        <v>2</v>
      </c>
      <c r="E75" s="50">
        <v>0</v>
      </c>
      <c r="F75" s="50">
        <v>4</v>
      </c>
      <c r="G75" s="50">
        <v>0</v>
      </c>
      <c r="H75" s="50">
        <v>0</v>
      </c>
      <c r="I75" s="50">
        <v>0</v>
      </c>
      <c r="J75" s="50">
        <v>4</v>
      </c>
      <c r="K75" s="50">
        <v>2</v>
      </c>
      <c r="L75" s="50">
        <v>3</v>
      </c>
      <c r="M75" s="50">
        <v>0</v>
      </c>
      <c r="N75" s="50">
        <v>0</v>
      </c>
      <c r="O75" s="15">
        <f t="shared" si="35"/>
        <v>21</v>
      </c>
      <c r="P75" s="15">
        <f t="shared" si="36"/>
        <v>21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2</v>
      </c>
      <c r="F76" s="50">
        <v>0</v>
      </c>
      <c r="G76" s="50">
        <v>0</v>
      </c>
      <c r="H76" s="50">
        <v>0</v>
      </c>
      <c r="I76" s="50">
        <v>1</v>
      </c>
      <c r="J76" s="50">
        <v>0</v>
      </c>
      <c r="K76" s="50">
        <v>1</v>
      </c>
      <c r="L76" s="50">
        <v>5</v>
      </c>
      <c r="M76" s="50">
        <v>0</v>
      </c>
      <c r="N76" s="50">
        <v>0</v>
      </c>
      <c r="O76" s="15">
        <f t="shared" si="35"/>
        <v>9</v>
      </c>
      <c r="P76" s="15">
        <f t="shared" si="36"/>
        <v>9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3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4</v>
      </c>
      <c r="P77" s="15">
        <f t="shared" si="36"/>
        <v>4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3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4</v>
      </c>
      <c r="L78" s="50">
        <v>1</v>
      </c>
      <c r="M78" s="50">
        <v>1</v>
      </c>
      <c r="N78" s="50">
        <v>0</v>
      </c>
      <c r="O78" s="15">
        <f t="shared" si="35"/>
        <v>8</v>
      </c>
      <c r="P78" s="15">
        <f t="shared" si="36"/>
        <v>9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2</v>
      </c>
      <c r="F79" s="50">
        <v>4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7</v>
      </c>
      <c r="P79" s="15">
        <f t="shared" si="36"/>
        <v>8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1</v>
      </c>
      <c r="G80" s="50">
        <v>0</v>
      </c>
      <c r="H80" s="50">
        <v>1</v>
      </c>
      <c r="I80" s="50">
        <v>0</v>
      </c>
      <c r="J80" s="50">
        <v>2</v>
      </c>
      <c r="K80" s="50">
        <v>0</v>
      </c>
      <c r="L80" s="50">
        <v>3</v>
      </c>
      <c r="M80" s="50">
        <v>0</v>
      </c>
      <c r="N80" s="50">
        <v>0</v>
      </c>
      <c r="O80" s="15">
        <f t="shared" si="35"/>
        <v>7</v>
      </c>
      <c r="P80" s="15">
        <f t="shared" si="36"/>
        <v>7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1</v>
      </c>
      <c r="E81" s="50">
        <v>0</v>
      </c>
      <c r="F81" s="50">
        <v>1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2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4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1</v>
      </c>
      <c r="L82" s="50">
        <v>3</v>
      </c>
      <c r="M82" s="50">
        <v>0</v>
      </c>
      <c r="N82" s="50">
        <v>0</v>
      </c>
      <c r="O82" s="15">
        <f t="shared" si="35"/>
        <v>8</v>
      </c>
      <c r="P82" s="15">
        <f t="shared" si="36"/>
        <v>8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0</v>
      </c>
      <c r="E83" s="50">
        <v>2</v>
      </c>
      <c r="F83" s="50">
        <v>0</v>
      </c>
      <c r="G83" s="50">
        <v>1</v>
      </c>
      <c r="H83" s="50">
        <v>0</v>
      </c>
      <c r="I83" s="50">
        <v>0</v>
      </c>
      <c r="J83" s="50">
        <v>3</v>
      </c>
      <c r="K83" s="50">
        <v>0</v>
      </c>
      <c r="L83" s="50">
        <v>1</v>
      </c>
      <c r="M83" s="50">
        <v>0</v>
      </c>
      <c r="N83" s="50">
        <v>0</v>
      </c>
      <c r="O83" s="15">
        <f t="shared" si="35"/>
        <v>9</v>
      </c>
      <c r="P83" s="15">
        <f t="shared" si="36"/>
        <v>9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4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6</v>
      </c>
      <c r="L84" s="50">
        <v>8</v>
      </c>
      <c r="M84" s="50">
        <v>0</v>
      </c>
      <c r="N84" s="50">
        <v>0</v>
      </c>
      <c r="O84" s="15">
        <f t="shared" si="35"/>
        <v>19</v>
      </c>
      <c r="P84" s="15">
        <f t="shared" si="36"/>
        <v>19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1</v>
      </c>
      <c r="E85" s="50">
        <v>0</v>
      </c>
      <c r="F85" s="50">
        <v>0</v>
      </c>
      <c r="G85" s="50">
        <v>1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2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2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1</v>
      </c>
      <c r="K86" s="50">
        <v>4</v>
      </c>
      <c r="L86" s="50">
        <v>7</v>
      </c>
      <c r="M86" s="50">
        <v>0</v>
      </c>
      <c r="N86" s="50">
        <v>0</v>
      </c>
      <c r="O86" s="15">
        <f t="shared" si="35"/>
        <v>15</v>
      </c>
      <c r="P86" s="15">
        <f t="shared" si="36"/>
        <v>15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2</v>
      </c>
      <c r="G88" s="50">
        <v>0</v>
      </c>
      <c r="H88" s="50">
        <v>0</v>
      </c>
      <c r="I88" s="50">
        <v>0</v>
      </c>
      <c r="J88" s="50">
        <v>0</v>
      </c>
      <c r="K88" s="50">
        <v>1</v>
      </c>
      <c r="L88" s="50">
        <v>2</v>
      </c>
      <c r="M88" s="50">
        <v>0</v>
      </c>
      <c r="N88" s="50">
        <v>0</v>
      </c>
      <c r="O88" s="15">
        <f t="shared" si="35"/>
        <v>5</v>
      </c>
      <c r="P88" s="15">
        <f t="shared" si="36"/>
        <v>5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2</v>
      </c>
      <c r="L91" s="50">
        <v>3</v>
      </c>
      <c r="M91" s="50">
        <v>0</v>
      </c>
      <c r="N91" s="50">
        <v>0</v>
      </c>
      <c r="O91" s="15">
        <f t="shared" si="35"/>
        <v>5</v>
      </c>
      <c r="P91" s="15">
        <f t="shared" si="36"/>
        <v>5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2</v>
      </c>
      <c r="J92" s="50">
        <v>0</v>
      </c>
      <c r="K92" s="50">
        <v>1</v>
      </c>
      <c r="L92" s="50">
        <v>5</v>
      </c>
      <c r="M92" s="50">
        <v>0</v>
      </c>
      <c r="N92" s="50">
        <v>0</v>
      </c>
      <c r="O92" s="15">
        <f t="shared" si="35"/>
        <v>8</v>
      </c>
      <c r="P92" s="15">
        <f t="shared" si="36"/>
        <v>8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1</v>
      </c>
      <c r="E93" s="50">
        <v>2</v>
      </c>
      <c r="F93" s="50">
        <v>0</v>
      </c>
      <c r="G93" s="50">
        <v>0</v>
      </c>
      <c r="H93" s="50">
        <v>0</v>
      </c>
      <c r="I93" s="50">
        <v>0</v>
      </c>
      <c r="J93" s="50">
        <v>2</v>
      </c>
      <c r="K93" s="50">
        <v>0</v>
      </c>
      <c r="L93" s="50">
        <v>1</v>
      </c>
      <c r="M93" s="50">
        <v>0</v>
      </c>
      <c r="N93" s="50">
        <v>0</v>
      </c>
      <c r="O93" s="15">
        <f t="shared" si="35"/>
        <v>6</v>
      </c>
      <c r="P93" s="15">
        <f t="shared" si="36"/>
        <v>6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6</v>
      </c>
      <c r="M94" s="50">
        <v>0</v>
      </c>
      <c r="N94" s="50">
        <v>0</v>
      </c>
      <c r="O94" s="15">
        <f t="shared" si="35"/>
        <v>6</v>
      </c>
      <c r="P94" s="15">
        <f t="shared" si="36"/>
        <v>6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2</v>
      </c>
      <c r="K95" s="50">
        <v>1</v>
      </c>
      <c r="L95" s="50">
        <v>4</v>
      </c>
      <c r="M95" s="50">
        <v>0</v>
      </c>
      <c r="N95" s="50">
        <v>0</v>
      </c>
      <c r="O95" s="15">
        <f t="shared" si="35"/>
        <v>7</v>
      </c>
      <c r="P95" s="15">
        <f t="shared" si="36"/>
        <v>7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5</v>
      </c>
      <c r="L96" s="50">
        <v>9</v>
      </c>
      <c r="M96" s="50">
        <v>0</v>
      </c>
      <c r="N96" s="50">
        <v>0</v>
      </c>
      <c r="O96" s="15">
        <f t="shared" si="35"/>
        <v>14</v>
      </c>
      <c r="P96" s="15">
        <f t="shared" si="36"/>
        <v>14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3</v>
      </c>
      <c r="G97" s="50">
        <v>0</v>
      </c>
      <c r="H97" s="50">
        <v>0</v>
      </c>
      <c r="I97" s="50">
        <v>1</v>
      </c>
      <c r="J97" s="50">
        <v>0</v>
      </c>
      <c r="K97" s="50">
        <v>4</v>
      </c>
      <c r="L97" s="50">
        <v>8</v>
      </c>
      <c r="M97" s="50">
        <v>0</v>
      </c>
      <c r="N97" s="50">
        <v>0</v>
      </c>
      <c r="O97" s="15">
        <f t="shared" si="35"/>
        <v>16</v>
      </c>
      <c r="P97" s="15">
        <f t="shared" si="36"/>
        <v>16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2</v>
      </c>
      <c r="F98" s="50">
        <v>5</v>
      </c>
      <c r="G98" s="50">
        <v>0</v>
      </c>
      <c r="H98" s="50">
        <v>0</v>
      </c>
      <c r="I98" s="50">
        <v>0</v>
      </c>
      <c r="J98" s="50">
        <v>0</v>
      </c>
      <c r="K98" s="50">
        <v>3</v>
      </c>
      <c r="L98" s="50">
        <v>8</v>
      </c>
      <c r="M98" s="50">
        <v>0</v>
      </c>
      <c r="N98" s="50">
        <v>0</v>
      </c>
      <c r="O98" s="15">
        <f t="shared" si="35"/>
        <v>19</v>
      </c>
      <c r="P98" s="15">
        <f t="shared" si="36"/>
        <v>19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2</v>
      </c>
      <c r="E99" s="50">
        <v>1</v>
      </c>
      <c r="F99" s="50">
        <v>1</v>
      </c>
      <c r="G99" s="50">
        <v>0</v>
      </c>
      <c r="H99" s="50">
        <v>0</v>
      </c>
      <c r="I99" s="50">
        <v>1</v>
      </c>
      <c r="J99" s="50">
        <v>3</v>
      </c>
      <c r="K99" s="50">
        <v>0</v>
      </c>
      <c r="L99" s="50">
        <v>2</v>
      </c>
      <c r="M99" s="50">
        <v>0</v>
      </c>
      <c r="N99" s="50">
        <v>0</v>
      </c>
      <c r="O99" s="15">
        <f t="shared" si="35"/>
        <v>10</v>
      </c>
      <c r="P99" s="15">
        <f t="shared" si="36"/>
        <v>10</v>
      </c>
      <c r="R99" s="8"/>
      <c r="T99"/>
    </row>
    <row r="100" spans="2:20" ht="23.1" customHeight="1" x14ac:dyDescent="0.25">
      <c r="B100" s="47" t="s">
        <v>140</v>
      </c>
      <c r="C100" s="50">
        <v>2</v>
      </c>
      <c r="D100" s="50">
        <v>0</v>
      </c>
      <c r="E100" s="50">
        <v>4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5</v>
      </c>
      <c r="L100" s="50">
        <v>10</v>
      </c>
      <c r="M100" s="50">
        <v>2</v>
      </c>
      <c r="N100" s="50">
        <v>0</v>
      </c>
      <c r="O100" s="15">
        <f t="shared" si="35"/>
        <v>21</v>
      </c>
      <c r="P100" s="15">
        <f t="shared" si="36"/>
        <v>23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5</v>
      </c>
      <c r="E101" s="50">
        <v>2</v>
      </c>
      <c r="F101" s="50">
        <v>5</v>
      </c>
      <c r="G101" s="50">
        <v>0</v>
      </c>
      <c r="H101" s="50">
        <v>0</v>
      </c>
      <c r="I101" s="50">
        <v>0</v>
      </c>
      <c r="J101" s="50">
        <v>0</v>
      </c>
      <c r="K101" s="50">
        <v>3</v>
      </c>
      <c r="L101" s="50">
        <v>4</v>
      </c>
      <c r="M101" s="50">
        <v>4</v>
      </c>
      <c r="N101" s="50">
        <v>0</v>
      </c>
      <c r="O101" s="15">
        <f t="shared" si="35"/>
        <v>20</v>
      </c>
      <c r="P101" s="15">
        <f t="shared" si="36"/>
        <v>24</v>
      </c>
      <c r="R101" s="8"/>
      <c r="T101"/>
    </row>
    <row r="102" spans="2:20" ht="23.1" customHeight="1" x14ac:dyDescent="0.25">
      <c r="B102" s="46" t="s">
        <v>142</v>
      </c>
      <c r="C102" s="50">
        <v>4</v>
      </c>
      <c r="D102" s="50">
        <v>2</v>
      </c>
      <c r="E102" s="50">
        <v>0</v>
      </c>
      <c r="F102" s="50">
        <v>6</v>
      </c>
      <c r="G102" s="50">
        <v>0</v>
      </c>
      <c r="H102" s="50">
        <v>0</v>
      </c>
      <c r="I102" s="50">
        <v>0</v>
      </c>
      <c r="J102" s="50">
        <v>2</v>
      </c>
      <c r="K102" s="50">
        <v>3</v>
      </c>
      <c r="L102" s="50">
        <v>10</v>
      </c>
      <c r="M102" s="50">
        <v>0</v>
      </c>
      <c r="N102" s="50">
        <v>0</v>
      </c>
      <c r="O102" s="15">
        <f t="shared" si="35"/>
        <v>27</v>
      </c>
      <c r="P102" s="15">
        <f t="shared" si="36"/>
        <v>27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1</v>
      </c>
      <c r="E103" s="50">
        <v>3</v>
      </c>
      <c r="F103" s="50">
        <v>4</v>
      </c>
      <c r="G103" s="50">
        <v>0</v>
      </c>
      <c r="H103" s="50">
        <v>0</v>
      </c>
      <c r="I103" s="50">
        <v>2</v>
      </c>
      <c r="J103" s="50">
        <v>1</v>
      </c>
      <c r="K103" s="50">
        <v>0</v>
      </c>
      <c r="L103" s="50">
        <v>4</v>
      </c>
      <c r="M103" s="50">
        <v>0</v>
      </c>
      <c r="N103" s="50">
        <v>0</v>
      </c>
      <c r="O103" s="15">
        <f t="shared" si="35"/>
        <v>16</v>
      </c>
      <c r="P103" s="15">
        <f t="shared" si="36"/>
        <v>16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2</v>
      </c>
      <c r="H104" s="50">
        <v>0</v>
      </c>
      <c r="I104" s="50">
        <v>1</v>
      </c>
      <c r="J104" s="50">
        <v>4</v>
      </c>
      <c r="K104" s="50">
        <v>5</v>
      </c>
      <c r="L104" s="50">
        <v>7</v>
      </c>
      <c r="M104" s="50">
        <v>6</v>
      </c>
      <c r="N104" s="50">
        <v>0</v>
      </c>
      <c r="O104" s="15">
        <f t="shared" si="35"/>
        <v>19</v>
      </c>
      <c r="P104" s="15">
        <f t="shared" si="36"/>
        <v>25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5</v>
      </c>
      <c r="E105" s="50">
        <v>2</v>
      </c>
      <c r="F105" s="50">
        <v>8</v>
      </c>
      <c r="G105" s="50">
        <v>0</v>
      </c>
      <c r="H105" s="50">
        <v>0</v>
      </c>
      <c r="I105" s="50">
        <v>0</v>
      </c>
      <c r="J105" s="50">
        <v>2</v>
      </c>
      <c r="K105" s="50">
        <v>1</v>
      </c>
      <c r="L105" s="50">
        <v>9</v>
      </c>
      <c r="M105" s="50">
        <v>4</v>
      </c>
      <c r="N105" s="50">
        <v>0</v>
      </c>
      <c r="O105" s="15">
        <f t="shared" si="35"/>
        <v>29</v>
      </c>
      <c r="P105" s="15">
        <f t="shared" si="36"/>
        <v>33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523</v>
      </c>
      <c r="D106" s="16">
        <f t="shared" ref="D106:P106" si="37">SUM(D10:D105)</f>
        <v>205</v>
      </c>
      <c r="E106" s="16">
        <f t="shared" si="37"/>
        <v>119</v>
      </c>
      <c r="F106" s="16">
        <f t="shared" si="37"/>
        <v>299</v>
      </c>
      <c r="G106" s="16">
        <f t="shared" si="37"/>
        <v>15</v>
      </c>
      <c r="H106" s="16">
        <f t="shared" si="37"/>
        <v>33</v>
      </c>
      <c r="I106" s="16">
        <f t="shared" si="37"/>
        <v>68</v>
      </c>
      <c r="J106" s="16">
        <f t="shared" si="37"/>
        <v>115</v>
      </c>
      <c r="K106" s="16">
        <f t="shared" si="37"/>
        <v>82</v>
      </c>
      <c r="L106" s="16">
        <f t="shared" si="37"/>
        <v>194</v>
      </c>
      <c r="M106" s="16">
        <f t="shared" si="37"/>
        <v>766</v>
      </c>
      <c r="N106" s="16">
        <f t="shared" si="37"/>
        <v>2</v>
      </c>
      <c r="O106" s="16">
        <f t="shared" si="37"/>
        <v>1655</v>
      </c>
      <c r="P106" s="16">
        <f t="shared" si="37"/>
        <v>2421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0.21602643535729038</v>
      </c>
      <c r="D107" s="43">
        <f t="shared" si="38"/>
        <v>8.4675753820735236E-2</v>
      </c>
      <c r="E107" s="43">
        <f t="shared" si="38"/>
        <v>4.9153242461792646E-2</v>
      </c>
      <c r="F107" s="43">
        <f t="shared" si="38"/>
        <v>0.12350268484097481</v>
      </c>
      <c r="G107" s="43">
        <f t="shared" si="38"/>
        <v>6.1957868649318466E-3</v>
      </c>
      <c r="H107" s="43">
        <f t="shared" si="38"/>
        <v>1.3630731102850062E-2</v>
      </c>
      <c r="I107" s="43">
        <f t="shared" si="38"/>
        <v>2.8087567121024368E-2</v>
      </c>
      <c r="J107" s="43">
        <f t="shared" si="38"/>
        <v>4.7501032631144156E-2</v>
      </c>
      <c r="K107" s="43">
        <f t="shared" si="38"/>
        <v>3.3870301528294094E-2</v>
      </c>
      <c r="L107" s="43">
        <f t="shared" si="38"/>
        <v>8.0132176786451875E-2</v>
      </c>
      <c r="M107" s="43">
        <f t="shared" si="38"/>
        <v>0.31639818256918628</v>
      </c>
      <c r="N107" s="43">
        <f t="shared" si="38"/>
        <v>8.2610491532424622E-4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0.31601208459214503</v>
      </c>
      <c r="D108" s="44">
        <f t="shared" ref="D108:N108" si="39">D106/$O$106</f>
        <v>0.12386706948640483</v>
      </c>
      <c r="E108" s="44">
        <f t="shared" si="39"/>
        <v>7.190332326283988E-2</v>
      </c>
      <c r="F108" s="44">
        <f t="shared" si="39"/>
        <v>0.18066465256797584</v>
      </c>
      <c r="G108" s="44">
        <f t="shared" si="39"/>
        <v>9.0634441087613302E-3</v>
      </c>
      <c r="H108" s="44">
        <f t="shared" si="39"/>
        <v>1.9939577039274924E-2</v>
      </c>
      <c r="I108" s="44">
        <f t="shared" si="39"/>
        <v>4.1087613293051363E-2</v>
      </c>
      <c r="J108" s="44">
        <f t="shared" si="39"/>
        <v>6.9486404833836862E-2</v>
      </c>
      <c r="K108" s="44">
        <f t="shared" si="39"/>
        <v>4.9546827794561932E-2</v>
      </c>
      <c r="L108" s="44">
        <f t="shared" si="39"/>
        <v>0.11722054380664652</v>
      </c>
      <c r="M108" s="44"/>
      <c r="N108" s="44">
        <f t="shared" si="39"/>
        <v>1.2084592145015106E-3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249977111117893"/>
  </sheetPr>
  <dimension ref="B1:AF174"/>
  <sheetViews>
    <sheetView view="pageBreakPreview" topLeftCell="A43" zoomScale="60" workbookViewId="0">
      <selection activeCell="G11" sqref="G11"/>
    </sheetView>
  </sheetViews>
  <sheetFormatPr defaultColWidth="15" defaultRowHeight="20.100000000000001" customHeight="1" x14ac:dyDescent="0.25"/>
  <cols>
    <col min="1" max="1" width="4.85546875" customWidth="1"/>
    <col min="2" max="2" width="15.2851562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6.28515625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'27.10 Mbarara-Kabale'!C3:G3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7" customHeight="1" x14ac:dyDescent="0.25">
      <c r="C5" s="4" t="s">
        <v>3</v>
      </c>
      <c r="D5" s="36" t="str">
        <f>'2.11 Mbarara-Kabale-24hr'!D5</f>
        <v>2.11.19</v>
      </c>
      <c r="E5" s="3"/>
      <c r="F5" s="41" t="s">
        <v>1</v>
      </c>
      <c r="G5" s="63" t="str">
        <f>'2.11 Mbarara-Kabale-24hr'!G5:H5</f>
        <v>Nyeihanga traffic station</v>
      </c>
      <c r="H5" s="64"/>
      <c r="I5" s="14"/>
      <c r="J5" s="2" t="s">
        <v>5</v>
      </c>
      <c r="K5" s="63" t="s">
        <v>183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'27.10 Kabale-Mbarara'!D6:E6</f>
        <v>Kabale</v>
      </c>
      <c r="E6" s="64"/>
      <c r="F6" s="2" t="s">
        <v>2</v>
      </c>
      <c r="G6" s="63" t="str">
        <f>'27.10 Kabale-Mbarara'!G6:H6</f>
        <v>Mbarara</v>
      </c>
      <c r="H6" s="64"/>
      <c r="J6" s="2" t="s">
        <v>21</v>
      </c>
      <c r="K6" s="63" t="str">
        <f>'2.11 Mbarara-Kabale-24hr'!K6:L6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0</v>
      </c>
      <c r="E10" s="50">
        <v>1</v>
      </c>
      <c r="F10" s="50">
        <v>2</v>
      </c>
      <c r="G10" s="50">
        <v>0</v>
      </c>
      <c r="H10" s="50">
        <v>0</v>
      </c>
      <c r="I10" s="50">
        <v>1</v>
      </c>
      <c r="J10" s="50">
        <v>0</v>
      </c>
      <c r="K10" s="50">
        <v>1</v>
      </c>
      <c r="L10" s="50">
        <v>0</v>
      </c>
      <c r="M10" s="50">
        <v>5</v>
      </c>
      <c r="N10" s="50">
        <v>0</v>
      </c>
      <c r="O10" s="15">
        <f t="shared" ref="O10:O73" si="0">SUM(C10:L10,N10)</f>
        <v>7</v>
      </c>
      <c r="P10" s="15">
        <f t="shared" ref="P10:P73" si="1">SUM(C10:N10)</f>
        <v>12</v>
      </c>
      <c r="R10" s="1" t="s">
        <v>6</v>
      </c>
      <c r="S10" s="17">
        <f t="shared" ref="S10:AF10" si="2">SUM(C10:C13)</f>
        <v>12</v>
      </c>
      <c r="T10" s="17">
        <f t="shared" si="2"/>
        <v>2</v>
      </c>
      <c r="U10" s="17">
        <f t="shared" si="2"/>
        <v>2</v>
      </c>
      <c r="V10" s="17">
        <f t="shared" si="2"/>
        <v>13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1</v>
      </c>
      <c r="AA10" s="17">
        <f t="shared" si="2"/>
        <v>2</v>
      </c>
      <c r="AB10" s="17">
        <f t="shared" si="2"/>
        <v>1</v>
      </c>
      <c r="AC10" s="17">
        <f t="shared" si="2"/>
        <v>42</v>
      </c>
      <c r="AD10" s="17">
        <f t="shared" si="2"/>
        <v>0</v>
      </c>
      <c r="AE10" s="31">
        <f t="shared" si="2"/>
        <v>37</v>
      </c>
      <c r="AF10" s="31">
        <f t="shared" si="2"/>
        <v>79</v>
      </c>
    </row>
    <row r="11" spans="2:32" s="6" customFormat="1" ht="23.1" customHeight="1" x14ac:dyDescent="0.25">
      <c r="B11" s="45" t="s">
        <v>38</v>
      </c>
      <c r="C11" s="50">
        <v>6</v>
      </c>
      <c r="D11" s="50">
        <v>2</v>
      </c>
      <c r="E11" s="50">
        <v>0</v>
      </c>
      <c r="F11" s="50">
        <v>5</v>
      </c>
      <c r="G11" s="50">
        <v>0</v>
      </c>
      <c r="H11" s="50">
        <v>0</v>
      </c>
      <c r="I11" s="50">
        <v>1</v>
      </c>
      <c r="J11" s="50">
        <v>0</v>
      </c>
      <c r="K11" s="50">
        <v>1</v>
      </c>
      <c r="L11" s="50">
        <v>0</v>
      </c>
      <c r="M11" s="50">
        <v>12</v>
      </c>
      <c r="N11" s="50">
        <v>0</v>
      </c>
      <c r="O11" s="15">
        <f t="shared" si="0"/>
        <v>15</v>
      </c>
      <c r="P11" s="15">
        <f t="shared" si="1"/>
        <v>27</v>
      </c>
      <c r="R11" s="1" t="s">
        <v>7</v>
      </c>
      <c r="S11" s="17">
        <f t="shared" ref="S11:AF11" si="3">SUM(C14:C17)</f>
        <v>26</v>
      </c>
      <c r="T11" s="17">
        <f t="shared" si="3"/>
        <v>8</v>
      </c>
      <c r="U11" s="17">
        <f t="shared" si="3"/>
        <v>2</v>
      </c>
      <c r="V11" s="17">
        <f t="shared" si="3"/>
        <v>12</v>
      </c>
      <c r="W11" s="17">
        <f t="shared" si="3"/>
        <v>0</v>
      </c>
      <c r="X11" s="17">
        <f t="shared" si="3"/>
        <v>1</v>
      </c>
      <c r="Y11" s="17">
        <f t="shared" si="3"/>
        <v>6</v>
      </c>
      <c r="Z11" s="17">
        <f t="shared" si="3"/>
        <v>0</v>
      </c>
      <c r="AA11" s="17">
        <f t="shared" si="3"/>
        <v>2</v>
      </c>
      <c r="AB11" s="17">
        <f t="shared" si="3"/>
        <v>2</v>
      </c>
      <c r="AC11" s="17">
        <f t="shared" si="3"/>
        <v>59</v>
      </c>
      <c r="AD11" s="17">
        <f t="shared" si="3"/>
        <v>0</v>
      </c>
      <c r="AE11" s="31">
        <f t="shared" si="3"/>
        <v>59</v>
      </c>
      <c r="AF11" s="31">
        <f t="shared" si="3"/>
        <v>118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3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10</v>
      </c>
      <c r="N12" s="50">
        <v>0</v>
      </c>
      <c r="O12" s="15">
        <f t="shared" si="0"/>
        <v>5</v>
      </c>
      <c r="P12" s="15">
        <f t="shared" si="1"/>
        <v>15</v>
      </c>
      <c r="R12" s="1" t="s">
        <v>8</v>
      </c>
      <c r="S12" s="17">
        <f t="shared" ref="S12:AF12" si="4">SUM(C18:C21)</f>
        <v>30</v>
      </c>
      <c r="T12" s="17">
        <f t="shared" si="4"/>
        <v>9</v>
      </c>
      <c r="U12" s="17">
        <f t="shared" si="4"/>
        <v>0</v>
      </c>
      <c r="V12" s="17">
        <f t="shared" si="4"/>
        <v>26</v>
      </c>
      <c r="W12" s="17">
        <f t="shared" si="4"/>
        <v>1</v>
      </c>
      <c r="X12" s="17">
        <f t="shared" si="4"/>
        <v>2</v>
      </c>
      <c r="Y12" s="17">
        <f t="shared" si="4"/>
        <v>11</v>
      </c>
      <c r="Z12" s="17">
        <f t="shared" si="4"/>
        <v>0</v>
      </c>
      <c r="AA12" s="17">
        <f t="shared" si="4"/>
        <v>4</v>
      </c>
      <c r="AB12" s="17">
        <f t="shared" si="4"/>
        <v>4</v>
      </c>
      <c r="AC12" s="17">
        <f t="shared" si="4"/>
        <v>82</v>
      </c>
      <c r="AD12" s="17">
        <f t="shared" si="4"/>
        <v>0</v>
      </c>
      <c r="AE12" s="31">
        <f t="shared" si="4"/>
        <v>87</v>
      </c>
      <c r="AF12" s="31">
        <f t="shared" si="4"/>
        <v>169</v>
      </c>
    </row>
    <row r="13" spans="2:32" ht="23.1" customHeight="1" x14ac:dyDescent="0.25">
      <c r="B13" s="45" t="s">
        <v>40</v>
      </c>
      <c r="C13" s="50">
        <v>3</v>
      </c>
      <c r="D13" s="50">
        <v>0</v>
      </c>
      <c r="E13" s="50">
        <v>1</v>
      </c>
      <c r="F13" s="50">
        <v>3</v>
      </c>
      <c r="G13" s="50">
        <v>0</v>
      </c>
      <c r="H13" s="50">
        <v>0</v>
      </c>
      <c r="I13" s="50">
        <v>1</v>
      </c>
      <c r="J13" s="50">
        <v>1</v>
      </c>
      <c r="K13" s="50">
        <v>0</v>
      </c>
      <c r="L13" s="50">
        <v>1</v>
      </c>
      <c r="M13" s="50">
        <v>15</v>
      </c>
      <c r="N13" s="50">
        <v>0</v>
      </c>
      <c r="O13" s="15">
        <f t="shared" si="0"/>
        <v>10</v>
      </c>
      <c r="P13" s="15">
        <f t="shared" si="1"/>
        <v>25</v>
      </c>
      <c r="R13" s="1" t="s">
        <v>9</v>
      </c>
      <c r="S13" s="17">
        <f t="shared" ref="S13:AF13" si="5">SUM(C22:C25)</f>
        <v>24</v>
      </c>
      <c r="T13" s="17">
        <f t="shared" si="5"/>
        <v>10</v>
      </c>
      <c r="U13" s="17">
        <f t="shared" si="5"/>
        <v>4</v>
      </c>
      <c r="V13" s="17">
        <f t="shared" si="5"/>
        <v>25</v>
      </c>
      <c r="W13" s="17">
        <f t="shared" si="5"/>
        <v>0</v>
      </c>
      <c r="X13" s="17">
        <f t="shared" si="5"/>
        <v>3</v>
      </c>
      <c r="Y13" s="17">
        <f t="shared" si="5"/>
        <v>4</v>
      </c>
      <c r="Z13" s="17">
        <f t="shared" si="5"/>
        <v>0</v>
      </c>
      <c r="AA13" s="17">
        <f t="shared" si="5"/>
        <v>2</v>
      </c>
      <c r="AB13" s="17">
        <f t="shared" si="5"/>
        <v>8</v>
      </c>
      <c r="AC13" s="17">
        <f t="shared" si="5"/>
        <v>80</v>
      </c>
      <c r="AD13" s="17">
        <f t="shared" si="5"/>
        <v>0</v>
      </c>
      <c r="AE13" s="31">
        <f t="shared" si="5"/>
        <v>80</v>
      </c>
      <c r="AF13" s="31">
        <f t="shared" si="5"/>
        <v>160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0</v>
      </c>
      <c r="F14" s="50">
        <v>1</v>
      </c>
      <c r="G14" s="50">
        <v>0</v>
      </c>
      <c r="H14" s="50">
        <v>1</v>
      </c>
      <c r="I14" s="50">
        <v>1</v>
      </c>
      <c r="J14" s="50">
        <v>0</v>
      </c>
      <c r="K14" s="50">
        <v>1</v>
      </c>
      <c r="L14" s="50">
        <v>0</v>
      </c>
      <c r="M14" s="50">
        <v>10</v>
      </c>
      <c r="N14" s="50">
        <v>0</v>
      </c>
      <c r="O14" s="15">
        <f t="shared" si="0"/>
        <v>6</v>
      </c>
      <c r="P14" s="15">
        <f t="shared" si="1"/>
        <v>16</v>
      </c>
      <c r="R14" s="1" t="s">
        <v>10</v>
      </c>
      <c r="S14" s="17">
        <f t="shared" ref="S14:AF14" si="6">SUM(C26:C29)</f>
        <v>28</v>
      </c>
      <c r="T14" s="17">
        <f t="shared" si="6"/>
        <v>5</v>
      </c>
      <c r="U14" s="17">
        <f t="shared" si="6"/>
        <v>6</v>
      </c>
      <c r="V14" s="17">
        <f t="shared" si="6"/>
        <v>18</v>
      </c>
      <c r="W14" s="17">
        <f t="shared" si="6"/>
        <v>0</v>
      </c>
      <c r="X14" s="17">
        <f t="shared" si="6"/>
        <v>3</v>
      </c>
      <c r="Y14" s="17">
        <f t="shared" si="6"/>
        <v>3</v>
      </c>
      <c r="Z14" s="17">
        <f t="shared" si="6"/>
        <v>2</v>
      </c>
      <c r="AA14" s="17">
        <f t="shared" si="6"/>
        <v>7</v>
      </c>
      <c r="AB14" s="17">
        <f t="shared" si="6"/>
        <v>6</v>
      </c>
      <c r="AC14" s="17">
        <f t="shared" si="6"/>
        <v>81</v>
      </c>
      <c r="AD14" s="17">
        <f t="shared" si="6"/>
        <v>0</v>
      </c>
      <c r="AE14" s="31">
        <f t="shared" si="6"/>
        <v>78</v>
      </c>
      <c r="AF14" s="31">
        <f t="shared" si="6"/>
        <v>159</v>
      </c>
    </row>
    <row r="15" spans="2:32" ht="23.1" customHeight="1" x14ac:dyDescent="0.25">
      <c r="B15" s="45" t="s">
        <v>42</v>
      </c>
      <c r="C15" s="50">
        <v>12</v>
      </c>
      <c r="D15" s="50">
        <v>3</v>
      </c>
      <c r="E15" s="50">
        <v>1</v>
      </c>
      <c r="F15" s="50">
        <v>3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1</v>
      </c>
      <c r="M15" s="50">
        <v>16</v>
      </c>
      <c r="N15" s="50">
        <v>0</v>
      </c>
      <c r="O15" s="15">
        <f t="shared" si="0"/>
        <v>24</v>
      </c>
      <c r="P15" s="15">
        <f t="shared" si="1"/>
        <v>40</v>
      </c>
      <c r="R15" s="1" t="s">
        <v>11</v>
      </c>
      <c r="S15" s="17">
        <f t="shared" ref="S15:AF15" si="7">SUM(C30:C33)</f>
        <v>35</v>
      </c>
      <c r="T15" s="17">
        <f t="shared" si="7"/>
        <v>13</v>
      </c>
      <c r="U15" s="17">
        <f t="shared" si="7"/>
        <v>5</v>
      </c>
      <c r="V15" s="17">
        <f t="shared" si="7"/>
        <v>25</v>
      </c>
      <c r="W15" s="17">
        <f t="shared" si="7"/>
        <v>0</v>
      </c>
      <c r="X15" s="17">
        <f t="shared" si="7"/>
        <v>3</v>
      </c>
      <c r="Y15" s="17">
        <f t="shared" si="7"/>
        <v>12</v>
      </c>
      <c r="Z15" s="17">
        <f t="shared" si="7"/>
        <v>0</v>
      </c>
      <c r="AA15" s="17">
        <f t="shared" si="7"/>
        <v>9</v>
      </c>
      <c r="AB15" s="17">
        <f t="shared" si="7"/>
        <v>3</v>
      </c>
      <c r="AC15" s="17">
        <f t="shared" si="7"/>
        <v>59</v>
      </c>
      <c r="AD15" s="17">
        <f t="shared" si="7"/>
        <v>0</v>
      </c>
      <c r="AE15" s="31">
        <f t="shared" si="7"/>
        <v>105</v>
      </c>
      <c r="AF15" s="31">
        <f t="shared" si="7"/>
        <v>164</v>
      </c>
    </row>
    <row r="16" spans="2:32" ht="23.1" customHeight="1" x14ac:dyDescent="0.25">
      <c r="B16" s="45" t="s">
        <v>43</v>
      </c>
      <c r="C16" s="50">
        <v>7</v>
      </c>
      <c r="D16" s="50">
        <v>4</v>
      </c>
      <c r="E16" s="50">
        <v>0</v>
      </c>
      <c r="F16" s="50">
        <v>3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16</v>
      </c>
      <c r="N16" s="50">
        <v>0</v>
      </c>
      <c r="O16" s="15">
        <f t="shared" si="0"/>
        <v>14</v>
      </c>
      <c r="P16" s="15">
        <f t="shared" si="1"/>
        <v>30</v>
      </c>
      <c r="R16" s="1" t="s">
        <v>12</v>
      </c>
      <c r="S16" s="17">
        <f t="shared" ref="S16:AF16" si="8">SUM(C34:C37)</f>
        <v>23</v>
      </c>
      <c r="T16" s="17">
        <f t="shared" si="8"/>
        <v>5</v>
      </c>
      <c r="U16" s="17">
        <f t="shared" si="8"/>
        <v>3</v>
      </c>
      <c r="V16" s="17">
        <f t="shared" si="8"/>
        <v>15</v>
      </c>
      <c r="W16" s="17">
        <f t="shared" si="8"/>
        <v>0</v>
      </c>
      <c r="X16" s="17">
        <f t="shared" si="8"/>
        <v>1</v>
      </c>
      <c r="Y16" s="17">
        <f t="shared" si="8"/>
        <v>10</v>
      </c>
      <c r="Z16" s="17">
        <f t="shared" si="8"/>
        <v>2</v>
      </c>
      <c r="AA16" s="17">
        <f t="shared" si="8"/>
        <v>3</v>
      </c>
      <c r="AB16" s="17">
        <f t="shared" si="8"/>
        <v>3</v>
      </c>
      <c r="AC16" s="17">
        <f t="shared" si="8"/>
        <v>36</v>
      </c>
      <c r="AD16" s="17">
        <f t="shared" si="8"/>
        <v>0</v>
      </c>
      <c r="AE16" s="31">
        <f t="shared" si="8"/>
        <v>65</v>
      </c>
      <c r="AF16" s="31">
        <f t="shared" si="8"/>
        <v>101</v>
      </c>
    </row>
    <row r="17" spans="2:32" ht="23.1" customHeight="1" x14ac:dyDescent="0.25">
      <c r="B17" s="45" t="s">
        <v>44</v>
      </c>
      <c r="C17" s="50">
        <v>5</v>
      </c>
      <c r="D17" s="50">
        <v>1</v>
      </c>
      <c r="E17" s="50">
        <v>1</v>
      </c>
      <c r="F17" s="50">
        <v>5</v>
      </c>
      <c r="G17" s="50">
        <v>0</v>
      </c>
      <c r="H17" s="50">
        <v>0</v>
      </c>
      <c r="I17" s="50">
        <v>1</v>
      </c>
      <c r="J17" s="50">
        <v>0</v>
      </c>
      <c r="K17" s="50">
        <v>1</v>
      </c>
      <c r="L17" s="50">
        <v>1</v>
      </c>
      <c r="M17" s="50">
        <v>17</v>
      </c>
      <c r="N17" s="50">
        <v>0</v>
      </c>
      <c r="O17" s="15">
        <f t="shared" si="0"/>
        <v>15</v>
      </c>
      <c r="P17" s="15">
        <f t="shared" si="1"/>
        <v>32</v>
      </c>
      <c r="R17" s="1" t="s">
        <v>13</v>
      </c>
      <c r="S17" s="17">
        <f t="shared" ref="S17:AF17" si="9">SUM(C38:C41)</f>
        <v>19</v>
      </c>
      <c r="T17" s="17">
        <f t="shared" si="9"/>
        <v>4</v>
      </c>
      <c r="U17" s="17">
        <f t="shared" si="9"/>
        <v>4</v>
      </c>
      <c r="V17" s="17">
        <f t="shared" si="9"/>
        <v>5</v>
      </c>
      <c r="W17" s="17">
        <f t="shared" si="9"/>
        <v>0</v>
      </c>
      <c r="X17" s="17">
        <f t="shared" si="9"/>
        <v>5</v>
      </c>
      <c r="Y17" s="17">
        <f t="shared" si="9"/>
        <v>4</v>
      </c>
      <c r="Z17" s="17">
        <f t="shared" si="9"/>
        <v>1</v>
      </c>
      <c r="AA17" s="17">
        <f t="shared" si="9"/>
        <v>7</v>
      </c>
      <c r="AB17" s="17">
        <f t="shared" si="9"/>
        <v>2</v>
      </c>
      <c r="AC17" s="17">
        <f t="shared" si="9"/>
        <v>51</v>
      </c>
      <c r="AD17" s="17">
        <f t="shared" si="9"/>
        <v>0</v>
      </c>
      <c r="AE17" s="31">
        <f t="shared" si="9"/>
        <v>51</v>
      </c>
      <c r="AF17" s="31">
        <f t="shared" si="9"/>
        <v>102</v>
      </c>
    </row>
    <row r="18" spans="2:32" ht="23.1" customHeight="1" x14ac:dyDescent="0.25">
      <c r="B18" s="45" t="s">
        <v>45</v>
      </c>
      <c r="C18" s="50">
        <v>6</v>
      </c>
      <c r="D18" s="50">
        <v>0</v>
      </c>
      <c r="E18" s="50">
        <v>0</v>
      </c>
      <c r="F18" s="50">
        <v>6</v>
      </c>
      <c r="G18" s="50">
        <v>1</v>
      </c>
      <c r="H18" s="50">
        <v>0</v>
      </c>
      <c r="I18" s="50">
        <v>4</v>
      </c>
      <c r="J18" s="50">
        <v>0</v>
      </c>
      <c r="K18" s="50">
        <v>0</v>
      </c>
      <c r="L18" s="50">
        <v>2</v>
      </c>
      <c r="M18" s="50">
        <v>21</v>
      </c>
      <c r="N18" s="50">
        <v>0</v>
      </c>
      <c r="O18" s="15">
        <f t="shared" si="0"/>
        <v>19</v>
      </c>
      <c r="P18" s="15">
        <f t="shared" si="1"/>
        <v>40</v>
      </c>
      <c r="R18" s="1" t="s">
        <v>14</v>
      </c>
      <c r="S18" s="17">
        <f t="shared" ref="S18:AF18" si="10">SUM(C42:C45)</f>
        <v>33</v>
      </c>
      <c r="T18" s="17">
        <f t="shared" si="10"/>
        <v>5</v>
      </c>
      <c r="U18" s="17">
        <f t="shared" si="10"/>
        <v>6</v>
      </c>
      <c r="V18" s="17">
        <f t="shared" si="10"/>
        <v>17</v>
      </c>
      <c r="W18" s="17">
        <f t="shared" si="10"/>
        <v>0</v>
      </c>
      <c r="X18" s="17">
        <f t="shared" si="10"/>
        <v>2</v>
      </c>
      <c r="Y18" s="17">
        <f t="shared" si="10"/>
        <v>22</v>
      </c>
      <c r="Z18" s="17">
        <f t="shared" si="10"/>
        <v>4</v>
      </c>
      <c r="AA18" s="17">
        <f t="shared" si="10"/>
        <v>4</v>
      </c>
      <c r="AB18" s="17">
        <f t="shared" si="10"/>
        <v>4</v>
      </c>
      <c r="AC18" s="17">
        <f t="shared" si="10"/>
        <v>56</v>
      </c>
      <c r="AD18" s="17">
        <f t="shared" si="10"/>
        <v>1</v>
      </c>
      <c r="AE18" s="31">
        <f t="shared" si="10"/>
        <v>98</v>
      </c>
      <c r="AF18" s="31">
        <f t="shared" si="10"/>
        <v>154</v>
      </c>
    </row>
    <row r="19" spans="2:32" ht="23.1" customHeight="1" x14ac:dyDescent="0.25">
      <c r="B19" s="45" t="s">
        <v>46</v>
      </c>
      <c r="C19" s="50">
        <v>5</v>
      </c>
      <c r="D19" s="50">
        <v>2</v>
      </c>
      <c r="E19" s="50">
        <v>0</v>
      </c>
      <c r="F19" s="50">
        <v>3</v>
      </c>
      <c r="G19" s="50">
        <v>0</v>
      </c>
      <c r="H19" s="50">
        <v>1</v>
      </c>
      <c r="I19" s="50">
        <v>4</v>
      </c>
      <c r="J19" s="50">
        <v>0</v>
      </c>
      <c r="K19" s="50">
        <v>4</v>
      </c>
      <c r="L19" s="50">
        <v>1</v>
      </c>
      <c r="M19" s="50">
        <v>16</v>
      </c>
      <c r="N19" s="50">
        <v>0</v>
      </c>
      <c r="O19" s="15">
        <f t="shared" si="0"/>
        <v>20</v>
      </c>
      <c r="P19" s="15">
        <f t="shared" si="1"/>
        <v>36</v>
      </c>
      <c r="R19" s="1" t="s">
        <v>15</v>
      </c>
      <c r="S19" s="17">
        <f t="shared" ref="S19:AF19" si="11">SUM(C46:C49)</f>
        <v>42</v>
      </c>
      <c r="T19" s="17">
        <f t="shared" si="11"/>
        <v>2</v>
      </c>
      <c r="U19" s="17">
        <f t="shared" si="11"/>
        <v>5</v>
      </c>
      <c r="V19" s="17">
        <f t="shared" si="11"/>
        <v>11</v>
      </c>
      <c r="W19" s="17">
        <f t="shared" si="11"/>
        <v>0</v>
      </c>
      <c r="X19" s="17">
        <f t="shared" si="11"/>
        <v>2</v>
      </c>
      <c r="Y19" s="17">
        <f t="shared" si="11"/>
        <v>9</v>
      </c>
      <c r="Z19" s="17">
        <f t="shared" si="11"/>
        <v>8</v>
      </c>
      <c r="AA19" s="17">
        <f t="shared" si="11"/>
        <v>3</v>
      </c>
      <c r="AB19" s="17">
        <f t="shared" si="11"/>
        <v>2</v>
      </c>
      <c r="AC19" s="17">
        <f t="shared" si="11"/>
        <v>92</v>
      </c>
      <c r="AD19" s="17">
        <f t="shared" si="11"/>
        <v>0</v>
      </c>
      <c r="AE19" s="31">
        <f t="shared" si="11"/>
        <v>84</v>
      </c>
      <c r="AF19" s="31">
        <f t="shared" si="11"/>
        <v>176</v>
      </c>
    </row>
    <row r="20" spans="2:32" ht="23.1" customHeight="1" x14ac:dyDescent="0.25">
      <c r="B20" s="45" t="s">
        <v>47</v>
      </c>
      <c r="C20" s="50">
        <v>5</v>
      </c>
      <c r="D20" s="50">
        <v>2</v>
      </c>
      <c r="E20" s="50">
        <v>0</v>
      </c>
      <c r="F20" s="50">
        <v>9</v>
      </c>
      <c r="G20" s="50">
        <v>0</v>
      </c>
      <c r="H20" s="50">
        <v>1</v>
      </c>
      <c r="I20" s="50">
        <v>3</v>
      </c>
      <c r="J20" s="50">
        <v>0</v>
      </c>
      <c r="K20" s="50">
        <v>0</v>
      </c>
      <c r="L20" s="50">
        <v>0</v>
      </c>
      <c r="M20" s="50">
        <v>20</v>
      </c>
      <c r="N20" s="50">
        <v>0</v>
      </c>
      <c r="O20" s="15">
        <f t="shared" si="0"/>
        <v>20</v>
      </c>
      <c r="P20" s="15">
        <f t="shared" si="1"/>
        <v>40</v>
      </c>
      <c r="R20" s="1" t="s">
        <v>16</v>
      </c>
      <c r="S20" s="17">
        <f t="shared" ref="S20:AF20" si="12">SUM(C50:C53)</f>
        <v>27</v>
      </c>
      <c r="T20" s="17">
        <f t="shared" si="12"/>
        <v>16</v>
      </c>
      <c r="U20" s="17">
        <f t="shared" si="12"/>
        <v>4</v>
      </c>
      <c r="V20" s="17">
        <f t="shared" si="12"/>
        <v>15</v>
      </c>
      <c r="W20" s="17">
        <f t="shared" si="12"/>
        <v>1</v>
      </c>
      <c r="X20" s="17">
        <f t="shared" si="12"/>
        <v>0</v>
      </c>
      <c r="Y20" s="17">
        <f t="shared" si="12"/>
        <v>4</v>
      </c>
      <c r="Z20" s="17">
        <f t="shared" si="12"/>
        <v>1</v>
      </c>
      <c r="AA20" s="17">
        <f t="shared" si="12"/>
        <v>3</v>
      </c>
      <c r="AB20" s="17">
        <f t="shared" si="12"/>
        <v>3</v>
      </c>
      <c r="AC20" s="17">
        <f t="shared" si="12"/>
        <v>87</v>
      </c>
      <c r="AD20" s="17">
        <f t="shared" si="12"/>
        <v>0</v>
      </c>
      <c r="AE20" s="31">
        <f t="shared" si="12"/>
        <v>74</v>
      </c>
      <c r="AF20" s="31">
        <f t="shared" si="12"/>
        <v>161</v>
      </c>
    </row>
    <row r="21" spans="2:32" ht="23.1" customHeight="1" x14ac:dyDescent="0.25">
      <c r="B21" s="45" t="s">
        <v>48</v>
      </c>
      <c r="C21" s="50">
        <v>14</v>
      </c>
      <c r="D21" s="50">
        <v>5</v>
      </c>
      <c r="E21" s="50">
        <v>0</v>
      </c>
      <c r="F21" s="50">
        <v>8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1</v>
      </c>
      <c r="M21" s="50">
        <v>25</v>
      </c>
      <c r="N21" s="50">
        <v>0</v>
      </c>
      <c r="O21" s="15">
        <f t="shared" si="0"/>
        <v>28</v>
      </c>
      <c r="P21" s="15">
        <f t="shared" si="1"/>
        <v>53</v>
      </c>
      <c r="R21" s="36" t="s">
        <v>20</v>
      </c>
      <c r="S21" s="34">
        <f t="shared" ref="S21:AF21" si="13">SUM(C54:C57)</f>
        <v>30</v>
      </c>
      <c r="T21" s="17">
        <f t="shared" si="13"/>
        <v>8</v>
      </c>
      <c r="U21" s="17">
        <f t="shared" si="13"/>
        <v>3</v>
      </c>
      <c r="V21" s="17">
        <f t="shared" si="13"/>
        <v>16</v>
      </c>
      <c r="W21" s="17">
        <f t="shared" si="13"/>
        <v>1</v>
      </c>
      <c r="X21" s="17">
        <f t="shared" si="13"/>
        <v>0</v>
      </c>
      <c r="Y21" s="17">
        <f t="shared" si="13"/>
        <v>4</v>
      </c>
      <c r="Z21" s="17">
        <f t="shared" si="13"/>
        <v>2</v>
      </c>
      <c r="AA21" s="17">
        <f t="shared" si="13"/>
        <v>2</v>
      </c>
      <c r="AB21" s="17">
        <f t="shared" si="13"/>
        <v>0</v>
      </c>
      <c r="AC21" s="17">
        <f t="shared" si="13"/>
        <v>75</v>
      </c>
      <c r="AD21" s="17">
        <f t="shared" si="13"/>
        <v>0</v>
      </c>
      <c r="AE21" s="31">
        <f t="shared" si="13"/>
        <v>66</v>
      </c>
      <c r="AF21" s="31">
        <f t="shared" si="13"/>
        <v>141</v>
      </c>
    </row>
    <row r="22" spans="2:32" ht="23.1" customHeight="1" x14ac:dyDescent="0.25">
      <c r="B22" s="45" t="s">
        <v>49</v>
      </c>
      <c r="C22" s="50">
        <v>4</v>
      </c>
      <c r="D22" s="50">
        <v>7</v>
      </c>
      <c r="E22" s="50">
        <v>1</v>
      </c>
      <c r="F22" s="50">
        <v>4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2</v>
      </c>
      <c r="M22" s="50">
        <v>19</v>
      </c>
      <c r="N22" s="50">
        <v>0</v>
      </c>
      <c r="O22" s="15">
        <f t="shared" si="0"/>
        <v>21</v>
      </c>
      <c r="P22" s="15">
        <f t="shared" si="1"/>
        <v>40</v>
      </c>
      <c r="R22" s="36" t="s">
        <v>146</v>
      </c>
      <c r="S22" s="34">
        <f>SUM(C58:C61)</f>
        <v>49</v>
      </c>
      <c r="T22" s="34">
        <f t="shared" ref="T22:AF22" si="14">SUM(D58:D61)</f>
        <v>13</v>
      </c>
      <c r="U22" s="34">
        <f t="shared" si="14"/>
        <v>11</v>
      </c>
      <c r="V22" s="34">
        <f t="shared" si="14"/>
        <v>31</v>
      </c>
      <c r="W22" s="34">
        <f t="shared" si="14"/>
        <v>2</v>
      </c>
      <c r="X22" s="34">
        <f t="shared" si="14"/>
        <v>0</v>
      </c>
      <c r="Y22" s="34">
        <f t="shared" si="14"/>
        <v>5</v>
      </c>
      <c r="Z22" s="34">
        <f t="shared" si="14"/>
        <v>3</v>
      </c>
      <c r="AA22" s="34">
        <f t="shared" si="14"/>
        <v>9</v>
      </c>
      <c r="AB22" s="34">
        <f t="shared" si="14"/>
        <v>14</v>
      </c>
      <c r="AC22" s="34">
        <f t="shared" si="14"/>
        <v>31</v>
      </c>
      <c r="AD22" s="34">
        <f t="shared" si="14"/>
        <v>0</v>
      </c>
      <c r="AE22" s="31">
        <f t="shared" si="14"/>
        <v>137</v>
      </c>
      <c r="AF22" s="31">
        <f t="shared" si="14"/>
        <v>168</v>
      </c>
    </row>
    <row r="23" spans="2:32" ht="23.1" customHeight="1" x14ac:dyDescent="0.25">
      <c r="B23" s="45" t="s">
        <v>50</v>
      </c>
      <c r="C23" s="50">
        <v>6</v>
      </c>
      <c r="D23" s="50">
        <v>1</v>
      </c>
      <c r="E23" s="50">
        <v>2</v>
      </c>
      <c r="F23" s="50">
        <v>6</v>
      </c>
      <c r="G23" s="50">
        <v>0</v>
      </c>
      <c r="H23" s="50">
        <v>1</v>
      </c>
      <c r="I23" s="50">
        <v>1</v>
      </c>
      <c r="J23" s="50">
        <v>0</v>
      </c>
      <c r="K23" s="50">
        <v>1</v>
      </c>
      <c r="L23" s="50">
        <v>0</v>
      </c>
      <c r="M23" s="50">
        <v>30</v>
      </c>
      <c r="N23" s="50">
        <v>0</v>
      </c>
      <c r="O23" s="15">
        <f t="shared" si="0"/>
        <v>18</v>
      </c>
      <c r="P23" s="15">
        <f t="shared" si="1"/>
        <v>48</v>
      </c>
      <c r="R23" s="36" t="s">
        <v>147</v>
      </c>
      <c r="S23" s="34">
        <f>SUM(C62:C65)</f>
        <v>31</v>
      </c>
      <c r="T23" s="34">
        <f t="shared" ref="T23:AF23" si="15">SUM(D62:D65)</f>
        <v>8</v>
      </c>
      <c r="U23" s="34">
        <f t="shared" si="15"/>
        <v>10</v>
      </c>
      <c r="V23" s="34">
        <f t="shared" si="15"/>
        <v>11</v>
      </c>
      <c r="W23" s="34">
        <f t="shared" si="15"/>
        <v>0</v>
      </c>
      <c r="X23" s="34">
        <f t="shared" si="15"/>
        <v>0</v>
      </c>
      <c r="Y23" s="34">
        <f t="shared" si="15"/>
        <v>7</v>
      </c>
      <c r="Z23" s="34">
        <f t="shared" si="15"/>
        <v>1</v>
      </c>
      <c r="AA23" s="34">
        <f t="shared" si="15"/>
        <v>3</v>
      </c>
      <c r="AB23" s="34">
        <f t="shared" si="15"/>
        <v>4</v>
      </c>
      <c r="AC23" s="34">
        <f t="shared" si="15"/>
        <v>26</v>
      </c>
      <c r="AD23" s="34">
        <f t="shared" si="15"/>
        <v>0</v>
      </c>
      <c r="AE23" s="31">
        <f t="shared" si="15"/>
        <v>75</v>
      </c>
      <c r="AF23" s="31">
        <f t="shared" si="15"/>
        <v>101</v>
      </c>
    </row>
    <row r="24" spans="2:32" ht="23.1" customHeight="1" x14ac:dyDescent="0.25">
      <c r="B24" s="45" t="s">
        <v>51</v>
      </c>
      <c r="C24" s="50">
        <v>3</v>
      </c>
      <c r="D24" s="50">
        <v>0</v>
      </c>
      <c r="E24" s="50">
        <v>1</v>
      </c>
      <c r="F24" s="50">
        <v>8</v>
      </c>
      <c r="G24" s="50">
        <v>0</v>
      </c>
      <c r="H24" s="50">
        <v>1</v>
      </c>
      <c r="I24" s="50">
        <v>0</v>
      </c>
      <c r="J24" s="50">
        <v>0</v>
      </c>
      <c r="K24" s="50">
        <v>0</v>
      </c>
      <c r="L24" s="50">
        <v>1</v>
      </c>
      <c r="M24" s="50">
        <v>16</v>
      </c>
      <c r="N24" s="50">
        <v>0</v>
      </c>
      <c r="O24" s="15">
        <f t="shared" si="0"/>
        <v>14</v>
      </c>
      <c r="P24" s="15">
        <f t="shared" si="1"/>
        <v>30</v>
      </c>
      <c r="R24" s="36" t="s">
        <v>148</v>
      </c>
      <c r="S24" s="34">
        <f>SUM(C66:C69)</f>
        <v>19</v>
      </c>
      <c r="T24" s="34">
        <f t="shared" ref="T24:AF24" si="16">SUM(D66:D69)</f>
        <v>2</v>
      </c>
      <c r="U24" s="34">
        <f t="shared" si="16"/>
        <v>2</v>
      </c>
      <c r="V24" s="34">
        <f t="shared" si="16"/>
        <v>4</v>
      </c>
      <c r="W24" s="34">
        <f t="shared" si="16"/>
        <v>1</v>
      </c>
      <c r="X24" s="34">
        <f t="shared" si="16"/>
        <v>3</v>
      </c>
      <c r="Y24" s="34">
        <f t="shared" si="16"/>
        <v>5</v>
      </c>
      <c r="Z24" s="34">
        <f t="shared" si="16"/>
        <v>1</v>
      </c>
      <c r="AA24" s="34">
        <f t="shared" si="16"/>
        <v>7</v>
      </c>
      <c r="AB24" s="34">
        <f t="shared" si="16"/>
        <v>5</v>
      </c>
      <c r="AC24" s="34">
        <f t="shared" si="16"/>
        <v>12</v>
      </c>
      <c r="AD24" s="34">
        <f t="shared" si="16"/>
        <v>0</v>
      </c>
      <c r="AE24" s="31">
        <f t="shared" si="16"/>
        <v>49</v>
      </c>
      <c r="AF24" s="31">
        <f t="shared" si="16"/>
        <v>61</v>
      </c>
    </row>
    <row r="25" spans="2:32" ht="23.1" customHeight="1" x14ac:dyDescent="0.25">
      <c r="B25" s="45" t="s">
        <v>52</v>
      </c>
      <c r="C25" s="50">
        <v>11</v>
      </c>
      <c r="D25" s="50">
        <v>2</v>
      </c>
      <c r="E25" s="50">
        <v>0</v>
      </c>
      <c r="F25" s="50">
        <v>7</v>
      </c>
      <c r="G25" s="50">
        <v>0</v>
      </c>
      <c r="H25" s="50">
        <v>1</v>
      </c>
      <c r="I25" s="50">
        <v>0</v>
      </c>
      <c r="J25" s="50">
        <v>0</v>
      </c>
      <c r="K25" s="50">
        <v>1</v>
      </c>
      <c r="L25" s="50">
        <v>5</v>
      </c>
      <c r="M25" s="50">
        <v>15</v>
      </c>
      <c r="N25" s="50">
        <v>0</v>
      </c>
      <c r="O25" s="15">
        <f t="shared" si="0"/>
        <v>27</v>
      </c>
      <c r="P25" s="15">
        <f t="shared" si="1"/>
        <v>42</v>
      </c>
      <c r="R25" s="36" t="s">
        <v>149</v>
      </c>
      <c r="S25" s="34">
        <f>SUM(C70:C73)</f>
        <v>18</v>
      </c>
      <c r="T25" s="34">
        <f t="shared" ref="T25:AF25" si="17">SUM(D70:D73)</f>
        <v>8</v>
      </c>
      <c r="U25" s="34">
        <f t="shared" si="17"/>
        <v>1</v>
      </c>
      <c r="V25" s="34">
        <f t="shared" si="17"/>
        <v>5</v>
      </c>
      <c r="W25" s="34">
        <f t="shared" si="17"/>
        <v>0</v>
      </c>
      <c r="X25" s="34">
        <f t="shared" si="17"/>
        <v>11</v>
      </c>
      <c r="Y25" s="34">
        <f t="shared" si="17"/>
        <v>1</v>
      </c>
      <c r="Z25" s="34">
        <f t="shared" si="17"/>
        <v>1</v>
      </c>
      <c r="AA25" s="34">
        <f t="shared" si="17"/>
        <v>2</v>
      </c>
      <c r="AB25" s="34">
        <f t="shared" si="17"/>
        <v>2</v>
      </c>
      <c r="AC25" s="34">
        <f t="shared" si="17"/>
        <v>9</v>
      </c>
      <c r="AD25" s="34">
        <f t="shared" si="17"/>
        <v>0</v>
      </c>
      <c r="AE25" s="31">
        <f t="shared" si="17"/>
        <v>49</v>
      </c>
      <c r="AF25" s="31">
        <f t="shared" si="17"/>
        <v>58</v>
      </c>
    </row>
    <row r="26" spans="2:32" ht="23.1" customHeight="1" x14ac:dyDescent="0.25">
      <c r="B26" s="45" t="s">
        <v>53</v>
      </c>
      <c r="C26" s="50">
        <v>6</v>
      </c>
      <c r="D26" s="50">
        <v>0</v>
      </c>
      <c r="E26" s="50">
        <v>2</v>
      </c>
      <c r="F26" s="50">
        <v>5</v>
      </c>
      <c r="G26" s="50">
        <v>0</v>
      </c>
      <c r="H26" s="50">
        <v>1</v>
      </c>
      <c r="I26" s="50">
        <v>1</v>
      </c>
      <c r="J26" s="50">
        <v>2</v>
      </c>
      <c r="K26" s="50">
        <v>2</v>
      </c>
      <c r="L26" s="50">
        <v>2</v>
      </c>
      <c r="M26" s="50">
        <v>20</v>
      </c>
      <c r="N26" s="50">
        <v>0</v>
      </c>
      <c r="O26" s="15">
        <f t="shared" si="0"/>
        <v>21</v>
      </c>
      <c r="P26" s="15">
        <f t="shared" si="1"/>
        <v>41</v>
      </c>
      <c r="R26" s="36" t="s">
        <v>150</v>
      </c>
      <c r="S26" s="34">
        <f>SUM(C74:C77)</f>
        <v>7</v>
      </c>
      <c r="T26" s="34">
        <f t="shared" ref="T26:AF26" si="18">SUM(D74:D77)</f>
        <v>2</v>
      </c>
      <c r="U26" s="34">
        <f t="shared" si="18"/>
        <v>2</v>
      </c>
      <c r="V26" s="34">
        <f t="shared" si="18"/>
        <v>2</v>
      </c>
      <c r="W26" s="34">
        <f t="shared" si="18"/>
        <v>0</v>
      </c>
      <c r="X26" s="34">
        <f t="shared" si="18"/>
        <v>3</v>
      </c>
      <c r="Y26" s="34">
        <f t="shared" si="18"/>
        <v>1</v>
      </c>
      <c r="Z26" s="34">
        <f t="shared" si="18"/>
        <v>1</v>
      </c>
      <c r="AA26" s="34">
        <f t="shared" si="18"/>
        <v>7</v>
      </c>
      <c r="AB26" s="34">
        <f t="shared" si="18"/>
        <v>4</v>
      </c>
      <c r="AC26" s="34">
        <f t="shared" si="18"/>
        <v>0</v>
      </c>
      <c r="AD26" s="34">
        <f t="shared" si="18"/>
        <v>0</v>
      </c>
      <c r="AE26" s="31">
        <f t="shared" si="18"/>
        <v>29</v>
      </c>
      <c r="AF26" s="31">
        <f t="shared" si="18"/>
        <v>29</v>
      </c>
    </row>
    <row r="27" spans="2:32" ht="23.1" customHeight="1" x14ac:dyDescent="0.25">
      <c r="B27" s="45" t="s">
        <v>54</v>
      </c>
      <c r="C27" s="50">
        <v>5</v>
      </c>
      <c r="D27" s="50">
        <v>3</v>
      </c>
      <c r="E27" s="50">
        <v>2</v>
      </c>
      <c r="F27" s="50">
        <v>2</v>
      </c>
      <c r="G27" s="50">
        <v>0</v>
      </c>
      <c r="H27" s="50">
        <v>0</v>
      </c>
      <c r="I27" s="50">
        <v>1</v>
      </c>
      <c r="J27" s="50">
        <v>0</v>
      </c>
      <c r="K27" s="50">
        <v>4</v>
      </c>
      <c r="L27" s="50">
        <v>3</v>
      </c>
      <c r="M27" s="50">
        <v>17</v>
      </c>
      <c r="N27" s="50">
        <v>0</v>
      </c>
      <c r="O27" s="15">
        <f t="shared" si="0"/>
        <v>20</v>
      </c>
      <c r="P27" s="15">
        <f t="shared" si="1"/>
        <v>37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1</v>
      </c>
      <c r="W27" s="34">
        <f t="shared" si="19"/>
        <v>0</v>
      </c>
      <c r="X27" s="34">
        <f t="shared" si="19"/>
        <v>4</v>
      </c>
      <c r="Y27" s="34">
        <f t="shared" si="19"/>
        <v>0</v>
      </c>
      <c r="Z27" s="34">
        <f t="shared" si="19"/>
        <v>3</v>
      </c>
      <c r="AA27" s="34">
        <f t="shared" si="19"/>
        <v>7</v>
      </c>
      <c r="AB27" s="34">
        <f t="shared" si="19"/>
        <v>9</v>
      </c>
      <c r="AC27" s="34">
        <f t="shared" si="19"/>
        <v>0</v>
      </c>
      <c r="AD27" s="34">
        <f t="shared" si="19"/>
        <v>0</v>
      </c>
      <c r="AE27" s="31">
        <f t="shared" si="19"/>
        <v>26</v>
      </c>
      <c r="AF27" s="31">
        <f t="shared" si="19"/>
        <v>26</v>
      </c>
    </row>
    <row r="28" spans="2:32" ht="23.1" customHeight="1" x14ac:dyDescent="0.25">
      <c r="B28" s="45" t="s">
        <v>55</v>
      </c>
      <c r="C28" s="50">
        <v>10</v>
      </c>
      <c r="D28" s="50">
        <v>2</v>
      </c>
      <c r="E28" s="50">
        <v>1</v>
      </c>
      <c r="F28" s="50">
        <v>7</v>
      </c>
      <c r="G28" s="50">
        <v>0</v>
      </c>
      <c r="H28" s="50">
        <v>2</v>
      </c>
      <c r="I28" s="50">
        <v>0</v>
      </c>
      <c r="J28" s="50">
        <v>0</v>
      </c>
      <c r="K28" s="50">
        <v>1</v>
      </c>
      <c r="L28" s="50">
        <v>1</v>
      </c>
      <c r="M28" s="50">
        <v>19</v>
      </c>
      <c r="N28" s="50">
        <v>0</v>
      </c>
      <c r="O28" s="15">
        <f t="shared" si="0"/>
        <v>24</v>
      </c>
      <c r="P28" s="15">
        <f t="shared" si="1"/>
        <v>43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2</v>
      </c>
      <c r="V28" s="34">
        <f t="shared" si="20"/>
        <v>1</v>
      </c>
      <c r="W28" s="34">
        <f t="shared" si="20"/>
        <v>0</v>
      </c>
      <c r="X28" s="34">
        <f t="shared" si="20"/>
        <v>2</v>
      </c>
      <c r="Y28" s="34">
        <f t="shared" si="20"/>
        <v>1</v>
      </c>
      <c r="Z28" s="34">
        <f t="shared" si="20"/>
        <v>4</v>
      </c>
      <c r="AA28" s="34">
        <f t="shared" si="20"/>
        <v>6</v>
      </c>
      <c r="AB28" s="34">
        <f t="shared" si="20"/>
        <v>7</v>
      </c>
      <c r="AC28" s="34">
        <f t="shared" si="20"/>
        <v>0</v>
      </c>
      <c r="AD28" s="34">
        <f t="shared" si="20"/>
        <v>0</v>
      </c>
      <c r="AE28" s="31">
        <f t="shared" si="20"/>
        <v>24</v>
      </c>
      <c r="AF28" s="31">
        <f t="shared" si="20"/>
        <v>24</v>
      </c>
    </row>
    <row r="29" spans="2:32" ht="23.1" customHeight="1" x14ac:dyDescent="0.25">
      <c r="B29" s="45" t="s">
        <v>56</v>
      </c>
      <c r="C29" s="50">
        <v>7</v>
      </c>
      <c r="D29" s="50">
        <v>0</v>
      </c>
      <c r="E29" s="50">
        <v>1</v>
      </c>
      <c r="F29" s="50">
        <v>4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25</v>
      </c>
      <c r="N29" s="50">
        <v>0</v>
      </c>
      <c r="O29" s="15">
        <f t="shared" si="0"/>
        <v>13</v>
      </c>
      <c r="P29" s="15">
        <f t="shared" si="1"/>
        <v>38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1</v>
      </c>
      <c r="X29" s="34">
        <f t="shared" si="21"/>
        <v>0</v>
      </c>
      <c r="Y29" s="34">
        <f t="shared" si="21"/>
        <v>1</v>
      </c>
      <c r="Z29" s="34">
        <f t="shared" si="21"/>
        <v>3</v>
      </c>
      <c r="AA29" s="34">
        <f t="shared" si="21"/>
        <v>5</v>
      </c>
      <c r="AB29" s="34">
        <f t="shared" si="21"/>
        <v>15</v>
      </c>
      <c r="AC29" s="34">
        <f t="shared" si="21"/>
        <v>0</v>
      </c>
      <c r="AD29" s="34">
        <f t="shared" si="21"/>
        <v>0</v>
      </c>
      <c r="AE29" s="31">
        <f t="shared" si="21"/>
        <v>25</v>
      </c>
      <c r="AF29" s="31">
        <f t="shared" si="21"/>
        <v>25</v>
      </c>
    </row>
    <row r="30" spans="2:32" ht="23.1" customHeight="1" x14ac:dyDescent="0.25">
      <c r="B30" s="45" t="s">
        <v>57</v>
      </c>
      <c r="C30" s="50">
        <v>5</v>
      </c>
      <c r="D30" s="50">
        <v>5</v>
      </c>
      <c r="E30" s="50">
        <v>0</v>
      </c>
      <c r="F30" s="50">
        <v>5</v>
      </c>
      <c r="G30" s="50">
        <v>0</v>
      </c>
      <c r="H30" s="50">
        <v>2</v>
      </c>
      <c r="I30" s="50">
        <v>4</v>
      </c>
      <c r="J30" s="50">
        <v>0</v>
      </c>
      <c r="K30" s="50">
        <v>2</v>
      </c>
      <c r="L30" s="50">
        <v>1</v>
      </c>
      <c r="M30" s="50">
        <v>2</v>
      </c>
      <c r="N30" s="50">
        <v>0</v>
      </c>
      <c r="O30" s="15">
        <f t="shared" si="0"/>
        <v>24</v>
      </c>
      <c r="P30" s="15">
        <f t="shared" si="1"/>
        <v>26</v>
      </c>
      <c r="R30" s="36" t="s">
        <v>154</v>
      </c>
      <c r="S30" s="34">
        <f>SUM(C90:C93)</f>
        <v>1</v>
      </c>
      <c r="T30" s="34">
        <f t="shared" ref="T30:AF30" si="22">SUM(D90:D93)</f>
        <v>2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2</v>
      </c>
      <c r="Y30" s="34">
        <f t="shared" si="22"/>
        <v>3</v>
      </c>
      <c r="Z30" s="34">
        <f t="shared" si="22"/>
        <v>3</v>
      </c>
      <c r="AA30" s="34">
        <f t="shared" si="22"/>
        <v>13</v>
      </c>
      <c r="AB30" s="34">
        <f t="shared" si="22"/>
        <v>16</v>
      </c>
      <c r="AC30" s="34">
        <f t="shared" si="22"/>
        <v>0</v>
      </c>
      <c r="AD30" s="34">
        <f t="shared" si="22"/>
        <v>0</v>
      </c>
      <c r="AE30" s="31">
        <f t="shared" si="22"/>
        <v>41</v>
      </c>
      <c r="AF30" s="31">
        <f t="shared" si="22"/>
        <v>41</v>
      </c>
    </row>
    <row r="31" spans="2:32" ht="23.1" customHeight="1" x14ac:dyDescent="0.25">
      <c r="B31" s="46" t="s">
        <v>58</v>
      </c>
      <c r="C31" s="50">
        <v>13</v>
      </c>
      <c r="D31" s="50">
        <v>3</v>
      </c>
      <c r="E31" s="50">
        <v>3</v>
      </c>
      <c r="F31" s="50">
        <v>8</v>
      </c>
      <c r="G31" s="50">
        <v>0</v>
      </c>
      <c r="H31" s="50">
        <v>1</v>
      </c>
      <c r="I31" s="50">
        <v>5</v>
      </c>
      <c r="J31" s="50">
        <v>0</v>
      </c>
      <c r="K31" s="50">
        <v>3</v>
      </c>
      <c r="L31" s="50">
        <v>2</v>
      </c>
      <c r="M31" s="50">
        <v>29</v>
      </c>
      <c r="N31" s="50">
        <v>0</v>
      </c>
      <c r="O31" s="15">
        <f t="shared" si="0"/>
        <v>38</v>
      </c>
      <c r="P31" s="15">
        <f t="shared" si="1"/>
        <v>67</v>
      </c>
      <c r="R31" s="36" t="s">
        <v>155</v>
      </c>
      <c r="S31" s="34">
        <f>SUM(C94:C97)</f>
        <v>2</v>
      </c>
      <c r="T31" s="34">
        <f t="shared" ref="T31:AF31" si="23">SUM(D94:D97)</f>
        <v>4</v>
      </c>
      <c r="U31" s="34">
        <f t="shared" si="23"/>
        <v>0</v>
      </c>
      <c r="V31" s="34">
        <f t="shared" si="23"/>
        <v>5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4</v>
      </c>
      <c r="AA31" s="34">
        <f t="shared" si="23"/>
        <v>11</v>
      </c>
      <c r="AB31" s="34">
        <f t="shared" si="23"/>
        <v>14</v>
      </c>
      <c r="AC31" s="34">
        <f t="shared" si="23"/>
        <v>0</v>
      </c>
      <c r="AD31" s="34">
        <f t="shared" si="23"/>
        <v>0</v>
      </c>
      <c r="AE31" s="31">
        <f t="shared" si="23"/>
        <v>41</v>
      </c>
      <c r="AF31" s="31">
        <f t="shared" si="23"/>
        <v>41</v>
      </c>
    </row>
    <row r="32" spans="2:32" ht="23.1" customHeight="1" x14ac:dyDescent="0.25">
      <c r="B32" s="46" t="s">
        <v>59</v>
      </c>
      <c r="C32" s="50">
        <v>10</v>
      </c>
      <c r="D32" s="50">
        <v>3</v>
      </c>
      <c r="E32" s="50">
        <v>2</v>
      </c>
      <c r="F32" s="50">
        <v>9</v>
      </c>
      <c r="G32" s="50">
        <v>0</v>
      </c>
      <c r="H32" s="50">
        <v>0</v>
      </c>
      <c r="I32" s="50">
        <v>3</v>
      </c>
      <c r="J32" s="50">
        <v>0</v>
      </c>
      <c r="K32" s="50">
        <v>3</v>
      </c>
      <c r="L32" s="50">
        <v>0</v>
      </c>
      <c r="M32" s="50">
        <v>15</v>
      </c>
      <c r="N32" s="50">
        <v>0</v>
      </c>
      <c r="O32" s="15">
        <f t="shared" si="0"/>
        <v>30</v>
      </c>
      <c r="P32" s="15">
        <f t="shared" si="1"/>
        <v>45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45" t="s">
        <v>60</v>
      </c>
      <c r="C33" s="50">
        <v>7</v>
      </c>
      <c r="D33" s="50">
        <v>2</v>
      </c>
      <c r="E33" s="50">
        <v>0</v>
      </c>
      <c r="F33" s="50">
        <v>3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0</v>
      </c>
      <c r="M33" s="50">
        <v>13</v>
      </c>
      <c r="N33" s="50">
        <v>0</v>
      </c>
      <c r="O33" s="15">
        <f t="shared" si="0"/>
        <v>13</v>
      </c>
      <c r="P33" s="15">
        <f t="shared" si="1"/>
        <v>26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46" t="s">
        <v>61</v>
      </c>
      <c r="C34" s="50">
        <v>5</v>
      </c>
      <c r="D34" s="50">
        <v>2</v>
      </c>
      <c r="E34" s="50">
        <v>0</v>
      </c>
      <c r="F34" s="50">
        <v>4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15</v>
      </c>
      <c r="N34" s="50">
        <v>0</v>
      </c>
      <c r="O34" s="15">
        <f t="shared" si="0"/>
        <v>14</v>
      </c>
      <c r="P34" s="15">
        <f t="shared" si="1"/>
        <v>29</v>
      </c>
      <c r="R34" s="38" t="s">
        <v>90</v>
      </c>
      <c r="S34" s="39">
        <f t="shared" ref="S34:AF34" si="26">MAX(S10:S12)</f>
        <v>30</v>
      </c>
      <c r="T34" s="39">
        <f t="shared" si="26"/>
        <v>9</v>
      </c>
      <c r="U34" s="39">
        <f t="shared" si="26"/>
        <v>2</v>
      </c>
      <c r="V34" s="39">
        <f t="shared" si="26"/>
        <v>26</v>
      </c>
      <c r="W34" s="39">
        <f t="shared" si="26"/>
        <v>1</v>
      </c>
      <c r="X34" s="39">
        <f t="shared" si="26"/>
        <v>2</v>
      </c>
      <c r="Y34" s="39">
        <f t="shared" si="26"/>
        <v>11</v>
      </c>
      <c r="Z34" s="39">
        <f t="shared" si="26"/>
        <v>1</v>
      </c>
      <c r="AA34" s="39">
        <f t="shared" si="26"/>
        <v>4</v>
      </c>
      <c r="AB34" s="39">
        <f t="shared" si="26"/>
        <v>4</v>
      </c>
      <c r="AC34" s="39">
        <f t="shared" si="26"/>
        <v>82</v>
      </c>
      <c r="AD34" s="39">
        <f t="shared" si="26"/>
        <v>0</v>
      </c>
      <c r="AE34" s="40">
        <f t="shared" si="26"/>
        <v>87</v>
      </c>
      <c r="AF34" s="40">
        <f t="shared" si="26"/>
        <v>169</v>
      </c>
    </row>
    <row r="35" spans="2:32" ht="23.1" customHeight="1" x14ac:dyDescent="0.25">
      <c r="B35" s="46" t="s">
        <v>62</v>
      </c>
      <c r="C35" s="50">
        <v>11</v>
      </c>
      <c r="D35" s="50">
        <v>0</v>
      </c>
      <c r="E35" s="50">
        <v>1</v>
      </c>
      <c r="F35" s="50">
        <v>4</v>
      </c>
      <c r="G35" s="50">
        <v>0</v>
      </c>
      <c r="H35" s="50">
        <v>1</v>
      </c>
      <c r="I35" s="50">
        <v>4</v>
      </c>
      <c r="J35" s="50">
        <v>0</v>
      </c>
      <c r="K35" s="50">
        <v>1</v>
      </c>
      <c r="L35" s="50">
        <v>2</v>
      </c>
      <c r="M35" s="50">
        <v>10</v>
      </c>
      <c r="N35" s="50">
        <v>0</v>
      </c>
      <c r="O35" s="15">
        <f t="shared" si="0"/>
        <v>24</v>
      </c>
      <c r="P35" s="15">
        <f t="shared" si="1"/>
        <v>34</v>
      </c>
      <c r="R35" s="38" t="s">
        <v>91</v>
      </c>
      <c r="S35" s="39">
        <f t="shared" ref="S35:AF35" si="27">MAX(S13:S18)</f>
        <v>35</v>
      </c>
      <c r="T35" s="39">
        <f t="shared" si="27"/>
        <v>13</v>
      </c>
      <c r="U35" s="39">
        <f t="shared" si="27"/>
        <v>6</v>
      </c>
      <c r="V35" s="39">
        <f t="shared" si="27"/>
        <v>25</v>
      </c>
      <c r="W35" s="39">
        <f t="shared" si="27"/>
        <v>0</v>
      </c>
      <c r="X35" s="39">
        <f t="shared" si="27"/>
        <v>5</v>
      </c>
      <c r="Y35" s="39">
        <f t="shared" si="27"/>
        <v>22</v>
      </c>
      <c r="Z35" s="39">
        <f t="shared" si="27"/>
        <v>4</v>
      </c>
      <c r="AA35" s="39">
        <f t="shared" si="27"/>
        <v>9</v>
      </c>
      <c r="AB35" s="39">
        <f t="shared" si="27"/>
        <v>8</v>
      </c>
      <c r="AC35" s="39">
        <f t="shared" si="27"/>
        <v>81</v>
      </c>
      <c r="AD35" s="39">
        <f t="shared" si="27"/>
        <v>1</v>
      </c>
      <c r="AE35" s="40">
        <f t="shared" si="27"/>
        <v>105</v>
      </c>
      <c r="AF35" s="40">
        <f t="shared" si="27"/>
        <v>164</v>
      </c>
    </row>
    <row r="36" spans="2:32" ht="23.1" customHeight="1" x14ac:dyDescent="0.25">
      <c r="B36" s="46" t="s">
        <v>63</v>
      </c>
      <c r="C36" s="50">
        <v>3</v>
      </c>
      <c r="D36" s="50">
        <v>1</v>
      </c>
      <c r="E36" s="50">
        <v>2</v>
      </c>
      <c r="F36" s="50">
        <v>5</v>
      </c>
      <c r="G36" s="50">
        <v>0</v>
      </c>
      <c r="H36" s="50">
        <v>0</v>
      </c>
      <c r="I36" s="50">
        <v>3</v>
      </c>
      <c r="J36" s="50">
        <v>1</v>
      </c>
      <c r="K36" s="50">
        <v>2</v>
      </c>
      <c r="L36" s="50">
        <v>1</v>
      </c>
      <c r="M36" s="50">
        <v>6</v>
      </c>
      <c r="N36" s="50">
        <v>0</v>
      </c>
      <c r="O36" s="15">
        <f t="shared" si="0"/>
        <v>18</v>
      </c>
      <c r="P36" s="15">
        <f t="shared" si="1"/>
        <v>24</v>
      </c>
      <c r="R36" s="38" t="s">
        <v>92</v>
      </c>
      <c r="S36" s="39">
        <f t="shared" ref="S36:AF36" si="28">MAX(S19:S21)</f>
        <v>42</v>
      </c>
      <c r="T36" s="39">
        <f t="shared" si="28"/>
        <v>16</v>
      </c>
      <c r="U36" s="39">
        <f t="shared" si="28"/>
        <v>5</v>
      </c>
      <c r="V36" s="39">
        <f t="shared" si="28"/>
        <v>16</v>
      </c>
      <c r="W36" s="39">
        <f t="shared" si="28"/>
        <v>1</v>
      </c>
      <c r="X36" s="39">
        <f t="shared" si="28"/>
        <v>2</v>
      </c>
      <c r="Y36" s="39">
        <f t="shared" si="28"/>
        <v>9</v>
      </c>
      <c r="Z36" s="39">
        <f t="shared" si="28"/>
        <v>8</v>
      </c>
      <c r="AA36" s="39">
        <f t="shared" si="28"/>
        <v>3</v>
      </c>
      <c r="AB36" s="39">
        <f t="shared" si="28"/>
        <v>3</v>
      </c>
      <c r="AC36" s="39">
        <f t="shared" si="28"/>
        <v>92</v>
      </c>
      <c r="AD36" s="39">
        <f t="shared" si="28"/>
        <v>0</v>
      </c>
      <c r="AE36" s="40">
        <f t="shared" si="28"/>
        <v>84</v>
      </c>
      <c r="AF36" s="40">
        <f t="shared" si="28"/>
        <v>176</v>
      </c>
    </row>
    <row r="37" spans="2:32" ht="23.1" customHeight="1" x14ac:dyDescent="0.25">
      <c r="B37" s="45" t="s">
        <v>64</v>
      </c>
      <c r="C37" s="50">
        <v>4</v>
      </c>
      <c r="D37" s="50">
        <v>2</v>
      </c>
      <c r="E37" s="50">
        <v>0</v>
      </c>
      <c r="F37" s="50">
        <v>2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5</v>
      </c>
      <c r="N37" s="50">
        <v>0</v>
      </c>
      <c r="O37" s="15">
        <f t="shared" si="0"/>
        <v>9</v>
      </c>
      <c r="P37" s="15">
        <f t="shared" si="1"/>
        <v>14</v>
      </c>
      <c r="R37" s="37" t="s">
        <v>85</v>
      </c>
      <c r="S37" s="35">
        <f t="shared" ref="S37:AF37" si="29">SUM(S10:S12)</f>
        <v>68</v>
      </c>
      <c r="T37" s="16">
        <f t="shared" si="29"/>
        <v>19</v>
      </c>
      <c r="U37" s="16">
        <f t="shared" si="29"/>
        <v>4</v>
      </c>
      <c r="V37" s="16">
        <f t="shared" si="29"/>
        <v>51</v>
      </c>
      <c r="W37" s="16">
        <f t="shared" si="29"/>
        <v>1</v>
      </c>
      <c r="X37" s="16">
        <f t="shared" si="29"/>
        <v>3</v>
      </c>
      <c r="Y37" s="16">
        <f t="shared" si="29"/>
        <v>21</v>
      </c>
      <c r="Z37" s="16">
        <f t="shared" si="29"/>
        <v>1</v>
      </c>
      <c r="AA37" s="16">
        <f t="shared" si="29"/>
        <v>8</v>
      </c>
      <c r="AB37" s="16">
        <f t="shared" si="29"/>
        <v>7</v>
      </c>
      <c r="AC37" s="16">
        <f t="shared" si="29"/>
        <v>183</v>
      </c>
      <c r="AD37" s="16">
        <f t="shared" si="29"/>
        <v>0</v>
      </c>
      <c r="AE37" s="32">
        <f t="shared" si="29"/>
        <v>183</v>
      </c>
      <c r="AF37" s="32">
        <f t="shared" si="29"/>
        <v>366</v>
      </c>
    </row>
    <row r="38" spans="2:32" ht="23.1" customHeight="1" x14ac:dyDescent="0.25">
      <c r="B38" s="46" t="s">
        <v>65</v>
      </c>
      <c r="C38" s="50">
        <v>4</v>
      </c>
      <c r="D38" s="50">
        <v>1</v>
      </c>
      <c r="E38" s="50">
        <v>2</v>
      </c>
      <c r="F38" s="50">
        <v>2</v>
      </c>
      <c r="G38" s="50">
        <v>0</v>
      </c>
      <c r="H38" s="50">
        <v>2</v>
      </c>
      <c r="I38" s="50">
        <v>1</v>
      </c>
      <c r="J38" s="50">
        <v>0</v>
      </c>
      <c r="K38" s="50">
        <v>4</v>
      </c>
      <c r="L38" s="50">
        <v>2</v>
      </c>
      <c r="M38" s="50">
        <v>11</v>
      </c>
      <c r="N38" s="50">
        <v>0</v>
      </c>
      <c r="O38" s="15">
        <f t="shared" si="0"/>
        <v>18</v>
      </c>
      <c r="P38" s="15">
        <f t="shared" si="1"/>
        <v>29</v>
      </c>
      <c r="R38" s="28" t="s">
        <v>86</v>
      </c>
      <c r="S38" s="16">
        <f t="shared" ref="S38:AF38" si="30">SUM(S13:S18)</f>
        <v>162</v>
      </c>
      <c r="T38" s="16">
        <f t="shared" si="30"/>
        <v>42</v>
      </c>
      <c r="U38" s="16">
        <f t="shared" si="30"/>
        <v>28</v>
      </c>
      <c r="V38" s="16">
        <f t="shared" si="30"/>
        <v>105</v>
      </c>
      <c r="W38" s="16">
        <f t="shared" si="30"/>
        <v>0</v>
      </c>
      <c r="X38" s="16">
        <f t="shared" si="30"/>
        <v>17</v>
      </c>
      <c r="Y38" s="16">
        <f t="shared" si="30"/>
        <v>55</v>
      </c>
      <c r="Z38" s="16">
        <f t="shared" si="30"/>
        <v>9</v>
      </c>
      <c r="AA38" s="16">
        <f t="shared" si="30"/>
        <v>32</v>
      </c>
      <c r="AB38" s="16">
        <f t="shared" si="30"/>
        <v>26</v>
      </c>
      <c r="AC38" s="16">
        <f t="shared" si="30"/>
        <v>363</v>
      </c>
      <c r="AD38" s="16">
        <f t="shared" si="30"/>
        <v>1</v>
      </c>
      <c r="AE38" s="32">
        <f t="shared" si="30"/>
        <v>477</v>
      </c>
      <c r="AF38" s="32">
        <f t="shared" si="30"/>
        <v>840</v>
      </c>
    </row>
    <row r="39" spans="2:32" ht="23.1" customHeight="1" x14ac:dyDescent="0.25">
      <c r="B39" s="46" t="s">
        <v>66</v>
      </c>
      <c r="C39" s="50">
        <v>5</v>
      </c>
      <c r="D39" s="50">
        <v>0</v>
      </c>
      <c r="E39" s="50">
        <v>1</v>
      </c>
      <c r="F39" s="50">
        <v>0</v>
      </c>
      <c r="G39" s="50">
        <v>0</v>
      </c>
      <c r="H39" s="50">
        <v>2</v>
      </c>
      <c r="I39" s="50">
        <v>1</v>
      </c>
      <c r="J39" s="50">
        <v>0</v>
      </c>
      <c r="K39" s="50">
        <v>1</v>
      </c>
      <c r="L39" s="50">
        <v>0</v>
      </c>
      <c r="M39" s="50">
        <v>5</v>
      </c>
      <c r="N39" s="50">
        <v>0</v>
      </c>
      <c r="O39" s="15">
        <f t="shared" si="0"/>
        <v>10</v>
      </c>
      <c r="P39" s="15">
        <f t="shared" si="1"/>
        <v>15</v>
      </c>
      <c r="R39" s="29" t="s">
        <v>87</v>
      </c>
      <c r="S39" s="16">
        <f t="shared" ref="S39:AF39" si="31">SUM(S19:S21)</f>
        <v>99</v>
      </c>
      <c r="T39" s="16">
        <f t="shared" si="31"/>
        <v>26</v>
      </c>
      <c r="U39" s="16">
        <f t="shared" si="31"/>
        <v>12</v>
      </c>
      <c r="V39" s="16">
        <f t="shared" si="31"/>
        <v>42</v>
      </c>
      <c r="W39" s="16">
        <f t="shared" si="31"/>
        <v>2</v>
      </c>
      <c r="X39" s="16">
        <f t="shared" si="31"/>
        <v>2</v>
      </c>
      <c r="Y39" s="16">
        <f t="shared" si="31"/>
        <v>17</v>
      </c>
      <c r="Z39" s="16">
        <f t="shared" si="31"/>
        <v>11</v>
      </c>
      <c r="AA39" s="16">
        <f t="shared" si="31"/>
        <v>8</v>
      </c>
      <c r="AB39" s="16">
        <f t="shared" si="31"/>
        <v>5</v>
      </c>
      <c r="AC39" s="16">
        <f t="shared" si="31"/>
        <v>254</v>
      </c>
      <c r="AD39" s="16">
        <f t="shared" si="31"/>
        <v>0</v>
      </c>
      <c r="AE39" s="32">
        <f t="shared" si="31"/>
        <v>224</v>
      </c>
      <c r="AF39" s="32">
        <f t="shared" si="31"/>
        <v>478</v>
      </c>
    </row>
    <row r="40" spans="2:32" ht="23.1" customHeight="1" x14ac:dyDescent="0.25">
      <c r="B40" s="46" t="s">
        <v>67</v>
      </c>
      <c r="C40" s="50">
        <v>7</v>
      </c>
      <c r="D40" s="50">
        <v>0</v>
      </c>
      <c r="E40" s="50">
        <v>1</v>
      </c>
      <c r="F40" s="50">
        <v>2</v>
      </c>
      <c r="G40" s="50">
        <v>0</v>
      </c>
      <c r="H40" s="50">
        <v>1</v>
      </c>
      <c r="I40" s="50">
        <v>2</v>
      </c>
      <c r="J40" s="50">
        <v>1</v>
      </c>
      <c r="K40" s="50">
        <v>0</v>
      </c>
      <c r="L40" s="50">
        <v>0</v>
      </c>
      <c r="M40" s="50">
        <v>20</v>
      </c>
      <c r="N40" s="50">
        <v>0</v>
      </c>
      <c r="O40" s="15">
        <f t="shared" si="0"/>
        <v>14</v>
      </c>
      <c r="P40" s="15">
        <f t="shared" si="1"/>
        <v>34</v>
      </c>
      <c r="R40" s="5" t="s">
        <v>17</v>
      </c>
      <c r="S40" s="16">
        <f t="shared" ref="S40:AF40" si="32">SUM(S10:S21)</f>
        <v>329</v>
      </c>
      <c r="T40" s="16">
        <f t="shared" si="32"/>
        <v>87</v>
      </c>
      <c r="U40" s="16">
        <f t="shared" si="32"/>
        <v>44</v>
      </c>
      <c r="V40" s="16">
        <f t="shared" si="32"/>
        <v>198</v>
      </c>
      <c r="W40" s="16">
        <f t="shared" si="32"/>
        <v>3</v>
      </c>
      <c r="X40" s="16">
        <f t="shared" si="32"/>
        <v>22</v>
      </c>
      <c r="Y40" s="16">
        <f t="shared" si="32"/>
        <v>93</v>
      </c>
      <c r="Z40" s="16">
        <f t="shared" si="32"/>
        <v>21</v>
      </c>
      <c r="AA40" s="16">
        <f t="shared" si="32"/>
        <v>48</v>
      </c>
      <c r="AB40" s="16">
        <f t="shared" si="32"/>
        <v>38</v>
      </c>
      <c r="AC40" s="16">
        <f t="shared" si="32"/>
        <v>800</v>
      </c>
      <c r="AD40" s="16">
        <f t="shared" si="32"/>
        <v>1</v>
      </c>
      <c r="AE40" s="32">
        <f t="shared" si="32"/>
        <v>884</v>
      </c>
      <c r="AF40" s="32">
        <f t="shared" si="32"/>
        <v>1684</v>
      </c>
    </row>
    <row r="41" spans="2:32" ht="23.1" customHeight="1" x14ac:dyDescent="0.25">
      <c r="B41" s="45" t="s">
        <v>68</v>
      </c>
      <c r="C41" s="50">
        <v>3</v>
      </c>
      <c r="D41" s="50">
        <v>3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2</v>
      </c>
      <c r="L41" s="50">
        <v>0</v>
      </c>
      <c r="M41" s="50">
        <v>15</v>
      </c>
      <c r="N41" s="50">
        <v>0</v>
      </c>
      <c r="O41" s="15">
        <f t="shared" si="0"/>
        <v>9</v>
      </c>
      <c r="P41" s="15">
        <f t="shared" si="1"/>
        <v>24</v>
      </c>
      <c r="R41" s="5" t="s">
        <v>159</v>
      </c>
      <c r="S41" s="16">
        <f>SUM(S10:S33)</f>
        <v>458</v>
      </c>
      <c r="T41" s="16">
        <f t="shared" ref="T41:AF41" si="33">SUM(T10:T33)</f>
        <v>126</v>
      </c>
      <c r="U41" s="16">
        <f t="shared" si="33"/>
        <v>74</v>
      </c>
      <c r="V41" s="16">
        <f t="shared" si="33"/>
        <v>258</v>
      </c>
      <c r="W41" s="16">
        <f t="shared" si="33"/>
        <v>7</v>
      </c>
      <c r="X41" s="16">
        <f t="shared" si="33"/>
        <v>47</v>
      </c>
      <c r="Y41" s="16">
        <f t="shared" si="33"/>
        <v>118</v>
      </c>
      <c r="Z41" s="16">
        <f t="shared" si="33"/>
        <v>45</v>
      </c>
      <c r="AA41" s="16">
        <f t="shared" si="33"/>
        <v>118</v>
      </c>
      <c r="AB41" s="16">
        <f t="shared" si="33"/>
        <v>128</v>
      </c>
      <c r="AC41" s="16">
        <f t="shared" si="33"/>
        <v>878</v>
      </c>
      <c r="AD41" s="16">
        <f t="shared" si="33"/>
        <v>1</v>
      </c>
      <c r="AE41" s="32">
        <f t="shared" si="33"/>
        <v>1380</v>
      </c>
      <c r="AF41" s="32">
        <f t="shared" si="33"/>
        <v>2258</v>
      </c>
    </row>
    <row r="42" spans="2:32" ht="23.1" customHeight="1" x14ac:dyDescent="0.25">
      <c r="B42" s="46" t="s">
        <v>69</v>
      </c>
      <c r="C42" s="50">
        <v>8</v>
      </c>
      <c r="D42" s="50">
        <v>1</v>
      </c>
      <c r="E42" s="50">
        <v>2</v>
      </c>
      <c r="F42" s="50">
        <v>2</v>
      </c>
      <c r="G42" s="50">
        <v>0</v>
      </c>
      <c r="H42" s="50">
        <v>0</v>
      </c>
      <c r="I42" s="50">
        <v>6</v>
      </c>
      <c r="J42" s="50">
        <v>2</v>
      </c>
      <c r="K42" s="50">
        <v>1</v>
      </c>
      <c r="L42" s="50">
        <v>1</v>
      </c>
      <c r="M42" s="50">
        <v>11</v>
      </c>
      <c r="N42" s="50">
        <v>1</v>
      </c>
      <c r="O42" s="15">
        <f t="shared" si="0"/>
        <v>24</v>
      </c>
      <c r="P42" s="15">
        <f t="shared" si="1"/>
        <v>35</v>
      </c>
      <c r="R42" s="5" t="s">
        <v>160</v>
      </c>
      <c r="S42" s="48">
        <f>S41/S40</f>
        <v>1.3920972644376899</v>
      </c>
      <c r="T42" s="48">
        <f t="shared" ref="T42:AF42" si="34">T41/T40</f>
        <v>1.4482758620689655</v>
      </c>
      <c r="U42" s="48">
        <f t="shared" si="34"/>
        <v>1.6818181818181819</v>
      </c>
      <c r="V42" s="48">
        <f t="shared" si="34"/>
        <v>1.303030303030303</v>
      </c>
      <c r="W42" s="48">
        <f t="shared" si="34"/>
        <v>2.3333333333333335</v>
      </c>
      <c r="X42" s="48">
        <f t="shared" si="34"/>
        <v>2.1363636363636362</v>
      </c>
      <c r="Y42" s="48">
        <f t="shared" si="34"/>
        <v>1.2688172043010753</v>
      </c>
      <c r="Z42" s="48">
        <f t="shared" si="34"/>
        <v>2.1428571428571428</v>
      </c>
      <c r="AA42" s="48">
        <f t="shared" si="34"/>
        <v>2.4583333333333335</v>
      </c>
      <c r="AB42" s="48">
        <f t="shared" si="34"/>
        <v>3.3684210526315788</v>
      </c>
      <c r="AC42" s="48">
        <f t="shared" si="34"/>
        <v>1.0974999999999999</v>
      </c>
      <c r="AD42" s="48">
        <f t="shared" si="34"/>
        <v>1</v>
      </c>
      <c r="AE42" s="48">
        <f t="shared" si="34"/>
        <v>1.5610859728506787</v>
      </c>
      <c r="AF42" s="48">
        <f t="shared" si="34"/>
        <v>1.340855106888361</v>
      </c>
    </row>
    <row r="43" spans="2:32" ht="23.1" customHeight="1" x14ac:dyDescent="0.25">
      <c r="B43" s="45" t="s">
        <v>70</v>
      </c>
      <c r="C43" s="50">
        <v>10</v>
      </c>
      <c r="D43" s="50">
        <v>3</v>
      </c>
      <c r="E43" s="50">
        <v>1</v>
      </c>
      <c r="F43" s="50">
        <v>3</v>
      </c>
      <c r="G43" s="50">
        <v>0</v>
      </c>
      <c r="H43" s="50">
        <v>1</v>
      </c>
      <c r="I43" s="50">
        <v>7</v>
      </c>
      <c r="J43" s="50">
        <v>0</v>
      </c>
      <c r="K43" s="50">
        <v>2</v>
      </c>
      <c r="L43" s="50">
        <v>0</v>
      </c>
      <c r="M43" s="50">
        <v>16</v>
      </c>
      <c r="N43" s="50">
        <v>0</v>
      </c>
      <c r="O43" s="15">
        <f t="shared" si="0"/>
        <v>27</v>
      </c>
      <c r="P43" s="15">
        <f t="shared" si="1"/>
        <v>43</v>
      </c>
    </row>
    <row r="44" spans="2:32" ht="23.1" customHeight="1" x14ac:dyDescent="0.25">
      <c r="B44" s="47" t="s">
        <v>71</v>
      </c>
      <c r="C44" s="50">
        <v>6</v>
      </c>
      <c r="D44" s="50">
        <v>0</v>
      </c>
      <c r="E44" s="50">
        <v>2</v>
      </c>
      <c r="F44" s="50">
        <v>4</v>
      </c>
      <c r="G44" s="50">
        <v>0</v>
      </c>
      <c r="H44" s="50">
        <v>0</v>
      </c>
      <c r="I44" s="50">
        <v>4</v>
      </c>
      <c r="J44" s="50">
        <v>1</v>
      </c>
      <c r="K44" s="50">
        <v>1</v>
      </c>
      <c r="L44" s="50">
        <v>1</v>
      </c>
      <c r="M44" s="50">
        <v>14</v>
      </c>
      <c r="N44" s="50">
        <v>0</v>
      </c>
      <c r="O44" s="15">
        <f t="shared" si="0"/>
        <v>19</v>
      </c>
      <c r="P44" s="15">
        <f t="shared" si="1"/>
        <v>33</v>
      </c>
    </row>
    <row r="45" spans="2:32" ht="23.1" customHeight="1" x14ac:dyDescent="0.25">
      <c r="B45" s="45" t="s">
        <v>72</v>
      </c>
      <c r="C45" s="50">
        <v>9</v>
      </c>
      <c r="D45" s="50">
        <v>1</v>
      </c>
      <c r="E45" s="50">
        <v>1</v>
      </c>
      <c r="F45" s="50">
        <v>8</v>
      </c>
      <c r="G45" s="50">
        <v>0</v>
      </c>
      <c r="H45" s="50">
        <v>1</v>
      </c>
      <c r="I45" s="50">
        <v>5</v>
      </c>
      <c r="J45" s="50">
        <v>1</v>
      </c>
      <c r="K45" s="50">
        <v>0</v>
      </c>
      <c r="L45" s="50">
        <v>2</v>
      </c>
      <c r="M45" s="50">
        <v>15</v>
      </c>
      <c r="N45" s="50">
        <v>0</v>
      </c>
      <c r="O45" s="15">
        <f t="shared" si="0"/>
        <v>28</v>
      </c>
      <c r="P45" s="15">
        <f t="shared" si="1"/>
        <v>43</v>
      </c>
    </row>
    <row r="46" spans="2:32" ht="23.1" customHeight="1" x14ac:dyDescent="0.25">
      <c r="B46" s="46" t="s">
        <v>73</v>
      </c>
      <c r="C46" s="50">
        <v>16</v>
      </c>
      <c r="D46" s="50">
        <v>0</v>
      </c>
      <c r="E46" s="50">
        <v>3</v>
      </c>
      <c r="F46" s="50">
        <v>6</v>
      </c>
      <c r="G46" s="50">
        <v>0</v>
      </c>
      <c r="H46" s="50">
        <v>1</v>
      </c>
      <c r="I46" s="50">
        <v>6</v>
      </c>
      <c r="J46" s="50">
        <v>0</v>
      </c>
      <c r="K46" s="50">
        <v>2</v>
      </c>
      <c r="L46" s="50">
        <v>1</v>
      </c>
      <c r="M46" s="50">
        <v>30</v>
      </c>
      <c r="N46" s="50">
        <v>0</v>
      </c>
      <c r="O46" s="15">
        <f t="shared" si="0"/>
        <v>35</v>
      </c>
      <c r="P46" s="15">
        <f t="shared" si="1"/>
        <v>65</v>
      </c>
      <c r="R46" s="8"/>
      <c r="T46"/>
    </row>
    <row r="47" spans="2:32" ht="23.1" customHeight="1" x14ac:dyDescent="0.25">
      <c r="B47" s="46" t="s">
        <v>74</v>
      </c>
      <c r="C47" s="50">
        <v>18</v>
      </c>
      <c r="D47" s="50">
        <v>0</v>
      </c>
      <c r="E47" s="50">
        <v>1</v>
      </c>
      <c r="F47" s="50">
        <v>2</v>
      </c>
      <c r="G47" s="50">
        <v>0</v>
      </c>
      <c r="H47" s="50">
        <v>0</v>
      </c>
      <c r="I47" s="50">
        <v>3</v>
      </c>
      <c r="J47" s="50">
        <v>3</v>
      </c>
      <c r="K47" s="50">
        <v>0</v>
      </c>
      <c r="L47" s="50">
        <v>1</v>
      </c>
      <c r="M47" s="50">
        <v>30</v>
      </c>
      <c r="N47" s="50">
        <v>0</v>
      </c>
      <c r="O47" s="15">
        <f t="shared" si="0"/>
        <v>28</v>
      </c>
      <c r="P47" s="15">
        <f t="shared" si="1"/>
        <v>58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1</v>
      </c>
      <c r="E48" s="50">
        <v>0</v>
      </c>
      <c r="F48" s="50">
        <v>3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13</v>
      </c>
      <c r="N48" s="50">
        <v>0</v>
      </c>
      <c r="O48" s="15">
        <f t="shared" si="0"/>
        <v>7</v>
      </c>
      <c r="P48" s="15">
        <f t="shared" si="1"/>
        <v>20</v>
      </c>
      <c r="R48" s="8"/>
      <c r="T48"/>
    </row>
    <row r="49" spans="2:20" ht="23.1" customHeight="1" x14ac:dyDescent="0.25">
      <c r="B49" s="45" t="s">
        <v>76</v>
      </c>
      <c r="C49" s="50">
        <v>6</v>
      </c>
      <c r="D49" s="50">
        <v>1</v>
      </c>
      <c r="E49" s="50">
        <v>1</v>
      </c>
      <c r="F49" s="50">
        <v>0</v>
      </c>
      <c r="G49" s="50">
        <v>0</v>
      </c>
      <c r="H49" s="50">
        <v>1</v>
      </c>
      <c r="I49" s="50">
        <v>0</v>
      </c>
      <c r="J49" s="50">
        <v>4</v>
      </c>
      <c r="K49" s="50">
        <v>1</v>
      </c>
      <c r="L49" s="50">
        <v>0</v>
      </c>
      <c r="M49" s="50">
        <v>19</v>
      </c>
      <c r="N49" s="50">
        <v>0</v>
      </c>
      <c r="O49" s="15">
        <f t="shared" si="0"/>
        <v>14</v>
      </c>
      <c r="P49" s="15">
        <f t="shared" si="1"/>
        <v>33</v>
      </c>
      <c r="R49" s="8"/>
      <c r="T49"/>
    </row>
    <row r="50" spans="2:20" ht="23.1" customHeight="1" x14ac:dyDescent="0.25">
      <c r="B50" s="46" t="s">
        <v>77</v>
      </c>
      <c r="C50" s="50">
        <v>6</v>
      </c>
      <c r="D50" s="50">
        <v>7</v>
      </c>
      <c r="E50" s="50">
        <v>2</v>
      </c>
      <c r="F50" s="50">
        <v>3</v>
      </c>
      <c r="G50" s="50">
        <v>0</v>
      </c>
      <c r="H50" s="50">
        <v>0</v>
      </c>
      <c r="I50" s="50">
        <v>1</v>
      </c>
      <c r="J50" s="50">
        <v>0</v>
      </c>
      <c r="K50" s="50">
        <v>2</v>
      </c>
      <c r="L50" s="50">
        <v>2</v>
      </c>
      <c r="M50" s="50">
        <v>27</v>
      </c>
      <c r="N50" s="50">
        <v>0</v>
      </c>
      <c r="O50" s="15">
        <f t="shared" si="0"/>
        <v>23</v>
      </c>
      <c r="P50" s="15">
        <f t="shared" si="1"/>
        <v>50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2</v>
      </c>
      <c r="E51" s="50">
        <v>1</v>
      </c>
      <c r="F51" s="50">
        <v>6</v>
      </c>
      <c r="G51" s="50">
        <v>1</v>
      </c>
      <c r="H51" s="50">
        <v>0</v>
      </c>
      <c r="I51" s="50">
        <v>2</v>
      </c>
      <c r="J51" s="50">
        <v>1</v>
      </c>
      <c r="K51" s="50">
        <v>1</v>
      </c>
      <c r="L51" s="50">
        <v>1</v>
      </c>
      <c r="M51" s="50">
        <v>18</v>
      </c>
      <c r="N51" s="50">
        <v>0</v>
      </c>
      <c r="O51" s="15">
        <f t="shared" si="0"/>
        <v>21</v>
      </c>
      <c r="P51" s="15">
        <f t="shared" si="1"/>
        <v>39</v>
      </c>
      <c r="R51" s="8"/>
      <c r="T51"/>
    </row>
    <row r="52" spans="2:20" ht="23.1" customHeight="1" x14ac:dyDescent="0.25">
      <c r="B52" s="46" t="s">
        <v>79</v>
      </c>
      <c r="C52" s="50">
        <v>9</v>
      </c>
      <c r="D52" s="50">
        <v>4</v>
      </c>
      <c r="E52" s="50">
        <v>1</v>
      </c>
      <c r="F52" s="50">
        <v>4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25</v>
      </c>
      <c r="N52" s="50">
        <v>0</v>
      </c>
      <c r="O52" s="15">
        <f t="shared" si="0"/>
        <v>19</v>
      </c>
      <c r="P52" s="15">
        <f t="shared" si="1"/>
        <v>44</v>
      </c>
      <c r="R52" s="8"/>
      <c r="T52"/>
    </row>
    <row r="53" spans="2:20" ht="23.1" customHeight="1" x14ac:dyDescent="0.25">
      <c r="B53" s="45" t="s">
        <v>80</v>
      </c>
      <c r="C53" s="50">
        <v>6</v>
      </c>
      <c r="D53" s="50">
        <v>3</v>
      </c>
      <c r="E53" s="50">
        <v>0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17</v>
      </c>
      <c r="N53" s="50">
        <v>0</v>
      </c>
      <c r="O53" s="15">
        <f t="shared" si="0"/>
        <v>11</v>
      </c>
      <c r="P53" s="15">
        <f t="shared" si="1"/>
        <v>28</v>
      </c>
      <c r="R53" s="8"/>
      <c r="T53"/>
    </row>
    <row r="54" spans="2:20" ht="23.1" customHeight="1" x14ac:dyDescent="0.25">
      <c r="B54" s="45" t="s">
        <v>81</v>
      </c>
      <c r="C54" s="50">
        <v>9</v>
      </c>
      <c r="D54" s="50">
        <v>2</v>
      </c>
      <c r="E54" s="50">
        <v>1</v>
      </c>
      <c r="F54" s="50">
        <v>5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30</v>
      </c>
      <c r="N54" s="50">
        <v>0</v>
      </c>
      <c r="O54" s="15">
        <f t="shared" si="0"/>
        <v>19</v>
      </c>
      <c r="P54" s="15">
        <f t="shared" si="1"/>
        <v>49</v>
      </c>
      <c r="R54" s="8"/>
      <c r="T54"/>
    </row>
    <row r="55" spans="2:20" ht="23.1" customHeight="1" x14ac:dyDescent="0.25">
      <c r="B55" s="45" t="s">
        <v>82</v>
      </c>
      <c r="C55" s="50">
        <v>11</v>
      </c>
      <c r="D55" s="50">
        <v>2</v>
      </c>
      <c r="E55" s="50">
        <v>0</v>
      </c>
      <c r="F55" s="50">
        <v>7</v>
      </c>
      <c r="G55" s="50">
        <v>0</v>
      </c>
      <c r="H55" s="50">
        <v>0</v>
      </c>
      <c r="I55" s="50">
        <v>2</v>
      </c>
      <c r="J55" s="50">
        <v>1</v>
      </c>
      <c r="K55" s="50">
        <v>1</v>
      </c>
      <c r="L55" s="50">
        <v>0</v>
      </c>
      <c r="M55" s="50">
        <v>15</v>
      </c>
      <c r="N55" s="50">
        <v>0</v>
      </c>
      <c r="O55" s="15">
        <f t="shared" si="0"/>
        <v>24</v>
      </c>
      <c r="P55" s="15">
        <f t="shared" si="1"/>
        <v>39</v>
      </c>
      <c r="R55" s="8"/>
      <c r="T55"/>
    </row>
    <row r="56" spans="2:20" ht="23.1" customHeight="1" x14ac:dyDescent="0.25">
      <c r="B56" s="45" t="s">
        <v>83</v>
      </c>
      <c r="C56" s="50">
        <v>6</v>
      </c>
      <c r="D56" s="50">
        <v>2</v>
      </c>
      <c r="E56" s="50">
        <v>2</v>
      </c>
      <c r="F56" s="50">
        <v>3</v>
      </c>
      <c r="G56" s="50">
        <v>1</v>
      </c>
      <c r="H56" s="50">
        <v>0</v>
      </c>
      <c r="I56" s="50">
        <v>1</v>
      </c>
      <c r="J56" s="50">
        <v>0</v>
      </c>
      <c r="K56" s="50">
        <v>1</v>
      </c>
      <c r="L56" s="50">
        <v>0</v>
      </c>
      <c r="M56" s="50">
        <v>20</v>
      </c>
      <c r="N56" s="50">
        <v>0</v>
      </c>
      <c r="O56" s="15">
        <f t="shared" si="0"/>
        <v>16</v>
      </c>
      <c r="P56" s="15">
        <f t="shared" si="1"/>
        <v>36</v>
      </c>
      <c r="R56" s="8"/>
      <c r="T56"/>
    </row>
    <row r="57" spans="2:20" ht="23.1" customHeight="1" x14ac:dyDescent="0.25">
      <c r="B57" s="45" t="s">
        <v>84</v>
      </c>
      <c r="C57" s="50">
        <v>4</v>
      </c>
      <c r="D57" s="50">
        <v>2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10</v>
      </c>
      <c r="N57" s="50">
        <v>0</v>
      </c>
      <c r="O57" s="15">
        <f t="shared" si="0"/>
        <v>7</v>
      </c>
      <c r="P57" s="15">
        <f t="shared" si="1"/>
        <v>17</v>
      </c>
      <c r="R57" s="8"/>
      <c r="T57"/>
    </row>
    <row r="58" spans="2:20" ht="23.1" customHeight="1" x14ac:dyDescent="0.25">
      <c r="B58" s="45" t="s">
        <v>99</v>
      </c>
      <c r="C58" s="50">
        <v>8</v>
      </c>
      <c r="D58" s="50">
        <v>5</v>
      </c>
      <c r="E58" s="50">
        <v>4</v>
      </c>
      <c r="F58" s="50">
        <v>10</v>
      </c>
      <c r="G58" s="50">
        <v>1</v>
      </c>
      <c r="H58" s="50">
        <v>0</v>
      </c>
      <c r="I58" s="50">
        <v>0</v>
      </c>
      <c r="J58" s="50">
        <v>0</v>
      </c>
      <c r="K58" s="50">
        <v>5</v>
      </c>
      <c r="L58" s="50">
        <v>2</v>
      </c>
      <c r="M58" s="50">
        <v>10</v>
      </c>
      <c r="N58" s="50">
        <v>0</v>
      </c>
      <c r="O58" s="15">
        <f t="shared" si="0"/>
        <v>35</v>
      </c>
      <c r="P58" s="15">
        <f t="shared" si="1"/>
        <v>45</v>
      </c>
      <c r="R58" s="8"/>
      <c r="T58"/>
    </row>
    <row r="59" spans="2:20" ht="23.1" customHeight="1" x14ac:dyDescent="0.25">
      <c r="B59" s="45" t="s">
        <v>100</v>
      </c>
      <c r="C59" s="50">
        <v>10</v>
      </c>
      <c r="D59" s="50">
        <v>4</v>
      </c>
      <c r="E59" s="50">
        <v>2</v>
      </c>
      <c r="F59" s="50">
        <v>10</v>
      </c>
      <c r="G59" s="50">
        <v>0</v>
      </c>
      <c r="H59" s="50">
        <v>0</v>
      </c>
      <c r="I59" s="50">
        <v>2</v>
      </c>
      <c r="J59" s="50">
        <v>3</v>
      </c>
      <c r="K59" s="50">
        <v>1</v>
      </c>
      <c r="L59" s="50">
        <v>7</v>
      </c>
      <c r="M59" s="50">
        <v>8</v>
      </c>
      <c r="N59" s="50">
        <v>0</v>
      </c>
      <c r="O59" s="15">
        <f t="shared" si="0"/>
        <v>39</v>
      </c>
      <c r="P59" s="15">
        <f t="shared" si="1"/>
        <v>47</v>
      </c>
      <c r="R59" s="8"/>
      <c r="T59"/>
    </row>
    <row r="60" spans="2:20" ht="23.1" customHeight="1" x14ac:dyDescent="0.25">
      <c r="B60" s="45" t="s">
        <v>101</v>
      </c>
      <c r="C60" s="50">
        <v>10</v>
      </c>
      <c r="D60" s="50">
        <v>1</v>
      </c>
      <c r="E60" s="50">
        <v>3</v>
      </c>
      <c r="F60" s="50">
        <v>5</v>
      </c>
      <c r="G60" s="50">
        <v>0</v>
      </c>
      <c r="H60" s="50">
        <v>0</v>
      </c>
      <c r="I60" s="50">
        <v>2</v>
      </c>
      <c r="J60" s="50">
        <v>0</v>
      </c>
      <c r="K60" s="50">
        <v>0</v>
      </c>
      <c r="L60" s="50">
        <v>3</v>
      </c>
      <c r="M60" s="50">
        <v>6</v>
      </c>
      <c r="N60" s="50">
        <v>0</v>
      </c>
      <c r="O60" s="15">
        <f t="shared" si="0"/>
        <v>24</v>
      </c>
      <c r="P60" s="15">
        <f t="shared" si="1"/>
        <v>30</v>
      </c>
      <c r="R60" s="8"/>
      <c r="T60"/>
    </row>
    <row r="61" spans="2:20" ht="23.1" customHeight="1" x14ac:dyDescent="0.25">
      <c r="B61" s="45" t="s">
        <v>102</v>
      </c>
      <c r="C61" s="50">
        <v>21</v>
      </c>
      <c r="D61" s="50">
        <v>3</v>
      </c>
      <c r="E61" s="50">
        <v>2</v>
      </c>
      <c r="F61" s="50">
        <v>6</v>
      </c>
      <c r="G61" s="50">
        <v>1</v>
      </c>
      <c r="H61" s="50">
        <v>0</v>
      </c>
      <c r="I61" s="50">
        <v>1</v>
      </c>
      <c r="J61" s="50">
        <v>0</v>
      </c>
      <c r="K61" s="50">
        <v>3</v>
      </c>
      <c r="L61" s="50">
        <v>2</v>
      </c>
      <c r="M61" s="50">
        <v>7</v>
      </c>
      <c r="N61" s="50">
        <v>0</v>
      </c>
      <c r="O61" s="15">
        <f t="shared" si="0"/>
        <v>39</v>
      </c>
      <c r="P61" s="15">
        <f t="shared" si="1"/>
        <v>46</v>
      </c>
      <c r="R61" s="8"/>
      <c r="T61"/>
    </row>
    <row r="62" spans="2:20" ht="23.1" customHeight="1" x14ac:dyDescent="0.25">
      <c r="B62" s="45" t="s">
        <v>107</v>
      </c>
      <c r="C62" s="50">
        <v>6</v>
      </c>
      <c r="D62" s="50">
        <v>5</v>
      </c>
      <c r="E62" s="50">
        <v>2</v>
      </c>
      <c r="F62" s="50">
        <v>1</v>
      </c>
      <c r="G62" s="50">
        <v>0</v>
      </c>
      <c r="H62" s="50">
        <v>0</v>
      </c>
      <c r="I62" s="50">
        <v>3</v>
      </c>
      <c r="J62" s="50">
        <v>0</v>
      </c>
      <c r="K62" s="50">
        <v>3</v>
      </c>
      <c r="L62" s="50">
        <v>1</v>
      </c>
      <c r="M62" s="50">
        <v>7</v>
      </c>
      <c r="N62" s="50">
        <v>0</v>
      </c>
      <c r="O62" s="15">
        <f t="shared" si="0"/>
        <v>21</v>
      </c>
      <c r="P62" s="15">
        <f t="shared" si="1"/>
        <v>28</v>
      </c>
      <c r="R62" s="8"/>
      <c r="T62"/>
    </row>
    <row r="63" spans="2:20" ht="23.1" customHeight="1" x14ac:dyDescent="0.25">
      <c r="B63" s="45" t="s">
        <v>108</v>
      </c>
      <c r="C63" s="50">
        <v>8</v>
      </c>
      <c r="D63" s="50">
        <v>1</v>
      </c>
      <c r="E63" s="50">
        <v>2</v>
      </c>
      <c r="F63" s="50">
        <v>4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3</v>
      </c>
      <c r="M63" s="50">
        <v>10</v>
      </c>
      <c r="N63" s="50">
        <v>0</v>
      </c>
      <c r="O63" s="15">
        <f t="shared" si="0"/>
        <v>20</v>
      </c>
      <c r="P63" s="15">
        <f t="shared" si="1"/>
        <v>30</v>
      </c>
      <c r="R63" s="8"/>
      <c r="T63"/>
    </row>
    <row r="64" spans="2:20" ht="23.1" customHeight="1" x14ac:dyDescent="0.25">
      <c r="B64" s="45" t="s">
        <v>109</v>
      </c>
      <c r="C64" s="50">
        <v>9</v>
      </c>
      <c r="D64" s="50">
        <v>2</v>
      </c>
      <c r="E64" s="50">
        <v>5</v>
      </c>
      <c r="F64" s="50">
        <v>2</v>
      </c>
      <c r="G64" s="50">
        <v>0</v>
      </c>
      <c r="H64" s="50">
        <v>0</v>
      </c>
      <c r="I64" s="50">
        <v>0</v>
      </c>
      <c r="J64" s="50">
        <v>1</v>
      </c>
      <c r="K64" s="50">
        <v>0</v>
      </c>
      <c r="L64" s="50">
        <v>0</v>
      </c>
      <c r="M64" s="50">
        <v>4</v>
      </c>
      <c r="N64" s="50">
        <v>0</v>
      </c>
      <c r="O64" s="15">
        <f t="shared" si="0"/>
        <v>19</v>
      </c>
      <c r="P64" s="15">
        <f t="shared" si="1"/>
        <v>23</v>
      </c>
      <c r="R64" s="8"/>
      <c r="T64"/>
    </row>
    <row r="65" spans="2:20" ht="23.1" customHeight="1" x14ac:dyDescent="0.25">
      <c r="B65" s="45" t="s">
        <v>158</v>
      </c>
      <c r="C65" s="50">
        <v>8</v>
      </c>
      <c r="D65" s="50">
        <v>0</v>
      </c>
      <c r="E65" s="50">
        <v>1</v>
      </c>
      <c r="F65" s="50">
        <v>4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5</v>
      </c>
      <c r="N65" s="50">
        <v>0</v>
      </c>
      <c r="O65" s="15">
        <f t="shared" si="0"/>
        <v>15</v>
      </c>
      <c r="P65" s="15">
        <f t="shared" si="1"/>
        <v>20</v>
      </c>
      <c r="R65" s="8"/>
      <c r="T65"/>
    </row>
    <row r="66" spans="2:20" ht="23.1" customHeight="1" x14ac:dyDescent="0.25">
      <c r="B66" s="45" t="s">
        <v>103</v>
      </c>
      <c r="C66" s="50">
        <v>5</v>
      </c>
      <c r="D66" s="50">
        <v>0</v>
      </c>
      <c r="E66" s="50">
        <v>0</v>
      </c>
      <c r="F66" s="50">
        <v>1</v>
      </c>
      <c r="G66" s="50">
        <v>0</v>
      </c>
      <c r="H66" s="50">
        <v>0</v>
      </c>
      <c r="I66" s="50">
        <v>2</v>
      </c>
      <c r="J66" s="50">
        <v>1</v>
      </c>
      <c r="K66" s="50">
        <v>2</v>
      </c>
      <c r="L66" s="50">
        <v>0</v>
      </c>
      <c r="M66" s="50">
        <v>3</v>
      </c>
      <c r="N66" s="50">
        <v>0</v>
      </c>
      <c r="O66" s="15">
        <f t="shared" si="0"/>
        <v>11</v>
      </c>
      <c r="P66" s="15">
        <f t="shared" si="1"/>
        <v>14</v>
      </c>
      <c r="R66" s="8"/>
      <c r="T66"/>
    </row>
    <row r="67" spans="2:20" ht="23.1" customHeight="1" x14ac:dyDescent="0.25">
      <c r="B67" s="45" t="s">
        <v>104</v>
      </c>
      <c r="C67" s="50">
        <v>4</v>
      </c>
      <c r="D67" s="50">
        <v>0</v>
      </c>
      <c r="E67" s="50">
        <v>1</v>
      </c>
      <c r="F67" s="50">
        <v>1</v>
      </c>
      <c r="G67" s="50">
        <v>1</v>
      </c>
      <c r="H67" s="50">
        <v>1</v>
      </c>
      <c r="I67" s="50">
        <v>1</v>
      </c>
      <c r="J67" s="50">
        <v>0</v>
      </c>
      <c r="K67" s="50">
        <v>2</v>
      </c>
      <c r="L67" s="50">
        <v>0</v>
      </c>
      <c r="M67" s="50">
        <v>1</v>
      </c>
      <c r="N67" s="50">
        <v>0</v>
      </c>
      <c r="O67" s="15">
        <f t="shared" si="0"/>
        <v>11</v>
      </c>
      <c r="P67" s="15">
        <f t="shared" si="1"/>
        <v>12</v>
      </c>
      <c r="R67" s="8"/>
      <c r="T67"/>
    </row>
    <row r="68" spans="2:20" ht="23.1" customHeight="1" x14ac:dyDescent="0.25">
      <c r="B68" s="45" t="s">
        <v>105</v>
      </c>
      <c r="C68" s="50">
        <v>3</v>
      </c>
      <c r="D68" s="50">
        <v>1</v>
      </c>
      <c r="E68" s="50">
        <v>0</v>
      </c>
      <c r="F68" s="50">
        <v>2</v>
      </c>
      <c r="G68" s="50">
        <v>0</v>
      </c>
      <c r="H68" s="50">
        <v>1</v>
      </c>
      <c r="I68" s="50">
        <v>2</v>
      </c>
      <c r="J68" s="50">
        <v>0</v>
      </c>
      <c r="K68" s="50">
        <v>1</v>
      </c>
      <c r="L68" s="50">
        <v>0</v>
      </c>
      <c r="M68" s="50">
        <v>5</v>
      </c>
      <c r="N68" s="50">
        <v>0</v>
      </c>
      <c r="O68" s="15">
        <f t="shared" si="0"/>
        <v>10</v>
      </c>
      <c r="P68" s="15">
        <f t="shared" si="1"/>
        <v>15</v>
      </c>
      <c r="R68" s="8"/>
      <c r="T68"/>
    </row>
    <row r="69" spans="2:20" ht="23.1" customHeight="1" x14ac:dyDescent="0.25">
      <c r="B69" s="45" t="s">
        <v>106</v>
      </c>
      <c r="C69" s="50">
        <v>7</v>
      </c>
      <c r="D69" s="50">
        <v>1</v>
      </c>
      <c r="E69" s="50">
        <v>1</v>
      </c>
      <c r="F69" s="50">
        <v>0</v>
      </c>
      <c r="G69" s="50">
        <v>0</v>
      </c>
      <c r="H69" s="50">
        <v>1</v>
      </c>
      <c r="I69" s="50">
        <v>0</v>
      </c>
      <c r="J69" s="50">
        <v>0</v>
      </c>
      <c r="K69" s="50">
        <v>2</v>
      </c>
      <c r="L69" s="50">
        <v>5</v>
      </c>
      <c r="M69" s="50">
        <v>3</v>
      </c>
      <c r="N69" s="50">
        <v>0</v>
      </c>
      <c r="O69" s="15">
        <f t="shared" si="0"/>
        <v>17</v>
      </c>
      <c r="P69" s="15">
        <f t="shared" si="1"/>
        <v>20</v>
      </c>
      <c r="R69" s="8"/>
      <c r="T69"/>
    </row>
    <row r="70" spans="2:20" ht="23.1" customHeight="1" x14ac:dyDescent="0.25">
      <c r="B70" s="45" t="s">
        <v>110</v>
      </c>
      <c r="C70" s="50">
        <v>3</v>
      </c>
      <c r="D70" s="50">
        <v>1</v>
      </c>
      <c r="E70" s="50">
        <v>0</v>
      </c>
      <c r="F70" s="50">
        <v>0</v>
      </c>
      <c r="G70" s="50">
        <v>0</v>
      </c>
      <c r="H70" s="50">
        <v>1</v>
      </c>
      <c r="I70" s="50">
        <v>0</v>
      </c>
      <c r="J70" s="50">
        <v>0</v>
      </c>
      <c r="K70" s="50">
        <v>1</v>
      </c>
      <c r="L70" s="50">
        <v>0</v>
      </c>
      <c r="M70" s="50">
        <v>0</v>
      </c>
      <c r="N70" s="50">
        <v>0</v>
      </c>
      <c r="O70" s="15">
        <f t="shared" si="0"/>
        <v>6</v>
      </c>
      <c r="P70" s="15">
        <f t="shared" si="1"/>
        <v>6</v>
      </c>
      <c r="R70" s="8"/>
      <c r="T70"/>
    </row>
    <row r="71" spans="2:20" ht="23.1" customHeight="1" x14ac:dyDescent="0.25">
      <c r="B71" s="45" t="s">
        <v>111</v>
      </c>
      <c r="C71" s="50">
        <v>4</v>
      </c>
      <c r="D71" s="50">
        <v>5</v>
      </c>
      <c r="E71" s="50">
        <v>0</v>
      </c>
      <c r="F71" s="50">
        <v>3</v>
      </c>
      <c r="G71" s="50">
        <v>0</v>
      </c>
      <c r="H71" s="50">
        <v>4</v>
      </c>
      <c r="I71" s="50">
        <v>1</v>
      </c>
      <c r="J71" s="50">
        <v>0</v>
      </c>
      <c r="K71" s="50">
        <v>1</v>
      </c>
      <c r="L71" s="50">
        <v>2</v>
      </c>
      <c r="M71" s="50">
        <v>3</v>
      </c>
      <c r="N71" s="50">
        <v>0</v>
      </c>
      <c r="O71" s="15">
        <f t="shared" si="0"/>
        <v>20</v>
      </c>
      <c r="P71" s="15">
        <f t="shared" si="1"/>
        <v>23</v>
      </c>
      <c r="R71" s="8"/>
      <c r="T71"/>
    </row>
    <row r="72" spans="2:20" ht="23.1" customHeight="1" x14ac:dyDescent="0.25">
      <c r="B72" s="45" t="s">
        <v>112</v>
      </c>
      <c r="C72" s="50">
        <v>8</v>
      </c>
      <c r="D72" s="50">
        <v>1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4</v>
      </c>
      <c r="N72" s="50">
        <v>0</v>
      </c>
      <c r="O72" s="15">
        <f t="shared" si="0"/>
        <v>9</v>
      </c>
      <c r="P72" s="15">
        <f t="shared" si="1"/>
        <v>13</v>
      </c>
      <c r="R72" s="8"/>
      <c r="T72"/>
    </row>
    <row r="73" spans="2:20" ht="23.1" customHeight="1" x14ac:dyDescent="0.25">
      <c r="B73" s="45" t="s">
        <v>113</v>
      </c>
      <c r="C73" s="50">
        <v>3</v>
      </c>
      <c r="D73" s="50">
        <v>1</v>
      </c>
      <c r="E73" s="50">
        <v>1</v>
      </c>
      <c r="F73" s="50">
        <v>2</v>
      </c>
      <c r="G73" s="50">
        <v>0</v>
      </c>
      <c r="H73" s="50">
        <v>6</v>
      </c>
      <c r="I73" s="50">
        <v>0</v>
      </c>
      <c r="J73" s="50">
        <v>1</v>
      </c>
      <c r="K73" s="50">
        <v>0</v>
      </c>
      <c r="L73" s="50">
        <v>0</v>
      </c>
      <c r="M73" s="50">
        <v>2</v>
      </c>
      <c r="N73" s="50">
        <v>0</v>
      </c>
      <c r="O73" s="15">
        <f t="shared" si="0"/>
        <v>14</v>
      </c>
      <c r="P73" s="15">
        <f t="shared" si="1"/>
        <v>16</v>
      </c>
      <c r="R73" s="8"/>
      <c r="T73"/>
    </row>
    <row r="74" spans="2:20" ht="23.1" customHeight="1" x14ac:dyDescent="0.25">
      <c r="B74" s="45" t="s">
        <v>114</v>
      </c>
      <c r="C74" s="50">
        <v>4</v>
      </c>
      <c r="D74" s="50">
        <v>1</v>
      </c>
      <c r="E74" s="50">
        <v>2</v>
      </c>
      <c r="F74" s="50">
        <v>2</v>
      </c>
      <c r="G74" s="50">
        <v>0</v>
      </c>
      <c r="H74" s="50">
        <v>1</v>
      </c>
      <c r="I74" s="50">
        <v>0</v>
      </c>
      <c r="J74" s="50">
        <v>0</v>
      </c>
      <c r="K74" s="50">
        <v>2</v>
      </c>
      <c r="L74" s="50">
        <v>1</v>
      </c>
      <c r="M74" s="50">
        <v>0</v>
      </c>
      <c r="N74" s="50">
        <v>0</v>
      </c>
      <c r="O74" s="15">
        <f t="shared" ref="O74:O105" si="35">SUM(C74:L74,N74)</f>
        <v>13</v>
      </c>
      <c r="P74" s="15">
        <f t="shared" ref="P74:P105" si="36">SUM(C74:N74)</f>
        <v>13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1</v>
      </c>
      <c r="L75" s="50">
        <v>0</v>
      </c>
      <c r="M75" s="50">
        <v>0</v>
      </c>
      <c r="N75" s="50">
        <v>0</v>
      </c>
      <c r="O75" s="15">
        <f t="shared" si="35"/>
        <v>2</v>
      </c>
      <c r="P75" s="15">
        <f t="shared" si="36"/>
        <v>2</v>
      </c>
      <c r="R75" s="8"/>
      <c r="T75"/>
    </row>
    <row r="76" spans="2:20" ht="23.1" customHeight="1" x14ac:dyDescent="0.25">
      <c r="B76" s="45" t="s">
        <v>116</v>
      </c>
      <c r="C76" s="50">
        <v>3</v>
      </c>
      <c r="D76" s="50">
        <v>1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4</v>
      </c>
      <c r="L76" s="50">
        <v>2</v>
      </c>
      <c r="M76" s="50">
        <v>0</v>
      </c>
      <c r="N76" s="50">
        <v>0</v>
      </c>
      <c r="O76" s="15">
        <f t="shared" si="35"/>
        <v>10</v>
      </c>
      <c r="P76" s="15">
        <f t="shared" si="36"/>
        <v>10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2</v>
      </c>
      <c r="I77" s="50">
        <v>0</v>
      </c>
      <c r="J77" s="50">
        <v>1</v>
      </c>
      <c r="K77" s="50">
        <v>0</v>
      </c>
      <c r="L77" s="50">
        <v>1</v>
      </c>
      <c r="M77" s="50">
        <v>0</v>
      </c>
      <c r="N77" s="50">
        <v>0</v>
      </c>
      <c r="O77" s="15">
        <f t="shared" si="35"/>
        <v>4</v>
      </c>
      <c r="P77" s="15">
        <f t="shared" si="36"/>
        <v>4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3</v>
      </c>
      <c r="I78" s="50">
        <v>0</v>
      </c>
      <c r="J78" s="50">
        <v>2</v>
      </c>
      <c r="K78" s="50">
        <v>0</v>
      </c>
      <c r="L78" s="50">
        <v>4</v>
      </c>
      <c r="M78" s="50">
        <v>0</v>
      </c>
      <c r="N78" s="50">
        <v>0</v>
      </c>
      <c r="O78" s="15">
        <f t="shared" si="35"/>
        <v>9</v>
      </c>
      <c r="P78" s="15">
        <f t="shared" si="36"/>
        <v>9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1</v>
      </c>
      <c r="F79" s="50">
        <v>1</v>
      </c>
      <c r="G79" s="50">
        <v>0</v>
      </c>
      <c r="H79" s="50">
        <v>0</v>
      </c>
      <c r="I79" s="50">
        <v>0</v>
      </c>
      <c r="J79" s="50">
        <v>0</v>
      </c>
      <c r="K79" s="50">
        <v>3</v>
      </c>
      <c r="L79" s="50">
        <v>2</v>
      </c>
      <c r="M79" s="50">
        <v>0</v>
      </c>
      <c r="N79" s="50">
        <v>0</v>
      </c>
      <c r="O79" s="15">
        <f t="shared" si="35"/>
        <v>7</v>
      </c>
      <c r="P79" s="15">
        <f t="shared" si="36"/>
        <v>7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1</v>
      </c>
      <c r="I80" s="50">
        <v>0</v>
      </c>
      <c r="J80" s="50">
        <v>1</v>
      </c>
      <c r="K80" s="50">
        <v>4</v>
      </c>
      <c r="L80" s="50">
        <v>3</v>
      </c>
      <c r="M80" s="50">
        <v>0</v>
      </c>
      <c r="N80" s="50">
        <v>0</v>
      </c>
      <c r="O80" s="15">
        <f t="shared" si="35"/>
        <v>10</v>
      </c>
      <c r="P80" s="15">
        <f t="shared" si="36"/>
        <v>10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2</v>
      </c>
      <c r="L82" s="50">
        <v>4</v>
      </c>
      <c r="M82" s="50">
        <v>0</v>
      </c>
      <c r="N82" s="50">
        <v>0</v>
      </c>
      <c r="O82" s="15">
        <f t="shared" si="35"/>
        <v>6</v>
      </c>
      <c r="P82" s="15">
        <f t="shared" si="36"/>
        <v>6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1</v>
      </c>
      <c r="L83" s="50">
        <v>2</v>
      </c>
      <c r="M83" s="50">
        <v>0</v>
      </c>
      <c r="N83" s="50">
        <v>0</v>
      </c>
      <c r="O83" s="15">
        <f t="shared" si="35"/>
        <v>5</v>
      </c>
      <c r="P83" s="15">
        <f t="shared" si="36"/>
        <v>5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2</v>
      </c>
      <c r="F84" s="50">
        <v>0</v>
      </c>
      <c r="G84" s="50">
        <v>0</v>
      </c>
      <c r="H84" s="50">
        <v>0</v>
      </c>
      <c r="I84" s="50">
        <v>0</v>
      </c>
      <c r="J84" s="50">
        <v>4</v>
      </c>
      <c r="K84" s="50">
        <v>2</v>
      </c>
      <c r="L84" s="50">
        <v>1</v>
      </c>
      <c r="M84" s="50">
        <v>0</v>
      </c>
      <c r="N84" s="50">
        <v>0</v>
      </c>
      <c r="O84" s="15">
        <f t="shared" si="35"/>
        <v>9</v>
      </c>
      <c r="P84" s="15">
        <f t="shared" si="36"/>
        <v>9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1</v>
      </c>
      <c r="G85" s="50">
        <v>0</v>
      </c>
      <c r="H85" s="50">
        <v>2</v>
      </c>
      <c r="I85" s="50">
        <v>0</v>
      </c>
      <c r="J85" s="50">
        <v>0</v>
      </c>
      <c r="K85" s="50">
        <v>1</v>
      </c>
      <c r="L85" s="50">
        <v>0</v>
      </c>
      <c r="M85" s="50">
        <v>0</v>
      </c>
      <c r="N85" s="50">
        <v>0</v>
      </c>
      <c r="O85" s="15">
        <f t="shared" si="35"/>
        <v>4</v>
      </c>
      <c r="P85" s="15">
        <f t="shared" si="36"/>
        <v>4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1</v>
      </c>
      <c r="H86" s="50">
        <v>0</v>
      </c>
      <c r="I86" s="50">
        <v>0</v>
      </c>
      <c r="J86" s="50">
        <v>2</v>
      </c>
      <c r="K86" s="50">
        <v>1</v>
      </c>
      <c r="L86" s="50">
        <v>3</v>
      </c>
      <c r="M86" s="50">
        <v>0</v>
      </c>
      <c r="N86" s="50">
        <v>0</v>
      </c>
      <c r="O86" s="15">
        <f t="shared" si="35"/>
        <v>7</v>
      </c>
      <c r="P86" s="15">
        <f t="shared" si="36"/>
        <v>7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3</v>
      </c>
      <c r="L87" s="50">
        <v>6</v>
      </c>
      <c r="M87" s="50">
        <v>0</v>
      </c>
      <c r="N87" s="50">
        <v>0</v>
      </c>
      <c r="O87" s="15">
        <f t="shared" si="35"/>
        <v>9</v>
      </c>
      <c r="P87" s="15">
        <f t="shared" si="36"/>
        <v>9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4</v>
      </c>
      <c r="M88" s="50">
        <v>0</v>
      </c>
      <c r="N88" s="50">
        <v>0</v>
      </c>
      <c r="O88" s="15">
        <f t="shared" si="35"/>
        <v>5</v>
      </c>
      <c r="P88" s="15">
        <f t="shared" si="36"/>
        <v>5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1</v>
      </c>
      <c r="L89" s="50">
        <v>2</v>
      </c>
      <c r="M89" s="50">
        <v>0</v>
      </c>
      <c r="N89" s="50">
        <v>0</v>
      </c>
      <c r="O89" s="15">
        <f t="shared" si="35"/>
        <v>4</v>
      </c>
      <c r="P89" s="15">
        <f t="shared" si="36"/>
        <v>4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2</v>
      </c>
      <c r="I90" s="50">
        <v>0</v>
      </c>
      <c r="J90" s="50">
        <v>0</v>
      </c>
      <c r="K90" s="50">
        <v>4</v>
      </c>
      <c r="L90" s="50">
        <v>2</v>
      </c>
      <c r="M90" s="50">
        <v>0</v>
      </c>
      <c r="N90" s="50">
        <v>0</v>
      </c>
      <c r="O90" s="15">
        <f t="shared" si="35"/>
        <v>8</v>
      </c>
      <c r="P90" s="15">
        <f t="shared" si="36"/>
        <v>8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3</v>
      </c>
      <c r="K91" s="50">
        <v>3</v>
      </c>
      <c r="L91" s="50">
        <v>6</v>
      </c>
      <c r="M91" s="50">
        <v>0</v>
      </c>
      <c r="N91" s="50">
        <v>0</v>
      </c>
      <c r="O91" s="15">
        <f t="shared" si="35"/>
        <v>13</v>
      </c>
      <c r="P91" s="15">
        <f t="shared" si="36"/>
        <v>13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0</v>
      </c>
      <c r="K92" s="50">
        <v>2</v>
      </c>
      <c r="L92" s="50">
        <v>2</v>
      </c>
      <c r="M92" s="50">
        <v>0</v>
      </c>
      <c r="N92" s="50">
        <v>0</v>
      </c>
      <c r="O92" s="15">
        <f t="shared" si="35"/>
        <v>5</v>
      </c>
      <c r="P92" s="15">
        <f t="shared" si="36"/>
        <v>5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2</v>
      </c>
      <c r="E93" s="50">
        <v>0</v>
      </c>
      <c r="F93" s="50">
        <v>0</v>
      </c>
      <c r="G93" s="50">
        <v>0</v>
      </c>
      <c r="H93" s="50">
        <v>0</v>
      </c>
      <c r="I93" s="50">
        <v>2</v>
      </c>
      <c r="J93" s="50">
        <v>0</v>
      </c>
      <c r="K93" s="50">
        <v>4</v>
      </c>
      <c r="L93" s="50">
        <v>6</v>
      </c>
      <c r="M93" s="50">
        <v>0</v>
      </c>
      <c r="N93" s="50">
        <v>0</v>
      </c>
      <c r="O93" s="15">
        <f t="shared" si="35"/>
        <v>15</v>
      </c>
      <c r="P93" s="15">
        <f t="shared" si="36"/>
        <v>15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2</v>
      </c>
      <c r="E94" s="50">
        <v>0</v>
      </c>
      <c r="F94" s="50">
        <v>3</v>
      </c>
      <c r="G94" s="50">
        <v>0</v>
      </c>
      <c r="H94" s="50">
        <v>0</v>
      </c>
      <c r="I94" s="50">
        <v>0</v>
      </c>
      <c r="J94" s="50">
        <v>4</v>
      </c>
      <c r="K94" s="50">
        <v>5</v>
      </c>
      <c r="L94" s="50">
        <v>8</v>
      </c>
      <c r="M94" s="50">
        <v>0</v>
      </c>
      <c r="N94" s="50">
        <v>0</v>
      </c>
      <c r="O94" s="15">
        <f t="shared" si="35"/>
        <v>22</v>
      </c>
      <c r="P94" s="15">
        <f t="shared" si="36"/>
        <v>22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1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0</v>
      </c>
      <c r="F96" s="50">
        <v>2</v>
      </c>
      <c r="G96" s="50">
        <v>0</v>
      </c>
      <c r="H96" s="50">
        <v>0</v>
      </c>
      <c r="I96" s="50">
        <v>1</v>
      </c>
      <c r="J96" s="50">
        <v>0</v>
      </c>
      <c r="K96" s="50">
        <v>2</v>
      </c>
      <c r="L96" s="50">
        <v>1</v>
      </c>
      <c r="M96" s="50">
        <v>0</v>
      </c>
      <c r="N96" s="50">
        <v>0</v>
      </c>
      <c r="O96" s="15">
        <f t="shared" si="35"/>
        <v>8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2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4</v>
      </c>
      <c r="L97" s="50">
        <v>4</v>
      </c>
      <c r="M97" s="50">
        <v>0</v>
      </c>
      <c r="N97" s="50">
        <v>0</v>
      </c>
      <c r="O97" s="15">
        <f t="shared" si="35"/>
        <v>10</v>
      </c>
      <c r="P97" s="15">
        <f t="shared" si="36"/>
        <v>10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458</v>
      </c>
      <c r="D106" s="16">
        <f t="shared" ref="D106:P106" si="37">SUM(D10:D105)</f>
        <v>126</v>
      </c>
      <c r="E106" s="16">
        <f t="shared" si="37"/>
        <v>74</v>
      </c>
      <c r="F106" s="16">
        <f t="shared" si="37"/>
        <v>258</v>
      </c>
      <c r="G106" s="16">
        <f t="shared" si="37"/>
        <v>7</v>
      </c>
      <c r="H106" s="16">
        <f t="shared" si="37"/>
        <v>47</v>
      </c>
      <c r="I106" s="16">
        <f t="shared" si="37"/>
        <v>118</v>
      </c>
      <c r="J106" s="16">
        <f t="shared" si="37"/>
        <v>45</v>
      </c>
      <c r="K106" s="16">
        <f t="shared" si="37"/>
        <v>118</v>
      </c>
      <c r="L106" s="16">
        <f t="shared" si="37"/>
        <v>128</v>
      </c>
      <c r="M106" s="16">
        <f t="shared" si="37"/>
        <v>878</v>
      </c>
      <c r="N106" s="16">
        <f t="shared" si="37"/>
        <v>1</v>
      </c>
      <c r="O106" s="16">
        <f t="shared" si="37"/>
        <v>1380</v>
      </c>
      <c r="P106" s="16">
        <f t="shared" si="37"/>
        <v>2258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0.20283436669619131</v>
      </c>
      <c r="D107" s="43">
        <f t="shared" si="38"/>
        <v>5.5801594331266607E-2</v>
      </c>
      <c r="E107" s="43">
        <f t="shared" si="38"/>
        <v>3.2772364924712132E-2</v>
      </c>
      <c r="F107" s="43">
        <f t="shared" si="38"/>
        <v>0.11426040744021258</v>
      </c>
      <c r="G107" s="43">
        <f t="shared" si="38"/>
        <v>3.100088573959256E-3</v>
      </c>
      <c r="H107" s="43">
        <f t="shared" si="38"/>
        <v>2.0814880425155006E-2</v>
      </c>
      <c r="I107" s="43">
        <f t="shared" si="38"/>
        <v>5.2258635961027457E-2</v>
      </c>
      <c r="J107" s="43">
        <f t="shared" si="38"/>
        <v>1.9929140832595216E-2</v>
      </c>
      <c r="K107" s="43">
        <f t="shared" si="38"/>
        <v>5.2258635961027457E-2</v>
      </c>
      <c r="L107" s="43">
        <f t="shared" si="38"/>
        <v>5.6687333923826397E-2</v>
      </c>
      <c r="M107" s="43">
        <f t="shared" si="38"/>
        <v>0.38883968113374667</v>
      </c>
      <c r="N107" s="43">
        <f t="shared" si="38"/>
        <v>4.4286979627989372E-4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0.3318840579710145</v>
      </c>
      <c r="D108" s="44">
        <f t="shared" ref="D108:N108" si="39">D106/$O$106</f>
        <v>9.1304347826086957E-2</v>
      </c>
      <c r="E108" s="44">
        <f t="shared" si="39"/>
        <v>5.3623188405797099E-2</v>
      </c>
      <c r="F108" s="44">
        <f t="shared" si="39"/>
        <v>0.18695652173913044</v>
      </c>
      <c r="G108" s="44">
        <f t="shared" si="39"/>
        <v>5.0724637681159417E-3</v>
      </c>
      <c r="H108" s="44">
        <f t="shared" si="39"/>
        <v>3.4057971014492754E-2</v>
      </c>
      <c r="I108" s="44">
        <f t="shared" si="39"/>
        <v>8.5507246376811591E-2</v>
      </c>
      <c r="J108" s="44">
        <f t="shared" si="39"/>
        <v>3.2608695652173912E-2</v>
      </c>
      <c r="K108" s="44">
        <f t="shared" si="39"/>
        <v>8.5507246376811591E-2</v>
      </c>
      <c r="L108" s="44">
        <f t="shared" si="39"/>
        <v>9.2753623188405798E-2</v>
      </c>
      <c r="M108" s="44"/>
      <c r="N108" s="44">
        <f t="shared" si="39"/>
        <v>7.246376811594203E-4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L46" zoomScale="60" workbookViewId="0">
      <selection activeCell="AA75" sqref="AA7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'1.11 Kabale-Mbarara'!C3:G3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8.5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'1.11 Mbarara-Kabale'!G5:H5</f>
        <v>Nyeihanga traffic station</v>
      </c>
      <c r="H5" s="64"/>
      <c r="I5" s="14"/>
      <c r="J5" s="2" t="s">
        <v>5</v>
      </c>
      <c r="K5" s="63" t="s">
        <v>186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'1.11 Mbarara-Kabale'!D6:E6</f>
        <v>Mbarara</v>
      </c>
      <c r="E6" s="64"/>
      <c r="F6" s="2" t="s">
        <v>2</v>
      </c>
      <c r="G6" s="63" t="str">
        <f>'1.11 Mbarara-Kabale'!G6:H6</f>
        <v>Kabale</v>
      </c>
      <c r="H6" s="64"/>
      <c r="J6" s="2" t="s">
        <v>21</v>
      </c>
      <c r="K6" s="63" t="str">
        <f>'1.11 Mbarara-Kabale'!K6:L6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AVERAGE('27.10 Mbarara-Kabale'!C10,'28.10 Mbarara-Kabale'!C10,'29.10 Mbarara-Kabale'!C10,'30.10 Mbarara-Kabale'!C10,'31.10 Mbarara-Kabale-24hr'!C10,'1.11 Mbarara-Kabale'!C10,'2.11 Mbarara-Kabale-24hr'!C10)</f>
        <v>3.5714285714285716</v>
      </c>
      <c r="D10" s="49">
        <f>AVERAGE('27.10 Mbarara-Kabale'!D10,'28.10 Mbarara-Kabale'!D10,'29.10 Mbarara-Kabale'!D10,'30.10 Mbarara-Kabale'!D10,'31.10 Mbarara-Kabale-24hr'!D10,'1.11 Mbarara-Kabale'!D10,'2.11 Mbarara-Kabale-24hr'!D10)</f>
        <v>0.8571428571428571</v>
      </c>
      <c r="E10" s="49">
        <f>AVERAGE('27.10 Mbarara-Kabale'!E10,'28.10 Mbarara-Kabale'!E10,'29.10 Mbarara-Kabale'!E10,'30.10 Mbarara-Kabale'!E10,'31.10 Mbarara-Kabale-24hr'!E10,'1.11 Mbarara-Kabale'!E10,'2.11 Mbarara-Kabale-24hr'!E10)</f>
        <v>0.7142857142857143</v>
      </c>
      <c r="F10" s="49">
        <f>AVERAGE('27.10 Mbarara-Kabale'!F10,'28.10 Mbarara-Kabale'!F10,'29.10 Mbarara-Kabale'!F10,'30.10 Mbarara-Kabale'!F10,'31.10 Mbarara-Kabale-24hr'!F10,'1.11 Mbarara-Kabale'!F10,'2.11 Mbarara-Kabale-24hr'!F10)</f>
        <v>3.8571428571428572</v>
      </c>
      <c r="G10" s="49">
        <f>AVERAGE('27.10 Mbarara-Kabale'!G10,'28.10 Mbarara-Kabale'!G10,'29.10 Mbarara-Kabale'!G10,'30.10 Mbarara-Kabale'!G10,'31.10 Mbarara-Kabale-24hr'!G10,'1.11 Mbarara-Kabale'!G10,'2.11 Mbarara-Kabale-24hr'!G10)</f>
        <v>0.42857142857142855</v>
      </c>
      <c r="H10" s="49">
        <f>AVERAGE('27.10 Mbarara-Kabale'!H10,'28.10 Mbarara-Kabale'!H10,'29.10 Mbarara-Kabale'!H10,'30.10 Mbarara-Kabale'!H10,'31.10 Mbarara-Kabale-24hr'!H10,'1.11 Mbarara-Kabale'!H10,'2.11 Mbarara-Kabale-24hr'!H10)</f>
        <v>0.42857142857142855</v>
      </c>
      <c r="I10" s="49">
        <f>AVERAGE('27.10 Mbarara-Kabale'!I10,'28.10 Mbarara-Kabale'!I10,'29.10 Mbarara-Kabale'!I10,'30.10 Mbarara-Kabale'!I10,'31.10 Mbarara-Kabale-24hr'!I10,'1.11 Mbarara-Kabale'!I10,'2.11 Mbarara-Kabale-24hr'!I10)</f>
        <v>0.2857142857142857</v>
      </c>
      <c r="J10" s="49">
        <f>AVERAGE('27.10 Mbarara-Kabale'!J10,'28.10 Mbarara-Kabale'!J10,'29.10 Mbarara-Kabale'!J10,'30.10 Mbarara-Kabale'!J10,'31.10 Mbarara-Kabale-24hr'!J10,'1.11 Mbarara-Kabale'!J10,'2.11 Mbarara-Kabale-24hr'!J10)</f>
        <v>2</v>
      </c>
      <c r="K10" s="49">
        <f>AVERAGE('27.10 Mbarara-Kabale'!K10,'28.10 Mbarara-Kabale'!K10,'29.10 Mbarara-Kabale'!K10,'30.10 Mbarara-Kabale'!K10,'31.10 Mbarara-Kabale-24hr'!K10,'1.11 Mbarara-Kabale'!K10,'2.11 Mbarara-Kabale-24hr'!K10)</f>
        <v>2.2857142857142856</v>
      </c>
      <c r="L10" s="49">
        <f>AVERAGE('27.10 Mbarara-Kabale'!L10,'28.10 Mbarara-Kabale'!L10,'29.10 Mbarara-Kabale'!L10,'30.10 Mbarara-Kabale'!L10,'31.10 Mbarara-Kabale-24hr'!L10,'1.11 Mbarara-Kabale'!L10,'2.11 Mbarara-Kabale-24hr'!L10)</f>
        <v>3.2857142857142856</v>
      </c>
      <c r="M10" s="49">
        <f>AVERAGE('27.10 Mbarara-Kabale'!M10,'28.10 Mbarara-Kabale'!M10,'29.10 Mbarara-Kabale'!M10,'30.10 Mbarara-Kabale'!M10,'31.10 Mbarara-Kabale-24hr'!M10,'1.11 Mbarara-Kabale'!M10,'2.11 Mbarara-Kabale-24hr'!M10)</f>
        <v>9.4285714285714288</v>
      </c>
      <c r="N10" s="49">
        <f>AVERAGE('27.10 Mbarara-Kabale'!N10,'28.10 Mbarara-Kabale'!N10,'29.10 Mbarara-Kabale'!N10,'30.10 Mbarara-Kabale'!N10,'31.10 Mbarara-Kabale-24hr'!N10,'1.11 Mbarara-Kabale'!N10,'2.11 Mbarara-Kabale-24hr'!N10)</f>
        <v>0</v>
      </c>
      <c r="O10" s="15">
        <f t="shared" ref="O10:O73" si="0">SUM(C10:L10,N10)</f>
        <v>17.714285714285715</v>
      </c>
      <c r="P10" s="15">
        <f t="shared" ref="P10:P73" si="1">SUM(C10:N10)</f>
        <v>27.142857142857146</v>
      </c>
      <c r="R10" s="1" t="s">
        <v>6</v>
      </c>
      <c r="S10" s="17">
        <f t="shared" ref="S10:AF10" si="2">SUM(C10:C13)</f>
        <v>19.428571428571431</v>
      </c>
      <c r="T10" s="17">
        <f t="shared" si="2"/>
        <v>10.857142857142858</v>
      </c>
      <c r="U10" s="17">
        <f t="shared" si="2"/>
        <v>6.5714285714285721</v>
      </c>
      <c r="V10" s="17">
        <f t="shared" si="2"/>
        <v>17.285714285714288</v>
      </c>
      <c r="W10" s="17">
        <f t="shared" si="2"/>
        <v>0.85714285714285698</v>
      </c>
      <c r="X10" s="17">
        <f t="shared" si="2"/>
        <v>1</v>
      </c>
      <c r="Y10" s="17">
        <f t="shared" si="2"/>
        <v>5.7142857142857144</v>
      </c>
      <c r="Z10" s="17">
        <f t="shared" si="2"/>
        <v>6</v>
      </c>
      <c r="AA10" s="17">
        <f t="shared" si="2"/>
        <v>11.428571428571427</v>
      </c>
      <c r="AB10" s="17">
        <f t="shared" si="2"/>
        <v>13.714285714285715</v>
      </c>
      <c r="AC10" s="17">
        <f t="shared" si="2"/>
        <v>43.857142857142861</v>
      </c>
      <c r="AD10" s="17">
        <f t="shared" si="2"/>
        <v>0</v>
      </c>
      <c r="AE10" s="31">
        <f t="shared" si="2"/>
        <v>92.857142857142847</v>
      </c>
      <c r="AF10" s="31">
        <f t="shared" si="2"/>
        <v>136.71428571428572</v>
      </c>
    </row>
    <row r="11" spans="2:32" s="6" customFormat="1" ht="23.1" customHeight="1" x14ac:dyDescent="0.25">
      <c r="B11" s="23" t="s">
        <v>38</v>
      </c>
      <c r="C11" s="49">
        <f>AVERAGE('27.10 Mbarara-Kabale'!C11,'28.10 Mbarara-Kabale'!C11,'29.10 Mbarara-Kabale'!C11,'30.10 Mbarara-Kabale'!C11,'31.10 Mbarara-Kabale-24hr'!C11,'1.11 Mbarara-Kabale'!C11,'2.11 Mbarara-Kabale-24hr'!C11)</f>
        <v>4.8571428571428568</v>
      </c>
      <c r="D11" s="49">
        <f>AVERAGE('27.10 Mbarara-Kabale'!D11,'28.10 Mbarara-Kabale'!D11,'29.10 Mbarara-Kabale'!D11,'30.10 Mbarara-Kabale'!D11,'31.10 Mbarara-Kabale-24hr'!D11,'1.11 Mbarara-Kabale'!D11,'2.11 Mbarara-Kabale-24hr'!D11)</f>
        <v>2.4285714285714284</v>
      </c>
      <c r="E11" s="49">
        <f>AVERAGE('27.10 Mbarara-Kabale'!E11,'28.10 Mbarara-Kabale'!E11,'29.10 Mbarara-Kabale'!E11,'30.10 Mbarara-Kabale'!E11,'31.10 Mbarara-Kabale-24hr'!E11,'1.11 Mbarara-Kabale'!E11,'2.11 Mbarara-Kabale-24hr'!E11)</f>
        <v>1</v>
      </c>
      <c r="F11" s="49">
        <f>AVERAGE('27.10 Mbarara-Kabale'!F11,'28.10 Mbarara-Kabale'!F11,'29.10 Mbarara-Kabale'!F11,'30.10 Mbarara-Kabale'!F11,'31.10 Mbarara-Kabale-24hr'!F11,'1.11 Mbarara-Kabale'!F11,'2.11 Mbarara-Kabale-24hr'!F11)</f>
        <v>5.4285714285714288</v>
      </c>
      <c r="G11" s="49">
        <f>AVERAGE('27.10 Mbarara-Kabale'!G11,'28.10 Mbarara-Kabale'!G11,'29.10 Mbarara-Kabale'!G11,'30.10 Mbarara-Kabale'!G11,'31.10 Mbarara-Kabale-24hr'!G11,'1.11 Mbarara-Kabale'!G11,'2.11 Mbarara-Kabale-24hr'!G11)</f>
        <v>0</v>
      </c>
      <c r="H11" s="49">
        <f>AVERAGE('27.10 Mbarara-Kabale'!H11,'28.10 Mbarara-Kabale'!H11,'29.10 Mbarara-Kabale'!H11,'30.10 Mbarara-Kabale'!H11,'31.10 Mbarara-Kabale-24hr'!H11,'1.11 Mbarara-Kabale'!H11,'2.11 Mbarara-Kabale-24hr'!H11)</f>
        <v>0.42857142857142855</v>
      </c>
      <c r="I11" s="49">
        <f>AVERAGE('27.10 Mbarara-Kabale'!I11,'28.10 Mbarara-Kabale'!I11,'29.10 Mbarara-Kabale'!I11,'30.10 Mbarara-Kabale'!I11,'31.10 Mbarara-Kabale-24hr'!I11,'1.11 Mbarara-Kabale'!I11,'2.11 Mbarara-Kabale-24hr'!I11)</f>
        <v>2.5714285714285716</v>
      </c>
      <c r="J11" s="49">
        <f>AVERAGE('27.10 Mbarara-Kabale'!J11,'28.10 Mbarara-Kabale'!J11,'29.10 Mbarara-Kabale'!J11,'30.10 Mbarara-Kabale'!J11,'31.10 Mbarara-Kabale-24hr'!J11,'1.11 Mbarara-Kabale'!J11,'2.11 Mbarara-Kabale-24hr'!J11)</f>
        <v>0.8571428571428571</v>
      </c>
      <c r="K11" s="49">
        <f>AVERAGE('27.10 Mbarara-Kabale'!K11,'28.10 Mbarara-Kabale'!K11,'29.10 Mbarara-Kabale'!K11,'30.10 Mbarara-Kabale'!K11,'31.10 Mbarara-Kabale-24hr'!K11,'1.11 Mbarara-Kabale'!K11,'2.11 Mbarara-Kabale-24hr'!K11)</f>
        <v>2.4285714285714284</v>
      </c>
      <c r="L11" s="49">
        <f>AVERAGE('27.10 Mbarara-Kabale'!L11,'28.10 Mbarara-Kabale'!L11,'29.10 Mbarara-Kabale'!L11,'30.10 Mbarara-Kabale'!L11,'31.10 Mbarara-Kabale-24hr'!L11,'1.11 Mbarara-Kabale'!L11,'2.11 Mbarara-Kabale-24hr'!L11)</f>
        <v>3.4285714285714284</v>
      </c>
      <c r="M11" s="49">
        <f>AVERAGE('27.10 Mbarara-Kabale'!M11,'28.10 Mbarara-Kabale'!M11,'29.10 Mbarara-Kabale'!M11,'30.10 Mbarara-Kabale'!M11,'31.10 Mbarara-Kabale-24hr'!M11,'1.11 Mbarara-Kabale'!M11,'2.11 Mbarara-Kabale-24hr'!M11)</f>
        <v>10</v>
      </c>
      <c r="N11" s="49">
        <f>AVERAGE('27.10 Mbarara-Kabale'!N11,'28.10 Mbarara-Kabale'!N11,'29.10 Mbarara-Kabale'!N11,'30.10 Mbarara-Kabale'!N11,'31.10 Mbarara-Kabale-24hr'!N11,'1.11 Mbarara-Kabale'!N11,'2.11 Mbarara-Kabale-24hr'!N11)</f>
        <v>0</v>
      </c>
      <c r="O11" s="15">
        <f t="shared" si="0"/>
        <v>23.428571428571427</v>
      </c>
      <c r="P11" s="15">
        <f t="shared" si="1"/>
        <v>33.428571428571431</v>
      </c>
      <c r="R11" s="1" t="s">
        <v>7</v>
      </c>
      <c r="S11" s="17">
        <f t="shared" ref="S11:AF11" si="3">SUM(C14:C17)</f>
        <v>24.571428571428569</v>
      </c>
      <c r="T11" s="17">
        <f t="shared" si="3"/>
        <v>9.5714285714285712</v>
      </c>
      <c r="U11" s="17">
        <f t="shared" si="3"/>
        <v>8</v>
      </c>
      <c r="V11" s="17">
        <f t="shared" si="3"/>
        <v>13.428571428571431</v>
      </c>
      <c r="W11" s="17">
        <f t="shared" si="3"/>
        <v>1.2857142857142856</v>
      </c>
      <c r="X11" s="17">
        <f t="shared" si="3"/>
        <v>0.14285714285714285</v>
      </c>
      <c r="Y11" s="17">
        <f t="shared" si="3"/>
        <v>6.1428571428571423</v>
      </c>
      <c r="Z11" s="17">
        <f t="shared" si="3"/>
        <v>4.8571428571428577</v>
      </c>
      <c r="AA11" s="17">
        <f t="shared" si="3"/>
        <v>3.2857142857142856</v>
      </c>
      <c r="AB11" s="17">
        <f t="shared" si="3"/>
        <v>10.142857142857142</v>
      </c>
      <c r="AC11" s="17">
        <f t="shared" si="3"/>
        <v>51.285714285714285</v>
      </c>
      <c r="AD11" s="17">
        <f t="shared" si="3"/>
        <v>0.5714285714285714</v>
      </c>
      <c r="AE11" s="31">
        <f t="shared" si="3"/>
        <v>82</v>
      </c>
      <c r="AF11" s="31">
        <f t="shared" si="3"/>
        <v>133.28571428571428</v>
      </c>
    </row>
    <row r="12" spans="2:32" ht="23.1" customHeight="1" x14ac:dyDescent="0.25">
      <c r="B12" s="23" t="s">
        <v>39</v>
      </c>
      <c r="C12" s="49">
        <f>AVERAGE('27.10 Mbarara-Kabale'!C12,'28.10 Mbarara-Kabale'!C12,'29.10 Mbarara-Kabale'!C12,'30.10 Mbarara-Kabale'!C12,'31.10 Mbarara-Kabale-24hr'!C12,'1.11 Mbarara-Kabale'!C12,'2.11 Mbarara-Kabale-24hr'!C12)</f>
        <v>6.2857142857142856</v>
      </c>
      <c r="D12" s="49">
        <f>AVERAGE('27.10 Mbarara-Kabale'!D12,'28.10 Mbarara-Kabale'!D12,'29.10 Mbarara-Kabale'!D12,'30.10 Mbarara-Kabale'!D12,'31.10 Mbarara-Kabale-24hr'!D12,'1.11 Mbarara-Kabale'!D12,'2.11 Mbarara-Kabale-24hr'!D12)</f>
        <v>4.1428571428571432</v>
      </c>
      <c r="E12" s="49">
        <f>AVERAGE('27.10 Mbarara-Kabale'!E12,'28.10 Mbarara-Kabale'!E12,'29.10 Mbarara-Kabale'!E12,'30.10 Mbarara-Kabale'!E12,'31.10 Mbarara-Kabale-24hr'!E12,'1.11 Mbarara-Kabale'!E12,'2.11 Mbarara-Kabale-24hr'!E12)</f>
        <v>3.1428571428571428</v>
      </c>
      <c r="F12" s="49">
        <f>AVERAGE('27.10 Mbarara-Kabale'!F12,'28.10 Mbarara-Kabale'!F12,'29.10 Mbarara-Kabale'!F12,'30.10 Mbarara-Kabale'!F12,'31.10 Mbarara-Kabale-24hr'!F12,'1.11 Mbarara-Kabale'!F12,'2.11 Mbarara-Kabale-24hr'!F12)</f>
        <v>5.1428571428571432</v>
      </c>
      <c r="G12" s="49">
        <f>AVERAGE('27.10 Mbarara-Kabale'!G12,'28.10 Mbarara-Kabale'!G12,'29.10 Mbarara-Kabale'!G12,'30.10 Mbarara-Kabale'!G12,'31.10 Mbarara-Kabale-24hr'!G12,'1.11 Mbarara-Kabale'!G12,'2.11 Mbarara-Kabale-24hr'!G12)</f>
        <v>0.2857142857142857</v>
      </c>
      <c r="H12" s="49">
        <f>AVERAGE('27.10 Mbarara-Kabale'!H12,'28.10 Mbarara-Kabale'!H12,'29.10 Mbarara-Kabale'!H12,'30.10 Mbarara-Kabale'!H12,'31.10 Mbarara-Kabale-24hr'!H12,'1.11 Mbarara-Kabale'!H12,'2.11 Mbarara-Kabale-24hr'!H12)</f>
        <v>0.14285714285714285</v>
      </c>
      <c r="I12" s="49">
        <f>AVERAGE('27.10 Mbarara-Kabale'!I12,'28.10 Mbarara-Kabale'!I12,'29.10 Mbarara-Kabale'!I12,'30.10 Mbarara-Kabale'!I12,'31.10 Mbarara-Kabale-24hr'!I12,'1.11 Mbarara-Kabale'!I12,'2.11 Mbarara-Kabale-24hr'!I12)</f>
        <v>1.2857142857142858</v>
      </c>
      <c r="J12" s="49">
        <f>AVERAGE('27.10 Mbarara-Kabale'!J12,'28.10 Mbarara-Kabale'!J12,'29.10 Mbarara-Kabale'!J12,'30.10 Mbarara-Kabale'!J12,'31.10 Mbarara-Kabale-24hr'!J12,'1.11 Mbarara-Kabale'!J12,'2.11 Mbarara-Kabale-24hr'!J12)</f>
        <v>0.8571428571428571</v>
      </c>
      <c r="K12" s="49">
        <f>AVERAGE('27.10 Mbarara-Kabale'!K12,'28.10 Mbarara-Kabale'!K12,'29.10 Mbarara-Kabale'!K12,'30.10 Mbarara-Kabale'!K12,'31.10 Mbarara-Kabale-24hr'!K12,'1.11 Mbarara-Kabale'!K12,'2.11 Mbarara-Kabale-24hr'!K12)</f>
        <v>2.5714285714285716</v>
      </c>
      <c r="L12" s="49">
        <f>AVERAGE('27.10 Mbarara-Kabale'!L12,'28.10 Mbarara-Kabale'!L12,'29.10 Mbarara-Kabale'!L12,'30.10 Mbarara-Kabale'!L12,'31.10 Mbarara-Kabale-24hr'!L12,'1.11 Mbarara-Kabale'!L12,'2.11 Mbarara-Kabale-24hr'!L12)</f>
        <v>4.2857142857142856</v>
      </c>
      <c r="M12" s="49">
        <f>AVERAGE('27.10 Mbarara-Kabale'!M12,'28.10 Mbarara-Kabale'!M12,'29.10 Mbarara-Kabale'!M12,'30.10 Mbarara-Kabale'!M12,'31.10 Mbarara-Kabale-24hr'!M12,'1.11 Mbarara-Kabale'!M12,'2.11 Mbarara-Kabale-24hr'!M12)</f>
        <v>13.857142857142858</v>
      </c>
      <c r="N12" s="49">
        <f>AVERAGE('27.10 Mbarara-Kabale'!N12,'28.10 Mbarara-Kabale'!N12,'29.10 Mbarara-Kabale'!N12,'30.10 Mbarara-Kabale'!N12,'31.10 Mbarara-Kabale-24hr'!N12,'1.11 Mbarara-Kabale'!N12,'2.11 Mbarara-Kabale-24hr'!N12)</f>
        <v>0</v>
      </c>
      <c r="O12" s="15">
        <f t="shared" si="0"/>
        <v>28.142857142857142</v>
      </c>
      <c r="P12" s="15">
        <f t="shared" si="1"/>
        <v>42</v>
      </c>
      <c r="R12" s="1" t="s">
        <v>8</v>
      </c>
      <c r="S12" s="17">
        <f t="shared" ref="S12:AF12" si="4">SUM(C18:C21)</f>
        <v>24.714285714285715</v>
      </c>
      <c r="T12" s="17">
        <f t="shared" si="4"/>
        <v>9.2857142857142847</v>
      </c>
      <c r="U12" s="17">
        <f t="shared" si="4"/>
        <v>9.2857142857142847</v>
      </c>
      <c r="V12" s="17">
        <f t="shared" si="4"/>
        <v>20.285714285714285</v>
      </c>
      <c r="W12" s="17">
        <f t="shared" si="4"/>
        <v>0.2857142857142857</v>
      </c>
      <c r="X12" s="17">
        <f t="shared" si="4"/>
        <v>1.857142857142857</v>
      </c>
      <c r="Y12" s="17">
        <f t="shared" si="4"/>
        <v>7.4285714285714288</v>
      </c>
      <c r="Z12" s="17">
        <f t="shared" si="4"/>
        <v>5.5714285714285712</v>
      </c>
      <c r="AA12" s="17">
        <f t="shared" si="4"/>
        <v>3.714285714285714</v>
      </c>
      <c r="AB12" s="17">
        <f t="shared" si="4"/>
        <v>13.571428571428571</v>
      </c>
      <c r="AC12" s="17">
        <f t="shared" si="4"/>
        <v>67.285714285714278</v>
      </c>
      <c r="AD12" s="17">
        <f t="shared" si="4"/>
        <v>0.14285714285714285</v>
      </c>
      <c r="AE12" s="31">
        <f t="shared" si="4"/>
        <v>96.142857142857139</v>
      </c>
      <c r="AF12" s="31">
        <f t="shared" si="4"/>
        <v>163.42857142857144</v>
      </c>
    </row>
    <row r="13" spans="2:32" ht="23.1" customHeight="1" x14ac:dyDescent="0.25">
      <c r="B13" s="23" t="s">
        <v>40</v>
      </c>
      <c r="C13" s="49">
        <f>AVERAGE('27.10 Mbarara-Kabale'!C13,'28.10 Mbarara-Kabale'!C13,'29.10 Mbarara-Kabale'!C13,'30.10 Mbarara-Kabale'!C13,'31.10 Mbarara-Kabale-24hr'!C13,'1.11 Mbarara-Kabale'!C13,'2.11 Mbarara-Kabale-24hr'!C13)</f>
        <v>4.7142857142857144</v>
      </c>
      <c r="D13" s="49">
        <f>AVERAGE('27.10 Mbarara-Kabale'!D13,'28.10 Mbarara-Kabale'!D13,'29.10 Mbarara-Kabale'!D13,'30.10 Mbarara-Kabale'!D13,'31.10 Mbarara-Kabale-24hr'!D13,'1.11 Mbarara-Kabale'!D13,'2.11 Mbarara-Kabale-24hr'!D13)</f>
        <v>3.4285714285714284</v>
      </c>
      <c r="E13" s="49">
        <f>AVERAGE('27.10 Mbarara-Kabale'!E13,'28.10 Mbarara-Kabale'!E13,'29.10 Mbarara-Kabale'!E13,'30.10 Mbarara-Kabale'!E13,'31.10 Mbarara-Kabale-24hr'!E13,'1.11 Mbarara-Kabale'!E13,'2.11 Mbarara-Kabale-24hr'!E13)</f>
        <v>1.7142857142857142</v>
      </c>
      <c r="F13" s="49">
        <f>AVERAGE('27.10 Mbarara-Kabale'!F13,'28.10 Mbarara-Kabale'!F13,'29.10 Mbarara-Kabale'!F13,'30.10 Mbarara-Kabale'!F13,'31.10 Mbarara-Kabale-24hr'!F13,'1.11 Mbarara-Kabale'!F13,'2.11 Mbarara-Kabale-24hr'!F13)</f>
        <v>2.8571428571428572</v>
      </c>
      <c r="G13" s="49">
        <f>AVERAGE('27.10 Mbarara-Kabale'!G13,'28.10 Mbarara-Kabale'!G13,'29.10 Mbarara-Kabale'!G13,'30.10 Mbarara-Kabale'!G13,'31.10 Mbarara-Kabale-24hr'!G13,'1.11 Mbarara-Kabale'!G13,'2.11 Mbarara-Kabale-24hr'!G13)</f>
        <v>0.14285714285714285</v>
      </c>
      <c r="H13" s="49">
        <f>AVERAGE('27.10 Mbarara-Kabale'!H13,'28.10 Mbarara-Kabale'!H13,'29.10 Mbarara-Kabale'!H13,'30.10 Mbarara-Kabale'!H13,'31.10 Mbarara-Kabale-24hr'!H13,'1.11 Mbarara-Kabale'!H13,'2.11 Mbarara-Kabale-24hr'!H13)</f>
        <v>0</v>
      </c>
      <c r="I13" s="49">
        <f>AVERAGE('27.10 Mbarara-Kabale'!I13,'28.10 Mbarara-Kabale'!I13,'29.10 Mbarara-Kabale'!I13,'30.10 Mbarara-Kabale'!I13,'31.10 Mbarara-Kabale-24hr'!I13,'1.11 Mbarara-Kabale'!I13,'2.11 Mbarara-Kabale-24hr'!I13)</f>
        <v>1.5714285714285714</v>
      </c>
      <c r="J13" s="49">
        <f>AVERAGE('27.10 Mbarara-Kabale'!J13,'28.10 Mbarara-Kabale'!J13,'29.10 Mbarara-Kabale'!J13,'30.10 Mbarara-Kabale'!J13,'31.10 Mbarara-Kabale-24hr'!J13,'1.11 Mbarara-Kabale'!J13,'2.11 Mbarara-Kabale-24hr'!J13)</f>
        <v>2.2857142857142856</v>
      </c>
      <c r="K13" s="49">
        <f>AVERAGE('27.10 Mbarara-Kabale'!K13,'28.10 Mbarara-Kabale'!K13,'29.10 Mbarara-Kabale'!K13,'30.10 Mbarara-Kabale'!K13,'31.10 Mbarara-Kabale-24hr'!K13,'1.11 Mbarara-Kabale'!K13,'2.11 Mbarara-Kabale-24hr'!K13)</f>
        <v>4.1428571428571432</v>
      </c>
      <c r="L13" s="49">
        <f>AVERAGE('27.10 Mbarara-Kabale'!L13,'28.10 Mbarara-Kabale'!L13,'29.10 Mbarara-Kabale'!L13,'30.10 Mbarara-Kabale'!L13,'31.10 Mbarara-Kabale-24hr'!L13,'1.11 Mbarara-Kabale'!L13,'2.11 Mbarara-Kabale-24hr'!L13)</f>
        <v>2.7142857142857144</v>
      </c>
      <c r="M13" s="49">
        <f>AVERAGE('27.10 Mbarara-Kabale'!M13,'28.10 Mbarara-Kabale'!M13,'29.10 Mbarara-Kabale'!M13,'30.10 Mbarara-Kabale'!M13,'31.10 Mbarara-Kabale-24hr'!M13,'1.11 Mbarara-Kabale'!M13,'2.11 Mbarara-Kabale-24hr'!M13)</f>
        <v>10.571428571428571</v>
      </c>
      <c r="N13" s="49">
        <f>AVERAGE('27.10 Mbarara-Kabale'!N13,'28.10 Mbarara-Kabale'!N13,'29.10 Mbarara-Kabale'!N13,'30.10 Mbarara-Kabale'!N13,'31.10 Mbarara-Kabale-24hr'!N13,'1.11 Mbarara-Kabale'!N13,'2.11 Mbarara-Kabale-24hr'!N13)</f>
        <v>0</v>
      </c>
      <c r="O13" s="15">
        <f t="shared" si="0"/>
        <v>23.571428571428569</v>
      </c>
      <c r="P13" s="15">
        <f t="shared" si="1"/>
        <v>34.142857142857139</v>
      </c>
      <c r="R13" s="1" t="s">
        <v>9</v>
      </c>
      <c r="S13" s="17">
        <f t="shared" ref="S13:AF13" si="5">SUM(C22:C25)</f>
        <v>35.285714285714285</v>
      </c>
      <c r="T13" s="17">
        <f t="shared" si="5"/>
        <v>10.428571428571429</v>
      </c>
      <c r="U13" s="17">
        <f t="shared" si="5"/>
        <v>8</v>
      </c>
      <c r="V13" s="17">
        <f t="shared" si="5"/>
        <v>20.571428571428573</v>
      </c>
      <c r="W13" s="17">
        <f t="shared" si="5"/>
        <v>0.8571428571428571</v>
      </c>
      <c r="X13" s="17">
        <f t="shared" si="5"/>
        <v>3</v>
      </c>
      <c r="Y13" s="17">
        <f t="shared" si="5"/>
        <v>11</v>
      </c>
      <c r="Z13" s="17">
        <f t="shared" si="5"/>
        <v>5.5714285714285712</v>
      </c>
      <c r="AA13" s="17">
        <f t="shared" si="5"/>
        <v>6.1428571428571423</v>
      </c>
      <c r="AB13" s="17">
        <f t="shared" si="5"/>
        <v>8.1428571428571423</v>
      </c>
      <c r="AC13" s="17">
        <f t="shared" si="5"/>
        <v>64.857142857142861</v>
      </c>
      <c r="AD13" s="17">
        <f t="shared" si="5"/>
        <v>0</v>
      </c>
      <c r="AE13" s="31">
        <f t="shared" si="5"/>
        <v>109</v>
      </c>
      <c r="AF13" s="31">
        <f t="shared" si="5"/>
        <v>173.85714285714283</v>
      </c>
    </row>
    <row r="14" spans="2:32" ht="23.1" customHeight="1" x14ac:dyDescent="0.25">
      <c r="B14" s="23" t="s">
        <v>41</v>
      </c>
      <c r="C14" s="49">
        <f>AVERAGE('27.10 Mbarara-Kabale'!C14,'28.10 Mbarara-Kabale'!C14,'29.10 Mbarara-Kabale'!C14,'30.10 Mbarara-Kabale'!C14,'31.10 Mbarara-Kabale-24hr'!C14,'1.11 Mbarara-Kabale'!C14,'2.11 Mbarara-Kabale-24hr'!C14)</f>
        <v>6.2857142857142856</v>
      </c>
      <c r="D14" s="49">
        <f>AVERAGE('27.10 Mbarara-Kabale'!D14,'28.10 Mbarara-Kabale'!D14,'29.10 Mbarara-Kabale'!D14,'30.10 Mbarara-Kabale'!D14,'31.10 Mbarara-Kabale-24hr'!D14,'1.11 Mbarara-Kabale'!D14,'2.11 Mbarara-Kabale-24hr'!D14)</f>
        <v>2</v>
      </c>
      <c r="E14" s="49">
        <f>AVERAGE('27.10 Mbarara-Kabale'!E14,'28.10 Mbarara-Kabale'!E14,'29.10 Mbarara-Kabale'!E14,'30.10 Mbarara-Kabale'!E14,'31.10 Mbarara-Kabale-24hr'!E14,'1.11 Mbarara-Kabale'!E14,'2.11 Mbarara-Kabale-24hr'!E14)</f>
        <v>1</v>
      </c>
      <c r="F14" s="49">
        <f>AVERAGE('27.10 Mbarara-Kabale'!F14,'28.10 Mbarara-Kabale'!F14,'29.10 Mbarara-Kabale'!F14,'30.10 Mbarara-Kabale'!F14,'31.10 Mbarara-Kabale-24hr'!F14,'1.11 Mbarara-Kabale'!F14,'2.11 Mbarara-Kabale-24hr'!F14)</f>
        <v>2.7142857142857144</v>
      </c>
      <c r="G14" s="49">
        <f>AVERAGE('27.10 Mbarara-Kabale'!G14,'28.10 Mbarara-Kabale'!G14,'29.10 Mbarara-Kabale'!G14,'30.10 Mbarara-Kabale'!G14,'31.10 Mbarara-Kabale-24hr'!G14,'1.11 Mbarara-Kabale'!G14,'2.11 Mbarara-Kabale-24hr'!G14)</f>
        <v>0</v>
      </c>
      <c r="H14" s="49">
        <f>AVERAGE('27.10 Mbarara-Kabale'!H14,'28.10 Mbarara-Kabale'!H14,'29.10 Mbarara-Kabale'!H14,'30.10 Mbarara-Kabale'!H14,'31.10 Mbarara-Kabale-24hr'!H14,'1.11 Mbarara-Kabale'!H14,'2.11 Mbarara-Kabale-24hr'!H14)</f>
        <v>0.14285714285714285</v>
      </c>
      <c r="I14" s="49">
        <f>AVERAGE('27.10 Mbarara-Kabale'!I14,'28.10 Mbarara-Kabale'!I14,'29.10 Mbarara-Kabale'!I14,'30.10 Mbarara-Kabale'!I14,'31.10 Mbarara-Kabale-24hr'!I14,'1.11 Mbarara-Kabale'!I14,'2.11 Mbarara-Kabale-24hr'!I14)</f>
        <v>1.4285714285714286</v>
      </c>
      <c r="J14" s="49">
        <f>AVERAGE('27.10 Mbarara-Kabale'!J14,'28.10 Mbarara-Kabale'!J14,'29.10 Mbarara-Kabale'!J14,'30.10 Mbarara-Kabale'!J14,'31.10 Mbarara-Kabale-24hr'!J14,'1.11 Mbarara-Kabale'!J14,'2.11 Mbarara-Kabale-24hr'!J14)</f>
        <v>1.1428571428571428</v>
      </c>
      <c r="K14" s="49">
        <f>AVERAGE('27.10 Mbarara-Kabale'!K14,'28.10 Mbarara-Kabale'!K14,'29.10 Mbarara-Kabale'!K14,'30.10 Mbarara-Kabale'!K14,'31.10 Mbarara-Kabale-24hr'!K14,'1.11 Mbarara-Kabale'!K14,'2.11 Mbarara-Kabale-24hr'!K14)</f>
        <v>0.2857142857142857</v>
      </c>
      <c r="L14" s="49">
        <f>AVERAGE('27.10 Mbarara-Kabale'!L14,'28.10 Mbarara-Kabale'!L14,'29.10 Mbarara-Kabale'!L14,'30.10 Mbarara-Kabale'!L14,'31.10 Mbarara-Kabale-24hr'!L14,'1.11 Mbarara-Kabale'!L14,'2.11 Mbarara-Kabale-24hr'!L14)</f>
        <v>2</v>
      </c>
      <c r="M14" s="49">
        <f>AVERAGE('27.10 Mbarara-Kabale'!M14,'28.10 Mbarara-Kabale'!M14,'29.10 Mbarara-Kabale'!M14,'30.10 Mbarara-Kabale'!M14,'31.10 Mbarara-Kabale-24hr'!M14,'1.11 Mbarara-Kabale'!M14,'2.11 Mbarara-Kabale-24hr'!M14)</f>
        <v>9.2857142857142865</v>
      </c>
      <c r="N14" s="49">
        <f>AVERAGE('27.10 Mbarara-Kabale'!N14,'28.10 Mbarara-Kabale'!N14,'29.10 Mbarara-Kabale'!N14,'30.10 Mbarara-Kabale'!N14,'31.10 Mbarara-Kabale-24hr'!N14,'1.11 Mbarara-Kabale'!N14,'2.11 Mbarara-Kabale-24hr'!N14)</f>
        <v>0</v>
      </c>
      <c r="O14" s="15">
        <f t="shared" si="0"/>
        <v>17</v>
      </c>
      <c r="P14" s="15">
        <f t="shared" si="1"/>
        <v>26.285714285714285</v>
      </c>
      <c r="R14" s="1" t="s">
        <v>10</v>
      </c>
      <c r="S14" s="17">
        <f t="shared" ref="S14:AF14" si="6">SUM(C26:C29)</f>
        <v>33.857142857142854</v>
      </c>
      <c r="T14" s="17">
        <f t="shared" si="6"/>
        <v>13.285714285714285</v>
      </c>
      <c r="U14" s="17">
        <f t="shared" si="6"/>
        <v>7.8571428571428568</v>
      </c>
      <c r="V14" s="17">
        <f t="shared" si="6"/>
        <v>21.285714285714288</v>
      </c>
      <c r="W14" s="17">
        <f t="shared" si="6"/>
        <v>0.5714285714285714</v>
      </c>
      <c r="X14" s="17">
        <f t="shared" si="6"/>
        <v>2.1428571428571428</v>
      </c>
      <c r="Y14" s="17">
        <f t="shared" si="6"/>
        <v>8.2857142857142847</v>
      </c>
      <c r="Z14" s="17">
        <f t="shared" si="6"/>
        <v>6.8571428571428577</v>
      </c>
      <c r="AA14" s="17">
        <f t="shared" si="6"/>
        <v>5.2857142857142847</v>
      </c>
      <c r="AB14" s="17">
        <f t="shared" si="6"/>
        <v>8.8571428571428559</v>
      </c>
      <c r="AC14" s="17">
        <f t="shared" si="6"/>
        <v>60.571428571428569</v>
      </c>
      <c r="AD14" s="17">
        <f t="shared" si="6"/>
        <v>0</v>
      </c>
      <c r="AE14" s="31">
        <f t="shared" si="6"/>
        <v>108.28571428571428</v>
      </c>
      <c r="AF14" s="31">
        <f t="shared" si="6"/>
        <v>168.85714285714283</v>
      </c>
    </row>
    <row r="15" spans="2:32" ht="23.1" customHeight="1" x14ac:dyDescent="0.25">
      <c r="B15" s="23" t="s">
        <v>42</v>
      </c>
      <c r="C15" s="49">
        <f>AVERAGE('27.10 Mbarara-Kabale'!C15,'28.10 Mbarara-Kabale'!C15,'29.10 Mbarara-Kabale'!C15,'30.10 Mbarara-Kabale'!C15,'31.10 Mbarara-Kabale-24hr'!C15,'1.11 Mbarara-Kabale'!C15,'2.11 Mbarara-Kabale-24hr'!C15)</f>
        <v>7</v>
      </c>
      <c r="D15" s="49">
        <f>AVERAGE('27.10 Mbarara-Kabale'!D15,'28.10 Mbarara-Kabale'!D15,'29.10 Mbarara-Kabale'!D15,'30.10 Mbarara-Kabale'!D15,'31.10 Mbarara-Kabale-24hr'!D15,'1.11 Mbarara-Kabale'!D15,'2.11 Mbarara-Kabale-24hr'!D15)</f>
        <v>1</v>
      </c>
      <c r="E15" s="49">
        <f>AVERAGE('27.10 Mbarara-Kabale'!E15,'28.10 Mbarara-Kabale'!E15,'29.10 Mbarara-Kabale'!E15,'30.10 Mbarara-Kabale'!E15,'31.10 Mbarara-Kabale-24hr'!E15,'1.11 Mbarara-Kabale'!E15,'2.11 Mbarara-Kabale-24hr'!E15)</f>
        <v>1.4285714285714286</v>
      </c>
      <c r="F15" s="49">
        <f>AVERAGE('27.10 Mbarara-Kabale'!F15,'28.10 Mbarara-Kabale'!F15,'29.10 Mbarara-Kabale'!F15,'30.10 Mbarara-Kabale'!F15,'31.10 Mbarara-Kabale-24hr'!F15,'1.11 Mbarara-Kabale'!F15,'2.11 Mbarara-Kabale-24hr'!F15)</f>
        <v>5.1428571428571432</v>
      </c>
      <c r="G15" s="49">
        <f>AVERAGE('27.10 Mbarara-Kabale'!G15,'28.10 Mbarara-Kabale'!G15,'29.10 Mbarara-Kabale'!G15,'30.10 Mbarara-Kabale'!G15,'31.10 Mbarara-Kabale-24hr'!G15,'1.11 Mbarara-Kabale'!G15,'2.11 Mbarara-Kabale-24hr'!G15)</f>
        <v>0.5714285714285714</v>
      </c>
      <c r="H15" s="49">
        <f>AVERAGE('27.10 Mbarara-Kabale'!H15,'28.10 Mbarara-Kabale'!H15,'29.10 Mbarara-Kabale'!H15,'30.10 Mbarara-Kabale'!H15,'31.10 Mbarara-Kabale-24hr'!H15,'1.11 Mbarara-Kabale'!H15,'2.11 Mbarara-Kabale-24hr'!H15)</f>
        <v>0</v>
      </c>
      <c r="I15" s="49">
        <f>AVERAGE('27.10 Mbarara-Kabale'!I15,'28.10 Mbarara-Kabale'!I15,'29.10 Mbarara-Kabale'!I15,'30.10 Mbarara-Kabale'!I15,'31.10 Mbarara-Kabale-24hr'!I15,'1.11 Mbarara-Kabale'!I15,'2.11 Mbarara-Kabale-24hr'!I15)</f>
        <v>1.2857142857142858</v>
      </c>
      <c r="J15" s="49">
        <f>AVERAGE('27.10 Mbarara-Kabale'!J15,'28.10 Mbarara-Kabale'!J15,'29.10 Mbarara-Kabale'!J15,'30.10 Mbarara-Kabale'!J15,'31.10 Mbarara-Kabale-24hr'!J15,'1.11 Mbarara-Kabale'!J15,'2.11 Mbarara-Kabale-24hr'!J15)</f>
        <v>1.2857142857142858</v>
      </c>
      <c r="K15" s="49">
        <f>AVERAGE('27.10 Mbarara-Kabale'!K15,'28.10 Mbarara-Kabale'!K15,'29.10 Mbarara-Kabale'!K15,'30.10 Mbarara-Kabale'!K15,'31.10 Mbarara-Kabale-24hr'!K15,'1.11 Mbarara-Kabale'!K15,'2.11 Mbarara-Kabale-24hr'!K15)</f>
        <v>2</v>
      </c>
      <c r="L15" s="49">
        <f>AVERAGE('27.10 Mbarara-Kabale'!L15,'28.10 Mbarara-Kabale'!L15,'29.10 Mbarara-Kabale'!L15,'30.10 Mbarara-Kabale'!L15,'31.10 Mbarara-Kabale-24hr'!L15,'1.11 Mbarara-Kabale'!L15,'2.11 Mbarara-Kabale-24hr'!L15)</f>
        <v>1.7142857142857142</v>
      </c>
      <c r="M15" s="49">
        <f>AVERAGE('27.10 Mbarara-Kabale'!M15,'28.10 Mbarara-Kabale'!M15,'29.10 Mbarara-Kabale'!M15,'30.10 Mbarara-Kabale'!M15,'31.10 Mbarara-Kabale-24hr'!M15,'1.11 Mbarara-Kabale'!M15,'2.11 Mbarara-Kabale-24hr'!M15)</f>
        <v>13</v>
      </c>
      <c r="N15" s="49">
        <f>AVERAGE('27.10 Mbarara-Kabale'!N15,'28.10 Mbarara-Kabale'!N15,'29.10 Mbarara-Kabale'!N15,'30.10 Mbarara-Kabale'!N15,'31.10 Mbarara-Kabale-24hr'!N15,'1.11 Mbarara-Kabale'!N15,'2.11 Mbarara-Kabale-24hr'!N15)</f>
        <v>0</v>
      </c>
      <c r="O15" s="15">
        <f t="shared" si="0"/>
        <v>21.428571428571431</v>
      </c>
      <c r="P15" s="15">
        <f t="shared" si="1"/>
        <v>34.428571428571431</v>
      </c>
      <c r="R15" s="1" t="s">
        <v>11</v>
      </c>
      <c r="S15" s="17">
        <f t="shared" ref="S15:AF15" si="7">SUM(C30:C33)</f>
        <v>32.142857142857146</v>
      </c>
      <c r="T15" s="17">
        <f t="shared" si="7"/>
        <v>13.857142857142858</v>
      </c>
      <c r="U15" s="17">
        <f t="shared" si="7"/>
        <v>7.4285714285714279</v>
      </c>
      <c r="V15" s="17">
        <f t="shared" si="7"/>
        <v>24.428571428571427</v>
      </c>
      <c r="W15" s="17">
        <f t="shared" si="7"/>
        <v>0.14285714285714285</v>
      </c>
      <c r="X15" s="17">
        <f t="shared" si="7"/>
        <v>2.7142857142857144</v>
      </c>
      <c r="Y15" s="17">
        <f t="shared" si="7"/>
        <v>7.4285714285714279</v>
      </c>
      <c r="Z15" s="17">
        <f t="shared" si="7"/>
        <v>7.2857142857142856</v>
      </c>
      <c r="AA15" s="17">
        <f t="shared" si="7"/>
        <v>5.8571428571428568</v>
      </c>
      <c r="AB15" s="17">
        <f t="shared" si="7"/>
        <v>11.285714285714286</v>
      </c>
      <c r="AC15" s="17">
        <f t="shared" si="7"/>
        <v>55.571428571428569</v>
      </c>
      <c r="AD15" s="17">
        <f t="shared" si="7"/>
        <v>0</v>
      </c>
      <c r="AE15" s="31">
        <f t="shared" si="7"/>
        <v>112.57142857142857</v>
      </c>
      <c r="AF15" s="31">
        <f t="shared" si="7"/>
        <v>168.14285714285717</v>
      </c>
    </row>
    <row r="16" spans="2:32" ht="23.1" customHeight="1" x14ac:dyDescent="0.25">
      <c r="B16" s="23" t="s">
        <v>43</v>
      </c>
      <c r="C16" s="49">
        <f>AVERAGE('27.10 Mbarara-Kabale'!C16,'28.10 Mbarara-Kabale'!C16,'29.10 Mbarara-Kabale'!C16,'30.10 Mbarara-Kabale'!C16,'31.10 Mbarara-Kabale-24hr'!C16,'1.11 Mbarara-Kabale'!C16,'2.11 Mbarara-Kabale-24hr'!C16)</f>
        <v>6.1428571428571432</v>
      </c>
      <c r="D16" s="49">
        <f>AVERAGE('27.10 Mbarara-Kabale'!D16,'28.10 Mbarara-Kabale'!D16,'29.10 Mbarara-Kabale'!D16,'30.10 Mbarara-Kabale'!D16,'31.10 Mbarara-Kabale-24hr'!D16,'1.11 Mbarara-Kabale'!D16,'2.11 Mbarara-Kabale-24hr'!D16)</f>
        <v>2.7142857142857144</v>
      </c>
      <c r="E16" s="49">
        <f>AVERAGE('27.10 Mbarara-Kabale'!E16,'28.10 Mbarara-Kabale'!E16,'29.10 Mbarara-Kabale'!E16,'30.10 Mbarara-Kabale'!E16,'31.10 Mbarara-Kabale-24hr'!E16,'1.11 Mbarara-Kabale'!E16,'2.11 Mbarara-Kabale-24hr'!E16)</f>
        <v>1.8571428571428572</v>
      </c>
      <c r="F16" s="49">
        <f>AVERAGE('27.10 Mbarara-Kabale'!F16,'28.10 Mbarara-Kabale'!F16,'29.10 Mbarara-Kabale'!F16,'30.10 Mbarara-Kabale'!F16,'31.10 Mbarara-Kabale-24hr'!F16,'1.11 Mbarara-Kabale'!F16,'2.11 Mbarara-Kabale-24hr'!F16)</f>
        <v>2.8571428571428572</v>
      </c>
      <c r="G16" s="49">
        <f>AVERAGE('27.10 Mbarara-Kabale'!G16,'28.10 Mbarara-Kabale'!G16,'29.10 Mbarara-Kabale'!G16,'30.10 Mbarara-Kabale'!G16,'31.10 Mbarara-Kabale-24hr'!G16,'1.11 Mbarara-Kabale'!G16,'2.11 Mbarara-Kabale-24hr'!G16)</f>
        <v>0.5714285714285714</v>
      </c>
      <c r="H16" s="49">
        <f>AVERAGE('27.10 Mbarara-Kabale'!H16,'28.10 Mbarara-Kabale'!H16,'29.10 Mbarara-Kabale'!H16,'30.10 Mbarara-Kabale'!H16,'31.10 Mbarara-Kabale-24hr'!H16,'1.11 Mbarara-Kabale'!H16,'2.11 Mbarara-Kabale-24hr'!H16)</f>
        <v>0</v>
      </c>
      <c r="I16" s="49">
        <f>AVERAGE('27.10 Mbarara-Kabale'!I16,'28.10 Mbarara-Kabale'!I16,'29.10 Mbarara-Kabale'!I16,'30.10 Mbarara-Kabale'!I16,'31.10 Mbarara-Kabale-24hr'!I16,'1.11 Mbarara-Kabale'!I16,'2.11 Mbarara-Kabale-24hr'!I16)</f>
        <v>1.8571428571428572</v>
      </c>
      <c r="J16" s="49">
        <f>AVERAGE('27.10 Mbarara-Kabale'!J16,'28.10 Mbarara-Kabale'!J16,'29.10 Mbarara-Kabale'!J16,'30.10 Mbarara-Kabale'!J16,'31.10 Mbarara-Kabale-24hr'!J16,'1.11 Mbarara-Kabale'!J16,'2.11 Mbarara-Kabale-24hr'!J16)</f>
        <v>1</v>
      </c>
      <c r="K16" s="49">
        <f>AVERAGE('27.10 Mbarara-Kabale'!K16,'28.10 Mbarara-Kabale'!K16,'29.10 Mbarara-Kabale'!K16,'30.10 Mbarara-Kabale'!K16,'31.10 Mbarara-Kabale-24hr'!K16,'1.11 Mbarara-Kabale'!K16,'2.11 Mbarara-Kabale-24hr'!K16)</f>
        <v>0.7142857142857143</v>
      </c>
      <c r="L16" s="49">
        <f>AVERAGE('27.10 Mbarara-Kabale'!L16,'28.10 Mbarara-Kabale'!L16,'29.10 Mbarara-Kabale'!L16,'30.10 Mbarara-Kabale'!L16,'31.10 Mbarara-Kabale-24hr'!L16,'1.11 Mbarara-Kabale'!L16,'2.11 Mbarara-Kabale-24hr'!L16)</f>
        <v>3.1428571428571428</v>
      </c>
      <c r="M16" s="49">
        <f>AVERAGE('27.10 Mbarara-Kabale'!M16,'28.10 Mbarara-Kabale'!M16,'29.10 Mbarara-Kabale'!M16,'30.10 Mbarara-Kabale'!M16,'31.10 Mbarara-Kabale-24hr'!M16,'1.11 Mbarara-Kabale'!M16,'2.11 Mbarara-Kabale-24hr'!M16)</f>
        <v>13.428571428571429</v>
      </c>
      <c r="N16" s="49">
        <f>AVERAGE('27.10 Mbarara-Kabale'!N16,'28.10 Mbarara-Kabale'!N16,'29.10 Mbarara-Kabale'!N16,'30.10 Mbarara-Kabale'!N16,'31.10 Mbarara-Kabale-24hr'!N16,'1.11 Mbarara-Kabale'!N16,'2.11 Mbarara-Kabale-24hr'!N16)</f>
        <v>0.14285714285714285</v>
      </c>
      <c r="O16" s="15">
        <f t="shared" si="0"/>
        <v>21</v>
      </c>
      <c r="P16" s="15">
        <f t="shared" si="1"/>
        <v>34.428571428571431</v>
      </c>
      <c r="R16" s="1" t="s">
        <v>12</v>
      </c>
      <c r="S16" s="17">
        <f t="shared" ref="S16:AF16" si="8">SUM(C34:C37)</f>
        <v>29.285714285714285</v>
      </c>
      <c r="T16" s="17">
        <f t="shared" si="8"/>
        <v>13.571428571428573</v>
      </c>
      <c r="U16" s="17">
        <f t="shared" si="8"/>
        <v>8.5714285714285712</v>
      </c>
      <c r="V16" s="17">
        <f t="shared" si="8"/>
        <v>23.285714285714288</v>
      </c>
      <c r="W16" s="17">
        <f t="shared" si="8"/>
        <v>0.5714285714285714</v>
      </c>
      <c r="X16" s="17">
        <f t="shared" si="8"/>
        <v>2.7142857142857144</v>
      </c>
      <c r="Y16" s="17">
        <f t="shared" si="8"/>
        <v>5.8571428571428577</v>
      </c>
      <c r="Z16" s="17">
        <f t="shared" si="8"/>
        <v>3.5714285714285716</v>
      </c>
      <c r="AA16" s="17">
        <f t="shared" si="8"/>
        <v>5.8571428571428568</v>
      </c>
      <c r="AB16" s="17">
        <f t="shared" si="8"/>
        <v>9.1428571428571423</v>
      </c>
      <c r="AC16" s="17">
        <f t="shared" si="8"/>
        <v>47.571428571428569</v>
      </c>
      <c r="AD16" s="17">
        <f t="shared" si="8"/>
        <v>0</v>
      </c>
      <c r="AE16" s="31">
        <f t="shared" si="8"/>
        <v>102.42857142857142</v>
      </c>
      <c r="AF16" s="31">
        <f t="shared" si="8"/>
        <v>150</v>
      </c>
    </row>
    <row r="17" spans="2:32" ht="23.1" customHeight="1" x14ac:dyDescent="0.25">
      <c r="B17" s="23" t="s">
        <v>44</v>
      </c>
      <c r="C17" s="49">
        <f>AVERAGE('27.10 Mbarara-Kabale'!C17,'28.10 Mbarara-Kabale'!C17,'29.10 Mbarara-Kabale'!C17,'30.10 Mbarara-Kabale'!C17,'31.10 Mbarara-Kabale-24hr'!C17,'1.11 Mbarara-Kabale'!C17,'2.11 Mbarara-Kabale-24hr'!C17)</f>
        <v>5.1428571428571432</v>
      </c>
      <c r="D17" s="49">
        <f>AVERAGE('27.10 Mbarara-Kabale'!D17,'28.10 Mbarara-Kabale'!D17,'29.10 Mbarara-Kabale'!D17,'30.10 Mbarara-Kabale'!D17,'31.10 Mbarara-Kabale-24hr'!D17,'1.11 Mbarara-Kabale'!D17,'2.11 Mbarara-Kabale-24hr'!D17)</f>
        <v>3.8571428571428572</v>
      </c>
      <c r="E17" s="49">
        <f>AVERAGE('27.10 Mbarara-Kabale'!E17,'28.10 Mbarara-Kabale'!E17,'29.10 Mbarara-Kabale'!E17,'30.10 Mbarara-Kabale'!E17,'31.10 Mbarara-Kabale-24hr'!E17,'1.11 Mbarara-Kabale'!E17,'2.11 Mbarara-Kabale-24hr'!E17)</f>
        <v>3.7142857142857144</v>
      </c>
      <c r="F17" s="49">
        <f>AVERAGE('27.10 Mbarara-Kabale'!F17,'28.10 Mbarara-Kabale'!F17,'29.10 Mbarara-Kabale'!F17,'30.10 Mbarara-Kabale'!F17,'31.10 Mbarara-Kabale-24hr'!F17,'1.11 Mbarara-Kabale'!F17,'2.11 Mbarara-Kabale-24hr'!F17)</f>
        <v>2.7142857142857144</v>
      </c>
      <c r="G17" s="49">
        <f>AVERAGE('27.10 Mbarara-Kabale'!G17,'28.10 Mbarara-Kabale'!G17,'29.10 Mbarara-Kabale'!G17,'30.10 Mbarara-Kabale'!G17,'31.10 Mbarara-Kabale-24hr'!G17,'1.11 Mbarara-Kabale'!G17,'2.11 Mbarara-Kabale-24hr'!G17)</f>
        <v>0.14285714285714285</v>
      </c>
      <c r="H17" s="49">
        <f>AVERAGE('27.10 Mbarara-Kabale'!H17,'28.10 Mbarara-Kabale'!H17,'29.10 Mbarara-Kabale'!H17,'30.10 Mbarara-Kabale'!H17,'31.10 Mbarara-Kabale-24hr'!H17,'1.11 Mbarara-Kabale'!H17,'2.11 Mbarara-Kabale-24hr'!H17)</f>
        <v>0</v>
      </c>
      <c r="I17" s="49">
        <f>AVERAGE('27.10 Mbarara-Kabale'!I17,'28.10 Mbarara-Kabale'!I17,'29.10 Mbarara-Kabale'!I17,'30.10 Mbarara-Kabale'!I17,'31.10 Mbarara-Kabale-24hr'!I17,'1.11 Mbarara-Kabale'!I17,'2.11 Mbarara-Kabale-24hr'!I17)</f>
        <v>1.5714285714285714</v>
      </c>
      <c r="J17" s="49">
        <f>AVERAGE('27.10 Mbarara-Kabale'!J17,'28.10 Mbarara-Kabale'!J17,'29.10 Mbarara-Kabale'!J17,'30.10 Mbarara-Kabale'!J17,'31.10 Mbarara-Kabale-24hr'!J17,'1.11 Mbarara-Kabale'!J17,'2.11 Mbarara-Kabale-24hr'!J17)</f>
        <v>1.4285714285714286</v>
      </c>
      <c r="K17" s="49">
        <f>AVERAGE('27.10 Mbarara-Kabale'!K17,'28.10 Mbarara-Kabale'!K17,'29.10 Mbarara-Kabale'!K17,'30.10 Mbarara-Kabale'!K17,'31.10 Mbarara-Kabale-24hr'!K17,'1.11 Mbarara-Kabale'!K17,'2.11 Mbarara-Kabale-24hr'!K17)</f>
        <v>0.2857142857142857</v>
      </c>
      <c r="L17" s="49">
        <f>AVERAGE('27.10 Mbarara-Kabale'!L17,'28.10 Mbarara-Kabale'!L17,'29.10 Mbarara-Kabale'!L17,'30.10 Mbarara-Kabale'!L17,'31.10 Mbarara-Kabale-24hr'!L17,'1.11 Mbarara-Kabale'!L17,'2.11 Mbarara-Kabale-24hr'!L17)</f>
        <v>3.2857142857142856</v>
      </c>
      <c r="M17" s="49">
        <f>AVERAGE('27.10 Mbarara-Kabale'!M17,'28.10 Mbarara-Kabale'!M17,'29.10 Mbarara-Kabale'!M17,'30.10 Mbarara-Kabale'!M17,'31.10 Mbarara-Kabale-24hr'!M17,'1.11 Mbarara-Kabale'!M17,'2.11 Mbarara-Kabale-24hr'!M17)</f>
        <v>15.571428571428571</v>
      </c>
      <c r="N17" s="49">
        <f>AVERAGE('27.10 Mbarara-Kabale'!N17,'28.10 Mbarara-Kabale'!N17,'29.10 Mbarara-Kabale'!N17,'30.10 Mbarara-Kabale'!N17,'31.10 Mbarara-Kabale-24hr'!N17,'1.11 Mbarara-Kabale'!N17,'2.11 Mbarara-Kabale-24hr'!N17)</f>
        <v>0.42857142857142855</v>
      </c>
      <c r="O17" s="15">
        <f t="shared" si="0"/>
        <v>22.571428571428569</v>
      </c>
      <c r="P17" s="15">
        <f t="shared" si="1"/>
        <v>38.142857142857146</v>
      </c>
      <c r="R17" s="1" t="s">
        <v>13</v>
      </c>
      <c r="S17" s="17">
        <f t="shared" ref="S17:AF17" si="9">SUM(C38:C41)</f>
        <v>28.571428571428573</v>
      </c>
      <c r="T17" s="17">
        <f t="shared" si="9"/>
        <v>10</v>
      </c>
      <c r="U17" s="17">
        <f t="shared" si="9"/>
        <v>7.5714285714285712</v>
      </c>
      <c r="V17" s="17">
        <f t="shared" si="9"/>
        <v>24.428571428571431</v>
      </c>
      <c r="W17" s="17">
        <f t="shared" si="9"/>
        <v>0.99999999999999989</v>
      </c>
      <c r="X17" s="17">
        <f t="shared" si="9"/>
        <v>3.285714285714286</v>
      </c>
      <c r="Y17" s="17">
        <f t="shared" si="9"/>
        <v>5.4285714285714279</v>
      </c>
      <c r="Z17" s="17">
        <f t="shared" si="9"/>
        <v>6.8571428571428568</v>
      </c>
      <c r="AA17" s="17">
        <f t="shared" si="9"/>
        <v>8.1428571428571423</v>
      </c>
      <c r="AB17" s="17">
        <f t="shared" si="9"/>
        <v>11.428571428571427</v>
      </c>
      <c r="AC17" s="17">
        <f t="shared" si="9"/>
        <v>52.428571428571431</v>
      </c>
      <c r="AD17" s="17">
        <f t="shared" si="9"/>
        <v>0.42857142857142855</v>
      </c>
      <c r="AE17" s="31">
        <f t="shared" si="9"/>
        <v>107.14285714285714</v>
      </c>
      <c r="AF17" s="31">
        <f t="shared" si="9"/>
        <v>159.57142857142858</v>
      </c>
    </row>
    <row r="18" spans="2:32" ht="23.1" customHeight="1" x14ac:dyDescent="0.25">
      <c r="B18" s="23" t="s">
        <v>45</v>
      </c>
      <c r="C18" s="49">
        <f>AVERAGE('27.10 Mbarara-Kabale'!C18,'28.10 Mbarara-Kabale'!C18,'29.10 Mbarara-Kabale'!C18,'30.10 Mbarara-Kabale'!C18,'31.10 Mbarara-Kabale-24hr'!C18,'1.11 Mbarara-Kabale'!C18,'2.11 Mbarara-Kabale-24hr'!C18)</f>
        <v>4.4285714285714288</v>
      </c>
      <c r="D18" s="49">
        <f>AVERAGE('27.10 Mbarara-Kabale'!D18,'28.10 Mbarara-Kabale'!D18,'29.10 Mbarara-Kabale'!D18,'30.10 Mbarara-Kabale'!D18,'31.10 Mbarara-Kabale-24hr'!D18,'1.11 Mbarara-Kabale'!D18,'2.11 Mbarara-Kabale-24hr'!D18)</f>
        <v>3.4285714285714284</v>
      </c>
      <c r="E18" s="49">
        <f>AVERAGE('27.10 Mbarara-Kabale'!E18,'28.10 Mbarara-Kabale'!E18,'29.10 Mbarara-Kabale'!E18,'30.10 Mbarara-Kabale'!E18,'31.10 Mbarara-Kabale-24hr'!E18,'1.11 Mbarara-Kabale'!E18,'2.11 Mbarara-Kabale-24hr'!E18)</f>
        <v>2.1428571428571428</v>
      </c>
      <c r="F18" s="49">
        <f>AVERAGE('27.10 Mbarara-Kabale'!F18,'28.10 Mbarara-Kabale'!F18,'29.10 Mbarara-Kabale'!F18,'30.10 Mbarara-Kabale'!F18,'31.10 Mbarara-Kabale-24hr'!F18,'1.11 Mbarara-Kabale'!F18,'2.11 Mbarara-Kabale-24hr'!F18)</f>
        <v>6.8571428571428568</v>
      </c>
      <c r="G18" s="49">
        <f>AVERAGE('27.10 Mbarara-Kabale'!G18,'28.10 Mbarara-Kabale'!G18,'29.10 Mbarara-Kabale'!G18,'30.10 Mbarara-Kabale'!G18,'31.10 Mbarara-Kabale-24hr'!G18,'1.11 Mbarara-Kabale'!G18,'2.11 Mbarara-Kabale-24hr'!G18)</f>
        <v>0.2857142857142857</v>
      </c>
      <c r="H18" s="49">
        <f>AVERAGE('27.10 Mbarara-Kabale'!H18,'28.10 Mbarara-Kabale'!H18,'29.10 Mbarara-Kabale'!H18,'30.10 Mbarara-Kabale'!H18,'31.10 Mbarara-Kabale-24hr'!H18,'1.11 Mbarara-Kabale'!H18,'2.11 Mbarara-Kabale-24hr'!H18)</f>
        <v>0.5714285714285714</v>
      </c>
      <c r="I18" s="49">
        <f>AVERAGE('27.10 Mbarara-Kabale'!I18,'28.10 Mbarara-Kabale'!I18,'29.10 Mbarara-Kabale'!I18,'30.10 Mbarara-Kabale'!I18,'31.10 Mbarara-Kabale-24hr'!I18,'1.11 Mbarara-Kabale'!I18,'2.11 Mbarara-Kabale-24hr'!I18)</f>
        <v>2</v>
      </c>
      <c r="J18" s="49">
        <f>AVERAGE('27.10 Mbarara-Kabale'!J18,'28.10 Mbarara-Kabale'!J18,'29.10 Mbarara-Kabale'!J18,'30.10 Mbarara-Kabale'!J18,'31.10 Mbarara-Kabale-24hr'!J18,'1.11 Mbarara-Kabale'!J18,'2.11 Mbarara-Kabale-24hr'!J18)</f>
        <v>1.2857142857142858</v>
      </c>
      <c r="K18" s="49">
        <f>AVERAGE('27.10 Mbarara-Kabale'!K18,'28.10 Mbarara-Kabale'!K18,'29.10 Mbarara-Kabale'!K18,'30.10 Mbarara-Kabale'!K18,'31.10 Mbarara-Kabale-24hr'!K18,'1.11 Mbarara-Kabale'!K18,'2.11 Mbarara-Kabale-24hr'!K18)</f>
        <v>1.1428571428571428</v>
      </c>
      <c r="L18" s="49">
        <f>AVERAGE('27.10 Mbarara-Kabale'!L18,'28.10 Mbarara-Kabale'!L18,'29.10 Mbarara-Kabale'!L18,'30.10 Mbarara-Kabale'!L18,'31.10 Mbarara-Kabale-24hr'!L18,'1.11 Mbarara-Kabale'!L18,'2.11 Mbarara-Kabale-24hr'!L18)</f>
        <v>4.5714285714285712</v>
      </c>
      <c r="M18" s="49">
        <f>AVERAGE('27.10 Mbarara-Kabale'!M18,'28.10 Mbarara-Kabale'!M18,'29.10 Mbarara-Kabale'!M18,'30.10 Mbarara-Kabale'!M18,'31.10 Mbarara-Kabale-24hr'!M18,'1.11 Mbarara-Kabale'!M18,'2.11 Mbarara-Kabale-24hr'!M18)</f>
        <v>14.571428571428571</v>
      </c>
      <c r="N18" s="49">
        <f>AVERAGE('27.10 Mbarara-Kabale'!N18,'28.10 Mbarara-Kabale'!N18,'29.10 Mbarara-Kabale'!N18,'30.10 Mbarara-Kabale'!N18,'31.10 Mbarara-Kabale-24hr'!N18,'1.11 Mbarara-Kabale'!N18,'2.11 Mbarara-Kabale-24hr'!N18)</f>
        <v>0</v>
      </c>
      <c r="O18" s="15">
        <f t="shared" si="0"/>
        <v>26.714285714285715</v>
      </c>
      <c r="P18" s="15">
        <f t="shared" si="1"/>
        <v>41.285714285714285</v>
      </c>
      <c r="R18" s="1" t="s">
        <v>14</v>
      </c>
      <c r="S18" s="17">
        <f t="shared" ref="S18:AF18" si="10">SUM(C42:C45)</f>
        <v>29.999999999999996</v>
      </c>
      <c r="T18" s="17">
        <f t="shared" si="10"/>
        <v>11.714285714285715</v>
      </c>
      <c r="U18" s="17">
        <f t="shared" si="10"/>
        <v>10.285714285714286</v>
      </c>
      <c r="V18" s="17">
        <f t="shared" si="10"/>
        <v>22</v>
      </c>
      <c r="W18" s="17">
        <f t="shared" si="10"/>
        <v>1.5714285714285712</v>
      </c>
      <c r="X18" s="17">
        <f t="shared" si="10"/>
        <v>1.857142857142857</v>
      </c>
      <c r="Y18" s="17">
        <f t="shared" si="10"/>
        <v>6.8571428571428568</v>
      </c>
      <c r="Z18" s="17">
        <f t="shared" si="10"/>
        <v>7.1428571428571423</v>
      </c>
      <c r="AA18" s="17">
        <f t="shared" si="10"/>
        <v>8.4285714285714288</v>
      </c>
      <c r="AB18" s="17">
        <f t="shared" si="10"/>
        <v>15.142857142857142</v>
      </c>
      <c r="AC18" s="17">
        <f t="shared" si="10"/>
        <v>53.857142857142861</v>
      </c>
      <c r="AD18" s="17">
        <f t="shared" si="10"/>
        <v>0</v>
      </c>
      <c r="AE18" s="31">
        <f t="shared" si="10"/>
        <v>114.99999999999999</v>
      </c>
      <c r="AF18" s="31">
        <f t="shared" si="10"/>
        <v>168.85714285714286</v>
      </c>
    </row>
    <row r="19" spans="2:32" ht="23.1" customHeight="1" x14ac:dyDescent="0.25">
      <c r="B19" s="23" t="s">
        <v>46</v>
      </c>
      <c r="C19" s="49">
        <f>AVERAGE('27.10 Mbarara-Kabale'!C19,'28.10 Mbarara-Kabale'!C19,'29.10 Mbarara-Kabale'!C19,'30.10 Mbarara-Kabale'!C19,'31.10 Mbarara-Kabale-24hr'!C19,'1.11 Mbarara-Kabale'!C19,'2.11 Mbarara-Kabale-24hr'!C19)</f>
        <v>6.7142857142857144</v>
      </c>
      <c r="D19" s="49">
        <f>AVERAGE('27.10 Mbarara-Kabale'!D19,'28.10 Mbarara-Kabale'!D19,'29.10 Mbarara-Kabale'!D19,'30.10 Mbarara-Kabale'!D19,'31.10 Mbarara-Kabale-24hr'!D19,'1.11 Mbarara-Kabale'!D19,'2.11 Mbarara-Kabale-24hr'!D19)</f>
        <v>2.7142857142857144</v>
      </c>
      <c r="E19" s="49">
        <f>AVERAGE('27.10 Mbarara-Kabale'!E19,'28.10 Mbarara-Kabale'!E19,'29.10 Mbarara-Kabale'!E19,'30.10 Mbarara-Kabale'!E19,'31.10 Mbarara-Kabale-24hr'!E19,'1.11 Mbarara-Kabale'!E19,'2.11 Mbarara-Kabale-24hr'!E19)</f>
        <v>4.4285714285714288</v>
      </c>
      <c r="F19" s="49">
        <f>AVERAGE('27.10 Mbarara-Kabale'!F19,'28.10 Mbarara-Kabale'!F19,'29.10 Mbarara-Kabale'!F19,'30.10 Mbarara-Kabale'!F19,'31.10 Mbarara-Kabale-24hr'!F19,'1.11 Mbarara-Kabale'!F19,'2.11 Mbarara-Kabale-24hr'!F19)</f>
        <v>3.7142857142857144</v>
      </c>
      <c r="G19" s="49">
        <f>AVERAGE('27.10 Mbarara-Kabale'!G19,'28.10 Mbarara-Kabale'!G19,'29.10 Mbarara-Kabale'!G19,'30.10 Mbarara-Kabale'!G19,'31.10 Mbarara-Kabale-24hr'!G19,'1.11 Mbarara-Kabale'!G19,'2.11 Mbarara-Kabale-24hr'!G19)</f>
        <v>0</v>
      </c>
      <c r="H19" s="49">
        <f>AVERAGE('27.10 Mbarara-Kabale'!H19,'28.10 Mbarara-Kabale'!H19,'29.10 Mbarara-Kabale'!H19,'30.10 Mbarara-Kabale'!H19,'31.10 Mbarara-Kabale-24hr'!H19,'1.11 Mbarara-Kabale'!H19,'2.11 Mbarara-Kabale-24hr'!H19)</f>
        <v>0.14285714285714285</v>
      </c>
      <c r="I19" s="49">
        <f>AVERAGE('27.10 Mbarara-Kabale'!I19,'28.10 Mbarara-Kabale'!I19,'29.10 Mbarara-Kabale'!I19,'30.10 Mbarara-Kabale'!I19,'31.10 Mbarara-Kabale-24hr'!I19,'1.11 Mbarara-Kabale'!I19,'2.11 Mbarara-Kabale-24hr'!I19)</f>
        <v>1.4285714285714286</v>
      </c>
      <c r="J19" s="49">
        <f>AVERAGE('27.10 Mbarara-Kabale'!J19,'28.10 Mbarara-Kabale'!J19,'29.10 Mbarara-Kabale'!J19,'30.10 Mbarara-Kabale'!J19,'31.10 Mbarara-Kabale-24hr'!J19,'1.11 Mbarara-Kabale'!J19,'2.11 Mbarara-Kabale-24hr'!J19)</f>
        <v>1.7142857142857142</v>
      </c>
      <c r="K19" s="49">
        <f>AVERAGE('27.10 Mbarara-Kabale'!K19,'28.10 Mbarara-Kabale'!K19,'29.10 Mbarara-Kabale'!K19,'30.10 Mbarara-Kabale'!K19,'31.10 Mbarara-Kabale-24hr'!K19,'1.11 Mbarara-Kabale'!K19,'2.11 Mbarara-Kabale-24hr'!K19)</f>
        <v>0.14285714285714285</v>
      </c>
      <c r="L19" s="49">
        <f>AVERAGE('27.10 Mbarara-Kabale'!L19,'28.10 Mbarara-Kabale'!L19,'29.10 Mbarara-Kabale'!L19,'30.10 Mbarara-Kabale'!L19,'31.10 Mbarara-Kabale-24hr'!L19,'1.11 Mbarara-Kabale'!L19,'2.11 Mbarara-Kabale-24hr'!L19)</f>
        <v>3.2857142857142856</v>
      </c>
      <c r="M19" s="49">
        <f>AVERAGE('27.10 Mbarara-Kabale'!M19,'28.10 Mbarara-Kabale'!M19,'29.10 Mbarara-Kabale'!M19,'30.10 Mbarara-Kabale'!M19,'31.10 Mbarara-Kabale-24hr'!M19,'1.11 Mbarara-Kabale'!M19,'2.11 Mbarara-Kabale-24hr'!M19)</f>
        <v>15</v>
      </c>
      <c r="N19" s="49">
        <f>AVERAGE('27.10 Mbarara-Kabale'!N19,'28.10 Mbarara-Kabale'!N19,'29.10 Mbarara-Kabale'!N19,'30.10 Mbarara-Kabale'!N19,'31.10 Mbarara-Kabale-24hr'!N19,'1.11 Mbarara-Kabale'!N19,'2.11 Mbarara-Kabale-24hr'!N19)</f>
        <v>0.14285714285714285</v>
      </c>
      <c r="O19" s="15">
        <f t="shared" si="0"/>
        <v>24.428571428571427</v>
      </c>
      <c r="P19" s="15">
        <f t="shared" si="1"/>
        <v>39.428571428571431</v>
      </c>
      <c r="R19" s="1" t="s">
        <v>15</v>
      </c>
      <c r="S19" s="17">
        <f t="shared" ref="S19:AF19" si="11">SUM(C46:C49)</f>
        <v>25.571428571428573</v>
      </c>
      <c r="T19" s="17">
        <f t="shared" si="11"/>
        <v>10.428571428571429</v>
      </c>
      <c r="U19" s="17">
        <f t="shared" si="11"/>
        <v>5.7142857142857135</v>
      </c>
      <c r="V19" s="17">
        <f t="shared" si="11"/>
        <v>18.714285714285715</v>
      </c>
      <c r="W19" s="17">
        <f t="shared" si="11"/>
        <v>0.42857142857142855</v>
      </c>
      <c r="X19" s="17">
        <f t="shared" si="11"/>
        <v>3.714285714285714</v>
      </c>
      <c r="Y19" s="17">
        <f t="shared" si="11"/>
        <v>6.4285714285714288</v>
      </c>
      <c r="Z19" s="17">
        <f t="shared" si="11"/>
        <v>5.7142857142857144</v>
      </c>
      <c r="AA19" s="17">
        <f t="shared" si="11"/>
        <v>6</v>
      </c>
      <c r="AB19" s="17">
        <f t="shared" si="11"/>
        <v>11.571428571428571</v>
      </c>
      <c r="AC19" s="17">
        <f t="shared" si="11"/>
        <v>54.714285714285715</v>
      </c>
      <c r="AD19" s="17">
        <f t="shared" si="11"/>
        <v>0</v>
      </c>
      <c r="AE19" s="31">
        <f t="shared" si="11"/>
        <v>94.285714285714278</v>
      </c>
      <c r="AF19" s="31">
        <f t="shared" si="11"/>
        <v>149</v>
      </c>
    </row>
    <row r="20" spans="2:32" ht="23.1" customHeight="1" x14ac:dyDescent="0.25">
      <c r="B20" s="23" t="s">
        <v>47</v>
      </c>
      <c r="C20" s="49">
        <f>AVERAGE('27.10 Mbarara-Kabale'!C20,'28.10 Mbarara-Kabale'!C20,'29.10 Mbarara-Kabale'!C20,'30.10 Mbarara-Kabale'!C20,'31.10 Mbarara-Kabale-24hr'!C20,'1.11 Mbarara-Kabale'!C20,'2.11 Mbarara-Kabale-24hr'!C20)</f>
        <v>8.1428571428571423</v>
      </c>
      <c r="D20" s="49">
        <f>AVERAGE('27.10 Mbarara-Kabale'!D20,'28.10 Mbarara-Kabale'!D20,'29.10 Mbarara-Kabale'!D20,'30.10 Mbarara-Kabale'!D20,'31.10 Mbarara-Kabale-24hr'!D20,'1.11 Mbarara-Kabale'!D20,'2.11 Mbarara-Kabale-24hr'!D20)</f>
        <v>2.1428571428571428</v>
      </c>
      <c r="E20" s="49">
        <f>AVERAGE('27.10 Mbarara-Kabale'!E20,'28.10 Mbarara-Kabale'!E20,'29.10 Mbarara-Kabale'!E20,'30.10 Mbarara-Kabale'!E20,'31.10 Mbarara-Kabale-24hr'!E20,'1.11 Mbarara-Kabale'!E20,'2.11 Mbarara-Kabale-24hr'!E20)</f>
        <v>1.5714285714285714</v>
      </c>
      <c r="F20" s="49">
        <f>AVERAGE('27.10 Mbarara-Kabale'!F20,'28.10 Mbarara-Kabale'!F20,'29.10 Mbarara-Kabale'!F20,'30.10 Mbarara-Kabale'!F20,'31.10 Mbarara-Kabale-24hr'!F20,'1.11 Mbarara-Kabale'!F20,'2.11 Mbarara-Kabale-24hr'!F20)</f>
        <v>5.1428571428571432</v>
      </c>
      <c r="G20" s="49">
        <f>AVERAGE('27.10 Mbarara-Kabale'!G20,'28.10 Mbarara-Kabale'!G20,'29.10 Mbarara-Kabale'!G20,'30.10 Mbarara-Kabale'!G20,'31.10 Mbarara-Kabale-24hr'!G20,'1.11 Mbarara-Kabale'!G20,'2.11 Mbarara-Kabale-24hr'!G20)</f>
        <v>0</v>
      </c>
      <c r="H20" s="49">
        <f>AVERAGE('27.10 Mbarara-Kabale'!H20,'28.10 Mbarara-Kabale'!H20,'29.10 Mbarara-Kabale'!H20,'30.10 Mbarara-Kabale'!H20,'31.10 Mbarara-Kabale-24hr'!H20,'1.11 Mbarara-Kabale'!H20,'2.11 Mbarara-Kabale-24hr'!H20)</f>
        <v>0.5714285714285714</v>
      </c>
      <c r="I20" s="49">
        <f>AVERAGE('27.10 Mbarara-Kabale'!I20,'28.10 Mbarara-Kabale'!I20,'29.10 Mbarara-Kabale'!I20,'30.10 Mbarara-Kabale'!I20,'31.10 Mbarara-Kabale-24hr'!I20,'1.11 Mbarara-Kabale'!I20,'2.11 Mbarara-Kabale-24hr'!I20)</f>
        <v>2.5714285714285716</v>
      </c>
      <c r="J20" s="49">
        <f>AVERAGE('27.10 Mbarara-Kabale'!J20,'28.10 Mbarara-Kabale'!J20,'29.10 Mbarara-Kabale'!J20,'30.10 Mbarara-Kabale'!J20,'31.10 Mbarara-Kabale-24hr'!J20,'1.11 Mbarara-Kabale'!J20,'2.11 Mbarara-Kabale-24hr'!J20)</f>
        <v>1.4285714285714286</v>
      </c>
      <c r="K20" s="49">
        <f>AVERAGE('27.10 Mbarara-Kabale'!K20,'28.10 Mbarara-Kabale'!K20,'29.10 Mbarara-Kabale'!K20,'30.10 Mbarara-Kabale'!K20,'31.10 Mbarara-Kabale-24hr'!K20,'1.11 Mbarara-Kabale'!K20,'2.11 Mbarara-Kabale-24hr'!K20)</f>
        <v>1.2857142857142858</v>
      </c>
      <c r="L20" s="49">
        <f>AVERAGE('27.10 Mbarara-Kabale'!L20,'28.10 Mbarara-Kabale'!L20,'29.10 Mbarara-Kabale'!L20,'30.10 Mbarara-Kabale'!L20,'31.10 Mbarara-Kabale-24hr'!L20,'1.11 Mbarara-Kabale'!L20,'2.11 Mbarara-Kabale-24hr'!L20)</f>
        <v>4</v>
      </c>
      <c r="M20" s="49">
        <f>AVERAGE('27.10 Mbarara-Kabale'!M20,'28.10 Mbarara-Kabale'!M20,'29.10 Mbarara-Kabale'!M20,'30.10 Mbarara-Kabale'!M20,'31.10 Mbarara-Kabale-24hr'!M20,'1.11 Mbarara-Kabale'!M20,'2.11 Mbarara-Kabale-24hr'!M20)</f>
        <v>17.142857142857142</v>
      </c>
      <c r="N20" s="49">
        <f>AVERAGE('27.10 Mbarara-Kabale'!N20,'28.10 Mbarara-Kabale'!N20,'29.10 Mbarara-Kabale'!N20,'30.10 Mbarara-Kabale'!N20,'31.10 Mbarara-Kabale-24hr'!N20,'1.11 Mbarara-Kabale'!N20,'2.11 Mbarara-Kabale-24hr'!N20)</f>
        <v>0</v>
      </c>
      <c r="O20" s="15">
        <f t="shared" si="0"/>
        <v>26.857142857142858</v>
      </c>
      <c r="P20" s="15">
        <f t="shared" si="1"/>
        <v>44</v>
      </c>
      <c r="R20" s="1" t="s">
        <v>16</v>
      </c>
      <c r="S20" s="17">
        <f t="shared" ref="S20:AF20" si="12">SUM(C50:C53)</f>
        <v>24.857142857142854</v>
      </c>
      <c r="T20" s="17">
        <f t="shared" si="12"/>
        <v>12</v>
      </c>
      <c r="U20" s="17">
        <f t="shared" si="12"/>
        <v>9.8571428571428577</v>
      </c>
      <c r="V20" s="17">
        <f t="shared" si="12"/>
        <v>17.428571428571431</v>
      </c>
      <c r="W20" s="17">
        <f t="shared" si="12"/>
        <v>1.2857142857142856</v>
      </c>
      <c r="X20" s="17">
        <f t="shared" si="12"/>
        <v>0.71428571428571419</v>
      </c>
      <c r="Y20" s="17">
        <f t="shared" si="12"/>
        <v>6.2857142857142856</v>
      </c>
      <c r="Z20" s="17">
        <f t="shared" si="12"/>
        <v>2.714285714285714</v>
      </c>
      <c r="AA20" s="17">
        <f t="shared" si="12"/>
        <v>8.5714285714285712</v>
      </c>
      <c r="AB20" s="17">
        <f t="shared" si="12"/>
        <v>14.571428571428569</v>
      </c>
      <c r="AC20" s="17">
        <f t="shared" si="12"/>
        <v>57</v>
      </c>
      <c r="AD20" s="17">
        <f t="shared" si="12"/>
        <v>0</v>
      </c>
      <c r="AE20" s="31">
        <f t="shared" si="12"/>
        <v>98.285714285714278</v>
      </c>
      <c r="AF20" s="31">
        <f t="shared" si="12"/>
        <v>155.28571428571431</v>
      </c>
    </row>
    <row r="21" spans="2:32" ht="23.1" customHeight="1" x14ac:dyDescent="0.25">
      <c r="B21" s="23" t="s">
        <v>48</v>
      </c>
      <c r="C21" s="49">
        <f>AVERAGE('27.10 Mbarara-Kabale'!C21,'28.10 Mbarara-Kabale'!C21,'29.10 Mbarara-Kabale'!C21,'30.10 Mbarara-Kabale'!C21,'31.10 Mbarara-Kabale-24hr'!C21,'1.11 Mbarara-Kabale'!C21,'2.11 Mbarara-Kabale-24hr'!C21)</f>
        <v>5.4285714285714288</v>
      </c>
      <c r="D21" s="49">
        <f>AVERAGE('27.10 Mbarara-Kabale'!D21,'28.10 Mbarara-Kabale'!D21,'29.10 Mbarara-Kabale'!D21,'30.10 Mbarara-Kabale'!D21,'31.10 Mbarara-Kabale-24hr'!D21,'1.11 Mbarara-Kabale'!D21,'2.11 Mbarara-Kabale-24hr'!D21)</f>
        <v>1</v>
      </c>
      <c r="E21" s="49">
        <f>AVERAGE('27.10 Mbarara-Kabale'!E21,'28.10 Mbarara-Kabale'!E21,'29.10 Mbarara-Kabale'!E21,'30.10 Mbarara-Kabale'!E21,'31.10 Mbarara-Kabale-24hr'!E21,'1.11 Mbarara-Kabale'!E21,'2.11 Mbarara-Kabale-24hr'!E21)</f>
        <v>1.1428571428571428</v>
      </c>
      <c r="F21" s="49">
        <f>AVERAGE('27.10 Mbarara-Kabale'!F21,'28.10 Mbarara-Kabale'!F21,'29.10 Mbarara-Kabale'!F21,'30.10 Mbarara-Kabale'!F21,'31.10 Mbarara-Kabale-24hr'!F21,'1.11 Mbarara-Kabale'!F21,'2.11 Mbarara-Kabale-24hr'!F21)</f>
        <v>4.5714285714285712</v>
      </c>
      <c r="G21" s="49">
        <f>AVERAGE('27.10 Mbarara-Kabale'!G21,'28.10 Mbarara-Kabale'!G21,'29.10 Mbarara-Kabale'!G21,'30.10 Mbarara-Kabale'!G21,'31.10 Mbarara-Kabale-24hr'!G21,'1.11 Mbarara-Kabale'!G21,'2.11 Mbarara-Kabale-24hr'!G21)</f>
        <v>0</v>
      </c>
      <c r="H21" s="49">
        <f>AVERAGE('27.10 Mbarara-Kabale'!H21,'28.10 Mbarara-Kabale'!H21,'29.10 Mbarara-Kabale'!H21,'30.10 Mbarara-Kabale'!H21,'31.10 Mbarara-Kabale-24hr'!H21,'1.11 Mbarara-Kabale'!H21,'2.11 Mbarara-Kabale-24hr'!H21)</f>
        <v>0.5714285714285714</v>
      </c>
      <c r="I21" s="49">
        <f>AVERAGE('27.10 Mbarara-Kabale'!I21,'28.10 Mbarara-Kabale'!I21,'29.10 Mbarara-Kabale'!I21,'30.10 Mbarara-Kabale'!I21,'31.10 Mbarara-Kabale-24hr'!I21,'1.11 Mbarara-Kabale'!I21,'2.11 Mbarara-Kabale-24hr'!I21)</f>
        <v>1.4285714285714286</v>
      </c>
      <c r="J21" s="49">
        <f>AVERAGE('27.10 Mbarara-Kabale'!J21,'28.10 Mbarara-Kabale'!J21,'29.10 Mbarara-Kabale'!J21,'30.10 Mbarara-Kabale'!J21,'31.10 Mbarara-Kabale-24hr'!J21,'1.11 Mbarara-Kabale'!J21,'2.11 Mbarara-Kabale-24hr'!J21)</f>
        <v>1.1428571428571428</v>
      </c>
      <c r="K21" s="49">
        <f>AVERAGE('27.10 Mbarara-Kabale'!K21,'28.10 Mbarara-Kabale'!K21,'29.10 Mbarara-Kabale'!K21,'30.10 Mbarara-Kabale'!K21,'31.10 Mbarara-Kabale-24hr'!K21,'1.11 Mbarara-Kabale'!K21,'2.11 Mbarara-Kabale-24hr'!K21)</f>
        <v>1.1428571428571428</v>
      </c>
      <c r="L21" s="49">
        <f>AVERAGE('27.10 Mbarara-Kabale'!L21,'28.10 Mbarara-Kabale'!L21,'29.10 Mbarara-Kabale'!L21,'30.10 Mbarara-Kabale'!L21,'31.10 Mbarara-Kabale-24hr'!L21,'1.11 Mbarara-Kabale'!L21,'2.11 Mbarara-Kabale-24hr'!L21)</f>
        <v>1.7142857142857142</v>
      </c>
      <c r="M21" s="49">
        <f>AVERAGE('27.10 Mbarara-Kabale'!M21,'28.10 Mbarara-Kabale'!M21,'29.10 Mbarara-Kabale'!M21,'30.10 Mbarara-Kabale'!M21,'31.10 Mbarara-Kabale-24hr'!M21,'1.11 Mbarara-Kabale'!M21,'2.11 Mbarara-Kabale-24hr'!M21)</f>
        <v>20.571428571428573</v>
      </c>
      <c r="N21" s="49">
        <f>AVERAGE('27.10 Mbarara-Kabale'!N21,'28.10 Mbarara-Kabale'!N21,'29.10 Mbarara-Kabale'!N21,'30.10 Mbarara-Kabale'!N21,'31.10 Mbarara-Kabale-24hr'!N21,'1.11 Mbarara-Kabale'!N21,'2.11 Mbarara-Kabale-24hr'!N21)</f>
        <v>0</v>
      </c>
      <c r="O21" s="15">
        <f t="shared" si="0"/>
        <v>18.142857142857142</v>
      </c>
      <c r="P21" s="15">
        <f t="shared" si="1"/>
        <v>38.714285714285715</v>
      </c>
      <c r="R21" s="36" t="s">
        <v>20</v>
      </c>
      <c r="S21" s="34">
        <f t="shared" ref="S21:AF21" si="13">SUM(C54:C57)</f>
        <v>24.571428571428573</v>
      </c>
      <c r="T21" s="17">
        <f t="shared" si="13"/>
        <v>9.2857142857142847</v>
      </c>
      <c r="U21" s="17">
        <f t="shared" si="13"/>
        <v>8.2857142857142847</v>
      </c>
      <c r="V21" s="17">
        <f t="shared" si="13"/>
        <v>15</v>
      </c>
      <c r="W21" s="17">
        <f t="shared" si="13"/>
        <v>1.5714285714285712</v>
      </c>
      <c r="X21" s="17">
        <f t="shared" si="13"/>
        <v>2.1428571428571428</v>
      </c>
      <c r="Y21" s="17">
        <f t="shared" si="13"/>
        <v>4.7142857142857135</v>
      </c>
      <c r="Z21" s="17">
        <f t="shared" si="13"/>
        <v>6.4285714285714288</v>
      </c>
      <c r="AA21" s="17">
        <f t="shared" si="13"/>
        <v>10.142857142857142</v>
      </c>
      <c r="AB21" s="17">
        <f t="shared" si="13"/>
        <v>8.5714285714285712</v>
      </c>
      <c r="AC21" s="17">
        <f t="shared" si="13"/>
        <v>57.714285714285715</v>
      </c>
      <c r="AD21" s="17">
        <f t="shared" si="13"/>
        <v>0</v>
      </c>
      <c r="AE21" s="31">
        <f t="shared" si="13"/>
        <v>90.714285714285708</v>
      </c>
      <c r="AF21" s="31">
        <f t="shared" si="13"/>
        <v>148.42857142857144</v>
      </c>
    </row>
    <row r="22" spans="2:32" ht="23.1" customHeight="1" x14ac:dyDescent="0.25">
      <c r="B22" s="23" t="s">
        <v>49</v>
      </c>
      <c r="C22" s="49">
        <f>AVERAGE('27.10 Mbarara-Kabale'!C22,'28.10 Mbarara-Kabale'!C22,'29.10 Mbarara-Kabale'!C22,'30.10 Mbarara-Kabale'!C22,'31.10 Mbarara-Kabale-24hr'!C22,'1.11 Mbarara-Kabale'!C22,'2.11 Mbarara-Kabale-24hr'!C22)</f>
        <v>6</v>
      </c>
      <c r="D22" s="49">
        <f>AVERAGE('27.10 Mbarara-Kabale'!D22,'28.10 Mbarara-Kabale'!D22,'29.10 Mbarara-Kabale'!D22,'30.10 Mbarara-Kabale'!D22,'31.10 Mbarara-Kabale-24hr'!D22,'1.11 Mbarara-Kabale'!D22,'2.11 Mbarara-Kabale-24hr'!D22)</f>
        <v>1.5714285714285714</v>
      </c>
      <c r="E22" s="49">
        <f>AVERAGE('27.10 Mbarara-Kabale'!E22,'28.10 Mbarara-Kabale'!E22,'29.10 Mbarara-Kabale'!E22,'30.10 Mbarara-Kabale'!E22,'31.10 Mbarara-Kabale-24hr'!E22,'1.11 Mbarara-Kabale'!E22,'2.11 Mbarara-Kabale-24hr'!E22)</f>
        <v>2.1428571428571428</v>
      </c>
      <c r="F22" s="49">
        <f>AVERAGE('27.10 Mbarara-Kabale'!F22,'28.10 Mbarara-Kabale'!F22,'29.10 Mbarara-Kabale'!F22,'30.10 Mbarara-Kabale'!F22,'31.10 Mbarara-Kabale-24hr'!F22,'1.11 Mbarara-Kabale'!F22,'2.11 Mbarara-Kabale-24hr'!F22)</f>
        <v>5.5714285714285712</v>
      </c>
      <c r="G22" s="49">
        <f>AVERAGE('27.10 Mbarara-Kabale'!G22,'28.10 Mbarara-Kabale'!G22,'29.10 Mbarara-Kabale'!G22,'30.10 Mbarara-Kabale'!G22,'31.10 Mbarara-Kabale-24hr'!G22,'1.11 Mbarara-Kabale'!G22,'2.11 Mbarara-Kabale-24hr'!G22)</f>
        <v>0.2857142857142857</v>
      </c>
      <c r="H22" s="49">
        <f>AVERAGE('27.10 Mbarara-Kabale'!H22,'28.10 Mbarara-Kabale'!H22,'29.10 Mbarara-Kabale'!H22,'30.10 Mbarara-Kabale'!H22,'31.10 Mbarara-Kabale-24hr'!H22,'1.11 Mbarara-Kabale'!H22,'2.11 Mbarara-Kabale-24hr'!H22)</f>
        <v>0</v>
      </c>
      <c r="I22" s="49">
        <f>AVERAGE('27.10 Mbarara-Kabale'!I22,'28.10 Mbarara-Kabale'!I22,'29.10 Mbarara-Kabale'!I22,'30.10 Mbarara-Kabale'!I22,'31.10 Mbarara-Kabale-24hr'!I22,'1.11 Mbarara-Kabale'!I22,'2.11 Mbarara-Kabale-24hr'!I22)</f>
        <v>2</v>
      </c>
      <c r="J22" s="49">
        <f>AVERAGE('27.10 Mbarara-Kabale'!J22,'28.10 Mbarara-Kabale'!J22,'29.10 Mbarara-Kabale'!J22,'30.10 Mbarara-Kabale'!J22,'31.10 Mbarara-Kabale-24hr'!J22,'1.11 Mbarara-Kabale'!J22,'2.11 Mbarara-Kabale-24hr'!J22)</f>
        <v>0.8571428571428571</v>
      </c>
      <c r="K22" s="49">
        <f>AVERAGE('27.10 Mbarara-Kabale'!K22,'28.10 Mbarara-Kabale'!K22,'29.10 Mbarara-Kabale'!K22,'30.10 Mbarara-Kabale'!K22,'31.10 Mbarara-Kabale-24hr'!K22,'1.11 Mbarara-Kabale'!K22,'2.11 Mbarara-Kabale-24hr'!K22)</f>
        <v>2.2857142857142856</v>
      </c>
      <c r="L22" s="49">
        <f>AVERAGE('27.10 Mbarara-Kabale'!L22,'28.10 Mbarara-Kabale'!L22,'29.10 Mbarara-Kabale'!L22,'30.10 Mbarara-Kabale'!L22,'31.10 Mbarara-Kabale-24hr'!L22,'1.11 Mbarara-Kabale'!L22,'2.11 Mbarara-Kabale-24hr'!L22)</f>
        <v>2</v>
      </c>
      <c r="M22" s="49">
        <f>AVERAGE('27.10 Mbarara-Kabale'!M22,'28.10 Mbarara-Kabale'!M22,'29.10 Mbarara-Kabale'!M22,'30.10 Mbarara-Kabale'!M22,'31.10 Mbarara-Kabale-24hr'!M22,'1.11 Mbarara-Kabale'!M22,'2.11 Mbarara-Kabale-24hr'!M22)</f>
        <v>14.428571428571429</v>
      </c>
      <c r="N22" s="49">
        <f>AVERAGE('27.10 Mbarara-Kabale'!N22,'28.10 Mbarara-Kabale'!N22,'29.10 Mbarara-Kabale'!N22,'30.10 Mbarara-Kabale'!N22,'31.10 Mbarara-Kabale-24hr'!N22,'1.11 Mbarara-Kabale'!N22,'2.11 Mbarara-Kabale-24hr'!N22)</f>
        <v>0</v>
      </c>
      <c r="O22" s="15">
        <f t="shared" si="0"/>
        <v>22.714285714285712</v>
      </c>
      <c r="P22" s="15">
        <f t="shared" si="1"/>
        <v>37.142857142857139</v>
      </c>
      <c r="R22" s="1" t="s">
        <v>146</v>
      </c>
      <c r="S22" s="34">
        <f>SUM(C58:C61)</f>
        <v>37.5</v>
      </c>
      <c r="T22" s="34">
        <f t="shared" ref="T22:AF22" si="14">SUM(D58:D61)</f>
        <v>14.5</v>
      </c>
      <c r="U22" s="34">
        <f t="shared" si="14"/>
        <v>13.5</v>
      </c>
      <c r="V22" s="34">
        <f t="shared" si="14"/>
        <v>37.5</v>
      </c>
      <c r="W22" s="34">
        <f t="shared" si="14"/>
        <v>3</v>
      </c>
      <c r="X22" s="34">
        <f t="shared" si="14"/>
        <v>0.5</v>
      </c>
      <c r="Y22" s="34">
        <f t="shared" si="14"/>
        <v>8</v>
      </c>
      <c r="Z22" s="34">
        <f t="shared" si="14"/>
        <v>13</v>
      </c>
      <c r="AA22" s="34">
        <f t="shared" si="14"/>
        <v>15</v>
      </c>
      <c r="AB22" s="34">
        <f t="shared" si="14"/>
        <v>23.5</v>
      </c>
      <c r="AC22" s="34">
        <f t="shared" si="14"/>
        <v>43</v>
      </c>
      <c r="AD22" s="34">
        <f t="shared" si="14"/>
        <v>0</v>
      </c>
      <c r="AE22" s="31">
        <f t="shared" si="14"/>
        <v>166</v>
      </c>
      <c r="AF22" s="31">
        <f t="shared" si="14"/>
        <v>209</v>
      </c>
    </row>
    <row r="23" spans="2:32" ht="23.1" customHeight="1" x14ac:dyDescent="0.25">
      <c r="B23" s="23" t="s">
        <v>50</v>
      </c>
      <c r="C23" s="49">
        <f>AVERAGE('27.10 Mbarara-Kabale'!C23,'28.10 Mbarara-Kabale'!C23,'29.10 Mbarara-Kabale'!C23,'30.10 Mbarara-Kabale'!C23,'31.10 Mbarara-Kabale-24hr'!C23,'1.11 Mbarara-Kabale'!C23,'2.11 Mbarara-Kabale-24hr'!C23)</f>
        <v>7.5714285714285712</v>
      </c>
      <c r="D23" s="49">
        <f>AVERAGE('27.10 Mbarara-Kabale'!D23,'28.10 Mbarara-Kabale'!D23,'29.10 Mbarara-Kabale'!D23,'30.10 Mbarara-Kabale'!D23,'31.10 Mbarara-Kabale-24hr'!D23,'1.11 Mbarara-Kabale'!D23,'2.11 Mbarara-Kabale-24hr'!D23)</f>
        <v>1.4285714285714286</v>
      </c>
      <c r="E23" s="49">
        <f>AVERAGE('27.10 Mbarara-Kabale'!E23,'28.10 Mbarara-Kabale'!E23,'29.10 Mbarara-Kabale'!E23,'30.10 Mbarara-Kabale'!E23,'31.10 Mbarara-Kabale-24hr'!E23,'1.11 Mbarara-Kabale'!E23,'2.11 Mbarara-Kabale-24hr'!E23)</f>
        <v>2.5714285714285716</v>
      </c>
      <c r="F23" s="49">
        <f>AVERAGE('27.10 Mbarara-Kabale'!F23,'28.10 Mbarara-Kabale'!F23,'29.10 Mbarara-Kabale'!F23,'30.10 Mbarara-Kabale'!F23,'31.10 Mbarara-Kabale-24hr'!F23,'1.11 Mbarara-Kabale'!F23,'2.11 Mbarara-Kabale-24hr'!F23)</f>
        <v>4.2857142857142856</v>
      </c>
      <c r="G23" s="49">
        <f>AVERAGE('27.10 Mbarara-Kabale'!G23,'28.10 Mbarara-Kabale'!G23,'29.10 Mbarara-Kabale'!G23,'30.10 Mbarara-Kabale'!G23,'31.10 Mbarara-Kabale-24hr'!G23,'1.11 Mbarara-Kabale'!G23,'2.11 Mbarara-Kabale-24hr'!G23)</f>
        <v>0</v>
      </c>
      <c r="H23" s="49">
        <f>AVERAGE('27.10 Mbarara-Kabale'!H23,'28.10 Mbarara-Kabale'!H23,'29.10 Mbarara-Kabale'!H23,'30.10 Mbarara-Kabale'!H23,'31.10 Mbarara-Kabale-24hr'!H23,'1.11 Mbarara-Kabale'!H23,'2.11 Mbarara-Kabale-24hr'!H23)</f>
        <v>0.14285714285714285</v>
      </c>
      <c r="I23" s="49">
        <f>AVERAGE('27.10 Mbarara-Kabale'!I23,'28.10 Mbarara-Kabale'!I23,'29.10 Mbarara-Kabale'!I23,'30.10 Mbarara-Kabale'!I23,'31.10 Mbarara-Kabale-24hr'!I23,'1.11 Mbarara-Kabale'!I23,'2.11 Mbarara-Kabale-24hr'!I23)</f>
        <v>2.4285714285714284</v>
      </c>
      <c r="J23" s="49">
        <f>AVERAGE('27.10 Mbarara-Kabale'!J23,'28.10 Mbarara-Kabale'!J23,'29.10 Mbarara-Kabale'!J23,'30.10 Mbarara-Kabale'!J23,'31.10 Mbarara-Kabale-24hr'!J23,'1.11 Mbarara-Kabale'!J23,'2.11 Mbarara-Kabale-24hr'!J23)</f>
        <v>1.4285714285714286</v>
      </c>
      <c r="K23" s="49">
        <f>AVERAGE('27.10 Mbarara-Kabale'!K23,'28.10 Mbarara-Kabale'!K23,'29.10 Mbarara-Kabale'!K23,'30.10 Mbarara-Kabale'!K23,'31.10 Mbarara-Kabale-24hr'!K23,'1.11 Mbarara-Kabale'!K23,'2.11 Mbarara-Kabale-24hr'!K23)</f>
        <v>0.5714285714285714</v>
      </c>
      <c r="L23" s="49">
        <f>AVERAGE('27.10 Mbarara-Kabale'!L23,'28.10 Mbarara-Kabale'!L23,'29.10 Mbarara-Kabale'!L23,'30.10 Mbarara-Kabale'!L23,'31.10 Mbarara-Kabale-24hr'!L23,'1.11 Mbarara-Kabale'!L23,'2.11 Mbarara-Kabale-24hr'!L23)</f>
        <v>1.8571428571428572</v>
      </c>
      <c r="M23" s="49">
        <f>AVERAGE('27.10 Mbarara-Kabale'!M23,'28.10 Mbarara-Kabale'!M23,'29.10 Mbarara-Kabale'!M23,'30.10 Mbarara-Kabale'!M23,'31.10 Mbarara-Kabale-24hr'!M23,'1.11 Mbarara-Kabale'!M23,'2.11 Mbarara-Kabale-24hr'!M23)</f>
        <v>17.285714285714285</v>
      </c>
      <c r="N23" s="49">
        <f>AVERAGE('27.10 Mbarara-Kabale'!N23,'28.10 Mbarara-Kabale'!N23,'29.10 Mbarara-Kabale'!N23,'30.10 Mbarara-Kabale'!N23,'31.10 Mbarara-Kabale-24hr'!N23,'1.11 Mbarara-Kabale'!N23,'2.11 Mbarara-Kabale-24hr'!N23)</f>
        <v>0</v>
      </c>
      <c r="O23" s="15">
        <f t="shared" si="0"/>
        <v>22.285714285714285</v>
      </c>
      <c r="P23" s="15">
        <f t="shared" si="1"/>
        <v>39.571428571428569</v>
      </c>
      <c r="R23" s="1" t="s">
        <v>147</v>
      </c>
      <c r="S23" s="34">
        <f>SUM(C62:C65)</f>
        <v>25</v>
      </c>
      <c r="T23" s="34">
        <f t="shared" ref="T23:AF23" si="15">SUM(D62:D65)</f>
        <v>14.5</v>
      </c>
      <c r="U23" s="34">
        <f t="shared" si="15"/>
        <v>7</v>
      </c>
      <c r="V23" s="34">
        <f t="shared" si="15"/>
        <v>18</v>
      </c>
      <c r="W23" s="34">
        <f t="shared" si="15"/>
        <v>2</v>
      </c>
      <c r="X23" s="34">
        <f t="shared" si="15"/>
        <v>0</v>
      </c>
      <c r="Y23" s="34">
        <f t="shared" si="15"/>
        <v>3.5</v>
      </c>
      <c r="Z23" s="34">
        <f t="shared" si="15"/>
        <v>5</v>
      </c>
      <c r="AA23" s="34">
        <f t="shared" si="15"/>
        <v>5.5</v>
      </c>
      <c r="AB23" s="34">
        <f t="shared" si="15"/>
        <v>8</v>
      </c>
      <c r="AC23" s="34">
        <f t="shared" si="15"/>
        <v>24.5</v>
      </c>
      <c r="AD23" s="34">
        <f t="shared" si="15"/>
        <v>0</v>
      </c>
      <c r="AE23" s="31">
        <f t="shared" si="15"/>
        <v>88.5</v>
      </c>
      <c r="AF23" s="31">
        <f t="shared" si="15"/>
        <v>113</v>
      </c>
    </row>
    <row r="24" spans="2:32" ht="23.1" customHeight="1" x14ac:dyDescent="0.25">
      <c r="B24" s="23" t="s">
        <v>51</v>
      </c>
      <c r="C24" s="49">
        <f>AVERAGE('27.10 Mbarara-Kabale'!C24,'28.10 Mbarara-Kabale'!C24,'29.10 Mbarara-Kabale'!C24,'30.10 Mbarara-Kabale'!C24,'31.10 Mbarara-Kabale-24hr'!C24,'1.11 Mbarara-Kabale'!C24,'2.11 Mbarara-Kabale-24hr'!C24)</f>
        <v>9.7142857142857135</v>
      </c>
      <c r="D24" s="49">
        <f>AVERAGE('27.10 Mbarara-Kabale'!D24,'28.10 Mbarara-Kabale'!D24,'29.10 Mbarara-Kabale'!D24,'30.10 Mbarara-Kabale'!D24,'31.10 Mbarara-Kabale-24hr'!D24,'1.11 Mbarara-Kabale'!D24,'2.11 Mbarara-Kabale-24hr'!D24)</f>
        <v>4</v>
      </c>
      <c r="E24" s="49">
        <f>AVERAGE('27.10 Mbarara-Kabale'!E24,'28.10 Mbarara-Kabale'!E24,'29.10 Mbarara-Kabale'!E24,'30.10 Mbarara-Kabale'!E24,'31.10 Mbarara-Kabale-24hr'!E24,'1.11 Mbarara-Kabale'!E24,'2.11 Mbarara-Kabale-24hr'!E24)</f>
        <v>0.7142857142857143</v>
      </c>
      <c r="F24" s="49">
        <f>AVERAGE('27.10 Mbarara-Kabale'!F24,'28.10 Mbarara-Kabale'!F24,'29.10 Mbarara-Kabale'!F24,'30.10 Mbarara-Kabale'!F24,'31.10 Mbarara-Kabale-24hr'!F24,'1.11 Mbarara-Kabale'!F24,'2.11 Mbarara-Kabale-24hr'!F24)</f>
        <v>4.4285714285714288</v>
      </c>
      <c r="G24" s="49">
        <f>AVERAGE('27.10 Mbarara-Kabale'!G24,'28.10 Mbarara-Kabale'!G24,'29.10 Mbarara-Kabale'!G24,'30.10 Mbarara-Kabale'!G24,'31.10 Mbarara-Kabale-24hr'!G24,'1.11 Mbarara-Kabale'!G24,'2.11 Mbarara-Kabale-24hr'!G24)</f>
        <v>0.2857142857142857</v>
      </c>
      <c r="H24" s="49">
        <f>AVERAGE('27.10 Mbarara-Kabale'!H24,'28.10 Mbarara-Kabale'!H24,'29.10 Mbarara-Kabale'!H24,'30.10 Mbarara-Kabale'!H24,'31.10 Mbarara-Kabale-24hr'!H24,'1.11 Mbarara-Kabale'!H24,'2.11 Mbarara-Kabale-24hr'!H24)</f>
        <v>0.7142857142857143</v>
      </c>
      <c r="I24" s="49">
        <f>AVERAGE('27.10 Mbarara-Kabale'!I24,'28.10 Mbarara-Kabale'!I24,'29.10 Mbarara-Kabale'!I24,'30.10 Mbarara-Kabale'!I24,'31.10 Mbarara-Kabale-24hr'!I24,'1.11 Mbarara-Kabale'!I24,'2.11 Mbarara-Kabale-24hr'!I24)</f>
        <v>3</v>
      </c>
      <c r="J24" s="49">
        <f>AVERAGE('27.10 Mbarara-Kabale'!J24,'28.10 Mbarara-Kabale'!J24,'29.10 Mbarara-Kabale'!J24,'30.10 Mbarara-Kabale'!J24,'31.10 Mbarara-Kabale-24hr'!J24,'1.11 Mbarara-Kabale'!J24,'2.11 Mbarara-Kabale-24hr'!J24)</f>
        <v>2.2857142857142856</v>
      </c>
      <c r="K24" s="49">
        <f>AVERAGE('27.10 Mbarara-Kabale'!K24,'28.10 Mbarara-Kabale'!K24,'29.10 Mbarara-Kabale'!K24,'30.10 Mbarara-Kabale'!K24,'31.10 Mbarara-Kabale-24hr'!K24,'1.11 Mbarara-Kabale'!K24,'2.11 Mbarara-Kabale-24hr'!K24)</f>
        <v>1.2857142857142858</v>
      </c>
      <c r="L24" s="49">
        <f>AVERAGE('27.10 Mbarara-Kabale'!L24,'28.10 Mbarara-Kabale'!L24,'29.10 Mbarara-Kabale'!L24,'30.10 Mbarara-Kabale'!L24,'31.10 Mbarara-Kabale-24hr'!L24,'1.11 Mbarara-Kabale'!L24,'2.11 Mbarara-Kabale-24hr'!L24)</f>
        <v>1.8571428571428572</v>
      </c>
      <c r="M24" s="49">
        <f>AVERAGE('27.10 Mbarara-Kabale'!M24,'28.10 Mbarara-Kabale'!M24,'29.10 Mbarara-Kabale'!M24,'30.10 Mbarara-Kabale'!M24,'31.10 Mbarara-Kabale-24hr'!M24,'1.11 Mbarara-Kabale'!M24,'2.11 Mbarara-Kabale-24hr'!M24)</f>
        <v>16.857142857142858</v>
      </c>
      <c r="N24" s="49">
        <f>AVERAGE('27.10 Mbarara-Kabale'!N24,'28.10 Mbarara-Kabale'!N24,'29.10 Mbarara-Kabale'!N24,'30.10 Mbarara-Kabale'!N24,'31.10 Mbarara-Kabale-24hr'!N24,'1.11 Mbarara-Kabale'!N24,'2.11 Mbarara-Kabale-24hr'!N24)</f>
        <v>0</v>
      </c>
      <c r="O24" s="15">
        <f t="shared" si="0"/>
        <v>28.285714285714281</v>
      </c>
      <c r="P24" s="15">
        <f t="shared" si="1"/>
        <v>45.142857142857139</v>
      </c>
      <c r="R24" s="1" t="s">
        <v>148</v>
      </c>
      <c r="S24" s="34">
        <f>SUM(C66:C69)</f>
        <v>16</v>
      </c>
      <c r="T24" s="34">
        <f t="shared" ref="T24:AF24" si="16">SUM(D66:D69)</f>
        <v>3.5</v>
      </c>
      <c r="U24" s="34">
        <f t="shared" si="16"/>
        <v>5</v>
      </c>
      <c r="V24" s="34">
        <f t="shared" si="16"/>
        <v>11</v>
      </c>
      <c r="W24" s="34">
        <f t="shared" si="16"/>
        <v>0</v>
      </c>
      <c r="X24" s="34">
        <f t="shared" si="16"/>
        <v>3</v>
      </c>
      <c r="Y24" s="34">
        <f t="shared" si="16"/>
        <v>2.5</v>
      </c>
      <c r="Z24" s="34">
        <f t="shared" si="16"/>
        <v>4</v>
      </c>
      <c r="AA24" s="34">
        <f t="shared" si="16"/>
        <v>2.5</v>
      </c>
      <c r="AB24" s="34">
        <f t="shared" si="16"/>
        <v>6.5</v>
      </c>
      <c r="AC24" s="34">
        <f t="shared" si="16"/>
        <v>19</v>
      </c>
      <c r="AD24" s="34">
        <f t="shared" si="16"/>
        <v>0</v>
      </c>
      <c r="AE24" s="31">
        <f t="shared" si="16"/>
        <v>54</v>
      </c>
      <c r="AF24" s="31">
        <f t="shared" si="16"/>
        <v>73</v>
      </c>
    </row>
    <row r="25" spans="2:32" ht="23.1" customHeight="1" x14ac:dyDescent="0.25">
      <c r="B25" s="23" t="s">
        <v>52</v>
      </c>
      <c r="C25" s="49">
        <f>AVERAGE('27.10 Mbarara-Kabale'!C25,'28.10 Mbarara-Kabale'!C25,'29.10 Mbarara-Kabale'!C25,'30.10 Mbarara-Kabale'!C25,'31.10 Mbarara-Kabale-24hr'!C25,'1.11 Mbarara-Kabale'!C25,'2.11 Mbarara-Kabale-24hr'!C25)</f>
        <v>12</v>
      </c>
      <c r="D25" s="49">
        <f>AVERAGE('27.10 Mbarara-Kabale'!D25,'28.10 Mbarara-Kabale'!D25,'29.10 Mbarara-Kabale'!D25,'30.10 Mbarara-Kabale'!D25,'31.10 Mbarara-Kabale-24hr'!D25,'1.11 Mbarara-Kabale'!D25,'2.11 Mbarara-Kabale-24hr'!D25)</f>
        <v>3.4285714285714284</v>
      </c>
      <c r="E25" s="49">
        <f>AVERAGE('27.10 Mbarara-Kabale'!E25,'28.10 Mbarara-Kabale'!E25,'29.10 Mbarara-Kabale'!E25,'30.10 Mbarara-Kabale'!E25,'31.10 Mbarara-Kabale-24hr'!E25,'1.11 Mbarara-Kabale'!E25,'2.11 Mbarara-Kabale-24hr'!E25)</f>
        <v>2.5714285714285716</v>
      </c>
      <c r="F25" s="49">
        <f>AVERAGE('27.10 Mbarara-Kabale'!F25,'28.10 Mbarara-Kabale'!F25,'29.10 Mbarara-Kabale'!F25,'30.10 Mbarara-Kabale'!F25,'31.10 Mbarara-Kabale-24hr'!F25,'1.11 Mbarara-Kabale'!F25,'2.11 Mbarara-Kabale-24hr'!F25)</f>
        <v>6.2857142857142856</v>
      </c>
      <c r="G25" s="49">
        <f>AVERAGE('27.10 Mbarara-Kabale'!G25,'28.10 Mbarara-Kabale'!G25,'29.10 Mbarara-Kabale'!G25,'30.10 Mbarara-Kabale'!G25,'31.10 Mbarara-Kabale-24hr'!G25,'1.11 Mbarara-Kabale'!G25,'2.11 Mbarara-Kabale-24hr'!G25)</f>
        <v>0.2857142857142857</v>
      </c>
      <c r="H25" s="49">
        <f>AVERAGE('27.10 Mbarara-Kabale'!H25,'28.10 Mbarara-Kabale'!H25,'29.10 Mbarara-Kabale'!H25,'30.10 Mbarara-Kabale'!H25,'31.10 Mbarara-Kabale-24hr'!H25,'1.11 Mbarara-Kabale'!H25,'2.11 Mbarara-Kabale-24hr'!H25)</f>
        <v>2.1428571428571428</v>
      </c>
      <c r="I25" s="49">
        <f>AVERAGE('27.10 Mbarara-Kabale'!I25,'28.10 Mbarara-Kabale'!I25,'29.10 Mbarara-Kabale'!I25,'30.10 Mbarara-Kabale'!I25,'31.10 Mbarara-Kabale-24hr'!I25,'1.11 Mbarara-Kabale'!I25,'2.11 Mbarara-Kabale-24hr'!I25)</f>
        <v>3.5714285714285716</v>
      </c>
      <c r="J25" s="49">
        <f>AVERAGE('27.10 Mbarara-Kabale'!J25,'28.10 Mbarara-Kabale'!J25,'29.10 Mbarara-Kabale'!J25,'30.10 Mbarara-Kabale'!J25,'31.10 Mbarara-Kabale-24hr'!J25,'1.11 Mbarara-Kabale'!J25,'2.11 Mbarara-Kabale-24hr'!J25)</f>
        <v>1</v>
      </c>
      <c r="K25" s="49">
        <f>AVERAGE('27.10 Mbarara-Kabale'!K25,'28.10 Mbarara-Kabale'!K25,'29.10 Mbarara-Kabale'!K25,'30.10 Mbarara-Kabale'!K25,'31.10 Mbarara-Kabale-24hr'!K25,'1.11 Mbarara-Kabale'!K25,'2.11 Mbarara-Kabale-24hr'!K25)</f>
        <v>2</v>
      </c>
      <c r="L25" s="49">
        <f>AVERAGE('27.10 Mbarara-Kabale'!L25,'28.10 Mbarara-Kabale'!L25,'29.10 Mbarara-Kabale'!L25,'30.10 Mbarara-Kabale'!L25,'31.10 Mbarara-Kabale-24hr'!L25,'1.11 Mbarara-Kabale'!L25,'2.11 Mbarara-Kabale-24hr'!L25)</f>
        <v>2.4285714285714284</v>
      </c>
      <c r="M25" s="49">
        <f>AVERAGE('27.10 Mbarara-Kabale'!M25,'28.10 Mbarara-Kabale'!M25,'29.10 Mbarara-Kabale'!M25,'30.10 Mbarara-Kabale'!M25,'31.10 Mbarara-Kabale-24hr'!M25,'1.11 Mbarara-Kabale'!M25,'2.11 Mbarara-Kabale-24hr'!M25)</f>
        <v>16.285714285714285</v>
      </c>
      <c r="N25" s="49">
        <f>AVERAGE('27.10 Mbarara-Kabale'!N25,'28.10 Mbarara-Kabale'!N25,'29.10 Mbarara-Kabale'!N25,'30.10 Mbarara-Kabale'!N25,'31.10 Mbarara-Kabale-24hr'!N25,'1.11 Mbarara-Kabale'!N25,'2.11 Mbarara-Kabale-24hr'!N25)</f>
        <v>0</v>
      </c>
      <c r="O25" s="15">
        <f t="shared" si="0"/>
        <v>35.714285714285715</v>
      </c>
      <c r="P25" s="15">
        <f t="shared" si="1"/>
        <v>52</v>
      </c>
      <c r="R25" s="1" t="s">
        <v>149</v>
      </c>
      <c r="S25" s="34">
        <f>SUM(C70:C73)</f>
        <v>10</v>
      </c>
      <c r="T25" s="34">
        <f t="shared" ref="T25:AF25" si="17">SUM(D70:D73)</f>
        <v>7.5</v>
      </c>
      <c r="U25" s="34">
        <f t="shared" si="17"/>
        <v>8.5</v>
      </c>
      <c r="V25" s="34">
        <f t="shared" si="17"/>
        <v>11.5</v>
      </c>
      <c r="W25" s="34">
        <f t="shared" si="17"/>
        <v>0.5</v>
      </c>
      <c r="X25" s="34">
        <f t="shared" si="17"/>
        <v>1.5</v>
      </c>
      <c r="Y25" s="34">
        <f t="shared" si="17"/>
        <v>1</v>
      </c>
      <c r="Z25" s="34">
        <f t="shared" si="17"/>
        <v>2</v>
      </c>
      <c r="AA25" s="34">
        <f t="shared" si="17"/>
        <v>5</v>
      </c>
      <c r="AB25" s="34">
        <f t="shared" si="17"/>
        <v>3.5</v>
      </c>
      <c r="AC25" s="34">
        <f t="shared" si="17"/>
        <v>8.5</v>
      </c>
      <c r="AD25" s="34">
        <f t="shared" si="17"/>
        <v>0</v>
      </c>
      <c r="AE25" s="31">
        <f t="shared" si="17"/>
        <v>51</v>
      </c>
      <c r="AF25" s="31">
        <f t="shared" si="17"/>
        <v>59.5</v>
      </c>
    </row>
    <row r="26" spans="2:32" ht="23.1" customHeight="1" x14ac:dyDescent="0.25">
      <c r="B26" s="23" t="s">
        <v>53</v>
      </c>
      <c r="C26" s="49">
        <f>AVERAGE('27.10 Mbarara-Kabale'!C26,'28.10 Mbarara-Kabale'!C26,'29.10 Mbarara-Kabale'!C26,'30.10 Mbarara-Kabale'!C26,'31.10 Mbarara-Kabale-24hr'!C26,'1.11 Mbarara-Kabale'!C26,'2.11 Mbarara-Kabale-24hr'!C26)</f>
        <v>8.4285714285714288</v>
      </c>
      <c r="D26" s="49">
        <f>AVERAGE('27.10 Mbarara-Kabale'!D26,'28.10 Mbarara-Kabale'!D26,'29.10 Mbarara-Kabale'!D26,'30.10 Mbarara-Kabale'!D26,'31.10 Mbarara-Kabale-24hr'!D26,'1.11 Mbarara-Kabale'!D26,'2.11 Mbarara-Kabale-24hr'!D26)</f>
        <v>2.1428571428571428</v>
      </c>
      <c r="E26" s="49">
        <f>AVERAGE('27.10 Mbarara-Kabale'!E26,'28.10 Mbarara-Kabale'!E26,'29.10 Mbarara-Kabale'!E26,'30.10 Mbarara-Kabale'!E26,'31.10 Mbarara-Kabale-24hr'!E26,'1.11 Mbarara-Kabale'!E26,'2.11 Mbarara-Kabale-24hr'!E26)</f>
        <v>2.2857142857142856</v>
      </c>
      <c r="F26" s="49">
        <f>AVERAGE('27.10 Mbarara-Kabale'!F26,'28.10 Mbarara-Kabale'!F26,'29.10 Mbarara-Kabale'!F26,'30.10 Mbarara-Kabale'!F26,'31.10 Mbarara-Kabale-24hr'!F26,'1.11 Mbarara-Kabale'!F26,'2.11 Mbarara-Kabale-24hr'!F26)</f>
        <v>5.1428571428571432</v>
      </c>
      <c r="G26" s="49">
        <f>AVERAGE('27.10 Mbarara-Kabale'!G26,'28.10 Mbarara-Kabale'!G26,'29.10 Mbarara-Kabale'!G26,'30.10 Mbarara-Kabale'!G26,'31.10 Mbarara-Kabale-24hr'!G26,'1.11 Mbarara-Kabale'!G26,'2.11 Mbarara-Kabale-24hr'!G26)</f>
        <v>0.14285714285714285</v>
      </c>
      <c r="H26" s="49">
        <f>AVERAGE('27.10 Mbarara-Kabale'!H26,'28.10 Mbarara-Kabale'!H26,'29.10 Mbarara-Kabale'!H26,'30.10 Mbarara-Kabale'!H26,'31.10 Mbarara-Kabale-24hr'!H26,'1.11 Mbarara-Kabale'!H26,'2.11 Mbarara-Kabale-24hr'!H26)</f>
        <v>0.14285714285714285</v>
      </c>
      <c r="I26" s="49">
        <f>AVERAGE('27.10 Mbarara-Kabale'!I26,'28.10 Mbarara-Kabale'!I26,'29.10 Mbarara-Kabale'!I26,'30.10 Mbarara-Kabale'!I26,'31.10 Mbarara-Kabale-24hr'!I26,'1.11 Mbarara-Kabale'!I26,'2.11 Mbarara-Kabale-24hr'!I26)</f>
        <v>1.4285714285714286</v>
      </c>
      <c r="J26" s="49">
        <f>AVERAGE('27.10 Mbarara-Kabale'!J26,'28.10 Mbarara-Kabale'!J26,'29.10 Mbarara-Kabale'!J26,'30.10 Mbarara-Kabale'!J26,'31.10 Mbarara-Kabale-24hr'!J26,'1.11 Mbarara-Kabale'!J26,'2.11 Mbarara-Kabale-24hr'!J26)</f>
        <v>1.2857142857142858</v>
      </c>
      <c r="K26" s="49">
        <f>AVERAGE('27.10 Mbarara-Kabale'!K26,'28.10 Mbarara-Kabale'!K26,'29.10 Mbarara-Kabale'!K26,'30.10 Mbarara-Kabale'!K26,'31.10 Mbarara-Kabale-24hr'!K26,'1.11 Mbarara-Kabale'!K26,'2.11 Mbarara-Kabale-24hr'!K26)</f>
        <v>0.8571428571428571</v>
      </c>
      <c r="L26" s="49">
        <f>AVERAGE('27.10 Mbarara-Kabale'!L26,'28.10 Mbarara-Kabale'!L26,'29.10 Mbarara-Kabale'!L26,'30.10 Mbarara-Kabale'!L26,'31.10 Mbarara-Kabale-24hr'!L26,'1.11 Mbarara-Kabale'!L26,'2.11 Mbarara-Kabale-24hr'!L26)</f>
        <v>2.1428571428571428</v>
      </c>
      <c r="M26" s="49">
        <f>AVERAGE('27.10 Mbarara-Kabale'!M26,'28.10 Mbarara-Kabale'!M26,'29.10 Mbarara-Kabale'!M26,'30.10 Mbarara-Kabale'!M26,'31.10 Mbarara-Kabale-24hr'!M26,'1.11 Mbarara-Kabale'!M26,'2.11 Mbarara-Kabale-24hr'!M26)</f>
        <v>14.714285714285714</v>
      </c>
      <c r="N26" s="49">
        <f>AVERAGE('27.10 Mbarara-Kabale'!N26,'28.10 Mbarara-Kabale'!N26,'29.10 Mbarara-Kabale'!N26,'30.10 Mbarara-Kabale'!N26,'31.10 Mbarara-Kabale-24hr'!N26,'1.11 Mbarara-Kabale'!N26,'2.11 Mbarara-Kabale-24hr'!N26)</f>
        <v>0</v>
      </c>
      <c r="O26" s="15">
        <f t="shared" si="0"/>
        <v>23.999999999999996</v>
      </c>
      <c r="P26" s="15">
        <f t="shared" si="1"/>
        <v>38.714285714285708</v>
      </c>
      <c r="R26" s="1" t="s">
        <v>150</v>
      </c>
      <c r="S26" s="34">
        <f>SUM(C74:C77)</f>
        <v>6.5</v>
      </c>
      <c r="T26" s="34">
        <f t="shared" ref="T26:AF26" si="18">SUM(D74:D77)</f>
        <v>2</v>
      </c>
      <c r="U26" s="34">
        <f t="shared" si="18"/>
        <v>1.5</v>
      </c>
      <c r="V26" s="34">
        <f t="shared" si="18"/>
        <v>9</v>
      </c>
      <c r="W26" s="34">
        <f t="shared" si="18"/>
        <v>0.5</v>
      </c>
      <c r="X26" s="34">
        <f t="shared" si="18"/>
        <v>1</v>
      </c>
      <c r="Y26" s="34">
        <f t="shared" si="18"/>
        <v>2</v>
      </c>
      <c r="Z26" s="34">
        <f t="shared" si="18"/>
        <v>3</v>
      </c>
      <c r="AA26" s="34">
        <f t="shared" si="18"/>
        <v>5</v>
      </c>
      <c r="AB26" s="34">
        <f t="shared" si="18"/>
        <v>12.5</v>
      </c>
      <c r="AC26" s="34">
        <f t="shared" si="18"/>
        <v>5</v>
      </c>
      <c r="AD26" s="34">
        <f t="shared" si="18"/>
        <v>0</v>
      </c>
      <c r="AE26" s="31">
        <f t="shared" si="18"/>
        <v>43</v>
      </c>
      <c r="AF26" s="31">
        <f t="shared" si="18"/>
        <v>48</v>
      </c>
    </row>
    <row r="27" spans="2:32" ht="23.1" customHeight="1" x14ac:dyDescent="0.25">
      <c r="B27" s="23" t="s">
        <v>54</v>
      </c>
      <c r="C27" s="49">
        <f>AVERAGE('27.10 Mbarara-Kabale'!C27,'28.10 Mbarara-Kabale'!C27,'29.10 Mbarara-Kabale'!C27,'30.10 Mbarara-Kabale'!C27,'31.10 Mbarara-Kabale-24hr'!C27,'1.11 Mbarara-Kabale'!C27,'2.11 Mbarara-Kabale-24hr'!C27)</f>
        <v>9.5714285714285712</v>
      </c>
      <c r="D27" s="49">
        <f>AVERAGE('27.10 Mbarara-Kabale'!D27,'28.10 Mbarara-Kabale'!D27,'29.10 Mbarara-Kabale'!D27,'30.10 Mbarara-Kabale'!D27,'31.10 Mbarara-Kabale-24hr'!D27,'1.11 Mbarara-Kabale'!D27,'2.11 Mbarara-Kabale-24hr'!D27)</f>
        <v>4.5714285714285712</v>
      </c>
      <c r="E27" s="49">
        <f>AVERAGE('27.10 Mbarara-Kabale'!E27,'28.10 Mbarara-Kabale'!E27,'29.10 Mbarara-Kabale'!E27,'30.10 Mbarara-Kabale'!E27,'31.10 Mbarara-Kabale-24hr'!E27,'1.11 Mbarara-Kabale'!E27,'2.11 Mbarara-Kabale-24hr'!E27)</f>
        <v>2.2857142857142856</v>
      </c>
      <c r="F27" s="49">
        <f>AVERAGE('27.10 Mbarara-Kabale'!F27,'28.10 Mbarara-Kabale'!F27,'29.10 Mbarara-Kabale'!F27,'30.10 Mbarara-Kabale'!F27,'31.10 Mbarara-Kabale-24hr'!F27,'1.11 Mbarara-Kabale'!F27,'2.11 Mbarara-Kabale-24hr'!F27)</f>
        <v>7.4285714285714288</v>
      </c>
      <c r="G27" s="49">
        <f>AVERAGE('27.10 Mbarara-Kabale'!G27,'28.10 Mbarara-Kabale'!G27,'29.10 Mbarara-Kabale'!G27,'30.10 Mbarara-Kabale'!G27,'31.10 Mbarara-Kabale-24hr'!G27,'1.11 Mbarara-Kabale'!G27,'2.11 Mbarara-Kabale-24hr'!G27)</f>
        <v>0.2857142857142857</v>
      </c>
      <c r="H27" s="49">
        <f>AVERAGE('27.10 Mbarara-Kabale'!H27,'28.10 Mbarara-Kabale'!H27,'29.10 Mbarara-Kabale'!H27,'30.10 Mbarara-Kabale'!H27,'31.10 Mbarara-Kabale-24hr'!H27,'1.11 Mbarara-Kabale'!H27,'2.11 Mbarara-Kabale-24hr'!H27)</f>
        <v>0.7142857142857143</v>
      </c>
      <c r="I27" s="49">
        <f>AVERAGE('27.10 Mbarara-Kabale'!I27,'28.10 Mbarara-Kabale'!I27,'29.10 Mbarara-Kabale'!I27,'30.10 Mbarara-Kabale'!I27,'31.10 Mbarara-Kabale-24hr'!I27,'1.11 Mbarara-Kabale'!I27,'2.11 Mbarara-Kabale-24hr'!I27)</f>
        <v>1.2857142857142858</v>
      </c>
      <c r="J27" s="49">
        <f>AVERAGE('27.10 Mbarara-Kabale'!J27,'28.10 Mbarara-Kabale'!J27,'29.10 Mbarara-Kabale'!J27,'30.10 Mbarara-Kabale'!J27,'31.10 Mbarara-Kabale-24hr'!J27,'1.11 Mbarara-Kabale'!J27,'2.11 Mbarara-Kabale-24hr'!J27)</f>
        <v>1.5714285714285714</v>
      </c>
      <c r="K27" s="49">
        <f>AVERAGE('27.10 Mbarara-Kabale'!K27,'28.10 Mbarara-Kabale'!K27,'29.10 Mbarara-Kabale'!K27,'30.10 Mbarara-Kabale'!K27,'31.10 Mbarara-Kabale-24hr'!K27,'1.11 Mbarara-Kabale'!K27,'2.11 Mbarara-Kabale-24hr'!K27)</f>
        <v>1.1428571428571428</v>
      </c>
      <c r="L27" s="49">
        <f>AVERAGE('27.10 Mbarara-Kabale'!L27,'28.10 Mbarara-Kabale'!L27,'29.10 Mbarara-Kabale'!L27,'30.10 Mbarara-Kabale'!L27,'31.10 Mbarara-Kabale-24hr'!L27,'1.11 Mbarara-Kabale'!L27,'2.11 Mbarara-Kabale-24hr'!L27)</f>
        <v>2</v>
      </c>
      <c r="M27" s="49">
        <f>AVERAGE('27.10 Mbarara-Kabale'!M27,'28.10 Mbarara-Kabale'!M27,'29.10 Mbarara-Kabale'!M27,'30.10 Mbarara-Kabale'!M27,'31.10 Mbarara-Kabale-24hr'!M27,'1.11 Mbarara-Kabale'!M27,'2.11 Mbarara-Kabale-24hr'!M27)</f>
        <v>15</v>
      </c>
      <c r="N27" s="49">
        <f>AVERAGE('27.10 Mbarara-Kabale'!N27,'28.10 Mbarara-Kabale'!N27,'29.10 Mbarara-Kabale'!N27,'30.10 Mbarara-Kabale'!N27,'31.10 Mbarara-Kabale-24hr'!N27,'1.11 Mbarara-Kabale'!N27,'2.11 Mbarara-Kabale-24hr'!N27)</f>
        <v>0</v>
      </c>
      <c r="O27" s="15">
        <f t="shared" si="0"/>
        <v>30.857142857142854</v>
      </c>
      <c r="P27" s="15">
        <f t="shared" si="1"/>
        <v>45.857142857142854</v>
      </c>
      <c r="R27" s="1" t="s">
        <v>151</v>
      </c>
      <c r="S27" s="34">
        <f>SUM(C78:C81)</f>
        <v>1</v>
      </c>
      <c r="T27" s="34">
        <f t="shared" ref="T27:AF27" si="19">SUM(D78:D81)</f>
        <v>2</v>
      </c>
      <c r="U27" s="34">
        <f t="shared" si="19"/>
        <v>1.5</v>
      </c>
      <c r="V27" s="34">
        <f t="shared" si="19"/>
        <v>4.5</v>
      </c>
      <c r="W27" s="34">
        <f t="shared" si="19"/>
        <v>0</v>
      </c>
      <c r="X27" s="34">
        <f t="shared" si="19"/>
        <v>1.5</v>
      </c>
      <c r="Y27" s="34">
        <f t="shared" si="19"/>
        <v>0.5</v>
      </c>
      <c r="Z27" s="34">
        <f t="shared" si="19"/>
        <v>4</v>
      </c>
      <c r="AA27" s="34">
        <f t="shared" si="19"/>
        <v>3</v>
      </c>
      <c r="AB27" s="34">
        <f t="shared" si="19"/>
        <v>6.5</v>
      </c>
      <c r="AC27" s="34">
        <f t="shared" si="19"/>
        <v>2</v>
      </c>
      <c r="AD27" s="34">
        <f t="shared" si="19"/>
        <v>0</v>
      </c>
      <c r="AE27" s="31">
        <f t="shared" si="19"/>
        <v>24.5</v>
      </c>
      <c r="AF27" s="31">
        <f t="shared" si="19"/>
        <v>26.5</v>
      </c>
    </row>
    <row r="28" spans="2:32" ht="23.1" customHeight="1" x14ac:dyDescent="0.25">
      <c r="B28" s="23" t="s">
        <v>55</v>
      </c>
      <c r="C28" s="49">
        <f>AVERAGE('27.10 Mbarara-Kabale'!C28,'28.10 Mbarara-Kabale'!C28,'29.10 Mbarara-Kabale'!C28,'30.10 Mbarara-Kabale'!C28,'31.10 Mbarara-Kabale-24hr'!C28,'1.11 Mbarara-Kabale'!C28,'2.11 Mbarara-Kabale-24hr'!C28)</f>
        <v>8.1428571428571423</v>
      </c>
      <c r="D28" s="49">
        <f>AVERAGE('27.10 Mbarara-Kabale'!D28,'28.10 Mbarara-Kabale'!D28,'29.10 Mbarara-Kabale'!D28,'30.10 Mbarara-Kabale'!D28,'31.10 Mbarara-Kabale-24hr'!D28,'1.11 Mbarara-Kabale'!D28,'2.11 Mbarara-Kabale-24hr'!D28)</f>
        <v>2.4285714285714284</v>
      </c>
      <c r="E28" s="49">
        <f>AVERAGE('27.10 Mbarara-Kabale'!E28,'28.10 Mbarara-Kabale'!E28,'29.10 Mbarara-Kabale'!E28,'30.10 Mbarara-Kabale'!E28,'31.10 Mbarara-Kabale-24hr'!E28,'1.11 Mbarara-Kabale'!E28,'2.11 Mbarara-Kabale-24hr'!E28)</f>
        <v>2.2857142857142856</v>
      </c>
      <c r="F28" s="49">
        <f>AVERAGE('27.10 Mbarara-Kabale'!F28,'28.10 Mbarara-Kabale'!F28,'29.10 Mbarara-Kabale'!F28,'30.10 Mbarara-Kabale'!F28,'31.10 Mbarara-Kabale-24hr'!F28,'1.11 Mbarara-Kabale'!F28,'2.11 Mbarara-Kabale-24hr'!F28)</f>
        <v>5.8571428571428568</v>
      </c>
      <c r="G28" s="49">
        <f>AVERAGE('27.10 Mbarara-Kabale'!G28,'28.10 Mbarara-Kabale'!G28,'29.10 Mbarara-Kabale'!G28,'30.10 Mbarara-Kabale'!G28,'31.10 Mbarara-Kabale-24hr'!G28,'1.11 Mbarara-Kabale'!G28,'2.11 Mbarara-Kabale-24hr'!G28)</f>
        <v>0.14285714285714285</v>
      </c>
      <c r="H28" s="49">
        <f>AVERAGE('27.10 Mbarara-Kabale'!H28,'28.10 Mbarara-Kabale'!H28,'29.10 Mbarara-Kabale'!H28,'30.10 Mbarara-Kabale'!H28,'31.10 Mbarara-Kabale-24hr'!H28,'1.11 Mbarara-Kabale'!H28,'2.11 Mbarara-Kabale-24hr'!H28)</f>
        <v>0.42857142857142855</v>
      </c>
      <c r="I28" s="49">
        <f>AVERAGE('27.10 Mbarara-Kabale'!I28,'28.10 Mbarara-Kabale'!I28,'29.10 Mbarara-Kabale'!I28,'30.10 Mbarara-Kabale'!I28,'31.10 Mbarara-Kabale-24hr'!I28,'1.11 Mbarara-Kabale'!I28,'2.11 Mbarara-Kabale-24hr'!I28)</f>
        <v>3.8571428571428572</v>
      </c>
      <c r="J28" s="49">
        <f>AVERAGE('27.10 Mbarara-Kabale'!J28,'28.10 Mbarara-Kabale'!J28,'29.10 Mbarara-Kabale'!J28,'30.10 Mbarara-Kabale'!J28,'31.10 Mbarara-Kabale-24hr'!J28,'1.11 Mbarara-Kabale'!J28,'2.11 Mbarara-Kabale-24hr'!J28)</f>
        <v>1.8571428571428572</v>
      </c>
      <c r="K28" s="49">
        <f>AVERAGE('27.10 Mbarara-Kabale'!K28,'28.10 Mbarara-Kabale'!K28,'29.10 Mbarara-Kabale'!K28,'30.10 Mbarara-Kabale'!K28,'31.10 Mbarara-Kabale-24hr'!K28,'1.11 Mbarara-Kabale'!K28,'2.11 Mbarara-Kabale-24hr'!K28)</f>
        <v>2.1428571428571428</v>
      </c>
      <c r="L28" s="49">
        <f>AVERAGE('27.10 Mbarara-Kabale'!L28,'28.10 Mbarara-Kabale'!L28,'29.10 Mbarara-Kabale'!L28,'30.10 Mbarara-Kabale'!L28,'31.10 Mbarara-Kabale-24hr'!L28,'1.11 Mbarara-Kabale'!L28,'2.11 Mbarara-Kabale-24hr'!L28)</f>
        <v>0.8571428571428571</v>
      </c>
      <c r="M28" s="49">
        <f>AVERAGE('27.10 Mbarara-Kabale'!M28,'28.10 Mbarara-Kabale'!M28,'29.10 Mbarara-Kabale'!M28,'30.10 Mbarara-Kabale'!M28,'31.10 Mbarara-Kabale-24hr'!M28,'1.11 Mbarara-Kabale'!M28,'2.11 Mbarara-Kabale-24hr'!M28)</f>
        <v>14.857142857142858</v>
      </c>
      <c r="N28" s="49">
        <f>AVERAGE('27.10 Mbarara-Kabale'!N28,'28.10 Mbarara-Kabale'!N28,'29.10 Mbarara-Kabale'!N28,'30.10 Mbarara-Kabale'!N28,'31.10 Mbarara-Kabale-24hr'!N28,'1.11 Mbarara-Kabale'!N28,'2.11 Mbarara-Kabale-24hr'!N28)</f>
        <v>0</v>
      </c>
      <c r="O28" s="15">
        <f t="shared" si="0"/>
        <v>28</v>
      </c>
      <c r="P28" s="15">
        <f t="shared" si="1"/>
        <v>42.857142857142861</v>
      </c>
      <c r="R28" s="1" t="s">
        <v>152</v>
      </c>
      <c r="S28" s="34">
        <f>SUM(C82:C85)</f>
        <v>1</v>
      </c>
      <c r="T28" s="34">
        <f t="shared" ref="T28:AF28" si="20">SUM(D82:D85)</f>
        <v>5.5</v>
      </c>
      <c r="U28" s="34">
        <f t="shared" si="20"/>
        <v>1.5</v>
      </c>
      <c r="V28" s="34">
        <f t="shared" si="20"/>
        <v>0</v>
      </c>
      <c r="W28" s="34">
        <f t="shared" si="20"/>
        <v>1</v>
      </c>
      <c r="X28" s="34">
        <f t="shared" si="20"/>
        <v>0</v>
      </c>
      <c r="Y28" s="34">
        <f t="shared" si="20"/>
        <v>0</v>
      </c>
      <c r="Z28" s="34">
        <f t="shared" si="20"/>
        <v>1.5</v>
      </c>
      <c r="AA28" s="34">
        <f t="shared" si="20"/>
        <v>3.5</v>
      </c>
      <c r="AB28" s="34">
        <f t="shared" si="20"/>
        <v>8.5</v>
      </c>
      <c r="AC28" s="34">
        <f t="shared" si="20"/>
        <v>5</v>
      </c>
      <c r="AD28" s="34">
        <f t="shared" si="20"/>
        <v>0</v>
      </c>
      <c r="AE28" s="31">
        <f t="shared" si="20"/>
        <v>22.5</v>
      </c>
      <c r="AF28" s="31">
        <f t="shared" si="20"/>
        <v>27.5</v>
      </c>
    </row>
    <row r="29" spans="2:32" ht="23.1" customHeight="1" x14ac:dyDescent="0.25">
      <c r="B29" s="23" t="s">
        <v>56</v>
      </c>
      <c r="C29" s="49">
        <f>AVERAGE('27.10 Mbarara-Kabale'!C29,'28.10 Mbarara-Kabale'!C29,'29.10 Mbarara-Kabale'!C29,'30.10 Mbarara-Kabale'!C29,'31.10 Mbarara-Kabale-24hr'!C29,'1.11 Mbarara-Kabale'!C29,'2.11 Mbarara-Kabale-24hr'!C29)</f>
        <v>7.7142857142857144</v>
      </c>
      <c r="D29" s="49">
        <f>AVERAGE('27.10 Mbarara-Kabale'!D29,'28.10 Mbarara-Kabale'!D29,'29.10 Mbarara-Kabale'!D29,'30.10 Mbarara-Kabale'!D29,'31.10 Mbarara-Kabale-24hr'!D29,'1.11 Mbarara-Kabale'!D29,'2.11 Mbarara-Kabale-24hr'!D29)</f>
        <v>4.1428571428571432</v>
      </c>
      <c r="E29" s="49">
        <f>AVERAGE('27.10 Mbarara-Kabale'!E29,'28.10 Mbarara-Kabale'!E29,'29.10 Mbarara-Kabale'!E29,'30.10 Mbarara-Kabale'!E29,'31.10 Mbarara-Kabale-24hr'!E29,'1.11 Mbarara-Kabale'!E29,'2.11 Mbarara-Kabale-24hr'!E29)</f>
        <v>1</v>
      </c>
      <c r="F29" s="49">
        <f>AVERAGE('27.10 Mbarara-Kabale'!F29,'28.10 Mbarara-Kabale'!F29,'29.10 Mbarara-Kabale'!F29,'30.10 Mbarara-Kabale'!F29,'31.10 Mbarara-Kabale-24hr'!F29,'1.11 Mbarara-Kabale'!F29,'2.11 Mbarara-Kabale-24hr'!F29)</f>
        <v>2.8571428571428572</v>
      </c>
      <c r="G29" s="49">
        <f>AVERAGE('27.10 Mbarara-Kabale'!G29,'28.10 Mbarara-Kabale'!G29,'29.10 Mbarara-Kabale'!G29,'30.10 Mbarara-Kabale'!G29,'31.10 Mbarara-Kabale-24hr'!G29,'1.11 Mbarara-Kabale'!G29,'2.11 Mbarara-Kabale-24hr'!G29)</f>
        <v>0</v>
      </c>
      <c r="H29" s="49">
        <f>AVERAGE('27.10 Mbarara-Kabale'!H29,'28.10 Mbarara-Kabale'!H29,'29.10 Mbarara-Kabale'!H29,'30.10 Mbarara-Kabale'!H29,'31.10 Mbarara-Kabale-24hr'!H29,'1.11 Mbarara-Kabale'!H29,'2.11 Mbarara-Kabale-24hr'!H29)</f>
        <v>0.8571428571428571</v>
      </c>
      <c r="I29" s="49">
        <f>AVERAGE('27.10 Mbarara-Kabale'!I29,'28.10 Mbarara-Kabale'!I29,'29.10 Mbarara-Kabale'!I29,'30.10 Mbarara-Kabale'!I29,'31.10 Mbarara-Kabale-24hr'!I29,'1.11 Mbarara-Kabale'!I29,'2.11 Mbarara-Kabale-24hr'!I29)</f>
        <v>1.7142857142857142</v>
      </c>
      <c r="J29" s="49">
        <f>AVERAGE('27.10 Mbarara-Kabale'!J29,'28.10 Mbarara-Kabale'!J29,'29.10 Mbarara-Kabale'!J29,'30.10 Mbarara-Kabale'!J29,'31.10 Mbarara-Kabale-24hr'!J29,'1.11 Mbarara-Kabale'!J29,'2.11 Mbarara-Kabale-24hr'!J29)</f>
        <v>2.1428571428571428</v>
      </c>
      <c r="K29" s="49">
        <f>AVERAGE('27.10 Mbarara-Kabale'!K29,'28.10 Mbarara-Kabale'!K29,'29.10 Mbarara-Kabale'!K29,'30.10 Mbarara-Kabale'!K29,'31.10 Mbarara-Kabale-24hr'!K29,'1.11 Mbarara-Kabale'!K29,'2.11 Mbarara-Kabale-24hr'!K29)</f>
        <v>1.1428571428571428</v>
      </c>
      <c r="L29" s="49">
        <f>AVERAGE('27.10 Mbarara-Kabale'!L29,'28.10 Mbarara-Kabale'!L29,'29.10 Mbarara-Kabale'!L29,'30.10 Mbarara-Kabale'!L29,'31.10 Mbarara-Kabale-24hr'!L29,'1.11 Mbarara-Kabale'!L29,'2.11 Mbarara-Kabale-24hr'!L29)</f>
        <v>3.8571428571428572</v>
      </c>
      <c r="M29" s="49">
        <f>AVERAGE('27.10 Mbarara-Kabale'!M29,'28.10 Mbarara-Kabale'!M29,'29.10 Mbarara-Kabale'!M29,'30.10 Mbarara-Kabale'!M29,'31.10 Mbarara-Kabale-24hr'!M29,'1.11 Mbarara-Kabale'!M29,'2.11 Mbarara-Kabale-24hr'!M29)</f>
        <v>16</v>
      </c>
      <c r="N29" s="49">
        <f>AVERAGE('27.10 Mbarara-Kabale'!N29,'28.10 Mbarara-Kabale'!N29,'29.10 Mbarara-Kabale'!N29,'30.10 Mbarara-Kabale'!N29,'31.10 Mbarara-Kabale-24hr'!N29,'1.11 Mbarara-Kabale'!N29,'2.11 Mbarara-Kabale-24hr'!N29)</f>
        <v>0</v>
      </c>
      <c r="O29" s="15">
        <f t="shared" si="0"/>
        <v>25.428571428571431</v>
      </c>
      <c r="P29" s="15">
        <f t="shared" si="1"/>
        <v>41.428571428571431</v>
      </c>
      <c r="R29" s="1" t="s">
        <v>153</v>
      </c>
      <c r="S29" s="34">
        <f>SUM(C86:C89)</f>
        <v>0.5</v>
      </c>
      <c r="T29" s="34">
        <f t="shared" ref="T29:AF29" si="21">SUM(D86:D89)</f>
        <v>1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0.5</v>
      </c>
      <c r="AA29" s="34">
        <f t="shared" si="21"/>
        <v>3</v>
      </c>
      <c r="AB29" s="34">
        <f t="shared" si="21"/>
        <v>4.5</v>
      </c>
      <c r="AC29" s="34">
        <f t="shared" si="21"/>
        <v>1</v>
      </c>
      <c r="AD29" s="34">
        <f t="shared" si="21"/>
        <v>0</v>
      </c>
      <c r="AE29" s="31">
        <f t="shared" si="21"/>
        <v>10.5</v>
      </c>
      <c r="AF29" s="31">
        <f t="shared" si="21"/>
        <v>11.5</v>
      </c>
    </row>
    <row r="30" spans="2:32" ht="23.1" customHeight="1" x14ac:dyDescent="0.25">
      <c r="B30" s="23" t="s">
        <v>57</v>
      </c>
      <c r="C30" s="49">
        <f>AVERAGE('27.10 Mbarara-Kabale'!C30,'28.10 Mbarara-Kabale'!C30,'29.10 Mbarara-Kabale'!C30,'30.10 Mbarara-Kabale'!C30,'31.10 Mbarara-Kabale-24hr'!C30,'1.11 Mbarara-Kabale'!C30,'2.11 Mbarara-Kabale-24hr'!C30)</f>
        <v>9</v>
      </c>
      <c r="D30" s="49">
        <f>AVERAGE('27.10 Mbarara-Kabale'!D30,'28.10 Mbarara-Kabale'!D30,'29.10 Mbarara-Kabale'!D30,'30.10 Mbarara-Kabale'!D30,'31.10 Mbarara-Kabale-24hr'!D30,'1.11 Mbarara-Kabale'!D30,'2.11 Mbarara-Kabale-24hr'!D30)</f>
        <v>2.1428571428571428</v>
      </c>
      <c r="E30" s="49">
        <f>AVERAGE('27.10 Mbarara-Kabale'!E30,'28.10 Mbarara-Kabale'!E30,'29.10 Mbarara-Kabale'!E30,'30.10 Mbarara-Kabale'!E30,'31.10 Mbarara-Kabale-24hr'!E30,'1.11 Mbarara-Kabale'!E30,'2.11 Mbarara-Kabale-24hr'!E30)</f>
        <v>2.1428571428571428</v>
      </c>
      <c r="F30" s="49">
        <f>AVERAGE('27.10 Mbarara-Kabale'!F30,'28.10 Mbarara-Kabale'!F30,'29.10 Mbarara-Kabale'!F30,'30.10 Mbarara-Kabale'!F30,'31.10 Mbarara-Kabale-24hr'!F30,'1.11 Mbarara-Kabale'!F30,'2.11 Mbarara-Kabale-24hr'!F30)</f>
        <v>6.2857142857142856</v>
      </c>
      <c r="G30" s="49">
        <f>AVERAGE('27.10 Mbarara-Kabale'!G30,'28.10 Mbarara-Kabale'!G30,'29.10 Mbarara-Kabale'!G30,'30.10 Mbarara-Kabale'!G30,'31.10 Mbarara-Kabale-24hr'!G30,'1.11 Mbarara-Kabale'!G30,'2.11 Mbarara-Kabale-24hr'!G30)</f>
        <v>0</v>
      </c>
      <c r="H30" s="49">
        <f>AVERAGE('27.10 Mbarara-Kabale'!H30,'28.10 Mbarara-Kabale'!H30,'29.10 Mbarara-Kabale'!H30,'30.10 Mbarara-Kabale'!H30,'31.10 Mbarara-Kabale-24hr'!H30,'1.11 Mbarara-Kabale'!H30,'2.11 Mbarara-Kabale-24hr'!H30)</f>
        <v>0.8571428571428571</v>
      </c>
      <c r="I30" s="49">
        <f>AVERAGE('27.10 Mbarara-Kabale'!I30,'28.10 Mbarara-Kabale'!I30,'29.10 Mbarara-Kabale'!I30,'30.10 Mbarara-Kabale'!I30,'31.10 Mbarara-Kabale-24hr'!I30,'1.11 Mbarara-Kabale'!I30,'2.11 Mbarara-Kabale-24hr'!I30)</f>
        <v>2.4285714285714284</v>
      </c>
      <c r="J30" s="49">
        <f>AVERAGE('27.10 Mbarara-Kabale'!J30,'28.10 Mbarara-Kabale'!J30,'29.10 Mbarara-Kabale'!J30,'30.10 Mbarara-Kabale'!J30,'31.10 Mbarara-Kabale-24hr'!J30,'1.11 Mbarara-Kabale'!J30,'2.11 Mbarara-Kabale-24hr'!J30)</f>
        <v>1.5714285714285714</v>
      </c>
      <c r="K30" s="49">
        <f>AVERAGE('27.10 Mbarara-Kabale'!K30,'28.10 Mbarara-Kabale'!K30,'29.10 Mbarara-Kabale'!K30,'30.10 Mbarara-Kabale'!K30,'31.10 Mbarara-Kabale-24hr'!K30,'1.11 Mbarara-Kabale'!K30,'2.11 Mbarara-Kabale-24hr'!K30)</f>
        <v>3.1428571428571428</v>
      </c>
      <c r="L30" s="49">
        <f>AVERAGE('27.10 Mbarara-Kabale'!L30,'28.10 Mbarara-Kabale'!L30,'29.10 Mbarara-Kabale'!L30,'30.10 Mbarara-Kabale'!L30,'31.10 Mbarara-Kabale-24hr'!L30,'1.11 Mbarara-Kabale'!L30,'2.11 Mbarara-Kabale-24hr'!L30)</f>
        <v>1.4285714285714286</v>
      </c>
      <c r="M30" s="49">
        <f>AVERAGE('27.10 Mbarara-Kabale'!M30,'28.10 Mbarara-Kabale'!M30,'29.10 Mbarara-Kabale'!M30,'30.10 Mbarara-Kabale'!M30,'31.10 Mbarara-Kabale-24hr'!M30,'1.11 Mbarara-Kabale'!M30,'2.11 Mbarara-Kabale-24hr'!M30)</f>
        <v>15.857142857142858</v>
      </c>
      <c r="N30" s="49">
        <f>AVERAGE('27.10 Mbarara-Kabale'!N30,'28.10 Mbarara-Kabale'!N30,'29.10 Mbarara-Kabale'!N30,'30.10 Mbarara-Kabale'!N30,'31.10 Mbarara-Kabale-24hr'!N30,'1.11 Mbarara-Kabale'!N30,'2.11 Mbarara-Kabale-24hr'!N30)</f>
        <v>0</v>
      </c>
      <c r="O30" s="15">
        <f t="shared" si="0"/>
        <v>28.999999999999996</v>
      </c>
      <c r="P30" s="15">
        <f t="shared" si="1"/>
        <v>44.857142857142854</v>
      </c>
      <c r="R30" s="1" t="s">
        <v>154</v>
      </c>
      <c r="S30" s="34">
        <f>SUM(C90:C93)</f>
        <v>0</v>
      </c>
      <c r="T30" s="34">
        <f t="shared" ref="T30:AF30" si="22">SUM(D90:D93)</f>
        <v>0.5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</v>
      </c>
      <c r="AA30" s="34">
        <f t="shared" si="22"/>
        <v>1.5</v>
      </c>
      <c r="AB30" s="34">
        <f t="shared" si="22"/>
        <v>4.5</v>
      </c>
      <c r="AC30" s="34">
        <f t="shared" si="22"/>
        <v>0</v>
      </c>
      <c r="AD30" s="34">
        <f t="shared" si="22"/>
        <v>0</v>
      </c>
      <c r="AE30" s="31">
        <f t="shared" si="22"/>
        <v>9.5</v>
      </c>
      <c r="AF30" s="31">
        <f t="shared" si="22"/>
        <v>9.5</v>
      </c>
    </row>
    <row r="31" spans="2:32" ht="23.1" customHeight="1" x14ac:dyDescent="0.25">
      <c r="B31" s="24" t="s">
        <v>58</v>
      </c>
      <c r="C31" s="49">
        <f>AVERAGE('27.10 Mbarara-Kabale'!C31,'28.10 Mbarara-Kabale'!C31,'29.10 Mbarara-Kabale'!C31,'30.10 Mbarara-Kabale'!C31,'31.10 Mbarara-Kabale-24hr'!C31,'1.11 Mbarara-Kabale'!C31,'2.11 Mbarara-Kabale-24hr'!C31)</f>
        <v>9.4285714285714288</v>
      </c>
      <c r="D31" s="49">
        <f>AVERAGE('27.10 Mbarara-Kabale'!D31,'28.10 Mbarara-Kabale'!D31,'29.10 Mbarara-Kabale'!D31,'30.10 Mbarara-Kabale'!D31,'31.10 Mbarara-Kabale-24hr'!D31,'1.11 Mbarara-Kabale'!D31,'2.11 Mbarara-Kabale-24hr'!D31)</f>
        <v>4.7142857142857144</v>
      </c>
      <c r="E31" s="49">
        <f>AVERAGE('27.10 Mbarara-Kabale'!E31,'28.10 Mbarara-Kabale'!E31,'29.10 Mbarara-Kabale'!E31,'30.10 Mbarara-Kabale'!E31,'31.10 Mbarara-Kabale-24hr'!E31,'1.11 Mbarara-Kabale'!E31,'2.11 Mbarara-Kabale-24hr'!E31)</f>
        <v>2.4285714285714284</v>
      </c>
      <c r="F31" s="49">
        <f>AVERAGE('27.10 Mbarara-Kabale'!F31,'28.10 Mbarara-Kabale'!F31,'29.10 Mbarara-Kabale'!F31,'30.10 Mbarara-Kabale'!F31,'31.10 Mbarara-Kabale-24hr'!F31,'1.11 Mbarara-Kabale'!F31,'2.11 Mbarara-Kabale-24hr'!F31)</f>
        <v>6.7142857142857144</v>
      </c>
      <c r="G31" s="49">
        <f>AVERAGE('27.10 Mbarara-Kabale'!G31,'28.10 Mbarara-Kabale'!G31,'29.10 Mbarara-Kabale'!G31,'30.10 Mbarara-Kabale'!G31,'31.10 Mbarara-Kabale-24hr'!G31,'1.11 Mbarara-Kabale'!G31,'2.11 Mbarara-Kabale-24hr'!G31)</f>
        <v>0.14285714285714285</v>
      </c>
      <c r="H31" s="49">
        <f>AVERAGE('27.10 Mbarara-Kabale'!H31,'28.10 Mbarara-Kabale'!H31,'29.10 Mbarara-Kabale'!H31,'30.10 Mbarara-Kabale'!H31,'31.10 Mbarara-Kabale-24hr'!H31,'1.11 Mbarara-Kabale'!H31,'2.11 Mbarara-Kabale-24hr'!H31)</f>
        <v>1</v>
      </c>
      <c r="I31" s="49">
        <f>AVERAGE('27.10 Mbarara-Kabale'!I31,'28.10 Mbarara-Kabale'!I31,'29.10 Mbarara-Kabale'!I31,'30.10 Mbarara-Kabale'!I31,'31.10 Mbarara-Kabale-24hr'!I31,'1.11 Mbarara-Kabale'!I31,'2.11 Mbarara-Kabale-24hr'!I31)</f>
        <v>2.1428571428571428</v>
      </c>
      <c r="J31" s="49">
        <f>AVERAGE('27.10 Mbarara-Kabale'!J31,'28.10 Mbarara-Kabale'!J31,'29.10 Mbarara-Kabale'!J31,'30.10 Mbarara-Kabale'!J31,'31.10 Mbarara-Kabale-24hr'!J31,'1.11 Mbarara-Kabale'!J31,'2.11 Mbarara-Kabale-24hr'!J31)</f>
        <v>2.7142857142857144</v>
      </c>
      <c r="K31" s="49">
        <f>AVERAGE('27.10 Mbarara-Kabale'!K31,'28.10 Mbarara-Kabale'!K31,'29.10 Mbarara-Kabale'!K31,'30.10 Mbarara-Kabale'!K31,'31.10 Mbarara-Kabale-24hr'!K31,'1.11 Mbarara-Kabale'!K31,'2.11 Mbarara-Kabale-24hr'!K31)</f>
        <v>1.1428571428571428</v>
      </c>
      <c r="L31" s="49">
        <f>AVERAGE('27.10 Mbarara-Kabale'!L31,'28.10 Mbarara-Kabale'!L31,'29.10 Mbarara-Kabale'!L31,'30.10 Mbarara-Kabale'!L31,'31.10 Mbarara-Kabale-24hr'!L31,'1.11 Mbarara-Kabale'!L31,'2.11 Mbarara-Kabale-24hr'!L31)</f>
        <v>2.2857142857142856</v>
      </c>
      <c r="M31" s="49">
        <f>AVERAGE('27.10 Mbarara-Kabale'!M31,'28.10 Mbarara-Kabale'!M31,'29.10 Mbarara-Kabale'!M31,'30.10 Mbarara-Kabale'!M31,'31.10 Mbarara-Kabale-24hr'!M31,'1.11 Mbarara-Kabale'!M31,'2.11 Mbarara-Kabale-24hr'!M31)</f>
        <v>17.428571428571427</v>
      </c>
      <c r="N31" s="49">
        <f>AVERAGE('27.10 Mbarara-Kabale'!N31,'28.10 Mbarara-Kabale'!N31,'29.10 Mbarara-Kabale'!N31,'30.10 Mbarara-Kabale'!N31,'31.10 Mbarara-Kabale-24hr'!N31,'1.11 Mbarara-Kabale'!N31,'2.11 Mbarara-Kabale-24hr'!N31)</f>
        <v>0</v>
      </c>
      <c r="O31" s="15">
        <f t="shared" si="0"/>
        <v>32.714285714285715</v>
      </c>
      <c r="P31" s="15">
        <f t="shared" si="1"/>
        <v>50.142857142857139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1.5</v>
      </c>
      <c r="W31" s="34">
        <f t="shared" si="23"/>
        <v>0</v>
      </c>
      <c r="X31" s="34">
        <f t="shared" si="23"/>
        <v>0</v>
      </c>
      <c r="Y31" s="34">
        <f t="shared" si="23"/>
        <v>0.5</v>
      </c>
      <c r="Z31" s="34">
        <f t="shared" si="23"/>
        <v>2.5</v>
      </c>
      <c r="AA31" s="34">
        <f t="shared" si="23"/>
        <v>6.5</v>
      </c>
      <c r="AB31" s="34">
        <f t="shared" si="23"/>
        <v>15.5</v>
      </c>
      <c r="AC31" s="34">
        <f t="shared" si="23"/>
        <v>0</v>
      </c>
      <c r="AD31" s="34">
        <f t="shared" si="23"/>
        <v>0</v>
      </c>
      <c r="AE31" s="31">
        <f t="shared" si="23"/>
        <v>27</v>
      </c>
      <c r="AF31" s="31">
        <f t="shared" si="23"/>
        <v>27</v>
      </c>
    </row>
    <row r="32" spans="2:32" ht="23.1" customHeight="1" x14ac:dyDescent="0.25">
      <c r="B32" s="24" t="s">
        <v>59</v>
      </c>
      <c r="C32" s="49">
        <f>AVERAGE('27.10 Mbarara-Kabale'!C32,'28.10 Mbarara-Kabale'!C32,'29.10 Mbarara-Kabale'!C32,'30.10 Mbarara-Kabale'!C32,'31.10 Mbarara-Kabale-24hr'!C32,'1.11 Mbarara-Kabale'!C32,'2.11 Mbarara-Kabale-24hr'!C32)</f>
        <v>7.8571428571428568</v>
      </c>
      <c r="D32" s="49">
        <f>AVERAGE('27.10 Mbarara-Kabale'!D32,'28.10 Mbarara-Kabale'!D32,'29.10 Mbarara-Kabale'!D32,'30.10 Mbarara-Kabale'!D32,'31.10 Mbarara-Kabale-24hr'!D32,'1.11 Mbarara-Kabale'!D32,'2.11 Mbarara-Kabale-24hr'!D32)</f>
        <v>4.7142857142857144</v>
      </c>
      <c r="E32" s="49">
        <f>AVERAGE('27.10 Mbarara-Kabale'!E32,'28.10 Mbarara-Kabale'!E32,'29.10 Mbarara-Kabale'!E32,'30.10 Mbarara-Kabale'!E32,'31.10 Mbarara-Kabale-24hr'!E32,'1.11 Mbarara-Kabale'!E32,'2.11 Mbarara-Kabale-24hr'!E32)</f>
        <v>2.2857142857142856</v>
      </c>
      <c r="F32" s="49">
        <f>AVERAGE('27.10 Mbarara-Kabale'!F32,'28.10 Mbarara-Kabale'!F32,'29.10 Mbarara-Kabale'!F32,'30.10 Mbarara-Kabale'!F32,'31.10 Mbarara-Kabale-24hr'!F32,'1.11 Mbarara-Kabale'!F32,'2.11 Mbarara-Kabale-24hr'!F32)</f>
        <v>7.1428571428571432</v>
      </c>
      <c r="G32" s="49">
        <f>AVERAGE('27.10 Mbarara-Kabale'!G32,'28.10 Mbarara-Kabale'!G32,'29.10 Mbarara-Kabale'!G32,'30.10 Mbarara-Kabale'!G32,'31.10 Mbarara-Kabale-24hr'!G32,'1.11 Mbarara-Kabale'!G32,'2.11 Mbarara-Kabale-24hr'!G32)</f>
        <v>0</v>
      </c>
      <c r="H32" s="49">
        <f>AVERAGE('27.10 Mbarara-Kabale'!H32,'28.10 Mbarara-Kabale'!H32,'29.10 Mbarara-Kabale'!H32,'30.10 Mbarara-Kabale'!H32,'31.10 Mbarara-Kabale-24hr'!H32,'1.11 Mbarara-Kabale'!H32,'2.11 Mbarara-Kabale-24hr'!H32)</f>
        <v>0.14285714285714285</v>
      </c>
      <c r="I32" s="49">
        <f>AVERAGE('27.10 Mbarara-Kabale'!I32,'28.10 Mbarara-Kabale'!I32,'29.10 Mbarara-Kabale'!I32,'30.10 Mbarara-Kabale'!I32,'31.10 Mbarara-Kabale-24hr'!I32,'1.11 Mbarara-Kabale'!I32,'2.11 Mbarara-Kabale-24hr'!I32)</f>
        <v>1.5714285714285714</v>
      </c>
      <c r="J32" s="49">
        <f>AVERAGE('27.10 Mbarara-Kabale'!J32,'28.10 Mbarara-Kabale'!J32,'29.10 Mbarara-Kabale'!J32,'30.10 Mbarara-Kabale'!J32,'31.10 Mbarara-Kabale-24hr'!J32,'1.11 Mbarara-Kabale'!J32,'2.11 Mbarara-Kabale-24hr'!J32)</f>
        <v>2</v>
      </c>
      <c r="K32" s="49">
        <f>AVERAGE('27.10 Mbarara-Kabale'!K32,'28.10 Mbarara-Kabale'!K32,'29.10 Mbarara-Kabale'!K32,'30.10 Mbarara-Kabale'!K32,'31.10 Mbarara-Kabale-24hr'!K32,'1.11 Mbarara-Kabale'!K32,'2.11 Mbarara-Kabale-24hr'!K32)</f>
        <v>1.5714285714285714</v>
      </c>
      <c r="L32" s="49">
        <f>AVERAGE('27.10 Mbarara-Kabale'!L32,'28.10 Mbarara-Kabale'!L32,'29.10 Mbarara-Kabale'!L32,'30.10 Mbarara-Kabale'!L32,'31.10 Mbarara-Kabale-24hr'!L32,'1.11 Mbarara-Kabale'!L32,'2.11 Mbarara-Kabale-24hr'!L32)</f>
        <v>5</v>
      </c>
      <c r="M32" s="49">
        <f>AVERAGE('27.10 Mbarara-Kabale'!M32,'28.10 Mbarara-Kabale'!M32,'29.10 Mbarara-Kabale'!M32,'30.10 Mbarara-Kabale'!M32,'31.10 Mbarara-Kabale-24hr'!M32,'1.11 Mbarara-Kabale'!M32,'2.11 Mbarara-Kabale-24hr'!M32)</f>
        <v>12.285714285714286</v>
      </c>
      <c r="N32" s="49">
        <f>AVERAGE('27.10 Mbarara-Kabale'!N32,'28.10 Mbarara-Kabale'!N32,'29.10 Mbarara-Kabale'!N32,'30.10 Mbarara-Kabale'!N32,'31.10 Mbarara-Kabale-24hr'!N32,'1.11 Mbarara-Kabale'!N32,'2.11 Mbarara-Kabale-24hr'!N32)</f>
        <v>0</v>
      </c>
      <c r="O32" s="15">
        <f t="shared" si="0"/>
        <v>32.285714285714292</v>
      </c>
      <c r="P32" s="15">
        <f t="shared" si="1"/>
        <v>44.571428571428577</v>
      </c>
      <c r="R32" s="1" t="s">
        <v>156</v>
      </c>
      <c r="S32" s="34">
        <f>SUM(C98:C101)</f>
        <v>3</v>
      </c>
      <c r="T32" s="34">
        <f t="shared" ref="T32:AF32" si="24">SUM(D98:D101)</f>
        <v>3.5</v>
      </c>
      <c r="U32" s="34">
        <f t="shared" si="24"/>
        <v>6.5</v>
      </c>
      <c r="V32" s="34">
        <f t="shared" si="24"/>
        <v>7</v>
      </c>
      <c r="W32" s="34">
        <f t="shared" si="24"/>
        <v>0</v>
      </c>
      <c r="X32" s="34">
        <f t="shared" si="24"/>
        <v>0</v>
      </c>
      <c r="Y32" s="34">
        <f t="shared" si="24"/>
        <v>0.5</v>
      </c>
      <c r="Z32" s="34">
        <f t="shared" si="24"/>
        <v>2</v>
      </c>
      <c r="AA32" s="34">
        <f t="shared" si="24"/>
        <v>9</v>
      </c>
      <c r="AB32" s="34">
        <f t="shared" si="24"/>
        <v>14</v>
      </c>
      <c r="AC32" s="34">
        <f t="shared" si="24"/>
        <v>3</v>
      </c>
      <c r="AD32" s="34">
        <f t="shared" si="24"/>
        <v>0</v>
      </c>
      <c r="AE32" s="31">
        <f t="shared" si="24"/>
        <v>45.5</v>
      </c>
      <c r="AF32" s="31">
        <f t="shared" si="24"/>
        <v>48.5</v>
      </c>
    </row>
    <row r="33" spans="2:32" ht="23.1" customHeight="1" x14ac:dyDescent="0.25">
      <c r="B33" s="23" t="s">
        <v>60</v>
      </c>
      <c r="C33" s="49">
        <f>AVERAGE('27.10 Mbarara-Kabale'!C33,'28.10 Mbarara-Kabale'!C33,'29.10 Mbarara-Kabale'!C33,'30.10 Mbarara-Kabale'!C33,'31.10 Mbarara-Kabale-24hr'!C33,'1.11 Mbarara-Kabale'!C33,'2.11 Mbarara-Kabale-24hr'!C33)</f>
        <v>5.8571428571428568</v>
      </c>
      <c r="D33" s="49">
        <f>AVERAGE('27.10 Mbarara-Kabale'!D33,'28.10 Mbarara-Kabale'!D33,'29.10 Mbarara-Kabale'!D33,'30.10 Mbarara-Kabale'!D33,'31.10 Mbarara-Kabale-24hr'!D33,'1.11 Mbarara-Kabale'!D33,'2.11 Mbarara-Kabale-24hr'!D33)</f>
        <v>2.2857142857142856</v>
      </c>
      <c r="E33" s="49">
        <f>AVERAGE('27.10 Mbarara-Kabale'!E33,'28.10 Mbarara-Kabale'!E33,'29.10 Mbarara-Kabale'!E33,'30.10 Mbarara-Kabale'!E33,'31.10 Mbarara-Kabale-24hr'!E33,'1.11 Mbarara-Kabale'!E33,'2.11 Mbarara-Kabale-24hr'!E33)</f>
        <v>0.5714285714285714</v>
      </c>
      <c r="F33" s="49">
        <f>AVERAGE('27.10 Mbarara-Kabale'!F33,'28.10 Mbarara-Kabale'!F33,'29.10 Mbarara-Kabale'!F33,'30.10 Mbarara-Kabale'!F33,'31.10 Mbarara-Kabale-24hr'!F33,'1.11 Mbarara-Kabale'!F33,'2.11 Mbarara-Kabale-24hr'!F33)</f>
        <v>4.2857142857142856</v>
      </c>
      <c r="G33" s="49">
        <f>AVERAGE('27.10 Mbarara-Kabale'!G33,'28.10 Mbarara-Kabale'!G33,'29.10 Mbarara-Kabale'!G33,'30.10 Mbarara-Kabale'!G33,'31.10 Mbarara-Kabale-24hr'!G33,'1.11 Mbarara-Kabale'!G33,'2.11 Mbarara-Kabale-24hr'!G33)</f>
        <v>0</v>
      </c>
      <c r="H33" s="49">
        <f>AVERAGE('27.10 Mbarara-Kabale'!H33,'28.10 Mbarara-Kabale'!H33,'29.10 Mbarara-Kabale'!H33,'30.10 Mbarara-Kabale'!H33,'31.10 Mbarara-Kabale-24hr'!H33,'1.11 Mbarara-Kabale'!H33,'2.11 Mbarara-Kabale-24hr'!H33)</f>
        <v>0.7142857142857143</v>
      </c>
      <c r="I33" s="49">
        <f>AVERAGE('27.10 Mbarara-Kabale'!I33,'28.10 Mbarara-Kabale'!I33,'29.10 Mbarara-Kabale'!I33,'30.10 Mbarara-Kabale'!I33,'31.10 Mbarara-Kabale-24hr'!I33,'1.11 Mbarara-Kabale'!I33,'2.11 Mbarara-Kabale-24hr'!I33)</f>
        <v>1.2857142857142858</v>
      </c>
      <c r="J33" s="49">
        <f>AVERAGE('27.10 Mbarara-Kabale'!J33,'28.10 Mbarara-Kabale'!J33,'29.10 Mbarara-Kabale'!J33,'30.10 Mbarara-Kabale'!J33,'31.10 Mbarara-Kabale-24hr'!J33,'1.11 Mbarara-Kabale'!J33,'2.11 Mbarara-Kabale-24hr'!J33)</f>
        <v>1</v>
      </c>
      <c r="K33" s="49">
        <f>AVERAGE('27.10 Mbarara-Kabale'!K33,'28.10 Mbarara-Kabale'!K33,'29.10 Mbarara-Kabale'!K33,'30.10 Mbarara-Kabale'!K33,'31.10 Mbarara-Kabale-24hr'!K33,'1.11 Mbarara-Kabale'!K33,'2.11 Mbarara-Kabale-24hr'!K33)</f>
        <v>0</v>
      </c>
      <c r="L33" s="49">
        <f>AVERAGE('27.10 Mbarara-Kabale'!L33,'28.10 Mbarara-Kabale'!L33,'29.10 Mbarara-Kabale'!L33,'30.10 Mbarara-Kabale'!L33,'31.10 Mbarara-Kabale-24hr'!L33,'1.11 Mbarara-Kabale'!L33,'2.11 Mbarara-Kabale-24hr'!L33)</f>
        <v>2.5714285714285716</v>
      </c>
      <c r="M33" s="49">
        <f>AVERAGE('27.10 Mbarara-Kabale'!M33,'28.10 Mbarara-Kabale'!M33,'29.10 Mbarara-Kabale'!M33,'30.10 Mbarara-Kabale'!M33,'31.10 Mbarara-Kabale-24hr'!M33,'1.11 Mbarara-Kabale'!M33,'2.11 Mbarara-Kabale-24hr'!M33)</f>
        <v>10</v>
      </c>
      <c r="N33" s="49">
        <f>AVERAGE('27.10 Mbarara-Kabale'!N33,'28.10 Mbarara-Kabale'!N33,'29.10 Mbarara-Kabale'!N33,'30.10 Mbarara-Kabale'!N33,'31.10 Mbarara-Kabale-24hr'!N33,'1.11 Mbarara-Kabale'!N33,'2.11 Mbarara-Kabale-24hr'!N33)</f>
        <v>0</v>
      </c>
      <c r="O33" s="15">
        <f t="shared" si="0"/>
        <v>18.571428571428573</v>
      </c>
      <c r="P33" s="15">
        <f t="shared" si="1"/>
        <v>28.571428571428573</v>
      </c>
      <c r="R33" s="1" t="s">
        <v>157</v>
      </c>
      <c r="S33" s="34">
        <f>SUM(C102:C105)</f>
        <v>7.5</v>
      </c>
      <c r="T33" s="34">
        <f t="shared" ref="T33:AF33" si="25">SUM(D102:D105)</f>
        <v>7</v>
      </c>
      <c r="U33" s="34">
        <f t="shared" si="25"/>
        <v>7.5</v>
      </c>
      <c r="V33" s="34">
        <f t="shared" si="25"/>
        <v>17.5</v>
      </c>
      <c r="W33" s="34">
        <f t="shared" si="25"/>
        <v>1</v>
      </c>
      <c r="X33" s="34">
        <f t="shared" si="25"/>
        <v>0</v>
      </c>
      <c r="Y33" s="34">
        <f t="shared" si="25"/>
        <v>2</v>
      </c>
      <c r="Z33" s="34">
        <f t="shared" si="25"/>
        <v>6.5</v>
      </c>
      <c r="AA33" s="34">
        <f t="shared" si="25"/>
        <v>4.5</v>
      </c>
      <c r="AB33" s="34">
        <f t="shared" si="25"/>
        <v>18.5</v>
      </c>
      <c r="AC33" s="34">
        <f t="shared" si="25"/>
        <v>15</v>
      </c>
      <c r="AD33" s="34">
        <f t="shared" si="25"/>
        <v>0</v>
      </c>
      <c r="AE33" s="31">
        <f t="shared" si="25"/>
        <v>72</v>
      </c>
      <c r="AF33" s="31">
        <f t="shared" si="25"/>
        <v>87</v>
      </c>
    </row>
    <row r="34" spans="2:32" ht="23.1" customHeight="1" x14ac:dyDescent="0.25">
      <c r="B34" s="24" t="s">
        <v>61</v>
      </c>
      <c r="C34" s="49">
        <f>AVERAGE('27.10 Mbarara-Kabale'!C34,'28.10 Mbarara-Kabale'!C34,'29.10 Mbarara-Kabale'!C34,'30.10 Mbarara-Kabale'!C34,'31.10 Mbarara-Kabale-24hr'!C34,'1.11 Mbarara-Kabale'!C34,'2.11 Mbarara-Kabale-24hr'!C34)</f>
        <v>7.8571428571428568</v>
      </c>
      <c r="D34" s="49">
        <f>AVERAGE('27.10 Mbarara-Kabale'!D34,'28.10 Mbarara-Kabale'!D34,'29.10 Mbarara-Kabale'!D34,'30.10 Mbarara-Kabale'!D34,'31.10 Mbarara-Kabale-24hr'!D34,'1.11 Mbarara-Kabale'!D34,'2.11 Mbarara-Kabale-24hr'!D34)</f>
        <v>3.1428571428571428</v>
      </c>
      <c r="E34" s="49">
        <f>AVERAGE('27.10 Mbarara-Kabale'!E34,'28.10 Mbarara-Kabale'!E34,'29.10 Mbarara-Kabale'!E34,'30.10 Mbarara-Kabale'!E34,'31.10 Mbarara-Kabale-24hr'!E34,'1.11 Mbarara-Kabale'!E34,'2.11 Mbarara-Kabale-24hr'!E34)</f>
        <v>2.4285714285714284</v>
      </c>
      <c r="F34" s="49">
        <f>AVERAGE('27.10 Mbarara-Kabale'!F34,'28.10 Mbarara-Kabale'!F34,'29.10 Mbarara-Kabale'!F34,'30.10 Mbarara-Kabale'!F34,'31.10 Mbarara-Kabale-24hr'!F34,'1.11 Mbarara-Kabale'!F34,'2.11 Mbarara-Kabale-24hr'!F34)</f>
        <v>6.1428571428571432</v>
      </c>
      <c r="G34" s="49">
        <f>AVERAGE('27.10 Mbarara-Kabale'!G34,'28.10 Mbarara-Kabale'!G34,'29.10 Mbarara-Kabale'!G34,'30.10 Mbarara-Kabale'!G34,'31.10 Mbarara-Kabale-24hr'!G34,'1.11 Mbarara-Kabale'!G34,'2.11 Mbarara-Kabale-24hr'!G34)</f>
        <v>0.2857142857142857</v>
      </c>
      <c r="H34" s="49">
        <f>AVERAGE('27.10 Mbarara-Kabale'!H34,'28.10 Mbarara-Kabale'!H34,'29.10 Mbarara-Kabale'!H34,'30.10 Mbarara-Kabale'!H34,'31.10 Mbarara-Kabale-24hr'!H34,'1.11 Mbarara-Kabale'!H34,'2.11 Mbarara-Kabale-24hr'!H34)</f>
        <v>0.2857142857142857</v>
      </c>
      <c r="I34" s="49">
        <f>AVERAGE('27.10 Mbarara-Kabale'!I34,'28.10 Mbarara-Kabale'!I34,'29.10 Mbarara-Kabale'!I34,'30.10 Mbarara-Kabale'!I34,'31.10 Mbarara-Kabale-24hr'!I34,'1.11 Mbarara-Kabale'!I34,'2.11 Mbarara-Kabale-24hr'!I34)</f>
        <v>1.4285714285714286</v>
      </c>
      <c r="J34" s="49">
        <f>AVERAGE('27.10 Mbarara-Kabale'!J34,'28.10 Mbarara-Kabale'!J34,'29.10 Mbarara-Kabale'!J34,'30.10 Mbarara-Kabale'!J34,'31.10 Mbarara-Kabale-24hr'!J34,'1.11 Mbarara-Kabale'!J34,'2.11 Mbarara-Kabale-24hr'!J34)</f>
        <v>0.5714285714285714</v>
      </c>
      <c r="K34" s="49">
        <f>AVERAGE('27.10 Mbarara-Kabale'!K34,'28.10 Mbarara-Kabale'!K34,'29.10 Mbarara-Kabale'!K34,'30.10 Mbarara-Kabale'!K34,'31.10 Mbarara-Kabale-24hr'!K34,'1.11 Mbarara-Kabale'!K34,'2.11 Mbarara-Kabale-24hr'!K34)</f>
        <v>2.4285714285714284</v>
      </c>
      <c r="L34" s="49">
        <f>AVERAGE('27.10 Mbarara-Kabale'!L34,'28.10 Mbarara-Kabale'!L34,'29.10 Mbarara-Kabale'!L34,'30.10 Mbarara-Kabale'!L34,'31.10 Mbarara-Kabale-24hr'!L34,'1.11 Mbarara-Kabale'!L34,'2.11 Mbarara-Kabale-24hr'!L34)</f>
        <v>2.1428571428571428</v>
      </c>
      <c r="M34" s="49">
        <f>AVERAGE('27.10 Mbarara-Kabale'!M34,'28.10 Mbarara-Kabale'!M34,'29.10 Mbarara-Kabale'!M34,'30.10 Mbarara-Kabale'!M34,'31.10 Mbarara-Kabale-24hr'!M34,'1.11 Mbarara-Kabale'!M34,'2.11 Mbarara-Kabale-24hr'!M34)</f>
        <v>12.714285714285714</v>
      </c>
      <c r="N34" s="49">
        <f>AVERAGE('27.10 Mbarara-Kabale'!N34,'28.10 Mbarara-Kabale'!N34,'29.10 Mbarara-Kabale'!N34,'30.10 Mbarara-Kabale'!N34,'31.10 Mbarara-Kabale-24hr'!N34,'1.11 Mbarara-Kabale'!N34,'2.11 Mbarara-Kabale-24hr'!N34)</f>
        <v>0</v>
      </c>
      <c r="O34" s="15">
        <f t="shared" si="0"/>
        <v>26.714285714285712</v>
      </c>
      <c r="P34" s="15">
        <f t="shared" si="1"/>
        <v>39.428571428571423</v>
      </c>
      <c r="R34" s="38" t="s">
        <v>90</v>
      </c>
      <c r="S34" s="39">
        <f t="shared" ref="S34:AF34" si="26">MAX(S10:S12)</f>
        <v>24.714285714285715</v>
      </c>
      <c r="T34" s="39">
        <f t="shared" si="26"/>
        <v>10.857142857142858</v>
      </c>
      <c r="U34" s="39">
        <f t="shared" si="26"/>
        <v>9.2857142857142847</v>
      </c>
      <c r="V34" s="39">
        <f t="shared" si="26"/>
        <v>20.285714285714285</v>
      </c>
      <c r="W34" s="39">
        <f t="shared" si="26"/>
        <v>1.2857142857142856</v>
      </c>
      <c r="X34" s="39">
        <f t="shared" si="26"/>
        <v>1.857142857142857</v>
      </c>
      <c r="Y34" s="39">
        <f t="shared" si="26"/>
        <v>7.4285714285714288</v>
      </c>
      <c r="Z34" s="39">
        <f t="shared" si="26"/>
        <v>6</v>
      </c>
      <c r="AA34" s="39">
        <f t="shared" si="26"/>
        <v>11.428571428571427</v>
      </c>
      <c r="AB34" s="39">
        <f t="shared" si="26"/>
        <v>13.714285714285715</v>
      </c>
      <c r="AC34" s="39">
        <f t="shared" si="26"/>
        <v>67.285714285714278</v>
      </c>
      <c r="AD34" s="39">
        <f t="shared" si="26"/>
        <v>0.5714285714285714</v>
      </c>
      <c r="AE34" s="40">
        <f t="shared" si="26"/>
        <v>96.142857142857139</v>
      </c>
      <c r="AF34" s="40">
        <f t="shared" si="26"/>
        <v>163.42857142857144</v>
      </c>
    </row>
    <row r="35" spans="2:32" ht="23.1" customHeight="1" x14ac:dyDescent="0.25">
      <c r="B35" s="24" t="s">
        <v>62</v>
      </c>
      <c r="C35" s="49">
        <f>AVERAGE('27.10 Mbarara-Kabale'!C35,'28.10 Mbarara-Kabale'!C35,'29.10 Mbarara-Kabale'!C35,'30.10 Mbarara-Kabale'!C35,'31.10 Mbarara-Kabale-24hr'!C35,'1.11 Mbarara-Kabale'!C35,'2.11 Mbarara-Kabale-24hr'!C35)</f>
        <v>7.4285714285714288</v>
      </c>
      <c r="D35" s="49">
        <f>AVERAGE('27.10 Mbarara-Kabale'!D35,'28.10 Mbarara-Kabale'!D35,'29.10 Mbarara-Kabale'!D35,'30.10 Mbarara-Kabale'!D35,'31.10 Mbarara-Kabale-24hr'!D35,'1.11 Mbarara-Kabale'!D35,'2.11 Mbarara-Kabale-24hr'!D35)</f>
        <v>4.1428571428571432</v>
      </c>
      <c r="E35" s="49">
        <f>AVERAGE('27.10 Mbarara-Kabale'!E35,'28.10 Mbarara-Kabale'!E35,'29.10 Mbarara-Kabale'!E35,'30.10 Mbarara-Kabale'!E35,'31.10 Mbarara-Kabale-24hr'!E35,'1.11 Mbarara-Kabale'!E35,'2.11 Mbarara-Kabale-24hr'!E35)</f>
        <v>1.7142857142857142</v>
      </c>
      <c r="F35" s="49">
        <f>AVERAGE('27.10 Mbarara-Kabale'!F35,'28.10 Mbarara-Kabale'!F35,'29.10 Mbarara-Kabale'!F35,'30.10 Mbarara-Kabale'!F35,'31.10 Mbarara-Kabale-24hr'!F35,'1.11 Mbarara-Kabale'!F35,'2.11 Mbarara-Kabale-24hr'!F35)</f>
        <v>6.7142857142857144</v>
      </c>
      <c r="G35" s="49">
        <f>AVERAGE('27.10 Mbarara-Kabale'!G35,'28.10 Mbarara-Kabale'!G35,'29.10 Mbarara-Kabale'!G35,'30.10 Mbarara-Kabale'!G35,'31.10 Mbarara-Kabale-24hr'!G35,'1.11 Mbarara-Kabale'!G35,'2.11 Mbarara-Kabale-24hr'!G35)</f>
        <v>0</v>
      </c>
      <c r="H35" s="49">
        <f>AVERAGE('27.10 Mbarara-Kabale'!H35,'28.10 Mbarara-Kabale'!H35,'29.10 Mbarara-Kabale'!H35,'30.10 Mbarara-Kabale'!H35,'31.10 Mbarara-Kabale-24hr'!H35,'1.11 Mbarara-Kabale'!H35,'2.11 Mbarara-Kabale-24hr'!H35)</f>
        <v>1.4285714285714286</v>
      </c>
      <c r="I35" s="49">
        <f>AVERAGE('27.10 Mbarara-Kabale'!I35,'28.10 Mbarara-Kabale'!I35,'29.10 Mbarara-Kabale'!I35,'30.10 Mbarara-Kabale'!I35,'31.10 Mbarara-Kabale-24hr'!I35,'1.11 Mbarara-Kabale'!I35,'2.11 Mbarara-Kabale-24hr'!I35)</f>
        <v>1.7142857142857142</v>
      </c>
      <c r="J35" s="49">
        <f>AVERAGE('27.10 Mbarara-Kabale'!J35,'28.10 Mbarara-Kabale'!J35,'29.10 Mbarara-Kabale'!J35,'30.10 Mbarara-Kabale'!J35,'31.10 Mbarara-Kabale-24hr'!J35,'1.11 Mbarara-Kabale'!J35,'2.11 Mbarara-Kabale-24hr'!J35)</f>
        <v>1.4285714285714286</v>
      </c>
      <c r="K35" s="49">
        <f>AVERAGE('27.10 Mbarara-Kabale'!K35,'28.10 Mbarara-Kabale'!K35,'29.10 Mbarara-Kabale'!K35,'30.10 Mbarara-Kabale'!K35,'31.10 Mbarara-Kabale-24hr'!K35,'1.11 Mbarara-Kabale'!K35,'2.11 Mbarara-Kabale-24hr'!K35)</f>
        <v>1</v>
      </c>
      <c r="L35" s="49">
        <f>AVERAGE('27.10 Mbarara-Kabale'!L35,'28.10 Mbarara-Kabale'!L35,'29.10 Mbarara-Kabale'!L35,'30.10 Mbarara-Kabale'!L35,'31.10 Mbarara-Kabale-24hr'!L35,'1.11 Mbarara-Kabale'!L35,'2.11 Mbarara-Kabale-24hr'!L35)</f>
        <v>3.5714285714285716</v>
      </c>
      <c r="M35" s="49">
        <f>AVERAGE('27.10 Mbarara-Kabale'!M35,'28.10 Mbarara-Kabale'!M35,'29.10 Mbarara-Kabale'!M35,'30.10 Mbarara-Kabale'!M35,'31.10 Mbarara-Kabale-24hr'!M35,'1.11 Mbarara-Kabale'!M35,'2.11 Mbarara-Kabale-24hr'!M35)</f>
        <v>12.142857142857142</v>
      </c>
      <c r="N35" s="49">
        <f>AVERAGE('27.10 Mbarara-Kabale'!N35,'28.10 Mbarara-Kabale'!N35,'29.10 Mbarara-Kabale'!N35,'30.10 Mbarara-Kabale'!N35,'31.10 Mbarara-Kabale-24hr'!N35,'1.11 Mbarara-Kabale'!N35,'2.11 Mbarara-Kabale-24hr'!N35)</f>
        <v>0</v>
      </c>
      <c r="O35" s="15">
        <f t="shared" si="0"/>
        <v>29.142857142857142</v>
      </c>
      <c r="P35" s="15">
        <f t="shared" si="1"/>
        <v>41.285714285714285</v>
      </c>
      <c r="R35" s="38" t="s">
        <v>91</v>
      </c>
      <c r="S35" s="39">
        <f t="shared" ref="S35:AF35" si="27">MAX(S13:S18)</f>
        <v>35.285714285714285</v>
      </c>
      <c r="T35" s="39">
        <f t="shared" si="27"/>
        <v>13.857142857142858</v>
      </c>
      <c r="U35" s="39">
        <f t="shared" si="27"/>
        <v>10.285714285714286</v>
      </c>
      <c r="V35" s="39">
        <f t="shared" si="27"/>
        <v>24.428571428571431</v>
      </c>
      <c r="W35" s="39">
        <f t="shared" si="27"/>
        <v>1.5714285714285712</v>
      </c>
      <c r="X35" s="39">
        <f t="shared" si="27"/>
        <v>3.285714285714286</v>
      </c>
      <c r="Y35" s="39">
        <f t="shared" si="27"/>
        <v>11</v>
      </c>
      <c r="Z35" s="39">
        <f t="shared" si="27"/>
        <v>7.2857142857142856</v>
      </c>
      <c r="AA35" s="39">
        <f t="shared" si="27"/>
        <v>8.4285714285714288</v>
      </c>
      <c r="AB35" s="39">
        <f t="shared" si="27"/>
        <v>15.142857142857142</v>
      </c>
      <c r="AC35" s="39">
        <f t="shared" si="27"/>
        <v>64.857142857142861</v>
      </c>
      <c r="AD35" s="39">
        <f t="shared" si="27"/>
        <v>0.42857142857142855</v>
      </c>
      <c r="AE35" s="40">
        <f t="shared" si="27"/>
        <v>114.99999999999999</v>
      </c>
      <c r="AF35" s="40">
        <f t="shared" si="27"/>
        <v>173.85714285714283</v>
      </c>
    </row>
    <row r="36" spans="2:32" ht="23.1" customHeight="1" x14ac:dyDescent="0.25">
      <c r="B36" s="24" t="s">
        <v>63</v>
      </c>
      <c r="C36" s="49">
        <f>AVERAGE('27.10 Mbarara-Kabale'!C36,'28.10 Mbarara-Kabale'!C36,'29.10 Mbarara-Kabale'!C36,'30.10 Mbarara-Kabale'!C36,'31.10 Mbarara-Kabale-24hr'!C36,'1.11 Mbarara-Kabale'!C36,'2.11 Mbarara-Kabale-24hr'!C36)</f>
        <v>7</v>
      </c>
      <c r="D36" s="49">
        <f>AVERAGE('27.10 Mbarara-Kabale'!D36,'28.10 Mbarara-Kabale'!D36,'29.10 Mbarara-Kabale'!D36,'30.10 Mbarara-Kabale'!D36,'31.10 Mbarara-Kabale-24hr'!D36,'1.11 Mbarara-Kabale'!D36,'2.11 Mbarara-Kabale-24hr'!D36)</f>
        <v>4</v>
      </c>
      <c r="E36" s="49">
        <f>AVERAGE('27.10 Mbarara-Kabale'!E36,'28.10 Mbarara-Kabale'!E36,'29.10 Mbarara-Kabale'!E36,'30.10 Mbarara-Kabale'!E36,'31.10 Mbarara-Kabale-24hr'!E36,'1.11 Mbarara-Kabale'!E36,'2.11 Mbarara-Kabale-24hr'!E36)</f>
        <v>3.1428571428571428</v>
      </c>
      <c r="F36" s="49">
        <f>AVERAGE('27.10 Mbarara-Kabale'!F36,'28.10 Mbarara-Kabale'!F36,'29.10 Mbarara-Kabale'!F36,'30.10 Mbarara-Kabale'!F36,'31.10 Mbarara-Kabale-24hr'!F36,'1.11 Mbarara-Kabale'!F36,'2.11 Mbarara-Kabale-24hr'!F36)</f>
        <v>6.8571428571428568</v>
      </c>
      <c r="G36" s="49">
        <f>AVERAGE('27.10 Mbarara-Kabale'!G36,'28.10 Mbarara-Kabale'!G36,'29.10 Mbarara-Kabale'!G36,'30.10 Mbarara-Kabale'!G36,'31.10 Mbarara-Kabale-24hr'!G36,'1.11 Mbarara-Kabale'!G36,'2.11 Mbarara-Kabale-24hr'!G36)</f>
        <v>0</v>
      </c>
      <c r="H36" s="49">
        <f>AVERAGE('27.10 Mbarara-Kabale'!H36,'28.10 Mbarara-Kabale'!H36,'29.10 Mbarara-Kabale'!H36,'30.10 Mbarara-Kabale'!H36,'31.10 Mbarara-Kabale-24hr'!H36,'1.11 Mbarara-Kabale'!H36,'2.11 Mbarara-Kabale-24hr'!H36)</f>
        <v>0.2857142857142857</v>
      </c>
      <c r="I36" s="49">
        <f>AVERAGE('27.10 Mbarara-Kabale'!I36,'28.10 Mbarara-Kabale'!I36,'29.10 Mbarara-Kabale'!I36,'30.10 Mbarara-Kabale'!I36,'31.10 Mbarara-Kabale-24hr'!I36,'1.11 Mbarara-Kabale'!I36,'2.11 Mbarara-Kabale-24hr'!I36)</f>
        <v>1.2857142857142858</v>
      </c>
      <c r="J36" s="49">
        <f>AVERAGE('27.10 Mbarara-Kabale'!J36,'28.10 Mbarara-Kabale'!J36,'29.10 Mbarara-Kabale'!J36,'30.10 Mbarara-Kabale'!J36,'31.10 Mbarara-Kabale-24hr'!J36,'1.11 Mbarara-Kabale'!J36,'2.11 Mbarara-Kabale-24hr'!J36)</f>
        <v>1.4285714285714286</v>
      </c>
      <c r="K36" s="49">
        <f>AVERAGE('27.10 Mbarara-Kabale'!K36,'28.10 Mbarara-Kabale'!K36,'29.10 Mbarara-Kabale'!K36,'30.10 Mbarara-Kabale'!K36,'31.10 Mbarara-Kabale-24hr'!K36,'1.11 Mbarara-Kabale'!K36,'2.11 Mbarara-Kabale-24hr'!K36)</f>
        <v>1.8571428571428572</v>
      </c>
      <c r="L36" s="49">
        <f>AVERAGE('27.10 Mbarara-Kabale'!L36,'28.10 Mbarara-Kabale'!L36,'29.10 Mbarara-Kabale'!L36,'30.10 Mbarara-Kabale'!L36,'31.10 Mbarara-Kabale-24hr'!L36,'1.11 Mbarara-Kabale'!L36,'2.11 Mbarara-Kabale-24hr'!L36)</f>
        <v>1.7142857142857142</v>
      </c>
      <c r="M36" s="49">
        <f>AVERAGE('27.10 Mbarara-Kabale'!M36,'28.10 Mbarara-Kabale'!M36,'29.10 Mbarara-Kabale'!M36,'30.10 Mbarara-Kabale'!M36,'31.10 Mbarara-Kabale-24hr'!M36,'1.11 Mbarara-Kabale'!M36,'2.11 Mbarara-Kabale-24hr'!M36)</f>
        <v>11.571428571428571</v>
      </c>
      <c r="N36" s="49">
        <f>AVERAGE('27.10 Mbarara-Kabale'!N36,'28.10 Mbarara-Kabale'!N36,'29.10 Mbarara-Kabale'!N36,'30.10 Mbarara-Kabale'!N36,'31.10 Mbarara-Kabale-24hr'!N36,'1.11 Mbarara-Kabale'!N36,'2.11 Mbarara-Kabale-24hr'!N36)</f>
        <v>0</v>
      </c>
      <c r="O36" s="15">
        <f t="shared" si="0"/>
        <v>27.571428571428569</v>
      </c>
      <c r="P36" s="15">
        <f t="shared" si="1"/>
        <v>39.142857142857139</v>
      </c>
      <c r="R36" s="38" t="s">
        <v>92</v>
      </c>
      <c r="S36" s="39">
        <f t="shared" ref="S36:AF36" si="28">MAX(S19:S21)</f>
        <v>25.571428571428573</v>
      </c>
      <c r="T36" s="39">
        <f t="shared" si="28"/>
        <v>12</v>
      </c>
      <c r="U36" s="39">
        <f t="shared" si="28"/>
        <v>9.8571428571428577</v>
      </c>
      <c r="V36" s="39">
        <f t="shared" si="28"/>
        <v>18.714285714285715</v>
      </c>
      <c r="W36" s="39">
        <f t="shared" si="28"/>
        <v>1.5714285714285712</v>
      </c>
      <c r="X36" s="39">
        <f t="shared" si="28"/>
        <v>3.714285714285714</v>
      </c>
      <c r="Y36" s="39">
        <f t="shared" si="28"/>
        <v>6.4285714285714288</v>
      </c>
      <c r="Z36" s="39">
        <f t="shared" si="28"/>
        <v>6.4285714285714288</v>
      </c>
      <c r="AA36" s="39">
        <f t="shared" si="28"/>
        <v>10.142857142857142</v>
      </c>
      <c r="AB36" s="39">
        <f t="shared" si="28"/>
        <v>14.571428571428569</v>
      </c>
      <c r="AC36" s="39">
        <f t="shared" si="28"/>
        <v>57.714285714285715</v>
      </c>
      <c r="AD36" s="39">
        <f t="shared" si="28"/>
        <v>0</v>
      </c>
      <c r="AE36" s="40">
        <f t="shared" si="28"/>
        <v>98.285714285714278</v>
      </c>
      <c r="AF36" s="40">
        <f t="shared" si="28"/>
        <v>155.28571428571431</v>
      </c>
    </row>
    <row r="37" spans="2:32" ht="23.1" customHeight="1" x14ac:dyDescent="0.25">
      <c r="B37" s="23" t="s">
        <v>64</v>
      </c>
      <c r="C37" s="49">
        <f>AVERAGE('27.10 Mbarara-Kabale'!C37,'28.10 Mbarara-Kabale'!C37,'29.10 Mbarara-Kabale'!C37,'30.10 Mbarara-Kabale'!C37,'31.10 Mbarara-Kabale-24hr'!C37,'1.11 Mbarara-Kabale'!C37,'2.11 Mbarara-Kabale-24hr'!C37)</f>
        <v>7</v>
      </c>
      <c r="D37" s="49">
        <f>AVERAGE('27.10 Mbarara-Kabale'!D37,'28.10 Mbarara-Kabale'!D37,'29.10 Mbarara-Kabale'!D37,'30.10 Mbarara-Kabale'!D37,'31.10 Mbarara-Kabale-24hr'!D37,'1.11 Mbarara-Kabale'!D37,'2.11 Mbarara-Kabale-24hr'!D37)</f>
        <v>2.2857142857142856</v>
      </c>
      <c r="E37" s="49">
        <f>AVERAGE('27.10 Mbarara-Kabale'!E37,'28.10 Mbarara-Kabale'!E37,'29.10 Mbarara-Kabale'!E37,'30.10 Mbarara-Kabale'!E37,'31.10 Mbarara-Kabale-24hr'!E37,'1.11 Mbarara-Kabale'!E37,'2.11 Mbarara-Kabale-24hr'!E37)</f>
        <v>1.2857142857142858</v>
      </c>
      <c r="F37" s="49">
        <f>AVERAGE('27.10 Mbarara-Kabale'!F37,'28.10 Mbarara-Kabale'!F37,'29.10 Mbarara-Kabale'!F37,'30.10 Mbarara-Kabale'!F37,'31.10 Mbarara-Kabale-24hr'!F37,'1.11 Mbarara-Kabale'!F37,'2.11 Mbarara-Kabale-24hr'!F37)</f>
        <v>3.5714285714285716</v>
      </c>
      <c r="G37" s="49">
        <f>AVERAGE('27.10 Mbarara-Kabale'!G37,'28.10 Mbarara-Kabale'!G37,'29.10 Mbarara-Kabale'!G37,'30.10 Mbarara-Kabale'!G37,'31.10 Mbarara-Kabale-24hr'!G37,'1.11 Mbarara-Kabale'!G37,'2.11 Mbarara-Kabale-24hr'!G37)</f>
        <v>0.2857142857142857</v>
      </c>
      <c r="H37" s="49">
        <f>AVERAGE('27.10 Mbarara-Kabale'!H37,'28.10 Mbarara-Kabale'!H37,'29.10 Mbarara-Kabale'!H37,'30.10 Mbarara-Kabale'!H37,'31.10 Mbarara-Kabale-24hr'!H37,'1.11 Mbarara-Kabale'!H37,'2.11 Mbarara-Kabale-24hr'!H37)</f>
        <v>0.7142857142857143</v>
      </c>
      <c r="I37" s="49">
        <f>AVERAGE('27.10 Mbarara-Kabale'!I37,'28.10 Mbarara-Kabale'!I37,'29.10 Mbarara-Kabale'!I37,'30.10 Mbarara-Kabale'!I37,'31.10 Mbarara-Kabale-24hr'!I37,'1.11 Mbarara-Kabale'!I37,'2.11 Mbarara-Kabale-24hr'!I37)</f>
        <v>1.4285714285714286</v>
      </c>
      <c r="J37" s="49">
        <f>AVERAGE('27.10 Mbarara-Kabale'!J37,'28.10 Mbarara-Kabale'!J37,'29.10 Mbarara-Kabale'!J37,'30.10 Mbarara-Kabale'!J37,'31.10 Mbarara-Kabale-24hr'!J37,'1.11 Mbarara-Kabale'!J37,'2.11 Mbarara-Kabale-24hr'!J37)</f>
        <v>0.14285714285714285</v>
      </c>
      <c r="K37" s="49">
        <f>AVERAGE('27.10 Mbarara-Kabale'!K37,'28.10 Mbarara-Kabale'!K37,'29.10 Mbarara-Kabale'!K37,'30.10 Mbarara-Kabale'!K37,'31.10 Mbarara-Kabale-24hr'!K37,'1.11 Mbarara-Kabale'!K37,'2.11 Mbarara-Kabale-24hr'!K37)</f>
        <v>0.5714285714285714</v>
      </c>
      <c r="L37" s="49">
        <f>AVERAGE('27.10 Mbarara-Kabale'!L37,'28.10 Mbarara-Kabale'!L37,'29.10 Mbarara-Kabale'!L37,'30.10 Mbarara-Kabale'!L37,'31.10 Mbarara-Kabale-24hr'!L37,'1.11 Mbarara-Kabale'!L37,'2.11 Mbarara-Kabale-24hr'!L37)</f>
        <v>1.7142857142857142</v>
      </c>
      <c r="M37" s="49">
        <f>AVERAGE('27.10 Mbarara-Kabale'!M37,'28.10 Mbarara-Kabale'!M37,'29.10 Mbarara-Kabale'!M37,'30.10 Mbarara-Kabale'!M37,'31.10 Mbarara-Kabale-24hr'!M37,'1.11 Mbarara-Kabale'!M37,'2.11 Mbarara-Kabale-24hr'!M37)</f>
        <v>11.142857142857142</v>
      </c>
      <c r="N37" s="49">
        <f>AVERAGE('27.10 Mbarara-Kabale'!N37,'28.10 Mbarara-Kabale'!N37,'29.10 Mbarara-Kabale'!N37,'30.10 Mbarara-Kabale'!N37,'31.10 Mbarara-Kabale-24hr'!N37,'1.11 Mbarara-Kabale'!N37,'2.11 Mbarara-Kabale-24hr'!N37)</f>
        <v>0</v>
      </c>
      <c r="O37" s="15">
        <f t="shared" si="0"/>
        <v>19</v>
      </c>
      <c r="P37" s="15">
        <f t="shared" si="1"/>
        <v>30.142857142857142</v>
      </c>
      <c r="R37" s="37" t="s">
        <v>85</v>
      </c>
      <c r="S37" s="35">
        <f t="shared" ref="S37:AF37" si="29">SUM(S10:S12)</f>
        <v>68.714285714285722</v>
      </c>
      <c r="T37" s="16">
        <f t="shared" si="29"/>
        <v>29.714285714285715</v>
      </c>
      <c r="U37" s="16">
        <f t="shared" si="29"/>
        <v>23.857142857142858</v>
      </c>
      <c r="V37" s="16">
        <f t="shared" si="29"/>
        <v>51</v>
      </c>
      <c r="W37" s="16">
        <f t="shared" si="29"/>
        <v>2.4285714285714279</v>
      </c>
      <c r="X37" s="16">
        <f t="shared" si="29"/>
        <v>3</v>
      </c>
      <c r="Y37" s="16">
        <f t="shared" si="29"/>
        <v>19.285714285714285</v>
      </c>
      <c r="Z37" s="16">
        <f t="shared" si="29"/>
        <v>16.428571428571431</v>
      </c>
      <c r="AA37" s="16">
        <f t="shared" si="29"/>
        <v>18.428571428571427</v>
      </c>
      <c r="AB37" s="16">
        <f t="shared" si="29"/>
        <v>37.428571428571431</v>
      </c>
      <c r="AC37" s="16">
        <f t="shared" si="29"/>
        <v>162.42857142857142</v>
      </c>
      <c r="AD37" s="16">
        <f t="shared" si="29"/>
        <v>0.71428571428571419</v>
      </c>
      <c r="AE37" s="32">
        <f t="shared" si="29"/>
        <v>271</v>
      </c>
      <c r="AF37" s="32">
        <f t="shared" si="29"/>
        <v>433.42857142857144</v>
      </c>
    </row>
    <row r="38" spans="2:32" ht="23.1" customHeight="1" x14ac:dyDescent="0.25">
      <c r="B38" s="24" t="s">
        <v>65</v>
      </c>
      <c r="C38" s="49">
        <f>AVERAGE('27.10 Mbarara-Kabale'!C38,'28.10 Mbarara-Kabale'!C38,'29.10 Mbarara-Kabale'!C38,'30.10 Mbarara-Kabale'!C38,'31.10 Mbarara-Kabale-24hr'!C38,'1.11 Mbarara-Kabale'!C38,'2.11 Mbarara-Kabale-24hr'!C38)</f>
        <v>5.8571428571428568</v>
      </c>
      <c r="D38" s="49">
        <f>AVERAGE('27.10 Mbarara-Kabale'!D38,'28.10 Mbarara-Kabale'!D38,'29.10 Mbarara-Kabale'!D38,'30.10 Mbarara-Kabale'!D38,'31.10 Mbarara-Kabale-24hr'!D38,'1.11 Mbarara-Kabale'!D38,'2.11 Mbarara-Kabale-24hr'!D38)</f>
        <v>2.5714285714285716</v>
      </c>
      <c r="E38" s="49">
        <f>AVERAGE('27.10 Mbarara-Kabale'!E38,'28.10 Mbarara-Kabale'!E38,'29.10 Mbarara-Kabale'!E38,'30.10 Mbarara-Kabale'!E38,'31.10 Mbarara-Kabale-24hr'!E38,'1.11 Mbarara-Kabale'!E38,'2.11 Mbarara-Kabale-24hr'!E38)</f>
        <v>1.2857142857142858</v>
      </c>
      <c r="F38" s="49">
        <f>AVERAGE('27.10 Mbarara-Kabale'!F38,'28.10 Mbarara-Kabale'!F38,'29.10 Mbarara-Kabale'!F38,'30.10 Mbarara-Kabale'!F38,'31.10 Mbarara-Kabale-24hr'!F38,'1.11 Mbarara-Kabale'!F38,'2.11 Mbarara-Kabale-24hr'!F38)</f>
        <v>6</v>
      </c>
      <c r="G38" s="49">
        <f>AVERAGE('27.10 Mbarara-Kabale'!G38,'28.10 Mbarara-Kabale'!G38,'29.10 Mbarara-Kabale'!G38,'30.10 Mbarara-Kabale'!G38,'31.10 Mbarara-Kabale-24hr'!G38,'1.11 Mbarara-Kabale'!G38,'2.11 Mbarara-Kabale-24hr'!G38)</f>
        <v>0.42857142857142855</v>
      </c>
      <c r="H38" s="49">
        <f>AVERAGE('27.10 Mbarara-Kabale'!H38,'28.10 Mbarara-Kabale'!H38,'29.10 Mbarara-Kabale'!H38,'30.10 Mbarara-Kabale'!H38,'31.10 Mbarara-Kabale-24hr'!H38,'1.11 Mbarara-Kabale'!H38,'2.11 Mbarara-Kabale-24hr'!H38)</f>
        <v>1.2857142857142858</v>
      </c>
      <c r="I38" s="49">
        <f>AVERAGE('27.10 Mbarara-Kabale'!I38,'28.10 Mbarara-Kabale'!I38,'29.10 Mbarara-Kabale'!I38,'30.10 Mbarara-Kabale'!I38,'31.10 Mbarara-Kabale-24hr'!I38,'1.11 Mbarara-Kabale'!I38,'2.11 Mbarara-Kabale-24hr'!I38)</f>
        <v>1.7142857142857142</v>
      </c>
      <c r="J38" s="49">
        <f>AVERAGE('27.10 Mbarara-Kabale'!J38,'28.10 Mbarara-Kabale'!J38,'29.10 Mbarara-Kabale'!J38,'30.10 Mbarara-Kabale'!J38,'31.10 Mbarara-Kabale-24hr'!J38,'1.11 Mbarara-Kabale'!J38,'2.11 Mbarara-Kabale-24hr'!J38)</f>
        <v>1.5714285714285714</v>
      </c>
      <c r="K38" s="49">
        <f>AVERAGE('27.10 Mbarara-Kabale'!K38,'28.10 Mbarara-Kabale'!K38,'29.10 Mbarara-Kabale'!K38,'30.10 Mbarara-Kabale'!K38,'31.10 Mbarara-Kabale-24hr'!K38,'1.11 Mbarara-Kabale'!K38,'2.11 Mbarara-Kabale-24hr'!K38)</f>
        <v>2.1428571428571428</v>
      </c>
      <c r="L38" s="49">
        <f>AVERAGE('27.10 Mbarara-Kabale'!L38,'28.10 Mbarara-Kabale'!L38,'29.10 Mbarara-Kabale'!L38,'30.10 Mbarara-Kabale'!L38,'31.10 Mbarara-Kabale-24hr'!L38,'1.11 Mbarara-Kabale'!L38,'2.11 Mbarara-Kabale-24hr'!L38)</f>
        <v>2.8571428571428572</v>
      </c>
      <c r="M38" s="49">
        <f>AVERAGE('27.10 Mbarara-Kabale'!M38,'28.10 Mbarara-Kabale'!M38,'29.10 Mbarara-Kabale'!M38,'30.10 Mbarara-Kabale'!M38,'31.10 Mbarara-Kabale-24hr'!M38,'1.11 Mbarara-Kabale'!M38,'2.11 Mbarara-Kabale-24hr'!M38)</f>
        <v>9.4285714285714288</v>
      </c>
      <c r="N38" s="49">
        <f>AVERAGE('27.10 Mbarara-Kabale'!N38,'28.10 Mbarara-Kabale'!N38,'29.10 Mbarara-Kabale'!N38,'30.10 Mbarara-Kabale'!N38,'31.10 Mbarara-Kabale-24hr'!N38,'1.11 Mbarara-Kabale'!N38,'2.11 Mbarara-Kabale-24hr'!N38)</f>
        <v>0</v>
      </c>
      <c r="O38" s="15">
        <f t="shared" si="0"/>
        <v>25.714285714285715</v>
      </c>
      <c r="P38" s="15">
        <f t="shared" si="1"/>
        <v>35.142857142857146</v>
      </c>
      <c r="R38" s="28" t="s">
        <v>86</v>
      </c>
      <c r="S38" s="16">
        <f t="shared" ref="S38:AF38" si="30">SUM(S13:S18)</f>
        <v>189.14285714285714</v>
      </c>
      <c r="T38" s="16">
        <f t="shared" si="30"/>
        <v>72.857142857142861</v>
      </c>
      <c r="U38" s="16">
        <f t="shared" si="30"/>
        <v>49.714285714285708</v>
      </c>
      <c r="V38" s="16">
        <f t="shared" si="30"/>
        <v>136</v>
      </c>
      <c r="W38" s="16">
        <f t="shared" si="30"/>
        <v>4.7142857142857135</v>
      </c>
      <c r="X38" s="16">
        <f t="shared" si="30"/>
        <v>15.714285714285715</v>
      </c>
      <c r="Y38" s="16">
        <f t="shared" si="30"/>
        <v>44.857142857142854</v>
      </c>
      <c r="Z38" s="16">
        <f t="shared" si="30"/>
        <v>37.285714285714292</v>
      </c>
      <c r="AA38" s="16">
        <f t="shared" si="30"/>
        <v>39.714285714285715</v>
      </c>
      <c r="AB38" s="16">
        <f t="shared" si="30"/>
        <v>64</v>
      </c>
      <c r="AC38" s="16">
        <f t="shared" si="30"/>
        <v>334.85714285714289</v>
      </c>
      <c r="AD38" s="16">
        <f t="shared" si="30"/>
        <v>0.42857142857142855</v>
      </c>
      <c r="AE38" s="32">
        <f t="shared" si="30"/>
        <v>654.42857142857133</v>
      </c>
      <c r="AF38" s="32">
        <f t="shared" si="30"/>
        <v>989.28571428571433</v>
      </c>
    </row>
    <row r="39" spans="2:32" ht="23.1" customHeight="1" x14ac:dyDescent="0.25">
      <c r="B39" s="24" t="s">
        <v>66</v>
      </c>
      <c r="C39" s="49">
        <f>AVERAGE('27.10 Mbarara-Kabale'!C39,'28.10 Mbarara-Kabale'!C39,'29.10 Mbarara-Kabale'!C39,'30.10 Mbarara-Kabale'!C39,'31.10 Mbarara-Kabale-24hr'!C39,'1.11 Mbarara-Kabale'!C39,'2.11 Mbarara-Kabale-24hr'!C39)</f>
        <v>6</v>
      </c>
      <c r="D39" s="49">
        <f>AVERAGE('27.10 Mbarara-Kabale'!D39,'28.10 Mbarara-Kabale'!D39,'29.10 Mbarara-Kabale'!D39,'30.10 Mbarara-Kabale'!D39,'31.10 Mbarara-Kabale-24hr'!D39,'1.11 Mbarara-Kabale'!D39,'2.11 Mbarara-Kabale-24hr'!D39)</f>
        <v>3</v>
      </c>
      <c r="E39" s="49">
        <f>AVERAGE('27.10 Mbarara-Kabale'!E39,'28.10 Mbarara-Kabale'!E39,'29.10 Mbarara-Kabale'!E39,'30.10 Mbarara-Kabale'!E39,'31.10 Mbarara-Kabale-24hr'!E39,'1.11 Mbarara-Kabale'!E39,'2.11 Mbarara-Kabale-24hr'!E39)</f>
        <v>3.2857142857142856</v>
      </c>
      <c r="F39" s="49">
        <f>AVERAGE('27.10 Mbarara-Kabale'!F39,'28.10 Mbarara-Kabale'!F39,'29.10 Mbarara-Kabale'!F39,'30.10 Mbarara-Kabale'!F39,'31.10 Mbarara-Kabale-24hr'!F39,'1.11 Mbarara-Kabale'!F39,'2.11 Mbarara-Kabale-24hr'!F39)</f>
        <v>6.7142857142857144</v>
      </c>
      <c r="G39" s="49">
        <f>AVERAGE('27.10 Mbarara-Kabale'!G39,'28.10 Mbarara-Kabale'!G39,'29.10 Mbarara-Kabale'!G39,'30.10 Mbarara-Kabale'!G39,'31.10 Mbarara-Kabale-24hr'!G39,'1.11 Mbarara-Kabale'!G39,'2.11 Mbarara-Kabale-24hr'!G39)</f>
        <v>0.14285714285714285</v>
      </c>
      <c r="H39" s="49">
        <f>AVERAGE('27.10 Mbarara-Kabale'!H39,'28.10 Mbarara-Kabale'!H39,'29.10 Mbarara-Kabale'!H39,'30.10 Mbarara-Kabale'!H39,'31.10 Mbarara-Kabale-24hr'!H39,'1.11 Mbarara-Kabale'!H39,'2.11 Mbarara-Kabale-24hr'!H39)</f>
        <v>0.5714285714285714</v>
      </c>
      <c r="I39" s="49">
        <f>AVERAGE('27.10 Mbarara-Kabale'!I39,'28.10 Mbarara-Kabale'!I39,'29.10 Mbarara-Kabale'!I39,'30.10 Mbarara-Kabale'!I39,'31.10 Mbarara-Kabale-24hr'!I39,'1.11 Mbarara-Kabale'!I39,'2.11 Mbarara-Kabale-24hr'!I39)</f>
        <v>2.1428571428571428</v>
      </c>
      <c r="J39" s="49">
        <f>AVERAGE('27.10 Mbarara-Kabale'!J39,'28.10 Mbarara-Kabale'!J39,'29.10 Mbarara-Kabale'!J39,'30.10 Mbarara-Kabale'!J39,'31.10 Mbarara-Kabale-24hr'!J39,'1.11 Mbarara-Kabale'!J39,'2.11 Mbarara-Kabale-24hr'!J39)</f>
        <v>2.7142857142857144</v>
      </c>
      <c r="K39" s="49">
        <f>AVERAGE('27.10 Mbarara-Kabale'!K39,'28.10 Mbarara-Kabale'!K39,'29.10 Mbarara-Kabale'!K39,'30.10 Mbarara-Kabale'!K39,'31.10 Mbarara-Kabale-24hr'!K39,'1.11 Mbarara-Kabale'!K39,'2.11 Mbarara-Kabale-24hr'!K39)</f>
        <v>2.1428571428571428</v>
      </c>
      <c r="L39" s="49">
        <f>AVERAGE('27.10 Mbarara-Kabale'!L39,'28.10 Mbarara-Kabale'!L39,'29.10 Mbarara-Kabale'!L39,'30.10 Mbarara-Kabale'!L39,'31.10 Mbarara-Kabale-24hr'!L39,'1.11 Mbarara-Kabale'!L39,'2.11 Mbarara-Kabale-24hr'!L39)</f>
        <v>2.1428571428571428</v>
      </c>
      <c r="M39" s="49">
        <f>AVERAGE('27.10 Mbarara-Kabale'!M39,'28.10 Mbarara-Kabale'!M39,'29.10 Mbarara-Kabale'!M39,'30.10 Mbarara-Kabale'!M39,'31.10 Mbarara-Kabale-24hr'!M39,'1.11 Mbarara-Kabale'!M39,'2.11 Mbarara-Kabale-24hr'!M39)</f>
        <v>16</v>
      </c>
      <c r="N39" s="49">
        <f>AVERAGE('27.10 Mbarara-Kabale'!N39,'28.10 Mbarara-Kabale'!N39,'29.10 Mbarara-Kabale'!N39,'30.10 Mbarara-Kabale'!N39,'31.10 Mbarara-Kabale-24hr'!N39,'1.11 Mbarara-Kabale'!N39,'2.11 Mbarara-Kabale-24hr'!N39)</f>
        <v>0.2857142857142857</v>
      </c>
      <c r="O39" s="15">
        <f t="shared" si="0"/>
        <v>29.142857142857142</v>
      </c>
      <c r="P39" s="15">
        <f t="shared" si="1"/>
        <v>45.142857142857146</v>
      </c>
      <c r="R39" s="29" t="s">
        <v>87</v>
      </c>
      <c r="S39" s="16">
        <f t="shared" ref="S39:AF39" si="31">SUM(S19:S21)</f>
        <v>75</v>
      </c>
      <c r="T39" s="16">
        <f t="shared" si="31"/>
        <v>31.714285714285715</v>
      </c>
      <c r="U39" s="16">
        <f t="shared" si="31"/>
        <v>23.857142857142854</v>
      </c>
      <c r="V39" s="16">
        <f t="shared" si="31"/>
        <v>51.142857142857146</v>
      </c>
      <c r="W39" s="16">
        <f t="shared" si="31"/>
        <v>3.2857142857142856</v>
      </c>
      <c r="X39" s="16">
        <f t="shared" si="31"/>
        <v>6.5714285714285712</v>
      </c>
      <c r="Y39" s="16">
        <f t="shared" si="31"/>
        <v>17.428571428571431</v>
      </c>
      <c r="Z39" s="16">
        <f t="shared" si="31"/>
        <v>14.857142857142858</v>
      </c>
      <c r="AA39" s="16">
        <f t="shared" si="31"/>
        <v>24.714285714285715</v>
      </c>
      <c r="AB39" s="16">
        <f t="shared" si="31"/>
        <v>34.714285714285708</v>
      </c>
      <c r="AC39" s="16">
        <f t="shared" si="31"/>
        <v>169.42857142857144</v>
      </c>
      <c r="AD39" s="16">
        <f t="shared" si="31"/>
        <v>0</v>
      </c>
      <c r="AE39" s="32">
        <f t="shared" si="31"/>
        <v>283.28571428571428</v>
      </c>
      <c r="AF39" s="32">
        <f t="shared" si="31"/>
        <v>452.71428571428578</v>
      </c>
    </row>
    <row r="40" spans="2:32" ht="23.1" customHeight="1" x14ac:dyDescent="0.25">
      <c r="B40" s="24" t="s">
        <v>67</v>
      </c>
      <c r="C40" s="49">
        <f>AVERAGE('27.10 Mbarara-Kabale'!C40,'28.10 Mbarara-Kabale'!C40,'29.10 Mbarara-Kabale'!C40,'30.10 Mbarara-Kabale'!C40,'31.10 Mbarara-Kabale-24hr'!C40,'1.11 Mbarara-Kabale'!C40,'2.11 Mbarara-Kabale-24hr'!C40)</f>
        <v>7.8571428571428568</v>
      </c>
      <c r="D40" s="49">
        <f>AVERAGE('27.10 Mbarara-Kabale'!D40,'28.10 Mbarara-Kabale'!D40,'29.10 Mbarara-Kabale'!D40,'30.10 Mbarara-Kabale'!D40,'31.10 Mbarara-Kabale-24hr'!D40,'1.11 Mbarara-Kabale'!D40,'2.11 Mbarara-Kabale-24hr'!D40)</f>
        <v>2.1428571428571428</v>
      </c>
      <c r="E40" s="49">
        <f>AVERAGE('27.10 Mbarara-Kabale'!E40,'28.10 Mbarara-Kabale'!E40,'29.10 Mbarara-Kabale'!E40,'30.10 Mbarara-Kabale'!E40,'31.10 Mbarara-Kabale-24hr'!E40,'1.11 Mbarara-Kabale'!E40,'2.11 Mbarara-Kabale-24hr'!E40)</f>
        <v>1.2857142857142858</v>
      </c>
      <c r="F40" s="49">
        <f>AVERAGE('27.10 Mbarara-Kabale'!F40,'28.10 Mbarara-Kabale'!F40,'29.10 Mbarara-Kabale'!F40,'30.10 Mbarara-Kabale'!F40,'31.10 Mbarara-Kabale-24hr'!F40,'1.11 Mbarara-Kabale'!F40,'2.11 Mbarara-Kabale-24hr'!F40)</f>
        <v>6</v>
      </c>
      <c r="G40" s="49">
        <f>AVERAGE('27.10 Mbarara-Kabale'!G40,'28.10 Mbarara-Kabale'!G40,'29.10 Mbarara-Kabale'!G40,'30.10 Mbarara-Kabale'!G40,'31.10 Mbarara-Kabale-24hr'!G40,'1.11 Mbarara-Kabale'!G40,'2.11 Mbarara-Kabale-24hr'!G40)</f>
        <v>0.14285714285714285</v>
      </c>
      <c r="H40" s="49">
        <f>AVERAGE('27.10 Mbarara-Kabale'!H40,'28.10 Mbarara-Kabale'!H40,'29.10 Mbarara-Kabale'!H40,'30.10 Mbarara-Kabale'!H40,'31.10 Mbarara-Kabale-24hr'!H40,'1.11 Mbarara-Kabale'!H40,'2.11 Mbarara-Kabale-24hr'!H40)</f>
        <v>0.5714285714285714</v>
      </c>
      <c r="I40" s="49">
        <f>AVERAGE('27.10 Mbarara-Kabale'!I40,'28.10 Mbarara-Kabale'!I40,'29.10 Mbarara-Kabale'!I40,'30.10 Mbarara-Kabale'!I40,'31.10 Mbarara-Kabale-24hr'!I40,'1.11 Mbarara-Kabale'!I40,'2.11 Mbarara-Kabale-24hr'!I40)</f>
        <v>1</v>
      </c>
      <c r="J40" s="49">
        <f>AVERAGE('27.10 Mbarara-Kabale'!J40,'28.10 Mbarara-Kabale'!J40,'29.10 Mbarara-Kabale'!J40,'30.10 Mbarara-Kabale'!J40,'31.10 Mbarara-Kabale-24hr'!J40,'1.11 Mbarara-Kabale'!J40,'2.11 Mbarara-Kabale-24hr'!J40)</f>
        <v>1.2857142857142858</v>
      </c>
      <c r="K40" s="49">
        <f>AVERAGE('27.10 Mbarara-Kabale'!K40,'28.10 Mbarara-Kabale'!K40,'29.10 Mbarara-Kabale'!K40,'30.10 Mbarara-Kabale'!K40,'31.10 Mbarara-Kabale-24hr'!K40,'1.11 Mbarara-Kabale'!K40,'2.11 Mbarara-Kabale-24hr'!K40)</f>
        <v>2.2857142857142856</v>
      </c>
      <c r="L40" s="49">
        <f>AVERAGE('27.10 Mbarara-Kabale'!L40,'28.10 Mbarara-Kabale'!L40,'29.10 Mbarara-Kabale'!L40,'30.10 Mbarara-Kabale'!L40,'31.10 Mbarara-Kabale-24hr'!L40,'1.11 Mbarara-Kabale'!L40,'2.11 Mbarara-Kabale-24hr'!L40)</f>
        <v>3.2857142857142856</v>
      </c>
      <c r="M40" s="49">
        <f>AVERAGE('27.10 Mbarara-Kabale'!M40,'28.10 Mbarara-Kabale'!M40,'29.10 Mbarara-Kabale'!M40,'30.10 Mbarara-Kabale'!M40,'31.10 Mbarara-Kabale-24hr'!M40,'1.11 Mbarara-Kabale'!M40,'2.11 Mbarara-Kabale-24hr'!M40)</f>
        <v>16.571428571428573</v>
      </c>
      <c r="N40" s="49">
        <f>AVERAGE('27.10 Mbarara-Kabale'!N40,'28.10 Mbarara-Kabale'!N40,'29.10 Mbarara-Kabale'!N40,'30.10 Mbarara-Kabale'!N40,'31.10 Mbarara-Kabale-24hr'!N40,'1.11 Mbarara-Kabale'!N40,'2.11 Mbarara-Kabale-24hr'!N40)</f>
        <v>0.14285714285714285</v>
      </c>
      <c r="O40" s="15">
        <f t="shared" si="0"/>
        <v>25.999999999999996</v>
      </c>
      <c r="P40" s="15">
        <f t="shared" si="1"/>
        <v>42.571428571428577</v>
      </c>
      <c r="R40" s="5" t="s">
        <v>17</v>
      </c>
      <c r="S40" s="16">
        <f t="shared" ref="S40:AF40" si="32">SUM(S10:S21)</f>
        <v>332.85714285714278</v>
      </c>
      <c r="T40" s="16">
        <f t="shared" si="32"/>
        <v>134.28571428571431</v>
      </c>
      <c r="U40" s="16">
        <f t="shared" si="32"/>
        <v>97.428571428571416</v>
      </c>
      <c r="V40" s="16">
        <f t="shared" si="32"/>
        <v>238.14285714285717</v>
      </c>
      <c r="W40" s="16">
        <f t="shared" si="32"/>
        <v>10.428571428571429</v>
      </c>
      <c r="X40" s="16">
        <f t="shared" si="32"/>
        <v>25.285714285714288</v>
      </c>
      <c r="Y40" s="16">
        <f t="shared" si="32"/>
        <v>81.571428571428584</v>
      </c>
      <c r="Z40" s="16">
        <f t="shared" si="32"/>
        <v>68.571428571428569</v>
      </c>
      <c r="AA40" s="16">
        <f t="shared" si="32"/>
        <v>82.857142857142847</v>
      </c>
      <c r="AB40" s="16">
        <f t="shared" si="32"/>
        <v>136.14285714285714</v>
      </c>
      <c r="AC40" s="16">
        <f t="shared" si="32"/>
        <v>666.71428571428555</v>
      </c>
      <c r="AD40" s="16">
        <f t="shared" si="32"/>
        <v>1.1428571428571428</v>
      </c>
      <c r="AE40" s="32">
        <f t="shared" si="32"/>
        <v>1208.7142857142858</v>
      </c>
      <c r="AF40" s="32">
        <f t="shared" si="32"/>
        <v>1875.4285714285716</v>
      </c>
    </row>
    <row r="41" spans="2:32" ht="23.1" customHeight="1" x14ac:dyDescent="0.25">
      <c r="B41" s="23" t="s">
        <v>68</v>
      </c>
      <c r="C41" s="49">
        <f>AVERAGE('27.10 Mbarara-Kabale'!C41,'28.10 Mbarara-Kabale'!C41,'29.10 Mbarara-Kabale'!C41,'30.10 Mbarara-Kabale'!C41,'31.10 Mbarara-Kabale-24hr'!C41,'1.11 Mbarara-Kabale'!C41,'2.11 Mbarara-Kabale-24hr'!C41)</f>
        <v>8.8571428571428577</v>
      </c>
      <c r="D41" s="49">
        <f>AVERAGE('27.10 Mbarara-Kabale'!D41,'28.10 Mbarara-Kabale'!D41,'29.10 Mbarara-Kabale'!D41,'30.10 Mbarara-Kabale'!D41,'31.10 Mbarara-Kabale-24hr'!D41,'1.11 Mbarara-Kabale'!D41,'2.11 Mbarara-Kabale-24hr'!D41)</f>
        <v>2.2857142857142856</v>
      </c>
      <c r="E41" s="49">
        <f>AVERAGE('27.10 Mbarara-Kabale'!E41,'28.10 Mbarara-Kabale'!E41,'29.10 Mbarara-Kabale'!E41,'30.10 Mbarara-Kabale'!E41,'31.10 Mbarara-Kabale-24hr'!E41,'1.11 Mbarara-Kabale'!E41,'2.11 Mbarara-Kabale-24hr'!E41)</f>
        <v>1.7142857142857142</v>
      </c>
      <c r="F41" s="49">
        <f>AVERAGE('27.10 Mbarara-Kabale'!F41,'28.10 Mbarara-Kabale'!F41,'29.10 Mbarara-Kabale'!F41,'30.10 Mbarara-Kabale'!F41,'31.10 Mbarara-Kabale-24hr'!F41,'1.11 Mbarara-Kabale'!F41,'2.11 Mbarara-Kabale-24hr'!F41)</f>
        <v>5.7142857142857144</v>
      </c>
      <c r="G41" s="49">
        <f>AVERAGE('27.10 Mbarara-Kabale'!G41,'28.10 Mbarara-Kabale'!G41,'29.10 Mbarara-Kabale'!G41,'30.10 Mbarara-Kabale'!G41,'31.10 Mbarara-Kabale-24hr'!G41,'1.11 Mbarara-Kabale'!G41,'2.11 Mbarara-Kabale-24hr'!G41)</f>
        <v>0.2857142857142857</v>
      </c>
      <c r="H41" s="49">
        <f>AVERAGE('27.10 Mbarara-Kabale'!H41,'28.10 Mbarara-Kabale'!H41,'29.10 Mbarara-Kabale'!H41,'30.10 Mbarara-Kabale'!H41,'31.10 Mbarara-Kabale-24hr'!H41,'1.11 Mbarara-Kabale'!H41,'2.11 Mbarara-Kabale-24hr'!H41)</f>
        <v>0.8571428571428571</v>
      </c>
      <c r="I41" s="49">
        <f>AVERAGE('27.10 Mbarara-Kabale'!I41,'28.10 Mbarara-Kabale'!I41,'29.10 Mbarara-Kabale'!I41,'30.10 Mbarara-Kabale'!I41,'31.10 Mbarara-Kabale-24hr'!I41,'1.11 Mbarara-Kabale'!I41,'2.11 Mbarara-Kabale-24hr'!I41)</f>
        <v>0.5714285714285714</v>
      </c>
      <c r="J41" s="49">
        <f>AVERAGE('27.10 Mbarara-Kabale'!J41,'28.10 Mbarara-Kabale'!J41,'29.10 Mbarara-Kabale'!J41,'30.10 Mbarara-Kabale'!J41,'31.10 Mbarara-Kabale-24hr'!J41,'1.11 Mbarara-Kabale'!J41,'2.11 Mbarara-Kabale-24hr'!J41)</f>
        <v>1.2857142857142858</v>
      </c>
      <c r="K41" s="49">
        <f>AVERAGE('27.10 Mbarara-Kabale'!K41,'28.10 Mbarara-Kabale'!K41,'29.10 Mbarara-Kabale'!K41,'30.10 Mbarara-Kabale'!K41,'31.10 Mbarara-Kabale-24hr'!K41,'1.11 Mbarara-Kabale'!K41,'2.11 Mbarara-Kabale-24hr'!K41)</f>
        <v>1.5714285714285714</v>
      </c>
      <c r="L41" s="49">
        <f>AVERAGE('27.10 Mbarara-Kabale'!L41,'28.10 Mbarara-Kabale'!L41,'29.10 Mbarara-Kabale'!L41,'30.10 Mbarara-Kabale'!L41,'31.10 Mbarara-Kabale-24hr'!L41,'1.11 Mbarara-Kabale'!L41,'2.11 Mbarara-Kabale-24hr'!L41)</f>
        <v>3.1428571428571428</v>
      </c>
      <c r="M41" s="49">
        <f>AVERAGE('27.10 Mbarara-Kabale'!M41,'28.10 Mbarara-Kabale'!M41,'29.10 Mbarara-Kabale'!M41,'30.10 Mbarara-Kabale'!M41,'31.10 Mbarara-Kabale-24hr'!M41,'1.11 Mbarara-Kabale'!M41,'2.11 Mbarara-Kabale-24hr'!M41)</f>
        <v>10.428571428571429</v>
      </c>
      <c r="N41" s="49">
        <f>AVERAGE('27.10 Mbarara-Kabale'!N41,'28.10 Mbarara-Kabale'!N41,'29.10 Mbarara-Kabale'!N41,'30.10 Mbarara-Kabale'!N41,'31.10 Mbarara-Kabale-24hr'!N41,'1.11 Mbarara-Kabale'!N41,'2.11 Mbarara-Kabale-24hr'!N41)</f>
        <v>0</v>
      </c>
      <c r="O41" s="15">
        <f t="shared" si="0"/>
        <v>26.285714285714285</v>
      </c>
      <c r="P41" s="15">
        <f t="shared" si="1"/>
        <v>36.714285714285715</v>
      </c>
      <c r="R41" s="5" t="s">
        <v>187</v>
      </c>
      <c r="S41" s="16">
        <f>SUM(S10:S33)</f>
        <v>440.85714285714278</v>
      </c>
      <c r="T41" s="16">
        <f t="shared" ref="T41:AD41" si="33">SUM(T10:T33)</f>
        <v>195.78571428571431</v>
      </c>
      <c r="U41" s="16">
        <f t="shared" si="33"/>
        <v>151.42857142857142</v>
      </c>
      <c r="V41" s="16">
        <f t="shared" si="33"/>
        <v>356.64285714285717</v>
      </c>
      <c r="W41" s="16">
        <f t="shared" si="33"/>
        <v>18.428571428571431</v>
      </c>
      <c r="X41" s="16">
        <f t="shared" si="33"/>
        <v>32.785714285714292</v>
      </c>
      <c r="Y41" s="16">
        <f t="shared" si="33"/>
        <v>103.07142857142858</v>
      </c>
      <c r="Z41" s="16">
        <f t="shared" si="33"/>
        <v>113.57142857142857</v>
      </c>
      <c r="AA41" s="16">
        <f t="shared" si="33"/>
        <v>146.85714285714283</v>
      </c>
      <c r="AB41" s="16">
        <f t="shared" si="33"/>
        <v>262.14285714285711</v>
      </c>
      <c r="AC41" s="16">
        <f t="shared" si="33"/>
        <v>792.71428571428555</v>
      </c>
      <c r="AD41" s="16">
        <f t="shared" si="33"/>
        <v>1.1428571428571428</v>
      </c>
      <c r="AE41" s="32">
        <f>SUM(AE10:AE33)</f>
        <v>1822.7142857142858</v>
      </c>
      <c r="AF41" s="32">
        <f>SUM(AF10:AF33)</f>
        <v>2615.4285714285716</v>
      </c>
    </row>
    <row r="42" spans="2:32" ht="23.1" customHeight="1" x14ac:dyDescent="0.25">
      <c r="B42" s="24" t="s">
        <v>69</v>
      </c>
      <c r="C42" s="49">
        <f>AVERAGE('27.10 Mbarara-Kabale'!C42,'28.10 Mbarara-Kabale'!C42,'29.10 Mbarara-Kabale'!C42,'30.10 Mbarara-Kabale'!C42,'31.10 Mbarara-Kabale-24hr'!C42,'1.11 Mbarara-Kabale'!C42,'2.11 Mbarara-Kabale-24hr'!C42)</f>
        <v>7.5714285714285712</v>
      </c>
      <c r="D42" s="49">
        <f>AVERAGE('27.10 Mbarara-Kabale'!D42,'28.10 Mbarara-Kabale'!D42,'29.10 Mbarara-Kabale'!D42,'30.10 Mbarara-Kabale'!D42,'31.10 Mbarara-Kabale-24hr'!D42,'1.11 Mbarara-Kabale'!D42,'2.11 Mbarara-Kabale-24hr'!D42)</f>
        <v>2.8571428571428572</v>
      </c>
      <c r="E42" s="49">
        <f>AVERAGE('27.10 Mbarara-Kabale'!E42,'28.10 Mbarara-Kabale'!E42,'29.10 Mbarara-Kabale'!E42,'30.10 Mbarara-Kabale'!E42,'31.10 Mbarara-Kabale-24hr'!E42,'1.11 Mbarara-Kabale'!E42,'2.11 Mbarara-Kabale-24hr'!E42)</f>
        <v>2.4285714285714284</v>
      </c>
      <c r="F42" s="49">
        <f>AVERAGE('27.10 Mbarara-Kabale'!F42,'28.10 Mbarara-Kabale'!F42,'29.10 Mbarara-Kabale'!F42,'30.10 Mbarara-Kabale'!F42,'31.10 Mbarara-Kabale-24hr'!F42,'1.11 Mbarara-Kabale'!F42,'2.11 Mbarara-Kabale-24hr'!F42)</f>
        <v>6.5714285714285712</v>
      </c>
      <c r="G42" s="49">
        <f>AVERAGE('27.10 Mbarara-Kabale'!G42,'28.10 Mbarara-Kabale'!G42,'29.10 Mbarara-Kabale'!G42,'30.10 Mbarara-Kabale'!G42,'31.10 Mbarara-Kabale-24hr'!G42,'1.11 Mbarara-Kabale'!G42,'2.11 Mbarara-Kabale-24hr'!G42)</f>
        <v>0.42857142857142855</v>
      </c>
      <c r="H42" s="49">
        <f>AVERAGE('27.10 Mbarara-Kabale'!H42,'28.10 Mbarara-Kabale'!H42,'29.10 Mbarara-Kabale'!H42,'30.10 Mbarara-Kabale'!H42,'31.10 Mbarara-Kabale-24hr'!H42,'1.11 Mbarara-Kabale'!H42,'2.11 Mbarara-Kabale-24hr'!H42)</f>
        <v>0.5714285714285714</v>
      </c>
      <c r="I42" s="49">
        <f>AVERAGE('27.10 Mbarara-Kabale'!I42,'28.10 Mbarara-Kabale'!I42,'29.10 Mbarara-Kabale'!I42,'30.10 Mbarara-Kabale'!I42,'31.10 Mbarara-Kabale-24hr'!I42,'1.11 Mbarara-Kabale'!I42,'2.11 Mbarara-Kabale-24hr'!I42)</f>
        <v>2.4285714285714284</v>
      </c>
      <c r="J42" s="49">
        <f>AVERAGE('27.10 Mbarara-Kabale'!J42,'28.10 Mbarara-Kabale'!J42,'29.10 Mbarara-Kabale'!J42,'30.10 Mbarara-Kabale'!J42,'31.10 Mbarara-Kabale-24hr'!J42,'1.11 Mbarara-Kabale'!J42,'2.11 Mbarara-Kabale-24hr'!J42)</f>
        <v>4.4285714285714288</v>
      </c>
      <c r="K42" s="49">
        <f>AVERAGE('27.10 Mbarara-Kabale'!K42,'28.10 Mbarara-Kabale'!K42,'29.10 Mbarara-Kabale'!K42,'30.10 Mbarara-Kabale'!K42,'31.10 Mbarara-Kabale-24hr'!K42,'1.11 Mbarara-Kabale'!K42,'2.11 Mbarara-Kabale-24hr'!K42)</f>
        <v>5</v>
      </c>
      <c r="L42" s="49">
        <f>AVERAGE('27.10 Mbarara-Kabale'!L42,'28.10 Mbarara-Kabale'!L42,'29.10 Mbarara-Kabale'!L42,'30.10 Mbarara-Kabale'!L42,'31.10 Mbarara-Kabale-24hr'!L42,'1.11 Mbarara-Kabale'!L42,'2.11 Mbarara-Kabale-24hr'!L42)</f>
        <v>5.1428571428571432</v>
      </c>
      <c r="M42" s="49">
        <f>AVERAGE('27.10 Mbarara-Kabale'!M42,'28.10 Mbarara-Kabale'!M42,'29.10 Mbarara-Kabale'!M42,'30.10 Mbarara-Kabale'!M42,'31.10 Mbarara-Kabale-24hr'!M42,'1.11 Mbarara-Kabale'!M42,'2.11 Mbarara-Kabale-24hr'!M42)</f>
        <v>11.428571428571429</v>
      </c>
      <c r="N42" s="49">
        <f>AVERAGE('27.10 Mbarara-Kabale'!N42,'28.10 Mbarara-Kabale'!N42,'29.10 Mbarara-Kabale'!N42,'30.10 Mbarara-Kabale'!N42,'31.10 Mbarara-Kabale-24hr'!N42,'1.11 Mbarara-Kabale'!N42,'2.11 Mbarara-Kabale-24hr'!N42)</f>
        <v>0</v>
      </c>
      <c r="O42" s="15">
        <f t="shared" si="0"/>
        <v>37.428571428571431</v>
      </c>
      <c r="P42" s="15">
        <f t="shared" si="1"/>
        <v>48.857142857142861</v>
      </c>
      <c r="R42" s="5" t="s">
        <v>160</v>
      </c>
      <c r="S42" s="48">
        <f>S41/S40</f>
        <v>1.3244635193133047</v>
      </c>
      <c r="T42" s="48">
        <f t="shared" ref="T42:AF42" si="34">T41/T40</f>
        <v>1.4579787234042552</v>
      </c>
      <c r="U42" s="48">
        <f t="shared" si="34"/>
        <v>1.5542521994134899</v>
      </c>
      <c r="V42" s="48">
        <f t="shared" si="34"/>
        <v>1.4976004799040192</v>
      </c>
      <c r="W42" s="48">
        <f t="shared" si="34"/>
        <v>1.7671232876712331</v>
      </c>
      <c r="X42" s="48">
        <f t="shared" si="34"/>
        <v>1.2966101694915255</v>
      </c>
      <c r="Y42" s="48">
        <f t="shared" si="34"/>
        <v>1.2635726795096323</v>
      </c>
      <c r="Z42" s="48">
        <f t="shared" si="34"/>
        <v>1.65625</v>
      </c>
      <c r="AA42" s="48">
        <f t="shared" si="34"/>
        <v>1.7724137931034483</v>
      </c>
      <c r="AB42" s="48">
        <f t="shared" si="34"/>
        <v>1.9254984260230847</v>
      </c>
      <c r="AC42" s="48">
        <f t="shared" si="34"/>
        <v>1.1889865009642169</v>
      </c>
      <c r="AD42" s="48">
        <f t="shared" si="34"/>
        <v>1</v>
      </c>
      <c r="AE42" s="51">
        <f t="shared" si="34"/>
        <v>1.5079777804042076</v>
      </c>
      <c r="AF42" s="51">
        <f t="shared" si="34"/>
        <v>1.394576477757465</v>
      </c>
    </row>
    <row r="43" spans="2:32" ht="23.1" customHeight="1" x14ac:dyDescent="0.25">
      <c r="B43" s="23" t="s">
        <v>70</v>
      </c>
      <c r="C43" s="49">
        <f>AVERAGE('27.10 Mbarara-Kabale'!C43,'28.10 Mbarara-Kabale'!C43,'29.10 Mbarara-Kabale'!C43,'30.10 Mbarara-Kabale'!C43,'31.10 Mbarara-Kabale-24hr'!C43,'1.11 Mbarara-Kabale'!C43,'2.11 Mbarara-Kabale-24hr'!C43)</f>
        <v>7.8571428571428568</v>
      </c>
      <c r="D43" s="49">
        <f>AVERAGE('27.10 Mbarara-Kabale'!D43,'28.10 Mbarara-Kabale'!D43,'29.10 Mbarara-Kabale'!D43,'30.10 Mbarara-Kabale'!D43,'31.10 Mbarara-Kabale-24hr'!D43,'1.11 Mbarara-Kabale'!D43,'2.11 Mbarara-Kabale-24hr'!D43)</f>
        <v>3</v>
      </c>
      <c r="E43" s="49">
        <f>AVERAGE('27.10 Mbarara-Kabale'!E43,'28.10 Mbarara-Kabale'!E43,'29.10 Mbarara-Kabale'!E43,'30.10 Mbarara-Kabale'!E43,'31.10 Mbarara-Kabale-24hr'!E43,'1.11 Mbarara-Kabale'!E43,'2.11 Mbarara-Kabale-24hr'!E43)</f>
        <v>3</v>
      </c>
      <c r="F43" s="49">
        <f>AVERAGE('27.10 Mbarara-Kabale'!F43,'28.10 Mbarara-Kabale'!F43,'29.10 Mbarara-Kabale'!F43,'30.10 Mbarara-Kabale'!F43,'31.10 Mbarara-Kabale-24hr'!F43,'1.11 Mbarara-Kabale'!F43,'2.11 Mbarara-Kabale-24hr'!F43)</f>
        <v>3.8571428571428572</v>
      </c>
      <c r="G43" s="49">
        <f>AVERAGE('27.10 Mbarara-Kabale'!G43,'28.10 Mbarara-Kabale'!G43,'29.10 Mbarara-Kabale'!G43,'30.10 Mbarara-Kabale'!G43,'31.10 Mbarara-Kabale-24hr'!G43,'1.11 Mbarara-Kabale'!G43,'2.11 Mbarara-Kabale-24hr'!G43)</f>
        <v>0.2857142857142857</v>
      </c>
      <c r="H43" s="49">
        <f>AVERAGE('27.10 Mbarara-Kabale'!H43,'28.10 Mbarara-Kabale'!H43,'29.10 Mbarara-Kabale'!H43,'30.10 Mbarara-Kabale'!H43,'31.10 Mbarara-Kabale-24hr'!H43,'1.11 Mbarara-Kabale'!H43,'2.11 Mbarara-Kabale-24hr'!H43)</f>
        <v>1.1428571428571428</v>
      </c>
      <c r="I43" s="49">
        <f>AVERAGE('27.10 Mbarara-Kabale'!I43,'28.10 Mbarara-Kabale'!I43,'29.10 Mbarara-Kabale'!I43,'30.10 Mbarara-Kabale'!I43,'31.10 Mbarara-Kabale-24hr'!I43,'1.11 Mbarara-Kabale'!I43,'2.11 Mbarara-Kabale-24hr'!I43)</f>
        <v>1.4285714285714286</v>
      </c>
      <c r="J43" s="49">
        <f>AVERAGE('27.10 Mbarara-Kabale'!J43,'28.10 Mbarara-Kabale'!J43,'29.10 Mbarara-Kabale'!J43,'30.10 Mbarara-Kabale'!J43,'31.10 Mbarara-Kabale-24hr'!J43,'1.11 Mbarara-Kabale'!J43,'2.11 Mbarara-Kabale-24hr'!J43)</f>
        <v>0.8571428571428571</v>
      </c>
      <c r="K43" s="49">
        <f>AVERAGE('27.10 Mbarara-Kabale'!K43,'28.10 Mbarara-Kabale'!K43,'29.10 Mbarara-Kabale'!K43,'30.10 Mbarara-Kabale'!K43,'31.10 Mbarara-Kabale-24hr'!K43,'1.11 Mbarara-Kabale'!K43,'2.11 Mbarara-Kabale-24hr'!K43)</f>
        <v>0.2857142857142857</v>
      </c>
      <c r="L43" s="49">
        <f>AVERAGE('27.10 Mbarara-Kabale'!L43,'28.10 Mbarara-Kabale'!L43,'29.10 Mbarara-Kabale'!L43,'30.10 Mbarara-Kabale'!L43,'31.10 Mbarara-Kabale-24hr'!L43,'1.11 Mbarara-Kabale'!L43,'2.11 Mbarara-Kabale-24hr'!L43)</f>
        <v>3</v>
      </c>
      <c r="M43" s="49">
        <f>AVERAGE('27.10 Mbarara-Kabale'!M43,'28.10 Mbarara-Kabale'!M43,'29.10 Mbarara-Kabale'!M43,'30.10 Mbarara-Kabale'!M43,'31.10 Mbarara-Kabale-24hr'!M43,'1.11 Mbarara-Kabale'!M43,'2.11 Mbarara-Kabale-24hr'!M43)</f>
        <v>14</v>
      </c>
      <c r="N43" s="49">
        <f>AVERAGE('27.10 Mbarara-Kabale'!N43,'28.10 Mbarara-Kabale'!N43,'29.10 Mbarara-Kabale'!N43,'30.10 Mbarara-Kabale'!N43,'31.10 Mbarara-Kabale-24hr'!N43,'1.11 Mbarara-Kabale'!N43,'2.11 Mbarara-Kabale-24hr'!N43)</f>
        <v>0</v>
      </c>
      <c r="O43" s="15">
        <f t="shared" si="0"/>
        <v>24.714285714285712</v>
      </c>
      <c r="P43" s="15">
        <f t="shared" si="1"/>
        <v>38.714285714285708</v>
      </c>
    </row>
    <row r="44" spans="2:32" ht="23.1" customHeight="1" x14ac:dyDescent="0.25">
      <c r="B44" s="25" t="s">
        <v>71</v>
      </c>
      <c r="C44" s="49">
        <f>AVERAGE('27.10 Mbarara-Kabale'!C44,'28.10 Mbarara-Kabale'!C44,'29.10 Mbarara-Kabale'!C44,'30.10 Mbarara-Kabale'!C44,'31.10 Mbarara-Kabale-24hr'!C44,'1.11 Mbarara-Kabale'!C44,'2.11 Mbarara-Kabale-24hr'!C44)</f>
        <v>7.2857142857142856</v>
      </c>
      <c r="D44" s="49">
        <f>AVERAGE('27.10 Mbarara-Kabale'!D44,'28.10 Mbarara-Kabale'!D44,'29.10 Mbarara-Kabale'!D44,'30.10 Mbarara-Kabale'!D44,'31.10 Mbarara-Kabale-24hr'!D44,'1.11 Mbarara-Kabale'!D44,'2.11 Mbarara-Kabale-24hr'!D44)</f>
        <v>2.5714285714285716</v>
      </c>
      <c r="E44" s="49">
        <f>AVERAGE('27.10 Mbarara-Kabale'!E44,'28.10 Mbarara-Kabale'!E44,'29.10 Mbarara-Kabale'!E44,'30.10 Mbarara-Kabale'!E44,'31.10 Mbarara-Kabale-24hr'!E44,'1.11 Mbarara-Kabale'!E44,'2.11 Mbarara-Kabale-24hr'!E44)</f>
        <v>2.4285714285714284</v>
      </c>
      <c r="F44" s="49">
        <f>AVERAGE('27.10 Mbarara-Kabale'!F44,'28.10 Mbarara-Kabale'!F44,'29.10 Mbarara-Kabale'!F44,'30.10 Mbarara-Kabale'!F44,'31.10 Mbarara-Kabale-24hr'!F44,'1.11 Mbarara-Kabale'!F44,'2.11 Mbarara-Kabale-24hr'!F44)</f>
        <v>5</v>
      </c>
      <c r="G44" s="49">
        <f>AVERAGE('27.10 Mbarara-Kabale'!G44,'28.10 Mbarara-Kabale'!G44,'29.10 Mbarara-Kabale'!G44,'30.10 Mbarara-Kabale'!G44,'31.10 Mbarara-Kabale-24hr'!G44,'1.11 Mbarara-Kabale'!G44,'2.11 Mbarara-Kabale-24hr'!G44)</f>
        <v>0.2857142857142857</v>
      </c>
      <c r="H44" s="49">
        <f>AVERAGE('27.10 Mbarara-Kabale'!H44,'28.10 Mbarara-Kabale'!H44,'29.10 Mbarara-Kabale'!H44,'30.10 Mbarara-Kabale'!H44,'31.10 Mbarara-Kabale-24hr'!H44,'1.11 Mbarara-Kabale'!H44,'2.11 Mbarara-Kabale-24hr'!H44)</f>
        <v>0</v>
      </c>
      <c r="I44" s="49">
        <f>AVERAGE('27.10 Mbarara-Kabale'!I44,'28.10 Mbarara-Kabale'!I44,'29.10 Mbarara-Kabale'!I44,'30.10 Mbarara-Kabale'!I44,'31.10 Mbarara-Kabale-24hr'!I44,'1.11 Mbarara-Kabale'!I44,'2.11 Mbarara-Kabale-24hr'!I44)</f>
        <v>1</v>
      </c>
      <c r="J44" s="49">
        <f>AVERAGE('27.10 Mbarara-Kabale'!J44,'28.10 Mbarara-Kabale'!J44,'29.10 Mbarara-Kabale'!J44,'30.10 Mbarara-Kabale'!J44,'31.10 Mbarara-Kabale-24hr'!J44,'1.11 Mbarara-Kabale'!J44,'2.11 Mbarara-Kabale-24hr'!J44)</f>
        <v>0.7142857142857143</v>
      </c>
      <c r="K44" s="49">
        <f>AVERAGE('27.10 Mbarara-Kabale'!K44,'28.10 Mbarara-Kabale'!K44,'29.10 Mbarara-Kabale'!K44,'30.10 Mbarara-Kabale'!K44,'31.10 Mbarara-Kabale-24hr'!K44,'1.11 Mbarara-Kabale'!K44,'2.11 Mbarara-Kabale-24hr'!K44)</f>
        <v>1</v>
      </c>
      <c r="L44" s="49">
        <f>AVERAGE('27.10 Mbarara-Kabale'!L44,'28.10 Mbarara-Kabale'!L44,'29.10 Mbarara-Kabale'!L44,'30.10 Mbarara-Kabale'!L44,'31.10 Mbarara-Kabale-24hr'!L44,'1.11 Mbarara-Kabale'!L44,'2.11 Mbarara-Kabale-24hr'!L44)</f>
        <v>4</v>
      </c>
      <c r="M44" s="49">
        <f>AVERAGE('27.10 Mbarara-Kabale'!M44,'28.10 Mbarara-Kabale'!M44,'29.10 Mbarara-Kabale'!M44,'30.10 Mbarara-Kabale'!M44,'31.10 Mbarara-Kabale-24hr'!M44,'1.11 Mbarara-Kabale'!M44,'2.11 Mbarara-Kabale-24hr'!M44)</f>
        <v>15</v>
      </c>
      <c r="N44" s="49">
        <f>AVERAGE('27.10 Mbarara-Kabale'!N44,'28.10 Mbarara-Kabale'!N44,'29.10 Mbarara-Kabale'!N44,'30.10 Mbarara-Kabale'!N44,'31.10 Mbarara-Kabale-24hr'!N44,'1.11 Mbarara-Kabale'!N44,'2.11 Mbarara-Kabale-24hr'!N44)</f>
        <v>0</v>
      </c>
      <c r="O44" s="15">
        <f t="shared" si="0"/>
        <v>24.285714285714285</v>
      </c>
      <c r="P44" s="15">
        <f t="shared" si="1"/>
        <v>39.285714285714285</v>
      </c>
    </row>
    <row r="45" spans="2:32" ht="23.1" customHeight="1" x14ac:dyDescent="0.25">
      <c r="B45" s="23" t="s">
        <v>72</v>
      </c>
      <c r="C45" s="49">
        <f>AVERAGE('27.10 Mbarara-Kabale'!C45,'28.10 Mbarara-Kabale'!C45,'29.10 Mbarara-Kabale'!C45,'30.10 Mbarara-Kabale'!C45,'31.10 Mbarara-Kabale-24hr'!C45,'1.11 Mbarara-Kabale'!C45,'2.11 Mbarara-Kabale-24hr'!C45)</f>
        <v>7.2857142857142856</v>
      </c>
      <c r="D45" s="49">
        <f>AVERAGE('27.10 Mbarara-Kabale'!D45,'28.10 Mbarara-Kabale'!D45,'29.10 Mbarara-Kabale'!D45,'30.10 Mbarara-Kabale'!D45,'31.10 Mbarara-Kabale-24hr'!D45,'1.11 Mbarara-Kabale'!D45,'2.11 Mbarara-Kabale-24hr'!D45)</f>
        <v>3.2857142857142856</v>
      </c>
      <c r="E45" s="49">
        <f>AVERAGE('27.10 Mbarara-Kabale'!E45,'28.10 Mbarara-Kabale'!E45,'29.10 Mbarara-Kabale'!E45,'30.10 Mbarara-Kabale'!E45,'31.10 Mbarara-Kabale-24hr'!E45,'1.11 Mbarara-Kabale'!E45,'2.11 Mbarara-Kabale-24hr'!E45)</f>
        <v>2.4285714285714284</v>
      </c>
      <c r="F45" s="49">
        <f>AVERAGE('27.10 Mbarara-Kabale'!F45,'28.10 Mbarara-Kabale'!F45,'29.10 Mbarara-Kabale'!F45,'30.10 Mbarara-Kabale'!F45,'31.10 Mbarara-Kabale-24hr'!F45,'1.11 Mbarara-Kabale'!F45,'2.11 Mbarara-Kabale-24hr'!F45)</f>
        <v>6.5714285714285712</v>
      </c>
      <c r="G45" s="49">
        <f>AVERAGE('27.10 Mbarara-Kabale'!G45,'28.10 Mbarara-Kabale'!G45,'29.10 Mbarara-Kabale'!G45,'30.10 Mbarara-Kabale'!G45,'31.10 Mbarara-Kabale-24hr'!G45,'1.11 Mbarara-Kabale'!G45,'2.11 Mbarara-Kabale-24hr'!G45)</f>
        <v>0.5714285714285714</v>
      </c>
      <c r="H45" s="49">
        <f>AVERAGE('27.10 Mbarara-Kabale'!H45,'28.10 Mbarara-Kabale'!H45,'29.10 Mbarara-Kabale'!H45,'30.10 Mbarara-Kabale'!H45,'31.10 Mbarara-Kabale-24hr'!H45,'1.11 Mbarara-Kabale'!H45,'2.11 Mbarara-Kabale-24hr'!H45)</f>
        <v>0.14285714285714285</v>
      </c>
      <c r="I45" s="49">
        <f>AVERAGE('27.10 Mbarara-Kabale'!I45,'28.10 Mbarara-Kabale'!I45,'29.10 Mbarara-Kabale'!I45,'30.10 Mbarara-Kabale'!I45,'31.10 Mbarara-Kabale-24hr'!I45,'1.11 Mbarara-Kabale'!I45,'2.11 Mbarara-Kabale-24hr'!I45)</f>
        <v>2</v>
      </c>
      <c r="J45" s="49">
        <f>AVERAGE('27.10 Mbarara-Kabale'!J45,'28.10 Mbarara-Kabale'!J45,'29.10 Mbarara-Kabale'!J45,'30.10 Mbarara-Kabale'!J45,'31.10 Mbarara-Kabale-24hr'!J45,'1.11 Mbarara-Kabale'!J45,'2.11 Mbarara-Kabale-24hr'!J45)</f>
        <v>1.1428571428571428</v>
      </c>
      <c r="K45" s="49">
        <f>AVERAGE('27.10 Mbarara-Kabale'!K45,'28.10 Mbarara-Kabale'!K45,'29.10 Mbarara-Kabale'!K45,'30.10 Mbarara-Kabale'!K45,'31.10 Mbarara-Kabale-24hr'!K45,'1.11 Mbarara-Kabale'!K45,'2.11 Mbarara-Kabale-24hr'!K45)</f>
        <v>2.1428571428571428</v>
      </c>
      <c r="L45" s="49">
        <f>AVERAGE('27.10 Mbarara-Kabale'!L45,'28.10 Mbarara-Kabale'!L45,'29.10 Mbarara-Kabale'!L45,'30.10 Mbarara-Kabale'!L45,'31.10 Mbarara-Kabale-24hr'!L45,'1.11 Mbarara-Kabale'!L45,'2.11 Mbarara-Kabale-24hr'!L45)</f>
        <v>3</v>
      </c>
      <c r="M45" s="49">
        <f>AVERAGE('27.10 Mbarara-Kabale'!M45,'28.10 Mbarara-Kabale'!M45,'29.10 Mbarara-Kabale'!M45,'30.10 Mbarara-Kabale'!M45,'31.10 Mbarara-Kabale-24hr'!M45,'1.11 Mbarara-Kabale'!M45,'2.11 Mbarara-Kabale-24hr'!M45)</f>
        <v>13.428571428571429</v>
      </c>
      <c r="N45" s="49">
        <f>AVERAGE('27.10 Mbarara-Kabale'!N45,'28.10 Mbarara-Kabale'!N45,'29.10 Mbarara-Kabale'!N45,'30.10 Mbarara-Kabale'!N45,'31.10 Mbarara-Kabale-24hr'!N45,'1.11 Mbarara-Kabale'!N45,'2.11 Mbarara-Kabale-24hr'!N45)</f>
        <v>0</v>
      </c>
      <c r="O45" s="15">
        <f t="shared" si="0"/>
        <v>28.571428571428569</v>
      </c>
      <c r="P45" s="15">
        <f t="shared" si="1"/>
        <v>42</v>
      </c>
    </row>
    <row r="46" spans="2:32" ht="23.1" customHeight="1" x14ac:dyDescent="0.25">
      <c r="B46" s="24" t="s">
        <v>73</v>
      </c>
      <c r="C46" s="49">
        <f>AVERAGE('27.10 Mbarara-Kabale'!C46,'28.10 Mbarara-Kabale'!C46,'29.10 Mbarara-Kabale'!C46,'30.10 Mbarara-Kabale'!C46,'31.10 Mbarara-Kabale-24hr'!C46,'1.11 Mbarara-Kabale'!C46,'2.11 Mbarara-Kabale-24hr'!C46)</f>
        <v>7.2857142857142856</v>
      </c>
      <c r="D46" s="49">
        <f>AVERAGE('27.10 Mbarara-Kabale'!D46,'28.10 Mbarara-Kabale'!D46,'29.10 Mbarara-Kabale'!D46,'30.10 Mbarara-Kabale'!D46,'31.10 Mbarara-Kabale-24hr'!D46,'1.11 Mbarara-Kabale'!D46,'2.11 Mbarara-Kabale-24hr'!D46)</f>
        <v>2.8571428571428572</v>
      </c>
      <c r="E46" s="49">
        <f>AVERAGE('27.10 Mbarara-Kabale'!E46,'28.10 Mbarara-Kabale'!E46,'29.10 Mbarara-Kabale'!E46,'30.10 Mbarara-Kabale'!E46,'31.10 Mbarara-Kabale-24hr'!E46,'1.11 Mbarara-Kabale'!E46,'2.11 Mbarara-Kabale-24hr'!E46)</f>
        <v>1.5714285714285714</v>
      </c>
      <c r="F46" s="49">
        <f>AVERAGE('27.10 Mbarara-Kabale'!F46,'28.10 Mbarara-Kabale'!F46,'29.10 Mbarara-Kabale'!F46,'30.10 Mbarara-Kabale'!F46,'31.10 Mbarara-Kabale-24hr'!F46,'1.11 Mbarara-Kabale'!F46,'2.11 Mbarara-Kabale-24hr'!F46)</f>
        <v>5.8571428571428568</v>
      </c>
      <c r="G46" s="49">
        <f>AVERAGE('27.10 Mbarara-Kabale'!G46,'28.10 Mbarara-Kabale'!G46,'29.10 Mbarara-Kabale'!G46,'30.10 Mbarara-Kabale'!G46,'31.10 Mbarara-Kabale-24hr'!G46,'1.11 Mbarara-Kabale'!G46,'2.11 Mbarara-Kabale-24hr'!G46)</f>
        <v>0.2857142857142857</v>
      </c>
      <c r="H46" s="49">
        <f>AVERAGE('27.10 Mbarara-Kabale'!H46,'28.10 Mbarara-Kabale'!H46,'29.10 Mbarara-Kabale'!H46,'30.10 Mbarara-Kabale'!H46,'31.10 Mbarara-Kabale-24hr'!H46,'1.11 Mbarara-Kabale'!H46,'2.11 Mbarara-Kabale-24hr'!H46)</f>
        <v>1.1428571428571428</v>
      </c>
      <c r="I46" s="49">
        <f>AVERAGE('27.10 Mbarara-Kabale'!I46,'28.10 Mbarara-Kabale'!I46,'29.10 Mbarara-Kabale'!I46,'30.10 Mbarara-Kabale'!I46,'31.10 Mbarara-Kabale-24hr'!I46,'1.11 Mbarara-Kabale'!I46,'2.11 Mbarara-Kabale-24hr'!I46)</f>
        <v>1</v>
      </c>
      <c r="J46" s="49">
        <f>AVERAGE('27.10 Mbarara-Kabale'!J46,'28.10 Mbarara-Kabale'!J46,'29.10 Mbarara-Kabale'!J46,'30.10 Mbarara-Kabale'!J46,'31.10 Mbarara-Kabale-24hr'!J46,'1.11 Mbarara-Kabale'!J46,'2.11 Mbarara-Kabale-24hr'!J46)</f>
        <v>1.5714285714285714</v>
      </c>
      <c r="K46" s="49">
        <f>AVERAGE('27.10 Mbarara-Kabale'!K46,'28.10 Mbarara-Kabale'!K46,'29.10 Mbarara-Kabale'!K46,'30.10 Mbarara-Kabale'!K46,'31.10 Mbarara-Kabale-24hr'!K46,'1.11 Mbarara-Kabale'!K46,'2.11 Mbarara-Kabale-24hr'!K46)</f>
        <v>2.5714285714285716</v>
      </c>
      <c r="L46" s="49">
        <f>AVERAGE('27.10 Mbarara-Kabale'!L46,'28.10 Mbarara-Kabale'!L46,'29.10 Mbarara-Kabale'!L46,'30.10 Mbarara-Kabale'!L46,'31.10 Mbarara-Kabale-24hr'!L46,'1.11 Mbarara-Kabale'!L46,'2.11 Mbarara-Kabale-24hr'!L46)</f>
        <v>2.2857142857142856</v>
      </c>
      <c r="M46" s="49">
        <f>AVERAGE('27.10 Mbarara-Kabale'!M46,'28.10 Mbarara-Kabale'!M46,'29.10 Mbarara-Kabale'!M46,'30.10 Mbarara-Kabale'!M46,'31.10 Mbarara-Kabale-24hr'!M46,'1.11 Mbarara-Kabale'!M46,'2.11 Mbarara-Kabale-24hr'!M46)</f>
        <v>16.571428571428573</v>
      </c>
      <c r="N46" s="49">
        <f>AVERAGE('27.10 Mbarara-Kabale'!N46,'28.10 Mbarara-Kabale'!N46,'29.10 Mbarara-Kabale'!N46,'30.10 Mbarara-Kabale'!N46,'31.10 Mbarara-Kabale-24hr'!N46,'1.11 Mbarara-Kabale'!N46,'2.11 Mbarara-Kabale-24hr'!N46)</f>
        <v>0</v>
      </c>
      <c r="O46" s="15">
        <f t="shared" si="0"/>
        <v>26.428571428571427</v>
      </c>
      <c r="P46" s="15">
        <f t="shared" si="1"/>
        <v>43</v>
      </c>
      <c r="R46" s="8"/>
      <c r="T46"/>
    </row>
    <row r="47" spans="2:32" ht="23.1" customHeight="1" x14ac:dyDescent="0.25">
      <c r="B47" s="24" t="s">
        <v>74</v>
      </c>
      <c r="C47" s="49">
        <f>AVERAGE('27.10 Mbarara-Kabale'!C47,'28.10 Mbarara-Kabale'!C47,'29.10 Mbarara-Kabale'!C47,'30.10 Mbarara-Kabale'!C47,'31.10 Mbarara-Kabale-24hr'!C47,'1.11 Mbarara-Kabale'!C47,'2.11 Mbarara-Kabale-24hr'!C47)</f>
        <v>8.7142857142857135</v>
      </c>
      <c r="D47" s="49">
        <f>AVERAGE('27.10 Mbarara-Kabale'!D47,'28.10 Mbarara-Kabale'!D47,'29.10 Mbarara-Kabale'!D47,'30.10 Mbarara-Kabale'!D47,'31.10 Mbarara-Kabale-24hr'!D47,'1.11 Mbarara-Kabale'!D47,'2.11 Mbarara-Kabale-24hr'!D47)</f>
        <v>2</v>
      </c>
      <c r="E47" s="49">
        <f>AVERAGE('27.10 Mbarara-Kabale'!E47,'28.10 Mbarara-Kabale'!E47,'29.10 Mbarara-Kabale'!E47,'30.10 Mbarara-Kabale'!E47,'31.10 Mbarara-Kabale-24hr'!E47,'1.11 Mbarara-Kabale'!E47,'2.11 Mbarara-Kabale-24hr'!E47)</f>
        <v>2</v>
      </c>
      <c r="F47" s="49">
        <f>AVERAGE('27.10 Mbarara-Kabale'!F47,'28.10 Mbarara-Kabale'!F47,'29.10 Mbarara-Kabale'!F47,'30.10 Mbarara-Kabale'!F47,'31.10 Mbarara-Kabale-24hr'!F47,'1.11 Mbarara-Kabale'!F47,'2.11 Mbarara-Kabale-24hr'!F47)</f>
        <v>5.7142857142857144</v>
      </c>
      <c r="G47" s="49">
        <f>AVERAGE('27.10 Mbarara-Kabale'!G47,'28.10 Mbarara-Kabale'!G47,'29.10 Mbarara-Kabale'!G47,'30.10 Mbarara-Kabale'!G47,'31.10 Mbarara-Kabale-24hr'!G47,'1.11 Mbarara-Kabale'!G47,'2.11 Mbarara-Kabale-24hr'!G47)</f>
        <v>0</v>
      </c>
      <c r="H47" s="49">
        <f>AVERAGE('27.10 Mbarara-Kabale'!H47,'28.10 Mbarara-Kabale'!H47,'29.10 Mbarara-Kabale'!H47,'30.10 Mbarara-Kabale'!H47,'31.10 Mbarara-Kabale-24hr'!H47,'1.11 Mbarara-Kabale'!H47,'2.11 Mbarara-Kabale-24hr'!H47)</f>
        <v>1.5714285714285714</v>
      </c>
      <c r="I47" s="49">
        <f>AVERAGE('27.10 Mbarara-Kabale'!I47,'28.10 Mbarara-Kabale'!I47,'29.10 Mbarara-Kabale'!I47,'30.10 Mbarara-Kabale'!I47,'31.10 Mbarara-Kabale-24hr'!I47,'1.11 Mbarara-Kabale'!I47,'2.11 Mbarara-Kabale-24hr'!I47)</f>
        <v>2</v>
      </c>
      <c r="J47" s="49">
        <f>AVERAGE('27.10 Mbarara-Kabale'!J47,'28.10 Mbarara-Kabale'!J47,'29.10 Mbarara-Kabale'!J47,'30.10 Mbarara-Kabale'!J47,'31.10 Mbarara-Kabale-24hr'!J47,'1.11 Mbarara-Kabale'!J47,'2.11 Mbarara-Kabale-24hr'!J47)</f>
        <v>1.7142857142857142</v>
      </c>
      <c r="K47" s="49">
        <f>AVERAGE('27.10 Mbarara-Kabale'!K47,'28.10 Mbarara-Kabale'!K47,'29.10 Mbarara-Kabale'!K47,'30.10 Mbarara-Kabale'!K47,'31.10 Mbarara-Kabale-24hr'!K47,'1.11 Mbarara-Kabale'!K47,'2.11 Mbarara-Kabale-24hr'!K47)</f>
        <v>1.2857142857142858</v>
      </c>
      <c r="L47" s="49">
        <f>AVERAGE('27.10 Mbarara-Kabale'!L47,'28.10 Mbarara-Kabale'!L47,'29.10 Mbarara-Kabale'!L47,'30.10 Mbarara-Kabale'!L47,'31.10 Mbarara-Kabale-24hr'!L47,'1.11 Mbarara-Kabale'!L47,'2.11 Mbarara-Kabale-24hr'!L47)</f>
        <v>4.2857142857142856</v>
      </c>
      <c r="M47" s="49">
        <f>AVERAGE('27.10 Mbarara-Kabale'!M47,'28.10 Mbarara-Kabale'!M47,'29.10 Mbarara-Kabale'!M47,'30.10 Mbarara-Kabale'!M47,'31.10 Mbarara-Kabale-24hr'!M47,'1.11 Mbarara-Kabale'!M47,'2.11 Mbarara-Kabale-24hr'!M47)</f>
        <v>16.571428571428573</v>
      </c>
      <c r="N47" s="49">
        <f>AVERAGE('27.10 Mbarara-Kabale'!N47,'28.10 Mbarara-Kabale'!N47,'29.10 Mbarara-Kabale'!N47,'30.10 Mbarara-Kabale'!N47,'31.10 Mbarara-Kabale-24hr'!N47,'1.11 Mbarara-Kabale'!N47,'2.11 Mbarara-Kabale-24hr'!N47)</f>
        <v>0</v>
      </c>
      <c r="O47" s="15">
        <f t="shared" si="0"/>
        <v>29.285714285714285</v>
      </c>
      <c r="P47" s="15">
        <f t="shared" si="1"/>
        <v>45.857142857142861</v>
      </c>
      <c r="R47" s="8"/>
      <c r="T47"/>
    </row>
    <row r="48" spans="2:32" ht="23.1" customHeight="1" x14ac:dyDescent="0.25">
      <c r="B48" s="24" t="s">
        <v>75</v>
      </c>
      <c r="C48" s="49">
        <f>AVERAGE('27.10 Mbarara-Kabale'!C48,'28.10 Mbarara-Kabale'!C48,'29.10 Mbarara-Kabale'!C48,'30.10 Mbarara-Kabale'!C48,'31.10 Mbarara-Kabale-24hr'!C48,'1.11 Mbarara-Kabale'!C48,'2.11 Mbarara-Kabale-24hr'!C48)</f>
        <v>4.4285714285714288</v>
      </c>
      <c r="D48" s="49">
        <f>AVERAGE('27.10 Mbarara-Kabale'!D48,'28.10 Mbarara-Kabale'!D48,'29.10 Mbarara-Kabale'!D48,'30.10 Mbarara-Kabale'!D48,'31.10 Mbarara-Kabale-24hr'!D48,'1.11 Mbarara-Kabale'!D48,'2.11 Mbarara-Kabale-24hr'!D48)</f>
        <v>2.2857142857142856</v>
      </c>
      <c r="E48" s="49">
        <f>AVERAGE('27.10 Mbarara-Kabale'!E48,'28.10 Mbarara-Kabale'!E48,'29.10 Mbarara-Kabale'!E48,'30.10 Mbarara-Kabale'!E48,'31.10 Mbarara-Kabale-24hr'!E48,'1.11 Mbarara-Kabale'!E48,'2.11 Mbarara-Kabale-24hr'!E48)</f>
        <v>0.42857142857142855</v>
      </c>
      <c r="F48" s="49">
        <f>AVERAGE('27.10 Mbarara-Kabale'!F48,'28.10 Mbarara-Kabale'!F48,'29.10 Mbarara-Kabale'!F48,'30.10 Mbarara-Kabale'!F48,'31.10 Mbarara-Kabale-24hr'!F48,'1.11 Mbarara-Kabale'!F48,'2.11 Mbarara-Kabale-24hr'!F48)</f>
        <v>3.5714285714285716</v>
      </c>
      <c r="G48" s="49">
        <f>AVERAGE('27.10 Mbarara-Kabale'!G48,'28.10 Mbarara-Kabale'!G48,'29.10 Mbarara-Kabale'!G48,'30.10 Mbarara-Kabale'!G48,'31.10 Mbarara-Kabale-24hr'!G48,'1.11 Mbarara-Kabale'!G48,'2.11 Mbarara-Kabale-24hr'!G48)</f>
        <v>0</v>
      </c>
      <c r="H48" s="49">
        <f>AVERAGE('27.10 Mbarara-Kabale'!H48,'28.10 Mbarara-Kabale'!H48,'29.10 Mbarara-Kabale'!H48,'30.10 Mbarara-Kabale'!H48,'31.10 Mbarara-Kabale-24hr'!H48,'1.11 Mbarara-Kabale'!H48,'2.11 Mbarara-Kabale-24hr'!H48)</f>
        <v>0.5714285714285714</v>
      </c>
      <c r="I48" s="49">
        <f>AVERAGE('27.10 Mbarara-Kabale'!I48,'28.10 Mbarara-Kabale'!I48,'29.10 Mbarara-Kabale'!I48,'30.10 Mbarara-Kabale'!I48,'31.10 Mbarara-Kabale-24hr'!I48,'1.11 Mbarara-Kabale'!I48,'2.11 Mbarara-Kabale-24hr'!I48)</f>
        <v>1.7142857142857142</v>
      </c>
      <c r="J48" s="49">
        <f>AVERAGE('27.10 Mbarara-Kabale'!J48,'28.10 Mbarara-Kabale'!J48,'29.10 Mbarara-Kabale'!J48,'30.10 Mbarara-Kabale'!J48,'31.10 Mbarara-Kabale-24hr'!J48,'1.11 Mbarara-Kabale'!J48,'2.11 Mbarara-Kabale-24hr'!J48)</f>
        <v>1</v>
      </c>
      <c r="K48" s="49">
        <f>AVERAGE('27.10 Mbarara-Kabale'!K48,'28.10 Mbarara-Kabale'!K48,'29.10 Mbarara-Kabale'!K48,'30.10 Mbarara-Kabale'!K48,'31.10 Mbarara-Kabale-24hr'!K48,'1.11 Mbarara-Kabale'!K48,'2.11 Mbarara-Kabale-24hr'!K48)</f>
        <v>0.5714285714285714</v>
      </c>
      <c r="L48" s="49">
        <f>AVERAGE('27.10 Mbarara-Kabale'!L48,'28.10 Mbarara-Kabale'!L48,'29.10 Mbarara-Kabale'!L48,'30.10 Mbarara-Kabale'!L48,'31.10 Mbarara-Kabale-24hr'!L48,'1.11 Mbarara-Kabale'!L48,'2.11 Mbarara-Kabale-24hr'!L48)</f>
        <v>2.1428571428571428</v>
      </c>
      <c r="M48" s="49">
        <f>AVERAGE('27.10 Mbarara-Kabale'!M48,'28.10 Mbarara-Kabale'!M48,'29.10 Mbarara-Kabale'!M48,'30.10 Mbarara-Kabale'!M48,'31.10 Mbarara-Kabale-24hr'!M48,'1.11 Mbarara-Kabale'!M48,'2.11 Mbarara-Kabale-24hr'!M48)</f>
        <v>9</v>
      </c>
      <c r="N48" s="49">
        <f>AVERAGE('27.10 Mbarara-Kabale'!N48,'28.10 Mbarara-Kabale'!N48,'29.10 Mbarara-Kabale'!N48,'30.10 Mbarara-Kabale'!N48,'31.10 Mbarara-Kabale-24hr'!N48,'1.11 Mbarara-Kabale'!N48,'2.11 Mbarara-Kabale-24hr'!N48)</f>
        <v>0</v>
      </c>
      <c r="O48" s="15">
        <f t="shared" si="0"/>
        <v>16.714285714285715</v>
      </c>
      <c r="P48" s="15">
        <f t="shared" si="1"/>
        <v>25.714285714285715</v>
      </c>
      <c r="R48" s="8"/>
      <c r="T48"/>
    </row>
    <row r="49" spans="2:20" ht="23.1" customHeight="1" x14ac:dyDescent="0.25">
      <c r="B49" s="23" t="s">
        <v>76</v>
      </c>
      <c r="C49" s="49">
        <f>AVERAGE('27.10 Mbarara-Kabale'!C49,'28.10 Mbarara-Kabale'!C49,'29.10 Mbarara-Kabale'!C49,'30.10 Mbarara-Kabale'!C49,'31.10 Mbarara-Kabale-24hr'!C49,'1.11 Mbarara-Kabale'!C49,'2.11 Mbarara-Kabale-24hr'!C49)</f>
        <v>5.1428571428571432</v>
      </c>
      <c r="D49" s="49">
        <f>AVERAGE('27.10 Mbarara-Kabale'!D49,'28.10 Mbarara-Kabale'!D49,'29.10 Mbarara-Kabale'!D49,'30.10 Mbarara-Kabale'!D49,'31.10 Mbarara-Kabale-24hr'!D49,'1.11 Mbarara-Kabale'!D49,'2.11 Mbarara-Kabale-24hr'!D49)</f>
        <v>3.2857142857142856</v>
      </c>
      <c r="E49" s="49">
        <f>AVERAGE('27.10 Mbarara-Kabale'!E49,'28.10 Mbarara-Kabale'!E49,'29.10 Mbarara-Kabale'!E49,'30.10 Mbarara-Kabale'!E49,'31.10 Mbarara-Kabale-24hr'!E49,'1.11 Mbarara-Kabale'!E49,'2.11 Mbarara-Kabale-24hr'!E49)</f>
        <v>1.7142857142857142</v>
      </c>
      <c r="F49" s="49">
        <f>AVERAGE('27.10 Mbarara-Kabale'!F49,'28.10 Mbarara-Kabale'!F49,'29.10 Mbarara-Kabale'!F49,'30.10 Mbarara-Kabale'!F49,'31.10 Mbarara-Kabale-24hr'!F49,'1.11 Mbarara-Kabale'!F49,'2.11 Mbarara-Kabale-24hr'!F49)</f>
        <v>3.5714285714285716</v>
      </c>
      <c r="G49" s="49">
        <f>AVERAGE('27.10 Mbarara-Kabale'!G49,'28.10 Mbarara-Kabale'!G49,'29.10 Mbarara-Kabale'!G49,'30.10 Mbarara-Kabale'!G49,'31.10 Mbarara-Kabale-24hr'!G49,'1.11 Mbarara-Kabale'!G49,'2.11 Mbarara-Kabale-24hr'!G49)</f>
        <v>0.14285714285714285</v>
      </c>
      <c r="H49" s="49">
        <f>AVERAGE('27.10 Mbarara-Kabale'!H49,'28.10 Mbarara-Kabale'!H49,'29.10 Mbarara-Kabale'!H49,'30.10 Mbarara-Kabale'!H49,'31.10 Mbarara-Kabale-24hr'!H49,'1.11 Mbarara-Kabale'!H49,'2.11 Mbarara-Kabale-24hr'!H49)</f>
        <v>0.42857142857142855</v>
      </c>
      <c r="I49" s="49">
        <f>AVERAGE('27.10 Mbarara-Kabale'!I49,'28.10 Mbarara-Kabale'!I49,'29.10 Mbarara-Kabale'!I49,'30.10 Mbarara-Kabale'!I49,'31.10 Mbarara-Kabale-24hr'!I49,'1.11 Mbarara-Kabale'!I49,'2.11 Mbarara-Kabale-24hr'!I49)</f>
        <v>1.7142857142857142</v>
      </c>
      <c r="J49" s="49">
        <f>AVERAGE('27.10 Mbarara-Kabale'!J49,'28.10 Mbarara-Kabale'!J49,'29.10 Mbarara-Kabale'!J49,'30.10 Mbarara-Kabale'!J49,'31.10 Mbarara-Kabale-24hr'!J49,'1.11 Mbarara-Kabale'!J49,'2.11 Mbarara-Kabale-24hr'!J49)</f>
        <v>1.4285714285714286</v>
      </c>
      <c r="K49" s="49">
        <f>AVERAGE('27.10 Mbarara-Kabale'!K49,'28.10 Mbarara-Kabale'!K49,'29.10 Mbarara-Kabale'!K49,'30.10 Mbarara-Kabale'!K49,'31.10 Mbarara-Kabale-24hr'!K49,'1.11 Mbarara-Kabale'!K49,'2.11 Mbarara-Kabale-24hr'!K49)</f>
        <v>1.5714285714285714</v>
      </c>
      <c r="L49" s="49">
        <f>AVERAGE('27.10 Mbarara-Kabale'!L49,'28.10 Mbarara-Kabale'!L49,'29.10 Mbarara-Kabale'!L49,'30.10 Mbarara-Kabale'!L49,'31.10 Mbarara-Kabale-24hr'!L49,'1.11 Mbarara-Kabale'!L49,'2.11 Mbarara-Kabale-24hr'!L49)</f>
        <v>2.8571428571428572</v>
      </c>
      <c r="M49" s="49">
        <f>AVERAGE('27.10 Mbarara-Kabale'!M49,'28.10 Mbarara-Kabale'!M49,'29.10 Mbarara-Kabale'!M49,'30.10 Mbarara-Kabale'!M49,'31.10 Mbarara-Kabale-24hr'!M49,'1.11 Mbarara-Kabale'!M49,'2.11 Mbarara-Kabale-24hr'!M49)</f>
        <v>12.571428571428571</v>
      </c>
      <c r="N49" s="49">
        <f>AVERAGE('27.10 Mbarara-Kabale'!N49,'28.10 Mbarara-Kabale'!N49,'29.10 Mbarara-Kabale'!N49,'30.10 Mbarara-Kabale'!N49,'31.10 Mbarara-Kabale-24hr'!N49,'1.11 Mbarara-Kabale'!N49,'2.11 Mbarara-Kabale-24hr'!N49)</f>
        <v>0</v>
      </c>
      <c r="O49" s="15">
        <f t="shared" si="0"/>
        <v>21.857142857142858</v>
      </c>
      <c r="P49" s="15">
        <f t="shared" si="1"/>
        <v>34.428571428571431</v>
      </c>
      <c r="R49" s="8"/>
      <c r="T49"/>
    </row>
    <row r="50" spans="2:20" ht="23.1" customHeight="1" x14ac:dyDescent="0.25">
      <c r="B50" s="24" t="s">
        <v>77</v>
      </c>
      <c r="C50" s="49">
        <f>AVERAGE('27.10 Mbarara-Kabale'!C50,'28.10 Mbarara-Kabale'!C50,'29.10 Mbarara-Kabale'!C50,'30.10 Mbarara-Kabale'!C50,'31.10 Mbarara-Kabale-24hr'!C50,'1.11 Mbarara-Kabale'!C50,'2.11 Mbarara-Kabale-24hr'!C50)</f>
        <v>5.5714285714285712</v>
      </c>
      <c r="D50" s="49">
        <f>AVERAGE('27.10 Mbarara-Kabale'!D50,'28.10 Mbarara-Kabale'!D50,'29.10 Mbarara-Kabale'!D50,'30.10 Mbarara-Kabale'!D50,'31.10 Mbarara-Kabale-24hr'!D50,'1.11 Mbarara-Kabale'!D50,'2.11 Mbarara-Kabale-24hr'!D50)</f>
        <v>2.4285714285714284</v>
      </c>
      <c r="E50" s="49">
        <f>AVERAGE('27.10 Mbarara-Kabale'!E50,'28.10 Mbarara-Kabale'!E50,'29.10 Mbarara-Kabale'!E50,'30.10 Mbarara-Kabale'!E50,'31.10 Mbarara-Kabale-24hr'!E50,'1.11 Mbarara-Kabale'!E50,'2.11 Mbarara-Kabale-24hr'!E50)</f>
        <v>2.1428571428571428</v>
      </c>
      <c r="F50" s="49">
        <f>AVERAGE('27.10 Mbarara-Kabale'!F50,'28.10 Mbarara-Kabale'!F50,'29.10 Mbarara-Kabale'!F50,'30.10 Mbarara-Kabale'!F50,'31.10 Mbarara-Kabale-24hr'!F50,'1.11 Mbarara-Kabale'!F50,'2.11 Mbarara-Kabale-24hr'!F50)</f>
        <v>5</v>
      </c>
      <c r="G50" s="49">
        <f>AVERAGE('27.10 Mbarara-Kabale'!G50,'28.10 Mbarara-Kabale'!G50,'29.10 Mbarara-Kabale'!G50,'30.10 Mbarara-Kabale'!G50,'31.10 Mbarara-Kabale-24hr'!G50,'1.11 Mbarara-Kabale'!G50,'2.11 Mbarara-Kabale-24hr'!G50)</f>
        <v>0</v>
      </c>
      <c r="H50" s="49">
        <f>AVERAGE('27.10 Mbarara-Kabale'!H50,'28.10 Mbarara-Kabale'!H50,'29.10 Mbarara-Kabale'!H50,'30.10 Mbarara-Kabale'!H50,'31.10 Mbarara-Kabale-24hr'!H50,'1.11 Mbarara-Kabale'!H50,'2.11 Mbarara-Kabale-24hr'!H50)</f>
        <v>0.14285714285714285</v>
      </c>
      <c r="I50" s="49">
        <f>AVERAGE('27.10 Mbarara-Kabale'!I50,'28.10 Mbarara-Kabale'!I50,'29.10 Mbarara-Kabale'!I50,'30.10 Mbarara-Kabale'!I50,'31.10 Mbarara-Kabale-24hr'!I50,'1.11 Mbarara-Kabale'!I50,'2.11 Mbarara-Kabale-24hr'!I50)</f>
        <v>1.4285714285714286</v>
      </c>
      <c r="J50" s="49">
        <f>AVERAGE('27.10 Mbarara-Kabale'!J50,'28.10 Mbarara-Kabale'!J50,'29.10 Mbarara-Kabale'!J50,'30.10 Mbarara-Kabale'!J50,'31.10 Mbarara-Kabale-24hr'!J50,'1.11 Mbarara-Kabale'!J50,'2.11 Mbarara-Kabale-24hr'!J50)</f>
        <v>1.1428571428571428</v>
      </c>
      <c r="K50" s="49">
        <f>AVERAGE('27.10 Mbarara-Kabale'!K50,'28.10 Mbarara-Kabale'!K50,'29.10 Mbarara-Kabale'!K50,'30.10 Mbarara-Kabale'!K50,'31.10 Mbarara-Kabale-24hr'!K50,'1.11 Mbarara-Kabale'!K50,'2.11 Mbarara-Kabale-24hr'!K50)</f>
        <v>2.4285714285714284</v>
      </c>
      <c r="L50" s="49">
        <f>AVERAGE('27.10 Mbarara-Kabale'!L50,'28.10 Mbarara-Kabale'!L50,'29.10 Mbarara-Kabale'!L50,'30.10 Mbarara-Kabale'!L50,'31.10 Mbarara-Kabale-24hr'!L50,'1.11 Mbarara-Kabale'!L50,'2.11 Mbarara-Kabale-24hr'!L50)</f>
        <v>3</v>
      </c>
      <c r="M50" s="49">
        <f>AVERAGE('27.10 Mbarara-Kabale'!M50,'28.10 Mbarara-Kabale'!M50,'29.10 Mbarara-Kabale'!M50,'30.10 Mbarara-Kabale'!M50,'31.10 Mbarara-Kabale-24hr'!M50,'1.11 Mbarara-Kabale'!M50,'2.11 Mbarara-Kabale-24hr'!M50)</f>
        <v>13.857142857142858</v>
      </c>
      <c r="N50" s="49">
        <f>AVERAGE('27.10 Mbarara-Kabale'!N50,'28.10 Mbarara-Kabale'!N50,'29.10 Mbarara-Kabale'!N50,'30.10 Mbarara-Kabale'!N50,'31.10 Mbarara-Kabale-24hr'!N50,'1.11 Mbarara-Kabale'!N50,'2.11 Mbarara-Kabale-24hr'!N50)</f>
        <v>0</v>
      </c>
      <c r="O50" s="15">
        <f t="shared" si="0"/>
        <v>23.285714285714281</v>
      </c>
      <c r="P50" s="15">
        <f t="shared" si="1"/>
        <v>37.142857142857139</v>
      </c>
      <c r="R50" s="8"/>
      <c r="T50"/>
    </row>
    <row r="51" spans="2:20" ht="23.1" customHeight="1" x14ac:dyDescent="0.25">
      <c r="B51" s="24" t="s">
        <v>78</v>
      </c>
      <c r="C51" s="49">
        <f>AVERAGE('27.10 Mbarara-Kabale'!C51,'28.10 Mbarara-Kabale'!C51,'29.10 Mbarara-Kabale'!C51,'30.10 Mbarara-Kabale'!C51,'31.10 Mbarara-Kabale-24hr'!C51,'1.11 Mbarara-Kabale'!C51,'2.11 Mbarara-Kabale-24hr'!C51)</f>
        <v>8.8571428571428577</v>
      </c>
      <c r="D51" s="49">
        <f>AVERAGE('27.10 Mbarara-Kabale'!D51,'28.10 Mbarara-Kabale'!D51,'29.10 Mbarara-Kabale'!D51,'30.10 Mbarara-Kabale'!D51,'31.10 Mbarara-Kabale-24hr'!D51,'1.11 Mbarara-Kabale'!D51,'2.11 Mbarara-Kabale-24hr'!D51)</f>
        <v>4.4285714285714288</v>
      </c>
      <c r="E51" s="49">
        <f>AVERAGE('27.10 Mbarara-Kabale'!E51,'28.10 Mbarara-Kabale'!E51,'29.10 Mbarara-Kabale'!E51,'30.10 Mbarara-Kabale'!E51,'31.10 Mbarara-Kabale-24hr'!E51,'1.11 Mbarara-Kabale'!E51,'2.11 Mbarara-Kabale-24hr'!E51)</f>
        <v>1.8571428571428572</v>
      </c>
      <c r="F51" s="49">
        <f>AVERAGE('27.10 Mbarara-Kabale'!F51,'28.10 Mbarara-Kabale'!F51,'29.10 Mbarara-Kabale'!F51,'30.10 Mbarara-Kabale'!F51,'31.10 Mbarara-Kabale-24hr'!F51,'1.11 Mbarara-Kabale'!F51,'2.11 Mbarara-Kabale-24hr'!F51)</f>
        <v>4.7142857142857144</v>
      </c>
      <c r="G51" s="49">
        <f>AVERAGE('27.10 Mbarara-Kabale'!G51,'28.10 Mbarara-Kabale'!G51,'29.10 Mbarara-Kabale'!G51,'30.10 Mbarara-Kabale'!G51,'31.10 Mbarara-Kabale-24hr'!G51,'1.11 Mbarara-Kabale'!G51,'2.11 Mbarara-Kabale-24hr'!G51)</f>
        <v>0.5714285714285714</v>
      </c>
      <c r="H51" s="49">
        <f>AVERAGE('27.10 Mbarara-Kabale'!H51,'28.10 Mbarara-Kabale'!H51,'29.10 Mbarara-Kabale'!H51,'30.10 Mbarara-Kabale'!H51,'31.10 Mbarara-Kabale-24hr'!H51,'1.11 Mbarara-Kabale'!H51,'2.11 Mbarara-Kabale-24hr'!H51)</f>
        <v>0.2857142857142857</v>
      </c>
      <c r="I51" s="49">
        <f>AVERAGE('27.10 Mbarara-Kabale'!I51,'28.10 Mbarara-Kabale'!I51,'29.10 Mbarara-Kabale'!I51,'30.10 Mbarara-Kabale'!I51,'31.10 Mbarara-Kabale-24hr'!I51,'1.11 Mbarara-Kabale'!I51,'2.11 Mbarara-Kabale-24hr'!I51)</f>
        <v>2.5714285714285716</v>
      </c>
      <c r="J51" s="49">
        <f>AVERAGE('27.10 Mbarara-Kabale'!J51,'28.10 Mbarara-Kabale'!J51,'29.10 Mbarara-Kabale'!J51,'30.10 Mbarara-Kabale'!J51,'31.10 Mbarara-Kabale-24hr'!J51,'1.11 Mbarara-Kabale'!J51,'2.11 Mbarara-Kabale-24hr'!J51)</f>
        <v>0.5714285714285714</v>
      </c>
      <c r="K51" s="49">
        <f>AVERAGE('27.10 Mbarara-Kabale'!K51,'28.10 Mbarara-Kabale'!K51,'29.10 Mbarara-Kabale'!K51,'30.10 Mbarara-Kabale'!K51,'31.10 Mbarara-Kabale-24hr'!K51,'1.11 Mbarara-Kabale'!K51,'2.11 Mbarara-Kabale-24hr'!K51)</f>
        <v>1.4285714285714286</v>
      </c>
      <c r="L51" s="49">
        <f>AVERAGE('27.10 Mbarara-Kabale'!L51,'28.10 Mbarara-Kabale'!L51,'29.10 Mbarara-Kabale'!L51,'30.10 Mbarara-Kabale'!L51,'31.10 Mbarara-Kabale-24hr'!L51,'1.11 Mbarara-Kabale'!L51,'2.11 Mbarara-Kabale-24hr'!L51)</f>
        <v>4.5714285714285712</v>
      </c>
      <c r="M51" s="49">
        <f>AVERAGE('27.10 Mbarara-Kabale'!M51,'28.10 Mbarara-Kabale'!M51,'29.10 Mbarara-Kabale'!M51,'30.10 Mbarara-Kabale'!M51,'31.10 Mbarara-Kabale-24hr'!M51,'1.11 Mbarara-Kabale'!M51,'2.11 Mbarara-Kabale-24hr'!M51)</f>
        <v>16.714285714285715</v>
      </c>
      <c r="N51" s="49">
        <f>AVERAGE('27.10 Mbarara-Kabale'!N51,'28.10 Mbarara-Kabale'!N51,'29.10 Mbarara-Kabale'!N51,'30.10 Mbarara-Kabale'!N51,'31.10 Mbarara-Kabale-24hr'!N51,'1.11 Mbarara-Kabale'!N51,'2.11 Mbarara-Kabale-24hr'!N51)</f>
        <v>0</v>
      </c>
      <c r="O51" s="15">
        <f t="shared" si="0"/>
        <v>29.857142857142861</v>
      </c>
      <c r="P51" s="15">
        <f t="shared" si="1"/>
        <v>46.571428571428577</v>
      </c>
      <c r="R51" s="8"/>
      <c r="T51"/>
    </row>
    <row r="52" spans="2:20" ht="23.1" customHeight="1" x14ac:dyDescent="0.25">
      <c r="B52" s="24" t="s">
        <v>79</v>
      </c>
      <c r="C52" s="49">
        <f>AVERAGE('27.10 Mbarara-Kabale'!C52,'28.10 Mbarara-Kabale'!C52,'29.10 Mbarara-Kabale'!C52,'30.10 Mbarara-Kabale'!C52,'31.10 Mbarara-Kabale-24hr'!C52,'1.11 Mbarara-Kabale'!C52,'2.11 Mbarara-Kabale-24hr'!C52)</f>
        <v>3.8571428571428572</v>
      </c>
      <c r="D52" s="49">
        <f>AVERAGE('27.10 Mbarara-Kabale'!D52,'28.10 Mbarara-Kabale'!D52,'29.10 Mbarara-Kabale'!D52,'30.10 Mbarara-Kabale'!D52,'31.10 Mbarara-Kabale-24hr'!D52,'1.11 Mbarara-Kabale'!D52,'2.11 Mbarara-Kabale-24hr'!D52)</f>
        <v>2.1428571428571428</v>
      </c>
      <c r="E52" s="49">
        <f>AVERAGE('27.10 Mbarara-Kabale'!E52,'28.10 Mbarara-Kabale'!E52,'29.10 Mbarara-Kabale'!E52,'30.10 Mbarara-Kabale'!E52,'31.10 Mbarara-Kabale-24hr'!E52,'1.11 Mbarara-Kabale'!E52,'2.11 Mbarara-Kabale-24hr'!E52)</f>
        <v>3.4285714285714284</v>
      </c>
      <c r="F52" s="49">
        <f>AVERAGE('27.10 Mbarara-Kabale'!F52,'28.10 Mbarara-Kabale'!F52,'29.10 Mbarara-Kabale'!F52,'30.10 Mbarara-Kabale'!F52,'31.10 Mbarara-Kabale-24hr'!F52,'1.11 Mbarara-Kabale'!F52,'2.11 Mbarara-Kabale-24hr'!F52)</f>
        <v>4</v>
      </c>
      <c r="G52" s="49">
        <f>AVERAGE('27.10 Mbarara-Kabale'!G52,'28.10 Mbarara-Kabale'!G52,'29.10 Mbarara-Kabale'!G52,'30.10 Mbarara-Kabale'!G52,'31.10 Mbarara-Kabale-24hr'!G52,'1.11 Mbarara-Kabale'!G52,'2.11 Mbarara-Kabale-24hr'!G52)</f>
        <v>0.7142857142857143</v>
      </c>
      <c r="H52" s="49">
        <f>AVERAGE('27.10 Mbarara-Kabale'!H52,'28.10 Mbarara-Kabale'!H52,'29.10 Mbarara-Kabale'!H52,'30.10 Mbarara-Kabale'!H52,'31.10 Mbarara-Kabale-24hr'!H52,'1.11 Mbarara-Kabale'!H52,'2.11 Mbarara-Kabale-24hr'!H52)</f>
        <v>0</v>
      </c>
      <c r="I52" s="49">
        <f>AVERAGE('27.10 Mbarara-Kabale'!I52,'28.10 Mbarara-Kabale'!I52,'29.10 Mbarara-Kabale'!I52,'30.10 Mbarara-Kabale'!I52,'31.10 Mbarara-Kabale-24hr'!I52,'1.11 Mbarara-Kabale'!I52,'2.11 Mbarara-Kabale-24hr'!I52)</f>
        <v>0.5714285714285714</v>
      </c>
      <c r="J52" s="49">
        <f>AVERAGE('27.10 Mbarara-Kabale'!J52,'28.10 Mbarara-Kabale'!J52,'29.10 Mbarara-Kabale'!J52,'30.10 Mbarara-Kabale'!J52,'31.10 Mbarara-Kabale-24hr'!J52,'1.11 Mbarara-Kabale'!J52,'2.11 Mbarara-Kabale-24hr'!J52)</f>
        <v>0.5714285714285714</v>
      </c>
      <c r="K52" s="49">
        <f>AVERAGE('27.10 Mbarara-Kabale'!K52,'28.10 Mbarara-Kabale'!K52,'29.10 Mbarara-Kabale'!K52,'30.10 Mbarara-Kabale'!K52,'31.10 Mbarara-Kabale-24hr'!K52,'1.11 Mbarara-Kabale'!K52,'2.11 Mbarara-Kabale-24hr'!K52)</f>
        <v>2.1428571428571428</v>
      </c>
      <c r="L52" s="49">
        <f>AVERAGE('27.10 Mbarara-Kabale'!L52,'28.10 Mbarara-Kabale'!L52,'29.10 Mbarara-Kabale'!L52,'30.10 Mbarara-Kabale'!L52,'31.10 Mbarara-Kabale-24hr'!L52,'1.11 Mbarara-Kabale'!L52,'2.11 Mbarara-Kabale-24hr'!L52)</f>
        <v>2.1428571428571428</v>
      </c>
      <c r="M52" s="49">
        <f>AVERAGE('27.10 Mbarara-Kabale'!M52,'28.10 Mbarara-Kabale'!M52,'29.10 Mbarara-Kabale'!M52,'30.10 Mbarara-Kabale'!M52,'31.10 Mbarara-Kabale-24hr'!M52,'1.11 Mbarara-Kabale'!M52,'2.11 Mbarara-Kabale-24hr'!M52)</f>
        <v>12.285714285714286</v>
      </c>
      <c r="N52" s="49">
        <f>AVERAGE('27.10 Mbarara-Kabale'!N52,'28.10 Mbarara-Kabale'!N52,'29.10 Mbarara-Kabale'!N52,'30.10 Mbarara-Kabale'!N52,'31.10 Mbarara-Kabale-24hr'!N52,'1.11 Mbarara-Kabale'!N52,'2.11 Mbarara-Kabale-24hr'!N52)</f>
        <v>0</v>
      </c>
      <c r="O52" s="15">
        <f t="shared" si="0"/>
        <v>19.571428571428569</v>
      </c>
      <c r="P52" s="15">
        <f t="shared" si="1"/>
        <v>31.857142857142854</v>
      </c>
      <c r="R52" s="8"/>
      <c r="T52"/>
    </row>
    <row r="53" spans="2:20" ht="23.1" customHeight="1" x14ac:dyDescent="0.25">
      <c r="B53" s="23" t="s">
        <v>80</v>
      </c>
      <c r="C53" s="49">
        <f>AVERAGE('27.10 Mbarara-Kabale'!C53,'28.10 Mbarara-Kabale'!C53,'29.10 Mbarara-Kabale'!C53,'30.10 Mbarara-Kabale'!C53,'31.10 Mbarara-Kabale-24hr'!C53,'1.11 Mbarara-Kabale'!C53,'2.11 Mbarara-Kabale-24hr'!C53)</f>
        <v>6.5714285714285712</v>
      </c>
      <c r="D53" s="49">
        <f>AVERAGE('27.10 Mbarara-Kabale'!D53,'28.10 Mbarara-Kabale'!D53,'29.10 Mbarara-Kabale'!D53,'30.10 Mbarara-Kabale'!D53,'31.10 Mbarara-Kabale-24hr'!D53,'1.11 Mbarara-Kabale'!D53,'2.11 Mbarara-Kabale-24hr'!D53)</f>
        <v>3</v>
      </c>
      <c r="E53" s="49">
        <f>AVERAGE('27.10 Mbarara-Kabale'!E53,'28.10 Mbarara-Kabale'!E53,'29.10 Mbarara-Kabale'!E53,'30.10 Mbarara-Kabale'!E53,'31.10 Mbarara-Kabale-24hr'!E53,'1.11 Mbarara-Kabale'!E53,'2.11 Mbarara-Kabale-24hr'!E53)</f>
        <v>2.4285714285714284</v>
      </c>
      <c r="F53" s="49">
        <f>AVERAGE('27.10 Mbarara-Kabale'!F53,'28.10 Mbarara-Kabale'!F53,'29.10 Mbarara-Kabale'!F53,'30.10 Mbarara-Kabale'!F53,'31.10 Mbarara-Kabale-24hr'!F53,'1.11 Mbarara-Kabale'!F53,'2.11 Mbarara-Kabale-24hr'!F53)</f>
        <v>3.7142857142857144</v>
      </c>
      <c r="G53" s="49">
        <f>AVERAGE('27.10 Mbarara-Kabale'!G53,'28.10 Mbarara-Kabale'!G53,'29.10 Mbarara-Kabale'!G53,'30.10 Mbarara-Kabale'!G53,'31.10 Mbarara-Kabale-24hr'!G53,'1.11 Mbarara-Kabale'!G53,'2.11 Mbarara-Kabale-24hr'!G53)</f>
        <v>0</v>
      </c>
      <c r="H53" s="49">
        <f>AVERAGE('27.10 Mbarara-Kabale'!H53,'28.10 Mbarara-Kabale'!H53,'29.10 Mbarara-Kabale'!H53,'30.10 Mbarara-Kabale'!H53,'31.10 Mbarara-Kabale-24hr'!H53,'1.11 Mbarara-Kabale'!H53,'2.11 Mbarara-Kabale-24hr'!H53)</f>
        <v>0.2857142857142857</v>
      </c>
      <c r="I53" s="49">
        <f>AVERAGE('27.10 Mbarara-Kabale'!I53,'28.10 Mbarara-Kabale'!I53,'29.10 Mbarara-Kabale'!I53,'30.10 Mbarara-Kabale'!I53,'31.10 Mbarara-Kabale-24hr'!I53,'1.11 Mbarara-Kabale'!I53,'2.11 Mbarara-Kabale-24hr'!I53)</f>
        <v>1.7142857142857142</v>
      </c>
      <c r="J53" s="49">
        <f>AVERAGE('27.10 Mbarara-Kabale'!J53,'28.10 Mbarara-Kabale'!J53,'29.10 Mbarara-Kabale'!J53,'30.10 Mbarara-Kabale'!J53,'31.10 Mbarara-Kabale-24hr'!J53,'1.11 Mbarara-Kabale'!J53,'2.11 Mbarara-Kabale-24hr'!J53)</f>
        <v>0.42857142857142855</v>
      </c>
      <c r="K53" s="49">
        <f>AVERAGE('27.10 Mbarara-Kabale'!K53,'28.10 Mbarara-Kabale'!K53,'29.10 Mbarara-Kabale'!K53,'30.10 Mbarara-Kabale'!K53,'31.10 Mbarara-Kabale-24hr'!K53,'1.11 Mbarara-Kabale'!K53,'2.11 Mbarara-Kabale-24hr'!K53)</f>
        <v>2.5714285714285716</v>
      </c>
      <c r="L53" s="49">
        <f>AVERAGE('27.10 Mbarara-Kabale'!L53,'28.10 Mbarara-Kabale'!L53,'29.10 Mbarara-Kabale'!L53,'30.10 Mbarara-Kabale'!L53,'31.10 Mbarara-Kabale-24hr'!L53,'1.11 Mbarara-Kabale'!L53,'2.11 Mbarara-Kabale-24hr'!L53)</f>
        <v>4.8571428571428568</v>
      </c>
      <c r="M53" s="49">
        <f>AVERAGE('27.10 Mbarara-Kabale'!M53,'28.10 Mbarara-Kabale'!M53,'29.10 Mbarara-Kabale'!M53,'30.10 Mbarara-Kabale'!M53,'31.10 Mbarara-Kabale-24hr'!M53,'1.11 Mbarara-Kabale'!M53,'2.11 Mbarara-Kabale-24hr'!M53)</f>
        <v>14.142857142857142</v>
      </c>
      <c r="N53" s="49">
        <f>AVERAGE('27.10 Mbarara-Kabale'!N53,'28.10 Mbarara-Kabale'!N53,'29.10 Mbarara-Kabale'!N53,'30.10 Mbarara-Kabale'!N53,'31.10 Mbarara-Kabale-24hr'!N53,'1.11 Mbarara-Kabale'!N53,'2.11 Mbarara-Kabale-24hr'!N53)</f>
        <v>0</v>
      </c>
      <c r="O53" s="15">
        <f t="shared" si="0"/>
        <v>25.571428571428573</v>
      </c>
      <c r="P53" s="15">
        <f t="shared" si="1"/>
        <v>39.714285714285715</v>
      </c>
      <c r="R53" s="8"/>
      <c r="T53"/>
    </row>
    <row r="54" spans="2:20" ht="23.1" customHeight="1" x14ac:dyDescent="0.25">
      <c r="B54" s="23" t="s">
        <v>81</v>
      </c>
      <c r="C54" s="49">
        <f>AVERAGE('27.10 Mbarara-Kabale'!C54,'28.10 Mbarara-Kabale'!C54,'29.10 Mbarara-Kabale'!C54,'30.10 Mbarara-Kabale'!C54,'31.10 Mbarara-Kabale-24hr'!C54,'1.11 Mbarara-Kabale'!C54,'2.11 Mbarara-Kabale-24hr'!C54)</f>
        <v>5.1428571428571432</v>
      </c>
      <c r="D54" s="49">
        <f>AVERAGE('27.10 Mbarara-Kabale'!D54,'28.10 Mbarara-Kabale'!D54,'29.10 Mbarara-Kabale'!D54,'30.10 Mbarara-Kabale'!D54,'31.10 Mbarara-Kabale-24hr'!D54,'1.11 Mbarara-Kabale'!D54,'2.11 Mbarara-Kabale-24hr'!D54)</f>
        <v>1.7142857142857142</v>
      </c>
      <c r="E54" s="49">
        <f>AVERAGE('27.10 Mbarara-Kabale'!E54,'28.10 Mbarara-Kabale'!E54,'29.10 Mbarara-Kabale'!E54,'30.10 Mbarara-Kabale'!E54,'31.10 Mbarara-Kabale-24hr'!E54,'1.11 Mbarara-Kabale'!E54,'2.11 Mbarara-Kabale-24hr'!E54)</f>
        <v>0.42857142857142855</v>
      </c>
      <c r="F54" s="49">
        <f>AVERAGE('27.10 Mbarara-Kabale'!F54,'28.10 Mbarara-Kabale'!F54,'29.10 Mbarara-Kabale'!F54,'30.10 Mbarara-Kabale'!F54,'31.10 Mbarara-Kabale-24hr'!F54,'1.11 Mbarara-Kabale'!F54,'2.11 Mbarara-Kabale-24hr'!F54)</f>
        <v>4.1428571428571432</v>
      </c>
      <c r="G54" s="49">
        <f>AVERAGE('27.10 Mbarara-Kabale'!G54,'28.10 Mbarara-Kabale'!G54,'29.10 Mbarara-Kabale'!G54,'30.10 Mbarara-Kabale'!G54,'31.10 Mbarara-Kabale-24hr'!G54,'1.11 Mbarara-Kabale'!G54,'2.11 Mbarara-Kabale-24hr'!G54)</f>
        <v>0.8571428571428571</v>
      </c>
      <c r="H54" s="49">
        <f>AVERAGE('27.10 Mbarara-Kabale'!H54,'28.10 Mbarara-Kabale'!H54,'29.10 Mbarara-Kabale'!H54,'30.10 Mbarara-Kabale'!H54,'31.10 Mbarara-Kabale-24hr'!H54,'1.11 Mbarara-Kabale'!H54,'2.11 Mbarara-Kabale-24hr'!H54)</f>
        <v>0.8571428571428571</v>
      </c>
      <c r="I54" s="49">
        <f>AVERAGE('27.10 Mbarara-Kabale'!I54,'28.10 Mbarara-Kabale'!I54,'29.10 Mbarara-Kabale'!I54,'30.10 Mbarara-Kabale'!I54,'31.10 Mbarara-Kabale-24hr'!I54,'1.11 Mbarara-Kabale'!I54,'2.11 Mbarara-Kabale-24hr'!I54)</f>
        <v>0.7142857142857143</v>
      </c>
      <c r="J54" s="49">
        <f>AVERAGE('27.10 Mbarara-Kabale'!J54,'28.10 Mbarara-Kabale'!J54,'29.10 Mbarara-Kabale'!J54,'30.10 Mbarara-Kabale'!J54,'31.10 Mbarara-Kabale-24hr'!J54,'1.11 Mbarara-Kabale'!J54,'2.11 Mbarara-Kabale-24hr'!J54)</f>
        <v>2.1428571428571428</v>
      </c>
      <c r="K54" s="49">
        <f>AVERAGE('27.10 Mbarara-Kabale'!K54,'28.10 Mbarara-Kabale'!K54,'29.10 Mbarara-Kabale'!K54,'30.10 Mbarara-Kabale'!K54,'31.10 Mbarara-Kabale-24hr'!K54,'1.11 Mbarara-Kabale'!K54,'2.11 Mbarara-Kabale-24hr'!K54)</f>
        <v>2.2857142857142856</v>
      </c>
      <c r="L54" s="49">
        <f>AVERAGE('27.10 Mbarara-Kabale'!L54,'28.10 Mbarara-Kabale'!L54,'29.10 Mbarara-Kabale'!L54,'30.10 Mbarara-Kabale'!L54,'31.10 Mbarara-Kabale-24hr'!L54,'1.11 Mbarara-Kabale'!L54,'2.11 Mbarara-Kabale-24hr'!L54)</f>
        <v>1.4285714285714286</v>
      </c>
      <c r="M54" s="49">
        <f>AVERAGE('27.10 Mbarara-Kabale'!M54,'28.10 Mbarara-Kabale'!M54,'29.10 Mbarara-Kabale'!M54,'30.10 Mbarara-Kabale'!M54,'31.10 Mbarara-Kabale-24hr'!M54,'1.11 Mbarara-Kabale'!M54,'2.11 Mbarara-Kabale-24hr'!M54)</f>
        <v>12.428571428571429</v>
      </c>
      <c r="N54" s="49">
        <f>AVERAGE('27.10 Mbarara-Kabale'!N54,'28.10 Mbarara-Kabale'!N54,'29.10 Mbarara-Kabale'!N54,'30.10 Mbarara-Kabale'!N54,'31.10 Mbarara-Kabale-24hr'!N54,'1.11 Mbarara-Kabale'!N54,'2.11 Mbarara-Kabale-24hr'!N54)</f>
        <v>0</v>
      </c>
      <c r="O54" s="15">
        <f t="shared" si="0"/>
        <v>19.714285714285715</v>
      </c>
      <c r="P54" s="15">
        <f t="shared" si="1"/>
        <v>32.142857142857146</v>
      </c>
      <c r="R54" s="8"/>
      <c r="T54"/>
    </row>
    <row r="55" spans="2:20" ht="23.1" customHeight="1" x14ac:dyDescent="0.25">
      <c r="B55" s="23" t="s">
        <v>82</v>
      </c>
      <c r="C55" s="49">
        <f>AVERAGE('27.10 Mbarara-Kabale'!C55,'28.10 Mbarara-Kabale'!C55,'29.10 Mbarara-Kabale'!C55,'30.10 Mbarara-Kabale'!C55,'31.10 Mbarara-Kabale-24hr'!C55,'1.11 Mbarara-Kabale'!C55,'2.11 Mbarara-Kabale-24hr'!C55)</f>
        <v>5.4285714285714288</v>
      </c>
      <c r="D55" s="49">
        <f>AVERAGE('27.10 Mbarara-Kabale'!D55,'28.10 Mbarara-Kabale'!D55,'29.10 Mbarara-Kabale'!D55,'30.10 Mbarara-Kabale'!D55,'31.10 Mbarara-Kabale-24hr'!D55,'1.11 Mbarara-Kabale'!D55,'2.11 Mbarara-Kabale-24hr'!D55)</f>
        <v>0.7142857142857143</v>
      </c>
      <c r="E55" s="49">
        <f>AVERAGE('27.10 Mbarara-Kabale'!E55,'28.10 Mbarara-Kabale'!E55,'29.10 Mbarara-Kabale'!E55,'30.10 Mbarara-Kabale'!E55,'31.10 Mbarara-Kabale-24hr'!E55,'1.11 Mbarara-Kabale'!E55,'2.11 Mbarara-Kabale-24hr'!E55)</f>
        <v>1.4285714285714286</v>
      </c>
      <c r="F55" s="49">
        <f>AVERAGE('27.10 Mbarara-Kabale'!F55,'28.10 Mbarara-Kabale'!F55,'29.10 Mbarara-Kabale'!F55,'30.10 Mbarara-Kabale'!F55,'31.10 Mbarara-Kabale-24hr'!F55,'1.11 Mbarara-Kabale'!F55,'2.11 Mbarara-Kabale-24hr'!F55)</f>
        <v>2.2857142857142856</v>
      </c>
      <c r="G55" s="49">
        <f>AVERAGE('27.10 Mbarara-Kabale'!G55,'28.10 Mbarara-Kabale'!G55,'29.10 Mbarara-Kabale'!G55,'30.10 Mbarara-Kabale'!G55,'31.10 Mbarara-Kabale-24hr'!G55,'1.11 Mbarara-Kabale'!G55,'2.11 Mbarara-Kabale-24hr'!G55)</f>
        <v>0.42857142857142855</v>
      </c>
      <c r="H55" s="49">
        <f>AVERAGE('27.10 Mbarara-Kabale'!H55,'28.10 Mbarara-Kabale'!H55,'29.10 Mbarara-Kabale'!H55,'30.10 Mbarara-Kabale'!H55,'31.10 Mbarara-Kabale-24hr'!H55,'1.11 Mbarara-Kabale'!H55,'2.11 Mbarara-Kabale-24hr'!H55)</f>
        <v>0.2857142857142857</v>
      </c>
      <c r="I55" s="49">
        <f>AVERAGE('27.10 Mbarara-Kabale'!I55,'28.10 Mbarara-Kabale'!I55,'29.10 Mbarara-Kabale'!I55,'30.10 Mbarara-Kabale'!I55,'31.10 Mbarara-Kabale-24hr'!I55,'1.11 Mbarara-Kabale'!I55,'2.11 Mbarara-Kabale-24hr'!I55)</f>
        <v>1.5714285714285714</v>
      </c>
      <c r="J55" s="49">
        <f>AVERAGE('27.10 Mbarara-Kabale'!J55,'28.10 Mbarara-Kabale'!J55,'29.10 Mbarara-Kabale'!J55,'30.10 Mbarara-Kabale'!J55,'31.10 Mbarara-Kabale-24hr'!J55,'1.11 Mbarara-Kabale'!J55,'2.11 Mbarara-Kabale-24hr'!J55)</f>
        <v>1.4285714285714286</v>
      </c>
      <c r="K55" s="49">
        <f>AVERAGE('27.10 Mbarara-Kabale'!K55,'28.10 Mbarara-Kabale'!K55,'29.10 Mbarara-Kabale'!K55,'30.10 Mbarara-Kabale'!K55,'31.10 Mbarara-Kabale-24hr'!K55,'1.11 Mbarara-Kabale'!K55,'2.11 Mbarara-Kabale-24hr'!K55)</f>
        <v>2.2857142857142856</v>
      </c>
      <c r="L55" s="49">
        <f>AVERAGE('27.10 Mbarara-Kabale'!L55,'28.10 Mbarara-Kabale'!L55,'29.10 Mbarara-Kabale'!L55,'30.10 Mbarara-Kabale'!L55,'31.10 Mbarara-Kabale-24hr'!L55,'1.11 Mbarara-Kabale'!L55,'2.11 Mbarara-Kabale-24hr'!L55)</f>
        <v>1.7142857142857142</v>
      </c>
      <c r="M55" s="49">
        <f>AVERAGE('27.10 Mbarara-Kabale'!M55,'28.10 Mbarara-Kabale'!M55,'29.10 Mbarara-Kabale'!M55,'30.10 Mbarara-Kabale'!M55,'31.10 Mbarara-Kabale-24hr'!M55,'1.11 Mbarara-Kabale'!M55,'2.11 Mbarara-Kabale-24hr'!M55)</f>
        <v>13.857142857142858</v>
      </c>
      <c r="N55" s="49">
        <f>AVERAGE('27.10 Mbarara-Kabale'!N55,'28.10 Mbarara-Kabale'!N55,'29.10 Mbarara-Kabale'!N55,'30.10 Mbarara-Kabale'!N55,'31.10 Mbarara-Kabale-24hr'!N55,'1.11 Mbarara-Kabale'!N55,'2.11 Mbarara-Kabale-24hr'!N55)</f>
        <v>0</v>
      </c>
      <c r="O55" s="15">
        <f t="shared" si="0"/>
        <v>17.571428571428573</v>
      </c>
      <c r="P55" s="15">
        <f t="shared" si="1"/>
        <v>31.428571428571431</v>
      </c>
      <c r="R55" s="8"/>
      <c r="T55"/>
    </row>
    <row r="56" spans="2:20" ht="23.1" customHeight="1" x14ac:dyDescent="0.25">
      <c r="B56" s="23" t="s">
        <v>83</v>
      </c>
      <c r="C56" s="49">
        <f>AVERAGE('27.10 Mbarara-Kabale'!C56,'28.10 Mbarara-Kabale'!C56,'29.10 Mbarara-Kabale'!C56,'30.10 Mbarara-Kabale'!C56,'31.10 Mbarara-Kabale-24hr'!C56,'1.11 Mbarara-Kabale'!C56,'2.11 Mbarara-Kabale-24hr'!C56)</f>
        <v>7</v>
      </c>
      <c r="D56" s="49">
        <f>AVERAGE('27.10 Mbarara-Kabale'!D56,'28.10 Mbarara-Kabale'!D56,'29.10 Mbarara-Kabale'!D56,'30.10 Mbarara-Kabale'!D56,'31.10 Mbarara-Kabale-24hr'!D56,'1.11 Mbarara-Kabale'!D56,'2.11 Mbarara-Kabale-24hr'!D56)</f>
        <v>3.1428571428571428</v>
      </c>
      <c r="E56" s="49">
        <f>AVERAGE('27.10 Mbarara-Kabale'!E56,'28.10 Mbarara-Kabale'!E56,'29.10 Mbarara-Kabale'!E56,'30.10 Mbarara-Kabale'!E56,'31.10 Mbarara-Kabale-24hr'!E56,'1.11 Mbarara-Kabale'!E56,'2.11 Mbarara-Kabale-24hr'!E56)</f>
        <v>3.2857142857142856</v>
      </c>
      <c r="F56" s="49">
        <f>AVERAGE('27.10 Mbarara-Kabale'!F56,'28.10 Mbarara-Kabale'!F56,'29.10 Mbarara-Kabale'!F56,'30.10 Mbarara-Kabale'!F56,'31.10 Mbarara-Kabale-24hr'!F56,'1.11 Mbarara-Kabale'!F56,'2.11 Mbarara-Kabale-24hr'!F56)</f>
        <v>4.8571428571428568</v>
      </c>
      <c r="G56" s="49">
        <f>AVERAGE('27.10 Mbarara-Kabale'!G56,'28.10 Mbarara-Kabale'!G56,'29.10 Mbarara-Kabale'!G56,'30.10 Mbarara-Kabale'!G56,'31.10 Mbarara-Kabale-24hr'!G56,'1.11 Mbarara-Kabale'!G56,'2.11 Mbarara-Kabale-24hr'!G56)</f>
        <v>0.2857142857142857</v>
      </c>
      <c r="H56" s="49">
        <f>AVERAGE('27.10 Mbarara-Kabale'!H56,'28.10 Mbarara-Kabale'!H56,'29.10 Mbarara-Kabale'!H56,'30.10 Mbarara-Kabale'!H56,'31.10 Mbarara-Kabale-24hr'!H56,'1.11 Mbarara-Kabale'!H56,'2.11 Mbarara-Kabale-24hr'!H56)</f>
        <v>0.8571428571428571</v>
      </c>
      <c r="I56" s="49">
        <f>AVERAGE('27.10 Mbarara-Kabale'!I56,'28.10 Mbarara-Kabale'!I56,'29.10 Mbarara-Kabale'!I56,'30.10 Mbarara-Kabale'!I56,'31.10 Mbarara-Kabale-24hr'!I56,'1.11 Mbarara-Kabale'!I56,'2.11 Mbarara-Kabale-24hr'!I56)</f>
        <v>1.5714285714285714</v>
      </c>
      <c r="J56" s="49">
        <f>AVERAGE('27.10 Mbarara-Kabale'!J56,'28.10 Mbarara-Kabale'!J56,'29.10 Mbarara-Kabale'!J56,'30.10 Mbarara-Kabale'!J56,'31.10 Mbarara-Kabale-24hr'!J56,'1.11 Mbarara-Kabale'!J56,'2.11 Mbarara-Kabale-24hr'!J56)</f>
        <v>1.4285714285714286</v>
      </c>
      <c r="K56" s="49">
        <f>AVERAGE('27.10 Mbarara-Kabale'!K56,'28.10 Mbarara-Kabale'!K56,'29.10 Mbarara-Kabale'!K56,'30.10 Mbarara-Kabale'!K56,'31.10 Mbarara-Kabale-24hr'!K56,'1.11 Mbarara-Kabale'!K56,'2.11 Mbarara-Kabale-24hr'!K56)</f>
        <v>3</v>
      </c>
      <c r="L56" s="49">
        <f>AVERAGE('27.10 Mbarara-Kabale'!L56,'28.10 Mbarara-Kabale'!L56,'29.10 Mbarara-Kabale'!L56,'30.10 Mbarara-Kabale'!L56,'31.10 Mbarara-Kabale-24hr'!L56,'1.11 Mbarara-Kabale'!L56,'2.11 Mbarara-Kabale-24hr'!L56)</f>
        <v>1.4285714285714286</v>
      </c>
      <c r="M56" s="49">
        <f>AVERAGE('27.10 Mbarara-Kabale'!M56,'28.10 Mbarara-Kabale'!M56,'29.10 Mbarara-Kabale'!M56,'30.10 Mbarara-Kabale'!M56,'31.10 Mbarara-Kabale-24hr'!M56,'1.11 Mbarara-Kabale'!M56,'2.11 Mbarara-Kabale-24hr'!M56)</f>
        <v>17.142857142857142</v>
      </c>
      <c r="N56" s="49">
        <f>AVERAGE('27.10 Mbarara-Kabale'!N56,'28.10 Mbarara-Kabale'!N56,'29.10 Mbarara-Kabale'!N56,'30.10 Mbarara-Kabale'!N56,'31.10 Mbarara-Kabale-24hr'!N56,'1.11 Mbarara-Kabale'!N56,'2.11 Mbarara-Kabale-24hr'!N56)</f>
        <v>0</v>
      </c>
      <c r="O56" s="15">
        <f t="shared" si="0"/>
        <v>26.857142857142854</v>
      </c>
      <c r="P56" s="15">
        <f t="shared" si="1"/>
        <v>44</v>
      </c>
      <c r="R56" s="8"/>
      <c r="T56"/>
    </row>
    <row r="57" spans="2:20" ht="23.1" customHeight="1" x14ac:dyDescent="0.25">
      <c r="B57" s="23" t="s">
        <v>84</v>
      </c>
      <c r="C57" s="49">
        <f>AVERAGE('27.10 Mbarara-Kabale'!C57,'28.10 Mbarara-Kabale'!C57,'29.10 Mbarara-Kabale'!C57,'30.10 Mbarara-Kabale'!C57,'31.10 Mbarara-Kabale-24hr'!C57,'1.11 Mbarara-Kabale'!C57,'2.11 Mbarara-Kabale-24hr'!C57)</f>
        <v>7</v>
      </c>
      <c r="D57" s="49">
        <f>AVERAGE('27.10 Mbarara-Kabale'!D57,'28.10 Mbarara-Kabale'!D57,'29.10 Mbarara-Kabale'!D57,'30.10 Mbarara-Kabale'!D57,'31.10 Mbarara-Kabale-24hr'!D57,'1.11 Mbarara-Kabale'!D57,'2.11 Mbarara-Kabale-24hr'!D57)</f>
        <v>3.7142857142857144</v>
      </c>
      <c r="E57" s="49">
        <f>AVERAGE('27.10 Mbarara-Kabale'!E57,'28.10 Mbarara-Kabale'!E57,'29.10 Mbarara-Kabale'!E57,'30.10 Mbarara-Kabale'!E57,'31.10 Mbarara-Kabale-24hr'!E57,'1.11 Mbarara-Kabale'!E57,'2.11 Mbarara-Kabale-24hr'!E57)</f>
        <v>3.1428571428571428</v>
      </c>
      <c r="F57" s="49">
        <f>AVERAGE('27.10 Mbarara-Kabale'!F57,'28.10 Mbarara-Kabale'!F57,'29.10 Mbarara-Kabale'!F57,'30.10 Mbarara-Kabale'!F57,'31.10 Mbarara-Kabale-24hr'!F57,'1.11 Mbarara-Kabale'!F57,'2.11 Mbarara-Kabale-24hr'!F57)</f>
        <v>3.7142857142857144</v>
      </c>
      <c r="G57" s="49">
        <f>AVERAGE('27.10 Mbarara-Kabale'!G57,'28.10 Mbarara-Kabale'!G57,'29.10 Mbarara-Kabale'!G57,'30.10 Mbarara-Kabale'!G57,'31.10 Mbarara-Kabale-24hr'!G57,'1.11 Mbarara-Kabale'!G57,'2.11 Mbarara-Kabale-24hr'!G57)</f>
        <v>0</v>
      </c>
      <c r="H57" s="49">
        <f>AVERAGE('27.10 Mbarara-Kabale'!H57,'28.10 Mbarara-Kabale'!H57,'29.10 Mbarara-Kabale'!H57,'30.10 Mbarara-Kabale'!H57,'31.10 Mbarara-Kabale-24hr'!H57,'1.11 Mbarara-Kabale'!H57,'2.11 Mbarara-Kabale-24hr'!H57)</f>
        <v>0.14285714285714285</v>
      </c>
      <c r="I57" s="49">
        <f>AVERAGE('27.10 Mbarara-Kabale'!I57,'28.10 Mbarara-Kabale'!I57,'29.10 Mbarara-Kabale'!I57,'30.10 Mbarara-Kabale'!I57,'31.10 Mbarara-Kabale-24hr'!I57,'1.11 Mbarara-Kabale'!I57,'2.11 Mbarara-Kabale-24hr'!I57)</f>
        <v>0.8571428571428571</v>
      </c>
      <c r="J57" s="49">
        <f>AVERAGE('27.10 Mbarara-Kabale'!J57,'28.10 Mbarara-Kabale'!J57,'29.10 Mbarara-Kabale'!J57,'30.10 Mbarara-Kabale'!J57,'31.10 Mbarara-Kabale-24hr'!J57,'1.11 Mbarara-Kabale'!J57,'2.11 Mbarara-Kabale-24hr'!J57)</f>
        <v>1.4285714285714286</v>
      </c>
      <c r="K57" s="49">
        <f>AVERAGE('27.10 Mbarara-Kabale'!K57,'28.10 Mbarara-Kabale'!K57,'29.10 Mbarara-Kabale'!K57,'30.10 Mbarara-Kabale'!K57,'31.10 Mbarara-Kabale-24hr'!K57,'1.11 Mbarara-Kabale'!K57,'2.11 Mbarara-Kabale-24hr'!K57)</f>
        <v>2.5714285714285716</v>
      </c>
      <c r="L57" s="49">
        <f>AVERAGE('27.10 Mbarara-Kabale'!L57,'28.10 Mbarara-Kabale'!L57,'29.10 Mbarara-Kabale'!L57,'30.10 Mbarara-Kabale'!L57,'31.10 Mbarara-Kabale-24hr'!L57,'1.11 Mbarara-Kabale'!L57,'2.11 Mbarara-Kabale-24hr'!L57)</f>
        <v>4</v>
      </c>
      <c r="M57" s="49">
        <f>AVERAGE('27.10 Mbarara-Kabale'!M57,'28.10 Mbarara-Kabale'!M57,'29.10 Mbarara-Kabale'!M57,'30.10 Mbarara-Kabale'!M57,'31.10 Mbarara-Kabale-24hr'!M57,'1.11 Mbarara-Kabale'!M57,'2.11 Mbarara-Kabale-24hr'!M57)</f>
        <v>14.285714285714286</v>
      </c>
      <c r="N57" s="49">
        <f>AVERAGE('27.10 Mbarara-Kabale'!N57,'28.10 Mbarara-Kabale'!N57,'29.10 Mbarara-Kabale'!N57,'30.10 Mbarara-Kabale'!N57,'31.10 Mbarara-Kabale-24hr'!N57,'1.11 Mbarara-Kabale'!N57,'2.11 Mbarara-Kabale-24hr'!N57)</f>
        <v>0</v>
      </c>
      <c r="O57" s="15">
        <f t="shared" si="0"/>
        <v>26.571428571428573</v>
      </c>
      <c r="P57" s="15">
        <f t="shared" si="1"/>
        <v>40.857142857142861</v>
      </c>
      <c r="R57" s="8"/>
      <c r="T57"/>
    </row>
    <row r="58" spans="2:20" ht="23.1" customHeight="1" x14ac:dyDescent="0.25">
      <c r="B58" s="23" t="s">
        <v>99</v>
      </c>
      <c r="C58" s="49">
        <f>AVERAGE('31.10 Mbarara-Kabale-24hr'!C58,'2.11 Mbarara-Kabale-24hr'!C58)</f>
        <v>11</v>
      </c>
      <c r="D58" s="49">
        <f>AVERAGE('31.10 Mbarara-Kabale-24hr'!D58,'2.11 Mbarara-Kabale-24hr'!D58)</f>
        <v>2.5</v>
      </c>
      <c r="E58" s="49">
        <f>AVERAGE('31.10 Mbarara-Kabale-24hr'!E58,'2.11 Mbarara-Kabale-24hr'!E58)</f>
        <v>4</v>
      </c>
      <c r="F58" s="49">
        <f>AVERAGE('31.10 Mbarara-Kabale-24hr'!F58,'2.11 Mbarara-Kabale-24hr'!F58)</f>
        <v>12.5</v>
      </c>
      <c r="G58" s="49">
        <f>AVERAGE('31.10 Mbarara-Kabale-24hr'!G58,'2.11 Mbarara-Kabale-24hr'!G58)</f>
        <v>2</v>
      </c>
      <c r="H58" s="49">
        <f>AVERAGE('31.10 Mbarara-Kabale-24hr'!H58,'2.11 Mbarara-Kabale-24hr'!H58)</f>
        <v>0</v>
      </c>
      <c r="I58" s="49">
        <f>AVERAGE('31.10 Mbarara-Kabale-24hr'!I58,'2.11 Mbarara-Kabale-24hr'!I58)</f>
        <v>1.5</v>
      </c>
      <c r="J58" s="49">
        <f>AVERAGE('31.10 Mbarara-Kabale-24hr'!J58,'2.11 Mbarara-Kabale-24hr'!J58)</f>
        <v>4</v>
      </c>
      <c r="K58" s="49">
        <f>AVERAGE('31.10 Mbarara-Kabale-24hr'!K58,'2.11 Mbarara-Kabale-24hr'!K58)</f>
        <v>7.5</v>
      </c>
      <c r="L58" s="49">
        <f>AVERAGE('31.10 Mbarara-Kabale-24hr'!L58,'2.11 Mbarara-Kabale-24hr'!L58)</f>
        <v>6.5</v>
      </c>
      <c r="M58" s="49">
        <f>AVERAGE('31.10 Mbarara-Kabale-24hr'!M58,'2.11 Mbarara-Kabale-24hr'!M58)</f>
        <v>15.5</v>
      </c>
      <c r="N58" s="49">
        <f>AVERAGE('31.10 Mbarara-Kabale-24hr'!N58,'2.11 Mbarara-Kabale-24hr'!N58)</f>
        <v>0</v>
      </c>
      <c r="O58" s="15">
        <f t="shared" si="0"/>
        <v>51.5</v>
      </c>
      <c r="P58" s="15">
        <f t="shared" si="1"/>
        <v>67</v>
      </c>
      <c r="R58" s="8"/>
      <c r="T58"/>
    </row>
    <row r="59" spans="2:20" ht="23.1" customHeight="1" x14ac:dyDescent="0.25">
      <c r="B59" s="23" t="s">
        <v>100</v>
      </c>
      <c r="C59" s="49">
        <f>AVERAGE('31.10 Mbarara-Kabale-24hr'!C59,'2.11 Mbarara-Kabale-24hr'!C59)</f>
        <v>13.5</v>
      </c>
      <c r="D59" s="49">
        <f>AVERAGE('31.10 Mbarara-Kabale-24hr'!D59,'2.11 Mbarara-Kabale-24hr'!D59)</f>
        <v>4.5</v>
      </c>
      <c r="E59" s="49">
        <f>AVERAGE('31.10 Mbarara-Kabale-24hr'!E59,'2.11 Mbarara-Kabale-24hr'!E59)</f>
        <v>4.5</v>
      </c>
      <c r="F59" s="49">
        <f>AVERAGE('31.10 Mbarara-Kabale-24hr'!F59,'2.11 Mbarara-Kabale-24hr'!F59)</f>
        <v>12.5</v>
      </c>
      <c r="G59" s="49">
        <f>AVERAGE('31.10 Mbarara-Kabale-24hr'!G59,'2.11 Mbarara-Kabale-24hr'!G59)</f>
        <v>0</v>
      </c>
      <c r="H59" s="49">
        <f>AVERAGE('31.10 Mbarara-Kabale-24hr'!H59,'2.11 Mbarara-Kabale-24hr'!H59)</f>
        <v>0</v>
      </c>
      <c r="I59" s="49">
        <f>AVERAGE('31.10 Mbarara-Kabale-24hr'!I59,'2.11 Mbarara-Kabale-24hr'!I59)</f>
        <v>1.5</v>
      </c>
      <c r="J59" s="49">
        <f>AVERAGE('31.10 Mbarara-Kabale-24hr'!J59,'2.11 Mbarara-Kabale-24hr'!J59)</f>
        <v>4.5</v>
      </c>
      <c r="K59" s="49">
        <f>AVERAGE('31.10 Mbarara-Kabale-24hr'!K59,'2.11 Mbarara-Kabale-24hr'!K59)</f>
        <v>3.5</v>
      </c>
      <c r="L59" s="49">
        <f>AVERAGE('31.10 Mbarara-Kabale-24hr'!L59,'2.11 Mbarara-Kabale-24hr'!L59)</f>
        <v>3</v>
      </c>
      <c r="M59" s="49">
        <f>AVERAGE('31.10 Mbarara-Kabale-24hr'!M59,'2.11 Mbarara-Kabale-24hr'!M59)</f>
        <v>9.5</v>
      </c>
      <c r="N59" s="49">
        <f>AVERAGE('31.10 Mbarara-Kabale-24hr'!N59,'2.11 Mbarara-Kabale-24hr'!N59)</f>
        <v>0</v>
      </c>
      <c r="O59" s="15">
        <f t="shared" si="0"/>
        <v>47.5</v>
      </c>
      <c r="P59" s="15">
        <f t="shared" si="1"/>
        <v>57</v>
      </c>
      <c r="R59" s="8"/>
      <c r="T59"/>
    </row>
    <row r="60" spans="2:20" ht="23.1" customHeight="1" x14ac:dyDescent="0.25">
      <c r="B60" s="23" t="s">
        <v>101</v>
      </c>
      <c r="C60" s="49">
        <f>AVERAGE('31.10 Mbarara-Kabale-24hr'!C60,'2.11 Mbarara-Kabale-24hr'!C60)</f>
        <v>5.5</v>
      </c>
      <c r="D60" s="49">
        <f>AVERAGE('31.10 Mbarara-Kabale-24hr'!D60,'2.11 Mbarara-Kabale-24hr'!D60)</f>
        <v>4</v>
      </c>
      <c r="E60" s="49">
        <f>AVERAGE('31.10 Mbarara-Kabale-24hr'!E60,'2.11 Mbarara-Kabale-24hr'!E60)</f>
        <v>4.5</v>
      </c>
      <c r="F60" s="49">
        <f>AVERAGE('31.10 Mbarara-Kabale-24hr'!F60,'2.11 Mbarara-Kabale-24hr'!F60)</f>
        <v>8.5</v>
      </c>
      <c r="G60" s="49">
        <f>AVERAGE('31.10 Mbarara-Kabale-24hr'!G60,'2.11 Mbarara-Kabale-24hr'!G60)</f>
        <v>1</v>
      </c>
      <c r="H60" s="49">
        <f>AVERAGE('31.10 Mbarara-Kabale-24hr'!H60,'2.11 Mbarara-Kabale-24hr'!H60)</f>
        <v>0.5</v>
      </c>
      <c r="I60" s="49">
        <f>AVERAGE('31.10 Mbarara-Kabale-24hr'!I60,'2.11 Mbarara-Kabale-24hr'!I60)</f>
        <v>3.5</v>
      </c>
      <c r="J60" s="49">
        <f>AVERAGE('31.10 Mbarara-Kabale-24hr'!J60,'2.11 Mbarara-Kabale-24hr'!J60)</f>
        <v>2.5</v>
      </c>
      <c r="K60" s="49">
        <f>AVERAGE('31.10 Mbarara-Kabale-24hr'!K60,'2.11 Mbarara-Kabale-24hr'!K60)</f>
        <v>2.5</v>
      </c>
      <c r="L60" s="49">
        <f>AVERAGE('31.10 Mbarara-Kabale-24hr'!L60,'2.11 Mbarara-Kabale-24hr'!L60)</f>
        <v>6</v>
      </c>
      <c r="M60" s="49">
        <f>AVERAGE('31.10 Mbarara-Kabale-24hr'!M60,'2.11 Mbarara-Kabale-24hr'!M60)</f>
        <v>9</v>
      </c>
      <c r="N60" s="49">
        <f>AVERAGE('31.10 Mbarara-Kabale-24hr'!N60,'2.11 Mbarara-Kabale-24hr'!N60)</f>
        <v>0</v>
      </c>
      <c r="O60" s="15">
        <f t="shared" si="0"/>
        <v>38.5</v>
      </c>
      <c r="P60" s="15">
        <f t="shared" si="1"/>
        <v>47.5</v>
      </c>
      <c r="R60" s="8"/>
      <c r="T60"/>
    </row>
    <row r="61" spans="2:20" ht="23.1" customHeight="1" x14ac:dyDescent="0.25">
      <c r="B61" s="23" t="s">
        <v>102</v>
      </c>
      <c r="C61" s="49">
        <f>AVERAGE('31.10 Mbarara-Kabale-24hr'!C61,'2.11 Mbarara-Kabale-24hr'!C61)</f>
        <v>7.5</v>
      </c>
      <c r="D61" s="49">
        <f>AVERAGE('31.10 Mbarara-Kabale-24hr'!D61,'2.11 Mbarara-Kabale-24hr'!D61)</f>
        <v>3.5</v>
      </c>
      <c r="E61" s="49">
        <f>AVERAGE('31.10 Mbarara-Kabale-24hr'!E61,'2.11 Mbarara-Kabale-24hr'!E61)</f>
        <v>0.5</v>
      </c>
      <c r="F61" s="49">
        <f>AVERAGE('31.10 Mbarara-Kabale-24hr'!F61,'2.11 Mbarara-Kabale-24hr'!F61)</f>
        <v>4</v>
      </c>
      <c r="G61" s="49">
        <f>AVERAGE('31.10 Mbarara-Kabale-24hr'!G61,'2.11 Mbarara-Kabale-24hr'!G61)</f>
        <v>0</v>
      </c>
      <c r="H61" s="49">
        <f>AVERAGE('31.10 Mbarara-Kabale-24hr'!H61,'2.11 Mbarara-Kabale-24hr'!H61)</f>
        <v>0</v>
      </c>
      <c r="I61" s="49">
        <f>AVERAGE('31.10 Mbarara-Kabale-24hr'!I61,'2.11 Mbarara-Kabale-24hr'!I61)</f>
        <v>1.5</v>
      </c>
      <c r="J61" s="49">
        <f>AVERAGE('31.10 Mbarara-Kabale-24hr'!J61,'2.11 Mbarara-Kabale-24hr'!J61)</f>
        <v>2</v>
      </c>
      <c r="K61" s="49">
        <f>AVERAGE('31.10 Mbarara-Kabale-24hr'!K61,'2.11 Mbarara-Kabale-24hr'!K61)</f>
        <v>1.5</v>
      </c>
      <c r="L61" s="49">
        <f>AVERAGE('31.10 Mbarara-Kabale-24hr'!L61,'2.11 Mbarara-Kabale-24hr'!L61)</f>
        <v>8</v>
      </c>
      <c r="M61" s="49">
        <f>AVERAGE('31.10 Mbarara-Kabale-24hr'!M61,'2.11 Mbarara-Kabale-24hr'!M61)</f>
        <v>9</v>
      </c>
      <c r="N61" s="49">
        <f>AVERAGE('31.10 Mbarara-Kabale-24hr'!N61,'2.11 Mbarara-Kabale-24hr'!N61)</f>
        <v>0</v>
      </c>
      <c r="O61" s="15">
        <f t="shared" si="0"/>
        <v>28.5</v>
      </c>
      <c r="P61" s="15">
        <f t="shared" si="1"/>
        <v>37.5</v>
      </c>
      <c r="R61" s="8"/>
      <c r="T61"/>
    </row>
    <row r="62" spans="2:20" ht="23.1" customHeight="1" x14ac:dyDescent="0.25">
      <c r="B62" s="23" t="s">
        <v>107</v>
      </c>
      <c r="C62" s="49">
        <f>AVERAGE('31.10 Mbarara-Kabale-24hr'!C62,'2.11 Mbarara-Kabale-24hr'!C62)</f>
        <v>5.5</v>
      </c>
      <c r="D62" s="49">
        <f>AVERAGE('31.10 Mbarara-Kabale-24hr'!D62,'2.11 Mbarara-Kabale-24hr'!D62)</f>
        <v>4</v>
      </c>
      <c r="E62" s="49">
        <f>AVERAGE('31.10 Mbarara-Kabale-24hr'!E62,'2.11 Mbarara-Kabale-24hr'!E62)</f>
        <v>3</v>
      </c>
      <c r="F62" s="49">
        <f>AVERAGE('31.10 Mbarara-Kabale-24hr'!F62,'2.11 Mbarara-Kabale-24hr'!F62)</f>
        <v>4.5</v>
      </c>
      <c r="G62" s="49">
        <f>AVERAGE('31.10 Mbarara-Kabale-24hr'!G62,'2.11 Mbarara-Kabale-24hr'!G62)</f>
        <v>0.5</v>
      </c>
      <c r="H62" s="49">
        <f>AVERAGE('31.10 Mbarara-Kabale-24hr'!H62,'2.11 Mbarara-Kabale-24hr'!H62)</f>
        <v>0</v>
      </c>
      <c r="I62" s="49">
        <f>AVERAGE('31.10 Mbarara-Kabale-24hr'!I62,'2.11 Mbarara-Kabale-24hr'!I62)</f>
        <v>1.5</v>
      </c>
      <c r="J62" s="49">
        <f>AVERAGE('31.10 Mbarara-Kabale-24hr'!J62,'2.11 Mbarara-Kabale-24hr'!J62)</f>
        <v>0.5</v>
      </c>
      <c r="K62" s="49">
        <f>AVERAGE('31.10 Mbarara-Kabale-24hr'!K62,'2.11 Mbarara-Kabale-24hr'!K62)</f>
        <v>2</v>
      </c>
      <c r="L62" s="49">
        <f>AVERAGE('31.10 Mbarara-Kabale-24hr'!L62,'2.11 Mbarara-Kabale-24hr'!L62)</f>
        <v>3.5</v>
      </c>
      <c r="M62" s="49">
        <f>AVERAGE('31.10 Mbarara-Kabale-24hr'!M62,'2.11 Mbarara-Kabale-24hr'!M62)</f>
        <v>9</v>
      </c>
      <c r="N62" s="49">
        <f>AVERAGE('31.10 Mbarara-Kabale-24hr'!N62,'2.11 Mbarara-Kabale-24hr'!N62)</f>
        <v>0</v>
      </c>
      <c r="O62" s="15">
        <f t="shared" si="0"/>
        <v>25</v>
      </c>
      <c r="P62" s="15">
        <f t="shared" si="1"/>
        <v>34</v>
      </c>
      <c r="R62" s="8"/>
      <c r="T62"/>
    </row>
    <row r="63" spans="2:20" ht="23.1" customHeight="1" x14ac:dyDescent="0.25">
      <c r="B63" s="23" t="s">
        <v>108</v>
      </c>
      <c r="C63" s="49">
        <f>AVERAGE('31.10 Mbarara-Kabale-24hr'!C63,'2.11 Mbarara-Kabale-24hr'!C63)</f>
        <v>3</v>
      </c>
      <c r="D63" s="49">
        <f>AVERAGE('31.10 Mbarara-Kabale-24hr'!D63,'2.11 Mbarara-Kabale-24hr'!D63)</f>
        <v>2.5</v>
      </c>
      <c r="E63" s="49">
        <f>AVERAGE('31.10 Mbarara-Kabale-24hr'!E63,'2.11 Mbarara-Kabale-24hr'!E63)</f>
        <v>1</v>
      </c>
      <c r="F63" s="49">
        <f>AVERAGE('31.10 Mbarara-Kabale-24hr'!F63,'2.11 Mbarara-Kabale-24hr'!F63)</f>
        <v>4</v>
      </c>
      <c r="G63" s="49">
        <f>AVERAGE('31.10 Mbarara-Kabale-24hr'!G63,'2.11 Mbarara-Kabale-24hr'!G63)</f>
        <v>1.5</v>
      </c>
      <c r="H63" s="49">
        <f>AVERAGE('31.10 Mbarara-Kabale-24hr'!H63,'2.11 Mbarara-Kabale-24hr'!H63)</f>
        <v>0</v>
      </c>
      <c r="I63" s="49">
        <f>AVERAGE('31.10 Mbarara-Kabale-24hr'!I63,'2.11 Mbarara-Kabale-24hr'!I63)</f>
        <v>1.5</v>
      </c>
      <c r="J63" s="49">
        <f>AVERAGE('31.10 Mbarara-Kabale-24hr'!J63,'2.11 Mbarara-Kabale-24hr'!J63)</f>
        <v>4</v>
      </c>
      <c r="K63" s="49">
        <f>AVERAGE('31.10 Mbarara-Kabale-24hr'!K63,'2.11 Mbarara-Kabale-24hr'!K63)</f>
        <v>2.5</v>
      </c>
      <c r="L63" s="49">
        <f>AVERAGE('31.10 Mbarara-Kabale-24hr'!L63,'2.11 Mbarara-Kabale-24hr'!L63)</f>
        <v>0.5</v>
      </c>
      <c r="M63" s="49">
        <f>AVERAGE('31.10 Mbarara-Kabale-24hr'!M63,'2.11 Mbarara-Kabale-24hr'!M63)</f>
        <v>7.5</v>
      </c>
      <c r="N63" s="49">
        <f>AVERAGE('31.10 Mbarara-Kabale-24hr'!N63,'2.11 Mbarara-Kabale-24hr'!N63)</f>
        <v>0</v>
      </c>
      <c r="O63" s="15">
        <f t="shared" si="0"/>
        <v>20.5</v>
      </c>
      <c r="P63" s="15">
        <f t="shared" si="1"/>
        <v>28</v>
      </c>
      <c r="R63" s="8"/>
      <c r="T63"/>
    </row>
    <row r="64" spans="2:20" ht="23.1" customHeight="1" x14ac:dyDescent="0.25">
      <c r="B64" s="23" t="s">
        <v>109</v>
      </c>
      <c r="C64" s="49">
        <f>AVERAGE('31.10 Mbarara-Kabale-24hr'!C64,'2.11 Mbarara-Kabale-24hr'!C64)</f>
        <v>6.5</v>
      </c>
      <c r="D64" s="49">
        <f>AVERAGE('31.10 Mbarara-Kabale-24hr'!D64,'2.11 Mbarara-Kabale-24hr'!D64)</f>
        <v>6.5</v>
      </c>
      <c r="E64" s="49">
        <f>AVERAGE('31.10 Mbarara-Kabale-24hr'!E64,'2.11 Mbarara-Kabale-24hr'!E64)</f>
        <v>2</v>
      </c>
      <c r="F64" s="49">
        <f>AVERAGE('31.10 Mbarara-Kabale-24hr'!F64,'2.11 Mbarara-Kabale-24hr'!F64)</f>
        <v>6.5</v>
      </c>
      <c r="G64" s="49">
        <f>AVERAGE('31.10 Mbarara-Kabale-24hr'!G64,'2.11 Mbarara-Kabale-24hr'!G64)</f>
        <v>0</v>
      </c>
      <c r="H64" s="49">
        <f>AVERAGE('31.10 Mbarara-Kabale-24hr'!H64,'2.11 Mbarara-Kabale-24hr'!H64)</f>
        <v>0</v>
      </c>
      <c r="I64" s="49">
        <f>AVERAGE('31.10 Mbarara-Kabale-24hr'!I64,'2.11 Mbarara-Kabale-24hr'!I64)</f>
        <v>0.5</v>
      </c>
      <c r="J64" s="49">
        <f>AVERAGE('31.10 Mbarara-Kabale-24hr'!J64,'2.11 Mbarara-Kabale-24hr'!J64)</f>
        <v>0.5</v>
      </c>
      <c r="K64" s="49">
        <f>AVERAGE('31.10 Mbarara-Kabale-24hr'!K64,'2.11 Mbarara-Kabale-24hr'!K64)</f>
        <v>1</v>
      </c>
      <c r="L64" s="49">
        <f>AVERAGE('31.10 Mbarara-Kabale-24hr'!L64,'2.11 Mbarara-Kabale-24hr'!L64)</f>
        <v>2</v>
      </c>
      <c r="M64" s="49">
        <f>AVERAGE('31.10 Mbarara-Kabale-24hr'!M64,'2.11 Mbarara-Kabale-24hr'!M64)</f>
        <v>3</v>
      </c>
      <c r="N64" s="49">
        <f>AVERAGE('31.10 Mbarara-Kabale-24hr'!N64,'2.11 Mbarara-Kabale-24hr'!N64)</f>
        <v>0</v>
      </c>
      <c r="O64" s="15">
        <f t="shared" si="0"/>
        <v>25.5</v>
      </c>
      <c r="P64" s="15">
        <f t="shared" si="1"/>
        <v>28.5</v>
      </c>
      <c r="R64" s="8"/>
      <c r="T64"/>
    </row>
    <row r="65" spans="2:20" ht="23.1" customHeight="1" x14ac:dyDescent="0.25">
      <c r="B65" s="23" t="s">
        <v>158</v>
      </c>
      <c r="C65" s="49">
        <f>AVERAGE('31.10 Mbarara-Kabale-24hr'!C65,'2.11 Mbarara-Kabale-24hr'!C65)</f>
        <v>10</v>
      </c>
      <c r="D65" s="49">
        <f>AVERAGE('31.10 Mbarara-Kabale-24hr'!D65,'2.11 Mbarara-Kabale-24hr'!D65)</f>
        <v>1.5</v>
      </c>
      <c r="E65" s="49">
        <f>AVERAGE('31.10 Mbarara-Kabale-24hr'!E65,'2.11 Mbarara-Kabale-24hr'!E65)</f>
        <v>1</v>
      </c>
      <c r="F65" s="49">
        <f>AVERAGE('31.10 Mbarara-Kabale-24hr'!F65,'2.11 Mbarara-Kabale-24hr'!F65)</f>
        <v>3</v>
      </c>
      <c r="G65" s="49">
        <f>AVERAGE('31.10 Mbarara-Kabale-24hr'!G65,'2.11 Mbarara-Kabale-24hr'!G65)</f>
        <v>0</v>
      </c>
      <c r="H65" s="49">
        <f>AVERAGE('31.10 Mbarara-Kabale-24hr'!H65,'2.11 Mbarara-Kabale-24hr'!H65)</f>
        <v>0</v>
      </c>
      <c r="I65" s="49">
        <f>AVERAGE('31.10 Mbarara-Kabale-24hr'!I65,'2.11 Mbarara-Kabale-24hr'!I65)</f>
        <v>0</v>
      </c>
      <c r="J65" s="49">
        <f>AVERAGE('31.10 Mbarara-Kabale-24hr'!J65,'2.11 Mbarara-Kabale-24hr'!J65)</f>
        <v>0</v>
      </c>
      <c r="K65" s="49">
        <f>AVERAGE('31.10 Mbarara-Kabale-24hr'!K65,'2.11 Mbarara-Kabale-24hr'!K65)</f>
        <v>0</v>
      </c>
      <c r="L65" s="49">
        <f>AVERAGE('31.10 Mbarara-Kabale-24hr'!L65,'2.11 Mbarara-Kabale-24hr'!L65)</f>
        <v>2</v>
      </c>
      <c r="M65" s="49">
        <f>AVERAGE('31.10 Mbarara-Kabale-24hr'!M65,'2.11 Mbarara-Kabale-24hr'!M65)</f>
        <v>5</v>
      </c>
      <c r="N65" s="49">
        <f>AVERAGE('31.10 Mbarara-Kabale-24hr'!N65,'2.11 Mbarara-Kabale-24hr'!N65)</f>
        <v>0</v>
      </c>
      <c r="O65" s="15">
        <f t="shared" si="0"/>
        <v>17.5</v>
      </c>
      <c r="P65" s="15">
        <f t="shared" si="1"/>
        <v>22.5</v>
      </c>
      <c r="R65" s="8"/>
      <c r="T65"/>
    </row>
    <row r="66" spans="2:20" ht="23.1" customHeight="1" x14ac:dyDescent="0.25">
      <c r="B66" s="23" t="s">
        <v>103</v>
      </c>
      <c r="C66" s="49">
        <f>AVERAGE('31.10 Mbarara-Kabale-24hr'!C66,'2.11 Mbarara-Kabale-24hr'!C66)</f>
        <v>3</v>
      </c>
      <c r="D66" s="49">
        <f>AVERAGE('31.10 Mbarara-Kabale-24hr'!D66,'2.11 Mbarara-Kabale-24hr'!D66)</f>
        <v>0.5</v>
      </c>
      <c r="E66" s="49">
        <f>AVERAGE('31.10 Mbarara-Kabale-24hr'!E66,'2.11 Mbarara-Kabale-24hr'!E66)</f>
        <v>2</v>
      </c>
      <c r="F66" s="49">
        <f>AVERAGE('31.10 Mbarara-Kabale-24hr'!F66,'2.11 Mbarara-Kabale-24hr'!F66)</f>
        <v>3</v>
      </c>
      <c r="G66" s="49">
        <f>AVERAGE('31.10 Mbarara-Kabale-24hr'!G66,'2.11 Mbarara-Kabale-24hr'!G66)</f>
        <v>0</v>
      </c>
      <c r="H66" s="49">
        <f>AVERAGE('31.10 Mbarara-Kabale-24hr'!H66,'2.11 Mbarara-Kabale-24hr'!H66)</f>
        <v>0</v>
      </c>
      <c r="I66" s="49">
        <f>AVERAGE('31.10 Mbarara-Kabale-24hr'!I66,'2.11 Mbarara-Kabale-24hr'!I66)</f>
        <v>1</v>
      </c>
      <c r="J66" s="49">
        <f>AVERAGE('31.10 Mbarara-Kabale-24hr'!J66,'2.11 Mbarara-Kabale-24hr'!J66)</f>
        <v>0.5</v>
      </c>
      <c r="K66" s="49">
        <f>AVERAGE('31.10 Mbarara-Kabale-24hr'!K66,'2.11 Mbarara-Kabale-24hr'!K66)</f>
        <v>0</v>
      </c>
      <c r="L66" s="49">
        <f>AVERAGE('31.10 Mbarara-Kabale-24hr'!L66,'2.11 Mbarara-Kabale-24hr'!L66)</f>
        <v>1.5</v>
      </c>
      <c r="M66" s="49">
        <f>AVERAGE('31.10 Mbarara-Kabale-24hr'!M66,'2.11 Mbarara-Kabale-24hr'!M66)</f>
        <v>8.5</v>
      </c>
      <c r="N66" s="49">
        <f>AVERAGE('31.10 Mbarara-Kabale-24hr'!N66,'2.11 Mbarara-Kabale-24hr'!N66)</f>
        <v>0</v>
      </c>
      <c r="O66" s="15">
        <f t="shared" si="0"/>
        <v>11.5</v>
      </c>
      <c r="P66" s="15">
        <f t="shared" si="1"/>
        <v>20</v>
      </c>
      <c r="R66" s="8"/>
      <c r="T66"/>
    </row>
    <row r="67" spans="2:20" ht="23.1" customHeight="1" x14ac:dyDescent="0.25">
      <c r="B67" s="23" t="s">
        <v>104</v>
      </c>
      <c r="C67" s="49">
        <f>AVERAGE('31.10 Mbarara-Kabale-24hr'!C67,'2.11 Mbarara-Kabale-24hr'!C67)</f>
        <v>4.5</v>
      </c>
      <c r="D67" s="49">
        <f>AVERAGE('31.10 Mbarara-Kabale-24hr'!D67,'2.11 Mbarara-Kabale-24hr'!D67)</f>
        <v>0</v>
      </c>
      <c r="E67" s="49">
        <f>AVERAGE('31.10 Mbarara-Kabale-24hr'!E67,'2.11 Mbarara-Kabale-24hr'!E67)</f>
        <v>0</v>
      </c>
      <c r="F67" s="49">
        <f>AVERAGE('31.10 Mbarara-Kabale-24hr'!F67,'2.11 Mbarara-Kabale-24hr'!F67)</f>
        <v>5.5</v>
      </c>
      <c r="G67" s="49">
        <f>AVERAGE('31.10 Mbarara-Kabale-24hr'!G67,'2.11 Mbarara-Kabale-24hr'!G67)</f>
        <v>0</v>
      </c>
      <c r="H67" s="49">
        <f>AVERAGE('31.10 Mbarara-Kabale-24hr'!H67,'2.11 Mbarara-Kabale-24hr'!H67)</f>
        <v>2</v>
      </c>
      <c r="I67" s="49">
        <f>AVERAGE('31.10 Mbarara-Kabale-24hr'!I67,'2.11 Mbarara-Kabale-24hr'!I67)</f>
        <v>0</v>
      </c>
      <c r="J67" s="49">
        <f>AVERAGE('31.10 Mbarara-Kabale-24hr'!J67,'2.11 Mbarara-Kabale-24hr'!J67)</f>
        <v>0.5</v>
      </c>
      <c r="K67" s="49">
        <f>AVERAGE('31.10 Mbarara-Kabale-24hr'!K67,'2.11 Mbarara-Kabale-24hr'!K67)</f>
        <v>2.5</v>
      </c>
      <c r="L67" s="49">
        <f>AVERAGE('31.10 Mbarara-Kabale-24hr'!L67,'2.11 Mbarara-Kabale-24hr'!L67)</f>
        <v>4</v>
      </c>
      <c r="M67" s="49">
        <f>AVERAGE('31.10 Mbarara-Kabale-24hr'!M67,'2.11 Mbarara-Kabale-24hr'!M67)</f>
        <v>6</v>
      </c>
      <c r="N67" s="49">
        <f>AVERAGE('31.10 Mbarara-Kabale-24hr'!N67,'2.11 Mbarara-Kabale-24hr'!N67)</f>
        <v>0</v>
      </c>
      <c r="O67" s="15">
        <f t="shared" si="0"/>
        <v>19</v>
      </c>
      <c r="P67" s="15">
        <f t="shared" si="1"/>
        <v>25</v>
      </c>
      <c r="R67" s="8"/>
      <c r="T67"/>
    </row>
    <row r="68" spans="2:20" ht="23.1" customHeight="1" x14ac:dyDescent="0.25">
      <c r="B68" s="23" t="s">
        <v>105</v>
      </c>
      <c r="C68" s="49">
        <f>AVERAGE('31.10 Mbarara-Kabale-24hr'!C68,'2.11 Mbarara-Kabale-24hr'!C68)</f>
        <v>3</v>
      </c>
      <c r="D68" s="49">
        <f>AVERAGE('31.10 Mbarara-Kabale-24hr'!D68,'2.11 Mbarara-Kabale-24hr'!D68)</f>
        <v>0.5</v>
      </c>
      <c r="E68" s="49">
        <f>AVERAGE('31.10 Mbarara-Kabale-24hr'!E68,'2.11 Mbarara-Kabale-24hr'!E68)</f>
        <v>2.5</v>
      </c>
      <c r="F68" s="49">
        <f>AVERAGE('31.10 Mbarara-Kabale-24hr'!F68,'2.11 Mbarara-Kabale-24hr'!F68)</f>
        <v>2</v>
      </c>
      <c r="G68" s="49">
        <f>AVERAGE('31.10 Mbarara-Kabale-24hr'!G68,'2.11 Mbarara-Kabale-24hr'!G68)</f>
        <v>0</v>
      </c>
      <c r="H68" s="49">
        <f>AVERAGE('31.10 Mbarara-Kabale-24hr'!H68,'2.11 Mbarara-Kabale-24hr'!H68)</f>
        <v>0</v>
      </c>
      <c r="I68" s="49">
        <f>AVERAGE('31.10 Mbarara-Kabale-24hr'!I68,'2.11 Mbarara-Kabale-24hr'!I68)</f>
        <v>0</v>
      </c>
      <c r="J68" s="49">
        <f>AVERAGE('31.10 Mbarara-Kabale-24hr'!J68,'2.11 Mbarara-Kabale-24hr'!J68)</f>
        <v>1.5</v>
      </c>
      <c r="K68" s="49">
        <f>AVERAGE('31.10 Mbarara-Kabale-24hr'!K68,'2.11 Mbarara-Kabale-24hr'!K68)</f>
        <v>0</v>
      </c>
      <c r="L68" s="49">
        <f>AVERAGE('31.10 Mbarara-Kabale-24hr'!L68,'2.11 Mbarara-Kabale-24hr'!L68)</f>
        <v>1</v>
      </c>
      <c r="M68" s="49">
        <f>AVERAGE('31.10 Mbarara-Kabale-24hr'!M68,'2.11 Mbarara-Kabale-24hr'!M68)</f>
        <v>4</v>
      </c>
      <c r="N68" s="49">
        <f>AVERAGE('31.10 Mbarara-Kabale-24hr'!N68,'2.11 Mbarara-Kabale-24hr'!N68)</f>
        <v>0</v>
      </c>
      <c r="O68" s="15">
        <f t="shared" si="0"/>
        <v>10.5</v>
      </c>
      <c r="P68" s="15">
        <f t="shared" si="1"/>
        <v>14.5</v>
      </c>
      <c r="R68" s="8"/>
      <c r="T68"/>
    </row>
    <row r="69" spans="2:20" ht="23.1" customHeight="1" x14ac:dyDescent="0.25">
      <c r="B69" s="23" t="s">
        <v>106</v>
      </c>
      <c r="C69" s="49">
        <f>AVERAGE('31.10 Mbarara-Kabale-24hr'!C69,'2.11 Mbarara-Kabale-24hr'!C69)</f>
        <v>5.5</v>
      </c>
      <c r="D69" s="49">
        <f>AVERAGE('31.10 Mbarara-Kabale-24hr'!D69,'2.11 Mbarara-Kabale-24hr'!D69)</f>
        <v>2.5</v>
      </c>
      <c r="E69" s="49">
        <f>AVERAGE('31.10 Mbarara-Kabale-24hr'!E69,'2.11 Mbarara-Kabale-24hr'!E69)</f>
        <v>0.5</v>
      </c>
      <c r="F69" s="49">
        <f>AVERAGE('31.10 Mbarara-Kabale-24hr'!F69,'2.11 Mbarara-Kabale-24hr'!F69)</f>
        <v>0.5</v>
      </c>
      <c r="G69" s="49">
        <f>AVERAGE('31.10 Mbarara-Kabale-24hr'!G69,'2.11 Mbarara-Kabale-24hr'!G69)</f>
        <v>0</v>
      </c>
      <c r="H69" s="49">
        <f>AVERAGE('31.10 Mbarara-Kabale-24hr'!H69,'2.11 Mbarara-Kabale-24hr'!H69)</f>
        <v>1</v>
      </c>
      <c r="I69" s="49">
        <f>AVERAGE('31.10 Mbarara-Kabale-24hr'!I69,'2.11 Mbarara-Kabale-24hr'!I69)</f>
        <v>1.5</v>
      </c>
      <c r="J69" s="49">
        <f>AVERAGE('31.10 Mbarara-Kabale-24hr'!J69,'2.11 Mbarara-Kabale-24hr'!J69)</f>
        <v>1.5</v>
      </c>
      <c r="K69" s="49">
        <f>AVERAGE('31.10 Mbarara-Kabale-24hr'!K69,'2.11 Mbarara-Kabale-24hr'!K69)</f>
        <v>0</v>
      </c>
      <c r="L69" s="49">
        <f>AVERAGE('31.10 Mbarara-Kabale-24hr'!L69,'2.11 Mbarara-Kabale-24hr'!L69)</f>
        <v>0</v>
      </c>
      <c r="M69" s="49">
        <f>AVERAGE('31.10 Mbarara-Kabale-24hr'!M69,'2.11 Mbarara-Kabale-24hr'!M69)</f>
        <v>0.5</v>
      </c>
      <c r="N69" s="49">
        <f>AVERAGE('31.10 Mbarara-Kabale-24hr'!N69,'2.11 Mbarara-Kabale-24hr'!N69)</f>
        <v>0</v>
      </c>
      <c r="O69" s="15">
        <f t="shared" si="0"/>
        <v>13</v>
      </c>
      <c r="P69" s="15">
        <f t="shared" si="1"/>
        <v>13.5</v>
      </c>
      <c r="R69" s="8"/>
      <c r="T69"/>
    </row>
    <row r="70" spans="2:20" ht="23.1" customHeight="1" x14ac:dyDescent="0.25">
      <c r="B70" s="23" t="s">
        <v>110</v>
      </c>
      <c r="C70" s="49">
        <f>AVERAGE('31.10 Mbarara-Kabale-24hr'!C70,'2.11 Mbarara-Kabale-24hr'!C70)</f>
        <v>2</v>
      </c>
      <c r="D70" s="49">
        <f>AVERAGE('31.10 Mbarara-Kabale-24hr'!D70,'2.11 Mbarara-Kabale-24hr'!D70)</f>
        <v>2</v>
      </c>
      <c r="E70" s="49">
        <f>AVERAGE('31.10 Mbarara-Kabale-24hr'!E70,'2.11 Mbarara-Kabale-24hr'!E70)</f>
        <v>2.5</v>
      </c>
      <c r="F70" s="49">
        <f>AVERAGE('31.10 Mbarara-Kabale-24hr'!F70,'2.11 Mbarara-Kabale-24hr'!F70)</f>
        <v>3</v>
      </c>
      <c r="G70" s="49">
        <f>AVERAGE('31.10 Mbarara-Kabale-24hr'!G70,'2.11 Mbarara-Kabale-24hr'!G70)</f>
        <v>0</v>
      </c>
      <c r="H70" s="49">
        <f>AVERAGE('31.10 Mbarara-Kabale-24hr'!H70,'2.11 Mbarara-Kabale-24hr'!H70)</f>
        <v>0</v>
      </c>
      <c r="I70" s="49">
        <f>AVERAGE('31.10 Mbarara-Kabale-24hr'!I70,'2.11 Mbarara-Kabale-24hr'!I70)</f>
        <v>0</v>
      </c>
      <c r="J70" s="49">
        <f>AVERAGE('31.10 Mbarara-Kabale-24hr'!J70,'2.11 Mbarara-Kabale-24hr'!J70)</f>
        <v>0</v>
      </c>
      <c r="K70" s="49">
        <f>AVERAGE('31.10 Mbarara-Kabale-24hr'!K70,'2.11 Mbarara-Kabale-24hr'!K70)</f>
        <v>0</v>
      </c>
      <c r="L70" s="49">
        <f>AVERAGE('31.10 Mbarara-Kabale-24hr'!L70,'2.11 Mbarara-Kabale-24hr'!L70)</f>
        <v>1.5</v>
      </c>
      <c r="M70" s="49">
        <f>AVERAGE('31.10 Mbarara-Kabale-24hr'!M70,'2.11 Mbarara-Kabale-24hr'!M70)</f>
        <v>4</v>
      </c>
      <c r="N70" s="49">
        <f>AVERAGE('31.10 Mbarara-Kabale-24hr'!N70,'2.11 Mbarara-Kabale-24hr'!N70)</f>
        <v>0</v>
      </c>
      <c r="O70" s="15">
        <f t="shared" si="0"/>
        <v>11</v>
      </c>
      <c r="P70" s="15">
        <f t="shared" si="1"/>
        <v>15</v>
      </c>
      <c r="R70" s="8"/>
      <c r="T70"/>
    </row>
    <row r="71" spans="2:20" ht="23.1" customHeight="1" x14ac:dyDescent="0.25">
      <c r="B71" s="23" t="s">
        <v>111</v>
      </c>
      <c r="C71" s="49">
        <f>AVERAGE('31.10 Mbarara-Kabale-24hr'!C71,'2.11 Mbarara-Kabale-24hr'!C71)</f>
        <v>2.5</v>
      </c>
      <c r="D71" s="49">
        <f>AVERAGE('31.10 Mbarara-Kabale-24hr'!D71,'2.11 Mbarara-Kabale-24hr'!D71)</f>
        <v>0.5</v>
      </c>
      <c r="E71" s="49">
        <f>AVERAGE('31.10 Mbarara-Kabale-24hr'!E71,'2.11 Mbarara-Kabale-24hr'!E71)</f>
        <v>2</v>
      </c>
      <c r="F71" s="49">
        <f>AVERAGE('31.10 Mbarara-Kabale-24hr'!F71,'2.11 Mbarara-Kabale-24hr'!F71)</f>
        <v>5</v>
      </c>
      <c r="G71" s="49">
        <f>AVERAGE('31.10 Mbarara-Kabale-24hr'!G71,'2.11 Mbarara-Kabale-24hr'!G71)</f>
        <v>0.5</v>
      </c>
      <c r="H71" s="49">
        <f>AVERAGE('31.10 Mbarara-Kabale-24hr'!H71,'2.11 Mbarara-Kabale-24hr'!H71)</f>
        <v>1.5</v>
      </c>
      <c r="I71" s="49">
        <f>AVERAGE('31.10 Mbarara-Kabale-24hr'!I71,'2.11 Mbarara-Kabale-24hr'!I71)</f>
        <v>1</v>
      </c>
      <c r="J71" s="49">
        <f>AVERAGE('31.10 Mbarara-Kabale-24hr'!J71,'2.11 Mbarara-Kabale-24hr'!J71)</f>
        <v>0.5</v>
      </c>
      <c r="K71" s="49">
        <f>AVERAGE('31.10 Mbarara-Kabale-24hr'!K71,'2.11 Mbarara-Kabale-24hr'!K71)</f>
        <v>2</v>
      </c>
      <c r="L71" s="49">
        <f>AVERAGE('31.10 Mbarara-Kabale-24hr'!L71,'2.11 Mbarara-Kabale-24hr'!L71)</f>
        <v>0</v>
      </c>
      <c r="M71" s="49">
        <f>AVERAGE('31.10 Mbarara-Kabale-24hr'!M71,'2.11 Mbarara-Kabale-24hr'!M71)</f>
        <v>0</v>
      </c>
      <c r="N71" s="49">
        <f>AVERAGE('31.10 Mbarara-Kabale-24hr'!N71,'2.11 Mbarara-Kabale-24hr'!N71)</f>
        <v>0</v>
      </c>
      <c r="O71" s="15">
        <f t="shared" si="0"/>
        <v>15.5</v>
      </c>
      <c r="P71" s="15">
        <f t="shared" si="1"/>
        <v>15.5</v>
      </c>
      <c r="R71" s="8"/>
      <c r="T71"/>
    </row>
    <row r="72" spans="2:20" ht="23.1" customHeight="1" x14ac:dyDescent="0.25">
      <c r="B72" s="23" t="s">
        <v>112</v>
      </c>
      <c r="C72" s="49">
        <f>AVERAGE('31.10 Mbarara-Kabale-24hr'!C72,'2.11 Mbarara-Kabale-24hr'!C72)</f>
        <v>4</v>
      </c>
      <c r="D72" s="49">
        <f>AVERAGE('31.10 Mbarara-Kabale-24hr'!D72,'2.11 Mbarara-Kabale-24hr'!D72)</f>
        <v>2.5</v>
      </c>
      <c r="E72" s="49">
        <f>AVERAGE('31.10 Mbarara-Kabale-24hr'!E72,'2.11 Mbarara-Kabale-24hr'!E72)</f>
        <v>3.5</v>
      </c>
      <c r="F72" s="49">
        <f>AVERAGE('31.10 Mbarara-Kabale-24hr'!F72,'2.11 Mbarara-Kabale-24hr'!F72)</f>
        <v>3</v>
      </c>
      <c r="G72" s="49">
        <f>AVERAGE('31.10 Mbarara-Kabale-24hr'!G72,'2.11 Mbarara-Kabale-24hr'!G72)</f>
        <v>0</v>
      </c>
      <c r="H72" s="49">
        <f>AVERAGE('31.10 Mbarara-Kabale-24hr'!H72,'2.11 Mbarara-Kabale-24hr'!H72)</f>
        <v>0</v>
      </c>
      <c r="I72" s="49">
        <f>AVERAGE('31.10 Mbarara-Kabale-24hr'!I72,'2.11 Mbarara-Kabale-24hr'!I72)</f>
        <v>0</v>
      </c>
      <c r="J72" s="49">
        <f>AVERAGE('31.10 Mbarara-Kabale-24hr'!J72,'2.11 Mbarara-Kabale-24hr'!J72)</f>
        <v>1.5</v>
      </c>
      <c r="K72" s="49">
        <f>AVERAGE('31.10 Mbarara-Kabale-24hr'!K72,'2.11 Mbarara-Kabale-24hr'!K72)</f>
        <v>3</v>
      </c>
      <c r="L72" s="49">
        <f>AVERAGE('31.10 Mbarara-Kabale-24hr'!L72,'2.11 Mbarara-Kabale-24hr'!L72)</f>
        <v>2</v>
      </c>
      <c r="M72" s="49">
        <f>AVERAGE('31.10 Mbarara-Kabale-24hr'!M72,'2.11 Mbarara-Kabale-24hr'!M72)</f>
        <v>3.5</v>
      </c>
      <c r="N72" s="49">
        <f>AVERAGE('31.10 Mbarara-Kabale-24hr'!N72,'2.11 Mbarara-Kabale-24hr'!N72)</f>
        <v>0</v>
      </c>
      <c r="O72" s="15">
        <f t="shared" si="0"/>
        <v>19.5</v>
      </c>
      <c r="P72" s="15">
        <f t="shared" si="1"/>
        <v>23</v>
      </c>
      <c r="R72" s="8"/>
      <c r="T72"/>
    </row>
    <row r="73" spans="2:20" ht="23.1" customHeight="1" x14ac:dyDescent="0.25">
      <c r="B73" s="23" t="s">
        <v>113</v>
      </c>
      <c r="C73" s="49">
        <f>AVERAGE('31.10 Mbarara-Kabale-24hr'!C73,'2.11 Mbarara-Kabale-24hr'!C73)</f>
        <v>1.5</v>
      </c>
      <c r="D73" s="49">
        <f>AVERAGE('31.10 Mbarara-Kabale-24hr'!D73,'2.11 Mbarara-Kabale-24hr'!D73)</f>
        <v>2.5</v>
      </c>
      <c r="E73" s="49">
        <f>AVERAGE('31.10 Mbarara-Kabale-24hr'!E73,'2.11 Mbarara-Kabale-24hr'!E73)</f>
        <v>0.5</v>
      </c>
      <c r="F73" s="49">
        <f>AVERAGE('31.10 Mbarara-Kabale-24hr'!F73,'2.11 Mbarara-Kabale-24hr'!F73)</f>
        <v>0.5</v>
      </c>
      <c r="G73" s="49">
        <f>AVERAGE('31.10 Mbarara-Kabale-24hr'!G73,'2.11 Mbarara-Kabale-24hr'!G73)</f>
        <v>0</v>
      </c>
      <c r="H73" s="49">
        <f>AVERAGE('31.10 Mbarara-Kabale-24hr'!H73,'2.11 Mbarara-Kabale-24hr'!H73)</f>
        <v>0</v>
      </c>
      <c r="I73" s="49">
        <f>AVERAGE('31.10 Mbarara-Kabale-24hr'!I73,'2.11 Mbarara-Kabale-24hr'!I73)</f>
        <v>0</v>
      </c>
      <c r="J73" s="49">
        <f>AVERAGE('31.10 Mbarara-Kabale-24hr'!J73,'2.11 Mbarara-Kabale-24hr'!J73)</f>
        <v>0</v>
      </c>
      <c r="K73" s="49">
        <f>AVERAGE('31.10 Mbarara-Kabale-24hr'!K73,'2.11 Mbarara-Kabale-24hr'!K73)</f>
        <v>0</v>
      </c>
      <c r="L73" s="49">
        <f>AVERAGE('31.10 Mbarara-Kabale-24hr'!L73,'2.11 Mbarara-Kabale-24hr'!L73)</f>
        <v>0</v>
      </c>
      <c r="M73" s="49">
        <f>AVERAGE('31.10 Mbarara-Kabale-24hr'!M73,'2.11 Mbarara-Kabale-24hr'!M73)</f>
        <v>1</v>
      </c>
      <c r="N73" s="49">
        <f>AVERAGE('31.10 Mbarara-Kabale-24hr'!N73,'2.11 Mbarara-Kabale-24hr'!N73)</f>
        <v>0</v>
      </c>
      <c r="O73" s="15">
        <f t="shared" si="0"/>
        <v>5</v>
      </c>
      <c r="P73" s="15">
        <f t="shared" si="1"/>
        <v>6</v>
      </c>
      <c r="R73" s="8"/>
      <c r="T73"/>
    </row>
    <row r="74" spans="2:20" ht="23.1" customHeight="1" x14ac:dyDescent="0.25">
      <c r="B74" s="23" t="s">
        <v>114</v>
      </c>
      <c r="C74" s="49">
        <f>AVERAGE('31.10 Mbarara-Kabale-24hr'!C74,'2.11 Mbarara-Kabale-24hr'!C74)</f>
        <v>2.5</v>
      </c>
      <c r="D74" s="49">
        <f>AVERAGE('31.10 Mbarara-Kabale-24hr'!D74,'2.11 Mbarara-Kabale-24hr'!D74)</f>
        <v>0.5</v>
      </c>
      <c r="E74" s="49">
        <f>AVERAGE('31.10 Mbarara-Kabale-24hr'!E74,'2.11 Mbarara-Kabale-24hr'!E74)</f>
        <v>0</v>
      </c>
      <c r="F74" s="49">
        <f>AVERAGE('31.10 Mbarara-Kabale-24hr'!F74,'2.11 Mbarara-Kabale-24hr'!F74)</f>
        <v>2</v>
      </c>
      <c r="G74" s="49">
        <f>AVERAGE('31.10 Mbarara-Kabale-24hr'!G74,'2.11 Mbarara-Kabale-24hr'!G74)</f>
        <v>0</v>
      </c>
      <c r="H74" s="49">
        <f>AVERAGE('31.10 Mbarara-Kabale-24hr'!H74,'2.11 Mbarara-Kabale-24hr'!H74)</f>
        <v>0.5</v>
      </c>
      <c r="I74" s="49">
        <f>AVERAGE('31.10 Mbarara-Kabale-24hr'!I74,'2.11 Mbarara-Kabale-24hr'!I74)</f>
        <v>0</v>
      </c>
      <c r="J74" s="49">
        <f>AVERAGE('31.10 Mbarara-Kabale-24hr'!J74,'2.11 Mbarara-Kabale-24hr'!J74)</f>
        <v>0</v>
      </c>
      <c r="K74" s="49">
        <f>AVERAGE('31.10 Mbarara-Kabale-24hr'!K74,'2.11 Mbarara-Kabale-24hr'!K74)</f>
        <v>1.5</v>
      </c>
      <c r="L74" s="49">
        <f>AVERAGE('31.10 Mbarara-Kabale-24hr'!L74,'2.11 Mbarara-Kabale-24hr'!L74)</f>
        <v>4.5</v>
      </c>
      <c r="M74" s="49">
        <f>AVERAGE('31.10 Mbarara-Kabale-24hr'!M74,'2.11 Mbarara-Kabale-24hr'!M74)</f>
        <v>1</v>
      </c>
      <c r="N74" s="49">
        <f>AVERAGE('31.10 Mbarara-Kabale-24hr'!N74,'2.11 Mbarara-Kabale-24hr'!N74)</f>
        <v>0</v>
      </c>
      <c r="O74" s="15">
        <f t="shared" ref="O74:O105" si="35">SUM(C74:L74,N74)</f>
        <v>11.5</v>
      </c>
      <c r="P74" s="15">
        <f t="shared" ref="P74:P105" si="36">SUM(C74:N74)</f>
        <v>12.5</v>
      </c>
      <c r="R74" s="8"/>
      <c r="T74"/>
    </row>
    <row r="75" spans="2:20" ht="23.1" customHeight="1" x14ac:dyDescent="0.25">
      <c r="B75" s="23" t="s">
        <v>115</v>
      </c>
      <c r="C75" s="49">
        <f>AVERAGE('31.10 Mbarara-Kabale-24hr'!C75,'2.11 Mbarara-Kabale-24hr'!C75)</f>
        <v>3</v>
      </c>
      <c r="D75" s="49">
        <f>AVERAGE('31.10 Mbarara-Kabale-24hr'!D75,'2.11 Mbarara-Kabale-24hr'!D75)</f>
        <v>1</v>
      </c>
      <c r="E75" s="49">
        <f>AVERAGE('31.10 Mbarara-Kabale-24hr'!E75,'2.11 Mbarara-Kabale-24hr'!E75)</f>
        <v>0</v>
      </c>
      <c r="F75" s="49">
        <f>AVERAGE('31.10 Mbarara-Kabale-24hr'!F75,'2.11 Mbarara-Kabale-24hr'!F75)</f>
        <v>3</v>
      </c>
      <c r="G75" s="49">
        <f>AVERAGE('31.10 Mbarara-Kabale-24hr'!G75,'2.11 Mbarara-Kabale-24hr'!G75)</f>
        <v>0</v>
      </c>
      <c r="H75" s="49">
        <f>AVERAGE('31.10 Mbarara-Kabale-24hr'!H75,'2.11 Mbarara-Kabale-24hr'!H75)</f>
        <v>0.5</v>
      </c>
      <c r="I75" s="49">
        <f>AVERAGE('31.10 Mbarara-Kabale-24hr'!I75,'2.11 Mbarara-Kabale-24hr'!I75)</f>
        <v>0</v>
      </c>
      <c r="J75" s="49">
        <f>AVERAGE('31.10 Mbarara-Kabale-24hr'!J75,'2.11 Mbarara-Kabale-24hr'!J75)</f>
        <v>3</v>
      </c>
      <c r="K75" s="49">
        <f>AVERAGE('31.10 Mbarara-Kabale-24hr'!K75,'2.11 Mbarara-Kabale-24hr'!K75)</f>
        <v>1</v>
      </c>
      <c r="L75" s="49">
        <f>AVERAGE('31.10 Mbarara-Kabale-24hr'!L75,'2.11 Mbarara-Kabale-24hr'!L75)</f>
        <v>1.5</v>
      </c>
      <c r="M75" s="49">
        <f>AVERAGE('31.10 Mbarara-Kabale-24hr'!M75,'2.11 Mbarara-Kabale-24hr'!M75)</f>
        <v>2.5</v>
      </c>
      <c r="N75" s="49">
        <f>AVERAGE('31.10 Mbarara-Kabale-24hr'!N75,'2.11 Mbarara-Kabale-24hr'!N75)</f>
        <v>0</v>
      </c>
      <c r="O75" s="15">
        <f t="shared" si="35"/>
        <v>13</v>
      </c>
      <c r="P75" s="15">
        <f t="shared" si="36"/>
        <v>15.5</v>
      </c>
      <c r="R75" s="8"/>
      <c r="T75"/>
    </row>
    <row r="76" spans="2:20" ht="23.1" customHeight="1" x14ac:dyDescent="0.25">
      <c r="B76" s="23" t="s">
        <v>116</v>
      </c>
      <c r="C76" s="49">
        <f>AVERAGE('31.10 Mbarara-Kabale-24hr'!C76,'2.11 Mbarara-Kabale-24hr'!C76)</f>
        <v>0.5</v>
      </c>
      <c r="D76" s="49">
        <f>AVERAGE('31.10 Mbarara-Kabale-24hr'!D76,'2.11 Mbarara-Kabale-24hr'!D76)</f>
        <v>0.5</v>
      </c>
      <c r="E76" s="49">
        <f>AVERAGE('31.10 Mbarara-Kabale-24hr'!E76,'2.11 Mbarara-Kabale-24hr'!E76)</f>
        <v>1.5</v>
      </c>
      <c r="F76" s="49">
        <f>AVERAGE('31.10 Mbarara-Kabale-24hr'!F76,'2.11 Mbarara-Kabale-24hr'!F76)</f>
        <v>2.5</v>
      </c>
      <c r="G76" s="49">
        <f>AVERAGE('31.10 Mbarara-Kabale-24hr'!G76,'2.11 Mbarara-Kabale-24hr'!G76)</f>
        <v>0</v>
      </c>
      <c r="H76" s="49">
        <f>AVERAGE('31.10 Mbarara-Kabale-24hr'!H76,'2.11 Mbarara-Kabale-24hr'!H76)</f>
        <v>0</v>
      </c>
      <c r="I76" s="49">
        <f>AVERAGE('31.10 Mbarara-Kabale-24hr'!I76,'2.11 Mbarara-Kabale-24hr'!I76)</f>
        <v>1.5</v>
      </c>
      <c r="J76" s="49">
        <f>AVERAGE('31.10 Mbarara-Kabale-24hr'!J76,'2.11 Mbarara-Kabale-24hr'!J76)</f>
        <v>0</v>
      </c>
      <c r="K76" s="49">
        <f>AVERAGE('31.10 Mbarara-Kabale-24hr'!K76,'2.11 Mbarara-Kabale-24hr'!K76)</f>
        <v>2.5</v>
      </c>
      <c r="L76" s="49">
        <f>AVERAGE('31.10 Mbarara-Kabale-24hr'!L76,'2.11 Mbarara-Kabale-24hr'!L76)</f>
        <v>4</v>
      </c>
      <c r="M76" s="49">
        <f>AVERAGE('31.10 Mbarara-Kabale-24hr'!M76,'2.11 Mbarara-Kabale-24hr'!M76)</f>
        <v>1.5</v>
      </c>
      <c r="N76" s="49">
        <f>AVERAGE('31.10 Mbarara-Kabale-24hr'!N76,'2.11 Mbarara-Kabale-24hr'!N76)</f>
        <v>0</v>
      </c>
      <c r="O76" s="15">
        <f t="shared" si="35"/>
        <v>13</v>
      </c>
      <c r="P76" s="15">
        <f t="shared" si="36"/>
        <v>14.5</v>
      </c>
      <c r="R76" s="8"/>
      <c r="T76"/>
    </row>
    <row r="77" spans="2:20" ht="23.1" customHeight="1" x14ac:dyDescent="0.25">
      <c r="B77" s="23" t="s">
        <v>117</v>
      </c>
      <c r="C77" s="49">
        <f>AVERAGE('31.10 Mbarara-Kabale-24hr'!C77,'2.11 Mbarara-Kabale-24hr'!C77)</f>
        <v>0.5</v>
      </c>
      <c r="D77" s="49">
        <f>AVERAGE('31.10 Mbarara-Kabale-24hr'!D77,'2.11 Mbarara-Kabale-24hr'!D77)</f>
        <v>0</v>
      </c>
      <c r="E77" s="49">
        <f>AVERAGE('31.10 Mbarara-Kabale-24hr'!E77,'2.11 Mbarara-Kabale-24hr'!E77)</f>
        <v>0</v>
      </c>
      <c r="F77" s="49">
        <f>AVERAGE('31.10 Mbarara-Kabale-24hr'!F77,'2.11 Mbarara-Kabale-24hr'!F77)</f>
        <v>1.5</v>
      </c>
      <c r="G77" s="49">
        <f>AVERAGE('31.10 Mbarara-Kabale-24hr'!G77,'2.11 Mbarara-Kabale-24hr'!G77)</f>
        <v>0.5</v>
      </c>
      <c r="H77" s="49">
        <f>AVERAGE('31.10 Mbarara-Kabale-24hr'!H77,'2.11 Mbarara-Kabale-24hr'!H77)</f>
        <v>0</v>
      </c>
      <c r="I77" s="49">
        <f>AVERAGE('31.10 Mbarara-Kabale-24hr'!I77,'2.11 Mbarara-Kabale-24hr'!I77)</f>
        <v>0.5</v>
      </c>
      <c r="J77" s="49">
        <f>AVERAGE('31.10 Mbarara-Kabale-24hr'!J77,'2.11 Mbarara-Kabale-24hr'!J77)</f>
        <v>0</v>
      </c>
      <c r="K77" s="49">
        <f>AVERAGE('31.10 Mbarara-Kabale-24hr'!K77,'2.11 Mbarara-Kabale-24hr'!K77)</f>
        <v>0</v>
      </c>
      <c r="L77" s="49">
        <f>AVERAGE('31.10 Mbarara-Kabale-24hr'!L77,'2.11 Mbarara-Kabale-24hr'!L77)</f>
        <v>2.5</v>
      </c>
      <c r="M77" s="49">
        <f>AVERAGE('31.10 Mbarara-Kabale-24hr'!M77,'2.11 Mbarara-Kabale-24hr'!M77)</f>
        <v>0</v>
      </c>
      <c r="N77" s="49">
        <f>AVERAGE('31.10 Mbarara-Kabale-24hr'!N77,'2.11 Mbarara-Kabale-24hr'!N77)</f>
        <v>0</v>
      </c>
      <c r="O77" s="15">
        <f t="shared" si="35"/>
        <v>5.5</v>
      </c>
      <c r="P77" s="15">
        <f t="shared" si="36"/>
        <v>5.5</v>
      </c>
      <c r="R77" s="8"/>
      <c r="T77"/>
    </row>
    <row r="78" spans="2:20" ht="23.1" customHeight="1" x14ac:dyDescent="0.25">
      <c r="B78" s="24" t="s">
        <v>118</v>
      </c>
      <c r="C78" s="49">
        <f>AVERAGE('31.10 Mbarara-Kabale-24hr'!C78,'2.11 Mbarara-Kabale-24hr'!C78)</f>
        <v>0</v>
      </c>
      <c r="D78" s="49">
        <f>AVERAGE('31.10 Mbarara-Kabale-24hr'!D78,'2.11 Mbarara-Kabale-24hr'!D78)</f>
        <v>1.5</v>
      </c>
      <c r="E78" s="49">
        <f>AVERAGE('31.10 Mbarara-Kabale-24hr'!E78,'2.11 Mbarara-Kabale-24hr'!E78)</f>
        <v>0</v>
      </c>
      <c r="F78" s="49">
        <f>AVERAGE('31.10 Mbarara-Kabale-24hr'!F78,'2.11 Mbarara-Kabale-24hr'!F78)</f>
        <v>0</v>
      </c>
      <c r="G78" s="49">
        <f>AVERAGE('31.10 Mbarara-Kabale-24hr'!G78,'2.11 Mbarara-Kabale-24hr'!G78)</f>
        <v>0</v>
      </c>
      <c r="H78" s="49">
        <f>AVERAGE('31.10 Mbarara-Kabale-24hr'!H78,'2.11 Mbarara-Kabale-24hr'!H78)</f>
        <v>1</v>
      </c>
      <c r="I78" s="49">
        <f>AVERAGE('31.10 Mbarara-Kabale-24hr'!I78,'2.11 Mbarara-Kabale-24hr'!I78)</f>
        <v>0.5</v>
      </c>
      <c r="J78" s="49">
        <f>AVERAGE('31.10 Mbarara-Kabale-24hr'!J78,'2.11 Mbarara-Kabale-24hr'!J78)</f>
        <v>0</v>
      </c>
      <c r="K78" s="49">
        <f>AVERAGE('31.10 Mbarara-Kabale-24hr'!K78,'2.11 Mbarara-Kabale-24hr'!K78)</f>
        <v>2</v>
      </c>
      <c r="L78" s="49">
        <f>AVERAGE('31.10 Mbarara-Kabale-24hr'!L78,'2.11 Mbarara-Kabale-24hr'!L78)</f>
        <v>2</v>
      </c>
      <c r="M78" s="49">
        <f>AVERAGE('31.10 Mbarara-Kabale-24hr'!M78,'2.11 Mbarara-Kabale-24hr'!M78)</f>
        <v>0.5</v>
      </c>
      <c r="N78" s="49">
        <f>AVERAGE('31.10 Mbarara-Kabale-24hr'!N78,'2.11 Mbarara-Kabale-24hr'!N78)</f>
        <v>0</v>
      </c>
      <c r="O78" s="15">
        <f t="shared" si="35"/>
        <v>7</v>
      </c>
      <c r="P78" s="15">
        <f t="shared" si="36"/>
        <v>7.5</v>
      </c>
      <c r="R78" s="8"/>
      <c r="T78"/>
    </row>
    <row r="79" spans="2:20" ht="23.1" customHeight="1" x14ac:dyDescent="0.25">
      <c r="B79" s="23" t="s">
        <v>119</v>
      </c>
      <c r="C79" s="49">
        <f>AVERAGE('31.10 Mbarara-Kabale-24hr'!C79,'2.11 Mbarara-Kabale-24hr'!C79)</f>
        <v>1</v>
      </c>
      <c r="D79" s="49">
        <f>AVERAGE('31.10 Mbarara-Kabale-24hr'!D79,'2.11 Mbarara-Kabale-24hr'!D79)</f>
        <v>0</v>
      </c>
      <c r="E79" s="49">
        <f>AVERAGE('31.10 Mbarara-Kabale-24hr'!E79,'2.11 Mbarara-Kabale-24hr'!E79)</f>
        <v>1</v>
      </c>
      <c r="F79" s="49">
        <f>AVERAGE('31.10 Mbarara-Kabale-24hr'!F79,'2.11 Mbarara-Kabale-24hr'!F79)</f>
        <v>3</v>
      </c>
      <c r="G79" s="49">
        <f>AVERAGE('31.10 Mbarara-Kabale-24hr'!G79,'2.11 Mbarara-Kabale-24hr'!G79)</f>
        <v>0</v>
      </c>
      <c r="H79" s="49">
        <f>AVERAGE('31.10 Mbarara-Kabale-24hr'!H79,'2.11 Mbarara-Kabale-24hr'!H79)</f>
        <v>0</v>
      </c>
      <c r="I79" s="49">
        <f>AVERAGE('31.10 Mbarara-Kabale-24hr'!I79,'2.11 Mbarara-Kabale-24hr'!I79)</f>
        <v>0</v>
      </c>
      <c r="J79" s="49">
        <f>AVERAGE('31.10 Mbarara-Kabale-24hr'!J79,'2.11 Mbarara-Kabale-24hr'!J79)</f>
        <v>0</v>
      </c>
      <c r="K79" s="49">
        <f>AVERAGE('31.10 Mbarara-Kabale-24hr'!K79,'2.11 Mbarara-Kabale-24hr'!K79)</f>
        <v>0</v>
      </c>
      <c r="L79" s="49">
        <f>AVERAGE('31.10 Mbarara-Kabale-24hr'!L79,'2.11 Mbarara-Kabale-24hr'!L79)</f>
        <v>0</v>
      </c>
      <c r="M79" s="49">
        <f>AVERAGE('31.10 Mbarara-Kabale-24hr'!M79,'2.11 Mbarara-Kabale-24hr'!M79)</f>
        <v>0.5</v>
      </c>
      <c r="N79" s="49">
        <f>AVERAGE('31.10 Mbarara-Kabale-24hr'!N79,'2.11 Mbarara-Kabale-24hr'!N79)</f>
        <v>0</v>
      </c>
      <c r="O79" s="15">
        <f t="shared" si="35"/>
        <v>5</v>
      </c>
      <c r="P79" s="15">
        <f t="shared" si="36"/>
        <v>5.5</v>
      </c>
      <c r="R79" s="8"/>
      <c r="T79"/>
    </row>
    <row r="80" spans="2:20" ht="23.1" customHeight="1" x14ac:dyDescent="0.25">
      <c r="B80" s="25" t="s">
        <v>120</v>
      </c>
      <c r="C80" s="49">
        <f>AVERAGE('31.10 Mbarara-Kabale-24hr'!C80,'2.11 Mbarara-Kabale-24hr'!C80)</f>
        <v>0</v>
      </c>
      <c r="D80" s="49">
        <f>AVERAGE('31.10 Mbarara-Kabale-24hr'!D80,'2.11 Mbarara-Kabale-24hr'!D80)</f>
        <v>0</v>
      </c>
      <c r="E80" s="49">
        <f>AVERAGE('31.10 Mbarara-Kabale-24hr'!E80,'2.11 Mbarara-Kabale-24hr'!E80)</f>
        <v>0.5</v>
      </c>
      <c r="F80" s="49">
        <f>AVERAGE('31.10 Mbarara-Kabale-24hr'!F80,'2.11 Mbarara-Kabale-24hr'!F80)</f>
        <v>1</v>
      </c>
      <c r="G80" s="49">
        <f>AVERAGE('31.10 Mbarara-Kabale-24hr'!G80,'2.11 Mbarara-Kabale-24hr'!G80)</f>
        <v>0</v>
      </c>
      <c r="H80" s="49">
        <f>AVERAGE('31.10 Mbarara-Kabale-24hr'!H80,'2.11 Mbarara-Kabale-24hr'!H80)</f>
        <v>0.5</v>
      </c>
      <c r="I80" s="49">
        <f>AVERAGE('31.10 Mbarara-Kabale-24hr'!I80,'2.11 Mbarara-Kabale-24hr'!I80)</f>
        <v>0</v>
      </c>
      <c r="J80" s="49">
        <f>AVERAGE('31.10 Mbarara-Kabale-24hr'!J80,'2.11 Mbarara-Kabale-24hr'!J80)</f>
        <v>2</v>
      </c>
      <c r="K80" s="49">
        <f>AVERAGE('31.10 Mbarara-Kabale-24hr'!K80,'2.11 Mbarara-Kabale-24hr'!K80)</f>
        <v>0.5</v>
      </c>
      <c r="L80" s="49">
        <f>AVERAGE('31.10 Mbarara-Kabale-24hr'!L80,'2.11 Mbarara-Kabale-24hr'!L80)</f>
        <v>3.5</v>
      </c>
      <c r="M80" s="49">
        <f>AVERAGE('31.10 Mbarara-Kabale-24hr'!M80,'2.11 Mbarara-Kabale-24hr'!M80)</f>
        <v>1</v>
      </c>
      <c r="N80" s="49">
        <f>AVERAGE('31.10 Mbarara-Kabale-24hr'!N80,'2.11 Mbarara-Kabale-24hr'!N80)</f>
        <v>0</v>
      </c>
      <c r="O80" s="15">
        <f t="shared" si="35"/>
        <v>8</v>
      </c>
      <c r="P80" s="15">
        <f t="shared" si="36"/>
        <v>9</v>
      </c>
      <c r="R80" s="8"/>
      <c r="T80"/>
    </row>
    <row r="81" spans="2:20" ht="23.1" customHeight="1" x14ac:dyDescent="0.25">
      <c r="B81" s="23" t="s">
        <v>121</v>
      </c>
      <c r="C81" s="49">
        <f>AVERAGE('31.10 Mbarara-Kabale-24hr'!C81,'2.11 Mbarara-Kabale-24hr'!C81)</f>
        <v>0</v>
      </c>
      <c r="D81" s="49">
        <f>AVERAGE('31.10 Mbarara-Kabale-24hr'!D81,'2.11 Mbarara-Kabale-24hr'!D81)</f>
        <v>0.5</v>
      </c>
      <c r="E81" s="49">
        <f>AVERAGE('31.10 Mbarara-Kabale-24hr'!E81,'2.11 Mbarara-Kabale-24hr'!E81)</f>
        <v>0</v>
      </c>
      <c r="F81" s="49">
        <f>AVERAGE('31.10 Mbarara-Kabale-24hr'!F81,'2.11 Mbarara-Kabale-24hr'!F81)</f>
        <v>0.5</v>
      </c>
      <c r="G81" s="49">
        <f>AVERAGE('31.10 Mbarara-Kabale-24hr'!G81,'2.11 Mbarara-Kabale-24hr'!G81)</f>
        <v>0</v>
      </c>
      <c r="H81" s="49">
        <f>AVERAGE('31.10 Mbarara-Kabale-24hr'!H81,'2.11 Mbarara-Kabale-24hr'!H81)</f>
        <v>0</v>
      </c>
      <c r="I81" s="49">
        <f>AVERAGE('31.10 Mbarara-Kabale-24hr'!I81,'2.11 Mbarara-Kabale-24hr'!I81)</f>
        <v>0</v>
      </c>
      <c r="J81" s="49">
        <f>AVERAGE('31.10 Mbarara-Kabale-24hr'!J81,'2.11 Mbarara-Kabale-24hr'!J81)</f>
        <v>2</v>
      </c>
      <c r="K81" s="49">
        <f>AVERAGE('31.10 Mbarara-Kabale-24hr'!K81,'2.11 Mbarara-Kabale-24hr'!K81)</f>
        <v>0.5</v>
      </c>
      <c r="L81" s="49">
        <f>AVERAGE('31.10 Mbarara-Kabale-24hr'!L81,'2.11 Mbarara-Kabale-24hr'!L81)</f>
        <v>1</v>
      </c>
      <c r="M81" s="49">
        <f>AVERAGE('31.10 Mbarara-Kabale-24hr'!M81,'2.11 Mbarara-Kabale-24hr'!M81)</f>
        <v>0</v>
      </c>
      <c r="N81" s="49">
        <f>AVERAGE('31.10 Mbarara-Kabale-24hr'!N81,'2.11 Mbarara-Kabale-24hr'!N81)</f>
        <v>0</v>
      </c>
      <c r="O81" s="15">
        <f t="shared" si="35"/>
        <v>4.5</v>
      </c>
      <c r="P81" s="15">
        <f t="shared" si="36"/>
        <v>4.5</v>
      </c>
      <c r="R81" s="8"/>
      <c r="T81"/>
    </row>
    <row r="82" spans="2:20" ht="23.1" customHeight="1" x14ac:dyDescent="0.25">
      <c r="B82" s="24" t="s">
        <v>122</v>
      </c>
      <c r="C82" s="49">
        <f>AVERAGE('31.10 Mbarara-Kabale-24hr'!C82,'2.11 Mbarara-Kabale-24hr'!C82)</f>
        <v>0</v>
      </c>
      <c r="D82" s="49">
        <f>AVERAGE('31.10 Mbarara-Kabale-24hr'!D82,'2.11 Mbarara-Kabale-24hr'!D82)</f>
        <v>3</v>
      </c>
      <c r="E82" s="49">
        <f>AVERAGE('31.10 Mbarara-Kabale-24hr'!E82,'2.11 Mbarara-Kabale-24hr'!E82)</f>
        <v>0</v>
      </c>
      <c r="F82" s="49">
        <f>AVERAGE('31.10 Mbarara-Kabale-24hr'!F82,'2.11 Mbarara-Kabale-24hr'!F82)</f>
        <v>0</v>
      </c>
      <c r="G82" s="49">
        <f>AVERAGE('31.10 Mbarara-Kabale-24hr'!G82,'2.11 Mbarara-Kabale-24hr'!G82)</f>
        <v>0</v>
      </c>
      <c r="H82" s="49">
        <f>AVERAGE('31.10 Mbarara-Kabale-24hr'!H82,'2.11 Mbarara-Kabale-24hr'!H82)</f>
        <v>0</v>
      </c>
      <c r="I82" s="49">
        <f>AVERAGE('31.10 Mbarara-Kabale-24hr'!I82,'2.11 Mbarara-Kabale-24hr'!I82)</f>
        <v>0</v>
      </c>
      <c r="J82" s="49">
        <f>AVERAGE('31.10 Mbarara-Kabale-24hr'!J82,'2.11 Mbarara-Kabale-24hr'!J82)</f>
        <v>0</v>
      </c>
      <c r="K82" s="49">
        <f>AVERAGE('31.10 Mbarara-Kabale-24hr'!K82,'2.11 Mbarara-Kabale-24hr'!K82)</f>
        <v>0.5</v>
      </c>
      <c r="L82" s="49">
        <f>AVERAGE('31.10 Mbarara-Kabale-24hr'!L82,'2.11 Mbarara-Kabale-24hr'!L82)</f>
        <v>2</v>
      </c>
      <c r="M82" s="49">
        <f>AVERAGE('31.10 Mbarara-Kabale-24hr'!M82,'2.11 Mbarara-Kabale-24hr'!M82)</f>
        <v>1</v>
      </c>
      <c r="N82" s="49">
        <f>AVERAGE('31.10 Mbarara-Kabale-24hr'!N82,'2.11 Mbarara-Kabale-24hr'!N82)</f>
        <v>0</v>
      </c>
      <c r="O82" s="15">
        <f t="shared" si="35"/>
        <v>5.5</v>
      </c>
      <c r="P82" s="15">
        <f t="shared" si="36"/>
        <v>6.5</v>
      </c>
      <c r="R82" s="8"/>
      <c r="T82"/>
    </row>
    <row r="83" spans="2:20" ht="23.1" customHeight="1" x14ac:dyDescent="0.25">
      <c r="B83" s="23" t="s">
        <v>123</v>
      </c>
      <c r="C83" s="49">
        <f>AVERAGE('31.10 Mbarara-Kabale-24hr'!C83,'2.11 Mbarara-Kabale-24hr'!C83)</f>
        <v>1</v>
      </c>
      <c r="D83" s="49">
        <f>AVERAGE('31.10 Mbarara-Kabale-24hr'!D83,'2.11 Mbarara-Kabale-24hr'!D83)</f>
        <v>0</v>
      </c>
      <c r="E83" s="49">
        <f>AVERAGE('31.10 Mbarara-Kabale-24hr'!E83,'2.11 Mbarara-Kabale-24hr'!E83)</f>
        <v>1</v>
      </c>
      <c r="F83" s="49">
        <f>AVERAGE('31.10 Mbarara-Kabale-24hr'!F83,'2.11 Mbarara-Kabale-24hr'!F83)</f>
        <v>0</v>
      </c>
      <c r="G83" s="49">
        <f>AVERAGE('31.10 Mbarara-Kabale-24hr'!G83,'2.11 Mbarara-Kabale-24hr'!G83)</f>
        <v>0.5</v>
      </c>
      <c r="H83" s="49">
        <f>AVERAGE('31.10 Mbarara-Kabale-24hr'!H83,'2.11 Mbarara-Kabale-24hr'!H83)</f>
        <v>0</v>
      </c>
      <c r="I83" s="49">
        <f>AVERAGE('31.10 Mbarara-Kabale-24hr'!I83,'2.11 Mbarara-Kabale-24hr'!I83)</f>
        <v>0</v>
      </c>
      <c r="J83" s="49">
        <f>AVERAGE('31.10 Mbarara-Kabale-24hr'!J83,'2.11 Mbarara-Kabale-24hr'!J83)</f>
        <v>1.5</v>
      </c>
      <c r="K83" s="49">
        <f>AVERAGE('31.10 Mbarara-Kabale-24hr'!K83,'2.11 Mbarara-Kabale-24hr'!K83)</f>
        <v>0</v>
      </c>
      <c r="L83" s="49">
        <f>AVERAGE('31.10 Mbarara-Kabale-24hr'!L83,'2.11 Mbarara-Kabale-24hr'!L83)</f>
        <v>0.5</v>
      </c>
      <c r="M83" s="49">
        <f>AVERAGE('31.10 Mbarara-Kabale-24hr'!M83,'2.11 Mbarara-Kabale-24hr'!M83)</f>
        <v>0</v>
      </c>
      <c r="N83" s="49">
        <f>AVERAGE('31.10 Mbarara-Kabale-24hr'!N83,'2.11 Mbarara-Kabale-24hr'!N83)</f>
        <v>0</v>
      </c>
      <c r="O83" s="15">
        <f t="shared" si="35"/>
        <v>4.5</v>
      </c>
      <c r="P83" s="15">
        <f t="shared" si="36"/>
        <v>4.5</v>
      </c>
      <c r="R83" s="8"/>
      <c r="T83"/>
    </row>
    <row r="84" spans="2:20" ht="23.1" customHeight="1" x14ac:dyDescent="0.25">
      <c r="B84" s="25" t="s">
        <v>124</v>
      </c>
      <c r="C84" s="49">
        <f>AVERAGE('31.10 Mbarara-Kabale-24hr'!C84,'2.11 Mbarara-Kabale-24hr'!C84)</f>
        <v>0</v>
      </c>
      <c r="D84" s="49">
        <f>AVERAGE('31.10 Mbarara-Kabale-24hr'!D84,'2.11 Mbarara-Kabale-24hr'!D84)</f>
        <v>2</v>
      </c>
      <c r="E84" s="49">
        <f>AVERAGE('31.10 Mbarara-Kabale-24hr'!E84,'2.11 Mbarara-Kabale-24hr'!E84)</f>
        <v>0.5</v>
      </c>
      <c r="F84" s="49">
        <f>AVERAGE('31.10 Mbarara-Kabale-24hr'!F84,'2.11 Mbarara-Kabale-24hr'!F84)</f>
        <v>0</v>
      </c>
      <c r="G84" s="49">
        <f>AVERAGE('31.10 Mbarara-Kabale-24hr'!G84,'2.11 Mbarara-Kabale-24hr'!G84)</f>
        <v>0</v>
      </c>
      <c r="H84" s="49">
        <f>AVERAGE('31.10 Mbarara-Kabale-24hr'!H84,'2.11 Mbarara-Kabale-24hr'!H84)</f>
        <v>0</v>
      </c>
      <c r="I84" s="49">
        <f>AVERAGE('31.10 Mbarara-Kabale-24hr'!I84,'2.11 Mbarara-Kabale-24hr'!I84)</f>
        <v>0</v>
      </c>
      <c r="J84" s="49">
        <f>AVERAGE('31.10 Mbarara-Kabale-24hr'!J84,'2.11 Mbarara-Kabale-24hr'!J84)</f>
        <v>0</v>
      </c>
      <c r="K84" s="49">
        <f>AVERAGE('31.10 Mbarara-Kabale-24hr'!K84,'2.11 Mbarara-Kabale-24hr'!K84)</f>
        <v>3</v>
      </c>
      <c r="L84" s="49">
        <f>AVERAGE('31.10 Mbarara-Kabale-24hr'!L84,'2.11 Mbarara-Kabale-24hr'!L84)</f>
        <v>5.5</v>
      </c>
      <c r="M84" s="49">
        <f>AVERAGE('31.10 Mbarara-Kabale-24hr'!M84,'2.11 Mbarara-Kabale-24hr'!M84)</f>
        <v>2.5</v>
      </c>
      <c r="N84" s="49">
        <f>AVERAGE('31.10 Mbarara-Kabale-24hr'!N84,'2.11 Mbarara-Kabale-24hr'!N84)</f>
        <v>0</v>
      </c>
      <c r="O84" s="15">
        <f t="shared" si="35"/>
        <v>11</v>
      </c>
      <c r="P84" s="15">
        <f t="shared" si="36"/>
        <v>13.5</v>
      </c>
      <c r="R84" s="8"/>
      <c r="T84"/>
    </row>
    <row r="85" spans="2:20" ht="23.1" customHeight="1" x14ac:dyDescent="0.25">
      <c r="B85" s="23" t="s">
        <v>125</v>
      </c>
      <c r="C85" s="49">
        <f>AVERAGE('31.10 Mbarara-Kabale-24hr'!C85,'2.11 Mbarara-Kabale-24hr'!C85)</f>
        <v>0</v>
      </c>
      <c r="D85" s="49">
        <f>AVERAGE('31.10 Mbarara-Kabale-24hr'!D85,'2.11 Mbarara-Kabale-24hr'!D85)</f>
        <v>0.5</v>
      </c>
      <c r="E85" s="49">
        <f>AVERAGE('31.10 Mbarara-Kabale-24hr'!E85,'2.11 Mbarara-Kabale-24hr'!E85)</f>
        <v>0</v>
      </c>
      <c r="F85" s="49">
        <f>AVERAGE('31.10 Mbarara-Kabale-24hr'!F85,'2.11 Mbarara-Kabale-24hr'!F85)</f>
        <v>0</v>
      </c>
      <c r="G85" s="49">
        <f>AVERAGE('31.10 Mbarara-Kabale-24hr'!G85,'2.11 Mbarara-Kabale-24hr'!G85)</f>
        <v>0.5</v>
      </c>
      <c r="H85" s="49">
        <f>AVERAGE('31.10 Mbarara-Kabale-24hr'!H85,'2.11 Mbarara-Kabale-24hr'!H85)</f>
        <v>0</v>
      </c>
      <c r="I85" s="49">
        <f>AVERAGE('31.10 Mbarara-Kabale-24hr'!I85,'2.11 Mbarara-Kabale-24hr'!I85)</f>
        <v>0</v>
      </c>
      <c r="J85" s="49">
        <f>AVERAGE('31.10 Mbarara-Kabale-24hr'!J85,'2.11 Mbarara-Kabale-24hr'!J85)</f>
        <v>0</v>
      </c>
      <c r="K85" s="49">
        <f>AVERAGE('31.10 Mbarara-Kabale-24hr'!K85,'2.11 Mbarara-Kabale-24hr'!K85)</f>
        <v>0</v>
      </c>
      <c r="L85" s="49">
        <f>AVERAGE('31.10 Mbarara-Kabale-24hr'!L85,'2.11 Mbarara-Kabale-24hr'!L85)</f>
        <v>0.5</v>
      </c>
      <c r="M85" s="49">
        <f>AVERAGE('31.10 Mbarara-Kabale-24hr'!M85,'2.11 Mbarara-Kabale-24hr'!M85)</f>
        <v>1.5</v>
      </c>
      <c r="N85" s="49">
        <f>AVERAGE('31.10 Mbarara-Kabale-24hr'!N85,'2.11 Mbarara-Kabale-24hr'!N85)</f>
        <v>0</v>
      </c>
      <c r="O85" s="15">
        <f t="shared" si="35"/>
        <v>1.5</v>
      </c>
      <c r="P85" s="15">
        <f t="shared" si="36"/>
        <v>3</v>
      </c>
      <c r="R85" s="8"/>
      <c r="T85"/>
    </row>
    <row r="86" spans="2:20" ht="23.1" customHeight="1" x14ac:dyDescent="0.25">
      <c r="B86" s="24" t="s">
        <v>126</v>
      </c>
      <c r="C86" s="49">
        <f>AVERAGE('31.10 Mbarara-Kabale-24hr'!C86,'2.11 Mbarara-Kabale-24hr'!C86)</f>
        <v>0.5</v>
      </c>
      <c r="D86" s="49">
        <f>AVERAGE('31.10 Mbarara-Kabale-24hr'!D86,'2.11 Mbarara-Kabale-24hr'!D86)</f>
        <v>1</v>
      </c>
      <c r="E86" s="49">
        <f>AVERAGE('31.10 Mbarara-Kabale-24hr'!E86,'2.11 Mbarara-Kabale-24hr'!E86)</f>
        <v>0</v>
      </c>
      <c r="F86" s="49">
        <f>AVERAGE('31.10 Mbarara-Kabale-24hr'!F86,'2.11 Mbarara-Kabale-24hr'!F86)</f>
        <v>0</v>
      </c>
      <c r="G86" s="49">
        <f>AVERAGE('31.10 Mbarara-Kabale-24hr'!G86,'2.11 Mbarara-Kabale-24hr'!G86)</f>
        <v>0</v>
      </c>
      <c r="H86" s="49">
        <f>AVERAGE('31.10 Mbarara-Kabale-24hr'!H86,'2.11 Mbarara-Kabale-24hr'!H86)</f>
        <v>0</v>
      </c>
      <c r="I86" s="49">
        <f>AVERAGE('31.10 Mbarara-Kabale-24hr'!I86,'2.11 Mbarara-Kabale-24hr'!I86)</f>
        <v>0</v>
      </c>
      <c r="J86" s="49">
        <f>AVERAGE('31.10 Mbarara-Kabale-24hr'!J86,'2.11 Mbarara-Kabale-24hr'!J86)</f>
        <v>0.5</v>
      </c>
      <c r="K86" s="49">
        <f>AVERAGE('31.10 Mbarara-Kabale-24hr'!K86,'2.11 Mbarara-Kabale-24hr'!K86)</f>
        <v>2.5</v>
      </c>
      <c r="L86" s="49">
        <f>AVERAGE('31.10 Mbarara-Kabale-24hr'!L86,'2.11 Mbarara-Kabale-24hr'!L86)</f>
        <v>3.5</v>
      </c>
      <c r="M86" s="49">
        <f>AVERAGE('31.10 Mbarara-Kabale-24hr'!M86,'2.11 Mbarara-Kabale-24hr'!M86)</f>
        <v>1</v>
      </c>
      <c r="N86" s="49">
        <f>AVERAGE('31.10 Mbarara-Kabale-24hr'!N86,'2.11 Mbarara-Kabale-24hr'!N86)</f>
        <v>0</v>
      </c>
      <c r="O86" s="15">
        <f t="shared" si="35"/>
        <v>8</v>
      </c>
      <c r="P86" s="15">
        <f t="shared" si="36"/>
        <v>9</v>
      </c>
      <c r="R86" s="8"/>
      <c r="T86"/>
    </row>
    <row r="87" spans="2:20" ht="23.1" customHeight="1" x14ac:dyDescent="0.25">
      <c r="B87" s="23" t="s">
        <v>127</v>
      </c>
      <c r="C87" s="49">
        <f>AVERAGE('31.10 Mbarara-Kabale-24hr'!C87,'2.11 Mbarara-Kabale-24hr'!C87)</f>
        <v>0</v>
      </c>
      <c r="D87" s="49">
        <f>AVERAGE('31.10 Mbarara-Kabale-24hr'!D87,'2.11 Mbarara-Kabale-24hr'!D87)</f>
        <v>0</v>
      </c>
      <c r="E87" s="49">
        <f>AVERAGE('31.10 Mbarara-Kabale-24hr'!E87,'2.11 Mbarara-Kabale-24hr'!E87)</f>
        <v>0</v>
      </c>
      <c r="F87" s="49">
        <f>AVERAGE('31.10 Mbarara-Kabale-24hr'!F87,'2.11 Mbarara-Kabale-24hr'!F87)</f>
        <v>0</v>
      </c>
      <c r="G87" s="49">
        <f>AVERAGE('31.10 Mbarara-Kabale-24hr'!G87,'2.11 Mbarara-Kabale-24hr'!G87)</f>
        <v>0</v>
      </c>
      <c r="H87" s="49">
        <f>AVERAGE('31.10 Mbarara-Kabale-24hr'!H87,'2.11 Mbarara-Kabale-24hr'!H87)</f>
        <v>0</v>
      </c>
      <c r="I87" s="49">
        <f>AVERAGE('31.10 Mbarara-Kabale-24hr'!I87,'2.11 Mbarara-Kabale-24hr'!I87)</f>
        <v>0</v>
      </c>
      <c r="J87" s="49">
        <f>AVERAGE('31.10 Mbarara-Kabale-24hr'!J87,'2.11 Mbarara-Kabale-24hr'!J87)</f>
        <v>0</v>
      </c>
      <c r="K87" s="49">
        <f>AVERAGE('31.10 Mbarara-Kabale-24hr'!K87,'2.11 Mbarara-Kabale-24hr'!K87)</f>
        <v>0</v>
      </c>
      <c r="L87" s="49">
        <f>AVERAGE('31.10 Mbarara-Kabale-24hr'!L87,'2.11 Mbarara-Kabale-24hr'!L87)</f>
        <v>0</v>
      </c>
      <c r="M87" s="49">
        <f>AVERAGE('31.10 Mbarara-Kabale-24hr'!M87,'2.11 Mbarara-Kabale-24hr'!M87)</f>
        <v>0</v>
      </c>
      <c r="N87" s="49">
        <f>AVERAGE('31.10 Mbarara-Kabale-24hr'!N87,'2.11 Mbarara-Kabale-24hr'!N87)</f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25" t="s">
        <v>128</v>
      </c>
      <c r="C88" s="49">
        <f>AVERAGE('31.10 Mbarara-Kabale-24hr'!C88,'2.11 Mbarara-Kabale-24hr'!C88)</f>
        <v>0</v>
      </c>
      <c r="D88" s="49">
        <f>AVERAGE('31.10 Mbarara-Kabale-24hr'!D88,'2.11 Mbarara-Kabale-24hr'!D88)</f>
        <v>0</v>
      </c>
      <c r="E88" s="49">
        <f>AVERAGE('31.10 Mbarara-Kabale-24hr'!E88,'2.11 Mbarara-Kabale-24hr'!E88)</f>
        <v>0</v>
      </c>
      <c r="F88" s="49">
        <f>AVERAGE('31.10 Mbarara-Kabale-24hr'!F88,'2.11 Mbarara-Kabale-24hr'!F88)</f>
        <v>1</v>
      </c>
      <c r="G88" s="49">
        <f>AVERAGE('31.10 Mbarara-Kabale-24hr'!G88,'2.11 Mbarara-Kabale-24hr'!G88)</f>
        <v>0</v>
      </c>
      <c r="H88" s="49">
        <f>AVERAGE('31.10 Mbarara-Kabale-24hr'!H88,'2.11 Mbarara-Kabale-24hr'!H88)</f>
        <v>0</v>
      </c>
      <c r="I88" s="49">
        <f>AVERAGE('31.10 Mbarara-Kabale-24hr'!I88,'2.11 Mbarara-Kabale-24hr'!I88)</f>
        <v>0</v>
      </c>
      <c r="J88" s="49">
        <f>AVERAGE('31.10 Mbarara-Kabale-24hr'!J88,'2.11 Mbarara-Kabale-24hr'!J88)</f>
        <v>0</v>
      </c>
      <c r="K88" s="49">
        <f>AVERAGE('31.10 Mbarara-Kabale-24hr'!K88,'2.11 Mbarara-Kabale-24hr'!K88)</f>
        <v>0.5</v>
      </c>
      <c r="L88" s="49">
        <f>AVERAGE('31.10 Mbarara-Kabale-24hr'!L88,'2.11 Mbarara-Kabale-24hr'!L88)</f>
        <v>1</v>
      </c>
      <c r="M88" s="49">
        <f>AVERAGE('31.10 Mbarara-Kabale-24hr'!M88,'2.11 Mbarara-Kabale-24hr'!M88)</f>
        <v>0</v>
      </c>
      <c r="N88" s="49">
        <f>AVERAGE('31.10 Mbarara-Kabale-24hr'!N88,'2.11 Mbarara-Kabale-24hr'!N88)</f>
        <v>0</v>
      </c>
      <c r="O88" s="15">
        <f t="shared" si="35"/>
        <v>2.5</v>
      </c>
      <c r="P88" s="15">
        <f t="shared" si="36"/>
        <v>2.5</v>
      </c>
      <c r="R88" s="8"/>
      <c r="T88"/>
    </row>
    <row r="89" spans="2:20" ht="23.1" customHeight="1" x14ac:dyDescent="0.25">
      <c r="B89" s="23" t="s">
        <v>129</v>
      </c>
      <c r="C89" s="49">
        <f>AVERAGE('31.10 Mbarara-Kabale-24hr'!C89,'2.11 Mbarara-Kabale-24hr'!C89)</f>
        <v>0</v>
      </c>
      <c r="D89" s="49">
        <f>AVERAGE('31.10 Mbarara-Kabale-24hr'!D89,'2.11 Mbarara-Kabale-24hr'!D89)</f>
        <v>0</v>
      </c>
      <c r="E89" s="49">
        <f>AVERAGE('31.10 Mbarara-Kabale-24hr'!E89,'2.11 Mbarara-Kabale-24hr'!E89)</f>
        <v>0</v>
      </c>
      <c r="F89" s="49">
        <f>AVERAGE('31.10 Mbarara-Kabale-24hr'!F89,'2.11 Mbarara-Kabale-24hr'!F89)</f>
        <v>0</v>
      </c>
      <c r="G89" s="49">
        <f>AVERAGE('31.10 Mbarara-Kabale-24hr'!G89,'2.11 Mbarara-Kabale-24hr'!G89)</f>
        <v>0</v>
      </c>
      <c r="H89" s="49">
        <f>AVERAGE('31.10 Mbarara-Kabale-24hr'!H89,'2.11 Mbarara-Kabale-24hr'!H89)</f>
        <v>0</v>
      </c>
      <c r="I89" s="49">
        <f>AVERAGE('31.10 Mbarara-Kabale-24hr'!I89,'2.11 Mbarara-Kabale-24hr'!I89)</f>
        <v>0</v>
      </c>
      <c r="J89" s="49">
        <f>AVERAGE('31.10 Mbarara-Kabale-24hr'!J89,'2.11 Mbarara-Kabale-24hr'!J89)</f>
        <v>0</v>
      </c>
      <c r="K89" s="49">
        <f>AVERAGE('31.10 Mbarara-Kabale-24hr'!K89,'2.11 Mbarara-Kabale-24hr'!K89)</f>
        <v>0</v>
      </c>
      <c r="L89" s="49">
        <f>AVERAGE('31.10 Mbarara-Kabale-24hr'!L89,'2.11 Mbarara-Kabale-24hr'!L89)</f>
        <v>0</v>
      </c>
      <c r="M89" s="49">
        <f>AVERAGE('31.10 Mbarara-Kabale-24hr'!M89,'2.11 Mbarara-Kabale-24hr'!M89)</f>
        <v>0</v>
      </c>
      <c r="N89" s="49">
        <f>AVERAGE('31.10 Mbarara-Kabale-24hr'!N89,'2.11 Mbarara-Kabale-24hr'!N89)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AVERAGE('31.10 Mbarara-Kabale-24hr'!C90,'2.11 Mbarara-Kabale-24hr'!C90)</f>
        <v>0</v>
      </c>
      <c r="D90" s="49">
        <f>AVERAGE('31.10 Mbarara-Kabale-24hr'!D90,'2.11 Mbarara-Kabale-24hr'!D90)</f>
        <v>0</v>
      </c>
      <c r="E90" s="49">
        <f>AVERAGE('31.10 Mbarara-Kabale-24hr'!E90,'2.11 Mbarara-Kabale-24hr'!E90)</f>
        <v>0</v>
      </c>
      <c r="F90" s="49">
        <f>AVERAGE('31.10 Mbarara-Kabale-24hr'!F90,'2.11 Mbarara-Kabale-24hr'!F90)</f>
        <v>0</v>
      </c>
      <c r="G90" s="49">
        <f>AVERAGE('31.10 Mbarara-Kabale-24hr'!G90,'2.11 Mbarara-Kabale-24hr'!G90)</f>
        <v>0</v>
      </c>
      <c r="H90" s="49">
        <f>AVERAGE('31.10 Mbarara-Kabale-24hr'!H90,'2.11 Mbarara-Kabale-24hr'!H90)</f>
        <v>0</v>
      </c>
      <c r="I90" s="49">
        <f>AVERAGE('31.10 Mbarara-Kabale-24hr'!I90,'2.11 Mbarara-Kabale-24hr'!I90)</f>
        <v>0</v>
      </c>
      <c r="J90" s="49">
        <f>AVERAGE('31.10 Mbarara-Kabale-24hr'!J90,'2.11 Mbarara-Kabale-24hr'!J90)</f>
        <v>0</v>
      </c>
      <c r="K90" s="49">
        <f>AVERAGE('31.10 Mbarara-Kabale-24hr'!K90,'2.11 Mbarara-Kabale-24hr'!K90)</f>
        <v>0</v>
      </c>
      <c r="L90" s="49">
        <f>AVERAGE('31.10 Mbarara-Kabale-24hr'!L90,'2.11 Mbarara-Kabale-24hr'!L90)</f>
        <v>0</v>
      </c>
      <c r="M90" s="49">
        <f>AVERAGE('31.10 Mbarara-Kabale-24hr'!M90,'2.11 Mbarara-Kabale-24hr'!M90)</f>
        <v>0</v>
      </c>
      <c r="N90" s="49">
        <f>AVERAGE('31.10 Mbarara-Kabale-24hr'!N90,'2.11 Mbarara-Kabale-24hr'!N90)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AVERAGE('31.10 Mbarara-Kabale-24hr'!C91,'2.11 Mbarara-Kabale-24hr'!C91)</f>
        <v>0</v>
      </c>
      <c r="D91" s="49">
        <f>AVERAGE('31.10 Mbarara-Kabale-24hr'!D91,'2.11 Mbarara-Kabale-24hr'!D91)</f>
        <v>0</v>
      </c>
      <c r="E91" s="49">
        <f>AVERAGE('31.10 Mbarara-Kabale-24hr'!E91,'2.11 Mbarara-Kabale-24hr'!E91)</f>
        <v>0</v>
      </c>
      <c r="F91" s="49">
        <f>AVERAGE('31.10 Mbarara-Kabale-24hr'!F91,'2.11 Mbarara-Kabale-24hr'!F91)</f>
        <v>0</v>
      </c>
      <c r="G91" s="49">
        <f>AVERAGE('31.10 Mbarara-Kabale-24hr'!G91,'2.11 Mbarara-Kabale-24hr'!G91)</f>
        <v>0</v>
      </c>
      <c r="H91" s="49">
        <f>AVERAGE('31.10 Mbarara-Kabale-24hr'!H91,'2.11 Mbarara-Kabale-24hr'!H91)</f>
        <v>0</v>
      </c>
      <c r="I91" s="49">
        <f>AVERAGE('31.10 Mbarara-Kabale-24hr'!I91,'2.11 Mbarara-Kabale-24hr'!I91)</f>
        <v>0</v>
      </c>
      <c r="J91" s="49">
        <f>AVERAGE('31.10 Mbarara-Kabale-24hr'!J91,'2.11 Mbarara-Kabale-24hr'!J91)</f>
        <v>0</v>
      </c>
      <c r="K91" s="49">
        <f>AVERAGE('31.10 Mbarara-Kabale-24hr'!K91,'2.11 Mbarara-Kabale-24hr'!K91)</f>
        <v>1</v>
      </c>
      <c r="L91" s="49">
        <f>AVERAGE('31.10 Mbarara-Kabale-24hr'!L91,'2.11 Mbarara-Kabale-24hr'!L91)</f>
        <v>1.5</v>
      </c>
      <c r="M91" s="49">
        <f>AVERAGE('31.10 Mbarara-Kabale-24hr'!M91,'2.11 Mbarara-Kabale-24hr'!M91)</f>
        <v>0</v>
      </c>
      <c r="N91" s="49">
        <f>AVERAGE('31.10 Mbarara-Kabale-24hr'!N91,'2.11 Mbarara-Kabale-24hr'!N91)</f>
        <v>0</v>
      </c>
      <c r="O91" s="15">
        <f t="shared" si="35"/>
        <v>2.5</v>
      </c>
      <c r="P91" s="15">
        <f t="shared" si="36"/>
        <v>2.5</v>
      </c>
      <c r="R91" s="8"/>
      <c r="T91"/>
    </row>
    <row r="92" spans="2:20" ht="23.1" customHeight="1" x14ac:dyDescent="0.25">
      <c r="B92" s="25" t="s">
        <v>132</v>
      </c>
      <c r="C92" s="49">
        <f>AVERAGE('31.10 Mbarara-Kabale-24hr'!C92,'2.11 Mbarara-Kabale-24hr'!C92)</f>
        <v>0</v>
      </c>
      <c r="D92" s="49">
        <f>AVERAGE('31.10 Mbarara-Kabale-24hr'!D92,'2.11 Mbarara-Kabale-24hr'!D92)</f>
        <v>0</v>
      </c>
      <c r="E92" s="49">
        <f>AVERAGE('31.10 Mbarara-Kabale-24hr'!E92,'2.11 Mbarara-Kabale-24hr'!E92)</f>
        <v>0</v>
      </c>
      <c r="F92" s="49">
        <f>AVERAGE('31.10 Mbarara-Kabale-24hr'!F92,'2.11 Mbarara-Kabale-24hr'!F92)</f>
        <v>0</v>
      </c>
      <c r="G92" s="49">
        <f>AVERAGE('31.10 Mbarara-Kabale-24hr'!G92,'2.11 Mbarara-Kabale-24hr'!G92)</f>
        <v>0</v>
      </c>
      <c r="H92" s="49">
        <f>AVERAGE('31.10 Mbarara-Kabale-24hr'!H92,'2.11 Mbarara-Kabale-24hr'!H92)</f>
        <v>0</v>
      </c>
      <c r="I92" s="49">
        <f>AVERAGE('31.10 Mbarara-Kabale-24hr'!I92,'2.11 Mbarara-Kabale-24hr'!I92)</f>
        <v>1</v>
      </c>
      <c r="J92" s="49">
        <f>AVERAGE('31.10 Mbarara-Kabale-24hr'!J92,'2.11 Mbarara-Kabale-24hr'!J92)</f>
        <v>0</v>
      </c>
      <c r="K92" s="49">
        <f>AVERAGE('31.10 Mbarara-Kabale-24hr'!K92,'2.11 Mbarara-Kabale-24hr'!K92)</f>
        <v>0.5</v>
      </c>
      <c r="L92" s="49">
        <f>AVERAGE('31.10 Mbarara-Kabale-24hr'!L92,'2.11 Mbarara-Kabale-24hr'!L92)</f>
        <v>2.5</v>
      </c>
      <c r="M92" s="49">
        <f>AVERAGE('31.10 Mbarara-Kabale-24hr'!M92,'2.11 Mbarara-Kabale-24hr'!M92)</f>
        <v>0</v>
      </c>
      <c r="N92" s="49">
        <f>AVERAGE('31.10 Mbarara-Kabale-24hr'!N92,'2.11 Mbarara-Kabale-24hr'!N92)</f>
        <v>0</v>
      </c>
      <c r="O92" s="15">
        <f t="shared" si="35"/>
        <v>4</v>
      </c>
      <c r="P92" s="15">
        <f t="shared" si="36"/>
        <v>4</v>
      </c>
      <c r="R92" s="8"/>
      <c r="T92"/>
    </row>
    <row r="93" spans="2:20" ht="23.1" customHeight="1" x14ac:dyDescent="0.25">
      <c r="B93" s="23" t="s">
        <v>133</v>
      </c>
      <c r="C93" s="49">
        <f>AVERAGE('31.10 Mbarara-Kabale-24hr'!C93,'2.11 Mbarara-Kabale-24hr'!C93)</f>
        <v>0</v>
      </c>
      <c r="D93" s="49">
        <f>AVERAGE('31.10 Mbarara-Kabale-24hr'!D93,'2.11 Mbarara-Kabale-24hr'!D93)</f>
        <v>0.5</v>
      </c>
      <c r="E93" s="49">
        <f>AVERAGE('31.10 Mbarara-Kabale-24hr'!E93,'2.11 Mbarara-Kabale-24hr'!E93)</f>
        <v>1</v>
      </c>
      <c r="F93" s="49">
        <f>AVERAGE('31.10 Mbarara-Kabale-24hr'!F93,'2.11 Mbarara-Kabale-24hr'!F93)</f>
        <v>0</v>
      </c>
      <c r="G93" s="49">
        <f>AVERAGE('31.10 Mbarara-Kabale-24hr'!G93,'2.11 Mbarara-Kabale-24hr'!G93)</f>
        <v>0</v>
      </c>
      <c r="H93" s="49">
        <f>AVERAGE('31.10 Mbarara-Kabale-24hr'!H93,'2.11 Mbarara-Kabale-24hr'!H93)</f>
        <v>0</v>
      </c>
      <c r="I93" s="49">
        <f>AVERAGE('31.10 Mbarara-Kabale-24hr'!I93,'2.11 Mbarara-Kabale-24hr'!I93)</f>
        <v>0</v>
      </c>
      <c r="J93" s="49">
        <f>AVERAGE('31.10 Mbarara-Kabale-24hr'!J93,'2.11 Mbarara-Kabale-24hr'!J93)</f>
        <v>1</v>
      </c>
      <c r="K93" s="49">
        <f>AVERAGE('31.10 Mbarara-Kabale-24hr'!K93,'2.11 Mbarara-Kabale-24hr'!K93)</f>
        <v>0</v>
      </c>
      <c r="L93" s="49">
        <f>AVERAGE('31.10 Mbarara-Kabale-24hr'!L93,'2.11 Mbarara-Kabale-24hr'!L93)</f>
        <v>0.5</v>
      </c>
      <c r="M93" s="49">
        <f>AVERAGE('31.10 Mbarara-Kabale-24hr'!M93,'2.11 Mbarara-Kabale-24hr'!M93)</f>
        <v>0</v>
      </c>
      <c r="N93" s="49">
        <f>AVERAGE('31.10 Mbarara-Kabale-24hr'!N93,'2.11 Mbarara-Kabale-24hr'!N93)</f>
        <v>0</v>
      </c>
      <c r="O93" s="15">
        <f t="shared" si="35"/>
        <v>3</v>
      </c>
      <c r="P93" s="15">
        <f t="shared" si="36"/>
        <v>3</v>
      </c>
      <c r="R93" s="8"/>
      <c r="T93"/>
    </row>
    <row r="94" spans="2:20" ht="23.1" customHeight="1" x14ac:dyDescent="0.25">
      <c r="B94" s="24" t="s">
        <v>134</v>
      </c>
      <c r="C94" s="49">
        <f>AVERAGE('31.10 Mbarara-Kabale-24hr'!C94,'2.11 Mbarara-Kabale-24hr'!C94)</f>
        <v>0</v>
      </c>
      <c r="D94" s="49">
        <f>AVERAGE('31.10 Mbarara-Kabale-24hr'!D94,'2.11 Mbarara-Kabale-24hr'!D94)</f>
        <v>0</v>
      </c>
      <c r="E94" s="49">
        <f>AVERAGE('31.10 Mbarara-Kabale-24hr'!E94,'2.11 Mbarara-Kabale-24hr'!E94)</f>
        <v>0</v>
      </c>
      <c r="F94" s="49">
        <f>AVERAGE('31.10 Mbarara-Kabale-24hr'!F94,'2.11 Mbarara-Kabale-24hr'!F94)</f>
        <v>0</v>
      </c>
      <c r="G94" s="49">
        <f>AVERAGE('31.10 Mbarara-Kabale-24hr'!G94,'2.11 Mbarara-Kabale-24hr'!G94)</f>
        <v>0</v>
      </c>
      <c r="H94" s="49">
        <f>AVERAGE('31.10 Mbarara-Kabale-24hr'!H94,'2.11 Mbarara-Kabale-24hr'!H94)</f>
        <v>0</v>
      </c>
      <c r="I94" s="49">
        <f>AVERAGE('31.10 Mbarara-Kabale-24hr'!I94,'2.11 Mbarara-Kabale-24hr'!I94)</f>
        <v>0</v>
      </c>
      <c r="J94" s="49">
        <f>AVERAGE('31.10 Mbarara-Kabale-24hr'!J94,'2.11 Mbarara-Kabale-24hr'!J94)</f>
        <v>0</v>
      </c>
      <c r="K94" s="49">
        <f>AVERAGE('31.10 Mbarara-Kabale-24hr'!K94,'2.11 Mbarara-Kabale-24hr'!K94)</f>
        <v>1.5</v>
      </c>
      <c r="L94" s="49">
        <f>AVERAGE('31.10 Mbarara-Kabale-24hr'!L94,'2.11 Mbarara-Kabale-24hr'!L94)</f>
        <v>4</v>
      </c>
      <c r="M94" s="49">
        <f>AVERAGE('31.10 Mbarara-Kabale-24hr'!M94,'2.11 Mbarara-Kabale-24hr'!M94)</f>
        <v>0</v>
      </c>
      <c r="N94" s="49">
        <f>AVERAGE('31.10 Mbarara-Kabale-24hr'!N94,'2.11 Mbarara-Kabale-24hr'!N94)</f>
        <v>0</v>
      </c>
      <c r="O94" s="15">
        <f t="shared" si="35"/>
        <v>5.5</v>
      </c>
      <c r="P94" s="15">
        <f t="shared" si="36"/>
        <v>5.5</v>
      </c>
      <c r="R94" s="8"/>
      <c r="T94"/>
    </row>
    <row r="95" spans="2:20" ht="23.1" customHeight="1" x14ac:dyDescent="0.25">
      <c r="B95" s="23" t="s">
        <v>135</v>
      </c>
      <c r="C95" s="49">
        <f>AVERAGE('31.10 Mbarara-Kabale-24hr'!C95,'2.11 Mbarara-Kabale-24hr'!C95)</f>
        <v>0</v>
      </c>
      <c r="D95" s="49">
        <f>AVERAGE('31.10 Mbarara-Kabale-24hr'!D95,'2.11 Mbarara-Kabale-24hr'!D95)</f>
        <v>0</v>
      </c>
      <c r="E95" s="49">
        <f>AVERAGE('31.10 Mbarara-Kabale-24hr'!E95,'2.11 Mbarara-Kabale-24hr'!E95)</f>
        <v>0</v>
      </c>
      <c r="F95" s="49">
        <f>AVERAGE('31.10 Mbarara-Kabale-24hr'!F95,'2.11 Mbarara-Kabale-24hr'!F95)</f>
        <v>0</v>
      </c>
      <c r="G95" s="49">
        <f>AVERAGE('31.10 Mbarara-Kabale-24hr'!G95,'2.11 Mbarara-Kabale-24hr'!G95)</f>
        <v>0</v>
      </c>
      <c r="H95" s="49">
        <f>AVERAGE('31.10 Mbarara-Kabale-24hr'!H95,'2.11 Mbarara-Kabale-24hr'!H95)</f>
        <v>0</v>
      </c>
      <c r="I95" s="49">
        <f>AVERAGE('31.10 Mbarara-Kabale-24hr'!I95,'2.11 Mbarara-Kabale-24hr'!I95)</f>
        <v>0</v>
      </c>
      <c r="J95" s="49">
        <f>AVERAGE('31.10 Mbarara-Kabale-24hr'!J95,'2.11 Mbarara-Kabale-24hr'!J95)</f>
        <v>1.5</v>
      </c>
      <c r="K95" s="49">
        <f>AVERAGE('31.10 Mbarara-Kabale-24hr'!K95,'2.11 Mbarara-Kabale-24hr'!K95)</f>
        <v>0.5</v>
      </c>
      <c r="L95" s="49">
        <f>AVERAGE('31.10 Mbarara-Kabale-24hr'!L95,'2.11 Mbarara-Kabale-24hr'!L95)</f>
        <v>2.5</v>
      </c>
      <c r="M95" s="49">
        <f>AVERAGE('31.10 Mbarara-Kabale-24hr'!M95,'2.11 Mbarara-Kabale-24hr'!M95)</f>
        <v>0</v>
      </c>
      <c r="N95" s="49">
        <f>AVERAGE('31.10 Mbarara-Kabale-24hr'!N95,'2.11 Mbarara-Kabale-24hr'!N95)</f>
        <v>0</v>
      </c>
      <c r="O95" s="15">
        <f t="shared" si="35"/>
        <v>4.5</v>
      </c>
      <c r="P95" s="15">
        <f t="shared" si="36"/>
        <v>4.5</v>
      </c>
      <c r="R95" s="8"/>
      <c r="T95"/>
    </row>
    <row r="96" spans="2:20" ht="23.1" customHeight="1" x14ac:dyDescent="0.25">
      <c r="B96" s="25" t="s">
        <v>136</v>
      </c>
      <c r="C96" s="49">
        <f>AVERAGE('31.10 Mbarara-Kabale-24hr'!C96,'2.11 Mbarara-Kabale-24hr'!C96)</f>
        <v>0</v>
      </c>
      <c r="D96" s="49">
        <f>AVERAGE('31.10 Mbarara-Kabale-24hr'!D96,'2.11 Mbarara-Kabale-24hr'!D96)</f>
        <v>0</v>
      </c>
      <c r="E96" s="49">
        <f>AVERAGE('31.10 Mbarara-Kabale-24hr'!E96,'2.11 Mbarara-Kabale-24hr'!E96)</f>
        <v>0</v>
      </c>
      <c r="F96" s="49">
        <f>AVERAGE('31.10 Mbarara-Kabale-24hr'!F96,'2.11 Mbarara-Kabale-24hr'!F96)</f>
        <v>0</v>
      </c>
      <c r="G96" s="49">
        <f>AVERAGE('31.10 Mbarara-Kabale-24hr'!G96,'2.11 Mbarara-Kabale-24hr'!G96)</f>
        <v>0</v>
      </c>
      <c r="H96" s="49">
        <f>AVERAGE('31.10 Mbarara-Kabale-24hr'!H96,'2.11 Mbarara-Kabale-24hr'!H96)</f>
        <v>0</v>
      </c>
      <c r="I96" s="49">
        <f>AVERAGE('31.10 Mbarara-Kabale-24hr'!I96,'2.11 Mbarara-Kabale-24hr'!I96)</f>
        <v>0</v>
      </c>
      <c r="J96" s="49">
        <f>AVERAGE('31.10 Mbarara-Kabale-24hr'!J96,'2.11 Mbarara-Kabale-24hr'!J96)</f>
        <v>0</v>
      </c>
      <c r="K96" s="49">
        <f>AVERAGE('31.10 Mbarara-Kabale-24hr'!K96,'2.11 Mbarara-Kabale-24hr'!K96)</f>
        <v>2.5</v>
      </c>
      <c r="L96" s="49">
        <f>AVERAGE('31.10 Mbarara-Kabale-24hr'!L96,'2.11 Mbarara-Kabale-24hr'!L96)</f>
        <v>4.5</v>
      </c>
      <c r="M96" s="49">
        <f>AVERAGE('31.10 Mbarara-Kabale-24hr'!M96,'2.11 Mbarara-Kabale-24hr'!M96)</f>
        <v>0</v>
      </c>
      <c r="N96" s="49">
        <f>AVERAGE('31.10 Mbarara-Kabale-24hr'!N96,'2.11 Mbarara-Kabale-24hr'!N96)</f>
        <v>0</v>
      </c>
      <c r="O96" s="15">
        <f t="shared" si="35"/>
        <v>7</v>
      </c>
      <c r="P96" s="15">
        <f t="shared" si="36"/>
        <v>7</v>
      </c>
      <c r="R96" s="8"/>
      <c r="T96"/>
    </row>
    <row r="97" spans="2:20" ht="23.1" customHeight="1" x14ac:dyDescent="0.25">
      <c r="B97" s="23" t="s">
        <v>137</v>
      </c>
      <c r="C97" s="49">
        <f>AVERAGE('31.10 Mbarara-Kabale-24hr'!C97,'2.11 Mbarara-Kabale-24hr'!C97)</f>
        <v>0</v>
      </c>
      <c r="D97" s="49">
        <f>AVERAGE('31.10 Mbarara-Kabale-24hr'!D97,'2.11 Mbarara-Kabale-24hr'!D97)</f>
        <v>0</v>
      </c>
      <c r="E97" s="49">
        <f>AVERAGE('31.10 Mbarara-Kabale-24hr'!E97,'2.11 Mbarara-Kabale-24hr'!E97)</f>
        <v>0.5</v>
      </c>
      <c r="F97" s="49">
        <f>AVERAGE('31.10 Mbarara-Kabale-24hr'!F97,'2.11 Mbarara-Kabale-24hr'!F97)</f>
        <v>1.5</v>
      </c>
      <c r="G97" s="49">
        <f>AVERAGE('31.10 Mbarara-Kabale-24hr'!G97,'2.11 Mbarara-Kabale-24hr'!G97)</f>
        <v>0</v>
      </c>
      <c r="H97" s="49">
        <f>AVERAGE('31.10 Mbarara-Kabale-24hr'!H97,'2.11 Mbarara-Kabale-24hr'!H97)</f>
        <v>0</v>
      </c>
      <c r="I97" s="49">
        <f>AVERAGE('31.10 Mbarara-Kabale-24hr'!I97,'2.11 Mbarara-Kabale-24hr'!I97)</f>
        <v>0.5</v>
      </c>
      <c r="J97" s="49">
        <f>AVERAGE('31.10 Mbarara-Kabale-24hr'!J97,'2.11 Mbarara-Kabale-24hr'!J97)</f>
        <v>1</v>
      </c>
      <c r="K97" s="49">
        <f>AVERAGE('31.10 Mbarara-Kabale-24hr'!K97,'2.11 Mbarara-Kabale-24hr'!K97)</f>
        <v>2</v>
      </c>
      <c r="L97" s="49">
        <f>AVERAGE('31.10 Mbarara-Kabale-24hr'!L97,'2.11 Mbarara-Kabale-24hr'!L97)</f>
        <v>4.5</v>
      </c>
      <c r="M97" s="49">
        <f>AVERAGE('31.10 Mbarara-Kabale-24hr'!M97,'2.11 Mbarara-Kabale-24hr'!M97)</f>
        <v>0</v>
      </c>
      <c r="N97" s="49">
        <f>AVERAGE('31.10 Mbarara-Kabale-24hr'!N97,'2.11 Mbarara-Kabale-24hr'!N97)</f>
        <v>0</v>
      </c>
      <c r="O97" s="15">
        <f t="shared" si="35"/>
        <v>10</v>
      </c>
      <c r="P97" s="15">
        <f t="shared" si="36"/>
        <v>10</v>
      </c>
      <c r="R97" s="8"/>
      <c r="T97"/>
    </row>
    <row r="98" spans="2:20" ht="23.1" customHeight="1" x14ac:dyDescent="0.25">
      <c r="B98" s="24" t="s">
        <v>138</v>
      </c>
      <c r="C98" s="49">
        <f>AVERAGE('31.10 Mbarara-Kabale-24hr'!C98,'2.11 Mbarara-Kabale-24hr'!C98)</f>
        <v>0.5</v>
      </c>
      <c r="D98" s="49">
        <f>AVERAGE('31.10 Mbarara-Kabale-24hr'!D98,'2.11 Mbarara-Kabale-24hr'!D98)</f>
        <v>0</v>
      </c>
      <c r="E98" s="49">
        <f>AVERAGE('31.10 Mbarara-Kabale-24hr'!E98,'2.11 Mbarara-Kabale-24hr'!E98)</f>
        <v>1</v>
      </c>
      <c r="F98" s="49">
        <f>AVERAGE('31.10 Mbarara-Kabale-24hr'!F98,'2.11 Mbarara-Kabale-24hr'!F98)</f>
        <v>3.5</v>
      </c>
      <c r="G98" s="49">
        <f>AVERAGE('31.10 Mbarara-Kabale-24hr'!G98,'2.11 Mbarara-Kabale-24hr'!G98)</f>
        <v>0</v>
      </c>
      <c r="H98" s="49">
        <f>AVERAGE('31.10 Mbarara-Kabale-24hr'!H98,'2.11 Mbarara-Kabale-24hr'!H98)</f>
        <v>0</v>
      </c>
      <c r="I98" s="49">
        <f>AVERAGE('31.10 Mbarara-Kabale-24hr'!I98,'2.11 Mbarara-Kabale-24hr'!I98)</f>
        <v>0</v>
      </c>
      <c r="J98" s="49">
        <f>AVERAGE('31.10 Mbarara-Kabale-24hr'!J98,'2.11 Mbarara-Kabale-24hr'!J98)</f>
        <v>0</v>
      </c>
      <c r="K98" s="49">
        <f>AVERAGE('31.10 Mbarara-Kabale-24hr'!K98,'2.11 Mbarara-Kabale-24hr'!K98)</f>
        <v>3</v>
      </c>
      <c r="L98" s="49">
        <f>AVERAGE('31.10 Mbarara-Kabale-24hr'!L98,'2.11 Mbarara-Kabale-24hr'!L98)</f>
        <v>4</v>
      </c>
      <c r="M98" s="49">
        <f>AVERAGE('31.10 Mbarara-Kabale-24hr'!M98,'2.11 Mbarara-Kabale-24hr'!M98)</f>
        <v>0</v>
      </c>
      <c r="N98" s="49">
        <f>AVERAGE('31.10 Mbarara-Kabale-24hr'!N98,'2.11 Mbarara-Kabale-24hr'!N98)</f>
        <v>0</v>
      </c>
      <c r="O98" s="15">
        <f t="shared" si="35"/>
        <v>12</v>
      </c>
      <c r="P98" s="15">
        <f t="shared" si="36"/>
        <v>12</v>
      </c>
      <c r="R98" s="8"/>
      <c r="T98"/>
    </row>
    <row r="99" spans="2:20" ht="23.1" customHeight="1" x14ac:dyDescent="0.25">
      <c r="B99" s="23" t="s">
        <v>139</v>
      </c>
      <c r="C99" s="49">
        <f>AVERAGE('31.10 Mbarara-Kabale-24hr'!C99,'2.11 Mbarara-Kabale-24hr'!C99)</f>
        <v>0</v>
      </c>
      <c r="D99" s="49">
        <f>AVERAGE('31.10 Mbarara-Kabale-24hr'!D99,'2.11 Mbarara-Kabale-24hr'!D99)</f>
        <v>1</v>
      </c>
      <c r="E99" s="49">
        <f>AVERAGE('31.10 Mbarara-Kabale-24hr'!E99,'2.11 Mbarara-Kabale-24hr'!E99)</f>
        <v>0.5</v>
      </c>
      <c r="F99" s="49">
        <f>AVERAGE('31.10 Mbarara-Kabale-24hr'!F99,'2.11 Mbarara-Kabale-24hr'!F99)</f>
        <v>1</v>
      </c>
      <c r="G99" s="49">
        <f>AVERAGE('31.10 Mbarara-Kabale-24hr'!G99,'2.11 Mbarara-Kabale-24hr'!G99)</f>
        <v>0</v>
      </c>
      <c r="H99" s="49">
        <f>AVERAGE('31.10 Mbarara-Kabale-24hr'!H99,'2.11 Mbarara-Kabale-24hr'!H99)</f>
        <v>0</v>
      </c>
      <c r="I99" s="49">
        <f>AVERAGE('31.10 Mbarara-Kabale-24hr'!I99,'2.11 Mbarara-Kabale-24hr'!I99)</f>
        <v>0.5</v>
      </c>
      <c r="J99" s="49">
        <f>AVERAGE('31.10 Mbarara-Kabale-24hr'!J99,'2.11 Mbarara-Kabale-24hr'!J99)</f>
        <v>1.5</v>
      </c>
      <c r="K99" s="49">
        <f>AVERAGE('31.10 Mbarara-Kabale-24hr'!K99,'2.11 Mbarara-Kabale-24hr'!K99)</f>
        <v>0.5</v>
      </c>
      <c r="L99" s="49">
        <f>AVERAGE('31.10 Mbarara-Kabale-24hr'!L99,'2.11 Mbarara-Kabale-24hr'!L99)</f>
        <v>3</v>
      </c>
      <c r="M99" s="49">
        <f>AVERAGE('31.10 Mbarara-Kabale-24hr'!M99,'2.11 Mbarara-Kabale-24hr'!M99)</f>
        <v>0</v>
      </c>
      <c r="N99" s="49">
        <f>AVERAGE('31.10 Mbarara-Kabale-24hr'!N99,'2.11 Mbarara-Kabale-24hr'!N99)</f>
        <v>0</v>
      </c>
      <c r="O99" s="15">
        <f t="shared" si="35"/>
        <v>8</v>
      </c>
      <c r="P99" s="15">
        <f t="shared" si="36"/>
        <v>8</v>
      </c>
      <c r="R99" s="8"/>
      <c r="T99"/>
    </row>
    <row r="100" spans="2:20" ht="23.1" customHeight="1" x14ac:dyDescent="0.25">
      <c r="B100" s="25" t="s">
        <v>140</v>
      </c>
      <c r="C100" s="49">
        <f>AVERAGE('31.10 Mbarara-Kabale-24hr'!C100,'2.11 Mbarara-Kabale-24hr'!C100)</f>
        <v>1</v>
      </c>
      <c r="D100" s="49">
        <f>AVERAGE('31.10 Mbarara-Kabale-24hr'!D100,'2.11 Mbarara-Kabale-24hr'!D100)</f>
        <v>0</v>
      </c>
      <c r="E100" s="49">
        <f>AVERAGE('31.10 Mbarara-Kabale-24hr'!E100,'2.11 Mbarara-Kabale-24hr'!E100)</f>
        <v>2</v>
      </c>
      <c r="F100" s="49">
        <f>AVERAGE('31.10 Mbarara-Kabale-24hr'!F100,'2.11 Mbarara-Kabale-24hr'!F100)</f>
        <v>0</v>
      </c>
      <c r="G100" s="49">
        <f>AVERAGE('31.10 Mbarara-Kabale-24hr'!G100,'2.11 Mbarara-Kabale-24hr'!G100)</f>
        <v>0</v>
      </c>
      <c r="H100" s="49">
        <f>AVERAGE('31.10 Mbarara-Kabale-24hr'!H100,'2.11 Mbarara-Kabale-24hr'!H100)</f>
        <v>0</v>
      </c>
      <c r="I100" s="49">
        <f>AVERAGE('31.10 Mbarara-Kabale-24hr'!I100,'2.11 Mbarara-Kabale-24hr'!I100)</f>
        <v>0</v>
      </c>
      <c r="J100" s="49">
        <f>AVERAGE('31.10 Mbarara-Kabale-24hr'!J100,'2.11 Mbarara-Kabale-24hr'!J100)</f>
        <v>0</v>
      </c>
      <c r="K100" s="49">
        <f>AVERAGE('31.10 Mbarara-Kabale-24hr'!K100,'2.11 Mbarara-Kabale-24hr'!K100)</f>
        <v>2.5</v>
      </c>
      <c r="L100" s="49">
        <f>AVERAGE('31.10 Mbarara-Kabale-24hr'!L100,'2.11 Mbarara-Kabale-24hr'!L100)</f>
        <v>5</v>
      </c>
      <c r="M100" s="49">
        <f>AVERAGE('31.10 Mbarara-Kabale-24hr'!M100,'2.11 Mbarara-Kabale-24hr'!M100)</f>
        <v>1</v>
      </c>
      <c r="N100" s="49">
        <f>AVERAGE('31.10 Mbarara-Kabale-24hr'!N100,'2.11 Mbarara-Kabale-24hr'!N100)</f>
        <v>0</v>
      </c>
      <c r="O100" s="15">
        <f t="shared" si="35"/>
        <v>10.5</v>
      </c>
      <c r="P100" s="15">
        <f t="shared" si="36"/>
        <v>11.5</v>
      </c>
      <c r="R100" s="8"/>
      <c r="T100"/>
    </row>
    <row r="101" spans="2:20" ht="23.1" customHeight="1" x14ac:dyDescent="0.25">
      <c r="B101" s="23" t="s">
        <v>141</v>
      </c>
      <c r="C101" s="49">
        <f>AVERAGE('31.10 Mbarara-Kabale-24hr'!C101,'2.11 Mbarara-Kabale-24hr'!C101)</f>
        <v>1.5</v>
      </c>
      <c r="D101" s="49">
        <f>AVERAGE('31.10 Mbarara-Kabale-24hr'!D101,'2.11 Mbarara-Kabale-24hr'!D101)</f>
        <v>2.5</v>
      </c>
      <c r="E101" s="49">
        <f>AVERAGE('31.10 Mbarara-Kabale-24hr'!E101,'2.11 Mbarara-Kabale-24hr'!E101)</f>
        <v>3</v>
      </c>
      <c r="F101" s="49">
        <f>AVERAGE('31.10 Mbarara-Kabale-24hr'!F101,'2.11 Mbarara-Kabale-24hr'!F101)</f>
        <v>2.5</v>
      </c>
      <c r="G101" s="49">
        <f>AVERAGE('31.10 Mbarara-Kabale-24hr'!G101,'2.11 Mbarara-Kabale-24hr'!G101)</f>
        <v>0</v>
      </c>
      <c r="H101" s="49">
        <f>AVERAGE('31.10 Mbarara-Kabale-24hr'!H101,'2.11 Mbarara-Kabale-24hr'!H101)</f>
        <v>0</v>
      </c>
      <c r="I101" s="49">
        <f>AVERAGE('31.10 Mbarara-Kabale-24hr'!I101,'2.11 Mbarara-Kabale-24hr'!I101)</f>
        <v>0</v>
      </c>
      <c r="J101" s="49">
        <f>AVERAGE('31.10 Mbarara-Kabale-24hr'!J101,'2.11 Mbarara-Kabale-24hr'!J101)</f>
        <v>0.5</v>
      </c>
      <c r="K101" s="49">
        <f>AVERAGE('31.10 Mbarara-Kabale-24hr'!K101,'2.11 Mbarara-Kabale-24hr'!K101)</f>
        <v>3</v>
      </c>
      <c r="L101" s="49">
        <f>AVERAGE('31.10 Mbarara-Kabale-24hr'!L101,'2.11 Mbarara-Kabale-24hr'!L101)</f>
        <v>2</v>
      </c>
      <c r="M101" s="49">
        <f>AVERAGE('31.10 Mbarara-Kabale-24hr'!M101,'2.11 Mbarara-Kabale-24hr'!M101)</f>
        <v>2</v>
      </c>
      <c r="N101" s="49">
        <f>AVERAGE('31.10 Mbarara-Kabale-24hr'!N101,'2.11 Mbarara-Kabale-24hr'!N101)</f>
        <v>0</v>
      </c>
      <c r="O101" s="15">
        <f t="shared" si="35"/>
        <v>15</v>
      </c>
      <c r="P101" s="15">
        <f t="shared" si="36"/>
        <v>17</v>
      </c>
      <c r="R101" s="8"/>
      <c r="T101"/>
    </row>
    <row r="102" spans="2:20" ht="23.1" customHeight="1" x14ac:dyDescent="0.25">
      <c r="B102" s="24" t="s">
        <v>142</v>
      </c>
      <c r="C102" s="49">
        <f>AVERAGE('31.10 Mbarara-Kabale-24hr'!C102,'2.11 Mbarara-Kabale-24hr'!C102)</f>
        <v>3</v>
      </c>
      <c r="D102" s="49">
        <f>AVERAGE('31.10 Mbarara-Kabale-24hr'!D102,'2.11 Mbarara-Kabale-24hr'!D102)</f>
        <v>1</v>
      </c>
      <c r="E102" s="49">
        <f>AVERAGE('31.10 Mbarara-Kabale-24hr'!E102,'2.11 Mbarara-Kabale-24hr'!E102)</f>
        <v>0.5</v>
      </c>
      <c r="F102" s="49">
        <f>AVERAGE('31.10 Mbarara-Kabale-24hr'!F102,'2.11 Mbarara-Kabale-24hr'!F102)</f>
        <v>5</v>
      </c>
      <c r="G102" s="49">
        <f>AVERAGE('31.10 Mbarara-Kabale-24hr'!G102,'2.11 Mbarara-Kabale-24hr'!G102)</f>
        <v>0</v>
      </c>
      <c r="H102" s="49">
        <f>AVERAGE('31.10 Mbarara-Kabale-24hr'!H102,'2.11 Mbarara-Kabale-24hr'!H102)</f>
        <v>0</v>
      </c>
      <c r="I102" s="49">
        <f>AVERAGE('31.10 Mbarara-Kabale-24hr'!I102,'2.11 Mbarara-Kabale-24hr'!I102)</f>
        <v>0</v>
      </c>
      <c r="J102" s="49">
        <f>AVERAGE('31.10 Mbarara-Kabale-24hr'!J102,'2.11 Mbarara-Kabale-24hr'!J102)</f>
        <v>1.5</v>
      </c>
      <c r="K102" s="49">
        <f>AVERAGE('31.10 Mbarara-Kabale-24hr'!K102,'2.11 Mbarara-Kabale-24hr'!K102)</f>
        <v>1.5</v>
      </c>
      <c r="L102" s="49">
        <f>AVERAGE('31.10 Mbarara-Kabale-24hr'!L102,'2.11 Mbarara-Kabale-24hr'!L102)</f>
        <v>5</v>
      </c>
      <c r="M102" s="49">
        <f>AVERAGE('31.10 Mbarara-Kabale-24hr'!M102,'2.11 Mbarara-Kabale-24hr'!M102)</f>
        <v>2.5</v>
      </c>
      <c r="N102" s="49">
        <f>AVERAGE('31.10 Mbarara-Kabale-24hr'!N102,'2.11 Mbarara-Kabale-24hr'!N102)</f>
        <v>0</v>
      </c>
      <c r="O102" s="15">
        <f t="shared" si="35"/>
        <v>17.5</v>
      </c>
      <c r="P102" s="15">
        <f t="shared" si="36"/>
        <v>20</v>
      </c>
      <c r="R102" s="8"/>
      <c r="T102"/>
    </row>
    <row r="103" spans="2:20" ht="23.1" customHeight="1" x14ac:dyDescent="0.25">
      <c r="B103" s="23" t="s">
        <v>143</v>
      </c>
      <c r="C103" s="49">
        <f>AVERAGE('31.10 Mbarara-Kabale-24hr'!C103,'2.11 Mbarara-Kabale-24hr'!C103)</f>
        <v>1</v>
      </c>
      <c r="D103" s="49">
        <f>AVERAGE('31.10 Mbarara-Kabale-24hr'!D103,'2.11 Mbarara-Kabale-24hr'!D103)</f>
        <v>2</v>
      </c>
      <c r="E103" s="49">
        <f>AVERAGE('31.10 Mbarara-Kabale-24hr'!E103,'2.11 Mbarara-Kabale-24hr'!E103)</f>
        <v>1.5</v>
      </c>
      <c r="F103" s="49">
        <f>AVERAGE('31.10 Mbarara-Kabale-24hr'!F103,'2.11 Mbarara-Kabale-24hr'!F103)</f>
        <v>3</v>
      </c>
      <c r="G103" s="49">
        <f>AVERAGE('31.10 Mbarara-Kabale-24hr'!G103,'2.11 Mbarara-Kabale-24hr'!G103)</f>
        <v>0</v>
      </c>
      <c r="H103" s="49">
        <f>AVERAGE('31.10 Mbarara-Kabale-24hr'!H103,'2.11 Mbarara-Kabale-24hr'!H103)</f>
        <v>0</v>
      </c>
      <c r="I103" s="49">
        <f>AVERAGE('31.10 Mbarara-Kabale-24hr'!I103,'2.11 Mbarara-Kabale-24hr'!I103)</f>
        <v>1</v>
      </c>
      <c r="J103" s="49">
        <f>AVERAGE('31.10 Mbarara-Kabale-24hr'!J103,'2.11 Mbarara-Kabale-24hr'!J103)</f>
        <v>0.5</v>
      </c>
      <c r="K103" s="49">
        <f>AVERAGE('31.10 Mbarara-Kabale-24hr'!K103,'2.11 Mbarara-Kabale-24hr'!K103)</f>
        <v>0</v>
      </c>
      <c r="L103" s="49">
        <f>AVERAGE('31.10 Mbarara-Kabale-24hr'!L103,'2.11 Mbarara-Kabale-24hr'!L103)</f>
        <v>2.5</v>
      </c>
      <c r="M103" s="49">
        <f>AVERAGE('31.10 Mbarara-Kabale-24hr'!M103,'2.11 Mbarara-Kabale-24hr'!M103)</f>
        <v>1</v>
      </c>
      <c r="N103" s="49">
        <f>AVERAGE('31.10 Mbarara-Kabale-24hr'!N103,'2.11 Mbarara-Kabale-24hr'!N103)</f>
        <v>0</v>
      </c>
      <c r="O103" s="15">
        <f t="shared" si="35"/>
        <v>11.5</v>
      </c>
      <c r="P103" s="15">
        <f t="shared" si="36"/>
        <v>12.5</v>
      </c>
      <c r="R103" s="8"/>
      <c r="T103"/>
    </row>
    <row r="104" spans="2:20" ht="23.1" customHeight="1" x14ac:dyDescent="0.25">
      <c r="B104" s="25" t="s">
        <v>144</v>
      </c>
      <c r="C104" s="49">
        <f>AVERAGE('31.10 Mbarara-Kabale-24hr'!C104,'2.11 Mbarara-Kabale-24hr'!C104)</f>
        <v>0</v>
      </c>
      <c r="D104" s="49">
        <f>AVERAGE('31.10 Mbarara-Kabale-24hr'!D104,'2.11 Mbarara-Kabale-24hr'!D104)</f>
        <v>1</v>
      </c>
      <c r="E104" s="49">
        <f>AVERAGE('31.10 Mbarara-Kabale-24hr'!E104,'2.11 Mbarara-Kabale-24hr'!E104)</f>
        <v>0.5</v>
      </c>
      <c r="F104" s="49">
        <f>AVERAGE('31.10 Mbarara-Kabale-24hr'!F104,'2.11 Mbarara-Kabale-24hr'!F104)</f>
        <v>0</v>
      </c>
      <c r="G104" s="49">
        <f>AVERAGE('31.10 Mbarara-Kabale-24hr'!G104,'2.11 Mbarara-Kabale-24hr'!G104)</f>
        <v>1</v>
      </c>
      <c r="H104" s="49">
        <f>AVERAGE('31.10 Mbarara-Kabale-24hr'!H104,'2.11 Mbarara-Kabale-24hr'!H104)</f>
        <v>0</v>
      </c>
      <c r="I104" s="49">
        <f>AVERAGE('31.10 Mbarara-Kabale-24hr'!I104,'2.11 Mbarara-Kabale-24hr'!I104)</f>
        <v>0.5</v>
      </c>
      <c r="J104" s="49">
        <f>AVERAGE('31.10 Mbarara-Kabale-24hr'!J104,'2.11 Mbarara-Kabale-24hr'!J104)</f>
        <v>2</v>
      </c>
      <c r="K104" s="49">
        <f>AVERAGE('31.10 Mbarara-Kabale-24hr'!K104,'2.11 Mbarara-Kabale-24hr'!K104)</f>
        <v>2.5</v>
      </c>
      <c r="L104" s="49">
        <f>AVERAGE('31.10 Mbarara-Kabale-24hr'!L104,'2.11 Mbarara-Kabale-24hr'!L104)</f>
        <v>3.5</v>
      </c>
      <c r="M104" s="49">
        <f>AVERAGE('31.10 Mbarara-Kabale-24hr'!M104,'2.11 Mbarara-Kabale-24hr'!M104)</f>
        <v>6.5</v>
      </c>
      <c r="N104" s="49">
        <f>AVERAGE('31.10 Mbarara-Kabale-24hr'!N104,'2.11 Mbarara-Kabale-24hr'!N104)</f>
        <v>0</v>
      </c>
      <c r="O104" s="15">
        <f t="shared" si="35"/>
        <v>11</v>
      </c>
      <c r="P104" s="15">
        <f t="shared" si="36"/>
        <v>17.5</v>
      </c>
      <c r="R104" s="8"/>
      <c r="T104"/>
    </row>
    <row r="105" spans="2:20" ht="23.1" customHeight="1" x14ac:dyDescent="0.25">
      <c r="B105" s="23" t="s">
        <v>145</v>
      </c>
      <c r="C105" s="49">
        <f>AVERAGE('31.10 Mbarara-Kabale-24hr'!C105,'2.11 Mbarara-Kabale-24hr'!C105)</f>
        <v>3.5</v>
      </c>
      <c r="D105" s="49">
        <f>AVERAGE('31.10 Mbarara-Kabale-24hr'!D105,'2.11 Mbarara-Kabale-24hr'!D105)</f>
        <v>3</v>
      </c>
      <c r="E105" s="49">
        <f>AVERAGE('31.10 Mbarara-Kabale-24hr'!E105,'2.11 Mbarara-Kabale-24hr'!E105)</f>
        <v>5</v>
      </c>
      <c r="F105" s="49">
        <f>AVERAGE('31.10 Mbarara-Kabale-24hr'!F105,'2.11 Mbarara-Kabale-24hr'!F105)</f>
        <v>9.5</v>
      </c>
      <c r="G105" s="49">
        <f>AVERAGE('31.10 Mbarara-Kabale-24hr'!G105,'2.11 Mbarara-Kabale-24hr'!G105)</f>
        <v>0</v>
      </c>
      <c r="H105" s="49">
        <f>AVERAGE('31.10 Mbarara-Kabale-24hr'!H105,'2.11 Mbarara-Kabale-24hr'!H105)</f>
        <v>0</v>
      </c>
      <c r="I105" s="49">
        <f>AVERAGE('31.10 Mbarara-Kabale-24hr'!I105,'2.11 Mbarara-Kabale-24hr'!I105)</f>
        <v>0.5</v>
      </c>
      <c r="J105" s="49">
        <f>AVERAGE('31.10 Mbarara-Kabale-24hr'!J105,'2.11 Mbarara-Kabale-24hr'!J105)</f>
        <v>2.5</v>
      </c>
      <c r="K105" s="49">
        <f>AVERAGE('31.10 Mbarara-Kabale-24hr'!K105,'2.11 Mbarara-Kabale-24hr'!K105)</f>
        <v>0.5</v>
      </c>
      <c r="L105" s="49">
        <f>AVERAGE('31.10 Mbarara-Kabale-24hr'!L105,'2.11 Mbarara-Kabale-24hr'!L105)</f>
        <v>7.5</v>
      </c>
      <c r="M105" s="49">
        <f>AVERAGE('31.10 Mbarara-Kabale-24hr'!M105,'2.11 Mbarara-Kabale-24hr'!M105)</f>
        <v>5</v>
      </c>
      <c r="N105" s="49">
        <f>AVERAGE('31.10 Mbarara-Kabale-24hr'!N105,'2.11 Mbarara-Kabale-24hr'!N105)</f>
        <v>0</v>
      </c>
      <c r="O105" s="15">
        <f t="shared" si="35"/>
        <v>32</v>
      </c>
      <c r="P105" s="15">
        <f t="shared" si="36"/>
        <v>37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440.85714285714289</v>
      </c>
      <c r="D106" s="16">
        <f t="shared" ref="D106:P106" si="37">SUM(D10:D105)</f>
        <v>195.78571428571433</v>
      </c>
      <c r="E106" s="16">
        <f t="shared" si="37"/>
        <v>151.42857142857144</v>
      </c>
      <c r="F106" s="16">
        <f t="shared" si="37"/>
        <v>356.64285714285728</v>
      </c>
      <c r="G106" s="16">
        <f t="shared" si="37"/>
        <v>18.428571428571431</v>
      </c>
      <c r="H106" s="16">
        <f t="shared" si="37"/>
        <v>32.785714285714292</v>
      </c>
      <c r="I106" s="16">
        <f t="shared" si="37"/>
        <v>103.07142857142856</v>
      </c>
      <c r="J106" s="16">
        <f t="shared" si="37"/>
        <v>113.57142857142858</v>
      </c>
      <c r="K106" s="16">
        <f t="shared" si="37"/>
        <v>146.85714285714286</v>
      </c>
      <c r="L106" s="16">
        <f t="shared" si="37"/>
        <v>262.14285714285711</v>
      </c>
      <c r="M106" s="16">
        <f t="shared" si="37"/>
        <v>792.71428571428578</v>
      </c>
      <c r="N106" s="16">
        <f t="shared" si="37"/>
        <v>1.1428571428571428</v>
      </c>
      <c r="O106" s="16">
        <f t="shared" si="37"/>
        <v>1822.714285714286</v>
      </c>
      <c r="P106" s="16">
        <f t="shared" si="37"/>
        <v>2615.4285714285716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0.1685601922656762</v>
      </c>
      <c r="D107" s="43">
        <f t="shared" si="38"/>
        <v>7.4857985580074296E-2</v>
      </c>
      <c r="E107" s="43">
        <f t="shared" si="38"/>
        <v>5.7898186585099411E-2</v>
      </c>
      <c r="F107" s="43">
        <f t="shared" si="38"/>
        <v>0.13636115359405729</v>
      </c>
      <c r="G107" s="43">
        <f t="shared" si="38"/>
        <v>7.0461000655451175E-3</v>
      </c>
      <c r="H107" s="43">
        <f t="shared" si="38"/>
        <v>1.2535503604981431E-2</v>
      </c>
      <c r="I107" s="43">
        <f t="shared" si="38"/>
        <v>3.9409001529386055E-2</v>
      </c>
      <c r="J107" s="43">
        <f t="shared" si="38"/>
        <v>4.342363993882456E-2</v>
      </c>
      <c r="K107" s="43">
        <f t="shared" si="38"/>
        <v>5.6150316801398294E-2</v>
      </c>
      <c r="L107" s="43">
        <f t="shared" si="38"/>
        <v>0.10022940790911075</v>
      </c>
      <c r="M107" s="43">
        <f t="shared" si="38"/>
        <v>0.30309154467992133</v>
      </c>
      <c r="N107" s="43">
        <f t="shared" si="38"/>
        <v>4.3696744592527855E-4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0.24186848499098673</v>
      </c>
      <c r="D108" s="44">
        <f t="shared" ref="D108:N108" si="39">D106/$O$106</f>
        <v>0.10741437416725449</v>
      </c>
      <c r="E108" s="44">
        <f t="shared" si="39"/>
        <v>8.3078611176424483E-2</v>
      </c>
      <c r="F108" s="44">
        <f t="shared" si="39"/>
        <v>0.19566580453013563</v>
      </c>
      <c r="G108" s="44">
        <f t="shared" si="39"/>
        <v>1.01105102280743E-2</v>
      </c>
      <c r="H108" s="44">
        <f t="shared" si="39"/>
        <v>1.7987303080178697E-2</v>
      </c>
      <c r="I108" s="44">
        <f t="shared" si="39"/>
        <v>5.6548318833764384E-2</v>
      </c>
      <c r="J108" s="44">
        <f t="shared" si="39"/>
        <v>6.2308958382318362E-2</v>
      </c>
      <c r="K108" s="44">
        <f t="shared" si="39"/>
        <v>8.0570577631475807E-2</v>
      </c>
      <c r="L108" s="44">
        <f t="shared" si="39"/>
        <v>0.1438200485931499</v>
      </c>
      <c r="M108" s="44"/>
      <c r="N108" s="44">
        <f t="shared" si="39"/>
        <v>6.2700838623716581E-4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2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L64" zoomScale="60" workbookViewId="0">
      <selection activeCell="AD57" sqref="AD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'1.11 Kabale-Mbarara'!C3:G3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9.25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'1.11 Kabale-Mbarara'!G5:H5</f>
        <v>Nyeihanga traffic station</v>
      </c>
      <c r="H5" s="64"/>
      <c r="I5" s="14"/>
      <c r="J5" s="2" t="s">
        <v>5</v>
      </c>
      <c r="K5" s="63" t="s">
        <v>186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'1.11 Kabale-Mbarara'!D6:E6</f>
        <v>Kabale</v>
      </c>
      <c r="E6" s="64"/>
      <c r="F6" s="2" t="s">
        <v>2</v>
      </c>
      <c r="G6" s="63" t="str">
        <f>'1.11 Kabale-Mbarara'!G6:H6</f>
        <v>Mbarara</v>
      </c>
      <c r="H6" s="64"/>
      <c r="J6" s="2" t="s">
        <v>21</v>
      </c>
      <c r="K6" s="63" t="str">
        <f>'1.11 Kabale-Mbarara'!K6:L6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AVERAGE('27.10 Kabale-Mbarara'!C10,'28.10 Kabale-Mbarara'!C10,'29.10 Kabale-Mbarara'!C10,'30.10 Kabale -Mbarara'!C10,'31.10 Kabale-Mbarara-24hr'!C10,'1.11 Kabale-Mbarara'!C10,'2.11 Kabale-Mbarara-24hr'!C10)</f>
        <v>4.1428571428571432</v>
      </c>
      <c r="D10" s="49">
        <f>AVERAGE('27.10 Kabale-Mbarara'!D10,'28.10 Kabale-Mbarara'!D10,'29.10 Kabale-Mbarara'!D10,'30.10 Kabale -Mbarara'!D10,'31.10 Kabale-Mbarara-24hr'!D10,'1.11 Kabale-Mbarara'!D10,'2.11 Kabale-Mbarara-24hr'!D10)</f>
        <v>1.7142857142857142</v>
      </c>
      <c r="E10" s="49">
        <f>AVERAGE('27.10 Kabale-Mbarara'!E10,'28.10 Kabale-Mbarara'!E10,'29.10 Kabale-Mbarara'!E10,'30.10 Kabale -Mbarara'!E10,'31.10 Kabale-Mbarara-24hr'!E10,'1.11 Kabale-Mbarara'!E10,'2.11 Kabale-Mbarara-24hr'!E10)</f>
        <v>0.5714285714285714</v>
      </c>
      <c r="F10" s="49">
        <f>AVERAGE('27.10 Kabale-Mbarara'!F10,'28.10 Kabale-Mbarara'!F10,'29.10 Kabale-Mbarara'!F10,'30.10 Kabale -Mbarara'!F10,'31.10 Kabale-Mbarara-24hr'!F10,'1.11 Kabale-Mbarara'!F10,'2.11 Kabale-Mbarara-24hr'!F10)</f>
        <v>4.5714285714285712</v>
      </c>
      <c r="G10" s="49">
        <f>AVERAGE('27.10 Kabale-Mbarara'!G10,'28.10 Kabale-Mbarara'!G10,'29.10 Kabale-Mbarara'!G10,'30.10 Kabale -Mbarara'!G10,'31.10 Kabale-Mbarara-24hr'!G10,'1.11 Kabale-Mbarara'!G10,'2.11 Kabale-Mbarara-24hr'!G10)</f>
        <v>0</v>
      </c>
      <c r="H10" s="49">
        <f>AVERAGE('27.10 Kabale-Mbarara'!H10,'28.10 Kabale-Mbarara'!H10,'29.10 Kabale-Mbarara'!H10,'30.10 Kabale -Mbarara'!H10,'31.10 Kabale-Mbarara-24hr'!H10,'1.11 Kabale-Mbarara'!H10,'2.11 Kabale-Mbarara-24hr'!H10)</f>
        <v>0</v>
      </c>
      <c r="I10" s="49">
        <f>AVERAGE('27.10 Kabale-Mbarara'!I10,'28.10 Kabale-Mbarara'!I10,'29.10 Kabale-Mbarara'!I10,'30.10 Kabale -Mbarara'!I10,'31.10 Kabale-Mbarara-24hr'!I10,'1.11 Kabale-Mbarara'!I10,'2.11 Kabale-Mbarara-24hr'!I10)</f>
        <v>0.8571428571428571</v>
      </c>
      <c r="J10" s="49">
        <f>AVERAGE('27.10 Kabale-Mbarara'!J10,'28.10 Kabale-Mbarara'!J10,'29.10 Kabale-Mbarara'!J10,'30.10 Kabale -Mbarara'!J10,'31.10 Kabale-Mbarara-24hr'!J10,'1.11 Kabale-Mbarara'!J10,'2.11 Kabale-Mbarara-24hr'!J10)</f>
        <v>0</v>
      </c>
      <c r="K10" s="49">
        <f>AVERAGE('27.10 Kabale-Mbarara'!K10,'28.10 Kabale-Mbarara'!K10,'29.10 Kabale-Mbarara'!K10,'30.10 Kabale -Mbarara'!K10,'31.10 Kabale-Mbarara-24hr'!K10,'1.11 Kabale-Mbarara'!K10,'2.11 Kabale-Mbarara-24hr'!K10)</f>
        <v>0.7142857142857143</v>
      </c>
      <c r="L10" s="49">
        <f>AVERAGE('27.10 Kabale-Mbarara'!L10,'28.10 Kabale-Mbarara'!L10,'29.10 Kabale-Mbarara'!L10,'30.10 Kabale -Mbarara'!L10,'31.10 Kabale-Mbarara-24hr'!L10,'1.11 Kabale-Mbarara'!L10,'2.11 Kabale-Mbarara-24hr'!L10)</f>
        <v>1.8571428571428572</v>
      </c>
      <c r="M10" s="49">
        <f>AVERAGE('27.10 Kabale-Mbarara'!M10,'28.10 Kabale-Mbarara'!M10,'29.10 Kabale-Mbarara'!M10,'30.10 Kabale -Mbarara'!M10,'31.10 Kabale-Mbarara-24hr'!M10,'1.11 Kabale-Mbarara'!M10,'2.11 Kabale-Mbarara-24hr'!M10)</f>
        <v>9.7142857142857135</v>
      </c>
      <c r="N10" s="49">
        <f>AVERAGE('27.10 Kabale-Mbarara'!N10,'28.10 Kabale-Mbarara'!N10,'29.10 Kabale-Mbarara'!N10,'30.10 Kabale -Mbarara'!N10,'31.10 Kabale-Mbarara-24hr'!N10,'1.11 Kabale-Mbarara'!N10,'2.11 Kabale-Mbarara-24hr'!N10)</f>
        <v>0</v>
      </c>
      <c r="O10" s="15">
        <f t="shared" ref="O10:O73" si="0">SUM(C10:L10,N10)</f>
        <v>14.428571428571429</v>
      </c>
      <c r="P10" s="15">
        <f t="shared" ref="P10:P73" si="1">SUM(C10:N10)</f>
        <v>24.142857142857142</v>
      </c>
      <c r="R10" s="1" t="s">
        <v>6</v>
      </c>
      <c r="S10" s="17">
        <f t="shared" ref="S10:AF10" si="2">SUM(C10:C13)</f>
        <v>19.428571428571427</v>
      </c>
      <c r="T10" s="17">
        <f t="shared" si="2"/>
        <v>5.1428571428571432</v>
      </c>
      <c r="U10" s="17">
        <f t="shared" si="2"/>
        <v>3.8571428571428572</v>
      </c>
      <c r="V10" s="17">
        <f t="shared" si="2"/>
        <v>20.285714285714285</v>
      </c>
      <c r="W10" s="17">
        <f t="shared" si="2"/>
        <v>0.14285714285714285</v>
      </c>
      <c r="X10" s="17">
        <f t="shared" si="2"/>
        <v>0.85714285714285721</v>
      </c>
      <c r="Y10" s="17">
        <f t="shared" si="2"/>
        <v>3.1428571428571428</v>
      </c>
      <c r="Z10" s="17">
        <f t="shared" si="2"/>
        <v>2.7142857142857144</v>
      </c>
      <c r="AA10" s="17">
        <f t="shared" si="2"/>
        <v>2.5714285714285712</v>
      </c>
      <c r="AB10" s="17">
        <f t="shared" si="2"/>
        <v>7.2857142857142856</v>
      </c>
      <c r="AC10" s="17">
        <f t="shared" si="2"/>
        <v>52.857142857142854</v>
      </c>
      <c r="AD10" s="17">
        <f t="shared" si="2"/>
        <v>0</v>
      </c>
      <c r="AE10" s="31">
        <f t="shared" si="2"/>
        <v>65.428571428571431</v>
      </c>
      <c r="AF10" s="31">
        <f t="shared" si="2"/>
        <v>118.28571428571429</v>
      </c>
    </row>
    <row r="11" spans="2:32" s="6" customFormat="1" ht="23.1" customHeight="1" x14ac:dyDescent="0.25">
      <c r="B11" s="23" t="s">
        <v>38</v>
      </c>
      <c r="C11" s="49">
        <f>AVERAGE('27.10 Kabale-Mbarara'!C11,'28.10 Kabale-Mbarara'!C11,'29.10 Kabale-Mbarara'!C11,'30.10 Kabale -Mbarara'!C11,'31.10 Kabale-Mbarara-24hr'!C11,'1.11 Kabale-Mbarara'!C11,'2.11 Kabale-Mbarara-24hr'!C11)</f>
        <v>5.1428571428571432</v>
      </c>
      <c r="D11" s="49">
        <f>AVERAGE('27.10 Kabale-Mbarara'!D11,'28.10 Kabale-Mbarara'!D11,'29.10 Kabale-Mbarara'!D11,'30.10 Kabale -Mbarara'!D11,'31.10 Kabale-Mbarara-24hr'!D11,'1.11 Kabale-Mbarara'!D11,'2.11 Kabale-Mbarara-24hr'!D11)</f>
        <v>1</v>
      </c>
      <c r="E11" s="49">
        <f>AVERAGE('27.10 Kabale-Mbarara'!E11,'28.10 Kabale-Mbarara'!E11,'29.10 Kabale-Mbarara'!E11,'30.10 Kabale -Mbarara'!E11,'31.10 Kabale-Mbarara-24hr'!E11,'1.11 Kabale-Mbarara'!E11,'2.11 Kabale-Mbarara-24hr'!E11)</f>
        <v>1.2857142857142858</v>
      </c>
      <c r="F11" s="49">
        <f>AVERAGE('27.10 Kabale-Mbarara'!F11,'28.10 Kabale-Mbarara'!F11,'29.10 Kabale-Mbarara'!F11,'30.10 Kabale -Mbarara'!F11,'31.10 Kabale-Mbarara-24hr'!F11,'1.11 Kabale-Mbarara'!F11,'2.11 Kabale-Mbarara-24hr'!F11)</f>
        <v>5.1428571428571432</v>
      </c>
      <c r="G11" s="49">
        <f>AVERAGE('27.10 Kabale-Mbarara'!G11,'28.10 Kabale-Mbarara'!G11,'29.10 Kabale-Mbarara'!G11,'30.10 Kabale -Mbarara'!G11,'31.10 Kabale-Mbarara-24hr'!G11,'1.11 Kabale-Mbarara'!G11,'2.11 Kabale-Mbarara-24hr'!G11)</f>
        <v>0</v>
      </c>
      <c r="H11" s="49">
        <f>AVERAGE('27.10 Kabale-Mbarara'!H11,'28.10 Kabale-Mbarara'!H11,'29.10 Kabale-Mbarara'!H11,'30.10 Kabale -Mbarara'!H11,'31.10 Kabale-Mbarara-24hr'!H11,'1.11 Kabale-Mbarara'!H11,'2.11 Kabale-Mbarara-24hr'!H11)</f>
        <v>0</v>
      </c>
      <c r="I11" s="49">
        <f>AVERAGE('27.10 Kabale-Mbarara'!I11,'28.10 Kabale-Mbarara'!I11,'29.10 Kabale-Mbarara'!I11,'30.10 Kabale -Mbarara'!I11,'31.10 Kabale-Mbarara-24hr'!I11,'1.11 Kabale-Mbarara'!I11,'2.11 Kabale-Mbarara-24hr'!I11)</f>
        <v>0.42857142857142855</v>
      </c>
      <c r="J11" s="49">
        <f>AVERAGE('27.10 Kabale-Mbarara'!J11,'28.10 Kabale-Mbarara'!J11,'29.10 Kabale-Mbarara'!J11,'30.10 Kabale -Mbarara'!J11,'31.10 Kabale-Mbarara-24hr'!J11,'1.11 Kabale-Mbarara'!J11,'2.11 Kabale-Mbarara-24hr'!J11)</f>
        <v>0.8571428571428571</v>
      </c>
      <c r="K11" s="49">
        <f>AVERAGE('27.10 Kabale-Mbarara'!K11,'28.10 Kabale-Mbarara'!K11,'29.10 Kabale-Mbarara'!K11,'30.10 Kabale -Mbarara'!K11,'31.10 Kabale-Mbarara-24hr'!K11,'1.11 Kabale-Mbarara'!K11,'2.11 Kabale-Mbarara-24hr'!K11)</f>
        <v>0.2857142857142857</v>
      </c>
      <c r="L11" s="49">
        <f>AVERAGE('27.10 Kabale-Mbarara'!L11,'28.10 Kabale-Mbarara'!L11,'29.10 Kabale-Mbarara'!L11,'30.10 Kabale -Mbarara'!L11,'31.10 Kabale-Mbarara-24hr'!L11,'1.11 Kabale-Mbarara'!L11,'2.11 Kabale-Mbarara-24hr'!L11)</f>
        <v>1.1428571428571428</v>
      </c>
      <c r="M11" s="49">
        <f>AVERAGE('27.10 Kabale-Mbarara'!M11,'28.10 Kabale-Mbarara'!M11,'29.10 Kabale-Mbarara'!M11,'30.10 Kabale -Mbarara'!M11,'31.10 Kabale-Mbarara-24hr'!M11,'1.11 Kabale-Mbarara'!M11,'2.11 Kabale-Mbarara-24hr'!M11)</f>
        <v>16.571428571428573</v>
      </c>
      <c r="N11" s="49">
        <f>AVERAGE('27.10 Kabale-Mbarara'!N11,'28.10 Kabale-Mbarara'!N11,'29.10 Kabale-Mbarara'!N11,'30.10 Kabale -Mbarara'!N11,'31.10 Kabale-Mbarara-24hr'!N11,'1.11 Kabale-Mbarara'!N11,'2.11 Kabale-Mbarara-24hr'!N11)</f>
        <v>0</v>
      </c>
      <c r="O11" s="15">
        <f t="shared" si="0"/>
        <v>15.285714285714288</v>
      </c>
      <c r="P11" s="15">
        <f t="shared" si="1"/>
        <v>31.857142857142861</v>
      </c>
      <c r="R11" s="1" t="s">
        <v>7</v>
      </c>
      <c r="S11" s="17">
        <f t="shared" ref="S11:AF11" si="3">SUM(C14:C17)</f>
        <v>25.142857142857139</v>
      </c>
      <c r="T11" s="17">
        <f t="shared" si="3"/>
        <v>3.7142857142857144</v>
      </c>
      <c r="U11" s="17">
        <f t="shared" si="3"/>
        <v>2.5714285714285712</v>
      </c>
      <c r="V11" s="17">
        <f t="shared" si="3"/>
        <v>20.571428571428569</v>
      </c>
      <c r="W11" s="17">
        <f t="shared" si="3"/>
        <v>0.5714285714285714</v>
      </c>
      <c r="X11" s="17">
        <f t="shared" si="3"/>
        <v>0.71428571428571419</v>
      </c>
      <c r="Y11" s="17">
        <f t="shared" si="3"/>
        <v>5.4285714285714279</v>
      </c>
      <c r="Z11" s="17">
        <f t="shared" si="3"/>
        <v>2.4285714285714284</v>
      </c>
      <c r="AA11" s="17">
        <f t="shared" si="3"/>
        <v>1.2857142857142856</v>
      </c>
      <c r="AB11" s="17">
        <f t="shared" si="3"/>
        <v>4</v>
      </c>
      <c r="AC11" s="17">
        <f t="shared" si="3"/>
        <v>61.857142857142861</v>
      </c>
      <c r="AD11" s="17">
        <f t="shared" si="3"/>
        <v>0</v>
      </c>
      <c r="AE11" s="31">
        <f t="shared" si="3"/>
        <v>66.428571428571416</v>
      </c>
      <c r="AF11" s="31">
        <f t="shared" si="3"/>
        <v>128.28571428571428</v>
      </c>
    </row>
    <row r="12" spans="2:32" ht="23.1" customHeight="1" x14ac:dyDescent="0.25">
      <c r="B12" s="23" t="s">
        <v>39</v>
      </c>
      <c r="C12" s="49">
        <f>AVERAGE('27.10 Kabale-Mbarara'!C12,'28.10 Kabale-Mbarara'!C12,'29.10 Kabale-Mbarara'!C12,'30.10 Kabale -Mbarara'!C12,'31.10 Kabale-Mbarara-24hr'!C12,'1.11 Kabale-Mbarara'!C12,'2.11 Kabale-Mbarara-24hr'!C12)</f>
        <v>5.8571428571428568</v>
      </c>
      <c r="D12" s="49">
        <f>AVERAGE('27.10 Kabale-Mbarara'!D12,'28.10 Kabale-Mbarara'!D12,'29.10 Kabale-Mbarara'!D12,'30.10 Kabale -Mbarara'!D12,'31.10 Kabale-Mbarara-24hr'!D12,'1.11 Kabale-Mbarara'!D12,'2.11 Kabale-Mbarara-24hr'!D12)</f>
        <v>1</v>
      </c>
      <c r="E12" s="49">
        <f>AVERAGE('27.10 Kabale-Mbarara'!E12,'28.10 Kabale-Mbarara'!E12,'29.10 Kabale-Mbarara'!E12,'30.10 Kabale -Mbarara'!E12,'31.10 Kabale-Mbarara-24hr'!E12,'1.11 Kabale-Mbarara'!E12,'2.11 Kabale-Mbarara-24hr'!E12)</f>
        <v>1.1428571428571428</v>
      </c>
      <c r="F12" s="49">
        <f>AVERAGE('27.10 Kabale-Mbarara'!F12,'28.10 Kabale-Mbarara'!F12,'29.10 Kabale-Mbarara'!F12,'30.10 Kabale -Mbarara'!F12,'31.10 Kabale-Mbarara-24hr'!F12,'1.11 Kabale-Mbarara'!F12,'2.11 Kabale-Mbarara-24hr'!F12)</f>
        <v>6.1428571428571432</v>
      </c>
      <c r="G12" s="49">
        <f>AVERAGE('27.10 Kabale-Mbarara'!G12,'28.10 Kabale-Mbarara'!G12,'29.10 Kabale-Mbarara'!G12,'30.10 Kabale -Mbarara'!G12,'31.10 Kabale-Mbarara-24hr'!G12,'1.11 Kabale-Mbarara'!G12,'2.11 Kabale-Mbarara-24hr'!G12)</f>
        <v>0.14285714285714285</v>
      </c>
      <c r="H12" s="49">
        <f>AVERAGE('27.10 Kabale-Mbarara'!H12,'28.10 Kabale-Mbarara'!H12,'29.10 Kabale-Mbarara'!H12,'30.10 Kabale -Mbarara'!H12,'31.10 Kabale-Mbarara-24hr'!H12,'1.11 Kabale-Mbarara'!H12,'2.11 Kabale-Mbarara-24hr'!H12)</f>
        <v>0.14285714285714285</v>
      </c>
      <c r="I12" s="49">
        <f>AVERAGE('27.10 Kabale-Mbarara'!I12,'28.10 Kabale-Mbarara'!I12,'29.10 Kabale-Mbarara'!I12,'30.10 Kabale -Mbarara'!I12,'31.10 Kabale-Mbarara-24hr'!I12,'1.11 Kabale-Mbarara'!I12,'2.11 Kabale-Mbarara-24hr'!I12)</f>
        <v>0.7142857142857143</v>
      </c>
      <c r="J12" s="49">
        <f>AVERAGE('27.10 Kabale-Mbarara'!J12,'28.10 Kabale-Mbarara'!J12,'29.10 Kabale-Mbarara'!J12,'30.10 Kabale -Mbarara'!J12,'31.10 Kabale-Mbarara-24hr'!J12,'1.11 Kabale-Mbarara'!J12,'2.11 Kabale-Mbarara-24hr'!J12)</f>
        <v>0</v>
      </c>
      <c r="K12" s="49">
        <f>AVERAGE('27.10 Kabale-Mbarara'!K12,'28.10 Kabale-Mbarara'!K12,'29.10 Kabale-Mbarara'!K12,'30.10 Kabale -Mbarara'!K12,'31.10 Kabale-Mbarara-24hr'!K12,'1.11 Kabale-Mbarara'!K12,'2.11 Kabale-Mbarara-24hr'!K12)</f>
        <v>1.2857142857142858</v>
      </c>
      <c r="L12" s="49">
        <f>AVERAGE('27.10 Kabale-Mbarara'!L12,'28.10 Kabale-Mbarara'!L12,'29.10 Kabale-Mbarara'!L12,'30.10 Kabale -Mbarara'!L12,'31.10 Kabale-Mbarara-24hr'!L12,'1.11 Kabale-Mbarara'!L12,'2.11 Kabale-Mbarara-24hr'!L12)</f>
        <v>2.5714285714285716</v>
      </c>
      <c r="M12" s="49">
        <f>AVERAGE('27.10 Kabale-Mbarara'!M12,'28.10 Kabale-Mbarara'!M12,'29.10 Kabale-Mbarara'!M12,'30.10 Kabale -Mbarara'!M12,'31.10 Kabale-Mbarara-24hr'!M12,'1.11 Kabale-Mbarara'!M12,'2.11 Kabale-Mbarara-24hr'!M12)</f>
        <v>11.857142857142858</v>
      </c>
      <c r="N12" s="49">
        <f>AVERAGE('27.10 Kabale-Mbarara'!N12,'28.10 Kabale-Mbarara'!N12,'29.10 Kabale-Mbarara'!N12,'30.10 Kabale -Mbarara'!N12,'31.10 Kabale-Mbarara-24hr'!N12,'1.11 Kabale-Mbarara'!N12,'2.11 Kabale-Mbarara-24hr'!N12)</f>
        <v>0</v>
      </c>
      <c r="O12" s="15">
        <f t="shared" si="0"/>
        <v>19</v>
      </c>
      <c r="P12" s="15">
        <f t="shared" si="1"/>
        <v>30.857142857142858</v>
      </c>
      <c r="R12" s="1" t="s">
        <v>8</v>
      </c>
      <c r="S12" s="17">
        <f t="shared" ref="S12:AF12" si="4">SUM(C18:C21)</f>
        <v>27.428571428571431</v>
      </c>
      <c r="T12" s="17">
        <f t="shared" si="4"/>
        <v>4.8571428571428568</v>
      </c>
      <c r="U12" s="17">
        <f t="shared" si="4"/>
        <v>1.857142857142857</v>
      </c>
      <c r="V12" s="17">
        <f t="shared" si="4"/>
        <v>24.428571428571431</v>
      </c>
      <c r="W12" s="17">
        <f t="shared" si="4"/>
        <v>0.42857142857142855</v>
      </c>
      <c r="X12" s="17">
        <f t="shared" si="4"/>
        <v>2.4285714285714284</v>
      </c>
      <c r="Y12" s="17">
        <f t="shared" si="4"/>
        <v>5.5714285714285712</v>
      </c>
      <c r="Z12" s="17">
        <f t="shared" si="4"/>
        <v>2.8571428571428572</v>
      </c>
      <c r="AA12" s="17">
        <f t="shared" si="4"/>
        <v>2</v>
      </c>
      <c r="AB12" s="17">
        <f t="shared" si="4"/>
        <v>4</v>
      </c>
      <c r="AC12" s="17">
        <f t="shared" si="4"/>
        <v>69.714285714285722</v>
      </c>
      <c r="AD12" s="17">
        <f t="shared" si="4"/>
        <v>0.14285714285714285</v>
      </c>
      <c r="AE12" s="31">
        <f t="shared" si="4"/>
        <v>76</v>
      </c>
      <c r="AF12" s="31">
        <f t="shared" si="4"/>
        <v>145.71428571428572</v>
      </c>
    </row>
    <row r="13" spans="2:32" ht="23.1" customHeight="1" x14ac:dyDescent="0.25">
      <c r="B13" s="23" t="s">
        <v>40</v>
      </c>
      <c r="C13" s="49">
        <f>AVERAGE('27.10 Kabale-Mbarara'!C13,'28.10 Kabale-Mbarara'!C13,'29.10 Kabale-Mbarara'!C13,'30.10 Kabale -Mbarara'!C13,'31.10 Kabale-Mbarara-24hr'!C13,'1.11 Kabale-Mbarara'!C13,'2.11 Kabale-Mbarara-24hr'!C13)</f>
        <v>4.2857142857142856</v>
      </c>
      <c r="D13" s="49">
        <f>AVERAGE('27.10 Kabale-Mbarara'!D13,'28.10 Kabale-Mbarara'!D13,'29.10 Kabale-Mbarara'!D13,'30.10 Kabale -Mbarara'!D13,'31.10 Kabale-Mbarara-24hr'!D13,'1.11 Kabale-Mbarara'!D13,'2.11 Kabale-Mbarara-24hr'!D13)</f>
        <v>1.4285714285714286</v>
      </c>
      <c r="E13" s="49">
        <f>AVERAGE('27.10 Kabale-Mbarara'!E13,'28.10 Kabale-Mbarara'!E13,'29.10 Kabale-Mbarara'!E13,'30.10 Kabale -Mbarara'!E13,'31.10 Kabale-Mbarara-24hr'!E13,'1.11 Kabale-Mbarara'!E13,'2.11 Kabale-Mbarara-24hr'!E13)</f>
        <v>0.8571428571428571</v>
      </c>
      <c r="F13" s="49">
        <f>AVERAGE('27.10 Kabale-Mbarara'!F13,'28.10 Kabale-Mbarara'!F13,'29.10 Kabale-Mbarara'!F13,'30.10 Kabale -Mbarara'!F13,'31.10 Kabale-Mbarara-24hr'!F13,'1.11 Kabale-Mbarara'!F13,'2.11 Kabale-Mbarara-24hr'!F13)</f>
        <v>4.4285714285714288</v>
      </c>
      <c r="G13" s="49">
        <f>AVERAGE('27.10 Kabale-Mbarara'!G13,'28.10 Kabale-Mbarara'!G13,'29.10 Kabale-Mbarara'!G13,'30.10 Kabale -Mbarara'!G13,'31.10 Kabale-Mbarara-24hr'!G13,'1.11 Kabale-Mbarara'!G13,'2.11 Kabale-Mbarara-24hr'!G13)</f>
        <v>0</v>
      </c>
      <c r="H13" s="49">
        <f>AVERAGE('27.10 Kabale-Mbarara'!H13,'28.10 Kabale-Mbarara'!H13,'29.10 Kabale-Mbarara'!H13,'30.10 Kabale -Mbarara'!H13,'31.10 Kabale-Mbarara-24hr'!H13,'1.11 Kabale-Mbarara'!H13,'2.11 Kabale-Mbarara-24hr'!H13)</f>
        <v>0.7142857142857143</v>
      </c>
      <c r="I13" s="49">
        <f>AVERAGE('27.10 Kabale-Mbarara'!I13,'28.10 Kabale-Mbarara'!I13,'29.10 Kabale-Mbarara'!I13,'30.10 Kabale -Mbarara'!I13,'31.10 Kabale-Mbarara-24hr'!I13,'1.11 Kabale-Mbarara'!I13,'2.11 Kabale-Mbarara-24hr'!I13)</f>
        <v>1.1428571428571428</v>
      </c>
      <c r="J13" s="49">
        <f>AVERAGE('27.10 Kabale-Mbarara'!J13,'28.10 Kabale-Mbarara'!J13,'29.10 Kabale-Mbarara'!J13,'30.10 Kabale -Mbarara'!J13,'31.10 Kabale-Mbarara-24hr'!J13,'1.11 Kabale-Mbarara'!J13,'2.11 Kabale-Mbarara-24hr'!J13)</f>
        <v>1.8571428571428572</v>
      </c>
      <c r="K13" s="49">
        <f>AVERAGE('27.10 Kabale-Mbarara'!K13,'28.10 Kabale-Mbarara'!K13,'29.10 Kabale-Mbarara'!K13,'30.10 Kabale -Mbarara'!K13,'31.10 Kabale-Mbarara-24hr'!K13,'1.11 Kabale-Mbarara'!K13,'2.11 Kabale-Mbarara-24hr'!K13)</f>
        <v>0.2857142857142857</v>
      </c>
      <c r="L13" s="49">
        <f>AVERAGE('27.10 Kabale-Mbarara'!L13,'28.10 Kabale-Mbarara'!L13,'29.10 Kabale-Mbarara'!L13,'30.10 Kabale -Mbarara'!L13,'31.10 Kabale-Mbarara-24hr'!L13,'1.11 Kabale-Mbarara'!L13,'2.11 Kabale-Mbarara-24hr'!L13)</f>
        <v>1.7142857142857142</v>
      </c>
      <c r="M13" s="49">
        <f>AVERAGE('27.10 Kabale-Mbarara'!M13,'28.10 Kabale-Mbarara'!M13,'29.10 Kabale-Mbarara'!M13,'30.10 Kabale -Mbarara'!M13,'31.10 Kabale-Mbarara-24hr'!M13,'1.11 Kabale-Mbarara'!M13,'2.11 Kabale-Mbarara-24hr'!M13)</f>
        <v>14.714285714285714</v>
      </c>
      <c r="N13" s="49">
        <f>AVERAGE('27.10 Kabale-Mbarara'!N13,'28.10 Kabale-Mbarara'!N13,'29.10 Kabale-Mbarara'!N13,'30.10 Kabale -Mbarara'!N13,'31.10 Kabale-Mbarara-24hr'!N13,'1.11 Kabale-Mbarara'!N13,'2.11 Kabale-Mbarara-24hr'!N13)</f>
        <v>0</v>
      </c>
      <c r="O13" s="15">
        <f t="shared" si="0"/>
        <v>16.714285714285715</v>
      </c>
      <c r="P13" s="15">
        <f t="shared" si="1"/>
        <v>31.428571428571431</v>
      </c>
      <c r="R13" s="1" t="s">
        <v>9</v>
      </c>
      <c r="S13" s="17">
        <f t="shared" ref="S13:AF13" si="5">SUM(C22:C25)</f>
        <v>28.714285714285715</v>
      </c>
      <c r="T13" s="17">
        <f t="shared" si="5"/>
        <v>5.4285714285714288</v>
      </c>
      <c r="U13" s="17">
        <f t="shared" si="5"/>
        <v>2.7142857142857144</v>
      </c>
      <c r="V13" s="17">
        <f t="shared" si="5"/>
        <v>23</v>
      </c>
      <c r="W13" s="17">
        <f t="shared" si="5"/>
        <v>0</v>
      </c>
      <c r="X13" s="17">
        <f t="shared" si="5"/>
        <v>3.7142857142857144</v>
      </c>
      <c r="Y13" s="17">
        <f t="shared" si="5"/>
        <v>4</v>
      </c>
      <c r="Z13" s="17">
        <f t="shared" si="5"/>
        <v>2.5714285714285712</v>
      </c>
      <c r="AA13" s="17">
        <f t="shared" si="5"/>
        <v>2.4285714285714284</v>
      </c>
      <c r="AB13" s="17">
        <f t="shared" si="5"/>
        <v>6.8571428571428577</v>
      </c>
      <c r="AC13" s="17">
        <f t="shared" si="5"/>
        <v>72.571428571428569</v>
      </c>
      <c r="AD13" s="17">
        <f t="shared" si="5"/>
        <v>0</v>
      </c>
      <c r="AE13" s="31">
        <f t="shared" si="5"/>
        <v>79.428571428571431</v>
      </c>
      <c r="AF13" s="31">
        <f t="shared" si="5"/>
        <v>152</v>
      </c>
    </row>
    <row r="14" spans="2:32" ht="23.1" customHeight="1" x14ac:dyDescent="0.25">
      <c r="B14" s="23" t="s">
        <v>41</v>
      </c>
      <c r="C14" s="49">
        <f>AVERAGE('27.10 Kabale-Mbarara'!C14,'28.10 Kabale-Mbarara'!C14,'29.10 Kabale-Mbarara'!C14,'30.10 Kabale -Mbarara'!C14,'31.10 Kabale-Mbarara-24hr'!C14,'1.11 Kabale-Mbarara'!C14,'2.11 Kabale-Mbarara-24hr'!C14)</f>
        <v>5.8571428571428568</v>
      </c>
      <c r="D14" s="49">
        <f>AVERAGE('27.10 Kabale-Mbarara'!D14,'28.10 Kabale-Mbarara'!D14,'29.10 Kabale-Mbarara'!D14,'30.10 Kabale -Mbarara'!D14,'31.10 Kabale-Mbarara-24hr'!D14,'1.11 Kabale-Mbarara'!D14,'2.11 Kabale-Mbarara-24hr'!D14)</f>
        <v>0.42857142857142855</v>
      </c>
      <c r="E14" s="49">
        <f>AVERAGE('27.10 Kabale-Mbarara'!E14,'28.10 Kabale-Mbarara'!E14,'29.10 Kabale-Mbarara'!E14,'30.10 Kabale -Mbarara'!E14,'31.10 Kabale-Mbarara-24hr'!E14,'1.11 Kabale-Mbarara'!E14,'2.11 Kabale-Mbarara-24hr'!E14)</f>
        <v>0.2857142857142857</v>
      </c>
      <c r="F14" s="49">
        <f>AVERAGE('27.10 Kabale-Mbarara'!F14,'28.10 Kabale-Mbarara'!F14,'29.10 Kabale-Mbarara'!F14,'30.10 Kabale -Mbarara'!F14,'31.10 Kabale-Mbarara-24hr'!F14,'1.11 Kabale-Mbarara'!F14,'2.11 Kabale-Mbarara-24hr'!F14)</f>
        <v>4.8571428571428568</v>
      </c>
      <c r="G14" s="49">
        <f>AVERAGE('27.10 Kabale-Mbarara'!G14,'28.10 Kabale-Mbarara'!G14,'29.10 Kabale-Mbarara'!G14,'30.10 Kabale -Mbarara'!G14,'31.10 Kabale-Mbarara-24hr'!G14,'1.11 Kabale-Mbarara'!G14,'2.11 Kabale-Mbarara-24hr'!G14)</f>
        <v>0.2857142857142857</v>
      </c>
      <c r="H14" s="49">
        <f>AVERAGE('27.10 Kabale-Mbarara'!H14,'28.10 Kabale-Mbarara'!H14,'29.10 Kabale-Mbarara'!H14,'30.10 Kabale -Mbarara'!H14,'31.10 Kabale-Mbarara-24hr'!H14,'1.11 Kabale-Mbarara'!H14,'2.11 Kabale-Mbarara-24hr'!H14)</f>
        <v>0.42857142857142855</v>
      </c>
      <c r="I14" s="49">
        <f>AVERAGE('27.10 Kabale-Mbarara'!I14,'28.10 Kabale-Mbarara'!I14,'29.10 Kabale-Mbarara'!I14,'30.10 Kabale -Mbarara'!I14,'31.10 Kabale-Mbarara-24hr'!I14,'1.11 Kabale-Mbarara'!I14,'2.11 Kabale-Mbarara-24hr'!I14)</f>
        <v>1.1428571428571428</v>
      </c>
      <c r="J14" s="49">
        <f>AVERAGE('27.10 Kabale-Mbarara'!J14,'28.10 Kabale-Mbarara'!J14,'29.10 Kabale-Mbarara'!J14,'30.10 Kabale -Mbarara'!J14,'31.10 Kabale-Mbarara-24hr'!J14,'1.11 Kabale-Mbarara'!J14,'2.11 Kabale-Mbarara-24hr'!J14)</f>
        <v>0.7142857142857143</v>
      </c>
      <c r="K14" s="49">
        <f>AVERAGE('27.10 Kabale-Mbarara'!K14,'28.10 Kabale-Mbarara'!K14,'29.10 Kabale-Mbarara'!K14,'30.10 Kabale -Mbarara'!K14,'31.10 Kabale-Mbarara-24hr'!K14,'1.11 Kabale-Mbarara'!K14,'2.11 Kabale-Mbarara-24hr'!K14)</f>
        <v>0.42857142857142855</v>
      </c>
      <c r="L14" s="49">
        <f>AVERAGE('27.10 Kabale-Mbarara'!L14,'28.10 Kabale-Mbarara'!L14,'29.10 Kabale-Mbarara'!L14,'30.10 Kabale -Mbarara'!L14,'31.10 Kabale-Mbarara-24hr'!L14,'1.11 Kabale-Mbarara'!L14,'2.11 Kabale-Mbarara-24hr'!L14)</f>
        <v>0.5714285714285714</v>
      </c>
      <c r="M14" s="49">
        <f>AVERAGE('27.10 Kabale-Mbarara'!M14,'28.10 Kabale-Mbarara'!M14,'29.10 Kabale-Mbarara'!M14,'30.10 Kabale -Mbarara'!M14,'31.10 Kabale-Mbarara-24hr'!M14,'1.11 Kabale-Mbarara'!M14,'2.11 Kabale-Mbarara-24hr'!M14)</f>
        <v>13.142857142857142</v>
      </c>
      <c r="N14" s="49">
        <f>AVERAGE('27.10 Kabale-Mbarara'!N14,'28.10 Kabale-Mbarara'!N14,'29.10 Kabale-Mbarara'!N14,'30.10 Kabale -Mbarara'!N14,'31.10 Kabale-Mbarara-24hr'!N14,'1.11 Kabale-Mbarara'!N14,'2.11 Kabale-Mbarara-24hr'!N14)</f>
        <v>0</v>
      </c>
      <c r="O14" s="15">
        <f t="shared" si="0"/>
        <v>14.999999999999998</v>
      </c>
      <c r="P14" s="15">
        <f t="shared" si="1"/>
        <v>28.142857142857139</v>
      </c>
      <c r="R14" s="1" t="s">
        <v>10</v>
      </c>
      <c r="S14" s="17">
        <f t="shared" ref="S14:AF14" si="6">SUM(C26:C29)</f>
        <v>34.571428571428569</v>
      </c>
      <c r="T14" s="17">
        <f t="shared" si="6"/>
        <v>6.5714285714285712</v>
      </c>
      <c r="U14" s="17">
        <f t="shared" si="6"/>
        <v>5.5714285714285712</v>
      </c>
      <c r="V14" s="17">
        <f t="shared" si="6"/>
        <v>27.571428571428569</v>
      </c>
      <c r="W14" s="17">
        <f t="shared" si="6"/>
        <v>0.42857142857142855</v>
      </c>
      <c r="X14" s="17">
        <f t="shared" si="6"/>
        <v>3.1428571428571428</v>
      </c>
      <c r="Y14" s="17">
        <f t="shared" si="6"/>
        <v>4.1428571428571423</v>
      </c>
      <c r="Z14" s="17">
        <f t="shared" si="6"/>
        <v>4.4285714285714288</v>
      </c>
      <c r="AA14" s="17">
        <f t="shared" si="6"/>
        <v>3.5714285714285712</v>
      </c>
      <c r="AB14" s="17">
        <f t="shared" si="6"/>
        <v>7.1428571428571423</v>
      </c>
      <c r="AC14" s="17">
        <f t="shared" si="6"/>
        <v>61.285714285714285</v>
      </c>
      <c r="AD14" s="17">
        <f t="shared" si="6"/>
        <v>0.14285714285714285</v>
      </c>
      <c r="AE14" s="31">
        <f t="shared" si="6"/>
        <v>97.285714285714278</v>
      </c>
      <c r="AF14" s="31">
        <f t="shared" si="6"/>
        <v>158.57142857142856</v>
      </c>
    </row>
    <row r="15" spans="2:32" ht="23.1" customHeight="1" x14ac:dyDescent="0.25">
      <c r="B15" s="23" t="s">
        <v>42</v>
      </c>
      <c r="C15" s="49">
        <f>AVERAGE('27.10 Kabale-Mbarara'!C15,'28.10 Kabale-Mbarara'!C15,'29.10 Kabale-Mbarara'!C15,'30.10 Kabale -Mbarara'!C15,'31.10 Kabale-Mbarara-24hr'!C15,'1.11 Kabale-Mbarara'!C15,'2.11 Kabale-Mbarara-24hr'!C15)</f>
        <v>7.5714285714285712</v>
      </c>
      <c r="D15" s="49">
        <f>AVERAGE('27.10 Kabale-Mbarara'!D15,'28.10 Kabale-Mbarara'!D15,'29.10 Kabale-Mbarara'!D15,'30.10 Kabale -Mbarara'!D15,'31.10 Kabale-Mbarara-24hr'!D15,'1.11 Kabale-Mbarara'!D15,'2.11 Kabale-Mbarara-24hr'!D15)</f>
        <v>1.1428571428571428</v>
      </c>
      <c r="E15" s="49">
        <f>AVERAGE('27.10 Kabale-Mbarara'!E15,'28.10 Kabale-Mbarara'!E15,'29.10 Kabale-Mbarara'!E15,'30.10 Kabale -Mbarara'!E15,'31.10 Kabale-Mbarara-24hr'!E15,'1.11 Kabale-Mbarara'!E15,'2.11 Kabale-Mbarara-24hr'!E15)</f>
        <v>0.7142857142857143</v>
      </c>
      <c r="F15" s="49">
        <f>AVERAGE('27.10 Kabale-Mbarara'!F15,'28.10 Kabale-Mbarara'!F15,'29.10 Kabale-Mbarara'!F15,'30.10 Kabale -Mbarara'!F15,'31.10 Kabale-Mbarara-24hr'!F15,'1.11 Kabale-Mbarara'!F15,'2.11 Kabale-Mbarara-24hr'!F15)</f>
        <v>5.2857142857142856</v>
      </c>
      <c r="G15" s="49">
        <f>AVERAGE('27.10 Kabale-Mbarara'!G15,'28.10 Kabale-Mbarara'!G15,'29.10 Kabale-Mbarara'!G15,'30.10 Kabale -Mbarara'!G15,'31.10 Kabale-Mbarara-24hr'!G15,'1.11 Kabale-Mbarara'!G15,'2.11 Kabale-Mbarara-24hr'!G15)</f>
        <v>0.14285714285714285</v>
      </c>
      <c r="H15" s="49">
        <f>AVERAGE('27.10 Kabale-Mbarara'!H15,'28.10 Kabale-Mbarara'!H15,'29.10 Kabale-Mbarara'!H15,'30.10 Kabale -Mbarara'!H15,'31.10 Kabale-Mbarara-24hr'!H15,'1.11 Kabale-Mbarara'!H15,'2.11 Kabale-Mbarara-24hr'!H15)</f>
        <v>0.14285714285714285</v>
      </c>
      <c r="I15" s="49">
        <f>AVERAGE('27.10 Kabale-Mbarara'!I15,'28.10 Kabale-Mbarara'!I15,'29.10 Kabale-Mbarara'!I15,'30.10 Kabale -Mbarara'!I15,'31.10 Kabale-Mbarara-24hr'!I15,'1.11 Kabale-Mbarara'!I15,'2.11 Kabale-Mbarara-24hr'!I15)</f>
        <v>1.7142857142857142</v>
      </c>
      <c r="J15" s="49">
        <f>AVERAGE('27.10 Kabale-Mbarara'!J15,'28.10 Kabale-Mbarara'!J15,'29.10 Kabale-Mbarara'!J15,'30.10 Kabale -Mbarara'!J15,'31.10 Kabale-Mbarara-24hr'!J15,'1.11 Kabale-Mbarara'!J15,'2.11 Kabale-Mbarara-24hr'!J15)</f>
        <v>0.2857142857142857</v>
      </c>
      <c r="K15" s="49">
        <f>AVERAGE('27.10 Kabale-Mbarara'!K15,'28.10 Kabale-Mbarara'!K15,'29.10 Kabale-Mbarara'!K15,'30.10 Kabale -Mbarara'!K15,'31.10 Kabale-Mbarara-24hr'!K15,'1.11 Kabale-Mbarara'!K15,'2.11 Kabale-Mbarara-24hr'!K15)</f>
        <v>0.14285714285714285</v>
      </c>
      <c r="L15" s="49">
        <f>AVERAGE('27.10 Kabale-Mbarara'!L15,'28.10 Kabale-Mbarara'!L15,'29.10 Kabale-Mbarara'!L15,'30.10 Kabale -Mbarara'!L15,'31.10 Kabale-Mbarara-24hr'!L15,'1.11 Kabale-Mbarara'!L15,'2.11 Kabale-Mbarara-24hr'!L15)</f>
        <v>0.42857142857142855</v>
      </c>
      <c r="M15" s="49">
        <f>AVERAGE('27.10 Kabale-Mbarara'!M15,'28.10 Kabale-Mbarara'!M15,'29.10 Kabale-Mbarara'!M15,'30.10 Kabale -Mbarara'!M15,'31.10 Kabale-Mbarara-24hr'!M15,'1.11 Kabale-Mbarara'!M15,'2.11 Kabale-Mbarara-24hr'!M15)</f>
        <v>16.857142857142858</v>
      </c>
      <c r="N15" s="49">
        <f>AVERAGE('27.10 Kabale-Mbarara'!N15,'28.10 Kabale-Mbarara'!N15,'29.10 Kabale-Mbarara'!N15,'30.10 Kabale -Mbarara'!N15,'31.10 Kabale-Mbarara-24hr'!N15,'1.11 Kabale-Mbarara'!N15,'2.11 Kabale-Mbarara-24hr'!N15)</f>
        <v>0</v>
      </c>
      <c r="O15" s="15">
        <f t="shared" si="0"/>
        <v>17.571428571428566</v>
      </c>
      <c r="P15" s="15">
        <f t="shared" si="1"/>
        <v>34.428571428571423</v>
      </c>
      <c r="R15" s="1" t="s">
        <v>11</v>
      </c>
      <c r="S15" s="17">
        <f t="shared" ref="S15:AF15" si="7">SUM(C30:C33)</f>
        <v>28.285714285714285</v>
      </c>
      <c r="T15" s="17">
        <f t="shared" si="7"/>
        <v>5</v>
      </c>
      <c r="U15" s="17">
        <f t="shared" si="7"/>
        <v>4.1428571428571432</v>
      </c>
      <c r="V15" s="17">
        <f t="shared" si="7"/>
        <v>28</v>
      </c>
      <c r="W15" s="17">
        <f t="shared" si="7"/>
        <v>0.2857142857142857</v>
      </c>
      <c r="X15" s="17">
        <f t="shared" si="7"/>
        <v>3.4285714285714288</v>
      </c>
      <c r="Y15" s="17">
        <f t="shared" si="7"/>
        <v>6.2857142857142856</v>
      </c>
      <c r="Z15" s="17">
        <f t="shared" si="7"/>
        <v>1.5714285714285714</v>
      </c>
      <c r="AA15" s="17">
        <f t="shared" si="7"/>
        <v>4.2857142857142865</v>
      </c>
      <c r="AB15" s="17">
        <f t="shared" si="7"/>
        <v>6.2857142857142865</v>
      </c>
      <c r="AC15" s="17">
        <f t="shared" si="7"/>
        <v>49.666666666666664</v>
      </c>
      <c r="AD15" s="17">
        <f t="shared" si="7"/>
        <v>0</v>
      </c>
      <c r="AE15" s="31">
        <f t="shared" si="7"/>
        <v>87.571428571428569</v>
      </c>
      <c r="AF15" s="31">
        <f t="shared" si="7"/>
        <v>137.23809523809521</v>
      </c>
    </row>
    <row r="16" spans="2:32" ht="23.1" customHeight="1" x14ac:dyDescent="0.25">
      <c r="B16" s="23" t="s">
        <v>43</v>
      </c>
      <c r="C16" s="49">
        <f>AVERAGE('27.10 Kabale-Mbarara'!C16,'28.10 Kabale-Mbarara'!C16,'29.10 Kabale-Mbarara'!C16,'30.10 Kabale -Mbarara'!C16,'31.10 Kabale-Mbarara-24hr'!C16,'1.11 Kabale-Mbarara'!C16,'2.11 Kabale-Mbarara-24hr'!C16)</f>
        <v>5.1428571428571432</v>
      </c>
      <c r="D16" s="49">
        <f>AVERAGE('27.10 Kabale-Mbarara'!D16,'28.10 Kabale-Mbarara'!D16,'29.10 Kabale-Mbarara'!D16,'30.10 Kabale -Mbarara'!D16,'31.10 Kabale-Mbarara-24hr'!D16,'1.11 Kabale-Mbarara'!D16,'2.11 Kabale-Mbarara-24hr'!D16)</f>
        <v>1.2857142857142858</v>
      </c>
      <c r="E16" s="49">
        <f>AVERAGE('27.10 Kabale-Mbarara'!E16,'28.10 Kabale-Mbarara'!E16,'29.10 Kabale-Mbarara'!E16,'30.10 Kabale -Mbarara'!E16,'31.10 Kabale-Mbarara-24hr'!E16,'1.11 Kabale-Mbarara'!E16,'2.11 Kabale-Mbarara-24hr'!E16)</f>
        <v>0.5714285714285714</v>
      </c>
      <c r="F16" s="49">
        <f>AVERAGE('27.10 Kabale-Mbarara'!F16,'28.10 Kabale-Mbarara'!F16,'29.10 Kabale-Mbarara'!F16,'30.10 Kabale -Mbarara'!F16,'31.10 Kabale-Mbarara-24hr'!F16,'1.11 Kabale-Mbarara'!F16,'2.11 Kabale-Mbarara-24hr'!F16)</f>
        <v>5.2857142857142856</v>
      </c>
      <c r="G16" s="49">
        <f>AVERAGE('27.10 Kabale-Mbarara'!G16,'28.10 Kabale-Mbarara'!G16,'29.10 Kabale-Mbarara'!G16,'30.10 Kabale -Mbarara'!G16,'31.10 Kabale-Mbarara-24hr'!G16,'1.11 Kabale-Mbarara'!G16,'2.11 Kabale-Mbarara-24hr'!G16)</f>
        <v>0.14285714285714285</v>
      </c>
      <c r="H16" s="49">
        <f>AVERAGE('27.10 Kabale-Mbarara'!H16,'28.10 Kabale-Mbarara'!H16,'29.10 Kabale-Mbarara'!H16,'30.10 Kabale -Mbarara'!H16,'31.10 Kabale-Mbarara-24hr'!H16,'1.11 Kabale-Mbarara'!H16,'2.11 Kabale-Mbarara-24hr'!H16)</f>
        <v>0.14285714285714285</v>
      </c>
      <c r="I16" s="49">
        <f>AVERAGE('27.10 Kabale-Mbarara'!I16,'28.10 Kabale-Mbarara'!I16,'29.10 Kabale-Mbarara'!I16,'30.10 Kabale -Mbarara'!I16,'31.10 Kabale-Mbarara-24hr'!I16,'1.11 Kabale-Mbarara'!I16,'2.11 Kabale-Mbarara-24hr'!I16)</f>
        <v>1</v>
      </c>
      <c r="J16" s="49">
        <f>AVERAGE('27.10 Kabale-Mbarara'!J16,'28.10 Kabale-Mbarara'!J16,'29.10 Kabale-Mbarara'!J16,'30.10 Kabale -Mbarara'!J16,'31.10 Kabale-Mbarara-24hr'!J16,'1.11 Kabale-Mbarara'!J16,'2.11 Kabale-Mbarara-24hr'!J16)</f>
        <v>1.1428571428571428</v>
      </c>
      <c r="K16" s="49">
        <f>AVERAGE('27.10 Kabale-Mbarara'!K16,'28.10 Kabale-Mbarara'!K16,'29.10 Kabale-Mbarara'!K16,'30.10 Kabale -Mbarara'!K16,'31.10 Kabale-Mbarara-24hr'!K16,'1.11 Kabale-Mbarara'!K16,'2.11 Kabale-Mbarara-24hr'!K16)</f>
        <v>0</v>
      </c>
      <c r="L16" s="49">
        <f>AVERAGE('27.10 Kabale-Mbarara'!L16,'28.10 Kabale-Mbarara'!L16,'29.10 Kabale-Mbarara'!L16,'30.10 Kabale -Mbarara'!L16,'31.10 Kabale-Mbarara-24hr'!L16,'1.11 Kabale-Mbarara'!L16,'2.11 Kabale-Mbarara-24hr'!L16)</f>
        <v>1.5714285714285714</v>
      </c>
      <c r="M16" s="49">
        <f>AVERAGE('27.10 Kabale-Mbarara'!M16,'28.10 Kabale-Mbarara'!M16,'29.10 Kabale-Mbarara'!M16,'30.10 Kabale -Mbarara'!M16,'31.10 Kabale-Mbarara-24hr'!M16,'1.11 Kabale-Mbarara'!M16,'2.11 Kabale-Mbarara-24hr'!M16)</f>
        <v>16.428571428571427</v>
      </c>
      <c r="N16" s="49">
        <f>AVERAGE('27.10 Kabale-Mbarara'!N16,'28.10 Kabale-Mbarara'!N16,'29.10 Kabale-Mbarara'!N16,'30.10 Kabale -Mbarara'!N16,'31.10 Kabale-Mbarara-24hr'!N16,'1.11 Kabale-Mbarara'!N16,'2.11 Kabale-Mbarara-24hr'!N16)</f>
        <v>0</v>
      </c>
      <c r="O16" s="15">
        <f t="shared" si="0"/>
        <v>16.285714285714285</v>
      </c>
      <c r="P16" s="15">
        <f t="shared" si="1"/>
        <v>32.714285714285708</v>
      </c>
      <c r="R16" s="1" t="s">
        <v>12</v>
      </c>
      <c r="S16" s="17">
        <f t="shared" ref="S16:AF16" si="8">SUM(C34:C37)</f>
        <v>26</v>
      </c>
      <c r="T16" s="17">
        <f t="shared" si="8"/>
        <v>5.7142857142857135</v>
      </c>
      <c r="U16" s="17">
        <f t="shared" si="8"/>
        <v>3.2857142857142856</v>
      </c>
      <c r="V16" s="17">
        <f t="shared" si="8"/>
        <v>22.285714285714288</v>
      </c>
      <c r="W16" s="17">
        <f t="shared" si="8"/>
        <v>0.42857142857142855</v>
      </c>
      <c r="X16" s="17">
        <f t="shared" si="8"/>
        <v>1.4285714285714284</v>
      </c>
      <c r="Y16" s="17">
        <f t="shared" si="8"/>
        <v>4.2857142857142856</v>
      </c>
      <c r="Z16" s="17">
        <f t="shared" si="8"/>
        <v>1.8571428571428572</v>
      </c>
      <c r="AA16" s="17">
        <f t="shared" si="8"/>
        <v>5</v>
      </c>
      <c r="AB16" s="17">
        <f t="shared" si="8"/>
        <v>7</v>
      </c>
      <c r="AC16" s="17">
        <f t="shared" si="8"/>
        <v>50.857142857142861</v>
      </c>
      <c r="AD16" s="17">
        <f t="shared" si="8"/>
        <v>0.5714285714285714</v>
      </c>
      <c r="AE16" s="31">
        <f t="shared" si="8"/>
        <v>77.857142857142861</v>
      </c>
      <c r="AF16" s="31">
        <f t="shared" si="8"/>
        <v>128.71428571428572</v>
      </c>
    </row>
    <row r="17" spans="2:32" ht="23.1" customHeight="1" x14ac:dyDescent="0.25">
      <c r="B17" s="23" t="s">
        <v>44</v>
      </c>
      <c r="C17" s="49">
        <f>AVERAGE('27.10 Kabale-Mbarara'!C17,'28.10 Kabale-Mbarara'!C17,'29.10 Kabale-Mbarara'!C17,'30.10 Kabale -Mbarara'!C17,'31.10 Kabale-Mbarara-24hr'!C17,'1.11 Kabale-Mbarara'!C17,'2.11 Kabale-Mbarara-24hr'!C17)</f>
        <v>6.5714285714285712</v>
      </c>
      <c r="D17" s="49">
        <f>AVERAGE('27.10 Kabale-Mbarara'!D17,'28.10 Kabale-Mbarara'!D17,'29.10 Kabale-Mbarara'!D17,'30.10 Kabale -Mbarara'!D17,'31.10 Kabale-Mbarara-24hr'!D17,'1.11 Kabale-Mbarara'!D17,'2.11 Kabale-Mbarara-24hr'!D17)</f>
        <v>0.8571428571428571</v>
      </c>
      <c r="E17" s="49">
        <f>AVERAGE('27.10 Kabale-Mbarara'!E17,'28.10 Kabale-Mbarara'!E17,'29.10 Kabale-Mbarara'!E17,'30.10 Kabale -Mbarara'!E17,'31.10 Kabale-Mbarara-24hr'!E17,'1.11 Kabale-Mbarara'!E17,'2.11 Kabale-Mbarara-24hr'!E17)</f>
        <v>1</v>
      </c>
      <c r="F17" s="49">
        <f>AVERAGE('27.10 Kabale-Mbarara'!F17,'28.10 Kabale-Mbarara'!F17,'29.10 Kabale-Mbarara'!F17,'30.10 Kabale -Mbarara'!F17,'31.10 Kabale-Mbarara-24hr'!F17,'1.11 Kabale-Mbarara'!F17,'2.11 Kabale-Mbarara-24hr'!F17)</f>
        <v>5.1428571428571432</v>
      </c>
      <c r="G17" s="49">
        <f>AVERAGE('27.10 Kabale-Mbarara'!G17,'28.10 Kabale-Mbarara'!G17,'29.10 Kabale-Mbarara'!G17,'30.10 Kabale -Mbarara'!G17,'31.10 Kabale-Mbarara-24hr'!G17,'1.11 Kabale-Mbarara'!G17,'2.11 Kabale-Mbarara-24hr'!G17)</f>
        <v>0</v>
      </c>
      <c r="H17" s="49">
        <f>AVERAGE('27.10 Kabale-Mbarara'!H17,'28.10 Kabale-Mbarara'!H17,'29.10 Kabale-Mbarara'!H17,'30.10 Kabale -Mbarara'!H17,'31.10 Kabale-Mbarara-24hr'!H17,'1.11 Kabale-Mbarara'!H17,'2.11 Kabale-Mbarara-24hr'!H17)</f>
        <v>0</v>
      </c>
      <c r="I17" s="49">
        <f>AVERAGE('27.10 Kabale-Mbarara'!I17,'28.10 Kabale-Mbarara'!I17,'29.10 Kabale-Mbarara'!I17,'30.10 Kabale -Mbarara'!I17,'31.10 Kabale-Mbarara-24hr'!I17,'1.11 Kabale-Mbarara'!I17,'2.11 Kabale-Mbarara-24hr'!I17)</f>
        <v>1.5714285714285714</v>
      </c>
      <c r="J17" s="49">
        <f>AVERAGE('27.10 Kabale-Mbarara'!J17,'28.10 Kabale-Mbarara'!J17,'29.10 Kabale-Mbarara'!J17,'30.10 Kabale -Mbarara'!J17,'31.10 Kabale-Mbarara-24hr'!J17,'1.11 Kabale-Mbarara'!J17,'2.11 Kabale-Mbarara-24hr'!J17)</f>
        <v>0.2857142857142857</v>
      </c>
      <c r="K17" s="49">
        <f>AVERAGE('27.10 Kabale-Mbarara'!K17,'28.10 Kabale-Mbarara'!K17,'29.10 Kabale-Mbarara'!K17,'30.10 Kabale -Mbarara'!K17,'31.10 Kabale-Mbarara-24hr'!K17,'1.11 Kabale-Mbarara'!K17,'2.11 Kabale-Mbarara-24hr'!K17)</f>
        <v>0.7142857142857143</v>
      </c>
      <c r="L17" s="49">
        <f>AVERAGE('27.10 Kabale-Mbarara'!L17,'28.10 Kabale-Mbarara'!L17,'29.10 Kabale-Mbarara'!L17,'30.10 Kabale -Mbarara'!L17,'31.10 Kabale-Mbarara-24hr'!L17,'1.11 Kabale-Mbarara'!L17,'2.11 Kabale-Mbarara-24hr'!L17)</f>
        <v>1.4285714285714286</v>
      </c>
      <c r="M17" s="49">
        <f>AVERAGE('27.10 Kabale-Mbarara'!M17,'28.10 Kabale-Mbarara'!M17,'29.10 Kabale-Mbarara'!M17,'30.10 Kabale -Mbarara'!M17,'31.10 Kabale-Mbarara-24hr'!M17,'1.11 Kabale-Mbarara'!M17,'2.11 Kabale-Mbarara-24hr'!M17)</f>
        <v>15.428571428571429</v>
      </c>
      <c r="N17" s="49">
        <f>AVERAGE('27.10 Kabale-Mbarara'!N17,'28.10 Kabale-Mbarara'!N17,'29.10 Kabale-Mbarara'!N17,'30.10 Kabale -Mbarara'!N17,'31.10 Kabale-Mbarara-24hr'!N17,'1.11 Kabale-Mbarara'!N17,'2.11 Kabale-Mbarara-24hr'!N17)</f>
        <v>0</v>
      </c>
      <c r="O17" s="15">
        <f t="shared" si="0"/>
        <v>17.571428571428569</v>
      </c>
      <c r="P17" s="15">
        <f t="shared" si="1"/>
        <v>33</v>
      </c>
      <c r="R17" s="1" t="s">
        <v>13</v>
      </c>
      <c r="S17" s="17">
        <f t="shared" ref="S17:AF17" si="9">SUM(C38:C41)</f>
        <v>28.571428571428577</v>
      </c>
      <c r="T17" s="17">
        <f t="shared" si="9"/>
        <v>5.8571428571428577</v>
      </c>
      <c r="U17" s="17">
        <f t="shared" si="9"/>
        <v>5.2857142857142856</v>
      </c>
      <c r="V17" s="17">
        <f t="shared" si="9"/>
        <v>14.571428571428569</v>
      </c>
      <c r="W17" s="17">
        <f t="shared" si="9"/>
        <v>0.42857142857142855</v>
      </c>
      <c r="X17" s="17">
        <f t="shared" si="9"/>
        <v>3.8571428571428572</v>
      </c>
      <c r="Y17" s="17">
        <f t="shared" si="9"/>
        <v>6.4285714285714288</v>
      </c>
      <c r="Z17" s="17">
        <f t="shared" si="9"/>
        <v>4.1428571428571423</v>
      </c>
      <c r="AA17" s="17">
        <f t="shared" si="9"/>
        <v>3.5714285714285712</v>
      </c>
      <c r="AB17" s="17">
        <f t="shared" si="9"/>
        <v>8.8571428571428577</v>
      </c>
      <c r="AC17" s="17">
        <f t="shared" si="9"/>
        <v>44.142857142857146</v>
      </c>
      <c r="AD17" s="17">
        <f t="shared" si="9"/>
        <v>0</v>
      </c>
      <c r="AE17" s="31">
        <f t="shared" si="9"/>
        <v>81.571428571428584</v>
      </c>
      <c r="AF17" s="31">
        <f t="shared" si="9"/>
        <v>125.71428571428572</v>
      </c>
    </row>
    <row r="18" spans="2:32" ht="23.1" customHeight="1" x14ac:dyDescent="0.25">
      <c r="B18" s="23" t="s">
        <v>45</v>
      </c>
      <c r="C18" s="49">
        <f>AVERAGE('27.10 Kabale-Mbarara'!C18,'28.10 Kabale-Mbarara'!C18,'29.10 Kabale-Mbarara'!C18,'30.10 Kabale -Mbarara'!C18,'31.10 Kabale-Mbarara-24hr'!C18,'1.11 Kabale-Mbarara'!C18,'2.11 Kabale-Mbarara-24hr'!C18)</f>
        <v>8</v>
      </c>
      <c r="D18" s="49">
        <f>AVERAGE('27.10 Kabale-Mbarara'!D18,'28.10 Kabale-Mbarara'!D18,'29.10 Kabale-Mbarara'!D18,'30.10 Kabale -Mbarara'!D18,'31.10 Kabale-Mbarara-24hr'!D18,'1.11 Kabale-Mbarara'!D18,'2.11 Kabale-Mbarara-24hr'!D18)</f>
        <v>0.14285714285714285</v>
      </c>
      <c r="E18" s="49">
        <f>AVERAGE('27.10 Kabale-Mbarara'!E18,'28.10 Kabale-Mbarara'!E18,'29.10 Kabale-Mbarara'!E18,'30.10 Kabale -Mbarara'!E18,'31.10 Kabale-Mbarara-24hr'!E18,'1.11 Kabale-Mbarara'!E18,'2.11 Kabale-Mbarara-24hr'!E18)</f>
        <v>0.5714285714285714</v>
      </c>
      <c r="F18" s="49">
        <f>AVERAGE('27.10 Kabale-Mbarara'!F18,'28.10 Kabale-Mbarara'!F18,'29.10 Kabale-Mbarara'!F18,'30.10 Kabale -Mbarara'!F18,'31.10 Kabale-Mbarara-24hr'!F18,'1.11 Kabale-Mbarara'!F18,'2.11 Kabale-Mbarara-24hr'!F18)</f>
        <v>6.1428571428571432</v>
      </c>
      <c r="G18" s="49">
        <f>AVERAGE('27.10 Kabale-Mbarara'!G18,'28.10 Kabale-Mbarara'!G18,'29.10 Kabale-Mbarara'!G18,'30.10 Kabale -Mbarara'!G18,'31.10 Kabale-Mbarara-24hr'!G18,'1.11 Kabale-Mbarara'!G18,'2.11 Kabale-Mbarara-24hr'!G18)</f>
        <v>0.14285714285714285</v>
      </c>
      <c r="H18" s="49">
        <f>AVERAGE('27.10 Kabale-Mbarara'!H18,'28.10 Kabale-Mbarara'!H18,'29.10 Kabale-Mbarara'!H18,'30.10 Kabale -Mbarara'!H18,'31.10 Kabale-Mbarara-24hr'!H18,'1.11 Kabale-Mbarara'!H18,'2.11 Kabale-Mbarara-24hr'!H18)</f>
        <v>0.5714285714285714</v>
      </c>
      <c r="I18" s="49">
        <f>AVERAGE('27.10 Kabale-Mbarara'!I18,'28.10 Kabale-Mbarara'!I18,'29.10 Kabale-Mbarara'!I18,'30.10 Kabale -Mbarara'!I18,'31.10 Kabale-Mbarara-24hr'!I18,'1.11 Kabale-Mbarara'!I18,'2.11 Kabale-Mbarara-24hr'!I18)</f>
        <v>1.1428571428571428</v>
      </c>
      <c r="J18" s="49">
        <f>AVERAGE('27.10 Kabale-Mbarara'!J18,'28.10 Kabale-Mbarara'!J18,'29.10 Kabale-Mbarara'!J18,'30.10 Kabale -Mbarara'!J18,'31.10 Kabale-Mbarara-24hr'!J18,'1.11 Kabale-Mbarara'!J18,'2.11 Kabale-Mbarara-24hr'!J18)</f>
        <v>0.7142857142857143</v>
      </c>
      <c r="K18" s="49">
        <f>AVERAGE('27.10 Kabale-Mbarara'!K18,'28.10 Kabale-Mbarara'!K18,'29.10 Kabale-Mbarara'!K18,'30.10 Kabale -Mbarara'!K18,'31.10 Kabale-Mbarara-24hr'!K18,'1.11 Kabale-Mbarara'!K18,'2.11 Kabale-Mbarara-24hr'!K18)</f>
        <v>0</v>
      </c>
      <c r="L18" s="49">
        <f>AVERAGE('27.10 Kabale-Mbarara'!L18,'28.10 Kabale-Mbarara'!L18,'29.10 Kabale-Mbarara'!L18,'30.10 Kabale -Mbarara'!L18,'31.10 Kabale-Mbarara-24hr'!L18,'1.11 Kabale-Mbarara'!L18,'2.11 Kabale-Mbarara-24hr'!L18)</f>
        <v>1.1428571428571428</v>
      </c>
      <c r="M18" s="49">
        <f>AVERAGE('27.10 Kabale-Mbarara'!M18,'28.10 Kabale-Mbarara'!M18,'29.10 Kabale-Mbarara'!M18,'30.10 Kabale -Mbarara'!M18,'31.10 Kabale-Mbarara-24hr'!M18,'1.11 Kabale-Mbarara'!M18,'2.11 Kabale-Mbarara-24hr'!M18)</f>
        <v>16.142857142857142</v>
      </c>
      <c r="N18" s="49">
        <f>AVERAGE('27.10 Kabale-Mbarara'!N18,'28.10 Kabale-Mbarara'!N18,'29.10 Kabale-Mbarara'!N18,'30.10 Kabale -Mbarara'!N18,'31.10 Kabale-Mbarara-24hr'!N18,'1.11 Kabale-Mbarara'!N18,'2.11 Kabale-Mbarara-24hr'!N18)</f>
        <v>0</v>
      </c>
      <c r="O18" s="15">
        <f t="shared" si="0"/>
        <v>18.571428571428573</v>
      </c>
      <c r="P18" s="15">
        <f t="shared" si="1"/>
        <v>34.714285714285715</v>
      </c>
      <c r="R18" s="1" t="s">
        <v>14</v>
      </c>
      <c r="S18" s="17">
        <f t="shared" ref="S18:AF18" si="10">SUM(C42:C45)</f>
        <v>30.285714285714288</v>
      </c>
      <c r="T18" s="17">
        <f t="shared" si="10"/>
        <v>6.2857142857142847</v>
      </c>
      <c r="U18" s="17">
        <f t="shared" si="10"/>
        <v>3</v>
      </c>
      <c r="V18" s="17">
        <f t="shared" si="10"/>
        <v>22.285714285714285</v>
      </c>
      <c r="W18" s="17">
        <f t="shared" si="10"/>
        <v>0.2857142857142857</v>
      </c>
      <c r="X18" s="17">
        <f t="shared" si="10"/>
        <v>0.71428571428571419</v>
      </c>
      <c r="Y18" s="17">
        <f t="shared" si="10"/>
        <v>7.5714285714285712</v>
      </c>
      <c r="Z18" s="17">
        <f t="shared" si="10"/>
        <v>3.5714285714285712</v>
      </c>
      <c r="AA18" s="17">
        <f t="shared" si="10"/>
        <v>6.8571428571428577</v>
      </c>
      <c r="AB18" s="17">
        <f t="shared" si="10"/>
        <v>8.7142857142857135</v>
      </c>
      <c r="AC18" s="17">
        <f t="shared" si="10"/>
        <v>55.285714285714292</v>
      </c>
      <c r="AD18" s="17">
        <f t="shared" si="10"/>
        <v>0.14285714285714285</v>
      </c>
      <c r="AE18" s="31">
        <f t="shared" si="10"/>
        <v>89.714285714285722</v>
      </c>
      <c r="AF18" s="31">
        <f t="shared" si="10"/>
        <v>145</v>
      </c>
    </row>
    <row r="19" spans="2:32" ht="23.1" customHeight="1" x14ac:dyDescent="0.25">
      <c r="B19" s="23" t="s">
        <v>46</v>
      </c>
      <c r="C19" s="49">
        <f>AVERAGE('27.10 Kabale-Mbarara'!C19,'28.10 Kabale-Mbarara'!C19,'29.10 Kabale-Mbarara'!C19,'30.10 Kabale -Mbarara'!C19,'31.10 Kabale-Mbarara-24hr'!C19,'1.11 Kabale-Mbarara'!C19,'2.11 Kabale-Mbarara-24hr'!C19)</f>
        <v>5</v>
      </c>
      <c r="D19" s="49">
        <f>AVERAGE('27.10 Kabale-Mbarara'!D19,'28.10 Kabale-Mbarara'!D19,'29.10 Kabale-Mbarara'!D19,'30.10 Kabale -Mbarara'!D19,'31.10 Kabale-Mbarara-24hr'!D19,'1.11 Kabale-Mbarara'!D19,'2.11 Kabale-Mbarara-24hr'!D19)</f>
        <v>0.8571428571428571</v>
      </c>
      <c r="E19" s="49">
        <f>AVERAGE('27.10 Kabale-Mbarara'!E19,'28.10 Kabale-Mbarara'!E19,'29.10 Kabale-Mbarara'!E19,'30.10 Kabale -Mbarara'!E19,'31.10 Kabale-Mbarara-24hr'!E19,'1.11 Kabale-Mbarara'!E19,'2.11 Kabale-Mbarara-24hr'!E19)</f>
        <v>0.14285714285714285</v>
      </c>
      <c r="F19" s="49">
        <f>AVERAGE('27.10 Kabale-Mbarara'!F19,'28.10 Kabale-Mbarara'!F19,'29.10 Kabale-Mbarara'!F19,'30.10 Kabale -Mbarara'!F19,'31.10 Kabale-Mbarara-24hr'!F19,'1.11 Kabale-Mbarara'!F19,'2.11 Kabale-Mbarara-24hr'!F19)</f>
        <v>6.5714285714285712</v>
      </c>
      <c r="G19" s="49">
        <f>AVERAGE('27.10 Kabale-Mbarara'!G19,'28.10 Kabale-Mbarara'!G19,'29.10 Kabale-Mbarara'!G19,'30.10 Kabale -Mbarara'!G19,'31.10 Kabale-Mbarara-24hr'!G19,'1.11 Kabale-Mbarara'!G19,'2.11 Kabale-Mbarara-24hr'!G19)</f>
        <v>0</v>
      </c>
      <c r="H19" s="49">
        <f>AVERAGE('27.10 Kabale-Mbarara'!H19,'28.10 Kabale-Mbarara'!H19,'29.10 Kabale-Mbarara'!H19,'30.10 Kabale -Mbarara'!H19,'31.10 Kabale-Mbarara-24hr'!H19,'1.11 Kabale-Mbarara'!H19,'2.11 Kabale-Mbarara-24hr'!H19)</f>
        <v>0.42857142857142855</v>
      </c>
      <c r="I19" s="49">
        <f>AVERAGE('27.10 Kabale-Mbarara'!I19,'28.10 Kabale-Mbarara'!I19,'29.10 Kabale-Mbarara'!I19,'30.10 Kabale -Mbarara'!I19,'31.10 Kabale-Mbarara-24hr'!I19,'1.11 Kabale-Mbarara'!I19,'2.11 Kabale-Mbarara-24hr'!I19)</f>
        <v>1.2857142857142858</v>
      </c>
      <c r="J19" s="49">
        <f>AVERAGE('27.10 Kabale-Mbarara'!J19,'28.10 Kabale-Mbarara'!J19,'29.10 Kabale-Mbarara'!J19,'30.10 Kabale -Mbarara'!J19,'31.10 Kabale-Mbarara-24hr'!J19,'1.11 Kabale-Mbarara'!J19,'2.11 Kabale-Mbarara-24hr'!J19)</f>
        <v>0.7142857142857143</v>
      </c>
      <c r="K19" s="49">
        <f>AVERAGE('27.10 Kabale-Mbarara'!K19,'28.10 Kabale-Mbarara'!K19,'29.10 Kabale-Mbarara'!K19,'30.10 Kabale -Mbarara'!K19,'31.10 Kabale-Mbarara-24hr'!K19,'1.11 Kabale-Mbarara'!K19,'2.11 Kabale-Mbarara-24hr'!K19)</f>
        <v>0.8571428571428571</v>
      </c>
      <c r="L19" s="49">
        <f>AVERAGE('27.10 Kabale-Mbarara'!L19,'28.10 Kabale-Mbarara'!L19,'29.10 Kabale-Mbarara'!L19,'30.10 Kabale -Mbarara'!L19,'31.10 Kabale-Mbarara-24hr'!L19,'1.11 Kabale-Mbarara'!L19,'2.11 Kabale-Mbarara-24hr'!L19)</f>
        <v>1</v>
      </c>
      <c r="M19" s="49">
        <f>AVERAGE('27.10 Kabale-Mbarara'!M19,'28.10 Kabale-Mbarara'!M19,'29.10 Kabale-Mbarara'!M19,'30.10 Kabale -Mbarara'!M19,'31.10 Kabale-Mbarara-24hr'!M19,'1.11 Kabale-Mbarara'!M19,'2.11 Kabale-Mbarara-24hr'!M19)</f>
        <v>15.714285714285714</v>
      </c>
      <c r="N19" s="49">
        <f>AVERAGE('27.10 Kabale-Mbarara'!N19,'28.10 Kabale-Mbarara'!N19,'29.10 Kabale-Mbarara'!N19,'30.10 Kabale -Mbarara'!N19,'31.10 Kabale-Mbarara-24hr'!N19,'1.11 Kabale-Mbarara'!N19,'2.11 Kabale-Mbarara-24hr'!N19)</f>
        <v>0</v>
      </c>
      <c r="O19" s="15">
        <f t="shared" si="0"/>
        <v>16.857142857142858</v>
      </c>
      <c r="P19" s="15">
        <f t="shared" si="1"/>
        <v>32.571428571428569</v>
      </c>
      <c r="R19" s="1" t="s">
        <v>15</v>
      </c>
      <c r="S19" s="17">
        <f t="shared" ref="S19:AF19" si="11">SUM(C46:C49)</f>
        <v>35.857142857142861</v>
      </c>
      <c r="T19" s="17">
        <f t="shared" si="11"/>
        <v>7.7142857142857144</v>
      </c>
      <c r="U19" s="17">
        <f t="shared" si="11"/>
        <v>6.2857142857142865</v>
      </c>
      <c r="V19" s="17">
        <f t="shared" si="11"/>
        <v>18.571428571428569</v>
      </c>
      <c r="W19" s="17">
        <f t="shared" si="11"/>
        <v>0.14285714285714285</v>
      </c>
      <c r="X19" s="17">
        <f t="shared" si="11"/>
        <v>0.8571428571428571</v>
      </c>
      <c r="Y19" s="17">
        <f t="shared" si="11"/>
        <v>6</v>
      </c>
      <c r="Z19" s="17">
        <f t="shared" si="11"/>
        <v>4.8571428571428577</v>
      </c>
      <c r="AA19" s="17">
        <f t="shared" si="11"/>
        <v>6.4285714285714288</v>
      </c>
      <c r="AB19" s="17">
        <f t="shared" si="11"/>
        <v>12.142857142857142</v>
      </c>
      <c r="AC19" s="17">
        <f t="shared" si="11"/>
        <v>67.428571428571431</v>
      </c>
      <c r="AD19" s="17">
        <f t="shared" si="11"/>
        <v>0</v>
      </c>
      <c r="AE19" s="31">
        <f t="shared" si="11"/>
        <v>98.857142857142847</v>
      </c>
      <c r="AF19" s="31">
        <f t="shared" si="11"/>
        <v>166.28571428571428</v>
      </c>
    </row>
    <row r="20" spans="2:32" ht="23.1" customHeight="1" x14ac:dyDescent="0.25">
      <c r="B20" s="23" t="s">
        <v>47</v>
      </c>
      <c r="C20" s="49">
        <f>AVERAGE('27.10 Kabale-Mbarara'!C20,'28.10 Kabale-Mbarara'!C20,'29.10 Kabale-Mbarara'!C20,'30.10 Kabale -Mbarara'!C20,'31.10 Kabale-Mbarara-24hr'!C20,'1.11 Kabale-Mbarara'!C20,'2.11 Kabale-Mbarara-24hr'!C20)</f>
        <v>6.1428571428571432</v>
      </c>
      <c r="D20" s="49">
        <f>AVERAGE('27.10 Kabale-Mbarara'!D20,'28.10 Kabale-Mbarara'!D20,'29.10 Kabale-Mbarara'!D20,'30.10 Kabale -Mbarara'!D20,'31.10 Kabale-Mbarara-24hr'!D20,'1.11 Kabale-Mbarara'!D20,'2.11 Kabale-Mbarara-24hr'!D20)</f>
        <v>1.5714285714285714</v>
      </c>
      <c r="E20" s="49">
        <f>AVERAGE('27.10 Kabale-Mbarara'!E20,'28.10 Kabale-Mbarara'!E20,'29.10 Kabale-Mbarara'!E20,'30.10 Kabale -Mbarara'!E20,'31.10 Kabale-Mbarara-24hr'!E20,'1.11 Kabale-Mbarara'!E20,'2.11 Kabale-Mbarara-24hr'!E20)</f>
        <v>0.7142857142857143</v>
      </c>
      <c r="F20" s="49">
        <f>AVERAGE('27.10 Kabale-Mbarara'!F20,'28.10 Kabale-Mbarara'!F20,'29.10 Kabale-Mbarara'!F20,'30.10 Kabale -Mbarara'!F20,'31.10 Kabale-Mbarara-24hr'!F20,'1.11 Kabale-Mbarara'!F20,'2.11 Kabale-Mbarara-24hr'!F20)</f>
        <v>6.4285714285714288</v>
      </c>
      <c r="G20" s="49">
        <f>AVERAGE('27.10 Kabale-Mbarara'!G20,'28.10 Kabale-Mbarara'!G20,'29.10 Kabale-Mbarara'!G20,'30.10 Kabale -Mbarara'!G20,'31.10 Kabale-Mbarara-24hr'!G20,'1.11 Kabale-Mbarara'!G20,'2.11 Kabale-Mbarara-24hr'!G20)</f>
        <v>0.14285714285714285</v>
      </c>
      <c r="H20" s="49">
        <f>AVERAGE('27.10 Kabale-Mbarara'!H20,'28.10 Kabale-Mbarara'!H20,'29.10 Kabale-Mbarara'!H20,'30.10 Kabale -Mbarara'!H20,'31.10 Kabale-Mbarara-24hr'!H20,'1.11 Kabale-Mbarara'!H20,'2.11 Kabale-Mbarara-24hr'!H20)</f>
        <v>1.1428571428571428</v>
      </c>
      <c r="I20" s="49">
        <f>AVERAGE('27.10 Kabale-Mbarara'!I20,'28.10 Kabale-Mbarara'!I20,'29.10 Kabale-Mbarara'!I20,'30.10 Kabale -Mbarara'!I20,'31.10 Kabale-Mbarara-24hr'!I20,'1.11 Kabale-Mbarara'!I20,'2.11 Kabale-Mbarara-24hr'!I20)</f>
        <v>2.2857142857142856</v>
      </c>
      <c r="J20" s="49">
        <f>AVERAGE('27.10 Kabale-Mbarara'!J20,'28.10 Kabale-Mbarara'!J20,'29.10 Kabale-Mbarara'!J20,'30.10 Kabale -Mbarara'!J20,'31.10 Kabale-Mbarara-24hr'!J20,'1.11 Kabale-Mbarara'!J20,'2.11 Kabale-Mbarara-24hr'!J20)</f>
        <v>0.7142857142857143</v>
      </c>
      <c r="K20" s="49">
        <f>AVERAGE('27.10 Kabale-Mbarara'!K20,'28.10 Kabale-Mbarara'!K20,'29.10 Kabale-Mbarara'!K20,'30.10 Kabale -Mbarara'!K20,'31.10 Kabale-Mbarara-24hr'!K20,'1.11 Kabale-Mbarara'!K20,'2.11 Kabale-Mbarara-24hr'!K20)</f>
        <v>0.2857142857142857</v>
      </c>
      <c r="L20" s="49">
        <f>AVERAGE('27.10 Kabale-Mbarara'!L20,'28.10 Kabale-Mbarara'!L20,'29.10 Kabale-Mbarara'!L20,'30.10 Kabale -Mbarara'!L20,'31.10 Kabale-Mbarara-24hr'!L20,'1.11 Kabale-Mbarara'!L20,'2.11 Kabale-Mbarara-24hr'!L20)</f>
        <v>0.42857142857142855</v>
      </c>
      <c r="M20" s="49">
        <f>AVERAGE('27.10 Kabale-Mbarara'!M20,'28.10 Kabale-Mbarara'!M20,'29.10 Kabale-Mbarara'!M20,'30.10 Kabale -Mbarara'!M20,'31.10 Kabale-Mbarara-24hr'!M20,'1.11 Kabale-Mbarara'!M20,'2.11 Kabale-Mbarara-24hr'!M20)</f>
        <v>17.142857142857142</v>
      </c>
      <c r="N20" s="49">
        <f>AVERAGE('27.10 Kabale-Mbarara'!N20,'28.10 Kabale-Mbarara'!N20,'29.10 Kabale-Mbarara'!N20,'30.10 Kabale -Mbarara'!N20,'31.10 Kabale-Mbarara-24hr'!N20,'1.11 Kabale-Mbarara'!N20,'2.11 Kabale-Mbarara-24hr'!N20)</f>
        <v>0.14285714285714285</v>
      </c>
      <c r="O20" s="15">
        <f t="shared" si="0"/>
        <v>19.999999999999996</v>
      </c>
      <c r="P20" s="15">
        <f t="shared" si="1"/>
        <v>37.142857142857146</v>
      </c>
      <c r="R20" s="1" t="s">
        <v>16</v>
      </c>
      <c r="S20" s="17">
        <f t="shared" ref="S20:AF20" si="12">SUM(C50:C53)</f>
        <v>26.285714285714285</v>
      </c>
      <c r="T20" s="17">
        <f t="shared" si="12"/>
        <v>6</v>
      </c>
      <c r="U20" s="17">
        <f t="shared" si="12"/>
        <v>5.5714285714285712</v>
      </c>
      <c r="V20" s="17">
        <f t="shared" si="12"/>
        <v>23.714285714285712</v>
      </c>
      <c r="W20" s="17">
        <f t="shared" si="12"/>
        <v>0.5714285714285714</v>
      </c>
      <c r="X20" s="17">
        <f t="shared" si="12"/>
        <v>0.2857142857142857</v>
      </c>
      <c r="Y20" s="17">
        <f t="shared" si="12"/>
        <v>5.2857142857142865</v>
      </c>
      <c r="Z20" s="17">
        <f t="shared" si="12"/>
        <v>4.5714285714285712</v>
      </c>
      <c r="AA20" s="17">
        <f t="shared" si="12"/>
        <v>8.2857142857142865</v>
      </c>
      <c r="AB20" s="17">
        <f t="shared" si="12"/>
        <v>6.5714285714285712</v>
      </c>
      <c r="AC20" s="17">
        <f t="shared" si="12"/>
        <v>54.714285714285715</v>
      </c>
      <c r="AD20" s="17">
        <f t="shared" si="12"/>
        <v>0</v>
      </c>
      <c r="AE20" s="31">
        <f t="shared" si="12"/>
        <v>87.142857142857139</v>
      </c>
      <c r="AF20" s="31">
        <f t="shared" si="12"/>
        <v>141.85714285714286</v>
      </c>
    </row>
    <row r="21" spans="2:32" ht="23.1" customHeight="1" x14ac:dyDescent="0.25">
      <c r="B21" s="23" t="s">
        <v>48</v>
      </c>
      <c r="C21" s="49">
        <f>AVERAGE('27.10 Kabale-Mbarara'!C21,'28.10 Kabale-Mbarara'!C21,'29.10 Kabale-Mbarara'!C21,'30.10 Kabale -Mbarara'!C21,'31.10 Kabale-Mbarara-24hr'!C21,'1.11 Kabale-Mbarara'!C21,'2.11 Kabale-Mbarara-24hr'!C21)</f>
        <v>8.2857142857142865</v>
      </c>
      <c r="D21" s="49">
        <f>AVERAGE('27.10 Kabale-Mbarara'!D21,'28.10 Kabale-Mbarara'!D21,'29.10 Kabale-Mbarara'!D21,'30.10 Kabale -Mbarara'!D21,'31.10 Kabale-Mbarara-24hr'!D21,'1.11 Kabale-Mbarara'!D21,'2.11 Kabale-Mbarara-24hr'!D21)</f>
        <v>2.2857142857142856</v>
      </c>
      <c r="E21" s="49">
        <f>AVERAGE('27.10 Kabale-Mbarara'!E21,'28.10 Kabale-Mbarara'!E21,'29.10 Kabale-Mbarara'!E21,'30.10 Kabale -Mbarara'!E21,'31.10 Kabale-Mbarara-24hr'!E21,'1.11 Kabale-Mbarara'!E21,'2.11 Kabale-Mbarara-24hr'!E21)</f>
        <v>0.42857142857142855</v>
      </c>
      <c r="F21" s="49">
        <f>AVERAGE('27.10 Kabale-Mbarara'!F21,'28.10 Kabale-Mbarara'!F21,'29.10 Kabale-Mbarara'!F21,'30.10 Kabale -Mbarara'!F21,'31.10 Kabale-Mbarara-24hr'!F21,'1.11 Kabale-Mbarara'!F21,'2.11 Kabale-Mbarara-24hr'!F21)</f>
        <v>5.2857142857142856</v>
      </c>
      <c r="G21" s="49">
        <f>AVERAGE('27.10 Kabale-Mbarara'!G21,'28.10 Kabale-Mbarara'!G21,'29.10 Kabale-Mbarara'!G21,'30.10 Kabale -Mbarara'!G21,'31.10 Kabale-Mbarara-24hr'!G21,'1.11 Kabale-Mbarara'!G21,'2.11 Kabale-Mbarara-24hr'!G21)</f>
        <v>0.14285714285714285</v>
      </c>
      <c r="H21" s="49">
        <f>AVERAGE('27.10 Kabale-Mbarara'!H21,'28.10 Kabale-Mbarara'!H21,'29.10 Kabale-Mbarara'!H21,'30.10 Kabale -Mbarara'!H21,'31.10 Kabale-Mbarara-24hr'!H21,'1.11 Kabale-Mbarara'!H21,'2.11 Kabale-Mbarara-24hr'!H21)</f>
        <v>0.2857142857142857</v>
      </c>
      <c r="I21" s="49">
        <f>AVERAGE('27.10 Kabale-Mbarara'!I21,'28.10 Kabale-Mbarara'!I21,'29.10 Kabale-Mbarara'!I21,'30.10 Kabale -Mbarara'!I21,'31.10 Kabale-Mbarara-24hr'!I21,'1.11 Kabale-Mbarara'!I21,'2.11 Kabale-Mbarara-24hr'!I21)</f>
        <v>0.8571428571428571</v>
      </c>
      <c r="J21" s="49">
        <f>AVERAGE('27.10 Kabale-Mbarara'!J21,'28.10 Kabale-Mbarara'!J21,'29.10 Kabale-Mbarara'!J21,'30.10 Kabale -Mbarara'!J21,'31.10 Kabale-Mbarara-24hr'!J21,'1.11 Kabale-Mbarara'!J21,'2.11 Kabale-Mbarara-24hr'!J21)</f>
        <v>0.7142857142857143</v>
      </c>
      <c r="K21" s="49">
        <f>AVERAGE('27.10 Kabale-Mbarara'!K21,'28.10 Kabale-Mbarara'!K21,'29.10 Kabale-Mbarara'!K21,'30.10 Kabale -Mbarara'!K21,'31.10 Kabale-Mbarara-24hr'!K21,'1.11 Kabale-Mbarara'!K21,'2.11 Kabale-Mbarara-24hr'!K21)</f>
        <v>0.8571428571428571</v>
      </c>
      <c r="L21" s="49">
        <f>AVERAGE('27.10 Kabale-Mbarara'!L21,'28.10 Kabale-Mbarara'!L21,'29.10 Kabale-Mbarara'!L21,'30.10 Kabale -Mbarara'!L21,'31.10 Kabale-Mbarara-24hr'!L21,'1.11 Kabale-Mbarara'!L21,'2.11 Kabale-Mbarara-24hr'!L21)</f>
        <v>1.4285714285714286</v>
      </c>
      <c r="M21" s="49">
        <f>AVERAGE('27.10 Kabale-Mbarara'!M21,'28.10 Kabale-Mbarara'!M21,'29.10 Kabale-Mbarara'!M21,'30.10 Kabale -Mbarara'!M21,'31.10 Kabale-Mbarara-24hr'!M21,'1.11 Kabale-Mbarara'!M21,'2.11 Kabale-Mbarara-24hr'!M21)</f>
        <v>20.714285714285715</v>
      </c>
      <c r="N21" s="49">
        <f>AVERAGE('27.10 Kabale-Mbarara'!N21,'28.10 Kabale-Mbarara'!N21,'29.10 Kabale-Mbarara'!N21,'30.10 Kabale -Mbarara'!N21,'31.10 Kabale-Mbarara-24hr'!N21,'1.11 Kabale-Mbarara'!N21,'2.11 Kabale-Mbarara-24hr'!N21)</f>
        <v>0</v>
      </c>
      <c r="O21" s="15">
        <f t="shared" si="0"/>
        <v>20.571428571428573</v>
      </c>
      <c r="P21" s="15">
        <f t="shared" si="1"/>
        <v>41.285714285714292</v>
      </c>
      <c r="R21" s="36" t="s">
        <v>20</v>
      </c>
      <c r="S21" s="34">
        <f t="shared" ref="S21:AF21" si="13">SUM(C54:C57)</f>
        <v>30.428571428571431</v>
      </c>
      <c r="T21" s="17">
        <f t="shared" si="13"/>
        <v>5.8571428571428577</v>
      </c>
      <c r="U21" s="17">
        <f t="shared" si="13"/>
        <v>4.5714285714285712</v>
      </c>
      <c r="V21" s="17">
        <f t="shared" si="13"/>
        <v>22.142857142857139</v>
      </c>
      <c r="W21" s="17">
        <f t="shared" si="13"/>
        <v>0.99999999999999989</v>
      </c>
      <c r="X21" s="17">
        <f t="shared" si="13"/>
        <v>0.2857142857142857</v>
      </c>
      <c r="Y21" s="17">
        <f t="shared" si="13"/>
        <v>5.4285714285714288</v>
      </c>
      <c r="Z21" s="17">
        <f t="shared" si="13"/>
        <v>6.7142857142857135</v>
      </c>
      <c r="AA21" s="17">
        <f t="shared" si="13"/>
        <v>8.5714285714285712</v>
      </c>
      <c r="AB21" s="17">
        <f t="shared" si="13"/>
        <v>5</v>
      </c>
      <c r="AC21" s="17">
        <f t="shared" si="13"/>
        <v>57.714285714285715</v>
      </c>
      <c r="AD21" s="17">
        <f t="shared" si="13"/>
        <v>0.14285714285714285</v>
      </c>
      <c r="AE21" s="31">
        <f t="shared" si="13"/>
        <v>90.142857142857153</v>
      </c>
      <c r="AF21" s="31">
        <f t="shared" si="13"/>
        <v>147.85714285714286</v>
      </c>
    </row>
    <row r="22" spans="2:32" ht="23.1" customHeight="1" x14ac:dyDescent="0.25">
      <c r="B22" s="23" t="s">
        <v>49</v>
      </c>
      <c r="C22" s="49">
        <f>AVERAGE('27.10 Kabale-Mbarara'!C22,'28.10 Kabale-Mbarara'!C22,'29.10 Kabale-Mbarara'!C22,'30.10 Kabale -Mbarara'!C22,'31.10 Kabale-Mbarara-24hr'!C22,'1.11 Kabale-Mbarara'!C22,'2.11 Kabale-Mbarara-24hr'!C22)</f>
        <v>4.2857142857142856</v>
      </c>
      <c r="D22" s="49">
        <f>AVERAGE('27.10 Kabale-Mbarara'!D22,'28.10 Kabale-Mbarara'!D22,'29.10 Kabale-Mbarara'!D22,'30.10 Kabale -Mbarara'!D22,'31.10 Kabale-Mbarara-24hr'!D22,'1.11 Kabale-Mbarara'!D22,'2.11 Kabale-Mbarara-24hr'!D22)</f>
        <v>2.1428571428571428</v>
      </c>
      <c r="E22" s="49">
        <f>AVERAGE('27.10 Kabale-Mbarara'!E22,'28.10 Kabale-Mbarara'!E22,'29.10 Kabale-Mbarara'!E22,'30.10 Kabale -Mbarara'!E22,'31.10 Kabale-Mbarara-24hr'!E22,'1.11 Kabale-Mbarara'!E22,'2.11 Kabale-Mbarara-24hr'!E22)</f>
        <v>0.8571428571428571</v>
      </c>
      <c r="F22" s="49">
        <f>AVERAGE('27.10 Kabale-Mbarara'!F22,'28.10 Kabale-Mbarara'!F22,'29.10 Kabale-Mbarara'!F22,'30.10 Kabale -Mbarara'!F22,'31.10 Kabale-Mbarara-24hr'!F22,'1.11 Kabale-Mbarara'!F22,'2.11 Kabale-Mbarara-24hr'!F22)</f>
        <v>4.8571428571428568</v>
      </c>
      <c r="G22" s="49">
        <f>AVERAGE('27.10 Kabale-Mbarara'!G22,'28.10 Kabale-Mbarara'!G22,'29.10 Kabale-Mbarara'!G22,'30.10 Kabale -Mbarara'!G22,'31.10 Kabale-Mbarara-24hr'!G22,'1.11 Kabale-Mbarara'!G22,'2.11 Kabale-Mbarara-24hr'!G22)</f>
        <v>0</v>
      </c>
      <c r="H22" s="49">
        <f>AVERAGE('27.10 Kabale-Mbarara'!H22,'28.10 Kabale-Mbarara'!H22,'29.10 Kabale-Mbarara'!H22,'30.10 Kabale -Mbarara'!H22,'31.10 Kabale-Mbarara-24hr'!H22,'1.11 Kabale-Mbarara'!H22,'2.11 Kabale-Mbarara-24hr'!H22)</f>
        <v>0.7142857142857143</v>
      </c>
      <c r="I22" s="49">
        <f>AVERAGE('27.10 Kabale-Mbarara'!I22,'28.10 Kabale-Mbarara'!I22,'29.10 Kabale-Mbarara'!I22,'30.10 Kabale -Mbarara'!I22,'31.10 Kabale-Mbarara-24hr'!I22,'1.11 Kabale-Mbarara'!I22,'2.11 Kabale-Mbarara-24hr'!I22)</f>
        <v>1.8571428571428572</v>
      </c>
      <c r="J22" s="49">
        <f>AVERAGE('27.10 Kabale-Mbarara'!J22,'28.10 Kabale-Mbarara'!J22,'29.10 Kabale-Mbarara'!J22,'30.10 Kabale -Mbarara'!J22,'31.10 Kabale-Mbarara-24hr'!J22,'1.11 Kabale-Mbarara'!J22,'2.11 Kabale-Mbarara-24hr'!J22)</f>
        <v>0.7142857142857143</v>
      </c>
      <c r="K22" s="49">
        <f>AVERAGE('27.10 Kabale-Mbarara'!K22,'28.10 Kabale-Mbarara'!K22,'29.10 Kabale-Mbarara'!K22,'30.10 Kabale -Mbarara'!K22,'31.10 Kabale-Mbarara-24hr'!K22,'1.11 Kabale-Mbarara'!K22,'2.11 Kabale-Mbarara-24hr'!K22)</f>
        <v>0.42857142857142855</v>
      </c>
      <c r="L22" s="49">
        <f>AVERAGE('27.10 Kabale-Mbarara'!L22,'28.10 Kabale-Mbarara'!L22,'29.10 Kabale-Mbarara'!L22,'30.10 Kabale -Mbarara'!L22,'31.10 Kabale-Mbarara-24hr'!L22,'1.11 Kabale-Mbarara'!L22,'2.11 Kabale-Mbarara-24hr'!L22)</f>
        <v>2.1428571428571428</v>
      </c>
      <c r="M22" s="49">
        <f>AVERAGE('27.10 Kabale-Mbarara'!M22,'28.10 Kabale-Mbarara'!M22,'29.10 Kabale-Mbarara'!M22,'30.10 Kabale -Mbarara'!M22,'31.10 Kabale-Mbarara-24hr'!M22,'1.11 Kabale-Mbarara'!M22,'2.11 Kabale-Mbarara-24hr'!M22)</f>
        <v>19</v>
      </c>
      <c r="N22" s="49">
        <f>AVERAGE('27.10 Kabale-Mbarara'!N22,'28.10 Kabale-Mbarara'!N22,'29.10 Kabale-Mbarara'!N22,'30.10 Kabale -Mbarara'!N22,'31.10 Kabale-Mbarara-24hr'!N22,'1.11 Kabale-Mbarara'!N22,'2.11 Kabale-Mbarara-24hr'!N22)</f>
        <v>0</v>
      </c>
      <c r="O22" s="15">
        <f t="shared" si="0"/>
        <v>18</v>
      </c>
      <c r="P22" s="15">
        <f t="shared" si="1"/>
        <v>37</v>
      </c>
      <c r="R22" s="1" t="s">
        <v>146</v>
      </c>
      <c r="S22" s="34">
        <f>SUM(C58:C61)</f>
        <v>30.5</v>
      </c>
      <c r="T22" s="34">
        <f t="shared" ref="T22:AF22" si="14">SUM(D58:D61)</f>
        <v>7.5</v>
      </c>
      <c r="U22" s="34">
        <f t="shared" si="14"/>
        <v>6.5</v>
      </c>
      <c r="V22" s="34">
        <f t="shared" si="14"/>
        <v>30.5</v>
      </c>
      <c r="W22" s="34">
        <f t="shared" si="14"/>
        <v>1</v>
      </c>
      <c r="X22" s="34">
        <f t="shared" si="14"/>
        <v>0.5</v>
      </c>
      <c r="Y22" s="34">
        <f t="shared" si="14"/>
        <v>5</v>
      </c>
      <c r="Z22" s="34">
        <f t="shared" si="14"/>
        <v>5.5</v>
      </c>
      <c r="AA22" s="34">
        <f t="shared" si="14"/>
        <v>5.5</v>
      </c>
      <c r="AB22" s="34">
        <f t="shared" si="14"/>
        <v>9</v>
      </c>
      <c r="AC22" s="34">
        <f t="shared" si="14"/>
        <v>49</v>
      </c>
      <c r="AD22" s="34">
        <f t="shared" si="14"/>
        <v>0</v>
      </c>
      <c r="AE22" s="31">
        <f t="shared" si="14"/>
        <v>101.5</v>
      </c>
      <c r="AF22" s="31">
        <f t="shared" si="14"/>
        <v>150.5</v>
      </c>
    </row>
    <row r="23" spans="2:32" ht="23.1" customHeight="1" x14ac:dyDescent="0.25">
      <c r="B23" s="23" t="s">
        <v>50</v>
      </c>
      <c r="C23" s="49">
        <f>AVERAGE('27.10 Kabale-Mbarara'!C23,'28.10 Kabale-Mbarara'!C23,'29.10 Kabale-Mbarara'!C23,'30.10 Kabale -Mbarara'!C23,'31.10 Kabale-Mbarara-24hr'!C23,'1.11 Kabale-Mbarara'!C23,'2.11 Kabale-Mbarara-24hr'!C23)</f>
        <v>8.8571428571428577</v>
      </c>
      <c r="D23" s="49">
        <f>AVERAGE('27.10 Kabale-Mbarara'!D23,'28.10 Kabale-Mbarara'!D23,'29.10 Kabale-Mbarara'!D23,'30.10 Kabale -Mbarara'!D23,'31.10 Kabale-Mbarara-24hr'!D23,'1.11 Kabale-Mbarara'!D23,'2.11 Kabale-Mbarara-24hr'!D23)</f>
        <v>0.7142857142857143</v>
      </c>
      <c r="E23" s="49">
        <f>AVERAGE('27.10 Kabale-Mbarara'!E23,'28.10 Kabale-Mbarara'!E23,'29.10 Kabale-Mbarara'!E23,'30.10 Kabale -Mbarara'!E23,'31.10 Kabale-Mbarara-24hr'!E23,'1.11 Kabale-Mbarara'!E23,'2.11 Kabale-Mbarara-24hr'!E23)</f>
        <v>0.7142857142857143</v>
      </c>
      <c r="F23" s="49">
        <f>AVERAGE('27.10 Kabale-Mbarara'!F23,'28.10 Kabale-Mbarara'!F23,'29.10 Kabale-Mbarara'!F23,'30.10 Kabale -Mbarara'!F23,'31.10 Kabale-Mbarara-24hr'!F23,'1.11 Kabale-Mbarara'!F23,'2.11 Kabale-Mbarara-24hr'!F23)</f>
        <v>6.4285714285714288</v>
      </c>
      <c r="G23" s="49">
        <f>AVERAGE('27.10 Kabale-Mbarara'!G23,'28.10 Kabale-Mbarara'!G23,'29.10 Kabale-Mbarara'!G23,'30.10 Kabale -Mbarara'!G23,'31.10 Kabale-Mbarara-24hr'!G23,'1.11 Kabale-Mbarara'!G23,'2.11 Kabale-Mbarara-24hr'!G23)</f>
        <v>0</v>
      </c>
      <c r="H23" s="49">
        <f>AVERAGE('27.10 Kabale-Mbarara'!H23,'28.10 Kabale-Mbarara'!H23,'29.10 Kabale-Mbarara'!H23,'30.10 Kabale -Mbarara'!H23,'31.10 Kabale-Mbarara-24hr'!H23,'1.11 Kabale-Mbarara'!H23,'2.11 Kabale-Mbarara-24hr'!H23)</f>
        <v>0.5714285714285714</v>
      </c>
      <c r="I23" s="49">
        <f>AVERAGE('27.10 Kabale-Mbarara'!I23,'28.10 Kabale-Mbarara'!I23,'29.10 Kabale-Mbarara'!I23,'30.10 Kabale -Mbarara'!I23,'31.10 Kabale-Mbarara-24hr'!I23,'1.11 Kabale-Mbarara'!I23,'2.11 Kabale-Mbarara-24hr'!I23)</f>
        <v>0.8571428571428571</v>
      </c>
      <c r="J23" s="49">
        <f>AVERAGE('27.10 Kabale-Mbarara'!J23,'28.10 Kabale-Mbarara'!J23,'29.10 Kabale-Mbarara'!J23,'30.10 Kabale -Mbarara'!J23,'31.10 Kabale-Mbarara-24hr'!J23,'1.11 Kabale-Mbarara'!J23,'2.11 Kabale-Mbarara-24hr'!J23)</f>
        <v>1.1428571428571428</v>
      </c>
      <c r="K23" s="49">
        <f>AVERAGE('27.10 Kabale-Mbarara'!K23,'28.10 Kabale-Mbarara'!K23,'29.10 Kabale-Mbarara'!K23,'30.10 Kabale -Mbarara'!K23,'31.10 Kabale-Mbarara-24hr'!K23,'1.11 Kabale-Mbarara'!K23,'2.11 Kabale-Mbarara-24hr'!K23)</f>
        <v>0.8571428571428571</v>
      </c>
      <c r="L23" s="49">
        <f>AVERAGE('27.10 Kabale-Mbarara'!L23,'28.10 Kabale-Mbarara'!L23,'29.10 Kabale-Mbarara'!L23,'30.10 Kabale -Mbarara'!L23,'31.10 Kabale-Mbarara-24hr'!L23,'1.11 Kabale-Mbarara'!L23,'2.11 Kabale-Mbarara-24hr'!L23)</f>
        <v>1.2857142857142858</v>
      </c>
      <c r="M23" s="49">
        <f>AVERAGE('27.10 Kabale-Mbarara'!M23,'28.10 Kabale-Mbarara'!M23,'29.10 Kabale-Mbarara'!M23,'30.10 Kabale -Mbarara'!M23,'31.10 Kabale-Mbarara-24hr'!M23,'1.11 Kabale-Mbarara'!M23,'2.11 Kabale-Mbarara-24hr'!M23)</f>
        <v>21</v>
      </c>
      <c r="N23" s="49">
        <f>AVERAGE('27.10 Kabale-Mbarara'!N23,'28.10 Kabale-Mbarara'!N23,'29.10 Kabale-Mbarara'!N23,'30.10 Kabale -Mbarara'!N23,'31.10 Kabale-Mbarara-24hr'!N23,'1.11 Kabale-Mbarara'!N23,'2.11 Kabale-Mbarara-24hr'!N23)</f>
        <v>0</v>
      </c>
      <c r="O23" s="15">
        <f t="shared" si="0"/>
        <v>21.428571428571431</v>
      </c>
      <c r="P23" s="15">
        <f t="shared" si="1"/>
        <v>42.428571428571431</v>
      </c>
      <c r="R23" s="1" t="s">
        <v>147</v>
      </c>
      <c r="S23" s="34">
        <f>SUM(C62:C65)</f>
        <v>23</v>
      </c>
      <c r="T23" s="34">
        <f t="shared" ref="T23:AF23" si="15">SUM(D62:D65)</f>
        <v>7</v>
      </c>
      <c r="U23" s="34">
        <f t="shared" si="15"/>
        <v>5.5</v>
      </c>
      <c r="V23" s="34">
        <f t="shared" si="15"/>
        <v>11</v>
      </c>
      <c r="W23" s="34">
        <f t="shared" si="15"/>
        <v>0.5</v>
      </c>
      <c r="X23" s="34">
        <f t="shared" si="15"/>
        <v>0</v>
      </c>
      <c r="Y23" s="34">
        <f t="shared" si="15"/>
        <v>6</v>
      </c>
      <c r="Z23" s="34">
        <f t="shared" si="15"/>
        <v>1.5</v>
      </c>
      <c r="AA23" s="34">
        <f t="shared" si="15"/>
        <v>2.5</v>
      </c>
      <c r="AB23" s="34">
        <f t="shared" si="15"/>
        <v>4.5</v>
      </c>
      <c r="AC23" s="34">
        <f t="shared" si="15"/>
        <v>34</v>
      </c>
      <c r="AD23" s="34">
        <f t="shared" si="15"/>
        <v>0</v>
      </c>
      <c r="AE23" s="31">
        <f t="shared" si="15"/>
        <v>61.5</v>
      </c>
      <c r="AF23" s="31">
        <f t="shared" si="15"/>
        <v>95.5</v>
      </c>
    </row>
    <row r="24" spans="2:32" ht="23.1" customHeight="1" x14ac:dyDescent="0.25">
      <c r="B24" s="23" t="s">
        <v>51</v>
      </c>
      <c r="C24" s="49">
        <f>AVERAGE('27.10 Kabale-Mbarara'!C24,'28.10 Kabale-Mbarara'!C24,'29.10 Kabale-Mbarara'!C24,'30.10 Kabale -Mbarara'!C24,'31.10 Kabale-Mbarara-24hr'!C24,'1.11 Kabale-Mbarara'!C24,'2.11 Kabale-Mbarara-24hr'!C24)</f>
        <v>6</v>
      </c>
      <c r="D24" s="49">
        <f>AVERAGE('27.10 Kabale-Mbarara'!D24,'28.10 Kabale-Mbarara'!D24,'29.10 Kabale-Mbarara'!D24,'30.10 Kabale -Mbarara'!D24,'31.10 Kabale-Mbarara-24hr'!D24,'1.11 Kabale-Mbarara'!D24,'2.11 Kabale-Mbarara-24hr'!D24)</f>
        <v>1</v>
      </c>
      <c r="E24" s="49">
        <f>AVERAGE('27.10 Kabale-Mbarara'!E24,'28.10 Kabale-Mbarara'!E24,'29.10 Kabale-Mbarara'!E24,'30.10 Kabale -Mbarara'!E24,'31.10 Kabale-Mbarara-24hr'!E24,'1.11 Kabale-Mbarara'!E24,'2.11 Kabale-Mbarara-24hr'!E24)</f>
        <v>0.5714285714285714</v>
      </c>
      <c r="F24" s="49">
        <f>AVERAGE('27.10 Kabale-Mbarara'!F24,'28.10 Kabale-Mbarara'!F24,'29.10 Kabale-Mbarara'!F24,'30.10 Kabale -Mbarara'!F24,'31.10 Kabale-Mbarara-24hr'!F24,'1.11 Kabale-Mbarara'!F24,'2.11 Kabale-Mbarara-24hr'!F24)</f>
        <v>5.7142857142857144</v>
      </c>
      <c r="G24" s="49">
        <f>AVERAGE('27.10 Kabale-Mbarara'!G24,'28.10 Kabale-Mbarara'!G24,'29.10 Kabale-Mbarara'!G24,'30.10 Kabale -Mbarara'!G24,'31.10 Kabale-Mbarara-24hr'!G24,'1.11 Kabale-Mbarara'!G24,'2.11 Kabale-Mbarara-24hr'!G24)</f>
        <v>0</v>
      </c>
      <c r="H24" s="49">
        <f>AVERAGE('27.10 Kabale-Mbarara'!H24,'28.10 Kabale-Mbarara'!H24,'29.10 Kabale-Mbarara'!H24,'30.10 Kabale -Mbarara'!H24,'31.10 Kabale-Mbarara-24hr'!H24,'1.11 Kabale-Mbarara'!H24,'2.11 Kabale-Mbarara-24hr'!H24)</f>
        <v>0.5714285714285714</v>
      </c>
      <c r="I24" s="49">
        <f>AVERAGE('27.10 Kabale-Mbarara'!I24,'28.10 Kabale-Mbarara'!I24,'29.10 Kabale-Mbarara'!I24,'30.10 Kabale -Mbarara'!I24,'31.10 Kabale-Mbarara-24hr'!I24,'1.11 Kabale-Mbarara'!I24,'2.11 Kabale-Mbarara-24hr'!I24)</f>
        <v>0.7142857142857143</v>
      </c>
      <c r="J24" s="49">
        <f>AVERAGE('27.10 Kabale-Mbarara'!J24,'28.10 Kabale-Mbarara'!J24,'29.10 Kabale-Mbarara'!J24,'30.10 Kabale -Mbarara'!J24,'31.10 Kabale-Mbarara-24hr'!J24,'1.11 Kabale-Mbarara'!J24,'2.11 Kabale-Mbarara-24hr'!J24)</f>
        <v>0.42857142857142855</v>
      </c>
      <c r="K24" s="49">
        <f>AVERAGE('27.10 Kabale-Mbarara'!K24,'28.10 Kabale-Mbarara'!K24,'29.10 Kabale-Mbarara'!K24,'30.10 Kabale -Mbarara'!K24,'31.10 Kabale-Mbarara-24hr'!K24,'1.11 Kabale-Mbarara'!K24,'2.11 Kabale-Mbarara-24hr'!K24)</f>
        <v>0.42857142857142855</v>
      </c>
      <c r="L24" s="49">
        <f>AVERAGE('27.10 Kabale-Mbarara'!L24,'28.10 Kabale-Mbarara'!L24,'29.10 Kabale-Mbarara'!L24,'30.10 Kabale -Mbarara'!L24,'31.10 Kabale-Mbarara-24hr'!L24,'1.11 Kabale-Mbarara'!L24,'2.11 Kabale-Mbarara-24hr'!L24)</f>
        <v>1</v>
      </c>
      <c r="M24" s="49">
        <f>AVERAGE('27.10 Kabale-Mbarara'!M24,'28.10 Kabale-Mbarara'!M24,'29.10 Kabale-Mbarara'!M24,'30.10 Kabale -Mbarara'!M24,'31.10 Kabale-Mbarara-24hr'!M24,'1.11 Kabale-Mbarara'!M24,'2.11 Kabale-Mbarara-24hr'!M24)</f>
        <v>16.571428571428573</v>
      </c>
      <c r="N24" s="49">
        <f>AVERAGE('27.10 Kabale-Mbarara'!N24,'28.10 Kabale-Mbarara'!N24,'29.10 Kabale-Mbarara'!N24,'30.10 Kabale -Mbarara'!N24,'31.10 Kabale-Mbarara-24hr'!N24,'1.11 Kabale-Mbarara'!N24,'2.11 Kabale-Mbarara-24hr'!N24)</f>
        <v>0</v>
      </c>
      <c r="O24" s="15">
        <f t="shared" si="0"/>
        <v>16.428571428571427</v>
      </c>
      <c r="P24" s="15">
        <f t="shared" si="1"/>
        <v>33</v>
      </c>
      <c r="R24" s="1" t="s">
        <v>148</v>
      </c>
      <c r="S24" s="34">
        <f>SUM(C66:C69)</f>
        <v>12.5</v>
      </c>
      <c r="T24" s="34">
        <f t="shared" ref="T24:AF24" si="16">SUM(D66:D69)</f>
        <v>4.5</v>
      </c>
      <c r="U24" s="34">
        <f t="shared" si="16"/>
        <v>2.5</v>
      </c>
      <c r="V24" s="34">
        <f t="shared" si="16"/>
        <v>5</v>
      </c>
      <c r="W24" s="34">
        <f t="shared" si="16"/>
        <v>0.5</v>
      </c>
      <c r="X24" s="34">
        <f t="shared" si="16"/>
        <v>1.5</v>
      </c>
      <c r="Y24" s="34">
        <f t="shared" si="16"/>
        <v>5</v>
      </c>
      <c r="Z24" s="34">
        <f t="shared" si="16"/>
        <v>0.5</v>
      </c>
      <c r="AA24" s="34">
        <f t="shared" si="16"/>
        <v>4</v>
      </c>
      <c r="AB24" s="34">
        <f t="shared" si="16"/>
        <v>3.5</v>
      </c>
      <c r="AC24" s="34">
        <f t="shared" si="16"/>
        <v>23</v>
      </c>
      <c r="AD24" s="34">
        <f t="shared" si="16"/>
        <v>0</v>
      </c>
      <c r="AE24" s="31">
        <f t="shared" si="16"/>
        <v>39.5</v>
      </c>
      <c r="AF24" s="31">
        <f t="shared" si="16"/>
        <v>62.5</v>
      </c>
    </row>
    <row r="25" spans="2:32" ht="23.1" customHeight="1" x14ac:dyDescent="0.25">
      <c r="B25" s="23" t="s">
        <v>52</v>
      </c>
      <c r="C25" s="49">
        <f>AVERAGE('27.10 Kabale-Mbarara'!C25,'28.10 Kabale-Mbarara'!C25,'29.10 Kabale-Mbarara'!C25,'30.10 Kabale -Mbarara'!C25,'31.10 Kabale-Mbarara-24hr'!C25,'1.11 Kabale-Mbarara'!C25,'2.11 Kabale-Mbarara-24hr'!C25)</f>
        <v>9.5714285714285712</v>
      </c>
      <c r="D25" s="49">
        <f>AVERAGE('27.10 Kabale-Mbarara'!D25,'28.10 Kabale-Mbarara'!D25,'29.10 Kabale-Mbarara'!D25,'30.10 Kabale -Mbarara'!D25,'31.10 Kabale-Mbarara-24hr'!D25,'1.11 Kabale-Mbarara'!D25,'2.11 Kabale-Mbarara-24hr'!D25)</f>
        <v>1.5714285714285714</v>
      </c>
      <c r="E25" s="49">
        <f>AVERAGE('27.10 Kabale-Mbarara'!E25,'28.10 Kabale-Mbarara'!E25,'29.10 Kabale-Mbarara'!E25,'30.10 Kabale -Mbarara'!E25,'31.10 Kabale-Mbarara-24hr'!E25,'1.11 Kabale-Mbarara'!E25,'2.11 Kabale-Mbarara-24hr'!E25)</f>
        <v>0.5714285714285714</v>
      </c>
      <c r="F25" s="49">
        <f>AVERAGE('27.10 Kabale-Mbarara'!F25,'28.10 Kabale-Mbarara'!F25,'29.10 Kabale-Mbarara'!F25,'30.10 Kabale -Mbarara'!F25,'31.10 Kabale-Mbarara-24hr'!F25,'1.11 Kabale-Mbarara'!F25,'2.11 Kabale-Mbarara-24hr'!F25)</f>
        <v>6</v>
      </c>
      <c r="G25" s="49">
        <f>AVERAGE('27.10 Kabale-Mbarara'!G25,'28.10 Kabale-Mbarara'!G25,'29.10 Kabale-Mbarara'!G25,'30.10 Kabale -Mbarara'!G25,'31.10 Kabale-Mbarara-24hr'!G25,'1.11 Kabale-Mbarara'!G25,'2.11 Kabale-Mbarara-24hr'!G25)</f>
        <v>0</v>
      </c>
      <c r="H25" s="49">
        <f>AVERAGE('27.10 Kabale-Mbarara'!H25,'28.10 Kabale-Mbarara'!H25,'29.10 Kabale-Mbarara'!H25,'30.10 Kabale -Mbarara'!H25,'31.10 Kabale-Mbarara-24hr'!H25,'1.11 Kabale-Mbarara'!H25,'2.11 Kabale-Mbarara-24hr'!H25)</f>
        <v>1.8571428571428572</v>
      </c>
      <c r="I25" s="49">
        <f>AVERAGE('27.10 Kabale-Mbarara'!I25,'28.10 Kabale-Mbarara'!I25,'29.10 Kabale-Mbarara'!I25,'30.10 Kabale -Mbarara'!I25,'31.10 Kabale-Mbarara-24hr'!I25,'1.11 Kabale-Mbarara'!I25,'2.11 Kabale-Mbarara-24hr'!I25)</f>
        <v>0.5714285714285714</v>
      </c>
      <c r="J25" s="49">
        <f>AVERAGE('27.10 Kabale-Mbarara'!J25,'28.10 Kabale-Mbarara'!J25,'29.10 Kabale-Mbarara'!J25,'30.10 Kabale -Mbarara'!J25,'31.10 Kabale-Mbarara-24hr'!J25,'1.11 Kabale-Mbarara'!J25,'2.11 Kabale-Mbarara-24hr'!J25)</f>
        <v>0.2857142857142857</v>
      </c>
      <c r="K25" s="49">
        <f>AVERAGE('27.10 Kabale-Mbarara'!K25,'28.10 Kabale-Mbarara'!K25,'29.10 Kabale-Mbarara'!K25,'30.10 Kabale -Mbarara'!K25,'31.10 Kabale-Mbarara-24hr'!K25,'1.11 Kabale-Mbarara'!K25,'2.11 Kabale-Mbarara-24hr'!K25)</f>
        <v>0.7142857142857143</v>
      </c>
      <c r="L25" s="49">
        <f>AVERAGE('27.10 Kabale-Mbarara'!L25,'28.10 Kabale-Mbarara'!L25,'29.10 Kabale-Mbarara'!L25,'30.10 Kabale -Mbarara'!L25,'31.10 Kabale-Mbarara-24hr'!L25,'1.11 Kabale-Mbarara'!L25,'2.11 Kabale-Mbarara-24hr'!L25)</f>
        <v>2.4285714285714284</v>
      </c>
      <c r="M25" s="49">
        <f>AVERAGE('27.10 Kabale-Mbarara'!M25,'28.10 Kabale-Mbarara'!M25,'29.10 Kabale-Mbarara'!M25,'30.10 Kabale -Mbarara'!M25,'31.10 Kabale-Mbarara-24hr'!M25,'1.11 Kabale-Mbarara'!M25,'2.11 Kabale-Mbarara-24hr'!M25)</f>
        <v>16</v>
      </c>
      <c r="N25" s="49">
        <f>AVERAGE('27.10 Kabale-Mbarara'!N25,'28.10 Kabale-Mbarara'!N25,'29.10 Kabale-Mbarara'!N25,'30.10 Kabale -Mbarara'!N25,'31.10 Kabale-Mbarara-24hr'!N25,'1.11 Kabale-Mbarara'!N25,'2.11 Kabale-Mbarara-24hr'!N25)</f>
        <v>0</v>
      </c>
      <c r="O25" s="15">
        <f t="shared" si="0"/>
        <v>23.571428571428573</v>
      </c>
      <c r="P25" s="15">
        <f t="shared" si="1"/>
        <v>39.571428571428569</v>
      </c>
      <c r="R25" s="1" t="s">
        <v>149</v>
      </c>
      <c r="S25" s="34">
        <f>SUM(C70:C73)</f>
        <v>18.5</v>
      </c>
      <c r="T25" s="34">
        <f t="shared" ref="T25:AF25" si="17">SUM(D70:D73)</f>
        <v>4.5</v>
      </c>
      <c r="U25" s="34">
        <f t="shared" si="17"/>
        <v>2.5</v>
      </c>
      <c r="V25" s="34">
        <f t="shared" si="17"/>
        <v>6.5</v>
      </c>
      <c r="W25" s="34">
        <f t="shared" si="17"/>
        <v>0</v>
      </c>
      <c r="X25" s="34">
        <f t="shared" si="17"/>
        <v>5.5</v>
      </c>
      <c r="Y25" s="34">
        <f t="shared" si="17"/>
        <v>1</v>
      </c>
      <c r="Z25" s="34">
        <f t="shared" si="17"/>
        <v>3</v>
      </c>
      <c r="AA25" s="34">
        <f t="shared" si="17"/>
        <v>2.5</v>
      </c>
      <c r="AB25" s="34">
        <f t="shared" si="17"/>
        <v>3.5</v>
      </c>
      <c r="AC25" s="34">
        <f t="shared" si="17"/>
        <v>17.5</v>
      </c>
      <c r="AD25" s="34">
        <f t="shared" si="17"/>
        <v>0</v>
      </c>
      <c r="AE25" s="31">
        <f t="shared" si="17"/>
        <v>47.5</v>
      </c>
      <c r="AF25" s="31">
        <f t="shared" si="17"/>
        <v>65</v>
      </c>
    </row>
    <row r="26" spans="2:32" ht="23.1" customHeight="1" x14ac:dyDescent="0.25">
      <c r="B26" s="23" t="s">
        <v>53</v>
      </c>
      <c r="C26" s="49">
        <f>AVERAGE('27.10 Kabale-Mbarara'!C26,'28.10 Kabale-Mbarara'!C26,'29.10 Kabale-Mbarara'!C26,'30.10 Kabale -Mbarara'!C26,'31.10 Kabale-Mbarara-24hr'!C26,'1.11 Kabale-Mbarara'!C26,'2.11 Kabale-Mbarara-24hr'!C26)</f>
        <v>10</v>
      </c>
      <c r="D26" s="49">
        <f>AVERAGE('27.10 Kabale-Mbarara'!D26,'28.10 Kabale-Mbarara'!D26,'29.10 Kabale-Mbarara'!D26,'30.10 Kabale -Mbarara'!D26,'31.10 Kabale-Mbarara-24hr'!D26,'1.11 Kabale-Mbarara'!D26,'2.11 Kabale-Mbarara-24hr'!D26)</f>
        <v>1.2857142857142858</v>
      </c>
      <c r="E26" s="49">
        <f>AVERAGE('27.10 Kabale-Mbarara'!E26,'28.10 Kabale-Mbarara'!E26,'29.10 Kabale-Mbarara'!E26,'30.10 Kabale -Mbarara'!E26,'31.10 Kabale-Mbarara-24hr'!E26,'1.11 Kabale-Mbarara'!E26,'2.11 Kabale-Mbarara-24hr'!E26)</f>
        <v>1.5714285714285714</v>
      </c>
      <c r="F26" s="49">
        <f>AVERAGE('27.10 Kabale-Mbarara'!F26,'28.10 Kabale-Mbarara'!F26,'29.10 Kabale-Mbarara'!F26,'30.10 Kabale -Mbarara'!F26,'31.10 Kabale-Mbarara-24hr'!F26,'1.11 Kabale-Mbarara'!F26,'2.11 Kabale-Mbarara-24hr'!F26)</f>
        <v>6.7142857142857144</v>
      </c>
      <c r="G26" s="49">
        <f>AVERAGE('27.10 Kabale-Mbarara'!G26,'28.10 Kabale-Mbarara'!G26,'29.10 Kabale-Mbarara'!G26,'30.10 Kabale -Mbarara'!G26,'31.10 Kabale-Mbarara-24hr'!G26,'1.11 Kabale-Mbarara'!G26,'2.11 Kabale-Mbarara-24hr'!G26)</f>
        <v>0.14285714285714285</v>
      </c>
      <c r="H26" s="49">
        <f>AVERAGE('27.10 Kabale-Mbarara'!H26,'28.10 Kabale-Mbarara'!H26,'29.10 Kabale-Mbarara'!H26,'30.10 Kabale -Mbarara'!H26,'31.10 Kabale-Mbarara-24hr'!H26,'1.11 Kabale-Mbarara'!H26,'2.11 Kabale-Mbarara-24hr'!H26)</f>
        <v>0.5714285714285714</v>
      </c>
      <c r="I26" s="49">
        <f>AVERAGE('27.10 Kabale-Mbarara'!I26,'28.10 Kabale-Mbarara'!I26,'29.10 Kabale-Mbarara'!I26,'30.10 Kabale -Mbarara'!I26,'31.10 Kabale-Mbarara-24hr'!I26,'1.11 Kabale-Mbarara'!I26,'2.11 Kabale-Mbarara-24hr'!I26)</f>
        <v>0.8571428571428571</v>
      </c>
      <c r="J26" s="49">
        <f>AVERAGE('27.10 Kabale-Mbarara'!J26,'28.10 Kabale-Mbarara'!J26,'29.10 Kabale-Mbarara'!J26,'30.10 Kabale -Mbarara'!J26,'31.10 Kabale-Mbarara-24hr'!J26,'1.11 Kabale-Mbarara'!J26,'2.11 Kabale-Mbarara-24hr'!J26)</f>
        <v>0.8571428571428571</v>
      </c>
      <c r="K26" s="49">
        <f>AVERAGE('27.10 Kabale-Mbarara'!K26,'28.10 Kabale-Mbarara'!K26,'29.10 Kabale-Mbarara'!K26,'30.10 Kabale -Mbarara'!K26,'31.10 Kabale-Mbarara-24hr'!K26,'1.11 Kabale-Mbarara'!K26,'2.11 Kabale-Mbarara-24hr'!K26)</f>
        <v>0.8571428571428571</v>
      </c>
      <c r="L26" s="49">
        <f>AVERAGE('27.10 Kabale-Mbarara'!L26,'28.10 Kabale-Mbarara'!L26,'29.10 Kabale-Mbarara'!L26,'30.10 Kabale -Mbarara'!L26,'31.10 Kabale-Mbarara-24hr'!L26,'1.11 Kabale-Mbarara'!L26,'2.11 Kabale-Mbarara-24hr'!L26)</f>
        <v>1.7142857142857142</v>
      </c>
      <c r="M26" s="49">
        <f>AVERAGE('27.10 Kabale-Mbarara'!M26,'28.10 Kabale-Mbarara'!M26,'29.10 Kabale-Mbarara'!M26,'30.10 Kabale -Mbarara'!M26,'31.10 Kabale-Mbarara-24hr'!M26,'1.11 Kabale-Mbarara'!M26,'2.11 Kabale-Mbarara-24hr'!M26)</f>
        <v>15.857142857142858</v>
      </c>
      <c r="N26" s="49">
        <f>AVERAGE('27.10 Kabale-Mbarara'!N26,'28.10 Kabale-Mbarara'!N26,'29.10 Kabale-Mbarara'!N26,'30.10 Kabale -Mbarara'!N26,'31.10 Kabale-Mbarara-24hr'!N26,'1.11 Kabale-Mbarara'!N26,'2.11 Kabale-Mbarara-24hr'!N26)</f>
        <v>0.14285714285714285</v>
      </c>
      <c r="O26" s="15">
        <f t="shared" si="0"/>
        <v>24.714285714285719</v>
      </c>
      <c r="P26" s="15">
        <f t="shared" si="1"/>
        <v>40.571428571428577</v>
      </c>
      <c r="R26" s="1" t="s">
        <v>150</v>
      </c>
      <c r="S26" s="34">
        <f>SUM(C74:C77)</f>
        <v>9</v>
      </c>
      <c r="T26" s="34">
        <f t="shared" ref="T26:AF26" si="18">SUM(D74:D77)</f>
        <v>2.5</v>
      </c>
      <c r="U26" s="34">
        <f t="shared" si="18"/>
        <v>2</v>
      </c>
      <c r="V26" s="34">
        <f t="shared" si="18"/>
        <v>3.5</v>
      </c>
      <c r="W26" s="34">
        <f t="shared" si="18"/>
        <v>0</v>
      </c>
      <c r="X26" s="34">
        <f t="shared" si="18"/>
        <v>1.5</v>
      </c>
      <c r="Y26" s="34">
        <f t="shared" si="18"/>
        <v>1.5</v>
      </c>
      <c r="Z26" s="34">
        <f t="shared" si="18"/>
        <v>3</v>
      </c>
      <c r="AA26" s="34">
        <f t="shared" si="18"/>
        <v>3.5</v>
      </c>
      <c r="AB26" s="34">
        <f t="shared" si="18"/>
        <v>3.5</v>
      </c>
      <c r="AC26" s="34">
        <f t="shared" si="18"/>
        <v>10.5</v>
      </c>
      <c r="AD26" s="34">
        <f t="shared" si="18"/>
        <v>0</v>
      </c>
      <c r="AE26" s="31">
        <f t="shared" si="18"/>
        <v>30</v>
      </c>
      <c r="AF26" s="31">
        <f t="shared" si="18"/>
        <v>40.5</v>
      </c>
    </row>
    <row r="27" spans="2:32" ht="23.1" customHeight="1" x14ac:dyDescent="0.25">
      <c r="B27" s="23" t="s">
        <v>54</v>
      </c>
      <c r="C27" s="49">
        <f>AVERAGE('27.10 Kabale-Mbarara'!C27,'28.10 Kabale-Mbarara'!C27,'29.10 Kabale-Mbarara'!C27,'30.10 Kabale -Mbarara'!C27,'31.10 Kabale-Mbarara-24hr'!C27,'1.11 Kabale-Mbarara'!C27,'2.11 Kabale-Mbarara-24hr'!C27)</f>
        <v>8.7142857142857135</v>
      </c>
      <c r="D27" s="49">
        <f>AVERAGE('27.10 Kabale-Mbarara'!D27,'28.10 Kabale-Mbarara'!D27,'29.10 Kabale-Mbarara'!D27,'30.10 Kabale -Mbarara'!D27,'31.10 Kabale-Mbarara-24hr'!D27,'1.11 Kabale-Mbarara'!D27,'2.11 Kabale-Mbarara-24hr'!D27)</f>
        <v>3.2857142857142856</v>
      </c>
      <c r="E27" s="49">
        <f>AVERAGE('27.10 Kabale-Mbarara'!E27,'28.10 Kabale-Mbarara'!E27,'29.10 Kabale-Mbarara'!E27,'30.10 Kabale -Mbarara'!E27,'31.10 Kabale-Mbarara-24hr'!E27,'1.11 Kabale-Mbarara'!E27,'2.11 Kabale-Mbarara-24hr'!E27)</f>
        <v>1.2857142857142858</v>
      </c>
      <c r="F27" s="49">
        <f>AVERAGE('27.10 Kabale-Mbarara'!F27,'28.10 Kabale-Mbarara'!F27,'29.10 Kabale-Mbarara'!F27,'30.10 Kabale -Mbarara'!F27,'31.10 Kabale-Mbarara-24hr'!F27,'1.11 Kabale-Mbarara'!F27,'2.11 Kabale-Mbarara-24hr'!F27)</f>
        <v>5.8571428571428568</v>
      </c>
      <c r="G27" s="49">
        <f>AVERAGE('27.10 Kabale-Mbarara'!G27,'28.10 Kabale-Mbarara'!G27,'29.10 Kabale-Mbarara'!G27,'30.10 Kabale -Mbarara'!G27,'31.10 Kabale-Mbarara-24hr'!G27,'1.11 Kabale-Mbarara'!G27,'2.11 Kabale-Mbarara-24hr'!G27)</f>
        <v>0.2857142857142857</v>
      </c>
      <c r="H27" s="49">
        <f>AVERAGE('27.10 Kabale-Mbarara'!H27,'28.10 Kabale-Mbarara'!H27,'29.10 Kabale-Mbarara'!H27,'30.10 Kabale -Mbarara'!H27,'31.10 Kabale-Mbarara-24hr'!H27,'1.11 Kabale-Mbarara'!H27,'2.11 Kabale-Mbarara-24hr'!H27)</f>
        <v>1.4285714285714286</v>
      </c>
      <c r="I27" s="49">
        <f>AVERAGE('27.10 Kabale-Mbarara'!I27,'28.10 Kabale-Mbarara'!I27,'29.10 Kabale-Mbarara'!I27,'30.10 Kabale -Mbarara'!I27,'31.10 Kabale-Mbarara-24hr'!I27,'1.11 Kabale-Mbarara'!I27,'2.11 Kabale-Mbarara-24hr'!I27)</f>
        <v>1.1428571428571428</v>
      </c>
      <c r="J27" s="49">
        <f>AVERAGE('27.10 Kabale-Mbarara'!J27,'28.10 Kabale-Mbarara'!J27,'29.10 Kabale-Mbarara'!J27,'30.10 Kabale -Mbarara'!J27,'31.10 Kabale-Mbarara-24hr'!J27,'1.11 Kabale-Mbarara'!J27,'2.11 Kabale-Mbarara-24hr'!J27)</f>
        <v>1</v>
      </c>
      <c r="K27" s="49">
        <f>AVERAGE('27.10 Kabale-Mbarara'!K27,'28.10 Kabale-Mbarara'!K27,'29.10 Kabale-Mbarara'!K27,'30.10 Kabale -Mbarara'!K27,'31.10 Kabale-Mbarara-24hr'!K27,'1.11 Kabale-Mbarara'!K27,'2.11 Kabale-Mbarara-24hr'!K27)</f>
        <v>0.8571428571428571</v>
      </c>
      <c r="L27" s="49">
        <f>AVERAGE('27.10 Kabale-Mbarara'!L27,'28.10 Kabale-Mbarara'!L27,'29.10 Kabale-Mbarara'!L27,'30.10 Kabale -Mbarara'!L27,'31.10 Kabale-Mbarara-24hr'!L27,'1.11 Kabale-Mbarara'!L27,'2.11 Kabale-Mbarara-24hr'!L27)</f>
        <v>2.1428571428571428</v>
      </c>
      <c r="M27" s="49">
        <f>AVERAGE('27.10 Kabale-Mbarara'!M27,'28.10 Kabale-Mbarara'!M27,'29.10 Kabale-Mbarara'!M27,'30.10 Kabale -Mbarara'!M27,'31.10 Kabale-Mbarara-24hr'!M27,'1.11 Kabale-Mbarara'!M27,'2.11 Kabale-Mbarara-24hr'!M27)</f>
        <v>17.428571428571427</v>
      </c>
      <c r="N27" s="49">
        <f>AVERAGE('27.10 Kabale-Mbarara'!N27,'28.10 Kabale-Mbarara'!N27,'29.10 Kabale-Mbarara'!N27,'30.10 Kabale -Mbarara'!N27,'31.10 Kabale-Mbarara-24hr'!N27,'1.11 Kabale-Mbarara'!N27,'2.11 Kabale-Mbarara-24hr'!N27)</f>
        <v>0</v>
      </c>
      <c r="O27" s="15">
        <f t="shared" si="0"/>
        <v>25.999999999999996</v>
      </c>
      <c r="P27" s="15">
        <f t="shared" si="1"/>
        <v>43.428571428571423</v>
      </c>
      <c r="R27" s="1" t="s">
        <v>151</v>
      </c>
      <c r="S27" s="34">
        <f>SUM(C78:C81)</f>
        <v>2</v>
      </c>
      <c r="T27" s="34">
        <f t="shared" ref="T27:AF27" si="19">SUM(D78:D81)</f>
        <v>1</v>
      </c>
      <c r="U27" s="34">
        <f t="shared" si="19"/>
        <v>1.5</v>
      </c>
      <c r="V27" s="34">
        <f t="shared" si="19"/>
        <v>2.5</v>
      </c>
      <c r="W27" s="34">
        <f t="shared" si="19"/>
        <v>0.5</v>
      </c>
      <c r="X27" s="34">
        <f t="shared" si="19"/>
        <v>2</v>
      </c>
      <c r="Y27" s="34">
        <f t="shared" si="19"/>
        <v>0</v>
      </c>
      <c r="Z27" s="34">
        <f t="shared" si="19"/>
        <v>1.5</v>
      </c>
      <c r="AA27" s="34">
        <f t="shared" si="19"/>
        <v>4.5</v>
      </c>
      <c r="AB27" s="34">
        <f t="shared" si="19"/>
        <v>6.5</v>
      </c>
      <c r="AC27" s="34">
        <f t="shared" si="19"/>
        <v>1</v>
      </c>
      <c r="AD27" s="34">
        <f t="shared" si="19"/>
        <v>0</v>
      </c>
      <c r="AE27" s="31">
        <f t="shared" si="19"/>
        <v>22</v>
      </c>
      <c r="AF27" s="31">
        <f t="shared" si="19"/>
        <v>23</v>
      </c>
    </row>
    <row r="28" spans="2:32" ht="23.1" customHeight="1" x14ac:dyDescent="0.25">
      <c r="B28" s="23" t="s">
        <v>55</v>
      </c>
      <c r="C28" s="49">
        <f>AVERAGE('27.10 Kabale-Mbarara'!C28,'28.10 Kabale-Mbarara'!C28,'29.10 Kabale-Mbarara'!C28,'30.10 Kabale -Mbarara'!C28,'31.10 Kabale-Mbarara-24hr'!C28,'1.11 Kabale-Mbarara'!C28,'2.11 Kabale-Mbarara-24hr'!C28)</f>
        <v>9.1428571428571423</v>
      </c>
      <c r="D28" s="49">
        <f>AVERAGE('27.10 Kabale-Mbarara'!D28,'28.10 Kabale-Mbarara'!D28,'29.10 Kabale-Mbarara'!D28,'30.10 Kabale -Mbarara'!D28,'31.10 Kabale-Mbarara-24hr'!D28,'1.11 Kabale-Mbarara'!D28,'2.11 Kabale-Mbarara-24hr'!D28)</f>
        <v>1.4285714285714286</v>
      </c>
      <c r="E28" s="49">
        <f>AVERAGE('27.10 Kabale-Mbarara'!E28,'28.10 Kabale-Mbarara'!E28,'29.10 Kabale-Mbarara'!E28,'30.10 Kabale -Mbarara'!E28,'31.10 Kabale-Mbarara-24hr'!E28,'1.11 Kabale-Mbarara'!E28,'2.11 Kabale-Mbarara-24hr'!E28)</f>
        <v>2.4285714285714284</v>
      </c>
      <c r="F28" s="49">
        <f>AVERAGE('27.10 Kabale-Mbarara'!F28,'28.10 Kabale-Mbarara'!F28,'29.10 Kabale-Mbarara'!F28,'30.10 Kabale -Mbarara'!F28,'31.10 Kabale-Mbarara-24hr'!F28,'1.11 Kabale-Mbarara'!F28,'2.11 Kabale-Mbarara-24hr'!F28)</f>
        <v>8.5714285714285712</v>
      </c>
      <c r="G28" s="49">
        <f>AVERAGE('27.10 Kabale-Mbarara'!G28,'28.10 Kabale-Mbarara'!G28,'29.10 Kabale-Mbarara'!G28,'30.10 Kabale -Mbarara'!G28,'31.10 Kabale-Mbarara-24hr'!G28,'1.11 Kabale-Mbarara'!G28,'2.11 Kabale-Mbarara-24hr'!G28)</f>
        <v>0</v>
      </c>
      <c r="H28" s="49">
        <f>AVERAGE('27.10 Kabale-Mbarara'!H28,'28.10 Kabale-Mbarara'!H28,'29.10 Kabale-Mbarara'!H28,'30.10 Kabale -Mbarara'!H28,'31.10 Kabale-Mbarara-24hr'!H28,'1.11 Kabale-Mbarara'!H28,'2.11 Kabale-Mbarara-24hr'!H28)</f>
        <v>0.8571428571428571</v>
      </c>
      <c r="I28" s="49">
        <f>AVERAGE('27.10 Kabale-Mbarara'!I28,'28.10 Kabale-Mbarara'!I28,'29.10 Kabale-Mbarara'!I28,'30.10 Kabale -Mbarara'!I28,'31.10 Kabale-Mbarara-24hr'!I28,'1.11 Kabale-Mbarara'!I28,'2.11 Kabale-Mbarara-24hr'!I28)</f>
        <v>1</v>
      </c>
      <c r="J28" s="49">
        <f>AVERAGE('27.10 Kabale-Mbarara'!J28,'28.10 Kabale-Mbarara'!J28,'29.10 Kabale-Mbarara'!J28,'30.10 Kabale -Mbarara'!J28,'31.10 Kabale-Mbarara-24hr'!J28,'1.11 Kabale-Mbarara'!J28,'2.11 Kabale-Mbarara-24hr'!J28)</f>
        <v>1.4285714285714286</v>
      </c>
      <c r="K28" s="49">
        <f>AVERAGE('27.10 Kabale-Mbarara'!K28,'28.10 Kabale-Mbarara'!K28,'29.10 Kabale-Mbarara'!K28,'30.10 Kabale -Mbarara'!K28,'31.10 Kabale-Mbarara-24hr'!K28,'1.11 Kabale-Mbarara'!K28,'2.11 Kabale-Mbarara-24hr'!K28)</f>
        <v>1.1428571428571428</v>
      </c>
      <c r="L28" s="49">
        <f>AVERAGE('27.10 Kabale-Mbarara'!L28,'28.10 Kabale-Mbarara'!L28,'29.10 Kabale-Mbarara'!L28,'30.10 Kabale -Mbarara'!L28,'31.10 Kabale-Mbarara-24hr'!L28,'1.11 Kabale-Mbarara'!L28,'2.11 Kabale-Mbarara-24hr'!L28)</f>
        <v>0.8571428571428571</v>
      </c>
      <c r="M28" s="49">
        <f>AVERAGE('27.10 Kabale-Mbarara'!M28,'28.10 Kabale-Mbarara'!M28,'29.10 Kabale-Mbarara'!M28,'30.10 Kabale -Mbarara'!M28,'31.10 Kabale-Mbarara-24hr'!M28,'1.11 Kabale-Mbarara'!M28,'2.11 Kabale-Mbarara-24hr'!M28)</f>
        <v>14.714285714285714</v>
      </c>
      <c r="N28" s="49">
        <f>AVERAGE('27.10 Kabale-Mbarara'!N28,'28.10 Kabale-Mbarara'!N28,'29.10 Kabale-Mbarara'!N28,'30.10 Kabale -Mbarara'!N28,'31.10 Kabale-Mbarara-24hr'!N28,'1.11 Kabale-Mbarara'!N28,'2.11 Kabale-Mbarara-24hr'!N28)</f>
        <v>0</v>
      </c>
      <c r="O28" s="15">
        <f t="shared" si="0"/>
        <v>26.857142857142854</v>
      </c>
      <c r="P28" s="15">
        <f t="shared" si="1"/>
        <v>41.571428571428569</v>
      </c>
      <c r="R28" s="1" t="s">
        <v>152</v>
      </c>
      <c r="S28" s="34">
        <f>SUM(C82:C85)</f>
        <v>1.5</v>
      </c>
      <c r="T28" s="34">
        <f t="shared" ref="T28:AF28" si="20">SUM(D82:D85)</f>
        <v>0</v>
      </c>
      <c r="U28" s="34">
        <f t="shared" si="20"/>
        <v>1.5</v>
      </c>
      <c r="V28" s="34">
        <f t="shared" si="20"/>
        <v>1</v>
      </c>
      <c r="W28" s="34">
        <f t="shared" si="20"/>
        <v>0</v>
      </c>
      <c r="X28" s="34">
        <f t="shared" si="20"/>
        <v>1.5</v>
      </c>
      <c r="Y28" s="34">
        <f t="shared" si="20"/>
        <v>0.5</v>
      </c>
      <c r="Z28" s="34">
        <f t="shared" si="20"/>
        <v>3</v>
      </c>
      <c r="AA28" s="34">
        <f t="shared" si="20"/>
        <v>3.5</v>
      </c>
      <c r="AB28" s="34">
        <f t="shared" si="20"/>
        <v>5.5</v>
      </c>
      <c r="AC28" s="34">
        <f t="shared" si="20"/>
        <v>1</v>
      </c>
      <c r="AD28" s="34">
        <f t="shared" si="20"/>
        <v>0</v>
      </c>
      <c r="AE28" s="31">
        <f t="shared" si="20"/>
        <v>18</v>
      </c>
      <c r="AF28" s="31">
        <f t="shared" si="20"/>
        <v>19</v>
      </c>
    </row>
    <row r="29" spans="2:32" ht="23.1" customHeight="1" x14ac:dyDescent="0.25">
      <c r="B29" s="23" t="s">
        <v>56</v>
      </c>
      <c r="C29" s="49">
        <f>AVERAGE('27.10 Kabale-Mbarara'!C29,'28.10 Kabale-Mbarara'!C29,'29.10 Kabale-Mbarara'!C29,'30.10 Kabale -Mbarara'!C29,'31.10 Kabale-Mbarara-24hr'!C29,'1.11 Kabale-Mbarara'!C29,'2.11 Kabale-Mbarara-24hr'!C29)</f>
        <v>6.7142857142857144</v>
      </c>
      <c r="D29" s="49">
        <f>AVERAGE('27.10 Kabale-Mbarara'!D29,'28.10 Kabale-Mbarara'!D29,'29.10 Kabale-Mbarara'!D29,'30.10 Kabale -Mbarara'!D29,'31.10 Kabale-Mbarara-24hr'!D29,'1.11 Kabale-Mbarara'!D29,'2.11 Kabale-Mbarara-24hr'!D29)</f>
        <v>0.5714285714285714</v>
      </c>
      <c r="E29" s="49">
        <f>AVERAGE('27.10 Kabale-Mbarara'!E29,'28.10 Kabale-Mbarara'!E29,'29.10 Kabale-Mbarara'!E29,'30.10 Kabale -Mbarara'!E29,'31.10 Kabale-Mbarara-24hr'!E29,'1.11 Kabale-Mbarara'!E29,'2.11 Kabale-Mbarara-24hr'!E29)</f>
        <v>0.2857142857142857</v>
      </c>
      <c r="F29" s="49">
        <f>AVERAGE('27.10 Kabale-Mbarara'!F29,'28.10 Kabale-Mbarara'!F29,'29.10 Kabale-Mbarara'!F29,'30.10 Kabale -Mbarara'!F29,'31.10 Kabale-Mbarara-24hr'!F29,'1.11 Kabale-Mbarara'!F29,'2.11 Kabale-Mbarara-24hr'!F29)</f>
        <v>6.4285714285714288</v>
      </c>
      <c r="G29" s="49">
        <f>AVERAGE('27.10 Kabale-Mbarara'!G29,'28.10 Kabale-Mbarara'!G29,'29.10 Kabale-Mbarara'!G29,'30.10 Kabale -Mbarara'!G29,'31.10 Kabale-Mbarara-24hr'!G29,'1.11 Kabale-Mbarara'!G29,'2.11 Kabale-Mbarara-24hr'!G29)</f>
        <v>0</v>
      </c>
      <c r="H29" s="49">
        <f>AVERAGE('27.10 Kabale-Mbarara'!H29,'28.10 Kabale-Mbarara'!H29,'29.10 Kabale-Mbarara'!H29,'30.10 Kabale -Mbarara'!H29,'31.10 Kabale-Mbarara-24hr'!H29,'1.11 Kabale-Mbarara'!H29,'2.11 Kabale-Mbarara-24hr'!H29)</f>
        <v>0.2857142857142857</v>
      </c>
      <c r="I29" s="49">
        <f>AVERAGE('27.10 Kabale-Mbarara'!I29,'28.10 Kabale-Mbarara'!I29,'29.10 Kabale-Mbarara'!I29,'30.10 Kabale -Mbarara'!I29,'31.10 Kabale-Mbarara-24hr'!I29,'1.11 Kabale-Mbarara'!I29,'2.11 Kabale-Mbarara-24hr'!I29)</f>
        <v>1.1428571428571428</v>
      </c>
      <c r="J29" s="49">
        <f>AVERAGE('27.10 Kabale-Mbarara'!J29,'28.10 Kabale-Mbarara'!J29,'29.10 Kabale-Mbarara'!J29,'30.10 Kabale -Mbarara'!J29,'31.10 Kabale-Mbarara-24hr'!J29,'1.11 Kabale-Mbarara'!J29,'2.11 Kabale-Mbarara-24hr'!J29)</f>
        <v>1.1428571428571428</v>
      </c>
      <c r="K29" s="49">
        <f>AVERAGE('27.10 Kabale-Mbarara'!K29,'28.10 Kabale-Mbarara'!K29,'29.10 Kabale-Mbarara'!K29,'30.10 Kabale -Mbarara'!K29,'31.10 Kabale-Mbarara-24hr'!K29,'1.11 Kabale-Mbarara'!K29,'2.11 Kabale-Mbarara-24hr'!K29)</f>
        <v>0.7142857142857143</v>
      </c>
      <c r="L29" s="49">
        <f>AVERAGE('27.10 Kabale-Mbarara'!L29,'28.10 Kabale-Mbarara'!L29,'29.10 Kabale-Mbarara'!L29,'30.10 Kabale -Mbarara'!L29,'31.10 Kabale-Mbarara-24hr'!L29,'1.11 Kabale-Mbarara'!L29,'2.11 Kabale-Mbarara-24hr'!L29)</f>
        <v>2.4285714285714284</v>
      </c>
      <c r="M29" s="49">
        <f>AVERAGE('27.10 Kabale-Mbarara'!M29,'28.10 Kabale-Mbarara'!M29,'29.10 Kabale-Mbarara'!M29,'30.10 Kabale -Mbarara'!M29,'31.10 Kabale-Mbarara-24hr'!M29,'1.11 Kabale-Mbarara'!M29,'2.11 Kabale-Mbarara-24hr'!M29)</f>
        <v>13.285714285714286</v>
      </c>
      <c r="N29" s="49">
        <f>AVERAGE('27.10 Kabale-Mbarara'!N29,'28.10 Kabale-Mbarara'!N29,'29.10 Kabale-Mbarara'!N29,'30.10 Kabale -Mbarara'!N29,'31.10 Kabale-Mbarara-24hr'!N29,'1.11 Kabale-Mbarara'!N29,'2.11 Kabale-Mbarara-24hr'!N29)</f>
        <v>0</v>
      </c>
      <c r="O29" s="15">
        <f t="shared" si="0"/>
        <v>19.714285714285715</v>
      </c>
      <c r="P29" s="15">
        <f t="shared" si="1"/>
        <v>33</v>
      </c>
      <c r="R29" s="1" t="s">
        <v>153</v>
      </c>
      <c r="S29" s="34">
        <f>SUM(C86:C89)</f>
        <v>8.5</v>
      </c>
      <c r="T29" s="34">
        <f t="shared" ref="T29:AF29" si="21">SUM(D86:D89)</f>
        <v>1</v>
      </c>
      <c r="U29" s="34">
        <f t="shared" si="21"/>
        <v>0</v>
      </c>
      <c r="V29" s="34">
        <f t="shared" si="21"/>
        <v>2.5</v>
      </c>
      <c r="W29" s="34">
        <f t="shared" si="21"/>
        <v>0.5</v>
      </c>
      <c r="X29" s="34">
        <f t="shared" si="21"/>
        <v>0</v>
      </c>
      <c r="Y29" s="34">
        <f t="shared" si="21"/>
        <v>0.5</v>
      </c>
      <c r="Z29" s="34">
        <f t="shared" si="21"/>
        <v>1.5</v>
      </c>
      <c r="AA29" s="34">
        <f t="shared" si="21"/>
        <v>5</v>
      </c>
      <c r="AB29" s="34">
        <f t="shared" si="21"/>
        <v>9.5</v>
      </c>
      <c r="AC29" s="34">
        <f t="shared" si="21"/>
        <v>1</v>
      </c>
      <c r="AD29" s="34">
        <f t="shared" si="21"/>
        <v>0</v>
      </c>
      <c r="AE29" s="31">
        <f t="shared" si="21"/>
        <v>29</v>
      </c>
      <c r="AF29" s="31">
        <f t="shared" si="21"/>
        <v>30</v>
      </c>
    </row>
    <row r="30" spans="2:32" ht="23.1" customHeight="1" x14ac:dyDescent="0.25">
      <c r="B30" s="23" t="s">
        <v>57</v>
      </c>
      <c r="C30" s="49">
        <f>AVERAGE('27.10 Kabale-Mbarara'!C30,'28.10 Kabale-Mbarara'!C30,'29.10 Kabale-Mbarara'!C30,'30.10 Kabale -Mbarara'!C30,'31.10 Kabale-Mbarara-24hr'!C30,'1.11 Kabale-Mbarara'!C30,'2.11 Kabale-Mbarara-24hr'!C30)</f>
        <v>6.4285714285714288</v>
      </c>
      <c r="D30" s="49">
        <f>AVERAGE('27.10 Kabale-Mbarara'!D30,'28.10 Kabale-Mbarara'!D30,'29.10 Kabale-Mbarara'!D30,'30.10 Kabale -Mbarara'!D30,'31.10 Kabale-Mbarara-24hr'!D30,'1.11 Kabale-Mbarara'!D30,'2.11 Kabale-Mbarara-24hr'!D30)</f>
        <v>1.5714285714285714</v>
      </c>
      <c r="E30" s="49">
        <f>AVERAGE('27.10 Kabale-Mbarara'!E30,'28.10 Kabale-Mbarara'!E30,'29.10 Kabale-Mbarara'!E30,'30.10 Kabale -Mbarara'!E30,'31.10 Kabale-Mbarara-24hr'!E30,'1.11 Kabale-Mbarara'!E30,'2.11 Kabale-Mbarara-24hr'!E30)</f>
        <v>0.7142857142857143</v>
      </c>
      <c r="F30" s="49">
        <f>AVERAGE('27.10 Kabale-Mbarara'!F30,'28.10 Kabale-Mbarara'!F30,'29.10 Kabale-Mbarara'!F30,'30.10 Kabale -Mbarara'!F30,'31.10 Kabale-Mbarara-24hr'!F30,'1.11 Kabale-Mbarara'!F30,'2.11 Kabale-Mbarara-24hr'!F30)</f>
        <v>6.4285714285714288</v>
      </c>
      <c r="G30" s="49">
        <f>AVERAGE('27.10 Kabale-Mbarara'!G30,'28.10 Kabale-Mbarara'!G30,'29.10 Kabale-Mbarara'!G30,'30.10 Kabale -Mbarara'!G30,'31.10 Kabale-Mbarara-24hr'!G30,'1.11 Kabale-Mbarara'!G30,'2.11 Kabale-Mbarara-24hr'!G30)</f>
        <v>0.14285714285714285</v>
      </c>
      <c r="H30" s="49">
        <f>AVERAGE('27.10 Kabale-Mbarara'!H30,'28.10 Kabale-Mbarara'!H30,'29.10 Kabale-Mbarara'!H30,'30.10 Kabale -Mbarara'!H30,'31.10 Kabale-Mbarara-24hr'!H30,'1.11 Kabale-Mbarara'!H30,'2.11 Kabale-Mbarara-24hr'!H30)</f>
        <v>1</v>
      </c>
      <c r="I30" s="49">
        <f>AVERAGE('27.10 Kabale-Mbarara'!I30,'28.10 Kabale-Mbarara'!I30,'29.10 Kabale-Mbarara'!I30,'30.10 Kabale -Mbarara'!I30,'31.10 Kabale-Mbarara-24hr'!I30,'1.11 Kabale-Mbarara'!I30,'2.11 Kabale-Mbarara-24hr'!I30)</f>
        <v>1.7142857142857142</v>
      </c>
      <c r="J30" s="49">
        <f>AVERAGE('27.10 Kabale-Mbarara'!J30,'28.10 Kabale-Mbarara'!J30,'29.10 Kabale-Mbarara'!J30,'30.10 Kabale -Mbarara'!J30,'31.10 Kabale-Mbarara-24hr'!J30,'1.11 Kabale-Mbarara'!J30,'2.11 Kabale-Mbarara-24hr'!J30)</f>
        <v>0.7142857142857143</v>
      </c>
      <c r="K30" s="49">
        <f>AVERAGE('27.10 Kabale-Mbarara'!K30,'28.10 Kabale-Mbarara'!K30,'29.10 Kabale-Mbarara'!K30,'30.10 Kabale -Mbarara'!K30,'31.10 Kabale-Mbarara-24hr'!K30,'1.11 Kabale-Mbarara'!K30,'2.11 Kabale-Mbarara-24hr'!K30)</f>
        <v>1</v>
      </c>
      <c r="L30" s="49">
        <f>AVERAGE('27.10 Kabale-Mbarara'!L30,'28.10 Kabale-Mbarara'!L30,'29.10 Kabale-Mbarara'!L30,'30.10 Kabale -Mbarara'!L30,'31.10 Kabale-Mbarara-24hr'!L30,'1.11 Kabale-Mbarara'!L30,'2.11 Kabale-Mbarara-24hr'!L30)</f>
        <v>1.1428571428571428</v>
      </c>
      <c r="M30" s="49">
        <f>AVERAGE('27.10 Kabale-Mbarara'!M30,'28.10 Kabale-Mbarara'!M30,'29.10 Kabale-Mbarara'!M30,'30.10 Kabale -Mbarara'!M30,'31.10 Kabale-Mbarara-24hr'!M30,'1.11 Kabale-Mbarara'!M30,'2.11 Kabale-Mbarara-24hr'!M30)</f>
        <v>11.714285714285714</v>
      </c>
      <c r="N30" s="49">
        <f>AVERAGE('27.10 Kabale-Mbarara'!N30,'28.10 Kabale-Mbarara'!N30,'29.10 Kabale-Mbarara'!N30,'30.10 Kabale -Mbarara'!N30,'31.10 Kabale-Mbarara-24hr'!N30,'1.11 Kabale-Mbarara'!N30,'2.11 Kabale-Mbarara-24hr'!N30)</f>
        <v>0</v>
      </c>
      <c r="O30" s="15">
        <f t="shared" si="0"/>
        <v>20.857142857142858</v>
      </c>
      <c r="P30" s="15">
        <f t="shared" si="1"/>
        <v>32.571428571428569</v>
      </c>
      <c r="R30" s="1" t="s">
        <v>154</v>
      </c>
      <c r="S30" s="34">
        <f>SUM(C90:C93)</f>
        <v>2.5</v>
      </c>
      <c r="T30" s="34">
        <f t="shared" ref="T30:AF30" si="22">SUM(D90:D93)</f>
        <v>2.5</v>
      </c>
      <c r="U30" s="34">
        <f t="shared" si="22"/>
        <v>2</v>
      </c>
      <c r="V30" s="34">
        <f t="shared" si="22"/>
        <v>2.5</v>
      </c>
      <c r="W30" s="34">
        <f t="shared" si="22"/>
        <v>0</v>
      </c>
      <c r="X30" s="34">
        <f t="shared" si="22"/>
        <v>1</v>
      </c>
      <c r="Y30" s="34">
        <f t="shared" si="22"/>
        <v>3.5</v>
      </c>
      <c r="Z30" s="34">
        <f t="shared" si="22"/>
        <v>2.5</v>
      </c>
      <c r="AA30" s="34">
        <f t="shared" si="22"/>
        <v>10.5</v>
      </c>
      <c r="AB30" s="34">
        <f t="shared" si="22"/>
        <v>11</v>
      </c>
      <c r="AC30" s="34">
        <f t="shared" si="22"/>
        <v>2.5</v>
      </c>
      <c r="AD30" s="34">
        <f t="shared" si="22"/>
        <v>0</v>
      </c>
      <c r="AE30" s="31">
        <f t="shared" si="22"/>
        <v>38</v>
      </c>
      <c r="AF30" s="31">
        <f t="shared" si="22"/>
        <v>40.5</v>
      </c>
    </row>
    <row r="31" spans="2:32" ht="23.1" customHeight="1" x14ac:dyDescent="0.25">
      <c r="B31" s="24" t="s">
        <v>58</v>
      </c>
      <c r="C31" s="49">
        <f>AVERAGE('27.10 Kabale-Mbarara'!C31,'28.10 Kabale-Mbarara'!C31,'29.10 Kabale-Mbarara'!C31,'30.10 Kabale -Mbarara'!C31,'31.10 Kabale-Mbarara-24hr'!C31,'1.11 Kabale-Mbarara'!C31,'2.11 Kabale-Mbarara-24hr'!C31)</f>
        <v>8.1428571428571423</v>
      </c>
      <c r="D31" s="49">
        <f>AVERAGE('27.10 Kabale-Mbarara'!D31,'28.10 Kabale-Mbarara'!D31,'29.10 Kabale-Mbarara'!D31,'30.10 Kabale -Mbarara'!D31,'31.10 Kabale-Mbarara-24hr'!D31,'1.11 Kabale-Mbarara'!D31,'2.11 Kabale-Mbarara-24hr'!D31)</f>
        <v>1.1428571428571428</v>
      </c>
      <c r="E31" s="49">
        <f>AVERAGE('27.10 Kabale-Mbarara'!E31,'28.10 Kabale-Mbarara'!E31,'29.10 Kabale-Mbarara'!E31,'30.10 Kabale -Mbarara'!E31,'31.10 Kabale-Mbarara-24hr'!E31,'1.11 Kabale-Mbarara'!E31,'2.11 Kabale-Mbarara-24hr'!E31)</f>
        <v>1.5714285714285714</v>
      </c>
      <c r="F31" s="49">
        <f>AVERAGE('27.10 Kabale-Mbarara'!F31,'28.10 Kabale-Mbarara'!F31,'29.10 Kabale-Mbarara'!F31,'30.10 Kabale -Mbarara'!F31,'31.10 Kabale-Mbarara-24hr'!F31,'1.11 Kabale-Mbarara'!F31,'2.11 Kabale-Mbarara-24hr'!F31)</f>
        <v>9.4285714285714288</v>
      </c>
      <c r="G31" s="49">
        <f>AVERAGE('27.10 Kabale-Mbarara'!G31,'28.10 Kabale-Mbarara'!G31,'29.10 Kabale-Mbarara'!G31,'30.10 Kabale -Mbarara'!G31,'31.10 Kabale-Mbarara-24hr'!G31,'1.11 Kabale-Mbarara'!G31,'2.11 Kabale-Mbarara-24hr'!G31)</f>
        <v>0</v>
      </c>
      <c r="H31" s="49">
        <f>AVERAGE('27.10 Kabale-Mbarara'!H31,'28.10 Kabale-Mbarara'!H31,'29.10 Kabale-Mbarara'!H31,'30.10 Kabale -Mbarara'!H31,'31.10 Kabale-Mbarara-24hr'!H31,'1.11 Kabale-Mbarara'!H31,'2.11 Kabale-Mbarara-24hr'!H31)</f>
        <v>0.8571428571428571</v>
      </c>
      <c r="I31" s="49">
        <f>AVERAGE('27.10 Kabale-Mbarara'!I31,'28.10 Kabale-Mbarara'!I31,'29.10 Kabale-Mbarara'!I31,'30.10 Kabale -Mbarara'!I31,'31.10 Kabale-Mbarara-24hr'!I31,'1.11 Kabale-Mbarara'!I31,'2.11 Kabale-Mbarara-24hr'!I31)</f>
        <v>2.2857142857142856</v>
      </c>
      <c r="J31" s="49">
        <f>AVERAGE('27.10 Kabale-Mbarara'!J31,'28.10 Kabale-Mbarara'!J31,'29.10 Kabale-Mbarara'!J31,'30.10 Kabale -Mbarara'!J31,'31.10 Kabale-Mbarara-24hr'!J31,'1.11 Kabale-Mbarara'!J31,'2.11 Kabale-Mbarara-24hr'!J31)</f>
        <v>0.2857142857142857</v>
      </c>
      <c r="K31" s="49">
        <f>AVERAGE('27.10 Kabale-Mbarara'!K31,'28.10 Kabale-Mbarara'!K31,'29.10 Kabale-Mbarara'!K31,'30.10 Kabale -Mbarara'!K31,'31.10 Kabale-Mbarara-24hr'!K31,'1.11 Kabale-Mbarara'!K31,'2.11 Kabale-Mbarara-24hr'!K31)</f>
        <v>0.7142857142857143</v>
      </c>
      <c r="L31" s="49">
        <f>AVERAGE('27.10 Kabale-Mbarara'!L31,'28.10 Kabale-Mbarara'!L31,'29.10 Kabale-Mbarara'!L31,'30.10 Kabale -Mbarara'!L31,'31.10 Kabale-Mbarara-24hr'!L31,'1.11 Kabale-Mbarara'!L31,'2.11 Kabale-Mbarara-24hr'!L31)</f>
        <v>2.1428571428571428</v>
      </c>
      <c r="M31" s="49">
        <f>AVERAGE('27.10 Kabale-Mbarara'!M31,'28.10 Kabale-Mbarara'!M31,'29.10 Kabale-Mbarara'!M31,'30.10 Kabale -Mbarara'!M31,'31.10 Kabale-Mbarara-24hr'!M31,'1.11 Kabale-Mbarara'!M31,'2.11 Kabale-Mbarara-24hr'!M31)</f>
        <v>16.285714285714285</v>
      </c>
      <c r="N31" s="49">
        <f>AVERAGE('27.10 Kabale-Mbarara'!N31,'28.10 Kabale-Mbarara'!N31,'29.10 Kabale-Mbarara'!N31,'30.10 Kabale -Mbarara'!N31,'31.10 Kabale-Mbarara-24hr'!N31,'1.11 Kabale-Mbarara'!N31,'2.11 Kabale-Mbarara-24hr'!N31)</f>
        <v>0</v>
      </c>
      <c r="O31" s="15">
        <f t="shared" si="0"/>
        <v>26.571428571428569</v>
      </c>
      <c r="P31" s="15">
        <f t="shared" si="1"/>
        <v>42.857142857142854</v>
      </c>
      <c r="R31" s="1" t="s">
        <v>155</v>
      </c>
      <c r="S31" s="34">
        <f>SUM(C94:C97)</f>
        <v>2</v>
      </c>
      <c r="T31" s="34">
        <f t="shared" ref="T31:AF31" si="23">SUM(D94:D97)</f>
        <v>2</v>
      </c>
      <c r="U31" s="34">
        <f t="shared" si="23"/>
        <v>0.5</v>
      </c>
      <c r="V31" s="34">
        <f t="shared" si="23"/>
        <v>4</v>
      </c>
      <c r="W31" s="34">
        <f t="shared" si="23"/>
        <v>0</v>
      </c>
      <c r="X31" s="34">
        <f t="shared" si="23"/>
        <v>0.5</v>
      </c>
      <c r="Y31" s="34">
        <f t="shared" si="23"/>
        <v>2</v>
      </c>
      <c r="Z31" s="34">
        <f t="shared" si="23"/>
        <v>5</v>
      </c>
      <c r="AA31" s="34">
        <f t="shared" si="23"/>
        <v>11</v>
      </c>
      <c r="AB31" s="34">
        <f t="shared" si="23"/>
        <v>12.5</v>
      </c>
      <c r="AC31" s="34">
        <f t="shared" si="23"/>
        <v>5.5</v>
      </c>
      <c r="AD31" s="34">
        <f t="shared" si="23"/>
        <v>0</v>
      </c>
      <c r="AE31" s="31">
        <f t="shared" si="23"/>
        <v>39.5</v>
      </c>
      <c r="AF31" s="31">
        <f t="shared" si="23"/>
        <v>45</v>
      </c>
    </row>
    <row r="32" spans="2:32" ht="23.1" customHeight="1" x14ac:dyDescent="0.25">
      <c r="B32" s="24" t="s">
        <v>59</v>
      </c>
      <c r="C32" s="49">
        <f>AVERAGE('27.10 Kabale-Mbarara'!C32,'28.10 Kabale-Mbarara'!C32,'29.10 Kabale-Mbarara'!C32,'30.10 Kabale -Mbarara'!C32,'31.10 Kabale-Mbarara-24hr'!C32,'1.11 Kabale-Mbarara'!C32,'2.11 Kabale-Mbarara-24hr'!C32)</f>
        <v>7.1428571428571432</v>
      </c>
      <c r="D32" s="49">
        <f>AVERAGE('27.10 Kabale-Mbarara'!D32,'28.10 Kabale-Mbarara'!D32,'29.10 Kabale-Mbarara'!D32,'30.10 Kabale -Mbarara'!D32,'31.10 Kabale-Mbarara-24hr'!D32,'1.11 Kabale-Mbarara'!D32,'2.11 Kabale-Mbarara-24hr'!D32)</f>
        <v>1.2857142857142858</v>
      </c>
      <c r="E32" s="49">
        <f>AVERAGE('27.10 Kabale-Mbarara'!E32,'28.10 Kabale-Mbarara'!E32,'29.10 Kabale-Mbarara'!E32,'30.10 Kabale -Mbarara'!E32,'31.10 Kabale-Mbarara-24hr'!E32,'1.11 Kabale-Mbarara'!E32,'2.11 Kabale-Mbarara-24hr'!E32)</f>
        <v>1.7142857142857142</v>
      </c>
      <c r="F32" s="49">
        <f>AVERAGE('27.10 Kabale-Mbarara'!F32,'28.10 Kabale-Mbarara'!F32,'29.10 Kabale-Mbarara'!F32,'30.10 Kabale -Mbarara'!F32,'31.10 Kabale-Mbarara-24hr'!F32,'1.11 Kabale-Mbarara'!F32,'2.11 Kabale-Mbarara-24hr'!F32)</f>
        <v>5.8571428571428568</v>
      </c>
      <c r="G32" s="49">
        <f>AVERAGE('27.10 Kabale-Mbarara'!G32,'28.10 Kabale-Mbarara'!G32,'29.10 Kabale-Mbarara'!G32,'30.10 Kabale -Mbarara'!G32,'31.10 Kabale-Mbarara-24hr'!G32,'1.11 Kabale-Mbarara'!G32,'2.11 Kabale-Mbarara-24hr'!G32)</f>
        <v>0.14285714285714285</v>
      </c>
      <c r="H32" s="49">
        <f>AVERAGE('27.10 Kabale-Mbarara'!H32,'28.10 Kabale-Mbarara'!H32,'29.10 Kabale-Mbarara'!H32,'30.10 Kabale -Mbarara'!H32,'31.10 Kabale-Mbarara-24hr'!H32,'1.11 Kabale-Mbarara'!H32,'2.11 Kabale-Mbarara-24hr'!H32)</f>
        <v>0.7142857142857143</v>
      </c>
      <c r="I32" s="49">
        <f>AVERAGE('27.10 Kabale-Mbarara'!I32,'28.10 Kabale-Mbarara'!I32,'29.10 Kabale-Mbarara'!I32,'30.10 Kabale -Mbarara'!I32,'31.10 Kabale-Mbarara-24hr'!I32,'1.11 Kabale-Mbarara'!I32,'2.11 Kabale-Mbarara-24hr'!I32)</f>
        <v>2.2857142857142856</v>
      </c>
      <c r="J32" s="49">
        <f>AVERAGE('27.10 Kabale-Mbarara'!J32,'28.10 Kabale-Mbarara'!J32,'29.10 Kabale-Mbarara'!J32,'30.10 Kabale -Mbarara'!J32,'31.10 Kabale-Mbarara-24hr'!J32,'1.11 Kabale-Mbarara'!J32,'2.11 Kabale-Mbarara-24hr'!J32)</f>
        <v>0.42857142857142855</v>
      </c>
      <c r="K32" s="49">
        <f>AVERAGE('27.10 Kabale-Mbarara'!K32,'28.10 Kabale-Mbarara'!K32,'29.10 Kabale-Mbarara'!K32,'30.10 Kabale -Mbarara'!K32,'31.10 Kabale-Mbarara-24hr'!K32,'1.11 Kabale-Mbarara'!K32,'2.11 Kabale-Mbarara-24hr'!K32)</f>
        <v>1.4285714285714286</v>
      </c>
      <c r="L32" s="49">
        <f>AVERAGE('27.10 Kabale-Mbarara'!L32,'28.10 Kabale-Mbarara'!L32,'29.10 Kabale-Mbarara'!L32,'30.10 Kabale -Mbarara'!L32,'31.10 Kabale-Mbarara-24hr'!L32,'1.11 Kabale-Mbarara'!L32,'2.11 Kabale-Mbarara-24hr'!L32)</f>
        <v>1.1428571428571428</v>
      </c>
      <c r="M32" s="49">
        <f>AVERAGE('27.10 Kabale-Mbarara'!M32,'28.10 Kabale-Mbarara'!M32,'29.10 Kabale-Mbarara'!M32,'30.10 Kabale -Mbarara'!M32,'31.10 Kabale-Mbarara-24hr'!M32,'1.11 Kabale-Mbarara'!M32,'2.11 Kabale-Mbarara-24hr'!M32)</f>
        <v>11</v>
      </c>
      <c r="N32" s="49">
        <f>AVERAGE('27.10 Kabale-Mbarara'!N32,'28.10 Kabale-Mbarara'!N32,'29.10 Kabale-Mbarara'!N32,'30.10 Kabale -Mbarara'!N32,'31.10 Kabale-Mbarara-24hr'!N32,'1.11 Kabale-Mbarara'!N32,'2.11 Kabale-Mbarara-24hr'!N32)</f>
        <v>0</v>
      </c>
      <c r="O32" s="15">
        <f t="shared" si="0"/>
        <v>22.142857142857139</v>
      </c>
      <c r="P32" s="15">
        <f t="shared" si="1"/>
        <v>33.142857142857139</v>
      </c>
      <c r="R32" s="1" t="s">
        <v>156</v>
      </c>
      <c r="S32" s="34">
        <f>SUM(C98:C101)</f>
        <v>0.5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5.5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5</v>
      </c>
      <c r="AC32" s="34">
        <f t="shared" si="24"/>
        <v>1</v>
      </c>
      <c r="AD32" s="34">
        <f t="shared" si="24"/>
        <v>0</v>
      </c>
      <c r="AE32" s="31">
        <f t="shared" si="24"/>
        <v>12</v>
      </c>
      <c r="AF32" s="31">
        <f t="shared" si="24"/>
        <v>13</v>
      </c>
    </row>
    <row r="33" spans="2:32" ht="23.1" customHeight="1" x14ac:dyDescent="0.25">
      <c r="B33" s="23" t="s">
        <v>60</v>
      </c>
      <c r="C33" s="49">
        <f>AVERAGE('27.10 Kabale-Mbarara'!C33,'28.10 Kabale-Mbarara'!C33,'29.10 Kabale-Mbarara'!C33,'30.10 Kabale -Mbarara'!C33,'31.10 Kabale-Mbarara-24hr'!C33,'1.11 Kabale-Mbarara'!C33,'2.11 Kabale-Mbarara-24hr'!C33)</f>
        <v>6.5714285714285712</v>
      </c>
      <c r="D33" s="49">
        <f>AVERAGE('27.10 Kabale-Mbarara'!D33,'28.10 Kabale-Mbarara'!D33,'29.10 Kabale-Mbarara'!D33,'30.10 Kabale -Mbarara'!D33,'31.10 Kabale-Mbarara-24hr'!D33,'1.11 Kabale-Mbarara'!D33,'2.11 Kabale-Mbarara-24hr'!D33)</f>
        <v>1</v>
      </c>
      <c r="E33" s="49">
        <f>AVERAGE('27.10 Kabale-Mbarara'!E33,'28.10 Kabale-Mbarara'!E33,'29.10 Kabale-Mbarara'!E33,'30.10 Kabale -Mbarara'!E33,'31.10 Kabale-Mbarara-24hr'!E33,'1.11 Kabale-Mbarara'!E33,'2.11 Kabale-Mbarara-24hr'!E33)</f>
        <v>0.14285714285714285</v>
      </c>
      <c r="F33" s="49">
        <f>AVERAGE('27.10 Kabale-Mbarara'!F33,'28.10 Kabale-Mbarara'!F33,'29.10 Kabale-Mbarara'!F33,'30.10 Kabale -Mbarara'!F33,'31.10 Kabale-Mbarara-24hr'!F33,'1.11 Kabale-Mbarara'!F33,'2.11 Kabale-Mbarara-24hr'!F33)</f>
        <v>6.2857142857142856</v>
      </c>
      <c r="G33" s="49">
        <f>AVERAGE('27.10 Kabale-Mbarara'!G33,'28.10 Kabale-Mbarara'!G33,'29.10 Kabale-Mbarara'!G33,'30.10 Kabale -Mbarara'!G33,'31.10 Kabale-Mbarara-24hr'!G33,'1.11 Kabale-Mbarara'!G33,'2.11 Kabale-Mbarara-24hr'!G33)</f>
        <v>0</v>
      </c>
      <c r="H33" s="49">
        <f>AVERAGE('27.10 Kabale-Mbarara'!H33,'28.10 Kabale-Mbarara'!H33,'29.10 Kabale-Mbarara'!H33,'30.10 Kabale -Mbarara'!H33,'31.10 Kabale-Mbarara-24hr'!H33,'1.11 Kabale-Mbarara'!H33,'2.11 Kabale-Mbarara-24hr'!H33)</f>
        <v>0.8571428571428571</v>
      </c>
      <c r="I33" s="49">
        <f>AVERAGE('27.10 Kabale-Mbarara'!I33,'28.10 Kabale-Mbarara'!I33,'29.10 Kabale-Mbarara'!I33,'30.10 Kabale -Mbarara'!I33,'31.10 Kabale-Mbarara-24hr'!I33,'1.11 Kabale-Mbarara'!I33,'2.11 Kabale-Mbarara-24hr'!I33)</f>
        <v>0</v>
      </c>
      <c r="J33" s="49">
        <f>AVERAGE('27.10 Kabale-Mbarara'!J33,'28.10 Kabale-Mbarara'!J33,'29.10 Kabale-Mbarara'!J33,'30.10 Kabale -Mbarara'!J33,'31.10 Kabale-Mbarara-24hr'!J33,'1.11 Kabale-Mbarara'!J33,'2.11 Kabale-Mbarara-24hr'!J33)</f>
        <v>0.14285714285714285</v>
      </c>
      <c r="K33" s="49">
        <f>AVERAGE('27.10 Kabale-Mbarara'!K33,'28.10 Kabale-Mbarara'!K33,'29.10 Kabale-Mbarara'!K33,'30.10 Kabale -Mbarara'!K33,'31.10 Kabale-Mbarara-24hr'!K33,'1.11 Kabale-Mbarara'!K33,'2.11 Kabale-Mbarara-24hr'!K33)</f>
        <v>1.1428571428571428</v>
      </c>
      <c r="L33" s="49">
        <f>AVERAGE('27.10 Kabale-Mbarara'!L33,'28.10 Kabale-Mbarara'!L33,'29.10 Kabale-Mbarara'!L33,'30.10 Kabale -Mbarara'!L33,'31.10 Kabale-Mbarara-24hr'!L33,'1.11 Kabale-Mbarara'!L33,'2.11 Kabale-Mbarara-24hr'!L33)</f>
        <v>1.8571428571428572</v>
      </c>
      <c r="M33" s="49">
        <f>AVERAGE('27.10 Kabale-Mbarara'!M33,'28.10 Kabale-Mbarara'!M33,'29.10 Kabale-Mbarara'!M33,'30.10 Kabale -Mbarara'!M33,'31.10 Kabale-Mbarara-24hr'!M33,'1.11 Kabale-Mbarara'!M33,'2.11 Kabale-Mbarara-24hr'!M33)</f>
        <v>10.666666666666666</v>
      </c>
      <c r="N33" s="49">
        <f>AVERAGE('27.10 Kabale-Mbarara'!N33,'28.10 Kabale-Mbarara'!N33,'29.10 Kabale-Mbarara'!N33,'30.10 Kabale -Mbarara'!N33,'31.10 Kabale-Mbarara-24hr'!N33,'1.11 Kabale-Mbarara'!N33,'2.11 Kabale-Mbarara-24hr'!N33)</f>
        <v>0</v>
      </c>
      <c r="O33" s="15">
        <f t="shared" si="0"/>
        <v>18</v>
      </c>
      <c r="P33" s="15">
        <f t="shared" si="1"/>
        <v>28.666666666666664</v>
      </c>
      <c r="R33" s="1" t="s">
        <v>157</v>
      </c>
      <c r="S33" s="34">
        <f>SUM(C102:C105)</f>
        <v>4</v>
      </c>
      <c r="T33" s="34">
        <f t="shared" ref="T33:AF33" si="25">SUM(D102:D105)</f>
        <v>1</v>
      </c>
      <c r="U33" s="34">
        <f t="shared" si="25"/>
        <v>0.5</v>
      </c>
      <c r="V33" s="34">
        <f t="shared" si="25"/>
        <v>6</v>
      </c>
      <c r="W33" s="34">
        <f t="shared" si="25"/>
        <v>1</v>
      </c>
      <c r="X33" s="34">
        <f t="shared" si="25"/>
        <v>1.5</v>
      </c>
      <c r="Y33" s="34">
        <f t="shared" si="25"/>
        <v>0</v>
      </c>
      <c r="Z33" s="34">
        <f t="shared" si="25"/>
        <v>1</v>
      </c>
      <c r="AA33" s="34">
        <f t="shared" si="25"/>
        <v>1</v>
      </c>
      <c r="AB33" s="34">
        <f t="shared" si="25"/>
        <v>0.5</v>
      </c>
      <c r="AC33" s="34">
        <f t="shared" si="25"/>
        <v>5</v>
      </c>
      <c r="AD33" s="34">
        <f t="shared" si="25"/>
        <v>0</v>
      </c>
      <c r="AE33" s="31">
        <f t="shared" si="25"/>
        <v>16.5</v>
      </c>
      <c r="AF33" s="31">
        <f t="shared" si="25"/>
        <v>21.5</v>
      </c>
    </row>
    <row r="34" spans="2:32" ht="23.1" customHeight="1" x14ac:dyDescent="0.25">
      <c r="B34" s="24" t="s">
        <v>61</v>
      </c>
      <c r="C34" s="49">
        <f>AVERAGE('27.10 Kabale-Mbarara'!C34,'28.10 Kabale-Mbarara'!C34,'29.10 Kabale-Mbarara'!C34,'30.10 Kabale -Mbarara'!C34,'31.10 Kabale-Mbarara-24hr'!C34,'1.11 Kabale-Mbarara'!C34,'2.11 Kabale-Mbarara-24hr'!C34)</f>
        <v>6.1428571428571432</v>
      </c>
      <c r="D34" s="49">
        <f>AVERAGE('27.10 Kabale-Mbarara'!D34,'28.10 Kabale-Mbarara'!D34,'29.10 Kabale-Mbarara'!D34,'30.10 Kabale -Mbarara'!D34,'31.10 Kabale-Mbarara-24hr'!D34,'1.11 Kabale-Mbarara'!D34,'2.11 Kabale-Mbarara-24hr'!D34)</f>
        <v>1.1428571428571428</v>
      </c>
      <c r="E34" s="49">
        <f>AVERAGE('27.10 Kabale-Mbarara'!E34,'28.10 Kabale-Mbarara'!E34,'29.10 Kabale-Mbarara'!E34,'30.10 Kabale -Mbarara'!E34,'31.10 Kabale-Mbarara-24hr'!E34,'1.11 Kabale-Mbarara'!E34,'2.11 Kabale-Mbarara-24hr'!E34)</f>
        <v>0.5714285714285714</v>
      </c>
      <c r="F34" s="49">
        <f>AVERAGE('27.10 Kabale-Mbarara'!F34,'28.10 Kabale-Mbarara'!F34,'29.10 Kabale-Mbarara'!F34,'30.10 Kabale -Mbarara'!F34,'31.10 Kabale-Mbarara-24hr'!F34,'1.11 Kabale-Mbarara'!F34,'2.11 Kabale-Mbarara-24hr'!F34)</f>
        <v>5</v>
      </c>
      <c r="G34" s="49">
        <f>AVERAGE('27.10 Kabale-Mbarara'!G34,'28.10 Kabale-Mbarara'!G34,'29.10 Kabale-Mbarara'!G34,'30.10 Kabale -Mbarara'!G34,'31.10 Kabale-Mbarara-24hr'!G34,'1.11 Kabale-Mbarara'!G34,'2.11 Kabale-Mbarara-24hr'!G34)</f>
        <v>0</v>
      </c>
      <c r="H34" s="49">
        <f>AVERAGE('27.10 Kabale-Mbarara'!H34,'28.10 Kabale-Mbarara'!H34,'29.10 Kabale-Mbarara'!H34,'30.10 Kabale -Mbarara'!H34,'31.10 Kabale-Mbarara-24hr'!H34,'1.11 Kabale-Mbarara'!H34,'2.11 Kabale-Mbarara-24hr'!H34)</f>
        <v>0.14285714285714285</v>
      </c>
      <c r="I34" s="49">
        <f>AVERAGE('27.10 Kabale-Mbarara'!I34,'28.10 Kabale-Mbarara'!I34,'29.10 Kabale-Mbarara'!I34,'30.10 Kabale -Mbarara'!I34,'31.10 Kabale-Mbarara-24hr'!I34,'1.11 Kabale-Mbarara'!I34,'2.11 Kabale-Mbarara-24hr'!I34)</f>
        <v>1.8571428571428572</v>
      </c>
      <c r="J34" s="49">
        <f>AVERAGE('27.10 Kabale-Mbarara'!J34,'28.10 Kabale-Mbarara'!J34,'29.10 Kabale-Mbarara'!J34,'30.10 Kabale -Mbarara'!J34,'31.10 Kabale-Mbarara-24hr'!J34,'1.11 Kabale-Mbarara'!J34,'2.11 Kabale-Mbarara-24hr'!J34)</f>
        <v>0.7142857142857143</v>
      </c>
      <c r="K34" s="49">
        <f>AVERAGE('27.10 Kabale-Mbarara'!K34,'28.10 Kabale-Mbarara'!K34,'29.10 Kabale-Mbarara'!K34,'30.10 Kabale -Mbarara'!K34,'31.10 Kabale-Mbarara-24hr'!K34,'1.11 Kabale-Mbarara'!K34,'2.11 Kabale-Mbarara-24hr'!K34)</f>
        <v>0.42857142857142855</v>
      </c>
      <c r="L34" s="49">
        <f>AVERAGE('27.10 Kabale-Mbarara'!L34,'28.10 Kabale-Mbarara'!L34,'29.10 Kabale-Mbarara'!L34,'30.10 Kabale -Mbarara'!L34,'31.10 Kabale-Mbarara-24hr'!L34,'1.11 Kabale-Mbarara'!L34,'2.11 Kabale-Mbarara-24hr'!L34)</f>
        <v>1.5714285714285714</v>
      </c>
      <c r="M34" s="49">
        <f>AVERAGE('27.10 Kabale-Mbarara'!M34,'28.10 Kabale-Mbarara'!M34,'29.10 Kabale-Mbarara'!M34,'30.10 Kabale -Mbarara'!M34,'31.10 Kabale-Mbarara-24hr'!M34,'1.11 Kabale-Mbarara'!M34,'2.11 Kabale-Mbarara-24hr'!M34)</f>
        <v>11.857142857142858</v>
      </c>
      <c r="N34" s="49">
        <f>AVERAGE('27.10 Kabale-Mbarara'!N34,'28.10 Kabale-Mbarara'!N34,'29.10 Kabale-Mbarara'!N34,'30.10 Kabale -Mbarara'!N34,'31.10 Kabale-Mbarara-24hr'!N34,'1.11 Kabale-Mbarara'!N34,'2.11 Kabale-Mbarara-24hr'!N34)</f>
        <v>0</v>
      </c>
      <c r="O34" s="15">
        <f t="shared" si="0"/>
        <v>17.571428571428573</v>
      </c>
      <c r="P34" s="15">
        <f t="shared" si="1"/>
        <v>29.428571428571431</v>
      </c>
      <c r="R34" s="38" t="s">
        <v>90</v>
      </c>
      <c r="S34" s="39">
        <f t="shared" ref="S34:AF34" si="26">MAX(S10:S12)</f>
        <v>27.428571428571431</v>
      </c>
      <c r="T34" s="39">
        <f t="shared" si="26"/>
        <v>5.1428571428571432</v>
      </c>
      <c r="U34" s="39">
        <f t="shared" si="26"/>
        <v>3.8571428571428572</v>
      </c>
      <c r="V34" s="39">
        <f t="shared" si="26"/>
        <v>24.428571428571431</v>
      </c>
      <c r="W34" s="39">
        <f t="shared" si="26"/>
        <v>0.5714285714285714</v>
      </c>
      <c r="X34" s="39">
        <f t="shared" si="26"/>
        <v>2.4285714285714284</v>
      </c>
      <c r="Y34" s="39">
        <f t="shared" si="26"/>
        <v>5.5714285714285712</v>
      </c>
      <c r="Z34" s="39">
        <f t="shared" si="26"/>
        <v>2.8571428571428572</v>
      </c>
      <c r="AA34" s="39">
        <f t="shared" si="26"/>
        <v>2.5714285714285712</v>
      </c>
      <c r="AB34" s="39">
        <f t="shared" si="26"/>
        <v>7.2857142857142856</v>
      </c>
      <c r="AC34" s="39">
        <f t="shared" si="26"/>
        <v>69.714285714285722</v>
      </c>
      <c r="AD34" s="39">
        <f t="shared" si="26"/>
        <v>0.14285714285714285</v>
      </c>
      <c r="AE34" s="40">
        <f t="shared" si="26"/>
        <v>76</v>
      </c>
      <c r="AF34" s="40">
        <f t="shared" si="26"/>
        <v>145.71428571428572</v>
      </c>
    </row>
    <row r="35" spans="2:32" ht="23.1" customHeight="1" x14ac:dyDescent="0.25">
      <c r="B35" s="24" t="s">
        <v>62</v>
      </c>
      <c r="C35" s="49">
        <f>AVERAGE('27.10 Kabale-Mbarara'!C35,'28.10 Kabale-Mbarara'!C35,'29.10 Kabale-Mbarara'!C35,'30.10 Kabale -Mbarara'!C35,'31.10 Kabale-Mbarara-24hr'!C35,'1.11 Kabale-Mbarara'!C35,'2.11 Kabale-Mbarara-24hr'!C35)</f>
        <v>7.5714285714285712</v>
      </c>
      <c r="D35" s="49">
        <f>AVERAGE('27.10 Kabale-Mbarara'!D35,'28.10 Kabale-Mbarara'!D35,'29.10 Kabale-Mbarara'!D35,'30.10 Kabale -Mbarara'!D35,'31.10 Kabale-Mbarara-24hr'!D35,'1.11 Kabale-Mbarara'!D35,'2.11 Kabale-Mbarara-24hr'!D35)</f>
        <v>1.4285714285714286</v>
      </c>
      <c r="E35" s="49">
        <f>AVERAGE('27.10 Kabale-Mbarara'!E35,'28.10 Kabale-Mbarara'!E35,'29.10 Kabale-Mbarara'!E35,'30.10 Kabale -Mbarara'!E35,'31.10 Kabale-Mbarara-24hr'!E35,'1.11 Kabale-Mbarara'!E35,'2.11 Kabale-Mbarara-24hr'!E35)</f>
        <v>0.7142857142857143</v>
      </c>
      <c r="F35" s="49">
        <f>AVERAGE('27.10 Kabale-Mbarara'!F35,'28.10 Kabale-Mbarara'!F35,'29.10 Kabale-Mbarara'!F35,'30.10 Kabale -Mbarara'!F35,'31.10 Kabale-Mbarara-24hr'!F35,'1.11 Kabale-Mbarara'!F35,'2.11 Kabale-Mbarara-24hr'!F35)</f>
        <v>6</v>
      </c>
      <c r="G35" s="49">
        <f>AVERAGE('27.10 Kabale-Mbarara'!G35,'28.10 Kabale-Mbarara'!G35,'29.10 Kabale-Mbarara'!G35,'30.10 Kabale -Mbarara'!G35,'31.10 Kabale-Mbarara-24hr'!G35,'1.11 Kabale-Mbarara'!G35,'2.11 Kabale-Mbarara-24hr'!G35)</f>
        <v>0.42857142857142855</v>
      </c>
      <c r="H35" s="49">
        <f>AVERAGE('27.10 Kabale-Mbarara'!H35,'28.10 Kabale-Mbarara'!H35,'29.10 Kabale-Mbarara'!H35,'30.10 Kabale -Mbarara'!H35,'31.10 Kabale-Mbarara-24hr'!H35,'1.11 Kabale-Mbarara'!H35,'2.11 Kabale-Mbarara-24hr'!H35)</f>
        <v>1</v>
      </c>
      <c r="I35" s="49">
        <f>AVERAGE('27.10 Kabale-Mbarara'!I35,'28.10 Kabale-Mbarara'!I35,'29.10 Kabale-Mbarara'!I35,'30.10 Kabale -Mbarara'!I35,'31.10 Kabale-Mbarara-24hr'!I35,'1.11 Kabale-Mbarara'!I35,'2.11 Kabale-Mbarara-24hr'!I35)</f>
        <v>1.4285714285714286</v>
      </c>
      <c r="J35" s="49">
        <f>AVERAGE('27.10 Kabale-Mbarara'!J35,'28.10 Kabale-Mbarara'!J35,'29.10 Kabale-Mbarara'!J35,'30.10 Kabale -Mbarara'!J35,'31.10 Kabale-Mbarara-24hr'!J35,'1.11 Kabale-Mbarara'!J35,'2.11 Kabale-Mbarara-24hr'!J35)</f>
        <v>0</v>
      </c>
      <c r="K35" s="49">
        <f>AVERAGE('27.10 Kabale-Mbarara'!K35,'28.10 Kabale-Mbarara'!K35,'29.10 Kabale-Mbarara'!K35,'30.10 Kabale -Mbarara'!K35,'31.10 Kabale-Mbarara-24hr'!K35,'1.11 Kabale-Mbarara'!K35,'2.11 Kabale-Mbarara-24hr'!K35)</f>
        <v>0.2857142857142857</v>
      </c>
      <c r="L35" s="49">
        <f>AVERAGE('27.10 Kabale-Mbarara'!L35,'28.10 Kabale-Mbarara'!L35,'29.10 Kabale-Mbarara'!L35,'30.10 Kabale -Mbarara'!L35,'31.10 Kabale-Mbarara-24hr'!L35,'1.11 Kabale-Mbarara'!L35,'2.11 Kabale-Mbarara-24hr'!L35)</f>
        <v>1.8571428571428572</v>
      </c>
      <c r="M35" s="49">
        <f>AVERAGE('27.10 Kabale-Mbarara'!M35,'28.10 Kabale-Mbarara'!M35,'29.10 Kabale-Mbarara'!M35,'30.10 Kabale -Mbarara'!M35,'31.10 Kabale-Mbarara-24hr'!M35,'1.11 Kabale-Mbarara'!M35,'2.11 Kabale-Mbarara-24hr'!M35)</f>
        <v>14.285714285714286</v>
      </c>
      <c r="N35" s="49">
        <f>AVERAGE('27.10 Kabale-Mbarara'!N35,'28.10 Kabale-Mbarara'!N35,'29.10 Kabale-Mbarara'!N35,'30.10 Kabale -Mbarara'!N35,'31.10 Kabale-Mbarara-24hr'!N35,'1.11 Kabale-Mbarara'!N35,'2.11 Kabale-Mbarara-24hr'!N35)</f>
        <v>0</v>
      </c>
      <c r="O35" s="15">
        <f t="shared" si="0"/>
        <v>20.714285714285712</v>
      </c>
      <c r="P35" s="15">
        <f t="shared" si="1"/>
        <v>35</v>
      </c>
      <c r="R35" s="38" t="s">
        <v>91</v>
      </c>
      <c r="S35" s="39">
        <f t="shared" ref="S35:AF35" si="27">MAX(S13:S18)</f>
        <v>34.571428571428569</v>
      </c>
      <c r="T35" s="39">
        <f t="shared" si="27"/>
        <v>6.5714285714285712</v>
      </c>
      <c r="U35" s="39">
        <f t="shared" si="27"/>
        <v>5.5714285714285712</v>
      </c>
      <c r="V35" s="39">
        <f t="shared" si="27"/>
        <v>28</v>
      </c>
      <c r="W35" s="39">
        <f t="shared" si="27"/>
        <v>0.42857142857142855</v>
      </c>
      <c r="X35" s="39">
        <f t="shared" si="27"/>
        <v>3.8571428571428572</v>
      </c>
      <c r="Y35" s="39">
        <f t="shared" si="27"/>
        <v>7.5714285714285712</v>
      </c>
      <c r="Z35" s="39">
        <f t="shared" si="27"/>
        <v>4.4285714285714288</v>
      </c>
      <c r="AA35" s="39">
        <f t="shared" si="27"/>
        <v>6.8571428571428577</v>
      </c>
      <c r="AB35" s="39">
        <f t="shared" si="27"/>
        <v>8.8571428571428577</v>
      </c>
      <c r="AC35" s="39">
        <f t="shared" si="27"/>
        <v>72.571428571428569</v>
      </c>
      <c r="AD35" s="39">
        <f t="shared" si="27"/>
        <v>0.5714285714285714</v>
      </c>
      <c r="AE35" s="40">
        <f t="shared" si="27"/>
        <v>97.285714285714278</v>
      </c>
      <c r="AF35" s="40">
        <f t="shared" si="27"/>
        <v>158.57142857142856</v>
      </c>
    </row>
    <row r="36" spans="2:32" ht="23.1" customHeight="1" x14ac:dyDescent="0.25">
      <c r="B36" s="24" t="s">
        <v>63</v>
      </c>
      <c r="C36" s="49">
        <f>AVERAGE('27.10 Kabale-Mbarara'!C36,'28.10 Kabale-Mbarara'!C36,'29.10 Kabale-Mbarara'!C36,'30.10 Kabale -Mbarara'!C36,'31.10 Kabale-Mbarara-24hr'!C36,'1.11 Kabale-Mbarara'!C36,'2.11 Kabale-Mbarara-24hr'!C36)</f>
        <v>5.2857142857142856</v>
      </c>
      <c r="D36" s="49">
        <f>AVERAGE('27.10 Kabale-Mbarara'!D36,'28.10 Kabale-Mbarara'!D36,'29.10 Kabale-Mbarara'!D36,'30.10 Kabale -Mbarara'!D36,'31.10 Kabale-Mbarara-24hr'!D36,'1.11 Kabale-Mbarara'!D36,'2.11 Kabale-Mbarara-24hr'!D36)</f>
        <v>1</v>
      </c>
      <c r="E36" s="49">
        <f>AVERAGE('27.10 Kabale-Mbarara'!E36,'28.10 Kabale-Mbarara'!E36,'29.10 Kabale-Mbarara'!E36,'30.10 Kabale -Mbarara'!E36,'31.10 Kabale-Mbarara-24hr'!E36,'1.11 Kabale-Mbarara'!E36,'2.11 Kabale-Mbarara-24hr'!E36)</f>
        <v>1.2857142857142858</v>
      </c>
      <c r="F36" s="49">
        <f>AVERAGE('27.10 Kabale-Mbarara'!F36,'28.10 Kabale-Mbarara'!F36,'29.10 Kabale-Mbarara'!F36,'30.10 Kabale -Mbarara'!F36,'31.10 Kabale-Mbarara-24hr'!F36,'1.11 Kabale-Mbarara'!F36,'2.11 Kabale-Mbarara-24hr'!F36)</f>
        <v>7.7142857142857144</v>
      </c>
      <c r="G36" s="49">
        <f>AVERAGE('27.10 Kabale-Mbarara'!G36,'28.10 Kabale-Mbarara'!G36,'29.10 Kabale-Mbarara'!G36,'30.10 Kabale -Mbarara'!G36,'31.10 Kabale-Mbarara-24hr'!G36,'1.11 Kabale-Mbarara'!G36,'2.11 Kabale-Mbarara-24hr'!G36)</f>
        <v>0</v>
      </c>
      <c r="H36" s="49">
        <f>AVERAGE('27.10 Kabale-Mbarara'!H36,'28.10 Kabale-Mbarara'!H36,'29.10 Kabale-Mbarara'!H36,'30.10 Kabale -Mbarara'!H36,'31.10 Kabale-Mbarara-24hr'!H36,'1.11 Kabale-Mbarara'!H36,'2.11 Kabale-Mbarara-24hr'!H36)</f>
        <v>0</v>
      </c>
      <c r="I36" s="49">
        <f>AVERAGE('27.10 Kabale-Mbarara'!I36,'28.10 Kabale-Mbarara'!I36,'29.10 Kabale-Mbarara'!I36,'30.10 Kabale -Mbarara'!I36,'31.10 Kabale-Mbarara-24hr'!I36,'1.11 Kabale-Mbarara'!I36,'2.11 Kabale-Mbarara-24hr'!I36)</f>
        <v>0.7142857142857143</v>
      </c>
      <c r="J36" s="49">
        <f>AVERAGE('27.10 Kabale-Mbarara'!J36,'28.10 Kabale-Mbarara'!J36,'29.10 Kabale-Mbarara'!J36,'30.10 Kabale -Mbarara'!J36,'31.10 Kabale-Mbarara-24hr'!J36,'1.11 Kabale-Mbarara'!J36,'2.11 Kabale-Mbarara-24hr'!J36)</f>
        <v>1.1428571428571428</v>
      </c>
      <c r="K36" s="49">
        <f>AVERAGE('27.10 Kabale-Mbarara'!K36,'28.10 Kabale-Mbarara'!K36,'29.10 Kabale-Mbarara'!K36,'30.10 Kabale -Mbarara'!K36,'31.10 Kabale-Mbarara-24hr'!K36,'1.11 Kabale-Mbarara'!K36,'2.11 Kabale-Mbarara-24hr'!K36)</f>
        <v>2.4285714285714284</v>
      </c>
      <c r="L36" s="49">
        <f>AVERAGE('27.10 Kabale-Mbarara'!L36,'28.10 Kabale-Mbarara'!L36,'29.10 Kabale-Mbarara'!L36,'30.10 Kabale -Mbarara'!L36,'31.10 Kabale-Mbarara-24hr'!L36,'1.11 Kabale-Mbarara'!L36,'2.11 Kabale-Mbarara-24hr'!L36)</f>
        <v>0.8571428571428571</v>
      </c>
      <c r="M36" s="49">
        <f>AVERAGE('27.10 Kabale-Mbarara'!M36,'28.10 Kabale-Mbarara'!M36,'29.10 Kabale-Mbarara'!M36,'30.10 Kabale -Mbarara'!M36,'31.10 Kabale-Mbarara-24hr'!M36,'1.11 Kabale-Mbarara'!M36,'2.11 Kabale-Mbarara-24hr'!M36)</f>
        <v>13.285714285714286</v>
      </c>
      <c r="N36" s="49">
        <f>AVERAGE('27.10 Kabale-Mbarara'!N36,'28.10 Kabale-Mbarara'!N36,'29.10 Kabale-Mbarara'!N36,'30.10 Kabale -Mbarara'!N36,'31.10 Kabale-Mbarara-24hr'!N36,'1.11 Kabale-Mbarara'!N36,'2.11 Kabale-Mbarara-24hr'!N36)</f>
        <v>0</v>
      </c>
      <c r="O36" s="15">
        <f t="shared" si="0"/>
        <v>20.428571428571427</v>
      </c>
      <c r="P36" s="15">
        <f t="shared" si="1"/>
        <v>33.714285714285715</v>
      </c>
      <c r="R36" s="38" t="s">
        <v>92</v>
      </c>
      <c r="S36" s="39">
        <f t="shared" ref="S36:AF36" si="28">MAX(S19:S21)</f>
        <v>35.857142857142861</v>
      </c>
      <c r="T36" s="39">
        <f t="shared" si="28"/>
        <v>7.7142857142857144</v>
      </c>
      <c r="U36" s="39">
        <f t="shared" si="28"/>
        <v>6.2857142857142865</v>
      </c>
      <c r="V36" s="39">
        <f t="shared" si="28"/>
        <v>23.714285714285712</v>
      </c>
      <c r="W36" s="39">
        <f t="shared" si="28"/>
        <v>0.99999999999999989</v>
      </c>
      <c r="X36" s="39">
        <f t="shared" si="28"/>
        <v>0.8571428571428571</v>
      </c>
      <c r="Y36" s="39">
        <f t="shared" si="28"/>
        <v>6</v>
      </c>
      <c r="Z36" s="39">
        <f t="shared" si="28"/>
        <v>6.7142857142857135</v>
      </c>
      <c r="AA36" s="39">
        <f t="shared" si="28"/>
        <v>8.5714285714285712</v>
      </c>
      <c r="AB36" s="39">
        <f t="shared" si="28"/>
        <v>12.142857142857142</v>
      </c>
      <c r="AC36" s="39">
        <f t="shared" si="28"/>
        <v>67.428571428571431</v>
      </c>
      <c r="AD36" s="39">
        <f t="shared" si="28"/>
        <v>0.14285714285714285</v>
      </c>
      <c r="AE36" s="40">
        <f t="shared" si="28"/>
        <v>98.857142857142847</v>
      </c>
      <c r="AF36" s="40">
        <f t="shared" si="28"/>
        <v>166.28571428571428</v>
      </c>
    </row>
    <row r="37" spans="2:32" ht="23.1" customHeight="1" x14ac:dyDescent="0.25">
      <c r="B37" s="23" t="s">
        <v>64</v>
      </c>
      <c r="C37" s="49">
        <f>AVERAGE('27.10 Kabale-Mbarara'!C37,'28.10 Kabale-Mbarara'!C37,'29.10 Kabale-Mbarara'!C37,'30.10 Kabale -Mbarara'!C37,'31.10 Kabale-Mbarara-24hr'!C37,'1.11 Kabale-Mbarara'!C37,'2.11 Kabale-Mbarara-24hr'!C37)</f>
        <v>7</v>
      </c>
      <c r="D37" s="49">
        <f>AVERAGE('27.10 Kabale-Mbarara'!D37,'28.10 Kabale-Mbarara'!D37,'29.10 Kabale-Mbarara'!D37,'30.10 Kabale -Mbarara'!D37,'31.10 Kabale-Mbarara-24hr'!D37,'1.11 Kabale-Mbarara'!D37,'2.11 Kabale-Mbarara-24hr'!D37)</f>
        <v>2.1428571428571428</v>
      </c>
      <c r="E37" s="49">
        <f>AVERAGE('27.10 Kabale-Mbarara'!E37,'28.10 Kabale-Mbarara'!E37,'29.10 Kabale-Mbarara'!E37,'30.10 Kabale -Mbarara'!E37,'31.10 Kabale-Mbarara-24hr'!E37,'1.11 Kabale-Mbarara'!E37,'2.11 Kabale-Mbarara-24hr'!E37)</f>
        <v>0.7142857142857143</v>
      </c>
      <c r="F37" s="49">
        <f>AVERAGE('27.10 Kabale-Mbarara'!F37,'28.10 Kabale-Mbarara'!F37,'29.10 Kabale-Mbarara'!F37,'30.10 Kabale -Mbarara'!F37,'31.10 Kabale-Mbarara-24hr'!F37,'1.11 Kabale-Mbarara'!F37,'2.11 Kabale-Mbarara-24hr'!F37)</f>
        <v>3.5714285714285716</v>
      </c>
      <c r="G37" s="49">
        <f>AVERAGE('27.10 Kabale-Mbarara'!G37,'28.10 Kabale-Mbarara'!G37,'29.10 Kabale-Mbarara'!G37,'30.10 Kabale -Mbarara'!G37,'31.10 Kabale-Mbarara-24hr'!G37,'1.11 Kabale-Mbarara'!G37,'2.11 Kabale-Mbarara-24hr'!G37)</f>
        <v>0</v>
      </c>
      <c r="H37" s="49">
        <f>AVERAGE('27.10 Kabale-Mbarara'!H37,'28.10 Kabale-Mbarara'!H37,'29.10 Kabale-Mbarara'!H37,'30.10 Kabale -Mbarara'!H37,'31.10 Kabale-Mbarara-24hr'!H37,'1.11 Kabale-Mbarara'!H37,'2.11 Kabale-Mbarara-24hr'!H37)</f>
        <v>0.2857142857142857</v>
      </c>
      <c r="I37" s="49">
        <f>AVERAGE('27.10 Kabale-Mbarara'!I37,'28.10 Kabale-Mbarara'!I37,'29.10 Kabale-Mbarara'!I37,'30.10 Kabale -Mbarara'!I37,'31.10 Kabale-Mbarara-24hr'!I37,'1.11 Kabale-Mbarara'!I37,'2.11 Kabale-Mbarara-24hr'!I37)</f>
        <v>0.2857142857142857</v>
      </c>
      <c r="J37" s="49">
        <f>AVERAGE('27.10 Kabale-Mbarara'!J37,'28.10 Kabale-Mbarara'!J37,'29.10 Kabale-Mbarara'!J37,'30.10 Kabale -Mbarara'!J37,'31.10 Kabale-Mbarara-24hr'!J37,'1.11 Kabale-Mbarara'!J37,'2.11 Kabale-Mbarara-24hr'!J37)</f>
        <v>0</v>
      </c>
      <c r="K37" s="49">
        <f>AVERAGE('27.10 Kabale-Mbarara'!K37,'28.10 Kabale-Mbarara'!K37,'29.10 Kabale-Mbarara'!K37,'30.10 Kabale -Mbarara'!K37,'31.10 Kabale-Mbarara-24hr'!K37,'1.11 Kabale-Mbarara'!K37,'2.11 Kabale-Mbarara-24hr'!K37)</f>
        <v>1.8571428571428572</v>
      </c>
      <c r="L37" s="49">
        <f>AVERAGE('27.10 Kabale-Mbarara'!L37,'28.10 Kabale-Mbarara'!L37,'29.10 Kabale-Mbarara'!L37,'30.10 Kabale -Mbarara'!L37,'31.10 Kabale-Mbarara-24hr'!L37,'1.11 Kabale-Mbarara'!L37,'2.11 Kabale-Mbarara-24hr'!L37)</f>
        <v>2.7142857142857144</v>
      </c>
      <c r="M37" s="49">
        <f>AVERAGE('27.10 Kabale-Mbarara'!M37,'28.10 Kabale-Mbarara'!M37,'29.10 Kabale-Mbarara'!M37,'30.10 Kabale -Mbarara'!M37,'31.10 Kabale-Mbarara-24hr'!M37,'1.11 Kabale-Mbarara'!M37,'2.11 Kabale-Mbarara-24hr'!M37)</f>
        <v>11.428571428571429</v>
      </c>
      <c r="N37" s="49">
        <f>AVERAGE('27.10 Kabale-Mbarara'!N37,'28.10 Kabale-Mbarara'!N37,'29.10 Kabale-Mbarara'!N37,'30.10 Kabale -Mbarara'!N37,'31.10 Kabale-Mbarara-24hr'!N37,'1.11 Kabale-Mbarara'!N37,'2.11 Kabale-Mbarara-24hr'!N37)</f>
        <v>0.5714285714285714</v>
      </c>
      <c r="O37" s="15">
        <f t="shared" si="0"/>
        <v>19.142857142857146</v>
      </c>
      <c r="P37" s="15">
        <f t="shared" si="1"/>
        <v>30.571428571428573</v>
      </c>
      <c r="R37" s="37" t="s">
        <v>85</v>
      </c>
      <c r="S37" s="35">
        <f t="shared" ref="S37:AF37" si="29">SUM(S10:S12)</f>
        <v>72</v>
      </c>
      <c r="T37" s="16">
        <f t="shared" si="29"/>
        <v>13.714285714285715</v>
      </c>
      <c r="U37" s="16">
        <f t="shared" si="29"/>
        <v>8.2857142857142865</v>
      </c>
      <c r="V37" s="16">
        <f t="shared" si="29"/>
        <v>65.285714285714278</v>
      </c>
      <c r="W37" s="16">
        <f t="shared" si="29"/>
        <v>1.1428571428571428</v>
      </c>
      <c r="X37" s="16">
        <f t="shared" si="29"/>
        <v>4</v>
      </c>
      <c r="Y37" s="16">
        <f t="shared" si="29"/>
        <v>14.142857142857142</v>
      </c>
      <c r="Z37" s="16">
        <f t="shared" si="29"/>
        <v>8</v>
      </c>
      <c r="AA37" s="16">
        <f t="shared" si="29"/>
        <v>5.8571428571428568</v>
      </c>
      <c r="AB37" s="16">
        <f t="shared" si="29"/>
        <v>15.285714285714285</v>
      </c>
      <c r="AC37" s="16">
        <f t="shared" si="29"/>
        <v>184.42857142857144</v>
      </c>
      <c r="AD37" s="16">
        <f t="shared" si="29"/>
        <v>0.14285714285714285</v>
      </c>
      <c r="AE37" s="32">
        <f t="shared" si="29"/>
        <v>207.85714285714283</v>
      </c>
      <c r="AF37" s="32">
        <f t="shared" si="29"/>
        <v>392.28571428571428</v>
      </c>
    </row>
    <row r="38" spans="2:32" ht="23.1" customHeight="1" x14ac:dyDescent="0.25">
      <c r="B38" s="24" t="s">
        <v>65</v>
      </c>
      <c r="C38" s="49">
        <f>AVERAGE('27.10 Kabale-Mbarara'!C38,'28.10 Kabale-Mbarara'!C38,'29.10 Kabale-Mbarara'!C38,'30.10 Kabale -Mbarara'!C38,'31.10 Kabale-Mbarara-24hr'!C38,'1.11 Kabale-Mbarara'!C38,'2.11 Kabale-Mbarara-24hr'!C38)</f>
        <v>7.5714285714285712</v>
      </c>
      <c r="D38" s="49">
        <f>AVERAGE('27.10 Kabale-Mbarara'!D38,'28.10 Kabale-Mbarara'!D38,'29.10 Kabale-Mbarara'!D38,'30.10 Kabale -Mbarara'!D38,'31.10 Kabale-Mbarara-24hr'!D38,'1.11 Kabale-Mbarara'!D38,'2.11 Kabale-Mbarara-24hr'!D38)</f>
        <v>1</v>
      </c>
      <c r="E38" s="49">
        <f>AVERAGE('27.10 Kabale-Mbarara'!E38,'28.10 Kabale-Mbarara'!E38,'29.10 Kabale-Mbarara'!E38,'30.10 Kabale -Mbarara'!E38,'31.10 Kabale-Mbarara-24hr'!E38,'1.11 Kabale-Mbarara'!E38,'2.11 Kabale-Mbarara-24hr'!E38)</f>
        <v>1.4285714285714286</v>
      </c>
      <c r="F38" s="49">
        <f>AVERAGE('27.10 Kabale-Mbarara'!F38,'28.10 Kabale-Mbarara'!F38,'29.10 Kabale-Mbarara'!F38,'30.10 Kabale -Mbarara'!F38,'31.10 Kabale-Mbarara-24hr'!F38,'1.11 Kabale-Mbarara'!F38,'2.11 Kabale-Mbarara-24hr'!F38)</f>
        <v>3</v>
      </c>
      <c r="G38" s="49">
        <f>AVERAGE('27.10 Kabale-Mbarara'!G38,'28.10 Kabale-Mbarara'!G38,'29.10 Kabale-Mbarara'!G38,'30.10 Kabale -Mbarara'!G38,'31.10 Kabale-Mbarara-24hr'!G38,'1.11 Kabale-Mbarara'!G38,'2.11 Kabale-Mbarara-24hr'!G38)</f>
        <v>0</v>
      </c>
      <c r="H38" s="49">
        <f>AVERAGE('27.10 Kabale-Mbarara'!H38,'28.10 Kabale-Mbarara'!H38,'29.10 Kabale-Mbarara'!H38,'30.10 Kabale -Mbarara'!H38,'31.10 Kabale-Mbarara-24hr'!H38,'1.11 Kabale-Mbarara'!H38,'2.11 Kabale-Mbarara-24hr'!H38)</f>
        <v>1.2857142857142858</v>
      </c>
      <c r="I38" s="49">
        <f>AVERAGE('27.10 Kabale-Mbarara'!I38,'28.10 Kabale-Mbarara'!I38,'29.10 Kabale-Mbarara'!I38,'30.10 Kabale -Mbarara'!I38,'31.10 Kabale-Mbarara-24hr'!I38,'1.11 Kabale-Mbarara'!I38,'2.11 Kabale-Mbarara-24hr'!I38)</f>
        <v>1.1428571428571428</v>
      </c>
      <c r="J38" s="49">
        <f>AVERAGE('27.10 Kabale-Mbarara'!J38,'28.10 Kabale-Mbarara'!J38,'29.10 Kabale-Mbarara'!J38,'30.10 Kabale -Mbarara'!J38,'31.10 Kabale-Mbarara-24hr'!J38,'1.11 Kabale-Mbarara'!J38,'2.11 Kabale-Mbarara-24hr'!J38)</f>
        <v>1.1428571428571428</v>
      </c>
      <c r="K38" s="49">
        <f>AVERAGE('27.10 Kabale-Mbarara'!K38,'28.10 Kabale-Mbarara'!K38,'29.10 Kabale-Mbarara'!K38,'30.10 Kabale -Mbarara'!K38,'31.10 Kabale-Mbarara-24hr'!K38,'1.11 Kabale-Mbarara'!K38,'2.11 Kabale-Mbarara-24hr'!K38)</f>
        <v>0.7142857142857143</v>
      </c>
      <c r="L38" s="49">
        <f>AVERAGE('27.10 Kabale-Mbarara'!L38,'28.10 Kabale-Mbarara'!L38,'29.10 Kabale-Mbarara'!L38,'30.10 Kabale -Mbarara'!L38,'31.10 Kabale-Mbarara-24hr'!L38,'1.11 Kabale-Mbarara'!L38,'2.11 Kabale-Mbarara-24hr'!L38)</f>
        <v>2.5714285714285716</v>
      </c>
      <c r="M38" s="49">
        <f>AVERAGE('27.10 Kabale-Mbarara'!M38,'28.10 Kabale-Mbarara'!M38,'29.10 Kabale-Mbarara'!M38,'30.10 Kabale -Mbarara'!M38,'31.10 Kabale-Mbarara-24hr'!M38,'1.11 Kabale-Mbarara'!M38,'2.11 Kabale-Mbarara-24hr'!M38)</f>
        <v>9.8571428571428577</v>
      </c>
      <c r="N38" s="49">
        <f>AVERAGE('27.10 Kabale-Mbarara'!N38,'28.10 Kabale-Mbarara'!N38,'29.10 Kabale-Mbarara'!N38,'30.10 Kabale -Mbarara'!N38,'31.10 Kabale-Mbarara-24hr'!N38,'1.11 Kabale-Mbarara'!N38,'2.11 Kabale-Mbarara-24hr'!N38)</f>
        <v>0</v>
      </c>
      <c r="O38" s="15">
        <f t="shared" si="0"/>
        <v>19.857142857142861</v>
      </c>
      <c r="P38" s="15">
        <f t="shared" si="1"/>
        <v>29.714285714285719</v>
      </c>
      <c r="R38" s="28" t="s">
        <v>86</v>
      </c>
      <c r="S38" s="16">
        <f t="shared" ref="S38:AF38" si="30">SUM(S13:S18)</f>
        <v>176.42857142857142</v>
      </c>
      <c r="T38" s="16">
        <f t="shared" si="30"/>
        <v>34.857142857142861</v>
      </c>
      <c r="U38" s="16">
        <f t="shared" si="30"/>
        <v>23.999999999999996</v>
      </c>
      <c r="V38" s="16">
        <f t="shared" si="30"/>
        <v>137.71428571428572</v>
      </c>
      <c r="W38" s="16">
        <f t="shared" si="30"/>
        <v>1.8571428571428572</v>
      </c>
      <c r="X38" s="16">
        <f t="shared" si="30"/>
        <v>16.285714285714288</v>
      </c>
      <c r="Y38" s="16">
        <f t="shared" si="30"/>
        <v>32.714285714285708</v>
      </c>
      <c r="Z38" s="16">
        <f t="shared" si="30"/>
        <v>18.142857142857142</v>
      </c>
      <c r="AA38" s="16">
        <f t="shared" si="30"/>
        <v>25.714285714285715</v>
      </c>
      <c r="AB38" s="16">
        <f t="shared" si="30"/>
        <v>44.857142857142854</v>
      </c>
      <c r="AC38" s="16">
        <f t="shared" si="30"/>
        <v>333.8095238095238</v>
      </c>
      <c r="AD38" s="16">
        <f t="shared" si="30"/>
        <v>0.85714285714285698</v>
      </c>
      <c r="AE38" s="32">
        <f t="shared" si="30"/>
        <v>513.42857142857133</v>
      </c>
      <c r="AF38" s="32">
        <f t="shared" si="30"/>
        <v>847.23809523809518</v>
      </c>
    </row>
    <row r="39" spans="2:32" ht="23.1" customHeight="1" x14ac:dyDescent="0.25">
      <c r="B39" s="24" t="s">
        <v>66</v>
      </c>
      <c r="C39" s="49">
        <f>AVERAGE('27.10 Kabale-Mbarara'!C39,'28.10 Kabale-Mbarara'!C39,'29.10 Kabale-Mbarara'!C39,'30.10 Kabale -Mbarara'!C39,'31.10 Kabale-Mbarara-24hr'!C39,'1.11 Kabale-Mbarara'!C39,'2.11 Kabale-Mbarara-24hr'!C39)</f>
        <v>7.1428571428571432</v>
      </c>
      <c r="D39" s="49">
        <f>AVERAGE('27.10 Kabale-Mbarara'!D39,'28.10 Kabale-Mbarara'!D39,'29.10 Kabale-Mbarara'!D39,'30.10 Kabale -Mbarara'!D39,'31.10 Kabale-Mbarara-24hr'!D39,'1.11 Kabale-Mbarara'!D39,'2.11 Kabale-Mbarara-24hr'!D39)</f>
        <v>1.8571428571428572</v>
      </c>
      <c r="E39" s="49">
        <f>AVERAGE('27.10 Kabale-Mbarara'!E39,'28.10 Kabale-Mbarara'!E39,'29.10 Kabale-Mbarara'!E39,'30.10 Kabale -Mbarara'!E39,'31.10 Kabale-Mbarara-24hr'!E39,'1.11 Kabale-Mbarara'!E39,'2.11 Kabale-Mbarara-24hr'!E39)</f>
        <v>0.8571428571428571</v>
      </c>
      <c r="F39" s="49">
        <f>AVERAGE('27.10 Kabale-Mbarara'!F39,'28.10 Kabale-Mbarara'!F39,'29.10 Kabale-Mbarara'!F39,'30.10 Kabale -Mbarara'!F39,'31.10 Kabale-Mbarara-24hr'!F39,'1.11 Kabale-Mbarara'!F39,'2.11 Kabale-Mbarara-24hr'!F39)</f>
        <v>4.2857142857142856</v>
      </c>
      <c r="G39" s="49">
        <f>AVERAGE('27.10 Kabale-Mbarara'!G39,'28.10 Kabale-Mbarara'!G39,'29.10 Kabale-Mbarara'!G39,'30.10 Kabale -Mbarara'!G39,'31.10 Kabale-Mbarara-24hr'!G39,'1.11 Kabale-Mbarara'!G39,'2.11 Kabale-Mbarara-24hr'!G39)</f>
        <v>0.14285714285714285</v>
      </c>
      <c r="H39" s="49">
        <f>AVERAGE('27.10 Kabale-Mbarara'!H39,'28.10 Kabale-Mbarara'!H39,'29.10 Kabale-Mbarara'!H39,'30.10 Kabale -Mbarara'!H39,'31.10 Kabale-Mbarara-24hr'!H39,'1.11 Kabale-Mbarara'!H39,'2.11 Kabale-Mbarara-24hr'!H39)</f>
        <v>1.4285714285714286</v>
      </c>
      <c r="I39" s="49">
        <f>AVERAGE('27.10 Kabale-Mbarara'!I39,'28.10 Kabale-Mbarara'!I39,'29.10 Kabale-Mbarara'!I39,'30.10 Kabale -Mbarara'!I39,'31.10 Kabale-Mbarara-24hr'!I39,'1.11 Kabale-Mbarara'!I39,'2.11 Kabale-Mbarara-24hr'!I39)</f>
        <v>1.8571428571428572</v>
      </c>
      <c r="J39" s="49">
        <f>AVERAGE('27.10 Kabale-Mbarara'!J39,'28.10 Kabale-Mbarara'!J39,'29.10 Kabale-Mbarara'!J39,'30.10 Kabale -Mbarara'!J39,'31.10 Kabale-Mbarara-24hr'!J39,'1.11 Kabale-Mbarara'!J39,'2.11 Kabale-Mbarara-24hr'!J39)</f>
        <v>0.8571428571428571</v>
      </c>
      <c r="K39" s="49">
        <f>AVERAGE('27.10 Kabale-Mbarara'!K39,'28.10 Kabale-Mbarara'!K39,'29.10 Kabale-Mbarara'!K39,'30.10 Kabale -Mbarara'!K39,'31.10 Kabale-Mbarara-24hr'!K39,'1.11 Kabale-Mbarara'!K39,'2.11 Kabale-Mbarara-24hr'!K39)</f>
        <v>1.4285714285714286</v>
      </c>
      <c r="L39" s="49">
        <f>AVERAGE('27.10 Kabale-Mbarara'!L39,'28.10 Kabale-Mbarara'!L39,'29.10 Kabale-Mbarara'!L39,'30.10 Kabale -Mbarara'!L39,'31.10 Kabale-Mbarara-24hr'!L39,'1.11 Kabale-Mbarara'!L39,'2.11 Kabale-Mbarara-24hr'!L39)</f>
        <v>1</v>
      </c>
      <c r="M39" s="49">
        <f>AVERAGE('27.10 Kabale-Mbarara'!M39,'28.10 Kabale-Mbarara'!M39,'29.10 Kabale-Mbarara'!M39,'30.10 Kabale -Mbarara'!M39,'31.10 Kabale-Mbarara-24hr'!M39,'1.11 Kabale-Mbarara'!M39,'2.11 Kabale-Mbarara-24hr'!M39)</f>
        <v>10.142857142857142</v>
      </c>
      <c r="N39" s="49">
        <f>AVERAGE('27.10 Kabale-Mbarara'!N39,'28.10 Kabale-Mbarara'!N39,'29.10 Kabale-Mbarara'!N39,'30.10 Kabale -Mbarara'!N39,'31.10 Kabale-Mbarara-24hr'!N39,'1.11 Kabale-Mbarara'!N39,'2.11 Kabale-Mbarara-24hr'!N39)</f>
        <v>0</v>
      </c>
      <c r="O39" s="15">
        <f t="shared" si="0"/>
        <v>20.857142857142854</v>
      </c>
      <c r="P39" s="15">
        <f t="shared" si="1"/>
        <v>30.999999999999996</v>
      </c>
      <c r="R39" s="29" t="s">
        <v>87</v>
      </c>
      <c r="S39" s="16">
        <f t="shared" ref="S39:AF39" si="31">SUM(S19:S21)</f>
        <v>92.571428571428584</v>
      </c>
      <c r="T39" s="16">
        <f t="shared" si="31"/>
        <v>19.571428571428573</v>
      </c>
      <c r="U39" s="16">
        <f t="shared" si="31"/>
        <v>16.428571428571431</v>
      </c>
      <c r="V39" s="16">
        <f t="shared" si="31"/>
        <v>64.428571428571416</v>
      </c>
      <c r="W39" s="16">
        <f t="shared" si="31"/>
        <v>1.714285714285714</v>
      </c>
      <c r="X39" s="16">
        <f t="shared" si="31"/>
        <v>1.4285714285714284</v>
      </c>
      <c r="Y39" s="16">
        <f t="shared" si="31"/>
        <v>16.714285714285715</v>
      </c>
      <c r="Z39" s="16">
        <f t="shared" si="31"/>
        <v>16.142857142857142</v>
      </c>
      <c r="AA39" s="16">
        <f t="shared" si="31"/>
        <v>23.285714285714285</v>
      </c>
      <c r="AB39" s="16">
        <f t="shared" si="31"/>
        <v>23.714285714285715</v>
      </c>
      <c r="AC39" s="16">
        <f t="shared" si="31"/>
        <v>179.85714285714286</v>
      </c>
      <c r="AD39" s="16">
        <f t="shared" si="31"/>
        <v>0.14285714285714285</v>
      </c>
      <c r="AE39" s="32">
        <f t="shared" si="31"/>
        <v>276.14285714285717</v>
      </c>
      <c r="AF39" s="32">
        <f t="shared" si="31"/>
        <v>456</v>
      </c>
    </row>
    <row r="40" spans="2:32" ht="23.1" customHeight="1" x14ac:dyDescent="0.25">
      <c r="B40" s="24" t="s">
        <v>67</v>
      </c>
      <c r="C40" s="49">
        <f>AVERAGE('27.10 Kabale-Mbarara'!C40,'28.10 Kabale-Mbarara'!C40,'29.10 Kabale-Mbarara'!C40,'30.10 Kabale -Mbarara'!C40,'31.10 Kabale-Mbarara-24hr'!C40,'1.11 Kabale-Mbarara'!C40,'2.11 Kabale-Mbarara-24hr'!C40)</f>
        <v>7.4285714285714288</v>
      </c>
      <c r="D40" s="49">
        <f>AVERAGE('27.10 Kabale-Mbarara'!D40,'28.10 Kabale-Mbarara'!D40,'29.10 Kabale-Mbarara'!D40,'30.10 Kabale -Mbarara'!D40,'31.10 Kabale-Mbarara-24hr'!D40,'1.11 Kabale-Mbarara'!D40,'2.11 Kabale-Mbarara-24hr'!D40)</f>
        <v>1.1428571428571428</v>
      </c>
      <c r="E40" s="49">
        <f>AVERAGE('27.10 Kabale-Mbarara'!E40,'28.10 Kabale-Mbarara'!E40,'29.10 Kabale-Mbarara'!E40,'30.10 Kabale -Mbarara'!E40,'31.10 Kabale-Mbarara-24hr'!E40,'1.11 Kabale-Mbarara'!E40,'2.11 Kabale-Mbarara-24hr'!E40)</f>
        <v>1.5714285714285714</v>
      </c>
      <c r="F40" s="49">
        <f>AVERAGE('27.10 Kabale-Mbarara'!F40,'28.10 Kabale-Mbarara'!F40,'29.10 Kabale-Mbarara'!F40,'30.10 Kabale -Mbarara'!F40,'31.10 Kabale-Mbarara-24hr'!F40,'1.11 Kabale-Mbarara'!F40,'2.11 Kabale-Mbarara-24hr'!F40)</f>
        <v>5</v>
      </c>
      <c r="G40" s="49">
        <f>AVERAGE('27.10 Kabale-Mbarara'!G40,'28.10 Kabale-Mbarara'!G40,'29.10 Kabale-Mbarara'!G40,'30.10 Kabale -Mbarara'!G40,'31.10 Kabale-Mbarara-24hr'!G40,'1.11 Kabale-Mbarara'!G40,'2.11 Kabale-Mbarara-24hr'!G40)</f>
        <v>0.2857142857142857</v>
      </c>
      <c r="H40" s="49">
        <f>AVERAGE('27.10 Kabale-Mbarara'!H40,'28.10 Kabale-Mbarara'!H40,'29.10 Kabale-Mbarara'!H40,'30.10 Kabale -Mbarara'!H40,'31.10 Kabale-Mbarara-24hr'!H40,'1.11 Kabale-Mbarara'!H40,'2.11 Kabale-Mbarara-24hr'!H40)</f>
        <v>0.42857142857142855</v>
      </c>
      <c r="I40" s="49">
        <f>AVERAGE('27.10 Kabale-Mbarara'!I40,'28.10 Kabale-Mbarara'!I40,'29.10 Kabale-Mbarara'!I40,'30.10 Kabale -Mbarara'!I40,'31.10 Kabale-Mbarara-24hr'!I40,'1.11 Kabale-Mbarara'!I40,'2.11 Kabale-Mbarara-24hr'!I40)</f>
        <v>1.5714285714285714</v>
      </c>
      <c r="J40" s="49">
        <f>AVERAGE('27.10 Kabale-Mbarara'!J40,'28.10 Kabale-Mbarara'!J40,'29.10 Kabale-Mbarara'!J40,'30.10 Kabale -Mbarara'!J40,'31.10 Kabale-Mbarara-24hr'!J40,'1.11 Kabale-Mbarara'!J40,'2.11 Kabale-Mbarara-24hr'!J40)</f>
        <v>1.1428571428571428</v>
      </c>
      <c r="K40" s="49">
        <f>AVERAGE('27.10 Kabale-Mbarara'!K40,'28.10 Kabale-Mbarara'!K40,'29.10 Kabale-Mbarara'!K40,'30.10 Kabale -Mbarara'!K40,'31.10 Kabale-Mbarara-24hr'!K40,'1.11 Kabale-Mbarara'!K40,'2.11 Kabale-Mbarara-24hr'!K40)</f>
        <v>0.2857142857142857</v>
      </c>
      <c r="L40" s="49">
        <f>AVERAGE('27.10 Kabale-Mbarara'!L40,'28.10 Kabale-Mbarara'!L40,'29.10 Kabale-Mbarara'!L40,'30.10 Kabale -Mbarara'!L40,'31.10 Kabale-Mbarara-24hr'!L40,'1.11 Kabale-Mbarara'!L40,'2.11 Kabale-Mbarara-24hr'!L40)</f>
        <v>3.2857142857142856</v>
      </c>
      <c r="M40" s="49">
        <f>AVERAGE('27.10 Kabale-Mbarara'!M40,'28.10 Kabale-Mbarara'!M40,'29.10 Kabale-Mbarara'!M40,'30.10 Kabale -Mbarara'!M40,'31.10 Kabale-Mbarara-24hr'!M40,'1.11 Kabale-Mbarara'!M40,'2.11 Kabale-Mbarara-24hr'!M40)</f>
        <v>14.857142857142858</v>
      </c>
      <c r="N40" s="49">
        <f>AVERAGE('27.10 Kabale-Mbarara'!N40,'28.10 Kabale-Mbarara'!N40,'29.10 Kabale-Mbarara'!N40,'30.10 Kabale -Mbarara'!N40,'31.10 Kabale-Mbarara-24hr'!N40,'1.11 Kabale-Mbarara'!N40,'2.11 Kabale-Mbarara-24hr'!N40)</f>
        <v>0</v>
      </c>
      <c r="O40" s="15">
        <f t="shared" si="0"/>
        <v>22.142857142857142</v>
      </c>
      <c r="P40" s="15">
        <f t="shared" si="1"/>
        <v>37</v>
      </c>
      <c r="R40" s="5" t="s">
        <v>17</v>
      </c>
      <c r="S40" s="16">
        <f t="shared" ref="S40:AF40" si="32">SUM(S10:S21)</f>
        <v>341</v>
      </c>
      <c r="T40" s="16">
        <f t="shared" si="32"/>
        <v>68.142857142857153</v>
      </c>
      <c r="U40" s="16">
        <f t="shared" si="32"/>
        <v>48.714285714285701</v>
      </c>
      <c r="V40" s="16">
        <f t="shared" si="32"/>
        <v>267.42857142857133</v>
      </c>
      <c r="W40" s="16">
        <f t="shared" si="32"/>
        <v>4.7142857142857135</v>
      </c>
      <c r="X40" s="16">
        <f t="shared" si="32"/>
        <v>21.714285714285715</v>
      </c>
      <c r="Y40" s="16">
        <f t="shared" si="32"/>
        <v>63.571428571428569</v>
      </c>
      <c r="Z40" s="16">
        <f t="shared" si="32"/>
        <v>42.285714285714292</v>
      </c>
      <c r="AA40" s="16">
        <f t="shared" si="32"/>
        <v>54.857142857142854</v>
      </c>
      <c r="AB40" s="16">
        <f t="shared" si="32"/>
        <v>83.857142857142861</v>
      </c>
      <c r="AC40" s="16">
        <f t="shared" si="32"/>
        <v>698.09523809523807</v>
      </c>
      <c r="AD40" s="16">
        <f t="shared" si="32"/>
        <v>1.1428571428571428</v>
      </c>
      <c r="AE40" s="32">
        <f t="shared" si="32"/>
        <v>997.42857142857133</v>
      </c>
      <c r="AF40" s="32">
        <f t="shared" si="32"/>
        <v>1695.5238095238094</v>
      </c>
    </row>
    <row r="41" spans="2:32" ht="23.1" customHeight="1" x14ac:dyDescent="0.25">
      <c r="B41" s="23" t="s">
        <v>68</v>
      </c>
      <c r="C41" s="49">
        <f>AVERAGE('27.10 Kabale-Mbarara'!C41,'28.10 Kabale-Mbarara'!C41,'29.10 Kabale-Mbarara'!C41,'30.10 Kabale -Mbarara'!C41,'31.10 Kabale-Mbarara-24hr'!C41,'1.11 Kabale-Mbarara'!C41,'2.11 Kabale-Mbarara-24hr'!C41)</f>
        <v>6.4285714285714288</v>
      </c>
      <c r="D41" s="49">
        <f>AVERAGE('27.10 Kabale-Mbarara'!D41,'28.10 Kabale-Mbarara'!D41,'29.10 Kabale-Mbarara'!D41,'30.10 Kabale -Mbarara'!D41,'31.10 Kabale-Mbarara-24hr'!D41,'1.11 Kabale-Mbarara'!D41,'2.11 Kabale-Mbarara-24hr'!D41)</f>
        <v>1.8571428571428572</v>
      </c>
      <c r="E41" s="49">
        <f>AVERAGE('27.10 Kabale-Mbarara'!E41,'28.10 Kabale-Mbarara'!E41,'29.10 Kabale-Mbarara'!E41,'30.10 Kabale -Mbarara'!E41,'31.10 Kabale-Mbarara-24hr'!E41,'1.11 Kabale-Mbarara'!E41,'2.11 Kabale-Mbarara-24hr'!E41)</f>
        <v>1.4285714285714286</v>
      </c>
      <c r="F41" s="49">
        <f>AVERAGE('27.10 Kabale-Mbarara'!F41,'28.10 Kabale-Mbarara'!F41,'29.10 Kabale-Mbarara'!F41,'30.10 Kabale -Mbarara'!F41,'31.10 Kabale-Mbarara-24hr'!F41,'1.11 Kabale-Mbarara'!F41,'2.11 Kabale-Mbarara-24hr'!F41)</f>
        <v>2.2857142857142856</v>
      </c>
      <c r="G41" s="49">
        <f>AVERAGE('27.10 Kabale-Mbarara'!G41,'28.10 Kabale-Mbarara'!G41,'29.10 Kabale-Mbarara'!G41,'30.10 Kabale -Mbarara'!G41,'31.10 Kabale-Mbarara-24hr'!G41,'1.11 Kabale-Mbarara'!G41,'2.11 Kabale-Mbarara-24hr'!G41)</f>
        <v>0</v>
      </c>
      <c r="H41" s="49">
        <f>AVERAGE('27.10 Kabale-Mbarara'!H41,'28.10 Kabale-Mbarara'!H41,'29.10 Kabale-Mbarara'!H41,'30.10 Kabale -Mbarara'!H41,'31.10 Kabale-Mbarara-24hr'!H41,'1.11 Kabale-Mbarara'!H41,'2.11 Kabale-Mbarara-24hr'!H41)</f>
        <v>0.7142857142857143</v>
      </c>
      <c r="I41" s="49">
        <f>AVERAGE('27.10 Kabale-Mbarara'!I41,'28.10 Kabale-Mbarara'!I41,'29.10 Kabale-Mbarara'!I41,'30.10 Kabale -Mbarara'!I41,'31.10 Kabale-Mbarara-24hr'!I41,'1.11 Kabale-Mbarara'!I41,'2.11 Kabale-Mbarara-24hr'!I41)</f>
        <v>1.8571428571428572</v>
      </c>
      <c r="J41" s="49">
        <f>AVERAGE('27.10 Kabale-Mbarara'!J41,'28.10 Kabale-Mbarara'!J41,'29.10 Kabale-Mbarara'!J41,'30.10 Kabale -Mbarara'!J41,'31.10 Kabale-Mbarara-24hr'!J41,'1.11 Kabale-Mbarara'!J41,'2.11 Kabale-Mbarara-24hr'!J41)</f>
        <v>1</v>
      </c>
      <c r="K41" s="49">
        <f>AVERAGE('27.10 Kabale-Mbarara'!K41,'28.10 Kabale-Mbarara'!K41,'29.10 Kabale-Mbarara'!K41,'30.10 Kabale -Mbarara'!K41,'31.10 Kabale-Mbarara-24hr'!K41,'1.11 Kabale-Mbarara'!K41,'2.11 Kabale-Mbarara-24hr'!K41)</f>
        <v>1.1428571428571428</v>
      </c>
      <c r="L41" s="49">
        <f>AVERAGE('27.10 Kabale-Mbarara'!L41,'28.10 Kabale-Mbarara'!L41,'29.10 Kabale-Mbarara'!L41,'30.10 Kabale -Mbarara'!L41,'31.10 Kabale-Mbarara-24hr'!L41,'1.11 Kabale-Mbarara'!L41,'2.11 Kabale-Mbarara-24hr'!L41)</f>
        <v>2</v>
      </c>
      <c r="M41" s="49">
        <f>AVERAGE('27.10 Kabale-Mbarara'!M41,'28.10 Kabale-Mbarara'!M41,'29.10 Kabale-Mbarara'!M41,'30.10 Kabale -Mbarara'!M41,'31.10 Kabale-Mbarara-24hr'!M41,'1.11 Kabale-Mbarara'!M41,'2.11 Kabale-Mbarara-24hr'!M41)</f>
        <v>9.2857142857142865</v>
      </c>
      <c r="N41" s="49">
        <f>AVERAGE('27.10 Kabale-Mbarara'!N41,'28.10 Kabale-Mbarara'!N41,'29.10 Kabale-Mbarara'!N41,'30.10 Kabale -Mbarara'!N41,'31.10 Kabale-Mbarara-24hr'!N41,'1.11 Kabale-Mbarara'!N41,'2.11 Kabale-Mbarara-24hr'!N41)</f>
        <v>0</v>
      </c>
      <c r="O41" s="15">
        <f t="shared" si="0"/>
        <v>18.714285714285715</v>
      </c>
      <c r="P41" s="15">
        <f t="shared" si="1"/>
        <v>28</v>
      </c>
      <c r="R41" s="5" t="s">
        <v>187</v>
      </c>
      <c r="S41" s="52">
        <f>SUM(S10:S33)</f>
        <v>455.5</v>
      </c>
      <c r="T41" s="52">
        <f t="shared" ref="T41:AD41" si="33">SUM(T10:T33)</f>
        <v>101.64285714285715</v>
      </c>
      <c r="U41" s="52">
        <f t="shared" si="33"/>
        <v>73.714285714285694</v>
      </c>
      <c r="V41" s="52">
        <f t="shared" si="33"/>
        <v>347.92857142857133</v>
      </c>
      <c r="W41" s="52">
        <f t="shared" si="33"/>
        <v>8.7142857142857135</v>
      </c>
      <c r="X41" s="52">
        <f t="shared" si="33"/>
        <v>38.214285714285715</v>
      </c>
      <c r="Y41" s="52">
        <f t="shared" si="33"/>
        <v>88.571428571428569</v>
      </c>
      <c r="Z41" s="52">
        <f t="shared" si="33"/>
        <v>70.285714285714292</v>
      </c>
      <c r="AA41" s="52">
        <f t="shared" si="33"/>
        <v>108.35714285714286</v>
      </c>
      <c r="AB41" s="52">
        <f t="shared" si="33"/>
        <v>158.35714285714286</v>
      </c>
      <c r="AC41" s="52">
        <f t="shared" si="33"/>
        <v>849.09523809523807</v>
      </c>
      <c r="AD41" s="52">
        <f t="shared" si="33"/>
        <v>1.1428571428571428</v>
      </c>
      <c r="AE41" s="53">
        <f>SUM(AE10:AE33)</f>
        <v>1452.4285714285713</v>
      </c>
      <c r="AF41" s="53">
        <f>SUM(AF10:AF33)</f>
        <v>2301.5238095238092</v>
      </c>
    </row>
    <row r="42" spans="2:32" ht="23.1" customHeight="1" x14ac:dyDescent="0.25">
      <c r="B42" s="24" t="s">
        <v>69</v>
      </c>
      <c r="C42" s="49">
        <f>AVERAGE('27.10 Kabale-Mbarara'!C42,'28.10 Kabale-Mbarara'!C42,'29.10 Kabale-Mbarara'!C42,'30.10 Kabale -Mbarara'!C42,'31.10 Kabale-Mbarara-24hr'!C42,'1.11 Kabale-Mbarara'!C42,'2.11 Kabale-Mbarara-24hr'!C42)</f>
        <v>7</v>
      </c>
      <c r="D42" s="49">
        <f>AVERAGE('27.10 Kabale-Mbarara'!D42,'28.10 Kabale-Mbarara'!D42,'29.10 Kabale-Mbarara'!D42,'30.10 Kabale -Mbarara'!D42,'31.10 Kabale-Mbarara-24hr'!D42,'1.11 Kabale-Mbarara'!D42,'2.11 Kabale-Mbarara-24hr'!D42)</f>
        <v>1.1428571428571428</v>
      </c>
      <c r="E42" s="49">
        <f>AVERAGE('27.10 Kabale-Mbarara'!E42,'28.10 Kabale-Mbarara'!E42,'29.10 Kabale-Mbarara'!E42,'30.10 Kabale -Mbarara'!E42,'31.10 Kabale-Mbarara-24hr'!E42,'1.11 Kabale-Mbarara'!E42,'2.11 Kabale-Mbarara-24hr'!E42)</f>
        <v>0.7142857142857143</v>
      </c>
      <c r="F42" s="49">
        <f>AVERAGE('27.10 Kabale-Mbarara'!F42,'28.10 Kabale-Mbarara'!F42,'29.10 Kabale-Mbarara'!F42,'30.10 Kabale -Mbarara'!F42,'31.10 Kabale-Mbarara-24hr'!F42,'1.11 Kabale-Mbarara'!F42,'2.11 Kabale-Mbarara-24hr'!F42)</f>
        <v>4.2857142857142856</v>
      </c>
      <c r="G42" s="49">
        <f>AVERAGE('27.10 Kabale-Mbarara'!G42,'28.10 Kabale-Mbarara'!G42,'29.10 Kabale-Mbarara'!G42,'30.10 Kabale -Mbarara'!G42,'31.10 Kabale-Mbarara-24hr'!G42,'1.11 Kabale-Mbarara'!G42,'2.11 Kabale-Mbarara-24hr'!G42)</f>
        <v>0</v>
      </c>
      <c r="H42" s="49">
        <f>AVERAGE('27.10 Kabale-Mbarara'!H42,'28.10 Kabale-Mbarara'!H42,'29.10 Kabale-Mbarara'!H42,'30.10 Kabale -Mbarara'!H42,'31.10 Kabale-Mbarara-24hr'!H42,'1.11 Kabale-Mbarara'!H42,'2.11 Kabale-Mbarara-24hr'!H42)</f>
        <v>0.14285714285714285</v>
      </c>
      <c r="I42" s="49">
        <f>AVERAGE('27.10 Kabale-Mbarara'!I42,'28.10 Kabale-Mbarara'!I42,'29.10 Kabale-Mbarara'!I42,'30.10 Kabale -Mbarara'!I42,'31.10 Kabale-Mbarara-24hr'!I42,'1.11 Kabale-Mbarara'!I42,'2.11 Kabale-Mbarara-24hr'!I42)</f>
        <v>2.1428571428571428</v>
      </c>
      <c r="J42" s="49">
        <f>AVERAGE('27.10 Kabale-Mbarara'!J42,'28.10 Kabale-Mbarara'!J42,'29.10 Kabale-Mbarara'!J42,'30.10 Kabale -Mbarara'!J42,'31.10 Kabale-Mbarara-24hr'!J42,'1.11 Kabale-Mbarara'!J42,'2.11 Kabale-Mbarara-24hr'!J42)</f>
        <v>0.5714285714285714</v>
      </c>
      <c r="K42" s="49">
        <f>AVERAGE('27.10 Kabale-Mbarara'!K42,'28.10 Kabale-Mbarara'!K42,'29.10 Kabale-Mbarara'!K42,'30.10 Kabale -Mbarara'!K42,'31.10 Kabale-Mbarara-24hr'!K42,'1.11 Kabale-Mbarara'!K42,'2.11 Kabale-Mbarara-24hr'!K42)</f>
        <v>1.2857142857142858</v>
      </c>
      <c r="L42" s="49">
        <f>AVERAGE('27.10 Kabale-Mbarara'!L42,'28.10 Kabale-Mbarara'!L42,'29.10 Kabale-Mbarara'!L42,'30.10 Kabale -Mbarara'!L42,'31.10 Kabale-Mbarara-24hr'!L42,'1.11 Kabale-Mbarara'!L42,'2.11 Kabale-Mbarara-24hr'!L42)</f>
        <v>3.2857142857142856</v>
      </c>
      <c r="M42" s="49">
        <f>AVERAGE('27.10 Kabale-Mbarara'!M42,'28.10 Kabale-Mbarara'!M42,'29.10 Kabale-Mbarara'!M42,'30.10 Kabale -Mbarara'!M42,'31.10 Kabale-Mbarara-24hr'!M42,'1.11 Kabale-Mbarara'!M42,'2.11 Kabale-Mbarara-24hr'!M42)</f>
        <v>10.142857142857142</v>
      </c>
      <c r="N42" s="49">
        <f>AVERAGE('27.10 Kabale-Mbarara'!N42,'28.10 Kabale-Mbarara'!N42,'29.10 Kabale-Mbarara'!N42,'30.10 Kabale -Mbarara'!N42,'31.10 Kabale-Mbarara-24hr'!N42,'1.11 Kabale-Mbarara'!N42,'2.11 Kabale-Mbarara-24hr'!N42)</f>
        <v>0.14285714285714285</v>
      </c>
      <c r="O42" s="15">
        <f t="shared" si="0"/>
        <v>20.714285714285712</v>
      </c>
      <c r="P42" s="15">
        <f t="shared" si="1"/>
        <v>30.857142857142854</v>
      </c>
      <c r="R42" s="5" t="s">
        <v>160</v>
      </c>
      <c r="S42" s="48">
        <f>S41/S40</f>
        <v>1.3357771260997067</v>
      </c>
      <c r="T42" s="48">
        <f t="shared" ref="T42:AF42" si="34">T41/T40</f>
        <v>1.491614255765199</v>
      </c>
      <c r="U42" s="48">
        <f t="shared" si="34"/>
        <v>1.5131964809384164</v>
      </c>
      <c r="V42" s="48">
        <f t="shared" si="34"/>
        <v>1.3010149572649574</v>
      </c>
      <c r="W42" s="48">
        <f t="shared" si="34"/>
        <v>1.8484848484848486</v>
      </c>
      <c r="X42" s="48">
        <f t="shared" si="34"/>
        <v>1.7598684210526316</v>
      </c>
      <c r="Y42" s="48">
        <f t="shared" si="34"/>
        <v>1.3932584269662922</v>
      </c>
      <c r="Z42" s="48">
        <f t="shared" si="34"/>
        <v>1.6621621621621621</v>
      </c>
      <c r="AA42" s="48">
        <f t="shared" si="34"/>
        <v>1.9752604166666667</v>
      </c>
      <c r="AB42" s="48">
        <f t="shared" si="34"/>
        <v>1.8884156729131174</v>
      </c>
      <c r="AC42" s="48">
        <f t="shared" si="34"/>
        <v>1.2163028649386085</v>
      </c>
      <c r="AD42" s="48">
        <f t="shared" si="34"/>
        <v>1</v>
      </c>
      <c r="AE42" s="51">
        <f t="shared" si="34"/>
        <v>1.4561730163276998</v>
      </c>
      <c r="AF42" s="51">
        <f t="shared" si="34"/>
        <v>1.3574116721900802</v>
      </c>
    </row>
    <row r="43" spans="2:32" ht="23.1" customHeight="1" x14ac:dyDescent="0.25">
      <c r="B43" s="23" t="s">
        <v>70</v>
      </c>
      <c r="C43" s="49">
        <f>AVERAGE('27.10 Kabale-Mbarara'!C43,'28.10 Kabale-Mbarara'!C43,'29.10 Kabale-Mbarara'!C43,'30.10 Kabale -Mbarara'!C43,'31.10 Kabale-Mbarara-24hr'!C43,'1.11 Kabale-Mbarara'!C43,'2.11 Kabale-Mbarara-24hr'!C43)</f>
        <v>6</v>
      </c>
      <c r="D43" s="49">
        <f>AVERAGE('27.10 Kabale-Mbarara'!D43,'28.10 Kabale-Mbarara'!D43,'29.10 Kabale-Mbarara'!D43,'30.10 Kabale -Mbarara'!D43,'31.10 Kabale-Mbarara-24hr'!D43,'1.11 Kabale-Mbarara'!D43,'2.11 Kabale-Mbarara-24hr'!D43)</f>
        <v>1.4285714285714286</v>
      </c>
      <c r="E43" s="49">
        <f>AVERAGE('27.10 Kabale-Mbarara'!E43,'28.10 Kabale-Mbarara'!E43,'29.10 Kabale-Mbarara'!E43,'30.10 Kabale -Mbarara'!E43,'31.10 Kabale-Mbarara-24hr'!E43,'1.11 Kabale-Mbarara'!E43,'2.11 Kabale-Mbarara-24hr'!E43)</f>
        <v>0.8571428571428571</v>
      </c>
      <c r="F43" s="49">
        <f>AVERAGE('27.10 Kabale-Mbarara'!F43,'28.10 Kabale-Mbarara'!F43,'29.10 Kabale-Mbarara'!F43,'30.10 Kabale -Mbarara'!F43,'31.10 Kabale-Mbarara-24hr'!F43,'1.11 Kabale-Mbarara'!F43,'2.11 Kabale-Mbarara-24hr'!F43)</f>
        <v>6</v>
      </c>
      <c r="G43" s="49">
        <f>AVERAGE('27.10 Kabale-Mbarara'!G43,'28.10 Kabale-Mbarara'!G43,'29.10 Kabale-Mbarara'!G43,'30.10 Kabale -Mbarara'!G43,'31.10 Kabale-Mbarara-24hr'!G43,'1.11 Kabale-Mbarara'!G43,'2.11 Kabale-Mbarara-24hr'!G43)</f>
        <v>0.14285714285714285</v>
      </c>
      <c r="H43" s="49">
        <f>AVERAGE('27.10 Kabale-Mbarara'!H43,'28.10 Kabale-Mbarara'!H43,'29.10 Kabale-Mbarara'!H43,'30.10 Kabale -Mbarara'!H43,'31.10 Kabale-Mbarara-24hr'!H43,'1.11 Kabale-Mbarara'!H43,'2.11 Kabale-Mbarara-24hr'!H43)</f>
        <v>0.2857142857142857</v>
      </c>
      <c r="I43" s="49">
        <f>AVERAGE('27.10 Kabale-Mbarara'!I43,'28.10 Kabale-Mbarara'!I43,'29.10 Kabale-Mbarara'!I43,'30.10 Kabale -Mbarara'!I43,'31.10 Kabale-Mbarara-24hr'!I43,'1.11 Kabale-Mbarara'!I43,'2.11 Kabale-Mbarara-24hr'!I43)</f>
        <v>1.7142857142857142</v>
      </c>
      <c r="J43" s="49">
        <f>AVERAGE('27.10 Kabale-Mbarara'!J43,'28.10 Kabale-Mbarara'!J43,'29.10 Kabale-Mbarara'!J43,'30.10 Kabale -Mbarara'!J43,'31.10 Kabale-Mbarara-24hr'!J43,'1.11 Kabale-Mbarara'!J43,'2.11 Kabale-Mbarara-24hr'!J43)</f>
        <v>0.5714285714285714</v>
      </c>
      <c r="K43" s="49">
        <f>AVERAGE('27.10 Kabale-Mbarara'!K43,'28.10 Kabale-Mbarara'!K43,'29.10 Kabale-Mbarara'!K43,'30.10 Kabale -Mbarara'!K43,'31.10 Kabale-Mbarara-24hr'!K43,'1.11 Kabale-Mbarara'!K43,'2.11 Kabale-Mbarara-24hr'!K43)</f>
        <v>1.4285714285714286</v>
      </c>
      <c r="L43" s="49">
        <f>AVERAGE('27.10 Kabale-Mbarara'!L43,'28.10 Kabale-Mbarara'!L43,'29.10 Kabale-Mbarara'!L43,'30.10 Kabale -Mbarara'!L43,'31.10 Kabale-Mbarara-24hr'!L43,'1.11 Kabale-Mbarara'!L43,'2.11 Kabale-Mbarara-24hr'!L43)</f>
        <v>1.8571428571428572</v>
      </c>
      <c r="M43" s="49">
        <f>AVERAGE('27.10 Kabale-Mbarara'!M43,'28.10 Kabale-Mbarara'!M43,'29.10 Kabale-Mbarara'!M43,'30.10 Kabale -Mbarara'!M43,'31.10 Kabale-Mbarara-24hr'!M43,'1.11 Kabale-Mbarara'!M43,'2.11 Kabale-Mbarara-24hr'!M43)</f>
        <v>14.857142857142858</v>
      </c>
      <c r="N43" s="49">
        <f>AVERAGE('27.10 Kabale-Mbarara'!N43,'28.10 Kabale-Mbarara'!N43,'29.10 Kabale-Mbarara'!N43,'30.10 Kabale -Mbarara'!N43,'31.10 Kabale-Mbarara-24hr'!N43,'1.11 Kabale-Mbarara'!N43,'2.11 Kabale-Mbarara-24hr'!N43)</f>
        <v>0</v>
      </c>
      <c r="O43" s="15">
        <f t="shared" si="0"/>
        <v>20.285714285714288</v>
      </c>
      <c r="P43" s="15">
        <f t="shared" si="1"/>
        <v>35.142857142857146</v>
      </c>
    </row>
    <row r="44" spans="2:32" ht="23.1" customHeight="1" x14ac:dyDescent="0.25">
      <c r="B44" s="25" t="s">
        <v>71</v>
      </c>
      <c r="C44" s="49">
        <f>AVERAGE('27.10 Kabale-Mbarara'!C44,'28.10 Kabale-Mbarara'!C44,'29.10 Kabale-Mbarara'!C44,'30.10 Kabale -Mbarara'!C44,'31.10 Kabale-Mbarara-24hr'!C44,'1.11 Kabale-Mbarara'!C44,'2.11 Kabale-Mbarara-24hr'!C44)</f>
        <v>9.4285714285714288</v>
      </c>
      <c r="D44" s="49">
        <f>AVERAGE('27.10 Kabale-Mbarara'!D44,'28.10 Kabale-Mbarara'!D44,'29.10 Kabale-Mbarara'!D44,'30.10 Kabale -Mbarara'!D44,'31.10 Kabale-Mbarara-24hr'!D44,'1.11 Kabale-Mbarara'!D44,'2.11 Kabale-Mbarara-24hr'!D44)</f>
        <v>2.5714285714285716</v>
      </c>
      <c r="E44" s="49">
        <f>AVERAGE('27.10 Kabale-Mbarara'!E44,'28.10 Kabale-Mbarara'!E44,'29.10 Kabale-Mbarara'!E44,'30.10 Kabale -Mbarara'!E44,'31.10 Kabale-Mbarara-24hr'!E44,'1.11 Kabale-Mbarara'!E44,'2.11 Kabale-Mbarara-24hr'!E44)</f>
        <v>0.5714285714285714</v>
      </c>
      <c r="F44" s="49">
        <f>AVERAGE('27.10 Kabale-Mbarara'!F44,'28.10 Kabale-Mbarara'!F44,'29.10 Kabale-Mbarara'!F44,'30.10 Kabale -Mbarara'!F44,'31.10 Kabale-Mbarara-24hr'!F44,'1.11 Kabale-Mbarara'!F44,'2.11 Kabale-Mbarara-24hr'!F44)</f>
        <v>6.1428571428571432</v>
      </c>
      <c r="G44" s="49">
        <f>AVERAGE('27.10 Kabale-Mbarara'!G44,'28.10 Kabale-Mbarara'!G44,'29.10 Kabale-Mbarara'!G44,'30.10 Kabale -Mbarara'!G44,'31.10 Kabale-Mbarara-24hr'!G44,'1.11 Kabale-Mbarara'!G44,'2.11 Kabale-Mbarara-24hr'!G44)</f>
        <v>0</v>
      </c>
      <c r="H44" s="49">
        <f>AVERAGE('27.10 Kabale-Mbarara'!H44,'28.10 Kabale-Mbarara'!H44,'29.10 Kabale-Mbarara'!H44,'30.10 Kabale -Mbarara'!H44,'31.10 Kabale-Mbarara-24hr'!H44,'1.11 Kabale-Mbarara'!H44,'2.11 Kabale-Mbarara-24hr'!H44)</f>
        <v>0.14285714285714285</v>
      </c>
      <c r="I44" s="49">
        <f>AVERAGE('27.10 Kabale-Mbarara'!I44,'28.10 Kabale-Mbarara'!I44,'29.10 Kabale-Mbarara'!I44,'30.10 Kabale -Mbarara'!I44,'31.10 Kabale-Mbarara-24hr'!I44,'1.11 Kabale-Mbarara'!I44,'2.11 Kabale-Mbarara-24hr'!I44)</f>
        <v>1.7142857142857142</v>
      </c>
      <c r="J44" s="49">
        <f>AVERAGE('27.10 Kabale-Mbarara'!J44,'28.10 Kabale-Mbarara'!J44,'29.10 Kabale-Mbarara'!J44,'30.10 Kabale -Mbarara'!J44,'31.10 Kabale-Mbarara-24hr'!J44,'1.11 Kabale-Mbarara'!J44,'2.11 Kabale-Mbarara-24hr'!J44)</f>
        <v>1.4285714285714286</v>
      </c>
      <c r="K44" s="49">
        <f>AVERAGE('27.10 Kabale-Mbarara'!K44,'28.10 Kabale-Mbarara'!K44,'29.10 Kabale-Mbarara'!K44,'30.10 Kabale -Mbarara'!K44,'31.10 Kabale-Mbarara-24hr'!K44,'1.11 Kabale-Mbarara'!K44,'2.11 Kabale-Mbarara-24hr'!K44)</f>
        <v>2.7142857142857144</v>
      </c>
      <c r="L44" s="49">
        <f>AVERAGE('27.10 Kabale-Mbarara'!L44,'28.10 Kabale-Mbarara'!L44,'29.10 Kabale-Mbarara'!L44,'30.10 Kabale -Mbarara'!L44,'31.10 Kabale-Mbarara-24hr'!L44,'1.11 Kabale-Mbarara'!L44,'2.11 Kabale-Mbarara-24hr'!L44)</f>
        <v>2.1428571428571428</v>
      </c>
      <c r="M44" s="49">
        <f>AVERAGE('27.10 Kabale-Mbarara'!M44,'28.10 Kabale-Mbarara'!M44,'29.10 Kabale-Mbarara'!M44,'30.10 Kabale -Mbarara'!M44,'31.10 Kabale-Mbarara-24hr'!M44,'1.11 Kabale-Mbarara'!M44,'2.11 Kabale-Mbarara-24hr'!M44)</f>
        <v>14.857142857142858</v>
      </c>
      <c r="N44" s="49">
        <f>AVERAGE('27.10 Kabale-Mbarara'!N44,'28.10 Kabale-Mbarara'!N44,'29.10 Kabale-Mbarara'!N44,'30.10 Kabale -Mbarara'!N44,'31.10 Kabale-Mbarara-24hr'!N44,'1.11 Kabale-Mbarara'!N44,'2.11 Kabale-Mbarara-24hr'!N44)</f>
        <v>0</v>
      </c>
      <c r="O44" s="15">
        <f t="shared" si="0"/>
        <v>26.857142857142858</v>
      </c>
      <c r="P44" s="15">
        <f t="shared" si="1"/>
        <v>41.714285714285715</v>
      </c>
    </row>
    <row r="45" spans="2:32" ht="23.1" customHeight="1" x14ac:dyDescent="0.25">
      <c r="B45" s="23" t="s">
        <v>72</v>
      </c>
      <c r="C45" s="49">
        <f>AVERAGE('27.10 Kabale-Mbarara'!C45,'28.10 Kabale-Mbarara'!C45,'29.10 Kabale-Mbarara'!C45,'30.10 Kabale -Mbarara'!C45,'31.10 Kabale-Mbarara-24hr'!C45,'1.11 Kabale-Mbarara'!C45,'2.11 Kabale-Mbarara-24hr'!C45)</f>
        <v>7.8571428571428568</v>
      </c>
      <c r="D45" s="49">
        <f>AVERAGE('27.10 Kabale-Mbarara'!D45,'28.10 Kabale-Mbarara'!D45,'29.10 Kabale-Mbarara'!D45,'30.10 Kabale -Mbarara'!D45,'31.10 Kabale-Mbarara-24hr'!D45,'1.11 Kabale-Mbarara'!D45,'2.11 Kabale-Mbarara-24hr'!D45)</f>
        <v>1.1428571428571428</v>
      </c>
      <c r="E45" s="49">
        <f>AVERAGE('27.10 Kabale-Mbarara'!E45,'28.10 Kabale-Mbarara'!E45,'29.10 Kabale-Mbarara'!E45,'30.10 Kabale -Mbarara'!E45,'31.10 Kabale-Mbarara-24hr'!E45,'1.11 Kabale-Mbarara'!E45,'2.11 Kabale-Mbarara-24hr'!E45)</f>
        <v>0.8571428571428571</v>
      </c>
      <c r="F45" s="49">
        <f>AVERAGE('27.10 Kabale-Mbarara'!F45,'28.10 Kabale-Mbarara'!F45,'29.10 Kabale-Mbarara'!F45,'30.10 Kabale -Mbarara'!F45,'31.10 Kabale-Mbarara-24hr'!F45,'1.11 Kabale-Mbarara'!F45,'2.11 Kabale-Mbarara-24hr'!F45)</f>
        <v>5.8571428571428568</v>
      </c>
      <c r="G45" s="49">
        <f>AVERAGE('27.10 Kabale-Mbarara'!G45,'28.10 Kabale-Mbarara'!G45,'29.10 Kabale-Mbarara'!G45,'30.10 Kabale -Mbarara'!G45,'31.10 Kabale-Mbarara-24hr'!G45,'1.11 Kabale-Mbarara'!G45,'2.11 Kabale-Mbarara-24hr'!G45)</f>
        <v>0.14285714285714285</v>
      </c>
      <c r="H45" s="49">
        <f>AVERAGE('27.10 Kabale-Mbarara'!H45,'28.10 Kabale-Mbarara'!H45,'29.10 Kabale-Mbarara'!H45,'30.10 Kabale -Mbarara'!H45,'31.10 Kabale-Mbarara-24hr'!H45,'1.11 Kabale-Mbarara'!H45,'2.11 Kabale-Mbarara-24hr'!H45)</f>
        <v>0.14285714285714285</v>
      </c>
      <c r="I45" s="49">
        <f>AVERAGE('27.10 Kabale-Mbarara'!I45,'28.10 Kabale-Mbarara'!I45,'29.10 Kabale-Mbarara'!I45,'30.10 Kabale -Mbarara'!I45,'31.10 Kabale-Mbarara-24hr'!I45,'1.11 Kabale-Mbarara'!I45,'2.11 Kabale-Mbarara-24hr'!I45)</f>
        <v>2</v>
      </c>
      <c r="J45" s="49">
        <f>AVERAGE('27.10 Kabale-Mbarara'!J45,'28.10 Kabale-Mbarara'!J45,'29.10 Kabale-Mbarara'!J45,'30.10 Kabale -Mbarara'!J45,'31.10 Kabale-Mbarara-24hr'!J45,'1.11 Kabale-Mbarara'!J45,'2.11 Kabale-Mbarara-24hr'!J45)</f>
        <v>1</v>
      </c>
      <c r="K45" s="49">
        <f>AVERAGE('27.10 Kabale-Mbarara'!K45,'28.10 Kabale-Mbarara'!K45,'29.10 Kabale-Mbarara'!K45,'30.10 Kabale -Mbarara'!K45,'31.10 Kabale-Mbarara-24hr'!K45,'1.11 Kabale-Mbarara'!K45,'2.11 Kabale-Mbarara-24hr'!K45)</f>
        <v>1.4285714285714286</v>
      </c>
      <c r="L45" s="49">
        <f>AVERAGE('27.10 Kabale-Mbarara'!L45,'28.10 Kabale-Mbarara'!L45,'29.10 Kabale-Mbarara'!L45,'30.10 Kabale -Mbarara'!L45,'31.10 Kabale-Mbarara-24hr'!L45,'1.11 Kabale-Mbarara'!L45,'2.11 Kabale-Mbarara-24hr'!L45)</f>
        <v>1.4285714285714286</v>
      </c>
      <c r="M45" s="49">
        <f>AVERAGE('27.10 Kabale-Mbarara'!M45,'28.10 Kabale-Mbarara'!M45,'29.10 Kabale-Mbarara'!M45,'30.10 Kabale -Mbarara'!M45,'31.10 Kabale-Mbarara-24hr'!M45,'1.11 Kabale-Mbarara'!M45,'2.11 Kabale-Mbarara-24hr'!M45)</f>
        <v>15.428571428571429</v>
      </c>
      <c r="N45" s="49">
        <f>AVERAGE('27.10 Kabale-Mbarara'!N45,'28.10 Kabale-Mbarara'!N45,'29.10 Kabale-Mbarara'!N45,'30.10 Kabale -Mbarara'!N45,'31.10 Kabale-Mbarara-24hr'!N45,'1.11 Kabale-Mbarara'!N45,'2.11 Kabale-Mbarara-24hr'!N45)</f>
        <v>0</v>
      </c>
      <c r="O45" s="15">
        <f t="shared" si="0"/>
        <v>21.857142857142854</v>
      </c>
      <c r="P45" s="15">
        <f t="shared" si="1"/>
        <v>37.285714285714285</v>
      </c>
    </row>
    <row r="46" spans="2:32" ht="23.1" customHeight="1" x14ac:dyDescent="0.25">
      <c r="B46" s="24" t="s">
        <v>73</v>
      </c>
      <c r="C46" s="49">
        <f>AVERAGE('27.10 Kabale-Mbarara'!C46,'28.10 Kabale-Mbarara'!C46,'29.10 Kabale-Mbarara'!C46,'30.10 Kabale -Mbarara'!C46,'31.10 Kabale-Mbarara-24hr'!C46,'1.11 Kabale-Mbarara'!C46,'2.11 Kabale-Mbarara-24hr'!C46)</f>
        <v>8.8571428571428577</v>
      </c>
      <c r="D46" s="49">
        <f>AVERAGE('27.10 Kabale-Mbarara'!D46,'28.10 Kabale-Mbarara'!D46,'29.10 Kabale-Mbarara'!D46,'30.10 Kabale -Mbarara'!D46,'31.10 Kabale-Mbarara-24hr'!D46,'1.11 Kabale-Mbarara'!D46,'2.11 Kabale-Mbarara-24hr'!D46)</f>
        <v>1.1428571428571428</v>
      </c>
      <c r="E46" s="49">
        <f>AVERAGE('27.10 Kabale-Mbarara'!E46,'28.10 Kabale-Mbarara'!E46,'29.10 Kabale-Mbarara'!E46,'30.10 Kabale -Mbarara'!E46,'31.10 Kabale-Mbarara-24hr'!E46,'1.11 Kabale-Mbarara'!E46,'2.11 Kabale-Mbarara-24hr'!E46)</f>
        <v>1</v>
      </c>
      <c r="F46" s="49">
        <f>AVERAGE('27.10 Kabale-Mbarara'!F46,'28.10 Kabale-Mbarara'!F46,'29.10 Kabale-Mbarara'!F46,'30.10 Kabale -Mbarara'!F46,'31.10 Kabale-Mbarara-24hr'!F46,'1.11 Kabale-Mbarara'!F46,'2.11 Kabale-Mbarara-24hr'!F46)</f>
        <v>5.2857142857142856</v>
      </c>
      <c r="G46" s="49">
        <f>AVERAGE('27.10 Kabale-Mbarara'!G46,'28.10 Kabale-Mbarara'!G46,'29.10 Kabale-Mbarara'!G46,'30.10 Kabale -Mbarara'!G46,'31.10 Kabale-Mbarara-24hr'!G46,'1.11 Kabale-Mbarara'!G46,'2.11 Kabale-Mbarara-24hr'!G46)</f>
        <v>0</v>
      </c>
      <c r="H46" s="49">
        <f>AVERAGE('27.10 Kabale-Mbarara'!H46,'28.10 Kabale-Mbarara'!H46,'29.10 Kabale-Mbarara'!H46,'30.10 Kabale -Mbarara'!H46,'31.10 Kabale-Mbarara-24hr'!H46,'1.11 Kabale-Mbarara'!H46,'2.11 Kabale-Mbarara-24hr'!H46)</f>
        <v>0.42857142857142855</v>
      </c>
      <c r="I46" s="49">
        <f>AVERAGE('27.10 Kabale-Mbarara'!I46,'28.10 Kabale-Mbarara'!I46,'29.10 Kabale-Mbarara'!I46,'30.10 Kabale -Mbarara'!I46,'31.10 Kabale-Mbarara-24hr'!I46,'1.11 Kabale-Mbarara'!I46,'2.11 Kabale-Mbarara-24hr'!I46)</f>
        <v>2.7142857142857144</v>
      </c>
      <c r="J46" s="49">
        <f>AVERAGE('27.10 Kabale-Mbarara'!J46,'28.10 Kabale-Mbarara'!J46,'29.10 Kabale-Mbarara'!J46,'30.10 Kabale -Mbarara'!J46,'31.10 Kabale-Mbarara-24hr'!J46,'1.11 Kabale-Mbarara'!J46,'2.11 Kabale-Mbarara-24hr'!J46)</f>
        <v>1.1428571428571428</v>
      </c>
      <c r="K46" s="49">
        <f>AVERAGE('27.10 Kabale-Mbarara'!K46,'28.10 Kabale-Mbarara'!K46,'29.10 Kabale-Mbarara'!K46,'30.10 Kabale -Mbarara'!K46,'31.10 Kabale-Mbarara-24hr'!K46,'1.11 Kabale-Mbarara'!K46,'2.11 Kabale-Mbarara-24hr'!K46)</f>
        <v>2</v>
      </c>
      <c r="L46" s="49">
        <f>AVERAGE('27.10 Kabale-Mbarara'!L46,'28.10 Kabale-Mbarara'!L46,'29.10 Kabale-Mbarara'!L46,'30.10 Kabale -Mbarara'!L46,'31.10 Kabale-Mbarara-24hr'!L46,'1.11 Kabale-Mbarara'!L46,'2.11 Kabale-Mbarara-24hr'!L46)</f>
        <v>3.8571428571428572</v>
      </c>
      <c r="M46" s="49">
        <f>AVERAGE('27.10 Kabale-Mbarara'!M46,'28.10 Kabale-Mbarara'!M46,'29.10 Kabale-Mbarara'!M46,'30.10 Kabale -Mbarara'!M46,'31.10 Kabale-Mbarara-24hr'!M46,'1.11 Kabale-Mbarara'!M46,'2.11 Kabale-Mbarara-24hr'!M46)</f>
        <v>16.142857142857142</v>
      </c>
      <c r="N46" s="49">
        <f>AVERAGE('27.10 Kabale-Mbarara'!N46,'28.10 Kabale-Mbarara'!N46,'29.10 Kabale-Mbarara'!N46,'30.10 Kabale -Mbarara'!N46,'31.10 Kabale-Mbarara-24hr'!N46,'1.11 Kabale-Mbarara'!N46,'2.11 Kabale-Mbarara-24hr'!N46)</f>
        <v>0</v>
      </c>
      <c r="O46" s="15">
        <f t="shared" si="0"/>
        <v>26.428571428571427</v>
      </c>
      <c r="P46" s="15">
        <f t="shared" si="1"/>
        <v>42.571428571428569</v>
      </c>
      <c r="R46" s="8"/>
      <c r="T46"/>
    </row>
    <row r="47" spans="2:32" ht="23.1" customHeight="1" x14ac:dyDescent="0.25">
      <c r="B47" s="24" t="s">
        <v>74</v>
      </c>
      <c r="C47" s="49">
        <f>AVERAGE('27.10 Kabale-Mbarara'!C47,'28.10 Kabale-Mbarara'!C47,'29.10 Kabale-Mbarara'!C47,'30.10 Kabale -Mbarara'!C47,'31.10 Kabale-Mbarara-24hr'!C47,'1.11 Kabale-Mbarara'!C47,'2.11 Kabale-Mbarara-24hr'!C47)</f>
        <v>9.5714285714285712</v>
      </c>
      <c r="D47" s="49">
        <f>AVERAGE('27.10 Kabale-Mbarara'!D47,'28.10 Kabale-Mbarara'!D47,'29.10 Kabale-Mbarara'!D47,'30.10 Kabale -Mbarara'!D47,'31.10 Kabale-Mbarara-24hr'!D47,'1.11 Kabale-Mbarara'!D47,'2.11 Kabale-Mbarara-24hr'!D47)</f>
        <v>1.8571428571428572</v>
      </c>
      <c r="E47" s="49">
        <f>AVERAGE('27.10 Kabale-Mbarara'!E47,'28.10 Kabale-Mbarara'!E47,'29.10 Kabale-Mbarara'!E47,'30.10 Kabale -Mbarara'!E47,'31.10 Kabale-Mbarara-24hr'!E47,'1.11 Kabale-Mbarara'!E47,'2.11 Kabale-Mbarara-24hr'!E47)</f>
        <v>1.4285714285714286</v>
      </c>
      <c r="F47" s="49">
        <f>AVERAGE('27.10 Kabale-Mbarara'!F47,'28.10 Kabale-Mbarara'!F47,'29.10 Kabale-Mbarara'!F47,'30.10 Kabale -Mbarara'!F47,'31.10 Kabale-Mbarara-24hr'!F47,'1.11 Kabale-Mbarara'!F47,'2.11 Kabale-Mbarara-24hr'!F47)</f>
        <v>5.7142857142857144</v>
      </c>
      <c r="G47" s="49">
        <f>AVERAGE('27.10 Kabale-Mbarara'!G47,'28.10 Kabale-Mbarara'!G47,'29.10 Kabale-Mbarara'!G47,'30.10 Kabale -Mbarara'!G47,'31.10 Kabale-Mbarara-24hr'!G47,'1.11 Kabale-Mbarara'!G47,'2.11 Kabale-Mbarara-24hr'!G47)</f>
        <v>0</v>
      </c>
      <c r="H47" s="49">
        <f>AVERAGE('27.10 Kabale-Mbarara'!H47,'28.10 Kabale-Mbarara'!H47,'29.10 Kabale-Mbarara'!H47,'30.10 Kabale -Mbarara'!H47,'31.10 Kabale-Mbarara-24hr'!H47,'1.11 Kabale-Mbarara'!H47,'2.11 Kabale-Mbarara-24hr'!H47)</f>
        <v>0</v>
      </c>
      <c r="I47" s="49">
        <f>AVERAGE('27.10 Kabale-Mbarara'!I47,'28.10 Kabale-Mbarara'!I47,'29.10 Kabale-Mbarara'!I47,'30.10 Kabale -Mbarara'!I47,'31.10 Kabale-Mbarara-24hr'!I47,'1.11 Kabale-Mbarara'!I47,'2.11 Kabale-Mbarara-24hr'!I47)</f>
        <v>1.4285714285714286</v>
      </c>
      <c r="J47" s="49">
        <f>AVERAGE('27.10 Kabale-Mbarara'!J47,'28.10 Kabale-Mbarara'!J47,'29.10 Kabale-Mbarara'!J47,'30.10 Kabale -Mbarara'!J47,'31.10 Kabale-Mbarara-24hr'!J47,'1.11 Kabale-Mbarara'!J47,'2.11 Kabale-Mbarara-24hr'!J47)</f>
        <v>1.2857142857142858</v>
      </c>
      <c r="K47" s="49">
        <f>AVERAGE('27.10 Kabale-Mbarara'!K47,'28.10 Kabale-Mbarara'!K47,'29.10 Kabale-Mbarara'!K47,'30.10 Kabale -Mbarara'!K47,'31.10 Kabale-Mbarara-24hr'!K47,'1.11 Kabale-Mbarara'!K47,'2.11 Kabale-Mbarara-24hr'!K47)</f>
        <v>1.8571428571428572</v>
      </c>
      <c r="L47" s="49">
        <f>AVERAGE('27.10 Kabale-Mbarara'!L47,'28.10 Kabale-Mbarara'!L47,'29.10 Kabale-Mbarara'!L47,'30.10 Kabale -Mbarara'!L47,'31.10 Kabale-Mbarara-24hr'!L47,'1.11 Kabale-Mbarara'!L47,'2.11 Kabale-Mbarara-24hr'!L47)</f>
        <v>3.2857142857142856</v>
      </c>
      <c r="M47" s="49">
        <f>AVERAGE('27.10 Kabale-Mbarara'!M47,'28.10 Kabale-Mbarara'!M47,'29.10 Kabale-Mbarara'!M47,'30.10 Kabale -Mbarara'!M47,'31.10 Kabale-Mbarara-24hr'!M47,'1.11 Kabale-Mbarara'!M47,'2.11 Kabale-Mbarara-24hr'!M47)</f>
        <v>20.428571428571427</v>
      </c>
      <c r="N47" s="49">
        <f>AVERAGE('27.10 Kabale-Mbarara'!N47,'28.10 Kabale-Mbarara'!N47,'29.10 Kabale-Mbarara'!N47,'30.10 Kabale -Mbarara'!N47,'31.10 Kabale-Mbarara-24hr'!N47,'1.11 Kabale-Mbarara'!N47,'2.11 Kabale-Mbarara-24hr'!N47)</f>
        <v>0</v>
      </c>
      <c r="O47" s="15">
        <f t="shared" si="0"/>
        <v>26.428571428571427</v>
      </c>
      <c r="P47" s="15">
        <f t="shared" si="1"/>
        <v>46.857142857142854</v>
      </c>
      <c r="R47" s="8"/>
      <c r="T47"/>
    </row>
    <row r="48" spans="2:32" ht="23.1" customHeight="1" x14ac:dyDescent="0.25">
      <c r="B48" s="24" t="s">
        <v>75</v>
      </c>
      <c r="C48" s="49">
        <f>AVERAGE('27.10 Kabale-Mbarara'!C48,'28.10 Kabale-Mbarara'!C48,'29.10 Kabale-Mbarara'!C48,'30.10 Kabale -Mbarara'!C48,'31.10 Kabale-Mbarara-24hr'!C48,'1.11 Kabale-Mbarara'!C48,'2.11 Kabale-Mbarara-24hr'!C48)</f>
        <v>6.5714285714285712</v>
      </c>
      <c r="D48" s="49">
        <f>AVERAGE('27.10 Kabale-Mbarara'!D48,'28.10 Kabale-Mbarara'!D48,'29.10 Kabale-Mbarara'!D48,'30.10 Kabale -Mbarara'!D48,'31.10 Kabale-Mbarara-24hr'!D48,'1.11 Kabale-Mbarara'!D48,'2.11 Kabale-Mbarara-24hr'!D48)</f>
        <v>1.7142857142857142</v>
      </c>
      <c r="E48" s="49">
        <f>AVERAGE('27.10 Kabale-Mbarara'!E48,'28.10 Kabale-Mbarara'!E48,'29.10 Kabale-Mbarara'!E48,'30.10 Kabale -Mbarara'!E48,'31.10 Kabale-Mbarara-24hr'!E48,'1.11 Kabale-Mbarara'!E48,'2.11 Kabale-Mbarara-24hr'!E48)</f>
        <v>1.8571428571428572</v>
      </c>
      <c r="F48" s="49">
        <f>AVERAGE('27.10 Kabale-Mbarara'!F48,'28.10 Kabale-Mbarara'!F48,'29.10 Kabale-Mbarara'!F48,'30.10 Kabale -Mbarara'!F48,'31.10 Kabale-Mbarara-24hr'!F48,'1.11 Kabale-Mbarara'!F48,'2.11 Kabale-Mbarara-24hr'!F48)</f>
        <v>4.1428571428571432</v>
      </c>
      <c r="G48" s="49">
        <f>AVERAGE('27.10 Kabale-Mbarara'!G48,'28.10 Kabale-Mbarara'!G48,'29.10 Kabale-Mbarara'!G48,'30.10 Kabale -Mbarara'!G48,'31.10 Kabale-Mbarara-24hr'!G48,'1.11 Kabale-Mbarara'!G48,'2.11 Kabale-Mbarara-24hr'!G48)</f>
        <v>0.14285714285714285</v>
      </c>
      <c r="H48" s="49">
        <f>AVERAGE('27.10 Kabale-Mbarara'!H48,'28.10 Kabale-Mbarara'!H48,'29.10 Kabale-Mbarara'!H48,'30.10 Kabale -Mbarara'!H48,'31.10 Kabale-Mbarara-24hr'!H48,'1.11 Kabale-Mbarara'!H48,'2.11 Kabale-Mbarara-24hr'!H48)</f>
        <v>0.14285714285714285</v>
      </c>
      <c r="I48" s="49">
        <f>AVERAGE('27.10 Kabale-Mbarara'!I48,'28.10 Kabale-Mbarara'!I48,'29.10 Kabale-Mbarara'!I48,'30.10 Kabale -Mbarara'!I48,'31.10 Kabale-Mbarara-24hr'!I48,'1.11 Kabale-Mbarara'!I48,'2.11 Kabale-Mbarara-24hr'!I48)</f>
        <v>0.7142857142857143</v>
      </c>
      <c r="J48" s="49">
        <f>AVERAGE('27.10 Kabale-Mbarara'!J48,'28.10 Kabale-Mbarara'!J48,'29.10 Kabale-Mbarara'!J48,'30.10 Kabale -Mbarara'!J48,'31.10 Kabale-Mbarara-24hr'!J48,'1.11 Kabale-Mbarara'!J48,'2.11 Kabale-Mbarara-24hr'!J48)</f>
        <v>0.8571428571428571</v>
      </c>
      <c r="K48" s="49">
        <f>AVERAGE('27.10 Kabale-Mbarara'!K48,'28.10 Kabale-Mbarara'!K48,'29.10 Kabale-Mbarara'!K48,'30.10 Kabale -Mbarara'!K48,'31.10 Kabale-Mbarara-24hr'!K48,'1.11 Kabale-Mbarara'!K48,'2.11 Kabale-Mbarara-24hr'!K48)</f>
        <v>0.7142857142857143</v>
      </c>
      <c r="L48" s="49">
        <f>AVERAGE('27.10 Kabale-Mbarara'!L48,'28.10 Kabale-Mbarara'!L48,'29.10 Kabale-Mbarara'!L48,'30.10 Kabale -Mbarara'!L48,'31.10 Kabale-Mbarara-24hr'!L48,'1.11 Kabale-Mbarara'!L48,'2.11 Kabale-Mbarara-24hr'!L48)</f>
        <v>2.5714285714285716</v>
      </c>
      <c r="M48" s="49">
        <f>AVERAGE('27.10 Kabale-Mbarara'!M48,'28.10 Kabale-Mbarara'!M48,'29.10 Kabale-Mbarara'!M48,'30.10 Kabale -Mbarara'!M48,'31.10 Kabale-Mbarara-24hr'!M48,'1.11 Kabale-Mbarara'!M48,'2.11 Kabale-Mbarara-24hr'!M48)</f>
        <v>16.428571428571427</v>
      </c>
      <c r="N48" s="49">
        <f>AVERAGE('27.10 Kabale-Mbarara'!N48,'28.10 Kabale-Mbarara'!N48,'29.10 Kabale-Mbarara'!N48,'30.10 Kabale -Mbarara'!N48,'31.10 Kabale-Mbarara-24hr'!N48,'1.11 Kabale-Mbarara'!N48,'2.11 Kabale-Mbarara-24hr'!N48)</f>
        <v>0</v>
      </c>
      <c r="O48" s="15">
        <f t="shared" si="0"/>
        <v>19.428571428571427</v>
      </c>
      <c r="P48" s="15">
        <f t="shared" si="1"/>
        <v>35.857142857142854</v>
      </c>
      <c r="R48" s="8"/>
      <c r="T48"/>
    </row>
    <row r="49" spans="2:20" ht="23.1" customHeight="1" x14ac:dyDescent="0.25">
      <c r="B49" s="23" t="s">
        <v>76</v>
      </c>
      <c r="C49" s="49">
        <f>AVERAGE('27.10 Kabale-Mbarara'!C49,'28.10 Kabale-Mbarara'!C49,'29.10 Kabale-Mbarara'!C49,'30.10 Kabale -Mbarara'!C49,'31.10 Kabale-Mbarara-24hr'!C49,'1.11 Kabale-Mbarara'!C49,'2.11 Kabale-Mbarara-24hr'!C49)</f>
        <v>10.857142857142858</v>
      </c>
      <c r="D49" s="49">
        <f>AVERAGE('27.10 Kabale-Mbarara'!D49,'28.10 Kabale-Mbarara'!D49,'29.10 Kabale-Mbarara'!D49,'30.10 Kabale -Mbarara'!D49,'31.10 Kabale-Mbarara-24hr'!D49,'1.11 Kabale-Mbarara'!D49,'2.11 Kabale-Mbarara-24hr'!D49)</f>
        <v>3</v>
      </c>
      <c r="E49" s="49">
        <f>AVERAGE('27.10 Kabale-Mbarara'!E49,'28.10 Kabale-Mbarara'!E49,'29.10 Kabale-Mbarara'!E49,'30.10 Kabale -Mbarara'!E49,'31.10 Kabale-Mbarara-24hr'!E49,'1.11 Kabale-Mbarara'!E49,'2.11 Kabale-Mbarara-24hr'!E49)</f>
        <v>2</v>
      </c>
      <c r="F49" s="49">
        <f>AVERAGE('27.10 Kabale-Mbarara'!F49,'28.10 Kabale-Mbarara'!F49,'29.10 Kabale-Mbarara'!F49,'30.10 Kabale -Mbarara'!F49,'31.10 Kabale-Mbarara-24hr'!F49,'1.11 Kabale-Mbarara'!F49,'2.11 Kabale-Mbarara-24hr'!F49)</f>
        <v>3.4285714285714284</v>
      </c>
      <c r="G49" s="49">
        <f>AVERAGE('27.10 Kabale-Mbarara'!G49,'28.10 Kabale-Mbarara'!G49,'29.10 Kabale-Mbarara'!G49,'30.10 Kabale -Mbarara'!G49,'31.10 Kabale-Mbarara-24hr'!G49,'1.11 Kabale-Mbarara'!G49,'2.11 Kabale-Mbarara-24hr'!G49)</f>
        <v>0</v>
      </c>
      <c r="H49" s="49">
        <f>AVERAGE('27.10 Kabale-Mbarara'!H49,'28.10 Kabale-Mbarara'!H49,'29.10 Kabale-Mbarara'!H49,'30.10 Kabale -Mbarara'!H49,'31.10 Kabale-Mbarara-24hr'!H49,'1.11 Kabale-Mbarara'!H49,'2.11 Kabale-Mbarara-24hr'!H49)</f>
        <v>0.2857142857142857</v>
      </c>
      <c r="I49" s="49">
        <f>AVERAGE('27.10 Kabale-Mbarara'!I49,'28.10 Kabale-Mbarara'!I49,'29.10 Kabale-Mbarara'!I49,'30.10 Kabale -Mbarara'!I49,'31.10 Kabale-Mbarara-24hr'!I49,'1.11 Kabale-Mbarara'!I49,'2.11 Kabale-Mbarara-24hr'!I49)</f>
        <v>1.1428571428571428</v>
      </c>
      <c r="J49" s="49">
        <f>AVERAGE('27.10 Kabale-Mbarara'!J49,'28.10 Kabale-Mbarara'!J49,'29.10 Kabale-Mbarara'!J49,'30.10 Kabale -Mbarara'!J49,'31.10 Kabale-Mbarara-24hr'!J49,'1.11 Kabale-Mbarara'!J49,'2.11 Kabale-Mbarara-24hr'!J49)</f>
        <v>1.5714285714285714</v>
      </c>
      <c r="K49" s="49">
        <f>AVERAGE('27.10 Kabale-Mbarara'!K49,'28.10 Kabale-Mbarara'!K49,'29.10 Kabale-Mbarara'!K49,'30.10 Kabale -Mbarara'!K49,'31.10 Kabale-Mbarara-24hr'!K49,'1.11 Kabale-Mbarara'!K49,'2.11 Kabale-Mbarara-24hr'!K49)</f>
        <v>1.8571428571428572</v>
      </c>
      <c r="L49" s="49">
        <f>AVERAGE('27.10 Kabale-Mbarara'!L49,'28.10 Kabale-Mbarara'!L49,'29.10 Kabale-Mbarara'!L49,'30.10 Kabale -Mbarara'!L49,'31.10 Kabale-Mbarara-24hr'!L49,'1.11 Kabale-Mbarara'!L49,'2.11 Kabale-Mbarara-24hr'!L49)</f>
        <v>2.4285714285714284</v>
      </c>
      <c r="M49" s="49">
        <f>AVERAGE('27.10 Kabale-Mbarara'!M49,'28.10 Kabale-Mbarara'!M49,'29.10 Kabale-Mbarara'!M49,'30.10 Kabale -Mbarara'!M49,'31.10 Kabale-Mbarara-24hr'!M49,'1.11 Kabale-Mbarara'!M49,'2.11 Kabale-Mbarara-24hr'!M49)</f>
        <v>14.428571428571429</v>
      </c>
      <c r="N49" s="49">
        <f>AVERAGE('27.10 Kabale-Mbarara'!N49,'28.10 Kabale-Mbarara'!N49,'29.10 Kabale-Mbarara'!N49,'30.10 Kabale -Mbarara'!N49,'31.10 Kabale-Mbarara-24hr'!N49,'1.11 Kabale-Mbarara'!N49,'2.11 Kabale-Mbarara-24hr'!N49)</f>
        <v>0</v>
      </c>
      <c r="O49" s="15">
        <f t="shared" si="0"/>
        <v>26.571428571428569</v>
      </c>
      <c r="P49" s="15">
        <f t="shared" si="1"/>
        <v>41</v>
      </c>
      <c r="R49" s="8"/>
      <c r="T49"/>
    </row>
    <row r="50" spans="2:20" ht="23.1" customHeight="1" x14ac:dyDescent="0.25">
      <c r="B50" s="24" t="s">
        <v>77</v>
      </c>
      <c r="C50" s="49">
        <f>AVERAGE('27.10 Kabale-Mbarara'!C50,'28.10 Kabale-Mbarara'!C50,'29.10 Kabale-Mbarara'!C50,'30.10 Kabale -Mbarara'!C50,'31.10 Kabale-Mbarara-24hr'!C50,'1.11 Kabale-Mbarara'!C50,'2.11 Kabale-Mbarara-24hr'!C50)</f>
        <v>6.2857142857142856</v>
      </c>
      <c r="D50" s="49">
        <f>AVERAGE('27.10 Kabale-Mbarara'!D50,'28.10 Kabale-Mbarara'!D50,'29.10 Kabale-Mbarara'!D50,'30.10 Kabale -Mbarara'!D50,'31.10 Kabale-Mbarara-24hr'!D50,'1.11 Kabale-Mbarara'!D50,'2.11 Kabale-Mbarara-24hr'!D50)</f>
        <v>2.1428571428571428</v>
      </c>
      <c r="E50" s="49">
        <f>AVERAGE('27.10 Kabale-Mbarara'!E50,'28.10 Kabale-Mbarara'!E50,'29.10 Kabale-Mbarara'!E50,'30.10 Kabale -Mbarara'!E50,'31.10 Kabale-Mbarara-24hr'!E50,'1.11 Kabale-Mbarara'!E50,'2.11 Kabale-Mbarara-24hr'!E50)</f>
        <v>0.5714285714285714</v>
      </c>
      <c r="F50" s="49">
        <f>AVERAGE('27.10 Kabale-Mbarara'!F50,'28.10 Kabale-Mbarara'!F50,'29.10 Kabale-Mbarara'!F50,'30.10 Kabale -Mbarara'!F50,'31.10 Kabale-Mbarara-24hr'!F50,'1.11 Kabale-Mbarara'!F50,'2.11 Kabale-Mbarara-24hr'!F50)</f>
        <v>6.5714285714285712</v>
      </c>
      <c r="G50" s="49">
        <f>AVERAGE('27.10 Kabale-Mbarara'!G50,'28.10 Kabale-Mbarara'!G50,'29.10 Kabale-Mbarara'!G50,'30.10 Kabale -Mbarara'!G50,'31.10 Kabale-Mbarara-24hr'!G50,'1.11 Kabale-Mbarara'!G50,'2.11 Kabale-Mbarara-24hr'!G50)</f>
        <v>0.14285714285714285</v>
      </c>
      <c r="H50" s="49">
        <f>AVERAGE('27.10 Kabale-Mbarara'!H50,'28.10 Kabale-Mbarara'!H50,'29.10 Kabale-Mbarara'!H50,'30.10 Kabale -Mbarara'!H50,'31.10 Kabale-Mbarara-24hr'!H50,'1.11 Kabale-Mbarara'!H50,'2.11 Kabale-Mbarara-24hr'!H50)</f>
        <v>0</v>
      </c>
      <c r="I50" s="49">
        <f>AVERAGE('27.10 Kabale-Mbarara'!I50,'28.10 Kabale-Mbarara'!I50,'29.10 Kabale-Mbarara'!I50,'30.10 Kabale -Mbarara'!I50,'31.10 Kabale-Mbarara-24hr'!I50,'1.11 Kabale-Mbarara'!I50,'2.11 Kabale-Mbarara-24hr'!I50)</f>
        <v>0.7142857142857143</v>
      </c>
      <c r="J50" s="49">
        <f>AVERAGE('27.10 Kabale-Mbarara'!J50,'28.10 Kabale-Mbarara'!J50,'29.10 Kabale-Mbarara'!J50,'30.10 Kabale -Mbarara'!J50,'31.10 Kabale-Mbarara-24hr'!J50,'1.11 Kabale-Mbarara'!J50,'2.11 Kabale-Mbarara-24hr'!J50)</f>
        <v>1.2857142857142858</v>
      </c>
      <c r="K50" s="49">
        <f>AVERAGE('27.10 Kabale-Mbarara'!K50,'28.10 Kabale-Mbarara'!K50,'29.10 Kabale-Mbarara'!K50,'30.10 Kabale -Mbarara'!K50,'31.10 Kabale-Mbarara-24hr'!K50,'1.11 Kabale-Mbarara'!K50,'2.11 Kabale-Mbarara-24hr'!K50)</f>
        <v>2.5714285714285716</v>
      </c>
      <c r="L50" s="49">
        <f>AVERAGE('27.10 Kabale-Mbarara'!L50,'28.10 Kabale-Mbarara'!L50,'29.10 Kabale-Mbarara'!L50,'30.10 Kabale -Mbarara'!L50,'31.10 Kabale-Mbarara-24hr'!L50,'1.11 Kabale-Mbarara'!L50,'2.11 Kabale-Mbarara-24hr'!L50)</f>
        <v>2.2857142857142856</v>
      </c>
      <c r="M50" s="49">
        <f>AVERAGE('27.10 Kabale-Mbarara'!M50,'28.10 Kabale-Mbarara'!M50,'29.10 Kabale-Mbarara'!M50,'30.10 Kabale -Mbarara'!M50,'31.10 Kabale-Mbarara-24hr'!M50,'1.11 Kabale-Mbarara'!M50,'2.11 Kabale-Mbarara-24hr'!M50)</f>
        <v>14.571428571428571</v>
      </c>
      <c r="N50" s="49">
        <f>AVERAGE('27.10 Kabale-Mbarara'!N50,'28.10 Kabale-Mbarara'!N50,'29.10 Kabale-Mbarara'!N50,'30.10 Kabale -Mbarara'!N50,'31.10 Kabale-Mbarara-24hr'!N50,'1.11 Kabale-Mbarara'!N50,'2.11 Kabale-Mbarara-24hr'!N50)</f>
        <v>0</v>
      </c>
      <c r="O50" s="15">
        <f t="shared" si="0"/>
        <v>22.571428571428569</v>
      </c>
      <c r="P50" s="15">
        <f t="shared" si="1"/>
        <v>37.142857142857139</v>
      </c>
      <c r="R50" s="8"/>
      <c r="T50"/>
    </row>
    <row r="51" spans="2:20" ht="23.1" customHeight="1" x14ac:dyDescent="0.25">
      <c r="B51" s="24" t="s">
        <v>78</v>
      </c>
      <c r="C51" s="49">
        <f>AVERAGE('27.10 Kabale-Mbarara'!C51,'28.10 Kabale-Mbarara'!C51,'29.10 Kabale-Mbarara'!C51,'30.10 Kabale -Mbarara'!C51,'31.10 Kabale-Mbarara-24hr'!C51,'1.11 Kabale-Mbarara'!C51,'2.11 Kabale-Mbarara-24hr'!C51)</f>
        <v>6.7142857142857144</v>
      </c>
      <c r="D51" s="49">
        <f>AVERAGE('27.10 Kabale-Mbarara'!D51,'28.10 Kabale-Mbarara'!D51,'29.10 Kabale-Mbarara'!D51,'30.10 Kabale -Mbarara'!D51,'31.10 Kabale-Mbarara-24hr'!D51,'1.11 Kabale-Mbarara'!D51,'2.11 Kabale-Mbarara-24hr'!D51)</f>
        <v>1</v>
      </c>
      <c r="E51" s="49">
        <f>AVERAGE('27.10 Kabale-Mbarara'!E51,'28.10 Kabale-Mbarara'!E51,'29.10 Kabale-Mbarara'!E51,'30.10 Kabale -Mbarara'!E51,'31.10 Kabale-Mbarara-24hr'!E51,'1.11 Kabale-Mbarara'!E51,'2.11 Kabale-Mbarara-24hr'!E51)</f>
        <v>1.4285714285714286</v>
      </c>
      <c r="F51" s="49">
        <f>AVERAGE('27.10 Kabale-Mbarara'!F51,'28.10 Kabale-Mbarara'!F51,'29.10 Kabale-Mbarara'!F51,'30.10 Kabale -Mbarara'!F51,'31.10 Kabale-Mbarara-24hr'!F51,'1.11 Kabale-Mbarara'!F51,'2.11 Kabale-Mbarara-24hr'!F51)</f>
        <v>6.4285714285714288</v>
      </c>
      <c r="G51" s="49">
        <f>AVERAGE('27.10 Kabale-Mbarara'!G51,'28.10 Kabale-Mbarara'!G51,'29.10 Kabale-Mbarara'!G51,'30.10 Kabale -Mbarara'!G51,'31.10 Kabale-Mbarara-24hr'!G51,'1.11 Kabale-Mbarara'!G51,'2.11 Kabale-Mbarara-24hr'!G51)</f>
        <v>0.14285714285714285</v>
      </c>
      <c r="H51" s="49">
        <f>AVERAGE('27.10 Kabale-Mbarara'!H51,'28.10 Kabale-Mbarara'!H51,'29.10 Kabale-Mbarara'!H51,'30.10 Kabale -Mbarara'!H51,'31.10 Kabale-Mbarara-24hr'!H51,'1.11 Kabale-Mbarara'!H51,'2.11 Kabale-Mbarara-24hr'!H51)</f>
        <v>0.2857142857142857</v>
      </c>
      <c r="I51" s="49">
        <f>AVERAGE('27.10 Kabale-Mbarara'!I51,'28.10 Kabale-Mbarara'!I51,'29.10 Kabale-Mbarara'!I51,'30.10 Kabale -Mbarara'!I51,'31.10 Kabale-Mbarara-24hr'!I51,'1.11 Kabale-Mbarara'!I51,'2.11 Kabale-Mbarara-24hr'!I51)</f>
        <v>1.8571428571428572</v>
      </c>
      <c r="J51" s="49">
        <f>AVERAGE('27.10 Kabale-Mbarara'!J51,'28.10 Kabale-Mbarara'!J51,'29.10 Kabale-Mbarara'!J51,'30.10 Kabale -Mbarara'!J51,'31.10 Kabale-Mbarara-24hr'!J51,'1.11 Kabale-Mbarara'!J51,'2.11 Kabale-Mbarara-24hr'!J51)</f>
        <v>1.5714285714285714</v>
      </c>
      <c r="K51" s="49">
        <f>AVERAGE('27.10 Kabale-Mbarara'!K51,'28.10 Kabale-Mbarara'!K51,'29.10 Kabale-Mbarara'!K51,'30.10 Kabale -Mbarara'!K51,'31.10 Kabale-Mbarara-24hr'!K51,'1.11 Kabale-Mbarara'!K51,'2.11 Kabale-Mbarara-24hr'!K51)</f>
        <v>2.4285714285714284</v>
      </c>
      <c r="L51" s="49">
        <f>AVERAGE('27.10 Kabale-Mbarara'!L51,'28.10 Kabale-Mbarara'!L51,'29.10 Kabale-Mbarara'!L51,'30.10 Kabale -Mbarara'!L51,'31.10 Kabale-Mbarara-24hr'!L51,'1.11 Kabale-Mbarara'!L51,'2.11 Kabale-Mbarara-24hr'!L51)</f>
        <v>2.2857142857142856</v>
      </c>
      <c r="M51" s="49">
        <f>AVERAGE('27.10 Kabale-Mbarara'!M51,'28.10 Kabale-Mbarara'!M51,'29.10 Kabale-Mbarara'!M51,'30.10 Kabale -Mbarara'!M51,'31.10 Kabale-Mbarara-24hr'!M51,'1.11 Kabale-Mbarara'!M51,'2.11 Kabale-Mbarara-24hr'!M51)</f>
        <v>12.571428571428571</v>
      </c>
      <c r="N51" s="49">
        <f>AVERAGE('27.10 Kabale-Mbarara'!N51,'28.10 Kabale-Mbarara'!N51,'29.10 Kabale-Mbarara'!N51,'30.10 Kabale -Mbarara'!N51,'31.10 Kabale-Mbarara-24hr'!N51,'1.11 Kabale-Mbarara'!N51,'2.11 Kabale-Mbarara-24hr'!N51)</f>
        <v>0</v>
      </c>
      <c r="O51" s="15">
        <f t="shared" si="0"/>
        <v>24.142857142857142</v>
      </c>
      <c r="P51" s="15">
        <f t="shared" si="1"/>
        <v>36.714285714285715</v>
      </c>
      <c r="R51" s="8"/>
      <c r="T51"/>
    </row>
    <row r="52" spans="2:20" ht="23.1" customHeight="1" x14ac:dyDescent="0.25">
      <c r="B52" s="24" t="s">
        <v>79</v>
      </c>
      <c r="C52" s="49">
        <f>AVERAGE('27.10 Kabale-Mbarara'!C52,'28.10 Kabale-Mbarara'!C52,'29.10 Kabale-Mbarara'!C52,'30.10 Kabale -Mbarara'!C52,'31.10 Kabale-Mbarara-24hr'!C52,'1.11 Kabale-Mbarara'!C52,'2.11 Kabale-Mbarara-24hr'!C52)</f>
        <v>6</v>
      </c>
      <c r="D52" s="49">
        <f>AVERAGE('27.10 Kabale-Mbarara'!D52,'28.10 Kabale-Mbarara'!D52,'29.10 Kabale-Mbarara'!D52,'30.10 Kabale -Mbarara'!D52,'31.10 Kabale-Mbarara-24hr'!D52,'1.11 Kabale-Mbarara'!D52,'2.11 Kabale-Mbarara-24hr'!D52)</f>
        <v>1.8571428571428572</v>
      </c>
      <c r="E52" s="49">
        <f>AVERAGE('27.10 Kabale-Mbarara'!E52,'28.10 Kabale-Mbarara'!E52,'29.10 Kabale-Mbarara'!E52,'30.10 Kabale -Mbarara'!E52,'31.10 Kabale-Mbarara-24hr'!E52,'1.11 Kabale-Mbarara'!E52,'2.11 Kabale-Mbarara-24hr'!E52)</f>
        <v>2.4285714285714284</v>
      </c>
      <c r="F52" s="49">
        <f>AVERAGE('27.10 Kabale-Mbarara'!F52,'28.10 Kabale-Mbarara'!F52,'29.10 Kabale-Mbarara'!F52,'30.10 Kabale -Mbarara'!F52,'31.10 Kabale-Mbarara-24hr'!F52,'1.11 Kabale-Mbarara'!F52,'2.11 Kabale-Mbarara-24hr'!F52)</f>
        <v>5.5714285714285712</v>
      </c>
      <c r="G52" s="49">
        <f>AVERAGE('27.10 Kabale-Mbarara'!G52,'28.10 Kabale-Mbarara'!G52,'29.10 Kabale-Mbarara'!G52,'30.10 Kabale -Mbarara'!G52,'31.10 Kabale-Mbarara-24hr'!G52,'1.11 Kabale-Mbarara'!G52,'2.11 Kabale-Mbarara-24hr'!G52)</f>
        <v>0.2857142857142857</v>
      </c>
      <c r="H52" s="49">
        <f>AVERAGE('27.10 Kabale-Mbarara'!H52,'28.10 Kabale-Mbarara'!H52,'29.10 Kabale-Mbarara'!H52,'30.10 Kabale -Mbarara'!H52,'31.10 Kabale-Mbarara-24hr'!H52,'1.11 Kabale-Mbarara'!H52,'2.11 Kabale-Mbarara-24hr'!H52)</f>
        <v>0</v>
      </c>
      <c r="I52" s="49">
        <f>AVERAGE('27.10 Kabale-Mbarara'!I52,'28.10 Kabale-Mbarara'!I52,'29.10 Kabale-Mbarara'!I52,'30.10 Kabale -Mbarara'!I52,'31.10 Kabale-Mbarara-24hr'!I52,'1.11 Kabale-Mbarara'!I52,'2.11 Kabale-Mbarara-24hr'!I52)</f>
        <v>1.5714285714285714</v>
      </c>
      <c r="J52" s="49">
        <f>AVERAGE('27.10 Kabale-Mbarara'!J52,'28.10 Kabale-Mbarara'!J52,'29.10 Kabale-Mbarara'!J52,'30.10 Kabale -Mbarara'!J52,'31.10 Kabale-Mbarara-24hr'!J52,'1.11 Kabale-Mbarara'!J52,'2.11 Kabale-Mbarara-24hr'!J52)</f>
        <v>1.1428571428571428</v>
      </c>
      <c r="K52" s="49">
        <f>AVERAGE('27.10 Kabale-Mbarara'!K52,'28.10 Kabale-Mbarara'!K52,'29.10 Kabale-Mbarara'!K52,'30.10 Kabale -Mbarara'!K52,'31.10 Kabale-Mbarara-24hr'!K52,'1.11 Kabale-Mbarara'!K52,'2.11 Kabale-Mbarara-24hr'!K52)</f>
        <v>2.4285714285714284</v>
      </c>
      <c r="L52" s="49">
        <f>AVERAGE('27.10 Kabale-Mbarara'!L52,'28.10 Kabale-Mbarara'!L52,'29.10 Kabale-Mbarara'!L52,'30.10 Kabale -Mbarara'!L52,'31.10 Kabale-Mbarara-24hr'!L52,'1.11 Kabale-Mbarara'!L52,'2.11 Kabale-Mbarara-24hr'!L52)</f>
        <v>1</v>
      </c>
      <c r="M52" s="49">
        <f>AVERAGE('27.10 Kabale-Mbarara'!M52,'28.10 Kabale-Mbarara'!M52,'29.10 Kabale-Mbarara'!M52,'30.10 Kabale -Mbarara'!M52,'31.10 Kabale-Mbarara-24hr'!M52,'1.11 Kabale-Mbarara'!M52,'2.11 Kabale-Mbarara-24hr'!M52)</f>
        <v>15.571428571428571</v>
      </c>
      <c r="N52" s="49">
        <f>AVERAGE('27.10 Kabale-Mbarara'!N52,'28.10 Kabale-Mbarara'!N52,'29.10 Kabale-Mbarara'!N52,'30.10 Kabale -Mbarara'!N52,'31.10 Kabale-Mbarara-24hr'!N52,'1.11 Kabale-Mbarara'!N52,'2.11 Kabale-Mbarara-24hr'!N52)</f>
        <v>0</v>
      </c>
      <c r="O52" s="15">
        <f t="shared" si="0"/>
        <v>22.285714285714285</v>
      </c>
      <c r="P52" s="15">
        <f t="shared" si="1"/>
        <v>37.857142857142854</v>
      </c>
      <c r="R52" s="8"/>
      <c r="T52"/>
    </row>
    <row r="53" spans="2:20" ht="23.1" customHeight="1" x14ac:dyDescent="0.25">
      <c r="B53" s="23" t="s">
        <v>80</v>
      </c>
      <c r="C53" s="49">
        <f>AVERAGE('27.10 Kabale-Mbarara'!C53,'28.10 Kabale-Mbarara'!C53,'29.10 Kabale-Mbarara'!C53,'30.10 Kabale -Mbarara'!C53,'31.10 Kabale-Mbarara-24hr'!C53,'1.11 Kabale-Mbarara'!C53,'2.11 Kabale-Mbarara-24hr'!C53)</f>
        <v>7.2857142857142856</v>
      </c>
      <c r="D53" s="49">
        <f>AVERAGE('27.10 Kabale-Mbarara'!D53,'28.10 Kabale-Mbarara'!D53,'29.10 Kabale-Mbarara'!D53,'30.10 Kabale -Mbarara'!D53,'31.10 Kabale-Mbarara-24hr'!D53,'1.11 Kabale-Mbarara'!D53,'2.11 Kabale-Mbarara-24hr'!D53)</f>
        <v>1</v>
      </c>
      <c r="E53" s="49">
        <f>AVERAGE('27.10 Kabale-Mbarara'!E53,'28.10 Kabale-Mbarara'!E53,'29.10 Kabale-Mbarara'!E53,'30.10 Kabale -Mbarara'!E53,'31.10 Kabale-Mbarara-24hr'!E53,'1.11 Kabale-Mbarara'!E53,'2.11 Kabale-Mbarara-24hr'!E53)</f>
        <v>1.1428571428571428</v>
      </c>
      <c r="F53" s="49">
        <f>AVERAGE('27.10 Kabale-Mbarara'!F53,'28.10 Kabale-Mbarara'!F53,'29.10 Kabale-Mbarara'!F53,'30.10 Kabale -Mbarara'!F53,'31.10 Kabale-Mbarara-24hr'!F53,'1.11 Kabale-Mbarara'!F53,'2.11 Kabale-Mbarara-24hr'!F53)</f>
        <v>5.1428571428571432</v>
      </c>
      <c r="G53" s="49">
        <f>AVERAGE('27.10 Kabale-Mbarara'!G53,'28.10 Kabale-Mbarara'!G53,'29.10 Kabale-Mbarara'!G53,'30.10 Kabale -Mbarara'!G53,'31.10 Kabale-Mbarara-24hr'!G53,'1.11 Kabale-Mbarara'!G53,'2.11 Kabale-Mbarara-24hr'!G53)</f>
        <v>0</v>
      </c>
      <c r="H53" s="49">
        <f>AVERAGE('27.10 Kabale-Mbarara'!H53,'28.10 Kabale-Mbarara'!H53,'29.10 Kabale-Mbarara'!H53,'30.10 Kabale -Mbarara'!H53,'31.10 Kabale-Mbarara-24hr'!H53,'1.11 Kabale-Mbarara'!H53,'2.11 Kabale-Mbarara-24hr'!H53)</f>
        <v>0</v>
      </c>
      <c r="I53" s="49">
        <f>AVERAGE('27.10 Kabale-Mbarara'!I53,'28.10 Kabale-Mbarara'!I53,'29.10 Kabale-Mbarara'!I53,'30.10 Kabale -Mbarara'!I53,'31.10 Kabale-Mbarara-24hr'!I53,'1.11 Kabale-Mbarara'!I53,'2.11 Kabale-Mbarara-24hr'!I53)</f>
        <v>1.1428571428571428</v>
      </c>
      <c r="J53" s="49">
        <f>AVERAGE('27.10 Kabale-Mbarara'!J53,'28.10 Kabale-Mbarara'!J53,'29.10 Kabale-Mbarara'!J53,'30.10 Kabale -Mbarara'!J53,'31.10 Kabale-Mbarara-24hr'!J53,'1.11 Kabale-Mbarara'!J53,'2.11 Kabale-Mbarara-24hr'!J53)</f>
        <v>0.5714285714285714</v>
      </c>
      <c r="K53" s="49">
        <f>AVERAGE('27.10 Kabale-Mbarara'!K53,'28.10 Kabale-Mbarara'!K53,'29.10 Kabale-Mbarara'!K53,'30.10 Kabale -Mbarara'!K53,'31.10 Kabale-Mbarara-24hr'!K53,'1.11 Kabale-Mbarara'!K53,'2.11 Kabale-Mbarara-24hr'!K53)</f>
        <v>0.8571428571428571</v>
      </c>
      <c r="L53" s="49">
        <f>AVERAGE('27.10 Kabale-Mbarara'!L53,'28.10 Kabale-Mbarara'!L53,'29.10 Kabale-Mbarara'!L53,'30.10 Kabale -Mbarara'!L53,'31.10 Kabale-Mbarara-24hr'!L53,'1.11 Kabale-Mbarara'!L53,'2.11 Kabale-Mbarara-24hr'!L53)</f>
        <v>1</v>
      </c>
      <c r="M53" s="49">
        <f>AVERAGE('27.10 Kabale-Mbarara'!M53,'28.10 Kabale-Mbarara'!M53,'29.10 Kabale-Mbarara'!M53,'30.10 Kabale -Mbarara'!M53,'31.10 Kabale-Mbarara-24hr'!M53,'1.11 Kabale-Mbarara'!M53,'2.11 Kabale-Mbarara-24hr'!M53)</f>
        <v>12</v>
      </c>
      <c r="N53" s="49">
        <f>AVERAGE('27.10 Kabale-Mbarara'!N53,'28.10 Kabale-Mbarara'!N53,'29.10 Kabale-Mbarara'!N53,'30.10 Kabale -Mbarara'!N53,'31.10 Kabale-Mbarara-24hr'!N53,'1.11 Kabale-Mbarara'!N53,'2.11 Kabale-Mbarara-24hr'!N53)</f>
        <v>0</v>
      </c>
      <c r="O53" s="15">
        <f t="shared" si="0"/>
        <v>18.142857142857142</v>
      </c>
      <c r="P53" s="15">
        <f t="shared" si="1"/>
        <v>30.142857142857142</v>
      </c>
      <c r="R53" s="8"/>
      <c r="T53"/>
    </row>
    <row r="54" spans="2:20" ht="23.1" customHeight="1" x14ac:dyDescent="0.25">
      <c r="B54" s="23" t="s">
        <v>81</v>
      </c>
      <c r="C54" s="49">
        <f>AVERAGE('27.10 Kabale-Mbarara'!C54,'28.10 Kabale-Mbarara'!C54,'29.10 Kabale-Mbarara'!C54,'30.10 Kabale -Mbarara'!C54,'31.10 Kabale-Mbarara-24hr'!C54,'1.11 Kabale-Mbarara'!C54,'2.11 Kabale-Mbarara-24hr'!C54)</f>
        <v>5.8571428571428568</v>
      </c>
      <c r="D54" s="49">
        <f>AVERAGE('27.10 Kabale-Mbarara'!D54,'28.10 Kabale-Mbarara'!D54,'29.10 Kabale-Mbarara'!D54,'30.10 Kabale -Mbarara'!D54,'31.10 Kabale-Mbarara-24hr'!D54,'1.11 Kabale-Mbarara'!D54,'2.11 Kabale-Mbarara-24hr'!D54)</f>
        <v>0.5714285714285714</v>
      </c>
      <c r="E54" s="49">
        <f>AVERAGE('27.10 Kabale-Mbarara'!E54,'28.10 Kabale-Mbarara'!E54,'29.10 Kabale-Mbarara'!E54,'30.10 Kabale -Mbarara'!E54,'31.10 Kabale-Mbarara-24hr'!E54,'1.11 Kabale-Mbarara'!E54,'2.11 Kabale-Mbarara-24hr'!E54)</f>
        <v>1.2857142857142858</v>
      </c>
      <c r="F54" s="49">
        <f>AVERAGE('27.10 Kabale-Mbarara'!F54,'28.10 Kabale-Mbarara'!F54,'29.10 Kabale-Mbarara'!F54,'30.10 Kabale -Mbarara'!F54,'31.10 Kabale-Mbarara-24hr'!F54,'1.11 Kabale-Mbarara'!F54,'2.11 Kabale-Mbarara-24hr'!F54)</f>
        <v>4.8571428571428568</v>
      </c>
      <c r="G54" s="49">
        <f>AVERAGE('27.10 Kabale-Mbarara'!G54,'28.10 Kabale-Mbarara'!G54,'29.10 Kabale-Mbarara'!G54,'30.10 Kabale -Mbarara'!G54,'31.10 Kabale-Mbarara-24hr'!G54,'1.11 Kabale-Mbarara'!G54,'2.11 Kabale-Mbarara-24hr'!G54)</f>
        <v>0.14285714285714285</v>
      </c>
      <c r="H54" s="49">
        <f>AVERAGE('27.10 Kabale-Mbarara'!H54,'28.10 Kabale-Mbarara'!H54,'29.10 Kabale-Mbarara'!H54,'30.10 Kabale -Mbarara'!H54,'31.10 Kabale-Mbarara-24hr'!H54,'1.11 Kabale-Mbarara'!H54,'2.11 Kabale-Mbarara-24hr'!H54)</f>
        <v>0</v>
      </c>
      <c r="I54" s="49">
        <f>AVERAGE('27.10 Kabale-Mbarara'!I54,'28.10 Kabale-Mbarara'!I54,'29.10 Kabale-Mbarara'!I54,'30.10 Kabale -Mbarara'!I54,'31.10 Kabale-Mbarara-24hr'!I54,'1.11 Kabale-Mbarara'!I54,'2.11 Kabale-Mbarara-24hr'!I54)</f>
        <v>1.7142857142857142</v>
      </c>
      <c r="J54" s="49">
        <f>AVERAGE('27.10 Kabale-Mbarara'!J54,'28.10 Kabale-Mbarara'!J54,'29.10 Kabale-Mbarara'!J54,'30.10 Kabale -Mbarara'!J54,'31.10 Kabale-Mbarara-24hr'!J54,'1.11 Kabale-Mbarara'!J54,'2.11 Kabale-Mbarara-24hr'!J54)</f>
        <v>2.5714285714285716</v>
      </c>
      <c r="K54" s="49">
        <f>AVERAGE('27.10 Kabale-Mbarara'!K54,'28.10 Kabale-Mbarara'!K54,'29.10 Kabale-Mbarara'!K54,'30.10 Kabale -Mbarara'!K54,'31.10 Kabale-Mbarara-24hr'!K54,'1.11 Kabale-Mbarara'!K54,'2.11 Kabale-Mbarara-24hr'!K54)</f>
        <v>2.1428571428571428</v>
      </c>
      <c r="L54" s="49">
        <f>AVERAGE('27.10 Kabale-Mbarara'!L54,'28.10 Kabale-Mbarara'!L54,'29.10 Kabale-Mbarara'!L54,'30.10 Kabale -Mbarara'!L54,'31.10 Kabale-Mbarara-24hr'!L54,'1.11 Kabale-Mbarara'!L54,'2.11 Kabale-Mbarara-24hr'!L54)</f>
        <v>1</v>
      </c>
      <c r="M54" s="49">
        <f>AVERAGE('27.10 Kabale-Mbarara'!M54,'28.10 Kabale-Mbarara'!M54,'29.10 Kabale-Mbarara'!M54,'30.10 Kabale -Mbarara'!M54,'31.10 Kabale-Mbarara-24hr'!M54,'1.11 Kabale-Mbarara'!M54,'2.11 Kabale-Mbarara-24hr'!M54)</f>
        <v>17.714285714285715</v>
      </c>
      <c r="N54" s="49">
        <f>AVERAGE('27.10 Kabale-Mbarara'!N54,'28.10 Kabale-Mbarara'!N54,'29.10 Kabale-Mbarara'!N54,'30.10 Kabale -Mbarara'!N54,'31.10 Kabale-Mbarara-24hr'!N54,'1.11 Kabale-Mbarara'!N54,'2.11 Kabale-Mbarara-24hr'!N54)</f>
        <v>0</v>
      </c>
      <c r="O54" s="15">
        <f t="shared" si="0"/>
        <v>20.142857142857139</v>
      </c>
      <c r="P54" s="15">
        <f t="shared" si="1"/>
        <v>37.857142857142854</v>
      </c>
      <c r="R54" s="8"/>
      <c r="T54"/>
    </row>
    <row r="55" spans="2:20" ht="23.1" customHeight="1" x14ac:dyDescent="0.25">
      <c r="B55" s="23" t="s">
        <v>82</v>
      </c>
      <c r="C55" s="49">
        <f>AVERAGE('27.10 Kabale-Mbarara'!C55,'28.10 Kabale-Mbarara'!C55,'29.10 Kabale-Mbarara'!C55,'30.10 Kabale -Mbarara'!C55,'31.10 Kabale-Mbarara-24hr'!C55,'1.11 Kabale-Mbarara'!C55,'2.11 Kabale-Mbarara-24hr'!C55)</f>
        <v>9.7142857142857135</v>
      </c>
      <c r="D55" s="49">
        <f>AVERAGE('27.10 Kabale-Mbarara'!D55,'28.10 Kabale-Mbarara'!D55,'29.10 Kabale-Mbarara'!D55,'30.10 Kabale -Mbarara'!D55,'31.10 Kabale-Mbarara-24hr'!D55,'1.11 Kabale-Mbarara'!D55,'2.11 Kabale-Mbarara-24hr'!D55)</f>
        <v>2.5714285714285716</v>
      </c>
      <c r="E55" s="49">
        <f>AVERAGE('27.10 Kabale-Mbarara'!E55,'28.10 Kabale-Mbarara'!E55,'29.10 Kabale-Mbarara'!E55,'30.10 Kabale -Mbarara'!E55,'31.10 Kabale-Mbarara-24hr'!E55,'1.11 Kabale-Mbarara'!E55,'2.11 Kabale-Mbarara-24hr'!E55)</f>
        <v>0.7142857142857143</v>
      </c>
      <c r="F55" s="49">
        <f>AVERAGE('27.10 Kabale-Mbarara'!F55,'28.10 Kabale-Mbarara'!F55,'29.10 Kabale-Mbarara'!F55,'30.10 Kabale -Mbarara'!F55,'31.10 Kabale-Mbarara-24hr'!F55,'1.11 Kabale-Mbarara'!F55,'2.11 Kabale-Mbarara-24hr'!F55)</f>
        <v>7.5714285714285712</v>
      </c>
      <c r="G55" s="49">
        <f>AVERAGE('27.10 Kabale-Mbarara'!G55,'28.10 Kabale-Mbarara'!G55,'29.10 Kabale-Mbarara'!G55,'30.10 Kabale -Mbarara'!G55,'31.10 Kabale-Mbarara-24hr'!G55,'1.11 Kabale-Mbarara'!G55,'2.11 Kabale-Mbarara-24hr'!G55)</f>
        <v>0.5714285714285714</v>
      </c>
      <c r="H55" s="49">
        <f>AVERAGE('27.10 Kabale-Mbarara'!H55,'28.10 Kabale-Mbarara'!H55,'29.10 Kabale-Mbarara'!H55,'30.10 Kabale -Mbarara'!H55,'31.10 Kabale-Mbarara-24hr'!H55,'1.11 Kabale-Mbarara'!H55,'2.11 Kabale-Mbarara-24hr'!H55)</f>
        <v>0.2857142857142857</v>
      </c>
      <c r="I55" s="49">
        <f>AVERAGE('27.10 Kabale-Mbarara'!I55,'28.10 Kabale-Mbarara'!I55,'29.10 Kabale-Mbarara'!I55,'30.10 Kabale -Mbarara'!I55,'31.10 Kabale-Mbarara-24hr'!I55,'1.11 Kabale-Mbarara'!I55,'2.11 Kabale-Mbarara-24hr'!I55)</f>
        <v>0.7142857142857143</v>
      </c>
      <c r="J55" s="49">
        <f>AVERAGE('27.10 Kabale-Mbarara'!J55,'28.10 Kabale-Mbarara'!J55,'29.10 Kabale-Mbarara'!J55,'30.10 Kabale -Mbarara'!J55,'31.10 Kabale-Mbarara-24hr'!J55,'1.11 Kabale-Mbarara'!J55,'2.11 Kabale-Mbarara-24hr'!J55)</f>
        <v>1.7142857142857142</v>
      </c>
      <c r="K55" s="49">
        <f>AVERAGE('27.10 Kabale-Mbarara'!K55,'28.10 Kabale-Mbarara'!K55,'29.10 Kabale-Mbarara'!K55,'30.10 Kabale -Mbarara'!K55,'31.10 Kabale-Mbarara-24hr'!K55,'1.11 Kabale-Mbarara'!K55,'2.11 Kabale-Mbarara-24hr'!K55)</f>
        <v>3.4285714285714284</v>
      </c>
      <c r="L55" s="49">
        <f>AVERAGE('27.10 Kabale-Mbarara'!L55,'28.10 Kabale-Mbarara'!L55,'29.10 Kabale-Mbarara'!L55,'30.10 Kabale -Mbarara'!L55,'31.10 Kabale-Mbarara-24hr'!L55,'1.11 Kabale-Mbarara'!L55,'2.11 Kabale-Mbarara-24hr'!L55)</f>
        <v>1.1428571428571428</v>
      </c>
      <c r="M55" s="49">
        <f>AVERAGE('27.10 Kabale-Mbarara'!M55,'28.10 Kabale-Mbarara'!M55,'29.10 Kabale-Mbarara'!M55,'30.10 Kabale -Mbarara'!M55,'31.10 Kabale-Mbarara-24hr'!M55,'1.11 Kabale-Mbarara'!M55,'2.11 Kabale-Mbarara-24hr'!M55)</f>
        <v>14.285714285714286</v>
      </c>
      <c r="N55" s="49">
        <f>AVERAGE('27.10 Kabale-Mbarara'!N55,'28.10 Kabale-Mbarara'!N55,'29.10 Kabale-Mbarara'!N55,'30.10 Kabale -Mbarara'!N55,'31.10 Kabale-Mbarara-24hr'!N55,'1.11 Kabale-Mbarara'!N55,'2.11 Kabale-Mbarara-24hr'!N55)</f>
        <v>0.14285714285714285</v>
      </c>
      <c r="O55" s="15">
        <f t="shared" si="0"/>
        <v>28.571428571428569</v>
      </c>
      <c r="P55" s="15">
        <f t="shared" si="1"/>
        <v>42.857142857142861</v>
      </c>
      <c r="R55" s="8"/>
      <c r="T55"/>
    </row>
    <row r="56" spans="2:20" ht="23.1" customHeight="1" x14ac:dyDescent="0.25">
      <c r="B56" s="23" t="s">
        <v>83</v>
      </c>
      <c r="C56" s="49">
        <f>AVERAGE('27.10 Kabale-Mbarara'!C56,'28.10 Kabale-Mbarara'!C56,'29.10 Kabale-Mbarara'!C56,'30.10 Kabale -Mbarara'!C56,'31.10 Kabale-Mbarara-24hr'!C56,'1.11 Kabale-Mbarara'!C56,'2.11 Kabale-Mbarara-24hr'!C56)</f>
        <v>7.4285714285714288</v>
      </c>
      <c r="D56" s="49">
        <f>AVERAGE('27.10 Kabale-Mbarara'!D56,'28.10 Kabale-Mbarara'!D56,'29.10 Kabale-Mbarara'!D56,'30.10 Kabale -Mbarara'!D56,'31.10 Kabale-Mbarara-24hr'!D56,'1.11 Kabale-Mbarara'!D56,'2.11 Kabale-Mbarara-24hr'!D56)</f>
        <v>0.7142857142857143</v>
      </c>
      <c r="E56" s="49">
        <f>AVERAGE('27.10 Kabale-Mbarara'!E56,'28.10 Kabale-Mbarara'!E56,'29.10 Kabale-Mbarara'!E56,'30.10 Kabale -Mbarara'!E56,'31.10 Kabale-Mbarara-24hr'!E56,'1.11 Kabale-Mbarara'!E56,'2.11 Kabale-Mbarara-24hr'!E56)</f>
        <v>1.5714285714285714</v>
      </c>
      <c r="F56" s="49">
        <f>AVERAGE('27.10 Kabale-Mbarara'!F56,'28.10 Kabale-Mbarara'!F56,'29.10 Kabale-Mbarara'!F56,'30.10 Kabale -Mbarara'!F56,'31.10 Kabale-Mbarara-24hr'!F56,'1.11 Kabale-Mbarara'!F56,'2.11 Kabale-Mbarara-24hr'!F56)</f>
        <v>5.2857142857142856</v>
      </c>
      <c r="G56" s="49">
        <f>AVERAGE('27.10 Kabale-Mbarara'!G56,'28.10 Kabale-Mbarara'!G56,'29.10 Kabale-Mbarara'!G56,'30.10 Kabale -Mbarara'!G56,'31.10 Kabale-Mbarara-24hr'!G56,'1.11 Kabale-Mbarara'!G56,'2.11 Kabale-Mbarara-24hr'!G56)</f>
        <v>0.2857142857142857</v>
      </c>
      <c r="H56" s="49">
        <f>AVERAGE('27.10 Kabale-Mbarara'!H56,'28.10 Kabale-Mbarara'!H56,'29.10 Kabale-Mbarara'!H56,'30.10 Kabale -Mbarara'!H56,'31.10 Kabale-Mbarara-24hr'!H56,'1.11 Kabale-Mbarara'!H56,'2.11 Kabale-Mbarara-24hr'!H56)</f>
        <v>0</v>
      </c>
      <c r="I56" s="49">
        <f>AVERAGE('27.10 Kabale-Mbarara'!I56,'28.10 Kabale-Mbarara'!I56,'29.10 Kabale-Mbarara'!I56,'30.10 Kabale -Mbarara'!I56,'31.10 Kabale-Mbarara-24hr'!I56,'1.11 Kabale-Mbarara'!I56,'2.11 Kabale-Mbarara-24hr'!I56)</f>
        <v>1.2857142857142858</v>
      </c>
      <c r="J56" s="49">
        <f>AVERAGE('27.10 Kabale-Mbarara'!J56,'28.10 Kabale-Mbarara'!J56,'29.10 Kabale-Mbarara'!J56,'30.10 Kabale -Mbarara'!J56,'31.10 Kabale-Mbarara-24hr'!J56,'1.11 Kabale-Mbarara'!J56,'2.11 Kabale-Mbarara-24hr'!J56)</f>
        <v>1.8571428571428572</v>
      </c>
      <c r="K56" s="49">
        <f>AVERAGE('27.10 Kabale-Mbarara'!K56,'28.10 Kabale-Mbarara'!K56,'29.10 Kabale-Mbarara'!K56,'30.10 Kabale -Mbarara'!K56,'31.10 Kabale-Mbarara-24hr'!K56,'1.11 Kabale-Mbarara'!K56,'2.11 Kabale-Mbarara-24hr'!K56)</f>
        <v>1</v>
      </c>
      <c r="L56" s="49">
        <f>AVERAGE('27.10 Kabale-Mbarara'!L56,'28.10 Kabale-Mbarara'!L56,'29.10 Kabale-Mbarara'!L56,'30.10 Kabale -Mbarara'!L56,'31.10 Kabale-Mbarara-24hr'!L56,'1.11 Kabale-Mbarara'!L56,'2.11 Kabale-Mbarara-24hr'!L56)</f>
        <v>1.7142857142857142</v>
      </c>
      <c r="M56" s="49">
        <f>AVERAGE('27.10 Kabale-Mbarara'!M56,'28.10 Kabale-Mbarara'!M56,'29.10 Kabale-Mbarara'!M56,'30.10 Kabale -Mbarara'!M56,'31.10 Kabale-Mbarara-24hr'!M56,'1.11 Kabale-Mbarara'!M56,'2.11 Kabale-Mbarara-24hr'!M56)</f>
        <v>14</v>
      </c>
      <c r="N56" s="49">
        <f>AVERAGE('27.10 Kabale-Mbarara'!N56,'28.10 Kabale-Mbarara'!N56,'29.10 Kabale-Mbarara'!N56,'30.10 Kabale -Mbarara'!N56,'31.10 Kabale-Mbarara-24hr'!N56,'1.11 Kabale-Mbarara'!N56,'2.11 Kabale-Mbarara-24hr'!N56)</f>
        <v>0</v>
      </c>
      <c r="O56" s="15">
        <f t="shared" si="0"/>
        <v>21.142857142857146</v>
      </c>
      <c r="P56" s="15">
        <f t="shared" si="1"/>
        <v>35.142857142857146</v>
      </c>
      <c r="R56" s="8"/>
      <c r="T56"/>
    </row>
    <row r="57" spans="2:20" ht="23.1" customHeight="1" x14ac:dyDescent="0.25">
      <c r="B57" s="23" t="s">
        <v>84</v>
      </c>
      <c r="C57" s="49">
        <f>AVERAGE('27.10 Kabale-Mbarara'!C57,'28.10 Kabale-Mbarara'!C57,'29.10 Kabale-Mbarara'!C57,'30.10 Kabale -Mbarara'!C57,'31.10 Kabale-Mbarara-24hr'!C57,'1.11 Kabale-Mbarara'!C57,'2.11 Kabale-Mbarara-24hr'!C57)</f>
        <v>7.4285714285714288</v>
      </c>
      <c r="D57" s="49">
        <f>AVERAGE('27.10 Kabale-Mbarara'!D57,'28.10 Kabale-Mbarara'!D57,'29.10 Kabale-Mbarara'!D57,'30.10 Kabale -Mbarara'!D57,'31.10 Kabale-Mbarara-24hr'!D57,'1.11 Kabale-Mbarara'!D57,'2.11 Kabale-Mbarara-24hr'!D57)</f>
        <v>2</v>
      </c>
      <c r="E57" s="49">
        <f>AVERAGE('27.10 Kabale-Mbarara'!E57,'28.10 Kabale-Mbarara'!E57,'29.10 Kabale-Mbarara'!E57,'30.10 Kabale -Mbarara'!E57,'31.10 Kabale-Mbarara-24hr'!E57,'1.11 Kabale-Mbarara'!E57,'2.11 Kabale-Mbarara-24hr'!E57)</f>
        <v>1</v>
      </c>
      <c r="F57" s="49">
        <f>AVERAGE('27.10 Kabale-Mbarara'!F57,'28.10 Kabale-Mbarara'!F57,'29.10 Kabale-Mbarara'!F57,'30.10 Kabale -Mbarara'!F57,'31.10 Kabale-Mbarara-24hr'!F57,'1.11 Kabale-Mbarara'!F57,'2.11 Kabale-Mbarara-24hr'!F57)</f>
        <v>4.4285714285714288</v>
      </c>
      <c r="G57" s="49">
        <f>AVERAGE('27.10 Kabale-Mbarara'!G57,'28.10 Kabale-Mbarara'!G57,'29.10 Kabale-Mbarara'!G57,'30.10 Kabale -Mbarara'!G57,'31.10 Kabale-Mbarara-24hr'!G57,'1.11 Kabale-Mbarara'!G57,'2.11 Kabale-Mbarara-24hr'!G57)</f>
        <v>0</v>
      </c>
      <c r="H57" s="49">
        <f>AVERAGE('27.10 Kabale-Mbarara'!H57,'28.10 Kabale-Mbarara'!H57,'29.10 Kabale-Mbarara'!H57,'30.10 Kabale -Mbarara'!H57,'31.10 Kabale-Mbarara-24hr'!H57,'1.11 Kabale-Mbarara'!H57,'2.11 Kabale-Mbarara-24hr'!H57)</f>
        <v>0</v>
      </c>
      <c r="I57" s="49">
        <f>AVERAGE('27.10 Kabale-Mbarara'!I57,'28.10 Kabale-Mbarara'!I57,'29.10 Kabale-Mbarara'!I57,'30.10 Kabale -Mbarara'!I57,'31.10 Kabale-Mbarara-24hr'!I57,'1.11 Kabale-Mbarara'!I57,'2.11 Kabale-Mbarara-24hr'!I57)</f>
        <v>1.7142857142857142</v>
      </c>
      <c r="J57" s="49">
        <f>AVERAGE('27.10 Kabale-Mbarara'!J57,'28.10 Kabale-Mbarara'!J57,'29.10 Kabale-Mbarara'!J57,'30.10 Kabale -Mbarara'!J57,'31.10 Kabale-Mbarara-24hr'!J57,'1.11 Kabale-Mbarara'!J57,'2.11 Kabale-Mbarara-24hr'!J57)</f>
        <v>0.5714285714285714</v>
      </c>
      <c r="K57" s="49">
        <f>AVERAGE('27.10 Kabale-Mbarara'!K57,'28.10 Kabale-Mbarara'!K57,'29.10 Kabale-Mbarara'!K57,'30.10 Kabale -Mbarara'!K57,'31.10 Kabale-Mbarara-24hr'!K57,'1.11 Kabale-Mbarara'!K57,'2.11 Kabale-Mbarara-24hr'!K57)</f>
        <v>2</v>
      </c>
      <c r="L57" s="49">
        <f>AVERAGE('27.10 Kabale-Mbarara'!L57,'28.10 Kabale-Mbarara'!L57,'29.10 Kabale-Mbarara'!L57,'30.10 Kabale -Mbarara'!L57,'31.10 Kabale-Mbarara-24hr'!L57,'1.11 Kabale-Mbarara'!L57,'2.11 Kabale-Mbarara-24hr'!L57)</f>
        <v>1.1428571428571428</v>
      </c>
      <c r="M57" s="49">
        <f>AVERAGE('27.10 Kabale-Mbarara'!M57,'28.10 Kabale-Mbarara'!M57,'29.10 Kabale-Mbarara'!M57,'30.10 Kabale -Mbarara'!M57,'31.10 Kabale-Mbarara-24hr'!M57,'1.11 Kabale-Mbarara'!M57,'2.11 Kabale-Mbarara-24hr'!M57)</f>
        <v>11.714285714285714</v>
      </c>
      <c r="N57" s="49">
        <f>AVERAGE('27.10 Kabale-Mbarara'!N57,'28.10 Kabale-Mbarara'!N57,'29.10 Kabale-Mbarara'!N57,'30.10 Kabale -Mbarara'!N57,'31.10 Kabale-Mbarara-24hr'!N57,'1.11 Kabale-Mbarara'!N57,'2.11 Kabale-Mbarara-24hr'!N57)</f>
        <v>0</v>
      </c>
      <c r="O57" s="15">
        <f t="shared" si="0"/>
        <v>20.285714285714288</v>
      </c>
      <c r="P57" s="15">
        <f t="shared" si="1"/>
        <v>32</v>
      </c>
      <c r="R57" s="8"/>
      <c r="T57"/>
    </row>
    <row r="58" spans="2:20" ht="23.1" customHeight="1" x14ac:dyDescent="0.25">
      <c r="B58" s="23" t="s">
        <v>99</v>
      </c>
      <c r="C58" s="49">
        <f>AVERAGE('31.10 Kabale-Mbarara-24hr'!C58,'2.11 Kabale-Mbarara-24hr'!C58)</f>
        <v>6</v>
      </c>
      <c r="D58" s="49">
        <f>AVERAGE('31.10 Kabale-Mbarara-24hr'!D58,'2.11 Kabale-Mbarara-24hr'!D58)</f>
        <v>3.5</v>
      </c>
      <c r="E58" s="49">
        <f>AVERAGE('31.10 Kabale-Mbarara-24hr'!E58,'2.11 Kabale-Mbarara-24hr'!E58)</f>
        <v>2</v>
      </c>
      <c r="F58" s="49">
        <f>AVERAGE('31.10 Kabale-Mbarara-24hr'!F58,'2.11 Kabale-Mbarara-24hr'!F58)</f>
        <v>10.5</v>
      </c>
      <c r="G58" s="49">
        <f>AVERAGE('31.10 Kabale-Mbarara-24hr'!G58,'2.11 Kabale-Mbarara-24hr'!G58)</f>
        <v>0.5</v>
      </c>
      <c r="H58" s="49">
        <f>AVERAGE('31.10 Kabale-Mbarara-24hr'!H58,'2.11 Kabale-Mbarara-24hr'!H58)</f>
        <v>0</v>
      </c>
      <c r="I58" s="49">
        <f>AVERAGE('31.10 Kabale-Mbarara-24hr'!I58,'2.11 Kabale-Mbarara-24hr'!I58)</f>
        <v>0</v>
      </c>
      <c r="J58" s="49">
        <f>AVERAGE('31.10 Kabale-Mbarara-24hr'!J58,'2.11 Kabale-Mbarara-24hr'!J58)</f>
        <v>0</v>
      </c>
      <c r="K58" s="49">
        <f>AVERAGE('31.10 Kabale-Mbarara-24hr'!K58,'2.11 Kabale-Mbarara-24hr'!K58)</f>
        <v>2.5</v>
      </c>
      <c r="L58" s="49">
        <f>AVERAGE('31.10 Kabale-Mbarara-24hr'!L58,'2.11 Kabale-Mbarara-24hr'!L58)</f>
        <v>1</v>
      </c>
      <c r="M58" s="49">
        <f>AVERAGE('31.10 Kabale-Mbarara-24hr'!M58,'2.11 Kabale-Mbarara-24hr'!M58)</f>
        <v>16.5</v>
      </c>
      <c r="N58" s="49">
        <f>AVERAGE('31.10 Kabale-Mbarara-24hr'!N58,'2.11 Kabale-Mbarara-24hr'!N58)</f>
        <v>0</v>
      </c>
      <c r="O58" s="15">
        <f t="shared" si="0"/>
        <v>26</v>
      </c>
      <c r="P58" s="15">
        <f t="shared" si="1"/>
        <v>42.5</v>
      </c>
      <c r="R58" s="8"/>
      <c r="T58"/>
    </row>
    <row r="59" spans="2:20" ht="23.1" customHeight="1" x14ac:dyDescent="0.25">
      <c r="B59" s="23" t="s">
        <v>100</v>
      </c>
      <c r="C59" s="49">
        <f>AVERAGE('31.10 Kabale-Mbarara-24hr'!C59,'2.11 Kabale-Mbarara-24hr'!C59)</f>
        <v>6</v>
      </c>
      <c r="D59" s="49">
        <f>AVERAGE('31.10 Kabale-Mbarara-24hr'!D59,'2.11 Kabale-Mbarara-24hr'!D59)</f>
        <v>2</v>
      </c>
      <c r="E59" s="49">
        <f>AVERAGE('31.10 Kabale-Mbarara-24hr'!E59,'2.11 Kabale-Mbarara-24hr'!E59)</f>
        <v>2</v>
      </c>
      <c r="F59" s="49">
        <f>AVERAGE('31.10 Kabale-Mbarara-24hr'!F59,'2.11 Kabale-Mbarara-24hr'!F59)</f>
        <v>7</v>
      </c>
      <c r="G59" s="49">
        <f>AVERAGE('31.10 Kabale-Mbarara-24hr'!G59,'2.11 Kabale-Mbarara-24hr'!G59)</f>
        <v>0</v>
      </c>
      <c r="H59" s="49">
        <f>AVERAGE('31.10 Kabale-Mbarara-24hr'!H59,'2.11 Kabale-Mbarara-24hr'!H59)</f>
        <v>0</v>
      </c>
      <c r="I59" s="49">
        <f>AVERAGE('31.10 Kabale-Mbarara-24hr'!I59,'2.11 Kabale-Mbarara-24hr'!I59)</f>
        <v>1.5</v>
      </c>
      <c r="J59" s="49">
        <f>AVERAGE('31.10 Kabale-Mbarara-24hr'!J59,'2.11 Kabale-Mbarara-24hr'!J59)</f>
        <v>1.5</v>
      </c>
      <c r="K59" s="49">
        <f>AVERAGE('31.10 Kabale-Mbarara-24hr'!K59,'2.11 Kabale-Mbarara-24hr'!K59)</f>
        <v>0.5</v>
      </c>
      <c r="L59" s="49">
        <f>AVERAGE('31.10 Kabale-Mbarara-24hr'!L59,'2.11 Kabale-Mbarara-24hr'!L59)</f>
        <v>5.5</v>
      </c>
      <c r="M59" s="49">
        <f>AVERAGE('31.10 Kabale-Mbarara-24hr'!M59,'2.11 Kabale-Mbarara-24hr'!M59)</f>
        <v>10.5</v>
      </c>
      <c r="N59" s="49">
        <f>AVERAGE('31.10 Kabale-Mbarara-24hr'!N59,'2.11 Kabale-Mbarara-24hr'!N59)</f>
        <v>0</v>
      </c>
      <c r="O59" s="15">
        <f t="shared" si="0"/>
        <v>26</v>
      </c>
      <c r="P59" s="15">
        <f t="shared" si="1"/>
        <v>36.5</v>
      </c>
      <c r="R59" s="8"/>
      <c r="T59"/>
    </row>
    <row r="60" spans="2:20" ht="23.1" customHeight="1" x14ac:dyDescent="0.25">
      <c r="B60" s="23" t="s">
        <v>101</v>
      </c>
      <c r="C60" s="49">
        <f>AVERAGE('31.10 Kabale-Mbarara-24hr'!C60,'2.11 Kabale-Mbarara-24hr'!C60)</f>
        <v>5</v>
      </c>
      <c r="D60" s="49">
        <f>AVERAGE('31.10 Kabale-Mbarara-24hr'!D60,'2.11 Kabale-Mbarara-24hr'!D60)</f>
        <v>0.5</v>
      </c>
      <c r="E60" s="49">
        <f>AVERAGE('31.10 Kabale-Mbarara-24hr'!E60,'2.11 Kabale-Mbarara-24hr'!E60)</f>
        <v>1.5</v>
      </c>
      <c r="F60" s="49">
        <f>AVERAGE('31.10 Kabale-Mbarara-24hr'!F60,'2.11 Kabale-Mbarara-24hr'!F60)</f>
        <v>5.5</v>
      </c>
      <c r="G60" s="49">
        <f>AVERAGE('31.10 Kabale-Mbarara-24hr'!G60,'2.11 Kabale-Mbarara-24hr'!G60)</f>
        <v>0</v>
      </c>
      <c r="H60" s="49">
        <f>AVERAGE('31.10 Kabale-Mbarara-24hr'!H60,'2.11 Kabale-Mbarara-24hr'!H60)</f>
        <v>0.5</v>
      </c>
      <c r="I60" s="49">
        <f>AVERAGE('31.10 Kabale-Mbarara-24hr'!I60,'2.11 Kabale-Mbarara-24hr'!I60)</f>
        <v>2.5</v>
      </c>
      <c r="J60" s="49">
        <f>AVERAGE('31.10 Kabale-Mbarara-24hr'!J60,'2.11 Kabale-Mbarara-24hr'!J60)</f>
        <v>3</v>
      </c>
      <c r="K60" s="49">
        <f>AVERAGE('31.10 Kabale-Mbarara-24hr'!K60,'2.11 Kabale-Mbarara-24hr'!K60)</f>
        <v>1</v>
      </c>
      <c r="L60" s="49">
        <f>AVERAGE('31.10 Kabale-Mbarara-24hr'!L60,'2.11 Kabale-Mbarara-24hr'!L60)</f>
        <v>1.5</v>
      </c>
      <c r="M60" s="49">
        <f>AVERAGE('31.10 Kabale-Mbarara-24hr'!M60,'2.11 Kabale-Mbarara-24hr'!M60)</f>
        <v>13.5</v>
      </c>
      <c r="N60" s="49">
        <f>AVERAGE('31.10 Kabale-Mbarara-24hr'!N60,'2.11 Kabale-Mbarara-24hr'!N60)</f>
        <v>0</v>
      </c>
      <c r="O60" s="15">
        <f t="shared" si="0"/>
        <v>21</v>
      </c>
      <c r="P60" s="15">
        <f t="shared" si="1"/>
        <v>34.5</v>
      </c>
      <c r="R60" s="8"/>
      <c r="T60"/>
    </row>
    <row r="61" spans="2:20" ht="23.1" customHeight="1" x14ac:dyDescent="0.25">
      <c r="B61" s="23" t="s">
        <v>102</v>
      </c>
      <c r="C61" s="49">
        <f>AVERAGE('31.10 Kabale-Mbarara-24hr'!C61,'2.11 Kabale-Mbarara-24hr'!C61)</f>
        <v>13.5</v>
      </c>
      <c r="D61" s="49">
        <f>AVERAGE('31.10 Kabale-Mbarara-24hr'!D61,'2.11 Kabale-Mbarara-24hr'!D61)</f>
        <v>1.5</v>
      </c>
      <c r="E61" s="49">
        <f>AVERAGE('31.10 Kabale-Mbarara-24hr'!E61,'2.11 Kabale-Mbarara-24hr'!E61)</f>
        <v>1</v>
      </c>
      <c r="F61" s="49">
        <f>AVERAGE('31.10 Kabale-Mbarara-24hr'!F61,'2.11 Kabale-Mbarara-24hr'!F61)</f>
        <v>7.5</v>
      </c>
      <c r="G61" s="49">
        <f>AVERAGE('31.10 Kabale-Mbarara-24hr'!G61,'2.11 Kabale-Mbarara-24hr'!G61)</f>
        <v>0.5</v>
      </c>
      <c r="H61" s="49">
        <f>AVERAGE('31.10 Kabale-Mbarara-24hr'!H61,'2.11 Kabale-Mbarara-24hr'!H61)</f>
        <v>0</v>
      </c>
      <c r="I61" s="49">
        <f>AVERAGE('31.10 Kabale-Mbarara-24hr'!I61,'2.11 Kabale-Mbarara-24hr'!I61)</f>
        <v>1</v>
      </c>
      <c r="J61" s="49">
        <f>AVERAGE('31.10 Kabale-Mbarara-24hr'!J61,'2.11 Kabale-Mbarara-24hr'!J61)</f>
        <v>1</v>
      </c>
      <c r="K61" s="49">
        <f>AVERAGE('31.10 Kabale-Mbarara-24hr'!K61,'2.11 Kabale-Mbarara-24hr'!K61)</f>
        <v>1.5</v>
      </c>
      <c r="L61" s="49">
        <f>AVERAGE('31.10 Kabale-Mbarara-24hr'!L61,'2.11 Kabale-Mbarara-24hr'!L61)</f>
        <v>1</v>
      </c>
      <c r="M61" s="49">
        <f>AVERAGE('31.10 Kabale-Mbarara-24hr'!M61,'2.11 Kabale-Mbarara-24hr'!M61)</f>
        <v>8.5</v>
      </c>
      <c r="N61" s="49">
        <f>AVERAGE('31.10 Kabale-Mbarara-24hr'!N61,'2.11 Kabale-Mbarara-24hr'!N61)</f>
        <v>0</v>
      </c>
      <c r="O61" s="15">
        <f t="shared" si="0"/>
        <v>28.5</v>
      </c>
      <c r="P61" s="15">
        <f t="shared" si="1"/>
        <v>37</v>
      </c>
      <c r="R61" s="8"/>
      <c r="T61"/>
    </row>
    <row r="62" spans="2:20" ht="23.1" customHeight="1" x14ac:dyDescent="0.25">
      <c r="B62" s="23" t="s">
        <v>107</v>
      </c>
      <c r="C62" s="49">
        <f>AVERAGE('31.10 Kabale-Mbarara-24hr'!C62,'2.11 Kabale-Mbarara-24hr'!C62)</f>
        <v>4.5</v>
      </c>
      <c r="D62" s="49">
        <f>AVERAGE('31.10 Kabale-Mbarara-24hr'!D62,'2.11 Kabale-Mbarara-24hr'!D62)</f>
        <v>2.5</v>
      </c>
      <c r="E62" s="49">
        <f>AVERAGE('31.10 Kabale-Mbarara-24hr'!E62,'2.11 Kabale-Mbarara-24hr'!E62)</f>
        <v>1</v>
      </c>
      <c r="F62" s="49">
        <f>AVERAGE('31.10 Kabale-Mbarara-24hr'!F62,'2.11 Kabale-Mbarara-24hr'!F62)</f>
        <v>2</v>
      </c>
      <c r="G62" s="49">
        <f>AVERAGE('31.10 Kabale-Mbarara-24hr'!G62,'2.11 Kabale-Mbarara-24hr'!G62)</f>
        <v>0</v>
      </c>
      <c r="H62" s="49">
        <f>AVERAGE('31.10 Kabale-Mbarara-24hr'!H62,'2.11 Kabale-Mbarara-24hr'!H62)</f>
        <v>0</v>
      </c>
      <c r="I62" s="49">
        <f>AVERAGE('31.10 Kabale-Mbarara-24hr'!I62,'2.11 Kabale-Mbarara-24hr'!I62)</f>
        <v>1.5</v>
      </c>
      <c r="J62" s="49">
        <f>AVERAGE('31.10 Kabale-Mbarara-24hr'!J62,'2.11 Kabale-Mbarara-24hr'!J62)</f>
        <v>0</v>
      </c>
      <c r="K62" s="49">
        <f>AVERAGE('31.10 Kabale-Mbarara-24hr'!K62,'2.11 Kabale-Mbarara-24hr'!K62)</f>
        <v>1.5</v>
      </c>
      <c r="L62" s="49">
        <f>AVERAGE('31.10 Kabale-Mbarara-24hr'!L62,'2.11 Kabale-Mbarara-24hr'!L62)</f>
        <v>1.5</v>
      </c>
      <c r="M62" s="49">
        <f>AVERAGE('31.10 Kabale-Mbarara-24hr'!M62,'2.11 Kabale-Mbarara-24hr'!M62)</f>
        <v>8.5</v>
      </c>
      <c r="N62" s="49">
        <f>AVERAGE('31.10 Kabale-Mbarara-24hr'!N62,'2.11 Kabale-Mbarara-24hr'!N62)</f>
        <v>0</v>
      </c>
      <c r="O62" s="15">
        <f t="shared" si="0"/>
        <v>14.5</v>
      </c>
      <c r="P62" s="15">
        <f t="shared" si="1"/>
        <v>23</v>
      </c>
      <c r="R62" s="8"/>
      <c r="T62"/>
    </row>
    <row r="63" spans="2:20" ht="23.1" customHeight="1" x14ac:dyDescent="0.25">
      <c r="B63" s="23" t="s">
        <v>108</v>
      </c>
      <c r="C63" s="49">
        <f>AVERAGE('31.10 Kabale-Mbarara-24hr'!C63,'2.11 Kabale-Mbarara-24hr'!C63)</f>
        <v>7</v>
      </c>
      <c r="D63" s="49">
        <f>AVERAGE('31.10 Kabale-Mbarara-24hr'!D63,'2.11 Kabale-Mbarara-24hr'!D63)</f>
        <v>1.5</v>
      </c>
      <c r="E63" s="49">
        <f>AVERAGE('31.10 Kabale-Mbarara-24hr'!E63,'2.11 Kabale-Mbarara-24hr'!E63)</f>
        <v>1</v>
      </c>
      <c r="F63" s="49">
        <f>AVERAGE('31.10 Kabale-Mbarara-24hr'!F63,'2.11 Kabale-Mbarara-24hr'!F63)</f>
        <v>2</v>
      </c>
      <c r="G63" s="49">
        <f>AVERAGE('31.10 Kabale-Mbarara-24hr'!G63,'2.11 Kabale-Mbarara-24hr'!G63)</f>
        <v>0</v>
      </c>
      <c r="H63" s="49">
        <f>AVERAGE('31.10 Kabale-Mbarara-24hr'!H63,'2.11 Kabale-Mbarara-24hr'!H63)</f>
        <v>0</v>
      </c>
      <c r="I63" s="49">
        <f>AVERAGE('31.10 Kabale-Mbarara-24hr'!I63,'2.11 Kabale-Mbarara-24hr'!I63)</f>
        <v>2</v>
      </c>
      <c r="J63" s="49">
        <f>AVERAGE('31.10 Kabale-Mbarara-24hr'!J63,'2.11 Kabale-Mbarara-24hr'!J63)</f>
        <v>0</v>
      </c>
      <c r="K63" s="49">
        <f>AVERAGE('31.10 Kabale-Mbarara-24hr'!K63,'2.11 Kabale-Mbarara-24hr'!K63)</f>
        <v>1</v>
      </c>
      <c r="L63" s="49">
        <f>AVERAGE('31.10 Kabale-Mbarara-24hr'!L63,'2.11 Kabale-Mbarara-24hr'!L63)</f>
        <v>1.5</v>
      </c>
      <c r="M63" s="49">
        <f>AVERAGE('31.10 Kabale-Mbarara-24hr'!M63,'2.11 Kabale-Mbarara-24hr'!M63)</f>
        <v>12</v>
      </c>
      <c r="N63" s="49">
        <f>AVERAGE('31.10 Kabale-Mbarara-24hr'!N63,'2.11 Kabale-Mbarara-24hr'!N63)</f>
        <v>0</v>
      </c>
      <c r="O63" s="15">
        <f t="shared" si="0"/>
        <v>16</v>
      </c>
      <c r="P63" s="15">
        <f t="shared" si="1"/>
        <v>28</v>
      </c>
      <c r="R63" s="8"/>
      <c r="T63"/>
    </row>
    <row r="64" spans="2:20" ht="23.1" customHeight="1" x14ac:dyDescent="0.25">
      <c r="B64" s="23" t="s">
        <v>109</v>
      </c>
      <c r="C64" s="49">
        <f>AVERAGE('31.10 Kabale-Mbarara-24hr'!C64,'2.11 Kabale-Mbarara-24hr'!C64)</f>
        <v>5.5</v>
      </c>
      <c r="D64" s="49">
        <f>AVERAGE('31.10 Kabale-Mbarara-24hr'!D64,'2.11 Kabale-Mbarara-24hr'!D64)</f>
        <v>1</v>
      </c>
      <c r="E64" s="49">
        <f>AVERAGE('31.10 Kabale-Mbarara-24hr'!E64,'2.11 Kabale-Mbarara-24hr'!E64)</f>
        <v>3</v>
      </c>
      <c r="F64" s="49">
        <f>AVERAGE('31.10 Kabale-Mbarara-24hr'!F64,'2.11 Kabale-Mbarara-24hr'!F64)</f>
        <v>2</v>
      </c>
      <c r="G64" s="49">
        <f>AVERAGE('31.10 Kabale-Mbarara-24hr'!G64,'2.11 Kabale-Mbarara-24hr'!G64)</f>
        <v>0</v>
      </c>
      <c r="H64" s="49">
        <f>AVERAGE('31.10 Kabale-Mbarara-24hr'!H64,'2.11 Kabale-Mbarara-24hr'!H64)</f>
        <v>0</v>
      </c>
      <c r="I64" s="49">
        <f>AVERAGE('31.10 Kabale-Mbarara-24hr'!I64,'2.11 Kabale-Mbarara-24hr'!I64)</f>
        <v>0</v>
      </c>
      <c r="J64" s="49">
        <f>AVERAGE('31.10 Kabale-Mbarara-24hr'!J64,'2.11 Kabale-Mbarara-24hr'!J64)</f>
        <v>1</v>
      </c>
      <c r="K64" s="49">
        <f>AVERAGE('31.10 Kabale-Mbarara-24hr'!K64,'2.11 Kabale-Mbarara-24hr'!K64)</f>
        <v>0</v>
      </c>
      <c r="L64" s="49">
        <f>AVERAGE('31.10 Kabale-Mbarara-24hr'!L64,'2.11 Kabale-Mbarara-24hr'!L64)</f>
        <v>0</v>
      </c>
      <c r="M64" s="49">
        <f>AVERAGE('31.10 Kabale-Mbarara-24hr'!M64,'2.11 Kabale-Mbarara-24hr'!M64)</f>
        <v>5.5</v>
      </c>
      <c r="N64" s="49">
        <f>AVERAGE('31.10 Kabale-Mbarara-24hr'!N64,'2.11 Kabale-Mbarara-24hr'!N64)</f>
        <v>0</v>
      </c>
      <c r="O64" s="15">
        <f t="shared" si="0"/>
        <v>12.5</v>
      </c>
      <c r="P64" s="15">
        <f t="shared" si="1"/>
        <v>18</v>
      </c>
      <c r="R64" s="8"/>
      <c r="T64"/>
    </row>
    <row r="65" spans="2:20" ht="23.1" customHeight="1" x14ac:dyDescent="0.25">
      <c r="B65" s="23" t="s">
        <v>158</v>
      </c>
      <c r="C65" s="49">
        <f>AVERAGE('31.10 Kabale-Mbarara-24hr'!C65,'2.11 Kabale-Mbarara-24hr'!C65)</f>
        <v>6</v>
      </c>
      <c r="D65" s="49">
        <f>AVERAGE('31.10 Kabale-Mbarara-24hr'!D65,'2.11 Kabale-Mbarara-24hr'!D65)</f>
        <v>2</v>
      </c>
      <c r="E65" s="49">
        <f>AVERAGE('31.10 Kabale-Mbarara-24hr'!E65,'2.11 Kabale-Mbarara-24hr'!E65)</f>
        <v>0.5</v>
      </c>
      <c r="F65" s="49">
        <f>AVERAGE('31.10 Kabale-Mbarara-24hr'!F65,'2.11 Kabale-Mbarara-24hr'!F65)</f>
        <v>5</v>
      </c>
      <c r="G65" s="49">
        <f>AVERAGE('31.10 Kabale-Mbarara-24hr'!G65,'2.11 Kabale-Mbarara-24hr'!G65)</f>
        <v>0.5</v>
      </c>
      <c r="H65" s="49">
        <f>AVERAGE('31.10 Kabale-Mbarara-24hr'!H65,'2.11 Kabale-Mbarara-24hr'!H65)</f>
        <v>0</v>
      </c>
      <c r="I65" s="49">
        <f>AVERAGE('31.10 Kabale-Mbarara-24hr'!I65,'2.11 Kabale-Mbarara-24hr'!I65)</f>
        <v>2.5</v>
      </c>
      <c r="J65" s="49">
        <f>AVERAGE('31.10 Kabale-Mbarara-24hr'!J65,'2.11 Kabale-Mbarara-24hr'!J65)</f>
        <v>0.5</v>
      </c>
      <c r="K65" s="49">
        <f>AVERAGE('31.10 Kabale-Mbarara-24hr'!K65,'2.11 Kabale-Mbarara-24hr'!K65)</f>
        <v>0</v>
      </c>
      <c r="L65" s="49">
        <f>AVERAGE('31.10 Kabale-Mbarara-24hr'!L65,'2.11 Kabale-Mbarara-24hr'!L65)</f>
        <v>1.5</v>
      </c>
      <c r="M65" s="49">
        <f>AVERAGE('31.10 Kabale-Mbarara-24hr'!M65,'2.11 Kabale-Mbarara-24hr'!M65)</f>
        <v>8</v>
      </c>
      <c r="N65" s="49">
        <f>AVERAGE('31.10 Kabale-Mbarara-24hr'!N65,'2.11 Kabale-Mbarara-24hr'!N65)</f>
        <v>0</v>
      </c>
      <c r="O65" s="15">
        <f t="shared" si="0"/>
        <v>18.5</v>
      </c>
      <c r="P65" s="15">
        <f t="shared" si="1"/>
        <v>26.5</v>
      </c>
      <c r="R65" s="8"/>
      <c r="T65"/>
    </row>
    <row r="66" spans="2:20" ht="23.1" customHeight="1" x14ac:dyDescent="0.25">
      <c r="B66" s="23" t="s">
        <v>103</v>
      </c>
      <c r="C66" s="49">
        <f>AVERAGE('31.10 Kabale-Mbarara-24hr'!C66,'2.11 Kabale-Mbarara-24hr'!C66)</f>
        <v>3.5</v>
      </c>
      <c r="D66" s="49">
        <f>AVERAGE('31.10 Kabale-Mbarara-24hr'!D66,'2.11 Kabale-Mbarara-24hr'!D66)</f>
        <v>2</v>
      </c>
      <c r="E66" s="49">
        <f>AVERAGE('31.10 Kabale-Mbarara-24hr'!E66,'2.11 Kabale-Mbarara-24hr'!E66)</f>
        <v>0</v>
      </c>
      <c r="F66" s="49">
        <f>AVERAGE('31.10 Kabale-Mbarara-24hr'!F66,'2.11 Kabale-Mbarara-24hr'!F66)</f>
        <v>2</v>
      </c>
      <c r="G66" s="49">
        <f>AVERAGE('31.10 Kabale-Mbarara-24hr'!G66,'2.11 Kabale-Mbarara-24hr'!G66)</f>
        <v>0</v>
      </c>
      <c r="H66" s="49">
        <f>AVERAGE('31.10 Kabale-Mbarara-24hr'!H66,'2.11 Kabale-Mbarara-24hr'!H66)</f>
        <v>0</v>
      </c>
      <c r="I66" s="49">
        <f>AVERAGE('31.10 Kabale-Mbarara-24hr'!I66,'2.11 Kabale-Mbarara-24hr'!I66)</f>
        <v>3</v>
      </c>
      <c r="J66" s="49">
        <f>AVERAGE('31.10 Kabale-Mbarara-24hr'!J66,'2.11 Kabale-Mbarara-24hr'!J66)</f>
        <v>0.5</v>
      </c>
      <c r="K66" s="49">
        <f>AVERAGE('31.10 Kabale-Mbarara-24hr'!K66,'2.11 Kabale-Mbarara-24hr'!K66)</f>
        <v>1</v>
      </c>
      <c r="L66" s="49">
        <f>AVERAGE('31.10 Kabale-Mbarara-24hr'!L66,'2.11 Kabale-Mbarara-24hr'!L66)</f>
        <v>0</v>
      </c>
      <c r="M66" s="49">
        <f>AVERAGE('31.10 Kabale-Mbarara-24hr'!M66,'2.11 Kabale-Mbarara-24hr'!M66)</f>
        <v>5</v>
      </c>
      <c r="N66" s="49">
        <f>AVERAGE('31.10 Kabale-Mbarara-24hr'!N66,'2.11 Kabale-Mbarara-24hr'!N66)</f>
        <v>0</v>
      </c>
      <c r="O66" s="15">
        <f t="shared" si="0"/>
        <v>12</v>
      </c>
      <c r="P66" s="15">
        <f t="shared" si="1"/>
        <v>17</v>
      </c>
      <c r="R66" s="8"/>
      <c r="T66"/>
    </row>
    <row r="67" spans="2:20" ht="23.1" customHeight="1" x14ac:dyDescent="0.25">
      <c r="B67" s="23" t="s">
        <v>104</v>
      </c>
      <c r="C67" s="49">
        <f>AVERAGE('31.10 Kabale-Mbarara-24hr'!C67,'2.11 Kabale-Mbarara-24hr'!C67)</f>
        <v>2</v>
      </c>
      <c r="D67" s="49">
        <f>AVERAGE('31.10 Kabale-Mbarara-24hr'!D67,'2.11 Kabale-Mbarara-24hr'!D67)</f>
        <v>0</v>
      </c>
      <c r="E67" s="49">
        <f>AVERAGE('31.10 Kabale-Mbarara-24hr'!E67,'2.11 Kabale-Mbarara-24hr'!E67)</f>
        <v>1.5</v>
      </c>
      <c r="F67" s="49">
        <f>AVERAGE('31.10 Kabale-Mbarara-24hr'!F67,'2.11 Kabale-Mbarara-24hr'!F67)</f>
        <v>0.5</v>
      </c>
      <c r="G67" s="49">
        <f>AVERAGE('31.10 Kabale-Mbarara-24hr'!G67,'2.11 Kabale-Mbarara-24hr'!G67)</f>
        <v>0.5</v>
      </c>
      <c r="H67" s="49">
        <f>AVERAGE('31.10 Kabale-Mbarara-24hr'!H67,'2.11 Kabale-Mbarara-24hr'!H67)</f>
        <v>0.5</v>
      </c>
      <c r="I67" s="49">
        <f>AVERAGE('31.10 Kabale-Mbarara-24hr'!I67,'2.11 Kabale-Mbarara-24hr'!I67)</f>
        <v>0.5</v>
      </c>
      <c r="J67" s="49">
        <f>AVERAGE('31.10 Kabale-Mbarara-24hr'!J67,'2.11 Kabale-Mbarara-24hr'!J67)</f>
        <v>0</v>
      </c>
      <c r="K67" s="49">
        <f>AVERAGE('31.10 Kabale-Mbarara-24hr'!K67,'2.11 Kabale-Mbarara-24hr'!K67)</f>
        <v>1</v>
      </c>
      <c r="L67" s="49">
        <f>AVERAGE('31.10 Kabale-Mbarara-24hr'!L67,'2.11 Kabale-Mbarara-24hr'!L67)</f>
        <v>1</v>
      </c>
      <c r="M67" s="49">
        <f>AVERAGE('31.10 Kabale-Mbarara-24hr'!M67,'2.11 Kabale-Mbarara-24hr'!M67)</f>
        <v>6.5</v>
      </c>
      <c r="N67" s="49">
        <f>AVERAGE('31.10 Kabale-Mbarara-24hr'!N67,'2.11 Kabale-Mbarara-24hr'!N67)</f>
        <v>0</v>
      </c>
      <c r="O67" s="15">
        <f t="shared" si="0"/>
        <v>7.5</v>
      </c>
      <c r="P67" s="15">
        <f t="shared" si="1"/>
        <v>14</v>
      </c>
      <c r="R67" s="8"/>
      <c r="T67"/>
    </row>
    <row r="68" spans="2:20" ht="23.1" customHeight="1" x14ac:dyDescent="0.25">
      <c r="B68" s="23" t="s">
        <v>105</v>
      </c>
      <c r="C68" s="49">
        <f>AVERAGE('31.10 Kabale-Mbarara-24hr'!C68,'2.11 Kabale-Mbarara-24hr'!C68)</f>
        <v>3.5</v>
      </c>
      <c r="D68" s="49">
        <f>AVERAGE('31.10 Kabale-Mbarara-24hr'!D68,'2.11 Kabale-Mbarara-24hr'!D68)</f>
        <v>2</v>
      </c>
      <c r="E68" s="49">
        <f>AVERAGE('31.10 Kabale-Mbarara-24hr'!E68,'2.11 Kabale-Mbarara-24hr'!E68)</f>
        <v>0</v>
      </c>
      <c r="F68" s="49">
        <f>AVERAGE('31.10 Kabale-Mbarara-24hr'!F68,'2.11 Kabale-Mbarara-24hr'!F68)</f>
        <v>2</v>
      </c>
      <c r="G68" s="49">
        <f>AVERAGE('31.10 Kabale-Mbarara-24hr'!G68,'2.11 Kabale-Mbarara-24hr'!G68)</f>
        <v>0</v>
      </c>
      <c r="H68" s="49">
        <f>AVERAGE('31.10 Kabale-Mbarara-24hr'!H68,'2.11 Kabale-Mbarara-24hr'!H68)</f>
        <v>0.5</v>
      </c>
      <c r="I68" s="49">
        <f>AVERAGE('31.10 Kabale-Mbarara-24hr'!I68,'2.11 Kabale-Mbarara-24hr'!I68)</f>
        <v>1</v>
      </c>
      <c r="J68" s="49">
        <f>AVERAGE('31.10 Kabale-Mbarara-24hr'!J68,'2.11 Kabale-Mbarara-24hr'!J68)</f>
        <v>0</v>
      </c>
      <c r="K68" s="49">
        <f>AVERAGE('31.10 Kabale-Mbarara-24hr'!K68,'2.11 Kabale-Mbarara-24hr'!K68)</f>
        <v>1</v>
      </c>
      <c r="L68" s="49">
        <f>AVERAGE('31.10 Kabale-Mbarara-24hr'!L68,'2.11 Kabale-Mbarara-24hr'!L68)</f>
        <v>0</v>
      </c>
      <c r="M68" s="49">
        <f>AVERAGE('31.10 Kabale-Mbarara-24hr'!M68,'2.11 Kabale-Mbarara-24hr'!M68)</f>
        <v>7</v>
      </c>
      <c r="N68" s="49">
        <f>AVERAGE('31.10 Kabale-Mbarara-24hr'!N68,'2.11 Kabale-Mbarara-24hr'!N68)</f>
        <v>0</v>
      </c>
      <c r="O68" s="15">
        <f t="shared" si="0"/>
        <v>10</v>
      </c>
      <c r="P68" s="15">
        <f t="shared" si="1"/>
        <v>17</v>
      </c>
      <c r="R68" s="8"/>
      <c r="T68"/>
    </row>
    <row r="69" spans="2:20" ht="23.1" customHeight="1" x14ac:dyDescent="0.25">
      <c r="B69" s="23" t="s">
        <v>106</v>
      </c>
      <c r="C69" s="49">
        <f>AVERAGE('31.10 Kabale-Mbarara-24hr'!C69,'2.11 Kabale-Mbarara-24hr'!C69)</f>
        <v>3.5</v>
      </c>
      <c r="D69" s="49">
        <f>AVERAGE('31.10 Kabale-Mbarara-24hr'!D69,'2.11 Kabale-Mbarara-24hr'!D69)</f>
        <v>0.5</v>
      </c>
      <c r="E69" s="49">
        <f>AVERAGE('31.10 Kabale-Mbarara-24hr'!E69,'2.11 Kabale-Mbarara-24hr'!E69)</f>
        <v>1</v>
      </c>
      <c r="F69" s="49">
        <f>AVERAGE('31.10 Kabale-Mbarara-24hr'!F69,'2.11 Kabale-Mbarara-24hr'!F69)</f>
        <v>0.5</v>
      </c>
      <c r="G69" s="49">
        <f>AVERAGE('31.10 Kabale-Mbarara-24hr'!G69,'2.11 Kabale-Mbarara-24hr'!G69)</f>
        <v>0</v>
      </c>
      <c r="H69" s="49">
        <f>AVERAGE('31.10 Kabale-Mbarara-24hr'!H69,'2.11 Kabale-Mbarara-24hr'!H69)</f>
        <v>0.5</v>
      </c>
      <c r="I69" s="49">
        <f>AVERAGE('31.10 Kabale-Mbarara-24hr'!I69,'2.11 Kabale-Mbarara-24hr'!I69)</f>
        <v>0.5</v>
      </c>
      <c r="J69" s="49">
        <f>AVERAGE('31.10 Kabale-Mbarara-24hr'!J69,'2.11 Kabale-Mbarara-24hr'!J69)</f>
        <v>0</v>
      </c>
      <c r="K69" s="49">
        <f>AVERAGE('31.10 Kabale-Mbarara-24hr'!K69,'2.11 Kabale-Mbarara-24hr'!K69)</f>
        <v>1</v>
      </c>
      <c r="L69" s="49">
        <f>AVERAGE('31.10 Kabale-Mbarara-24hr'!L69,'2.11 Kabale-Mbarara-24hr'!L69)</f>
        <v>2.5</v>
      </c>
      <c r="M69" s="49">
        <f>AVERAGE('31.10 Kabale-Mbarara-24hr'!M69,'2.11 Kabale-Mbarara-24hr'!M69)</f>
        <v>4.5</v>
      </c>
      <c r="N69" s="49">
        <f>AVERAGE('31.10 Kabale-Mbarara-24hr'!N69,'2.11 Kabale-Mbarara-24hr'!N69)</f>
        <v>0</v>
      </c>
      <c r="O69" s="15">
        <f t="shared" si="0"/>
        <v>10</v>
      </c>
      <c r="P69" s="15">
        <f t="shared" si="1"/>
        <v>14.5</v>
      </c>
      <c r="R69" s="8"/>
      <c r="T69"/>
    </row>
    <row r="70" spans="2:20" ht="23.1" customHeight="1" x14ac:dyDescent="0.25">
      <c r="B70" s="23" t="s">
        <v>110</v>
      </c>
      <c r="C70" s="49">
        <f>AVERAGE('31.10 Kabale-Mbarara-24hr'!C70,'2.11 Kabale-Mbarara-24hr'!C70)</f>
        <v>3.5</v>
      </c>
      <c r="D70" s="49">
        <f>AVERAGE('31.10 Kabale-Mbarara-24hr'!D70,'2.11 Kabale-Mbarara-24hr'!D70)</f>
        <v>0.5</v>
      </c>
      <c r="E70" s="49">
        <f>AVERAGE('31.10 Kabale-Mbarara-24hr'!E70,'2.11 Kabale-Mbarara-24hr'!E70)</f>
        <v>0</v>
      </c>
      <c r="F70" s="49">
        <f>AVERAGE('31.10 Kabale-Mbarara-24hr'!F70,'2.11 Kabale-Mbarara-24hr'!F70)</f>
        <v>2</v>
      </c>
      <c r="G70" s="49">
        <f>AVERAGE('31.10 Kabale-Mbarara-24hr'!G70,'2.11 Kabale-Mbarara-24hr'!G70)</f>
        <v>0</v>
      </c>
      <c r="H70" s="49">
        <f>AVERAGE('31.10 Kabale-Mbarara-24hr'!H70,'2.11 Kabale-Mbarara-24hr'!H70)</f>
        <v>0.5</v>
      </c>
      <c r="I70" s="49">
        <f>AVERAGE('31.10 Kabale-Mbarara-24hr'!I70,'2.11 Kabale-Mbarara-24hr'!I70)</f>
        <v>0</v>
      </c>
      <c r="J70" s="49">
        <f>AVERAGE('31.10 Kabale-Mbarara-24hr'!J70,'2.11 Kabale-Mbarara-24hr'!J70)</f>
        <v>1.5</v>
      </c>
      <c r="K70" s="49">
        <f>AVERAGE('31.10 Kabale-Mbarara-24hr'!K70,'2.11 Kabale-Mbarara-24hr'!K70)</f>
        <v>0.5</v>
      </c>
      <c r="L70" s="49">
        <f>AVERAGE('31.10 Kabale-Mbarara-24hr'!L70,'2.11 Kabale-Mbarara-24hr'!L70)</f>
        <v>0</v>
      </c>
      <c r="M70" s="49">
        <f>AVERAGE('31.10 Kabale-Mbarara-24hr'!M70,'2.11 Kabale-Mbarara-24hr'!M70)</f>
        <v>3</v>
      </c>
      <c r="N70" s="49">
        <f>AVERAGE('31.10 Kabale-Mbarara-24hr'!N70,'2.11 Kabale-Mbarara-24hr'!N70)</f>
        <v>0</v>
      </c>
      <c r="O70" s="15">
        <f t="shared" si="0"/>
        <v>8.5</v>
      </c>
      <c r="P70" s="15">
        <f t="shared" si="1"/>
        <v>11.5</v>
      </c>
      <c r="R70" s="8"/>
      <c r="T70"/>
    </row>
    <row r="71" spans="2:20" ht="23.1" customHeight="1" x14ac:dyDescent="0.25">
      <c r="B71" s="23" t="s">
        <v>111</v>
      </c>
      <c r="C71" s="49">
        <f>AVERAGE('31.10 Kabale-Mbarara-24hr'!C71,'2.11 Kabale-Mbarara-24hr'!C71)</f>
        <v>2</v>
      </c>
      <c r="D71" s="49">
        <f>AVERAGE('31.10 Kabale-Mbarara-24hr'!D71,'2.11 Kabale-Mbarara-24hr'!D71)</f>
        <v>2.5</v>
      </c>
      <c r="E71" s="49">
        <f>AVERAGE('31.10 Kabale-Mbarara-24hr'!E71,'2.11 Kabale-Mbarara-24hr'!E71)</f>
        <v>1.5</v>
      </c>
      <c r="F71" s="49">
        <f>AVERAGE('31.10 Kabale-Mbarara-24hr'!F71,'2.11 Kabale-Mbarara-24hr'!F71)</f>
        <v>2.5</v>
      </c>
      <c r="G71" s="49">
        <f>AVERAGE('31.10 Kabale-Mbarara-24hr'!G71,'2.11 Kabale-Mbarara-24hr'!G71)</f>
        <v>0</v>
      </c>
      <c r="H71" s="49">
        <f>AVERAGE('31.10 Kabale-Mbarara-24hr'!H71,'2.11 Kabale-Mbarara-24hr'!H71)</f>
        <v>2</v>
      </c>
      <c r="I71" s="49">
        <f>AVERAGE('31.10 Kabale-Mbarara-24hr'!I71,'2.11 Kabale-Mbarara-24hr'!I71)</f>
        <v>0.5</v>
      </c>
      <c r="J71" s="49">
        <f>AVERAGE('31.10 Kabale-Mbarara-24hr'!J71,'2.11 Kabale-Mbarara-24hr'!J71)</f>
        <v>0</v>
      </c>
      <c r="K71" s="49">
        <f>AVERAGE('31.10 Kabale-Mbarara-24hr'!K71,'2.11 Kabale-Mbarara-24hr'!K71)</f>
        <v>0.5</v>
      </c>
      <c r="L71" s="49">
        <f>AVERAGE('31.10 Kabale-Mbarara-24hr'!L71,'2.11 Kabale-Mbarara-24hr'!L71)</f>
        <v>2.5</v>
      </c>
      <c r="M71" s="49">
        <f>AVERAGE('31.10 Kabale-Mbarara-24hr'!M71,'2.11 Kabale-Mbarara-24hr'!M71)</f>
        <v>3.5</v>
      </c>
      <c r="N71" s="49">
        <f>AVERAGE('31.10 Kabale-Mbarara-24hr'!N71,'2.11 Kabale-Mbarara-24hr'!N71)</f>
        <v>0</v>
      </c>
      <c r="O71" s="15">
        <f t="shared" si="0"/>
        <v>14</v>
      </c>
      <c r="P71" s="15">
        <f t="shared" si="1"/>
        <v>17.5</v>
      </c>
      <c r="R71" s="8"/>
      <c r="T71"/>
    </row>
    <row r="72" spans="2:20" ht="23.1" customHeight="1" x14ac:dyDescent="0.25">
      <c r="B72" s="23" t="s">
        <v>112</v>
      </c>
      <c r="C72" s="49">
        <f>AVERAGE('31.10 Kabale-Mbarara-24hr'!C72,'2.11 Kabale-Mbarara-24hr'!C72)</f>
        <v>6</v>
      </c>
      <c r="D72" s="49">
        <f>AVERAGE('31.10 Kabale-Mbarara-24hr'!D72,'2.11 Kabale-Mbarara-24hr'!D72)</f>
        <v>0.5</v>
      </c>
      <c r="E72" s="49">
        <f>AVERAGE('31.10 Kabale-Mbarara-24hr'!E72,'2.11 Kabale-Mbarara-24hr'!E72)</f>
        <v>0</v>
      </c>
      <c r="F72" s="49">
        <f>AVERAGE('31.10 Kabale-Mbarara-24hr'!F72,'2.11 Kabale-Mbarara-24hr'!F72)</f>
        <v>0</v>
      </c>
      <c r="G72" s="49">
        <f>AVERAGE('31.10 Kabale-Mbarara-24hr'!G72,'2.11 Kabale-Mbarara-24hr'!G72)</f>
        <v>0</v>
      </c>
      <c r="H72" s="49">
        <f>AVERAGE('31.10 Kabale-Mbarara-24hr'!H72,'2.11 Kabale-Mbarara-24hr'!H72)</f>
        <v>0</v>
      </c>
      <c r="I72" s="49">
        <f>AVERAGE('31.10 Kabale-Mbarara-24hr'!I72,'2.11 Kabale-Mbarara-24hr'!I72)</f>
        <v>0.5</v>
      </c>
      <c r="J72" s="49">
        <f>AVERAGE('31.10 Kabale-Mbarara-24hr'!J72,'2.11 Kabale-Mbarara-24hr'!J72)</f>
        <v>0</v>
      </c>
      <c r="K72" s="49">
        <f>AVERAGE('31.10 Kabale-Mbarara-24hr'!K72,'2.11 Kabale-Mbarara-24hr'!K72)</f>
        <v>0.5</v>
      </c>
      <c r="L72" s="49">
        <f>AVERAGE('31.10 Kabale-Mbarara-24hr'!L72,'2.11 Kabale-Mbarara-24hr'!L72)</f>
        <v>0</v>
      </c>
      <c r="M72" s="49">
        <f>AVERAGE('31.10 Kabale-Mbarara-24hr'!M72,'2.11 Kabale-Mbarara-24hr'!M72)</f>
        <v>7</v>
      </c>
      <c r="N72" s="49">
        <f>AVERAGE('31.10 Kabale-Mbarara-24hr'!N72,'2.11 Kabale-Mbarara-24hr'!N72)</f>
        <v>0</v>
      </c>
      <c r="O72" s="15">
        <f t="shared" si="0"/>
        <v>7.5</v>
      </c>
      <c r="P72" s="15">
        <f t="shared" si="1"/>
        <v>14.5</v>
      </c>
      <c r="R72" s="8"/>
      <c r="T72"/>
    </row>
    <row r="73" spans="2:20" ht="23.1" customHeight="1" x14ac:dyDescent="0.25">
      <c r="B73" s="23" t="s">
        <v>113</v>
      </c>
      <c r="C73" s="49">
        <f>AVERAGE('31.10 Kabale-Mbarara-24hr'!C73,'2.11 Kabale-Mbarara-24hr'!C73)</f>
        <v>7</v>
      </c>
      <c r="D73" s="49">
        <f>AVERAGE('31.10 Kabale-Mbarara-24hr'!D73,'2.11 Kabale-Mbarara-24hr'!D73)</f>
        <v>1</v>
      </c>
      <c r="E73" s="49">
        <f>AVERAGE('31.10 Kabale-Mbarara-24hr'!E73,'2.11 Kabale-Mbarara-24hr'!E73)</f>
        <v>1</v>
      </c>
      <c r="F73" s="49">
        <f>AVERAGE('31.10 Kabale-Mbarara-24hr'!F73,'2.11 Kabale-Mbarara-24hr'!F73)</f>
        <v>2</v>
      </c>
      <c r="G73" s="49">
        <f>AVERAGE('31.10 Kabale-Mbarara-24hr'!G73,'2.11 Kabale-Mbarara-24hr'!G73)</f>
        <v>0</v>
      </c>
      <c r="H73" s="49">
        <f>AVERAGE('31.10 Kabale-Mbarara-24hr'!H73,'2.11 Kabale-Mbarara-24hr'!H73)</f>
        <v>3</v>
      </c>
      <c r="I73" s="49">
        <f>AVERAGE('31.10 Kabale-Mbarara-24hr'!I73,'2.11 Kabale-Mbarara-24hr'!I73)</f>
        <v>0</v>
      </c>
      <c r="J73" s="49">
        <f>AVERAGE('31.10 Kabale-Mbarara-24hr'!J73,'2.11 Kabale-Mbarara-24hr'!J73)</f>
        <v>1.5</v>
      </c>
      <c r="K73" s="49">
        <f>AVERAGE('31.10 Kabale-Mbarara-24hr'!K73,'2.11 Kabale-Mbarara-24hr'!K73)</f>
        <v>1</v>
      </c>
      <c r="L73" s="49">
        <f>AVERAGE('31.10 Kabale-Mbarara-24hr'!L73,'2.11 Kabale-Mbarara-24hr'!L73)</f>
        <v>1</v>
      </c>
      <c r="M73" s="49">
        <f>AVERAGE('31.10 Kabale-Mbarara-24hr'!M73,'2.11 Kabale-Mbarara-24hr'!M73)</f>
        <v>4</v>
      </c>
      <c r="N73" s="49">
        <f>AVERAGE('31.10 Kabale-Mbarara-24hr'!N73,'2.11 Kabale-Mbarara-24hr'!N73)</f>
        <v>0</v>
      </c>
      <c r="O73" s="15">
        <f t="shared" si="0"/>
        <v>17.5</v>
      </c>
      <c r="P73" s="15">
        <f t="shared" si="1"/>
        <v>21.5</v>
      </c>
      <c r="R73" s="8"/>
      <c r="T73"/>
    </row>
    <row r="74" spans="2:20" ht="23.1" customHeight="1" x14ac:dyDescent="0.25">
      <c r="B74" s="23" t="s">
        <v>114</v>
      </c>
      <c r="C74" s="49">
        <f>AVERAGE('31.10 Kabale-Mbarara-24hr'!C74,'2.11 Kabale-Mbarara-24hr'!C74)</f>
        <v>3.5</v>
      </c>
      <c r="D74" s="49">
        <f>AVERAGE('31.10 Kabale-Mbarara-24hr'!D74,'2.11 Kabale-Mbarara-24hr'!D74)</f>
        <v>0.5</v>
      </c>
      <c r="E74" s="49">
        <f>AVERAGE('31.10 Kabale-Mbarara-24hr'!E74,'2.11 Kabale-Mbarara-24hr'!E74)</f>
        <v>1</v>
      </c>
      <c r="F74" s="49">
        <f>AVERAGE('31.10 Kabale-Mbarara-24hr'!F74,'2.11 Kabale-Mbarara-24hr'!F74)</f>
        <v>2.5</v>
      </c>
      <c r="G74" s="49">
        <f>AVERAGE('31.10 Kabale-Mbarara-24hr'!G74,'2.11 Kabale-Mbarara-24hr'!G74)</f>
        <v>0</v>
      </c>
      <c r="H74" s="49">
        <f>AVERAGE('31.10 Kabale-Mbarara-24hr'!H74,'2.11 Kabale-Mbarara-24hr'!H74)</f>
        <v>0.5</v>
      </c>
      <c r="I74" s="49">
        <f>AVERAGE('31.10 Kabale-Mbarara-24hr'!I74,'2.11 Kabale-Mbarara-24hr'!I74)</f>
        <v>0</v>
      </c>
      <c r="J74" s="49">
        <f>AVERAGE('31.10 Kabale-Mbarara-24hr'!J74,'2.11 Kabale-Mbarara-24hr'!J74)</f>
        <v>0</v>
      </c>
      <c r="K74" s="49">
        <f>AVERAGE('31.10 Kabale-Mbarara-24hr'!K74,'2.11 Kabale-Mbarara-24hr'!K74)</f>
        <v>1</v>
      </c>
      <c r="L74" s="49">
        <f>AVERAGE('31.10 Kabale-Mbarara-24hr'!L74,'2.11 Kabale-Mbarara-24hr'!L74)</f>
        <v>1.5</v>
      </c>
      <c r="M74" s="49">
        <f>AVERAGE('31.10 Kabale-Mbarara-24hr'!M74,'2.11 Kabale-Mbarara-24hr'!M74)</f>
        <v>2.5</v>
      </c>
      <c r="N74" s="49">
        <f>AVERAGE('31.10 Kabale-Mbarara-24hr'!N74,'2.11 Kabale-Mbarara-24hr'!N74)</f>
        <v>0</v>
      </c>
      <c r="O74" s="15">
        <f t="shared" ref="O74:O105" si="35">SUM(C74:L74,N74)</f>
        <v>10.5</v>
      </c>
      <c r="P74" s="15">
        <f t="shared" ref="P74:P105" si="36">SUM(C74:N74)</f>
        <v>13</v>
      </c>
      <c r="R74" s="8"/>
      <c r="T74"/>
    </row>
    <row r="75" spans="2:20" ht="23.1" customHeight="1" x14ac:dyDescent="0.25">
      <c r="B75" s="23" t="s">
        <v>115</v>
      </c>
      <c r="C75" s="49">
        <f>AVERAGE('31.10 Kabale-Mbarara-24hr'!C75,'2.11 Kabale-Mbarara-24hr'!C75)</f>
        <v>1</v>
      </c>
      <c r="D75" s="49">
        <f>AVERAGE('31.10 Kabale-Mbarara-24hr'!D75,'2.11 Kabale-Mbarara-24hr'!D75)</f>
        <v>1</v>
      </c>
      <c r="E75" s="49">
        <f>AVERAGE('31.10 Kabale-Mbarara-24hr'!E75,'2.11 Kabale-Mbarara-24hr'!E75)</f>
        <v>0</v>
      </c>
      <c r="F75" s="49">
        <f>AVERAGE('31.10 Kabale-Mbarara-24hr'!F75,'2.11 Kabale-Mbarara-24hr'!F75)</f>
        <v>0</v>
      </c>
      <c r="G75" s="49">
        <f>AVERAGE('31.10 Kabale-Mbarara-24hr'!G75,'2.11 Kabale-Mbarara-24hr'!G75)</f>
        <v>0</v>
      </c>
      <c r="H75" s="49">
        <f>AVERAGE('31.10 Kabale-Mbarara-24hr'!H75,'2.11 Kabale-Mbarara-24hr'!H75)</f>
        <v>0</v>
      </c>
      <c r="I75" s="49">
        <f>AVERAGE('31.10 Kabale-Mbarara-24hr'!I75,'2.11 Kabale-Mbarara-24hr'!I75)</f>
        <v>0.5</v>
      </c>
      <c r="J75" s="49">
        <f>AVERAGE('31.10 Kabale-Mbarara-24hr'!J75,'2.11 Kabale-Mbarara-24hr'!J75)</f>
        <v>2</v>
      </c>
      <c r="K75" s="49">
        <f>AVERAGE('31.10 Kabale-Mbarara-24hr'!K75,'2.11 Kabale-Mbarara-24hr'!K75)</f>
        <v>0.5</v>
      </c>
      <c r="L75" s="49">
        <f>AVERAGE('31.10 Kabale-Mbarara-24hr'!L75,'2.11 Kabale-Mbarara-24hr'!L75)</f>
        <v>0</v>
      </c>
      <c r="M75" s="49">
        <f>AVERAGE('31.10 Kabale-Mbarara-24hr'!M75,'2.11 Kabale-Mbarara-24hr'!M75)</f>
        <v>4.5</v>
      </c>
      <c r="N75" s="49">
        <f>AVERAGE('31.10 Kabale-Mbarara-24hr'!N75,'2.11 Kabale-Mbarara-24hr'!N75)</f>
        <v>0</v>
      </c>
      <c r="O75" s="15">
        <f t="shared" si="35"/>
        <v>5</v>
      </c>
      <c r="P75" s="15">
        <f t="shared" si="36"/>
        <v>9.5</v>
      </c>
      <c r="R75" s="8"/>
      <c r="T75"/>
    </row>
    <row r="76" spans="2:20" ht="23.1" customHeight="1" x14ac:dyDescent="0.25">
      <c r="B76" s="23" t="s">
        <v>116</v>
      </c>
      <c r="C76" s="49">
        <f>AVERAGE('31.10 Kabale-Mbarara-24hr'!C76,'2.11 Kabale-Mbarara-24hr'!C76)</f>
        <v>1.5</v>
      </c>
      <c r="D76" s="49">
        <f>AVERAGE('31.10 Kabale-Mbarara-24hr'!D76,'2.11 Kabale-Mbarara-24hr'!D76)</f>
        <v>1</v>
      </c>
      <c r="E76" s="49">
        <f>AVERAGE('31.10 Kabale-Mbarara-24hr'!E76,'2.11 Kabale-Mbarara-24hr'!E76)</f>
        <v>0.5</v>
      </c>
      <c r="F76" s="49">
        <f>AVERAGE('31.10 Kabale-Mbarara-24hr'!F76,'2.11 Kabale-Mbarara-24hr'!F76)</f>
        <v>0</v>
      </c>
      <c r="G76" s="49">
        <f>AVERAGE('31.10 Kabale-Mbarara-24hr'!G76,'2.11 Kabale-Mbarara-24hr'!G76)</f>
        <v>0</v>
      </c>
      <c r="H76" s="49">
        <f>AVERAGE('31.10 Kabale-Mbarara-24hr'!H76,'2.11 Kabale-Mbarara-24hr'!H76)</f>
        <v>0</v>
      </c>
      <c r="I76" s="49">
        <f>AVERAGE('31.10 Kabale-Mbarara-24hr'!I76,'2.11 Kabale-Mbarara-24hr'!I76)</f>
        <v>1</v>
      </c>
      <c r="J76" s="49">
        <f>AVERAGE('31.10 Kabale-Mbarara-24hr'!J76,'2.11 Kabale-Mbarara-24hr'!J76)</f>
        <v>0.5</v>
      </c>
      <c r="K76" s="49">
        <f>AVERAGE('31.10 Kabale-Mbarara-24hr'!K76,'2.11 Kabale-Mbarara-24hr'!K76)</f>
        <v>2</v>
      </c>
      <c r="L76" s="49">
        <f>AVERAGE('31.10 Kabale-Mbarara-24hr'!L76,'2.11 Kabale-Mbarara-24hr'!L76)</f>
        <v>1</v>
      </c>
      <c r="M76" s="49">
        <f>AVERAGE('31.10 Kabale-Mbarara-24hr'!M76,'2.11 Kabale-Mbarara-24hr'!M76)</f>
        <v>1</v>
      </c>
      <c r="N76" s="49">
        <f>AVERAGE('31.10 Kabale-Mbarara-24hr'!N76,'2.11 Kabale-Mbarara-24hr'!N76)</f>
        <v>0</v>
      </c>
      <c r="O76" s="15">
        <f t="shared" si="35"/>
        <v>7.5</v>
      </c>
      <c r="P76" s="15">
        <f t="shared" si="36"/>
        <v>8.5</v>
      </c>
      <c r="R76" s="8"/>
      <c r="T76"/>
    </row>
    <row r="77" spans="2:20" ht="23.1" customHeight="1" x14ac:dyDescent="0.25">
      <c r="B77" s="23" t="s">
        <v>117</v>
      </c>
      <c r="C77" s="49">
        <f>AVERAGE('31.10 Kabale-Mbarara-24hr'!C77,'2.11 Kabale-Mbarara-24hr'!C77)</f>
        <v>3</v>
      </c>
      <c r="D77" s="49">
        <f>AVERAGE('31.10 Kabale-Mbarara-24hr'!D77,'2.11 Kabale-Mbarara-24hr'!D77)</f>
        <v>0</v>
      </c>
      <c r="E77" s="49">
        <f>AVERAGE('31.10 Kabale-Mbarara-24hr'!E77,'2.11 Kabale-Mbarara-24hr'!E77)</f>
        <v>0.5</v>
      </c>
      <c r="F77" s="49">
        <f>AVERAGE('31.10 Kabale-Mbarara-24hr'!F77,'2.11 Kabale-Mbarara-24hr'!F77)</f>
        <v>1</v>
      </c>
      <c r="G77" s="49">
        <f>AVERAGE('31.10 Kabale-Mbarara-24hr'!G77,'2.11 Kabale-Mbarara-24hr'!G77)</f>
        <v>0</v>
      </c>
      <c r="H77" s="49">
        <f>AVERAGE('31.10 Kabale-Mbarara-24hr'!H77,'2.11 Kabale-Mbarara-24hr'!H77)</f>
        <v>1</v>
      </c>
      <c r="I77" s="49">
        <f>AVERAGE('31.10 Kabale-Mbarara-24hr'!I77,'2.11 Kabale-Mbarara-24hr'!I77)</f>
        <v>0</v>
      </c>
      <c r="J77" s="49">
        <f>AVERAGE('31.10 Kabale-Mbarara-24hr'!J77,'2.11 Kabale-Mbarara-24hr'!J77)</f>
        <v>0.5</v>
      </c>
      <c r="K77" s="49">
        <f>AVERAGE('31.10 Kabale-Mbarara-24hr'!K77,'2.11 Kabale-Mbarara-24hr'!K77)</f>
        <v>0</v>
      </c>
      <c r="L77" s="49">
        <f>AVERAGE('31.10 Kabale-Mbarara-24hr'!L77,'2.11 Kabale-Mbarara-24hr'!L77)</f>
        <v>1</v>
      </c>
      <c r="M77" s="49">
        <f>AVERAGE('31.10 Kabale-Mbarara-24hr'!M77,'2.11 Kabale-Mbarara-24hr'!M77)</f>
        <v>2.5</v>
      </c>
      <c r="N77" s="49">
        <f>AVERAGE('31.10 Kabale-Mbarara-24hr'!N77,'2.11 Kabale-Mbarara-24hr'!N77)</f>
        <v>0</v>
      </c>
      <c r="O77" s="15">
        <f t="shared" si="35"/>
        <v>7</v>
      </c>
      <c r="P77" s="15">
        <f t="shared" si="36"/>
        <v>9.5</v>
      </c>
      <c r="R77" s="8"/>
      <c r="T77"/>
    </row>
    <row r="78" spans="2:20" ht="23.1" customHeight="1" x14ac:dyDescent="0.25">
      <c r="B78" s="24" t="s">
        <v>118</v>
      </c>
      <c r="C78" s="49">
        <f>AVERAGE('31.10 Kabale-Mbarara-24hr'!C78,'2.11 Kabale-Mbarara-24hr'!C78)</f>
        <v>1</v>
      </c>
      <c r="D78" s="49">
        <f>AVERAGE('31.10 Kabale-Mbarara-24hr'!D78,'2.11 Kabale-Mbarara-24hr'!D78)</f>
        <v>0.5</v>
      </c>
      <c r="E78" s="49">
        <f>AVERAGE('31.10 Kabale-Mbarara-24hr'!E78,'2.11 Kabale-Mbarara-24hr'!E78)</f>
        <v>0</v>
      </c>
      <c r="F78" s="49">
        <f>AVERAGE('31.10 Kabale-Mbarara-24hr'!F78,'2.11 Kabale-Mbarara-24hr'!F78)</f>
        <v>2</v>
      </c>
      <c r="G78" s="49">
        <f>AVERAGE('31.10 Kabale-Mbarara-24hr'!G78,'2.11 Kabale-Mbarara-24hr'!G78)</f>
        <v>0</v>
      </c>
      <c r="H78" s="49">
        <f>AVERAGE('31.10 Kabale-Mbarara-24hr'!H78,'2.11 Kabale-Mbarara-24hr'!H78)</f>
        <v>1.5</v>
      </c>
      <c r="I78" s="49">
        <f>AVERAGE('31.10 Kabale-Mbarara-24hr'!I78,'2.11 Kabale-Mbarara-24hr'!I78)</f>
        <v>0</v>
      </c>
      <c r="J78" s="49">
        <f>AVERAGE('31.10 Kabale-Mbarara-24hr'!J78,'2.11 Kabale-Mbarara-24hr'!J78)</f>
        <v>1</v>
      </c>
      <c r="K78" s="49">
        <f>AVERAGE('31.10 Kabale-Mbarara-24hr'!K78,'2.11 Kabale-Mbarara-24hr'!K78)</f>
        <v>0</v>
      </c>
      <c r="L78" s="49">
        <f>AVERAGE('31.10 Kabale-Mbarara-24hr'!L78,'2.11 Kabale-Mbarara-24hr'!L78)</f>
        <v>3.5</v>
      </c>
      <c r="M78" s="49">
        <f>AVERAGE('31.10 Kabale-Mbarara-24hr'!M78,'2.11 Kabale-Mbarara-24hr'!M78)</f>
        <v>0</v>
      </c>
      <c r="N78" s="49">
        <f>AVERAGE('31.10 Kabale-Mbarara-24hr'!N78,'2.11 Kabale-Mbarara-24hr'!N78)</f>
        <v>0</v>
      </c>
      <c r="O78" s="15">
        <f t="shared" si="35"/>
        <v>9.5</v>
      </c>
      <c r="P78" s="15">
        <f t="shared" si="36"/>
        <v>9.5</v>
      </c>
      <c r="R78" s="8"/>
      <c r="T78"/>
    </row>
    <row r="79" spans="2:20" ht="23.1" customHeight="1" x14ac:dyDescent="0.25">
      <c r="B79" s="23" t="s">
        <v>119</v>
      </c>
      <c r="C79" s="49">
        <f>AVERAGE('31.10 Kabale-Mbarara-24hr'!C79,'2.11 Kabale-Mbarara-24hr'!C79)</f>
        <v>0</v>
      </c>
      <c r="D79" s="49">
        <f>AVERAGE('31.10 Kabale-Mbarara-24hr'!D79,'2.11 Kabale-Mbarara-24hr'!D79)</f>
        <v>0.5</v>
      </c>
      <c r="E79" s="49">
        <f>AVERAGE('31.10 Kabale-Mbarara-24hr'!E79,'2.11 Kabale-Mbarara-24hr'!E79)</f>
        <v>1.5</v>
      </c>
      <c r="F79" s="49">
        <f>AVERAGE('31.10 Kabale-Mbarara-24hr'!F79,'2.11 Kabale-Mbarara-24hr'!F79)</f>
        <v>0.5</v>
      </c>
      <c r="G79" s="49">
        <f>AVERAGE('31.10 Kabale-Mbarara-24hr'!G79,'2.11 Kabale-Mbarara-24hr'!G79)</f>
        <v>0.5</v>
      </c>
      <c r="H79" s="49">
        <f>AVERAGE('31.10 Kabale-Mbarara-24hr'!H79,'2.11 Kabale-Mbarara-24hr'!H79)</f>
        <v>0</v>
      </c>
      <c r="I79" s="49">
        <f>AVERAGE('31.10 Kabale-Mbarara-24hr'!I79,'2.11 Kabale-Mbarara-24hr'!I79)</f>
        <v>0</v>
      </c>
      <c r="J79" s="49">
        <f>AVERAGE('31.10 Kabale-Mbarara-24hr'!J79,'2.11 Kabale-Mbarara-24hr'!J79)</f>
        <v>0</v>
      </c>
      <c r="K79" s="49">
        <f>AVERAGE('31.10 Kabale-Mbarara-24hr'!K79,'2.11 Kabale-Mbarara-24hr'!K79)</f>
        <v>1.5</v>
      </c>
      <c r="L79" s="49">
        <f>AVERAGE('31.10 Kabale-Mbarara-24hr'!L79,'2.11 Kabale-Mbarara-24hr'!L79)</f>
        <v>1</v>
      </c>
      <c r="M79" s="49">
        <f>AVERAGE('31.10 Kabale-Mbarara-24hr'!M79,'2.11 Kabale-Mbarara-24hr'!M79)</f>
        <v>1</v>
      </c>
      <c r="N79" s="49">
        <f>AVERAGE('31.10 Kabale-Mbarara-24hr'!N79,'2.11 Kabale-Mbarara-24hr'!N79)</f>
        <v>0</v>
      </c>
      <c r="O79" s="15">
        <f t="shared" si="35"/>
        <v>5.5</v>
      </c>
      <c r="P79" s="15">
        <f t="shared" si="36"/>
        <v>6.5</v>
      </c>
      <c r="R79" s="8"/>
      <c r="T79"/>
    </row>
    <row r="80" spans="2:20" ht="23.1" customHeight="1" x14ac:dyDescent="0.25">
      <c r="B80" s="25" t="s">
        <v>120</v>
      </c>
      <c r="C80" s="49">
        <f>AVERAGE('31.10 Kabale-Mbarara-24hr'!C80,'2.11 Kabale-Mbarara-24hr'!C80)</f>
        <v>0.5</v>
      </c>
      <c r="D80" s="49">
        <f>AVERAGE('31.10 Kabale-Mbarara-24hr'!D80,'2.11 Kabale-Mbarara-24hr'!D80)</f>
        <v>0</v>
      </c>
      <c r="E80" s="49">
        <f>AVERAGE('31.10 Kabale-Mbarara-24hr'!E80,'2.11 Kabale-Mbarara-24hr'!E80)</f>
        <v>0</v>
      </c>
      <c r="F80" s="49">
        <f>AVERAGE('31.10 Kabale-Mbarara-24hr'!F80,'2.11 Kabale-Mbarara-24hr'!F80)</f>
        <v>0</v>
      </c>
      <c r="G80" s="49">
        <f>AVERAGE('31.10 Kabale-Mbarara-24hr'!G80,'2.11 Kabale-Mbarara-24hr'!G80)</f>
        <v>0</v>
      </c>
      <c r="H80" s="49">
        <f>AVERAGE('31.10 Kabale-Mbarara-24hr'!H80,'2.11 Kabale-Mbarara-24hr'!H80)</f>
        <v>0.5</v>
      </c>
      <c r="I80" s="49">
        <f>AVERAGE('31.10 Kabale-Mbarara-24hr'!I80,'2.11 Kabale-Mbarara-24hr'!I80)</f>
        <v>0</v>
      </c>
      <c r="J80" s="49">
        <f>AVERAGE('31.10 Kabale-Mbarara-24hr'!J80,'2.11 Kabale-Mbarara-24hr'!J80)</f>
        <v>0.5</v>
      </c>
      <c r="K80" s="49">
        <f>AVERAGE('31.10 Kabale-Mbarara-24hr'!K80,'2.11 Kabale-Mbarara-24hr'!K80)</f>
        <v>3</v>
      </c>
      <c r="L80" s="49">
        <f>AVERAGE('31.10 Kabale-Mbarara-24hr'!L80,'2.11 Kabale-Mbarara-24hr'!L80)</f>
        <v>2</v>
      </c>
      <c r="M80" s="49">
        <f>AVERAGE('31.10 Kabale-Mbarara-24hr'!M80,'2.11 Kabale-Mbarara-24hr'!M80)</f>
        <v>0</v>
      </c>
      <c r="N80" s="49">
        <f>AVERAGE('31.10 Kabale-Mbarara-24hr'!N80,'2.11 Kabale-Mbarara-24hr'!N80)</f>
        <v>0</v>
      </c>
      <c r="O80" s="15">
        <f t="shared" si="35"/>
        <v>6.5</v>
      </c>
      <c r="P80" s="15">
        <f t="shared" si="36"/>
        <v>6.5</v>
      </c>
      <c r="R80" s="8"/>
      <c r="T80"/>
    </row>
    <row r="81" spans="2:20" ht="23.1" customHeight="1" x14ac:dyDescent="0.25">
      <c r="B81" s="23" t="s">
        <v>121</v>
      </c>
      <c r="C81" s="49">
        <f>AVERAGE('31.10 Kabale-Mbarara-24hr'!C81,'2.11 Kabale-Mbarara-24hr'!C81)</f>
        <v>0.5</v>
      </c>
      <c r="D81" s="49">
        <f>AVERAGE('31.10 Kabale-Mbarara-24hr'!D81,'2.11 Kabale-Mbarara-24hr'!D81)</f>
        <v>0</v>
      </c>
      <c r="E81" s="49">
        <f>AVERAGE('31.10 Kabale-Mbarara-24hr'!E81,'2.11 Kabale-Mbarara-24hr'!E81)</f>
        <v>0</v>
      </c>
      <c r="F81" s="49">
        <f>AVERAGE('31.10 Kabale-Mbarara-24hr'!F81,'2.11 Kabale-Mbarara-24hr'!F81)</f>
        <v>0</v>
      </c>
      <c r="G81" s="49">
        <f>AVERAGE('31.10 Kabale-Mbarara-24hr'!G81,'2.11 Kabale-Mbarara-24hr'!G81)</f>
        <v>0</v>
      </c>
      <c r="H81" s="49">
        <f>AVERAGE('31.10 Kabale-Mbarara-24hr'!H81,'2.11 Kabale-Mbarara-24hr'!H81)</f>
        <v>0</v>
      </c>
      <c r="I81" s="49">
        <f>AVERAGE('31.10 Kabale-Mbarara-24hr'!I81,'2.11 Kabale-Mbarara-24hr'!I81)</f>
        <v>0</v>
      </c>
      <c r="J81" s="49">
        <f>AVERAGE('31.10 Kabale-Mbarara-24hr'!J81,'2.11 Kabale-Mbarara-24hr'!J81)</f>
        <v>0</v>
      </c>
      <c r="K81" s="49">
        <f>AVERAGE('31.10 Kabale-Mbarara-24hr'!K81,'2.11 Kabale-Mbarara-24hr'!K81)</f>
        <v>0</v>
      </c>
      <c r="L81" s="49">
        <f>AVERAGE('31.10 Kabale-Mbarara-24hr'!L81,'2.11 Kabale-Mbarara-24hr'!L81)</f>
        <v>0</v>
      </c>
      <c r="M81" s="49">
        <f>AVERAGE('31.10 Kabale-Mbarara-24hr'!M81,'2.11 Kabale-Mbarara-24hr'!M81)</f>
        <v>0</v>
      </c>
      <c r="N81" s="49">
        <f>AVERAGE('31.10 Kabale-Mbarara-24hr'!N81,'2.11 Kabale-Mbarara-24hr'!N81)</f>
        <v>0</v>
      </c>
      <c r="O81" s="15">
        <f t="shared" si="35"/>
        <v>0.5</v>
      </c>
      <c r="P81" s="15">
        <f t="shared" si="36"/>
        <v>0.5</v>
      </c>
      <c r="R81" s="8"/>
      <c r="T81"/>
    </row>
    <row r="82" spans="2:20" ht="23.1" customHeight="1" x14ac:dyDescent="0.25">
      <c r="B82" s="24" t="s">
        <v>122</v>
      </c>
      <c r="C82" s="49">
        <f>AVERAGE('31.10 Kabale-Mbarara-24hr'!C82,'2.11 Kabale-Mbarara-24hr'!C82)</f>
        <v>1</v>
      </c>
      <c r="D82" s="49">
        <f>AVERAGE('31.10 Kabale-Mbarara-24hr'!D82,'2.11 Kabale-Mbarara-24hr'!D82)</f>
        <v>0</v>
      </c>
      <c r="E82" s="49">
        <f>AVERAGE('31.10 Kabale-Mbarara-24hr'!E82,'2.11 Kabale-Mbarara-24hr'!E82)</f>
        <v>0</v>
      </c>
      <c r="F82" s="49">
        <f>AVERAGE('31.10 Kabale-Mbarara-24hr'!F82,'2.11 Kabale-Mbarara-24hr'!F82)</f>
        <v>0</v>
      </c>
      <c r="G82" s="49">
        <f>AVERAGE('31.10 Kabale-Mbarara-24hr'!G82,'2.11 Kabale-Mbarara-24hr'!G82)</f>
        <v>0</v>
      </c>
      <c r="H82" s="49">
        <f>AVERAGE('31.10 Kabale-Mbarara-24hr'!H82,'2.11 Kabale-Mbarara-24hr'!H82)</f>
        <v>0</v>
      </c>
      <c r="I82" s="49">
        <f>AVERAGE('31.10 Kabale-Mbarara-24hr'!I82,'2.11 Kabale-Mbarara-24hr'!I82)</f>
        <v>0</v>
      </c>
      <c r="J82" s="49">
        <f>AVERAGE('31.10 Kabale-Mbarara-24hr'!J82,'2.11 Kabale-Mbarara-24hr'!J82)</f>
        <v>1</v>
      </c>
      <c r="K82" s="49">
        <f>AVERAGE('31.10 Kabale-Mbarara-24hr'!K82,'2.11 Kabale-Mbarara-24hr'!K82)</f>
        <v>1</v>
      </c>
      <c r="L82" s="49">
        <f>AVERAGE('31.10 Kabale-Mbarara-24hr'!L82,'2.11 Kabale-Mbarara-24hr'!L82)</f>
        <v>4</v>
      </c>
      <c r="M82" s="49">
        <f>AVERAGE('31.10 Kabale-Mbarara-24hr'!M82,'2.11 Kabale-Mbarara-24hr'!M82)</f>
        <v>0</v>
      </c>
      <c r="N82" s="49">
        <f>AVERAGE('31.10 Kabale-Mbarara-24hr'!N82,'2.11 Kabale-Mbarara-24hr'!N82)</f>
        <v>0</v>
      </c>
      <c r="O82" s="15">
        <f t="shared" si="35"/>
        <v>7</v>
      </c>
      <c r="P82" s="15">
        <f t="shared" si="36"/>
        <v>7</v>
      </c>
      <c r="R82" s="8"/>
      <c r="T82"/>
    </row>
    <row r="83" spans="2:20" ht="23.1" customHeight="1" x14ac:dyDescent="0.25">
      <c r="B83" s="23" t="s">
        <v>123</v>
      </c>
      <c r="C83" s="49">
        <f>AVERAGE('31.10 Kabale-Mbarara-24hr'!C83,'2.11 Kabale-Mbarara-24hr'!C83)</f>
        <v>0.5</v>
      </c>
      <c r="D83" s="49">
        <f>AVERAGE('31.10 Kabale-Mbarara-24hr'!D83,'2.11 Kabale-Mbarara-24hr'!D83)</f>
        <v>0</v>
      </c>
      <c r="E83" s="49">
        <f>AVERAGE('31.10 Kabale-Mbarara-24hr'!E83,'2.11 Kabale-Mbarara-24hr'!E83)</f>
        <v>0.5</v>
      </c>
      <c r="F83" s="49">
        <f>AVERAGE('31.10 Kabale-Mbarara-24hr'!F83,'2.11 Kabale-Mbarara-24hr'!F83)</f>
        <v>0</v>
      </c>
      <c r="G83" s="49">
        <f>AVERAGE('31.10 Kabale-Mbarara-24hr'!G83,'2.11 Kabale-Mbarara-24hr'!G83)</f>
        <v>0</v>
      </c>
      <c r="H83" s="49">
        <f>AVERAGE('31.10 Kabale-Mbarara-24hr'!H83,'2.11 Kabale-Mbarara-24hr'!H83)</f>
        <v>0.5</v>
      </c>
      <c r="I83" s="49">
        <f>AVERAGE('31.10 Kabale-Mbarara-24hr'!I83,'2.11 Kabale-Mbarara-24hr'!I83)</f>
        <v>0.5</v>
      </c>
      <c r="J83" s="49">
        <f>AVERAGE('31.10 Kabale-Mbarara-24hr'!J83,'2.11 Kabale-Mbarara-24hr'!J83)</f>
        <v>0</v>
      </c>
      <c r="K83" s="49">
        <f>AVERAGE('31.10 Kabale-Mbarara-24hr'!K83,'2.11 Kabale-Mbarara-24hr'!K83)</f>
        <v>0.5</v>
      </c>
      <c r="L83" s="49">
        <f>AVERAGE('31.10 Kabale-Mbarara-24hr'!L83,'2.11 Kabale-Mbarara-24hr'!L83)</f>
        <v>1</v>
      </c>
      <c r="M83" s="49">
        <f>AVERAGE('31.10 Kabale-Mbarara-24hr'!M83,'2.11 Kabale-Mbarara-24hr'!M83)</f>
        <v>0</v>
      </c>
      <c r="N83" s="49">
        <f>AVERAGE('31.10 Kabale-Mbarara-24hr'!N83,'2.11 Kabale-Mbarara-24hr'!N83)</f>
        <v>0</v>
      </c>
      <c r="O83" s="15">
        <f t="shared" si="35"/>
        <v>3.5</v>
      </c>
      <c r="P83" s="15">
        <f t="shared" si="36"/>
        <v>3.5</v>
      </c>
      <c r="R83" s="8"/>
      <c r="T83"/>
    </row>
    <row r="84" spans="2:20" ht="23.1" customHeight="1" x14ac:dyDescent="0.25">
      <c r="B84" s="25" t="s">
        <v>124</v>
      </c>
      <c r="C84" s="49">
        <f>AVERAGE('31.10 Kabale-Mbarara-24hr'!C84,'2.11 Kabale-Mbarara-24hr'!C84)</f>
        <v>0</v>
      </c>
      <c r="D84" s="49">
        <f>AVERAGE('31.10 Kabale-Mbarara-24hr'!D84,'2.11 Kabale-Mbarara-24hr'!D84)</f>
        <v>0</v>
      </c>
      <c r="E84" s="49">
        <f>AVERAGE('31.10 Kabale-Mbarara-24hr'!E84,'2.11 Kabale-Mbarara-24hr'!E84)</f>
        <v>1</v>
      </c>
      <c r="F84" s="49">
        <f>AVERAGE('31.10 Kabale-Mbarara-24hr'!F84,'2.11 Kabale-Mbarara-24hr'!F84)</f>
        <v>0.5</v>
      </c>
      <c r="G84" s="49">
        <f>AVERAGE('31.10 Kabale-Mbarara-24hr'!G84,'2.11 Kabale-Mbarara-24hr'!G84)</f>
        <v>0</v>
      </c>
      <c r="H84" s="49">
        <f>AVERAGE('31.10 Kabale-Mbarara-24hr'!H84,'2.11 Kabale-Mbarara-24hr'!H84)</f>
        <v>0</v>
      </c>
      <c r="I84" s="49">
        <f>AVERAGE('31.10 Kabale-Mbarara-24hr'!I84,'2.11 Kabale-Mbarara-24hr'!I84)</f>
        <v>0</v>
      </c>
      <c r="J84" s="49">
        <f>AVERAGE('31.10 Kabale-Mbarara-24hr'!J84,'2.11 Kabale-Mbarara-24hr'!J84)</f>
        <v>2</v>
      </c>
      <c r="K84" s="49">
        <f>AVERAGE('31.10 Kabale-Mbarara-24hr'!K84,'2.11 Kabale-Mbarara-24hr'!K84)</f>
        <v>1.5</v>
      </c>
      <c r="L84" s="49">
        <f>AVERAGE('31.10 Kabale-Mbarara-24hr'!L84,'2.11 Kabale-Mbarara-24hr'!L84)</f>
        <v>0.5</v>
      </c>
      <c r="M84" s="49">
        <f>AVERAGE('31.10 Kabale-Mbarara-24hr'!M84,'2.11 Kabale-Mbarara-24hr'!M84)</f>
        <v>1</v>
      </c>
      <c r="N84" s="49">
        <f>AVERAGE('31.10 Kabale-Mbarara-24hr'!N84,'2.11 Kabale-Mbarara-24hr'!N84)</f>
        <v>0</v>
      </c>
      <c r="O84" s="15">
        <f t="shared" si="35"/>
        <v>5.5</v>
      </c>
      <c r="P84" s="15">
        <f t="shared" si="36"/>
        <v>6.5</v>
      </c>
      <c r="R84" s="8"/>
      <c r="T84"/>
    </row>
    <row r="85" spans="2:20" ht="23.1" customHeight="1" x14ac:dyDescent="0.25">
      <c r="B85" s="23" t="s">
        <v>125</v>
      </c>
      <c r="C85" s="49">
        <f>AVERAGE('31.10 Kabale-Mbarara-24hr'!C85,'2.11 Kabale-Mbarara-24hr'!C85)</f>
        <v>0</v>
      </c>
      <c r="D85" s="49">
        <f>AVERAGE('31.10 Kabale-Mbarara-24hr'!D85,'2.11 Kabale-Mbarara-24hr'!D85)</f>
        <v>0</v>
      </c>
      <c r="E85" s="49">
        <f>AVERAGE('31.10 Kabale-Mbarara-24hr'!E85,'2.11 Kabale-Mbarara-24hr'!E85)</f>
        <v>0</v>
      </c>
      <c r="F85" s="49">
        <f>AVERAGE('31.10 Kabale-Mbarara-24hr'!F85,'2.11 Kabale-Mbarara-24hr'!F85)</f>
        <v>0.5</v>
      </c>
      <c r="G85" s="49">
        <f>AVERAGE('31.10 Kabale-Mbarara-24hr'!G85,'2.11 Kabale-Mbarara-24hr'!G85)</f>
        <v>0</v>
      </c>
      <c r="H85" s="49">
        <f>AVERAGE('31.10 Kabale-Mbarara-24hr'!H85,'2.11 Kabale-Mbarara-24hr'!H85)</f>
        <v>1</v>
      </c>
      <c r="I85" s="49">
        <f>AVERAGE('31.10 Kabale-Mbarara-24hr'!I85,'2.11 Kabale-Mbarara-24hr'!I85)</f>
        <v>0</v>
      </c>
      <c r="J85" s="49">
        <f>AVERAGE('31.10 Kabale-Mbarara-24hr'!J85,'2.11 Kabale-Mbarara-24hr'!J85)</f>
        <v>0</v>
      </c>
      <c r="K85" s="49">
        <f>AVERAGE('31.10 Kabale-Mbarara-24hr'!K85,'2.11 Kabale-Mbarara-24hr'!K85)</f>
        <v>0.5</v>
      </c>
      <c r="L85" s="49">
        <f>AVERAGE('31.10 Kabale-Mbarara-24hr'!L85,'2.11 Kabale-Mbarara-24hr'!L85)</f>
        <v>0</v>
      </c>
      <c r="M85" s="49">
        <f>AVERAGE('31.10 Kabale-Mbarara-24hr'!M85,'2.11 Kabale-Mbarara-24hr'!M85)</f>
        <v>0</v>
      </c>
      <c r="N85" s="49">
        <f>AVERAGE('31.10 Kabale-Mbarara-24hr'!N85,'2.11 Kabale-Mbarara-24hr'!N85)</f>
        <v>0</v>
      </c>
      <c r="O85" s="15">
        <f t="shared" si="35"/>
        <v>2</v>
      </c>
      <c r="P85" s="15">
        <f t="shared" si="36"/>
        <v>2</v>
      </c>
      <c r="R85" s="8"/>
      <c r="T85"/>
    </row>
    <row r="86" spans="2:20" ht="23.1" customHeight="1" x14ac:dyDescent="0.25">
      <c r="B86" s="24" t="s">
        <v>126</v>
      </c>
      <c r="C86" s="49">
        <f>AVERAGE('31.10 Kabale-Mbarara-24hr'!C86,'2.11 Kabale-Mbarara-24hr'!C86)</f>
        <v>2</v>
      </c>
      <c r="D86" s="49">
        <f>AVERAGE('31.10 Kabale-Mbarara-24hr'!D86,'2.11 Kabale-Mbarara-24hr'!D86)</f>
        <v>0</v>
      </c>
      <c r="E86" s="49">
        <f>AVERAGE('31.10 Kabale-Mbarara-24hr'!E86,'2.11 Kabale-Mbarara-24hr'!E86)</f>
        <v>0</v>
      </c>
      <c r="F86" s="49">
        <f>AVERAGE('31.10 Kabale-Mbarara-24hr'!F86,'2.11 Kabale-Mbarara-24hr'!F86)</f>
        <v>1</v>
      </c>
      <c r="G86" s="49">
        <f>AVERAGE('31.10 Kabale-Mbarara-24hr'!G86,'2.11 Kabale-Mbarara-24hr'!G86)</f>
        <v>0.5</v>
      </c>
      <c r="H86" s="49">
        <f>AVERAGE('31.10 Kabale-Mbarara-24hr'!H86,'2.11 Kabale-Mbarara-24hr'!H86)</f>
        <v>0</v>
      </c>
      <c r="I86" s="49">
        <f>AVERAGE('31.10 Kabale-Mbarara-24hr'!I86,'2.11 Kabale-Mbarara-24hr'!I86)</f>
        <v>0</v>
      </c>
      <c r="J86" s="49">
        <f>AVERAGE('31.10 Kabale-Mbarara-24hr'!J86,'2.11 Kabale-Mbarara-24hr'!J86)</f>
        <v>1</v>
      </c>
      <c r="K86" s="49">
        <f>AVERAGE('31.10 Kabale-Mbarara-24hr'!K86,'2.11 Kabale-Mbarara-24hr'!K86)</f>
        <v>1.5</v>
      </c>
      <c r="L86" s="49">
        <f>AVERAGE('31.10 Kabale-Mbarara-24hr'!L86,'2.11 Kabale-Mbarara-24hr'!L86)</f>
        <v>1.5</v>
      </c>
      <c r="M86" s="49">
        <f>AVERAGE('31.10 Kabale-Mbarara-24hr'!M86,'2.11 Kabale-Mbarara-24hr'!M86)</f>
        <v>1</v>
      </c>
      <c r="N86" s="49">
        <f>AVERAGE('31.10 Kabale-Mbarara-24hr'!N86,'2.11 Kabale-Mbarara-24hr'!N86)</f>
        <v>0</v>
      </c>
      <c r="O86" s="15">
        <f t="shared" si="35"/>
        <v>7.5</v>
      </c>
      <c r="P86" s="15">
        <f t="shared" si="36"/>
        <v>8.5</v>
      </c>
      <c r="R86" s="8"/>
      <c r="T86"/>
    </row>
    <row r="87" spans="2:20" ht="23.1" customHeight="1" x14ac:dyDescent="0.25">
      <c r="B87" s="23" t="s">
        <v>127</v>
      </c>
      <c r="C87" s="49">
        <f>AVERAGE('31.10 Kabale-Mbarara-24hr'!C87,'2.11 Kabale-Mbarara-24hr'!C87)</f>
        <v>3.5</v>
      </c>
      <c r="D87" s="49">
        <f>AVERAGE('31.10 Kabale-Mbarara-24hr'!D87,'2.11 Kabale-Mbarara-24hr'!D87)</f>
        <v>0</v>
      </c>
      <c r="E87" s="49">
        <f>AVERAGE('31.10 Kabale-Mbarara-24hr'!E87,'2.11 Kabale-Mbarara-24hr'!E87)</f>
        <v>0</v>
      </c>
      <c r="F87" s="49">
        <f>AVERAGE('31.10 Kabale-Mbarara-24hr'!F87,'2.11 Kabale-Mbarara-24hr'!F87)</f>
        <v>0</v>
      </c>
      <c r="G87" s="49">
        <f>AVERAGE('31.10 Kabale-Mbarara-24hr'!G87,'2.11 Kabale-Mbarara-24hr'!G87)</f>
        <v>0</v>
      </c>
      <c r="H87" s="49">
        <f>AVERAGE('31.10 Kabale-Mbarara-24hr'!H87,'2.11 Kabale-Mbarara-24hr'!H87)</f>
        <v>0</v>
      </c>
      <c r="I87" s="49">
        <f>AVERAGE('31.10 Kabale-Mbarara-24hr'!I87,'2.11 Kabale-Mbarara-24hr'!I87)</f>
        <v>0</v>
      </c>
      <c r="J87" s="49">
        <f>AVERAGE('31.10 Kabale-Mbarara-24hr'!J87,'2.11 Kabale-Mbarara-24hr'!J87)</f>
        <v>0</v>
      </c>
      <c r="K87" s="49">
        <f>AVERAGE('31.10 Kabale-Mbarara-24hr'!K87,'2.11 Kabale-Mbarara-24hr'!K87)</f>
        <v>1.5</v>
      </c>
      <c r="L87" s="49">
        <f>AVERAGE('31.10 Kabale-Mbarara-24hr'!L87,'2.11 Kabale-Mbarara-24hr'!L87)</f>
        <v>5</v>
      </c>
      <c r="M87" s="49">
        <f>AVERAGE('31.10 Kabale-Mbarara-24hr'!M87,'2.11 Kabale-Mbarara-24hr'!M87)</f>
        <v>0</v>
      </c>
      <c r="N87" s="49">
        <f>AVERAGE('31.10 Kabale-Mbarara-24hr'!N87,'2.11 Kabale-Mbarara-24hr'!N87)</f>
        <v>0</v>
      </c>
      <c r="O87" s="15">
        <f t="shared" si="35"/>
        <v>10</v>
      </c>
      <c r="P87" s="15">
        <f t="shared" si="36"/>
        <v>10</v>
      </c>
      <c r="R87" s="8"/>
      <c r="T87"/>
    </row>
    <row r="88" spans="2:20" ht="23.1" customHeight="1" x14ac:dyDescent="0.25">
      <c r="B88" s="25" t="s">
        <v>128</v>
      </c>
      <c r="C88" s="49">
        <f>AVERAGE('31.10 Kabale-Mbarara-24hr'!C88,'2.11 Kabale-Mbarara-24hr'!C88)</f>
        <v>1</v>
      </c>
      <c r="D88" s="49">
        <f>AVERAGE('31.10 Kabale-Mbarara-24hr'!D88,'2.11 Kabale-Mbarara-24hr'!D88)</f>
        <v>1</v>
      </c>
      <c r="E88" s="49">
        <f>AVERAGE('31.10 Kabale-Mbarara-24hr'!E88,'2.11 Kabale-Mbarara-24hr'!E88)</f>
        <v>0</v>
      </c>
      <c r="F88" s="49">
        <f>AVERAGE('31.10 Kabale-Mbarara-24hr'!F88,'2.11 Kabale-Mbarara-24hr'!F88)</f>
        <v>0</v>
      </c>
      <c r="G88" s="49">
        <f>AVERAGE('31.10 Kabale-Mbarara-24hr'!G88,'2.11 Kabale-Mbarara-24hr'!G88)</f>
        <v>0</v>
      </c>
      <c r="H88" s="49">
        <f>AVERAGE('31.10 Kabale-Mbarara-24hr'!H88,'2.11 Kabale-Mbarara-24hr'!H88)</f>
        <v>0</v>
      </c>
      <c r="I88" s="49">
        <f>AVERAGE('31.10 Kabale-Mbarara-24hr'!I88,'2.11 Kabale-Mbarara-24hr'!I88)</f>
        <v>0.5</v>
      </c>
      <c r="J88" s="49">
        <f>AVERAGE('31.10 Kabale-Mbarara-24hr'!J88,'2.11 Kabale-Mbarara-24hr'!J88)</f>
        <v>0</v>
      </c>
      <c r="K88" s="49">
        <f>AVERAGE('31.10 Kabale-Mbarara-24hr'!K88,'2.11 Kabale-Mbarara-24hr'!K88)</f>
        <v>0</v>
      </c>
      <c r="L88" s="49">
        <f>AVERAGE('31.10 Kabale-Mbarara-24hr'!L88,'2.11 Kabale-Mbarara-24hr'!L88)</f>
        <v>2</v>
      </c>
      <c r="M88" s="49">
        <f>AVERAGE('31.10 Kabale-Mbarara-24hr'!M88,'2.11 Kabale-Mbarara-24hr'!M88)</f>
        <v>0</v>
      </c>
      <c r="N88" s="49">
        <f>AVERAGE('31.10 Kabale-Mbarara-24hr'!N88,'2.11 Kabale-Mbarara-24hr'!N88)</f>
        <v>0</v>
      </c>
      <c r="O88" s="15">
        <f t="shared" si="35"/>
        <v>4.5</v>
      </c>
      <c r="P88" s="15">
        <f t="shared" si="36"/>
        <v>4.5</v>
      </c>
      <c r="R88" s="8"/>
      <c r="T88"/>
    </row>
    <row r="89" spans="2:20" ht="23.1" customHeight="1" x14ac:dyDescent="0.25">
      <c r="B89" s="23" t="s">
        <v>129</v>
      </c>
      <c r="C89" s="49">
        <f>AVERAGE('31.10 Kabale-Mbarara-24hr'!C89,'2.11 Kabale-Mbarara-24hr'!C89)</f>
        <v>2</v>
      </c>
      <c r="D89" s="49">
        <f>AVERAGE('31.10 Kabale-Mbarara-24hr'!D89,'2.11 Kabale-Mbarara-24hr'!D89)</f>
        <v>0</v>
      </c>
      <c r="E89" s="49">
        <f>AVERAGE('31.10 Kabale-Mbarara-24hr'!E89,'2.11 Kabale-Mbarara-24hr'!E89)</f>
        <v>0</v>
      </c>
      <c r="F89" s="49">
        <f>AVERAGE('31.10 Kabale-Mbarara-24hr'!F89,'2.11 Kabale-Mbarara-24hr'!F89)</f>
        <v>1.5</v>
      </c>
      <c r="G89" s="49">
        <f>AVERAGE('31.10 Kabale-Mbarara-24hr'!G89,'2.11 Kabale-Mbarara-24hr'!G89)</f>
        <v>0</v>
      </c>
      <c r="H89" s="49">
        <f>AVERAGE('31.10 Kabale-Mbarara-24hr'!H89,'2.11 Kabale-Mbarara-24hr'!H89)</f>
        <v>0</v>
      </c>
      <c r="I89" s="49">
        <f>AVERAGE('31.10 Kabale-Mbarara-24hr'!I89,'2.11 Kabale-Mbarara-24hr'!I89)</f>
        <v>0</v>
      </c>
      <c r="J89" s="49">
        <f>AVERAGE('31.10 Kabale-Mbarara-24hr'!J89,'2.11 Kabale-Mbarara-24hr'!J89)</f>
        <v>0.5</v>
      </c>
      <c r="K89" s="49">
        <f>AVERAGE('31.10 Kabale-Mbarara-24hr'!K89,'2.11 Kabale-Mbarara-24hr'!K89)</f>
        <v>2</v>
      </c>
      <c r="L89" s="49">
        <f>AVERAGE('31.10 Kabale-Mbarara-24hr'!L89,'2.11 Kabale-Mbarara-24hr'!L89)</f>
        <v>1</v>
      </c>
      <c r="M89" s="49">
        <f>AVERAGE('31.10 Kabale-Mbarara-24hr'!M89,'2.11 Kabale-Mbarara-24hr'!M89)</f>
        <v>0</v>
      </c>
      <c r="N89" s="49">
        <f>AVERAGE('31.10 Kabale-Mbarara-24hr'!N89,'2.11 Kabale-Mbarara-24hr'!N89)</f>
        <v>0</v>
      </c>
      <c r="O89" s="15">
        <f t="shared" si="35"/>
        <v>7</v>
      </c>
      <c r="P89" s="15">
        <f t="shared" si="36"/>
        <v>7</v>
      </c>
      <c r="R89" s="8"/>
      <c r="T89"/>
    </row>
    <row r="90" spans="2:20" ht="23.1" customHeight="1" x14ac:dyDescent="0.25">
      <c r="B90" s="24" t="s">
        <v>130</v>
      </c>
      <c r="C90" s="49">
        <f>AVERAGE('31.10 Kabale-Mbarara-24hr'!C90,'2.11 Kabale-Mbarara-24hr'!C90)</f>
        <v>1.5</v>
      </c>
      <c r="D90" s="49">
        <f>AVERAGE('31.10 Kabale-Mbarara-24hr'!D90,'2.11 Kabale-Mbarara-24hr'!D90)</f>
        <v>0</v>
      </c>
      <c r="E90" s="49">
        <f>AVERAGE('31.10 Kabale-Mbarara-24hr'!E90,'2.11 Kabale-Mbarara-24hr'!E90)</f>
        <v>0</v>
      </c>
      <c r="F90" s="49">
        <f>AVERAGE('31.10 Kabale-Mbarara-24hr'!F90,'2.11 Kabale-Mbarara-24hr'!F90)</f>
        <v>1</v>
      </c>
      <c r="G90" s="49">
        <f>AVERAGE('31.10 Kabale-Mbarara-24hr'!G90,'2.11 Kabale-Mbarara-24hr'!G90)</f>
        <v>0</v>
      </c>
      <c r="H90" s="49">
        <f>AVERAGE('31.10 Kabale-Mbarara-24hr'!H90,'2.11 Kabale-Mbarara-24hr'!H90)</f>
        <v>1</v>
      </c>
      <c r="I90" s="49">
        <f>AVERAGE('31.10 Kabale-Mbarara-24hr'!I90,'2.11 Kabale-Mbarara-24hr'!I90)</f>
        <v>0</v>
      </c>
      <c r="J90" s="49">
        <f>AVERAGE('31.10 Kabale-Mbarara-24hr'!J90,'2.11 Kabale-Mbarara-24hr'!J90)</f>
        <v>0</v>
      </c>
      <c r="K90" s="49">
        <f>AVERAGE('31.10 Kabale-Mbarara-24hr'!K90,'2.11 Kabale-Mbarara-24hr'!K90)</f>
        <v>5</v>
      </c>
      <c r="L90" s="49">
        <f>AVERAGE('31.10 Kabale-Mbarara-24hr'!L90,'2.11 Kabale-Mbarara-24hr'!L90)</f>
        <v>2</v>
      </c>
      <c r="M90" s="49">
        <f>AVERAGE('31.10 Kabale-Mbarara-24hr'!M90,'2.11 Kabale-Mbarara-24hr'!M90)</f>
        <v>1</v>
      </c>
      <c r="N90" s="49">
        <f>AVERAGE('31.10 Kabale-Mbarara-24hr'!N90,'2.11 Kabale-Mbarara-24hr'!N90)</f>
        <v>0</v>
      </c>
      <c r="O90" s="15">
        <f t="shared" si="35"/>
        <v>10.5</v>
      </c>
      <c r="P90" s="15">
        <f t="shared" si="36"/>
        <v>11.5</v>
      </c>
      <c r="R90" s="8"/>
      <c r="T90"/>
    </row>
    <row r="91" spans="2:20" ht="23.1" customHeight="1" x14ac:dyDescent="0.25">
      <c r="B91" s="23" t="s">
        <v>131</v>
      </c>
      <c r="C91" s="49">
        <f>AVERAGE('31.10 Kabale-Mbarara-24hr'!C91,'2.11 Kabale-Mbarara-24hr'!C91)</f>
        <v>0</v>
      </c>
      <c r="D91" s="49">
        <f>AVERAGE('31.10 Kabale-Mbarara-24hr'!D91,'2.11 Kabale-Mbarara-24hr'!D91)</f>
        <v>1.5</v>
      </c>
      <c r="E91" s="49">
        <f>AVERAGE('31.10 Kabale-Mbarara-24hr'!E91,'2.11 Kabale-Mbarara-24hr'!E91)</f>
        <v>1</v>
      </c>
      <c r="F91" s="49">
        <f>AVERAGE('31.10 Kabale-Mbarara-24hr'!F91,'2.11 Kabale-Mbarara-24hr'!F91)</f>
        <v>0</v>
      </c>
      <c r="G91" s="49">
        <f>AVERAGE('31.10 Kabale-Mbarara-24hr'!G91,'2.11 Kabale-Mbarara-24hr'!G91)</f>
        <v>0</v>
      </c>
      <c r="H91" s="49">
        <f>AVERAGE('31.10 Kabale-Mbarara-24hr'!H91,'2.11 Kabale-Mbarara-24hr'!H91)</f>
        <v>0</v>
      </c>
      <c r="I91" s="49">
        <f>AVERAGE('31.10 Kabale-Mbarara-24hr'!I91,'2.11 Kabale-Mbarara-24hr'!I91)</f>
        <v>2</v>
      </c>
      <c r="J91" s="49">
        <f>AVERAGE('31.10 Kabale-Mbarara-24hr'!J91,'2.11 Kabale-Mbarara-24hr'!J91)</f>
        <v>1.5</v>
      </c>
      <c r="K91" s="49">
        <f>AVERAGE('31.10 Kabale-Mbarara-24hr'!K91,'2.11 Kabale-Mbarara-24hr'!K91)</f>
        <v>1.5</v>
      </c>
      <c r="L91" s="49">
        <f>AVERAGE('31.10 Kabale-Mbarara-24hr'!L91,'2.11 Kabale-Mbarara-24hr'!L91)</f>
        <v>3</v>
      </c>
      <c r="M91" s="49">
        <f>AVERAGE('31.10 Kabale-Mbarara-24hr'!M91,'2.11 Kabale-Mbarara-24hr'!M91)</f>
        <v>0</v>
      </c>
      <c r="N91" s="49">
        <f>AVERAGE('31.10 Kabale-Mbarara-24hr'!N91,'2.11 Kabale-Mbarara-24hr'!N91)</f>
        <v>0</v>
      </c>
      <c r="O91" s="15">
        <f t="shared" si="35"/>
        <v>10.5</v>
      </c>
      <c r="P91" s="15">
        <f t="shared" si="36"/>
        <v>10.5</v>
      </c>
      <c r="R91" s="8"/>
      <c r="T91"/>
    </row>
    <row r="92" spans="2:20" ht="23.1" customHeight="1" x14ac:dyDescent="0.25">
      <c r="B92" s="25" t="s">
        <v>132</v>
      </c>
      <c r="C92" s="49">
        <f>AVERAGE('31.10 Kabale-Mbarara-24hr'!C92,'2.11 Kabale-Mbarara-24hr'!C92)</f>
        <v>0</v>
      </c>
      <c r="D92" s="49">
        <f>AVERAGE('31.10 Kabale-Mbarara-24hr'!D92,'2.11 Kabale-Mbarara-24hr'!D92)</f>
        <v>0</v>
      </c>
      <c r="E92" s="49">
        <f>AVERAGE('31.10 Kabale-Mbarara-24hr'!E92,'2.11 Kabale-Mbarara-24hr'!E92)</f>
        <v>1</v>
      </c>
      <c r="F92" s="49">
        <f>AVERAGE('31.10 Kabale-Mbarara-24hr'!F92,'2.11 Kabale-Mbarara-24hr'!F92)</f>
        <v>1.5</v>
      </c>
      <c r="G92" s="49">
        <f>AVERAGE('31.10 Kabale-Mbarara-24hr'!G92,'2.11 Kabale-Mbarara-24hr'!G92)</f>
        <v>0</v>
      </c>
      <c r="H92" s="49">
        <f>AVERAGE('31.10 Kabale-Mbarara-24hr'!H92,'2.11 Kabale-Mbarara-24hr'!H92)</f>
        <v>0</v>
      </c>
      <c r="I92" s="49">
        <f>AVERAGE('31.10 Kabale-Mbarara-24hr'!I92,'2.11 Kabale-Mbarara-24hr'!I92)</f>
        <v>0.5</v>
      </c>
      <c r="J92" s="49">
        <f>AVERAGE('31.10 Kabale-Mbarara-24hr'!J92,'2.11 Kabale-Mbarara-24hr'!J92)</f>
        <v>1</v>
      </c>
      <c r="K92" s="49">
        <f>AVERAGE('31.10 Kabale-Mbarara-24hr'!K92,'2.11 Kabale-Mbarara-24hr'!K92)</f>
        <v>2</v>
      </c>
      <c r="L92" s="49">
        <f>AVERAGE('31.10 Kabale-Mbarara-24hr'!L92,'2.11 Kabale-Mbarara-24hr'!L92)</f>
        <v>3</v>
      </c>
      <c r="M92" s="49">
        <f>AVERAGE('31.10 Kabale-Mbarara-24hr'!M92,'2.11 Kabale-Mbarara-24hr'!M92)</f>
        <v>0</v>
      </c>
      <c r="N92" s="49">
        <f>AVERAGE('31.10 Kabale-Mbarara-24hr'!N92,'2.11 Kabale-Mbarara-24hr'!N92)</f>
        <v>0</v>
      </c>
      <c r="O92" s="15">
        <f t="shared" si="35"/>
        <v>9</v>
      </c>
      <c r="P92" s="15">
        <f t="shared" si="36"/>
        <v>9</v>
      </c>
      <c r="R92" s="8"/>
      <c r="T92"/>
    </row>
    <row r="93" spans="2:20" ht="23.1" customHeight="1" x14ac:dyDescent="0.25">
      <c r="B93" s="23" t="s">
        <v>133</v>
      </c>
      <c r="C93" s="49">
        <f>AVERAGE('31.10 Kabale-Mbarara-24hr'!C93,'2.11 Kabale-Mbarara-24hr'!C93)</f>
        <v>1</v>
      </c>
      <c r="D93" s="49">
        <f>AVERAGE('31.10 Kabale-Mbarara-24hr'!D93,'2.11 Kabale-Mbarara-24hr'!D93)</f>
        <v>1</v>
      </c>
      <c r="E93" s="49">
        <f>AVERAGE('31.10 Kabale-Mbarara-24hr'!E93,'2.11 Kabale-Mbarara-24hr'!E93)</f>
        <v>0</v>
      </c>
      <c r="F93" s="49">
        <f>AVERAGE('31.10 Kabale-Mbarara-24hr'!F93,'2.11 Kabale-Mbarara-24hr'!F93)</f>
        <v>0</v>
      </c>
      <c r="G93" s="49">
        <f>AVERAGE('31.10 Kabale-Mbarara-24hr'!G93,'2.11 Kabale-Mbarara-24hr'!G93)</f>
        <v>0</v>
      </c>
      <c r="H93" s="49">
        <f>AVERAGE('31.10 Kabale-Mbarara-24hr'!H93,'2.11 Kabale-Mbarara-24hr'!H93)</f>
        <v>0</v>
      </c>
      <c r="I93" s="49">
        <f>AVERAGE('31.10 Kabale-Mbarara-24hr'!I93,'2.11 Kabale-Mbarara-24hr'!I93)</f>
        <v>1</v>
      </c>
      <c r="J93" s="49">
        <f>AVERAGE('31.10 Kabale-Mbarara-24hr'!J93,'2.11 Kabale-Mbarara-24hr'!J93)</f>
        <v>0</v>
      </c>
      <c r="K93" s="49">
        <f>AVERAGE('31.10 Kabale-Mbarara-24hr'!K93,'2.11 Kabale-Mbarara-24hr'!K93)</f>
        <v>2</v>
      </c>
      <c r="L93" s="49">
        <f>AVERAGE('31.10 Kabale-Mbarara-24hr'!L93,'2.11 Kabale-Mbarara-24hr'!L93)</f>
        <v>3</v>
      </c>
      <c r="M93" s="49">
        <f>AVERAGE('31.10 Kabale-Mbarara-24hr'!M93,'2.11 Kabale-Mbarara-24hr'!M93)</f>
        <v>1.5</v>
      </c>
      <c r="N93" s="49">
        <f>AVERAGE('31.10 Kabale-Mbarara-24hr'!N93,'2.11 Kabale-Mbarara-24hr'!N93)</f>
        <v>0</v>
      </c>
      <c r="O93" s="15">
        <f t="shared" si="35"/>
        <v>8</v>
      </c>
      <c r="P93" s="15">
        <f t="shared" si="36"/>
        <v>9.5</v>
      </c>
      <c r="R93" s="8"/>
      <c r="T93"/>
    </row>
    <row r="94" spans="2:20" ht="23.1" customHeight="1" x14ac:dyDescent="0.25">
      <c r="B94" s="24" t="s">
        <v>134</v>
      </c>
      <c r="C94" s="49">
        <f>AVERAGE('31.10 Kabale-Mbarara-24hr'!C94,'2.11 Kabale-Mbarara-24hr'!C94)</f>
        <v>0</v>
      </c>
      <c r="D94" s="49">
        <f>AVERAGE('31.10 Kabale-Mbarara-24hr'!D94,'2.11 Kabale-Mbarara-24hr'!D94)</f>
        <v>1</v>
      </c>
      <c r="E94" s="49">
        <f>AVERAGE('31.10 Kabale-Mbarara-24hr'!E94,'2.11 Kabale-Mbarara-24hr'!E94)</f>
        <v>0</v>
      </c>
      <c r="F94" s="49">
        <f>AVERAGE('31.10 Kabale-Mbarara-24hr'!F94,'2.11 Kabale-Mbarara-24hr'!F94)</f>
        <v>2.5</v>
      </c>
      <c r="G94" s="49">
        <f>AVERAGE('31.10 Kabale-Mbarara-24hr'!G94,'2.11 Kabale-Mbarara-24hr'!G94)</f>
        <v>0</v>
      </c>
      <c r="H94" s="49">
        <f>AVERAGE('31.10 Kabale-Mbarara-24hr'!H94,'2.11 Kabale-Mbarara-24hr'!H94)</f>
        <v>0</v>
      </c>
      <c r="I94" s="49">
        <f>AVERAGE('31.10 Kabale-Mbarara-24hr'!I94,'2.11 Kabale-Mbarara-24hr'!I94)</f>
        <v>0</v>
      </c>
      <c r="J94" s="49">
        <f>AVERAGE('31.10 Kabale-Mbarara-24hr'!J94,'2.11 Kabale-Mbarara-24hr'!J94)</f>
        <v>2</v>
      </c>
      <c r="K94" s="49">
        <f>AVERAGE('31.10 Kabale-Mbarara-24hr'!K94,'2.11 Kabale-Mbarara-24hr'!K94)</f>
        <v>2.5</v>
      </c>
      <c r="L94" s="49">
        <f>AVERAGE('31.10 Kabale-Mbarara-24hr'!L94,'2.11 Kabale-Mbarara-24hr'!L94)</f>
        <v>6</v>
      </c>
      <c r="M94" s="49">
        <f>AVERAGE('31.10 Kabale-Mbarara-24hr'!M94,'2.11 Kabale-Mbarara-24hr'!M94)</f>
        <v>3</v>
      </c>
      <c r="N94" s="49">
        <f>AVERAGE('31.10 Kabale-Mbarara-24hr'!N94,'2.11 Kabale-Mbarara-24hr'!N94)</f>
        <v>0</v>
      </c>
      <c r="O94" s="15">
        <f t="shared" si="35"/>
        <v>14</v>
      </c>
      <c r="P94" s="15">
        <f t="shared" si="36"/>
        <v>17</v>
      </c>
      <c r="R94" s="8"/>
      <c r="T94"/>
    </row>
    <row r="95" spans="2:20" ht="23.1" customHeight="1" x14ac:dyDescent="0.25">
      <c r="B95" s="23" t="s">
        <v>135</v>
      </c>
      <c r="C95" s="49">
        <f>AVERAGE('31.10 Kabale-Mbarara-24hr'!C95,'2.11 Kabale-Mbarara-24hr'!C95)</f>
        <v>1</v>
      </c>
      <c r="D95" s="49">
        <f>AVERAGE('31.10 Kabale-Mbarara-24hr'!D95,'2.11 Kabale-Mbarara-24hr'!D95)</f>
        <v>0</v>
      </c>
      <c r="E95" s="49">
        <f>AVERAGE('31.10 Kabale-Mbarara-24hr'!E95,'2.11 Kabale-Mbarara-24hr'!E95)</f>
        <v>0</v>
      </c>
      <c r="F95" s="49">
        <f>AVERAGE('31.10 Kabale-Mbarara-24hr'!F95,'2.11 Kabale-Mbarara-24hr'!F95)</f>
        <v>0</v>
      </c>
      <c r="G95" s="49">
        <f>AVERAGE('31.10 Kabale-Mbarara-24hr'!G95,'2.11 Kabale-Mbarara-24hr'!G95)</f>
        <v>0</v>
      </c>
      <c r="H95" s="49">
        <f>AVERAGE('31.10 Kabale-Mbarara-24hr'!H95,'2.11 Kabale-Mbarara-24hr'!H95)</f>
        <v>0.5</v>
      </c>
      <c r="I95" s="49">
        <f>AVERAGE('31.10 Kabale-Mbarara-24hr'!I95,'2.11 Kabale-Mbarara-24hr'!I95)</f>
        <v>0</v>
      </c>
      <c r="J95" s="49">
        <f>AVERAGE('31.10 Kabale-Mbarara-24hr'!J95,'2.11 Kabale-Mbarara-24hr'!J95)</f>
        <v>0</v>
      </c>
      <c r="K95" s="49">
        <f>AVERAGE('31.10 Kabale-Mbarara-24hr'!K95,'2.11 Kabale-Mbarara-24hr'!K95)</f>
        <v>1</v>
      </c>
      <c r="L95" s="49">
        <f>AVERAGE('31.10 Kabale-Mbarara-24hr'!L95,'2.11 Kabale-Mbarara-24hr'!L95)</f>
        <v>1</v>
      </c>
      <c r="M95" s="49">
        <f>AVERAGE('31.10 Kabale-Mbarara-24hr'!M95,'2.11 Kabale-Mbarara-24hr'!M95)</f>
        <v>1</v>
      </c>
      <c r="N95" s="49">
        <f>AVERAGE('31.10 Kabale-Mbarara-24hr'!N95,'2.11 Kabale-Mbarara-24hr'!N95)</f>
        <v>0</v>
      </c>
      <c r="O95" s="15">
        <f t="shared" si="35"/>
        <v>3.5</v>
      </c>
      <c r="P95" s="15">
        <f t="shared" si="36"/>
        <v>4.5</v>
      </c>
      <c r="R95" s="8"/>
      <c r="T95"/>
    </row>
    <row r="96" spans="2:20" ht="23.1" customHeight="1" x14ac:dyDescent="0.25">
      <c r="B96" s="25" t="s">
        <v>136</v>
      </c>
      <c r="C96" s="49">
        <f>AVERAGE('31.10 Kabale-Mbarara-24hr'!C96,'2.11 Kabale-Mbarara-24hr'!C96)</f>
        <v>1</v>
      </c>
      <c r="D96" s="49">
        <f>AVERAGE('31.10 Kabale-Mbarara-24hr'!D96,'2.11 Kabale-Mbarara-24hr'!D96)</f>
        <v>0</v>
      </c>
      <c r="E96" s="49">
        <f>AVERAGE('31.10 Kabale-Mbarara-24hr'!E96,'2.11 Kabale-Mbarara-24hr'!E96)</f>
        <v>0.5</v>
      </c>
      <c r="F96" s="49">
        <f>AVERAGE('31.10 Kabale-Mbarara-24hr'!F96,'2.11 Kabale-Mbarara-24hr'!F96)</f>
        <v>1</v>
      </c>
      <c r="G96" s="49">
        <f>AVERAGE('31.10 Kabale-Mbarara-24hr'!G96,'2.11 Kabale-Mbarara-24hr'!G96)</f>
        <v>0</v>
      </c>
      <c r="H96" s="49">
        <f>AVERAGE('31.10 Kabale-Mbarara-24hr'!H96,'2.11 Kabale-Mbarara-24hr'!H96)</f>
        <v>0</v>
      </c>
      <c r="I96" s="49">
        <f>AVERAGE('31.10 Kabale-Mbarara-24hr'!I96,'2.11 Kabale-Mbarara-24hr'!I96)</f>
        <v>2</v>
      </c>
      <c r="J96" s="49">
        <f>AVERAGE('31.10 Kabale-Mbarara-24hr'!J96,'2.11 Kabale-Mbarara-24hr'!J96)</f>
        <v>2</v>
      </c>
      <c r="K96" s="49">
        <f>AVERAGE('31.10 Kabale-Mbarara-24hr'!K96,'2.11 Kabale-Mbarara-24hr'!K96)</f>
        <v>4</v>
      </c>
      <c r="L96" s="49">
        <f>AVERAGE('31.10 Kabale-Mbarara-24hr'!L96,'2.11 Kabale-Mbarara-24hr'!L96)</f>
        <v>2.5</v>
      </c>
      <c r="M96" s="49">
        <f>AVERAGE('31.10 Kabale-Mbarara-24hr'!M96,'2.11 Kabale-Mbarara-24hr'!M96)</f>
        <v>0</v>
      </c>
      <c r="N96" s="49">
        <f>AVERAGE('31.10 Kabale-Mbarara-24hr'!N96,'2.11 Kabale-Mbarara-24hr'!N96)</f>
        <v>0</v>
      </c>
      <c r="O96" s="15">
        <f t="shared" si="35"/>
        <v>13</v>
      </c>
      <c r="P96" s="15">
        <f t="shared" si="36"/>
        <v>13</v>
      </c>
      <c r="R96" s="8"/>
      <c r="T96"/>
    </row>
    <row r="97" spans="2:20" ht="23.1" customHeight="1" x14ac:dyDescent="0.25">
      <c r="B97" s="23" t="s">
        <v>137</v>
      </c>
      <c r="C97" s="49">
        <f>AVERAGE('31.10 Kabale-Mbarara-24hr'!C97,'2.11 Kabale-Mbarara-24hr'!C97)</f>
        <v>0</v>
      </c>
      <c r="D97" s="49">
        <f>AVERAGE('31.10 Kabale-Mbarara-24hr'!D97,'2.11 Kabale-Mbarara-24hr'!D97)</f>
        <v>1</v>
      </c>
      <c r="E97" s="49">
        <f>AVERAGE('31.10 Kabale-Mbarara-24hr'!E97,'2.11 Kabale-Mbarara-24hr'!E97)</f>
        <v>0</v>
      </c>
      <c r="F97" s="49">
        <f>AVERAGE('31.10 Kabale-Mbarara-24hr'!F97,'2.11 Kabale-Mbarara-24hr'!F97)</f>
        <v>0.5</v>
      </c>
      <c r="G97" s="49">
        <f>AVERAGE('31.10 Kabale-Mbarara-24hr'!G97,'2.11 Kabale-Mbarara-24hr'!G97)</f>
        <v>0</v>
      </c>
      <c r="H97" s="49">
        <f>AVERAGE('31.10 Kabale-Mbarara-24hr'!H97,'2.11 Kabale-Mbarara-24hr'!H97)</f>
        <v>0</v>
      </c>
      <c r="I97" s="49">
        <f>AVERAGE('31.10 Kabale-Mbarara-24hr'!I97,'2.11 Kabale-Mbarara-24hr'!I97)</f>
        <v>0</v>
      </c>
      <c r="J97" s="49">
        <f>AVERAGE('31.10 Kabale-Mbarara-24hr'!J97,'2.11 Kabale-Mbarara-24hr'!J97)</f>
        <v>1</v>
      </c>
      <c r="K97" s="49">
        <f>AVERAGE('31.10 Kabale-Mbarara-24hr'!K97,'2.11 Kabale-Mbarara-24hr'!K97)</f>
        <v>3.5</v>
      </c>
      <c r="L97" s="49">
        <f>AVERAGE('31.10 Kabale-Mbarara-24hr'!L97,'2.11 Kabale-Mbarara-24hr'!L97)</f>
        <v>3</v>
      </c>
      <c r="M97" s="49">
        <f>AVERAGE('31.10 Kabale-Mbarara-24hr'!M97,'2.11 Kabale-Mbarara-24hr'!M97)</f>
        <v>1.5</v>
      </c>
      <c r="N97" s="49">
        <f>AVERAGE('31.10 Kabale-Mbarara-24hr'!N97,'2.11 Kabale-Mbarara-24hr'!N97)</f>
        <v>0</v>
      </c>
      <c r="O97" s="15">
        <f t="shared" si="35"/>
        <v>9</v>
      </c>
      <c r="P97" s="15">
        <f t="shared" si="36"/>
        <v>10.5</v>
      </c>
      <c r="R97" s="8"/>
      <c r="T97"/>
    </row>
    <row r="98" spans="2:20" ht="23.1" customHeight="1" x14ac:dyDescent="0.25">
      <c r="B98" s="24" t="s">
        <v>138</v>
      </c>
      <c r="C98" s="49">
        <f>AVERAGE('31.10 Kabale-Mbarara-24hr'!C98,'2.11 Kabale-Mbarara-24hr'!C98)</f>
        <v>0</v>
      </c>
      <c r="D98" s="49">
        <f>AVERAGE('31.10 Kabale-Mbarara-24hr'!D98,'2.11 Kabale-Mbarara-24hr'!D98)</f>
        <v>0</v>
      </c>
      <c r="E98" s="49">
        <f>AVERAGE('31.10 Kabale-Mbarara-24hr'!E98,'2.11 Kabale-Mbarara-24hr'!E98)</f>
        <v>0</v>
      </c>
      <c r="F98" s="49">
        <f>AVERAGE('31.10 Kabale-Mbarara-24hr'!F98,'2.11 Kabale-Mbarara-24hr'!F98)</f>
        <v>1.5</v>
      </c>
      <c r="G98" s="49">
        <f>AVERAGE('31.10 Kabale-Mbarara-24hr'!G98,'2.11 Kabale-Mbarara-24hr'!G98)</f>
        <v>0</v>
      </c>
      <c r="H98" s="49">
        <f>AVERAGE('31.10 Kabale-Mbarara-24hr'!H98,'2.11 Kabale-Mbarara-24hr'!H98)</f>
        <v>0</v>
      </c>
      <c r="I98" s="49">
        <f>AVERAGE('31.10 Kabale-Mbarara-24hr'!I98,'2.11 Kabale-Mbarara-24hr'!I98)</f>
        <v>0</v>
      </c>
      <c r="J98" s="49">
        <f>AVERAGE('31.10 Kabale-Mbarara-24hr'!J98,'2.11 Kabale-Mbarara-24hr'!J98)</f>
        <v>0</v>
      </c>
      <c r="K98" s="49">
        <f>AVERAGE('31.10 Kabale-Mbarara-24hr'!K98,'2.11 Kabale-Mbarara-24hr'!K98)</f>
        <v>0</v>
      </c>
      <c r="L98" s="49">
        <f>AVERAGE('31.10 Kabale-Mbarara-24hr'!L98,'2.11 Kabale-Mbarara-24hr'!L98)</f>
        <v>1.5</v>
      </c>
      <c r="M98" s="49">
        <f>AVERAGE('31.10 Kabale-Mbarara-24hr'!M98,'2.11 Kabale-Mbarara-24hr'!M98)</f>
        <v>0</v>
      </c>
      <c r="N98" s="49">
        <f>AVERAGE('31.10 Kabale-Mbarara-24hr'!N98,'2.11 Kabale-Mbarara-24hr'!N98)</f>
        <v>0</v>
      </c>
      <c r="O98" s="15">
        <f t="shared" si="35"/>
        <v>3</v>
      </c>
      <c r="P98" s="15">
        <f t="shared" si="36"/>
        <v>3</v>
      </c>
      <c r="R98" s="8"/>
      <c r="T98"/>
    </row>
    <row r="99" spans="2:20" ht="23.1" customHeight="1" x14ac:dyDescent="0.25">
      <c r="B99" s="23" t="s">
        <v>139</v>
      </c>
      <c r="C99" s="49">
        <f>AVERAGE('31.10 Kabale-Mbarara-24hr'!C99,'2.11 Kabale-Mbarara-24hr'!C99)</f>
        <v>0</v>
      </c>
      <c r="D99" s="49">
        <f>AVERAGE('31.10 Kabale-Mbarara-24hr'!D99,'2.11 Kabale-Mbarara-24hr'!D99)</f>
        <v>0</v>
      </c>
      <c r="E99" s="49">
        <f>AVERAGE('31.10 Kabale-Mbarara-24hr'!E99,'2.11 Kabale-Mbarara-24hr'!E99)</f>
        <v>0</v>
      </c>
      <c r="F99" s="49">
        <f>AVERAGE('31.10 Kabale-Mbarara-24hr'!F99,'2.11 Kabale-Mbarara-24hr'!F99)</f>
        <v>0</v>
      </c>
      <c r="G99" s="49">
        <f>AVERAGE('31.10 Kabale-Mbarara-24hr'!G99,'2.11 Kabale-Mbarara-24hr'!G99)</f>
        <v>0</v>
      </c>
      <c r="H99" s="49">
        <f>AVERAGE('31.10 Kabale-Mbarara-24hr'!H99,'2.11 Kabale-Mbarara-24hr'!H99)</f>
        <v>0.5</v>
      </c>
      <c r="I99" s="49">
        <f>AVERAGE('31.10 Kabale-Mbarara-24hr'!I99,'2.11 Kabale-Mbarara-24hr'!I99)</f>
        <v>0</v>
      </c>
      <c r="J99" s="49">
        <f>AVERAGE('31.10 Kabale-Mbarara-24hr'!J99,'2.11 Kabale-Mbarara-24hr'!J99)</f>
        <v>0</v>
      </c>
      <c r="K99" s="49">
        <f>AVERAGE('31.10 Kabale-Mbarara-24hr'!K99,'2.11 Kabale-Mbarara-24hr'!K99)</f>
        <v>0</v>
      </c>
      <c r="L99" s="49">
        <f>AVERAGE('31.10 Kabale-Mbarara-24hr'!L99,'2.11 Kabale-Mbarara-24hr'!L99)</f>
        <v>0.5</v>
      </c>
      <c r="M99" s="49">
        <f>AVERAGE('31.10 Kabale-Mbarara-24hr'!M99,'2.11 Kabale-Mbarara-24hr'!M99)</f>
        <v>0</v>
      </c>
      <c r="N99" s="49">
        <f>AVERAGE('31.10 Kabale-Mbarara-24hr'!N99,'2.11 Kabale-Mbarara-24hr'!N99)</f>
        <v>0</v>
      </c>
      <c r="O99" s="15">
        <f t="shared" si="35"/>
        <v>1</v>
      </c>
      <c r="P99" s="15">
        <f t="shared" si="36"/>
        <v>1</v>
      </c>
      <c r="R99" s="8"/>
      <c r="T99"/>
    </row>
    <row r="100" spans="2:20" ht="23.1" customHeight="1" x14ac:dyDescent="0.25">
      <c r="B100" s="25" t="s">
        <v>140</v>
      </c>
      <c r="C100" s="49">
        <f>AVERAGE('31.10 Kabale-Mbarara-24hr'!C100,'2.11 Kabale-Mbarara-24hr'!C100)</f>
        <v>0</v>
      </c>
      <c r="D100" s="49">
        <f>AVERAGE('31.10 Kabale-Mbarara-24hr'!D100,'2.11 Kabale-Mbarara-24hr'!D100)</f>
        <v>0</v>
      </c>
      <c r="E100" s="49">
        <f>AVERAGE('31.10 Kabale-Mbarara-24hr'!E100,'2.11 Kabale-Mbarara-24hr'!E100)</f>
        <v>0</v>
      </c>
      <c r="F100" s="49">
        <f>AVERAGE('31.10 Kabale-Mbarara-24hr'!F100,'2.11 Kabale-Mbarara-24hr'!F100)</f>
        <v>3</v>
      </c>
      <c r="G100" s="49">
        <f>AVERAGE('31.10 Kabale-Mbarara-24hr'!G100,'2.11 Kabale-Mbarara-24hr'!G100)</f>
        <v>0</v>
      </c>
      <c r="H100" s="49">
        <f>AVERAGE('31.10 Kabale-Mbarara-24hr'!H100,'2.11 Kabale-Mbarara-24hr'!H100)</f>
        <v>0</v>
      </c>
      <c r="I100" s="49">
        <f>AVERAGE('31.10 Kabale-Mbarara-24hr'!I100,'2.11 Kabale-Mbarara-24hr'!I100)</f>
        <v>0</v>
      </c>
      <c r="J100" s="49">
        <f>AVERAGE('31.10 Kabale-Mbarara-24hr'!J100,'2.11 Kabale-Mbarara-24hr'!J100)</f>
        <v>0</v>
      </c>
      <c r="K100" s="49">
        <f>AVERAGE('31.10 Kabale-Mbarara-24hr'!K100,'2.11 Kabale-Mbarara-24hr'!K100)</f>
        <v>0</v>
      </c>
      <c r="L100" s="49">
        <f>AVERAGE('31.10 Kabale-Mbarara-24hr'!L100,'2.11 Kabale-Mbarara-24hr'!L100)</f>
        <v>2</v>
      </c>
      <c r="M100" s="49">
        <f>AVERAGE('31.10 Kabale-Mbarara-24hr'!M100,'2.11 Kabale-Mbarara-24hr'!M100)</f>
        <v>0</v>
      </c>
      <c r="N100" s="49">
        <f>AVERAGE('31.10 Kabale-Mbarara-24hr'!N100,'2.11 Kabale-Mbarara-24hr'!N100)</f>
        <v>0</v>
      </c>
      <c r="O100" s="15">
        <f t="shared" si="35"/>
        <v>5</v>
      </c>
      <c r="P100" s="15">
        <f t="shared" si="36"/>
        <v>5</v>
      </c>
      <c r="R100" s="8"/>
      <c r="T100"/>
    </row>
    <row r="101" spans="2:20" ht="23.1" customHeight="1" x14ac:dyDescent="0.25">
      <c r="B101" s="23" t="s">
        <v>141</v>
      </c>
      <c r="C101" s="49">
        <f>AVERAGE('31.10 Kabale-Mbarara-24hr'!C101,'2.11 Kabale-Mbarara-24hr'!C101)</f>
        <v>0.5</v>
      </c>
      <c r="D101" s="49">
        <f>AVERAGE('31.10 Kabale-Mbarara-24hr'!D101,'2.11 Kabale-Mbarara-24hr'!D101)</f>
        <v>0</v>
      </c>
      <c r="E101" s="49">
        <f>AVERAGE('31.10 Kabale-Mbarara-24hr'!E101,'2.11 Kabale-Mbarara-24hr'!E101)</f>
        <v>0</v>
      </c>
      <c r="F101" s="49">
        <f>AVERAGE('31.10 Kabale-Mbarara-24hr'!F101,'2.11 Kabale-Mbarara-24hr'!F101)</f>
        <v>1</v>
      </c>
      <c r="G101" s="49">
        <f>AVERAGE('31.10 Kabale-Mbarara-24hr'!G101,'2.11 Kabale-Mbarara-24hr'!G101)</f>
        <v>0</v>
      </c>
      <c r="H101" s="49">
        <f>AVERAGE('31.10 Kabale-Mbarara-24hr'!H101,'2.11 Kabale-Mbarara-24hr'!H101)</f>
        <v>0.5</v>
      </c>
      <c r="I101" s="49">
        <f>AVERAGE('31.10 Kabale-Mbarara-24hr'!I101,'2.11 Kabale-Mbarara-24hr'!I101)</f>
        <v>0</v>
      </c>
      <c r="J101" s="49">
        <f>AVERAGE('31.10 Kabale-Mbarara-24hr'!J101,'2.11 Kabale-Mbarara-24hr'!J101)</f>
        <v>0</v>
      </c>
      <c r="K101" s="49">
        <f>AVERAGE('31.10 Kabale-Mbarara-24hr'!K101,'2.11 Kabale-Mbarara-24hr'!K101)</f>
        <v>0</v>
      </c>
      <c r="L101" s="49">
        <f>AVERAGE('31.10 Kabale-Mbarara-24hr'!L101,'2.11 Kabale-Mbarara-24hr'!L101)</f>
        <v>1</v>
      </c>
      <c r="M101" s="49">
        <f>AVERAGE('31.10 Kabale-Mbarara-24hr'!M101,'2.11 Kabale-Mbarara-24hr'!M101)</f>
        <v>1</v>
      </c>
      <c r="N101" s="49">
        <f>AVERAGE('31.10 Kabale-Mbarara-24hr'!N101,'2.11 Kabale-Mbarara-24hr'!N101)</f>
        <v>0</v>
      </c>
      <c r="O101" s="15">
        <f t="shared" si="35"/>
        <v>3</v>
      </c>
      <c r="P101" s="15">
        <f t="shared" si="36"/>
        <v>4</v>
      </c>
      <c r="R101" s="8"/>
      <c r="T101"/>
    </row>
    <row r="102" spans="2:20" ht="23.1" customHeight="1" x14ac:dyDescent="0.25">
      <c r="B102" s="24" t="s">
        <v>142</v>
      </c>
      <c r="C102" s="49">
        <f>AVERAGE('31.10 Kabale-Mbarara-24hr'!C102,'2.11 Kabale-Mbarara-24hr'!C102)</f>
        <v>1</v>
      </c>
      <c r="D102" s="49">
        <f>AVERAGE('31.10 Kabale-Mbarara-24hr'!D102,'2.11 Kabale-Mbarara-24hr'!D102)</f>
        <v>0</v>
      </c>
      <c r="E102" s="49">
        <f>AVERAGE('31.10 Kabale-Mbarara-24hr'!E102,'2.11 Kabale-Mbarara-24hr'!E102)</f>
        <v>0</v>
      </c>
      <c r="F102" s="49">
        <f>AVERAGE('31.10 Kabale-Mbarara-24hr'!F102,'2.11 Kabale-Mbarara-24hr'!F102)</f>
        <v>1</v>
      </c>
      <c r="G102" s="49">
        <f>AVERAGE('31.10 Kabale-Mbarara-24hr'!G102,'2.11 Kabale-Mbarara-24hr'!G102)</f>
        <v>0</v>
      </c>
      <c r="H102" s="49">
        <f>AVERAGE('31.10 Kabale-Mbarara-24hr'!H102,'2.11 Kabale-Mbarara-24hr'!H102)</f>
        <v>1</v>
      </c>
      <c r="I102" s="49">
        <f>AVERAGE('31.10 Kabale-Mbarara-24hr'!I102,'2.11 Kabale-Mbarara-24hr'!I102)</f>
        <v>0</v>
      </c>
      <c r="J102" s="49">
        <f>AVERAGE('31.10 Kabale-Mbarara-24hr'!J102,'2.11 Kabale-Mbarara-24hr'!J102)</f>
        <v>0</v>
      </c>
      <c r="K102" s="49">
        <f>AVERAGE('31.10 Kabale-Mbarara-24hr'!K102,'2.11 Kabale-Mbarara-24hr'!K102)</f>
        <v>1</v>
      </c>
      <c r="L102" s="49">
        <f>AVERAGE('31.10 Kabale-Mbarara-24hr'!L102,'2.11 Kabale-Mbarara-24hr'!L102)</f>
        <v>0</v>
      </c>
      <c r="M102" s="49">
        <f>AVERAGE('31.10 Kabale-Mbarara-24hr'!M102,'2.11 Kabale-Mbarara-24hr'!M102)</f>
        <v>2</v>
      </c>
      <c r="N102" s="49">
        <f>AVERAGE('31.10 Kabale-Mbarara-24hr'!N102,'2.11 Kabale-Mbarara-24hr'!N102)</f>
        <v>0</v>
      </c>
      <c r="O102" s="15">
        <f t="shared" si="35"/>
        <v>4</v>
      </c>
      <c r="P102" s="15">
        <f t="shared" si="36"/>
        <v>6</v>
      </c>
      <c r="R102" s="8"/>
      <c r="T102"/>
    </row>
    <row r="103" spans="2:20" ht="23.1" customHeight="1" x14ac:dyDescent="0.25">
      <c r="B103" s="23" t="s">
        <v>143</v>
      </c>
      <c r="C103" s="49">
        <f>AVERAGE('31.10 Kabale-Mbarara-24hr'!C103,'2.11 Kabale-Mbarara-24hr'!C103)</f>
        <v>0</v>
      </c>
      <c r="D103" s="49">
        <f>AVERAGE('31.10 Kabale-Mbarara-24hr'!D103,'2.11 Kabale-Mbarara-24hr'!D103)</f>
        <v>0</v>
      </c>
      <c r="E103" s="49">
        <f>AVERAGE('31.10 Kabale-Mbarara-24hr'!E103,'2.11 Kabale-Mbarara-24hr'!E103)</f>
        <v>0.5</v>
      </c>
      <c r="F103" s="49">
        <f>AVERAGE('31.10 Kabale-Mbarara-24hr'!F103,'2.11 Kabale-Mbarara-24hr'!F103)</f>
        <v>3</v>
      </c>
      <c r="G103" s="49">
        <f>AVERAGE('31.10 Kabale-Mbarara-24hr'!G103,'2.11 Kabale-Mbarara-24hr'!G103)</f>
        <v>0.5</v>
      </c>
      <c r="H103" s="49">
        <f>AVERAGE('31.10 Kabale-Mbarara-24hr'!H103,'2.11 Kabale-Mbarara-24hr'!H103)</f>
        <v>0</v>
      </c>
      <c r="I103" s="49">
        <f>AVERAGE('31.10 Kabale-Mbarara-24hr'!I103,'2.11 Kabale-Mbarara-24hr'!I103)</f>
        <v>0</v>
      </c>
      <c r="J103" s="49">
        <f>AVERAGE('31.10 Kabale-Mbarara-24hr'!J103,'2.11 Kabale-Mbarara-24hr'!J103)</f>
        <v>1</v>
      </c>
      <c r="K103" s="49">
        <f>AVERAGE('31.10 Kabale-Mbarara-24hr'!K103,'2.11 Kabale-Mbarara-24hr'!K103)</f>
        <v>0</v>
      </c>
      <c r="L103" s="49">
        <f>AVERAGE('31.10 Kabale-Mbarara-24hr'!L103,'2.11 Kabale-Mbarara-24hr'!L103)</f>
        <v>0</v>
      </c>
      <c r="M103" s="49">
        <f>AVERAGE('31.10 Kabale-Mbarara-24hr'!M103,'2.11 Kabale-Mbarara-24hr'!M103)</f>
        <v>0</v>
      </c>
      <c r="N103" s="49">
        <f>AVERAGE('31.10 Kabale-Mbarara-24hr'!N103,'2.11 Kabale-Mbarara-24hr'!N103)</f>
        <v>0</v>
      </c>
      <c r="O103" s="15">
        <f t="shared" si="35"/>
        <v>5</v>
      </c>
      <c r="P103" s="15">
        <f t="shared" si="36"/>
        <v>5</v>
      </c>
      <c r="R103" s="8"/>
      <c r="T103"/>
    </row>
    <row r="104" spans="2:20" ht="23.1" customHeight="1" x14ac:dyDescent="0.25">
      <c r="B104" s="25" t="s">
        <v>144</v>
      </c>
      <c r="C104" s="49">
        <f>AVERAGE('31.10 Kabale-Mbarara-24hr'!C104,'2.11 Kabale-Mbarara-24hr'!C104)</f>
        <v>2.5</v>
      </c>
      <c r="D104" s="49">
        <f>AVERAGE('31.10 Kabale-Mbarara-24hr'!D104,'2.11 Kabale-Mbarara-24hr'!D104)</f>
        <v>0</v>
      </c>
      <c r="E104" s="49">
        <f>AVERAGE('31.10 Kabale-Mbarara-24hr'!E104,'2.11 Kabale-Mbarara-24hr'!E104)</f>
        <v>0</v>
      </c>
      <c r="F104" s="49">
        <f>AVERAGE('31.10 Kabale-Mbarara-24hr'!F104,'2.11 Kabale-Mbarara-24hr'!F104)</f>
        <v>0</v>
      </c>
      <c r="G104" s="49">
        <f>AVERAGE('31.10 Kabale-Mbarara-24hr'!G104,'2.11 Kabale-Mbarara-24hr'!G104)</f>
        <v>0</v>
      </c>
      <c r="H104" s="49">
        <f>AVERAGE('31.10 Kabale-Mbarara-24hr'!H104,'2.11 Kabale-Mbarara-24hr'!H104)</f>
        <v>0</v>
      </c>
      <c r="I104" s="49">
        <f>AVERAGE('31.10 Kabale-Mbarara-24hr'!I104,'2.11 Kabale-Mbarara-24hr'!I104)</f>
        <v>0</v>
      </c>
      <c r="J104" s="49">
        <f>AVERAGE('31.10 Kabale-Mbarara-24hr'!J104,'2.11 Kabale-Mbarara-24hr'!J104)</f>
        <v>0</v>
      </c>
      <c r="K104" s="49">
        <f>AVERAGE('31.10 Kabale-Mbarara-24hr'!K104,'2.11 Kabale-Mbarara-24hr'!K104)</f>
        <v>0</v>
      </c>
      <c r="L104" s="49">
        <f>AVERAGE('31.10 Kabale-Mbarara-24hr'!L104,'2.11 Kabale-Mbarara-24hr'!L104)</f>
        <v>0.5</v>
      </c>
      <c r="M104" s="49">
        <f>AVERAGE('31.10 Kabale-Mbarara-24hr'!M104,'2.11 Kabale-Mbarara-24hr'!M104)</f>
        <v>0</v>
      </c>
      <c r="N104" s="49">
        <f>AVERAGE('31.10 Kabale-Mbarara-24hr'!N104,'2.11 Kabale-Mbarara-24hr'!N104)</f>
        <v>0</v>
      </c>
      <c r="O104" s="15">
        <f t="shared" si="35"/>
        <v>3</v>
      </c>
      <c r="P104" s="15">
        <f t="shared" si="36"/>
        <v>3</v>
      </c>
      <c r="R104" s="8"/>
      <c r="T104"/>
    </row>
    <row r="105" spans="2:20" ht="23.1" customHeight="1" x14ac:dyDescent="0.25">
      <c r="B105" s="23" t="s">
        <v>145</v>
      </c>
      <c r="C105" s="49">
        <f>AVERAGE('31.10 Kabale-Mbarara-24hr'!C105,'2.11 Kabale-Mbarara-24hr'!C105)</f>
        <v>0.5</v>
      </c>
      <c r="D105" s="49">
        <f>AVERAGE('31.10 Kabale-Mbarara-24hr'!D105,'2.11 Kabale-Mbarara-24hr'!D105)</f>
        <v>1</v>
      </c>
      <c r="E105" s="49">
        <f>AVERAGE('31.10 Kabale-Mbarara-24hr'!E105,'2.11 Kabale-Mbarara-24hr'!E105)</f>
        <v>0</v>
      </c>
      <c r="F105" s="49">
        <f>AVERAGE('31.10 Kabale-Mbarara-24hr'!F105,'2.11 Kabale-Mbarara-24hr'!F105)</f>
        <v>2</v>
      </c>
      <c r="G105" s="49">
        <f>AVERAGE('31.10 Kabale-Mbarara-24hr'!G105,'2.11 Kabale-Mbarara-24hr'!G105)</f>
        <v>0.5</v>
      </c>
      <c r="H105" s="49">
        <f>AVERAGE('31.10 Kabale-Mbarara-24hr'!H105,'2.11 Kabale-Mbarara-24hr'!H105)</f>
        <v>0.5</v>
      </c>
      <c r="I105" s="49">
        <f>AVERAGE('31.10 Kabale-Mbarara-24hr'!I105,'2.11 Kabale-Mbarara-24hr'!I105)</f>
        <v>0</v>
      </c>
      <c r="J105" s="49">
        <f>AVERAGE('31.10 Kabale-Mbarara-24hr'!J105,'2.11 Kabale-Mbarara-24hr'!J105)</f>
        <v>0</v>
      </c>
      <c r="K105" s="49">
        <f>AVERAGE('31.10 Kabale-Mbarara-24hr'!K105,'2.11 Kabale-Mbarara-24hr'!K105)</f>
        <v>0</v>
      </c>
      <c r="L105" s="49">
        <f>AVERAGE('31.10 Kabale-Mbarara-24hr'!L105,'2.11 Kabale-Mbarara-24hr'!L105)</f>
        <v>0</v>
      </c>
      <c r="M105" s="49">
        <f>AVERAGE('31.10 Kabale-Mbarara-24hr'!M105,'2.11 Kabale-Mbarara-24hr'!M105)</f>
        <v>3</v>
      </c>
      <c r="N105" s="49">
        <f>AVERAGE('31.10 Kabale-Mbarara-24hr'!N105,'2.11 Kabale-Mbarara-24hr'!N105)</f>
        <v>0</v>
      </c>
      <c r="O105" s="15">
        <f t="shared" si="35"/>
        <v>4.5</v>
      </c>
      <c r="P105" s="15">
        <f t="shared" si="36"/>
        <v>7.5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455.49999999999994</v>
      </c>
      <c r="D106" s="16">
        <f t="shared" ref="D106:P106" si="37">SUM(D10:D105)</f>
        <v>101.64285714285714</v>
      </c>
      <c r="E106" s="16">
        <f t="shared" si="37"/>
        <v>73.714285714285722</v>
      </c>
      <c r="F106" s="16">
        <f t="shared" si="37"/>
        <v>347.92857142857144</v>
      </c>
      <c r="G106" s="16">
        <f t="shared" si="37"/>
        <v>8.7142857142857117</v>
      </c>
      <c r="H106" s="16">
        <f t="shared" si="37"/>
        <v>38.214285714285708</v>
      </c>
      <c r="I106" s="16">
        <f t="shared" si="37"/>
        <v>88.571428571428584</v>
      </c>
      <c r="J106" s="16">
        <f t="shared" si="37"/>
        <v>70.285714285714278</v>
      </c>
      <c r="K106" s="16">
        <f t="shared" si="37"/>
        <v>108.35714285714285</v>
      </c>
      <c r="L106" s="16">
        <f t="shared" si="37"/>
        <v>158.35714285714283</v>
      </c>
      <c r="M106" s="16">
        <f t="shared" si="37"/>
        <v>849.09523809523796</v>
      </c>
      <c r="N106" s="16">
        <f t="shared" si="37"/>
        <v>1.1428571428571428</v>
      </c>
      <c r="O106" s="16">
        <f t="shared" si="37"/>
        <v>1452.4285714285713</v>
      </c>
      <c r="P106" s="16">
        <f t="shared" si="37"/>
        <v>2301.5238095238096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0.19791235620292971</v>
      </c>
      <c r="D107" s="43">
        <f t="shared" si="38"/>
        <v>4.4163287263096908E-2</v>
      </c>
      <c r="E107" s="43">
        <f t="shared" si="38"/>
        <v>3.2028469750889681E-2</v>
      </c>
      <c r="F107" s="43">
        <f t="shared" si="38"/>
        <v>0.15117313581064304</v>
      </c>
      <c r="G107" s="43">
        <f t="shared" si="38"/>
        <v>3.7863113465199027E-3</v>
      </c>
      <c r="H107" s="43">
        <f t="shared" si="38"/>
        <v>1.6603906314656951E-2</v>
      </c>
      <c r="I107" s="43">
        <f t="shared" si="38"/>
        <v>3.8483820243317063E-2</v>
      </c>
      <c r="J107" s="43">
        <f t="shared" si="38"/>
        <v>3.0538773483406435E-2</v>
      </c>
      <c r="K107" s="43">
        <f t="shared" si="38"/>
        <v>4.7080609120251589E-2</v>
      </c>
      <c r="L107" s="43">
        <f t="shared" si="38"/>
        <v>6.880534635438218E-2</v>
      </c>
      <c r="M107" s="43">
        <f t="shared" si="38"/>
        <v>0.36892741868741197</v>
      </c>
      <c r="N107" s="43">
        <f t="shared" si="38"/>
        <v>4.9656542249441361E-4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0.31361266843710039</v>
      </c>
      <c r="D108" s="44">
        <f t="shared" ref="D108:N108" si="39">D106/$O$106</f>
        <v>6.9981312088128259E-2</v>
      </c>
      <c r="E108" s="44">
        <f t="shared" si="39"/>
        <v>5.0752434346414882E-2</v>
      </c>
      <c r="F108" s="44">
        <f t="shared" si="39"/>
        <v>0.23954952296646015</v>
      </c>
      <c r="G108" s="44">
        <f t="shared" si="39"/>
        <v>5.9998032851381906E-3</v>
      </c>
      <c r="H108" s="44">
        <f t="shared" si="39"/>
        <v>2.6310612766794528E-2</v>
      </c>
      <c r="I108" s="44">
        <f t="shared" si="39"/>
        <v>6.0981607160420982E-2</v>
      </c>
      <c r="J108" s="44">
        <f t="shared" si="39"/>
        <v>4.8391856004721151E-2</v>
      </c>
      <c r="K108" s="44">
        <f t="shared" si="39"/>
        <v>7.4604111340611776E-2</v>
      </c>
      <c r="L108" s="44">
        <f t="shared" si="39"/>
        <v>0.10902921215697844</v>
      </c>
      <c r="M108" s="44"/>
      <c r="N108" s="44">
        <f t="shared" si="39"/>
        <v>7.8685944723123837E-4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G88" zoomScale="60" workbookViewId="0">
      <selection activeCell="AF101" sqref="AF10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5.28515625" customWidth="1"/>
    <col min="4" max="4" width="18.28515625" customWidth="1"/>
    <col min="5" max="5" width="13.5703125" customWidth="1"/>
    <col min="6" max="6" width="12.5703125" customWidth="1"/>
    <col min="7" max="7" width="12.85546875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'1.11 Kabale-Mbarara'!C3:G3</f>
        <v>MCC - C4 - STN100 - MBARARA-NTUNGAMO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33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'Avg Week Kabale-Mbarara'!G5:H5</f>
        <v>Nyeihanga traffic station</v>
      </c>
      <c r="H5" s="64"/>
      <c r="I5" s="14"/>
      <c r="J5" s="2" t="s">
        <v>5</v>
      </c>
      <c r="K5" s="63" t="s">
        <v>185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Kabale-Mbarara'!K6:L6</f>
        <v>Norman 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Mbrarara-Kabale'!C10+'Avg Week Kabale-Mbarara'!C10</f>
        <v>7.7142857142857153</v>
      </c>
      <c r="D10" s="49">
        <f>'Avg Week Mbrarara-Kabale'!D10+'Avg Week Kabale-Mbarara'!D10</f>
        <v>2.5714285714285712</v>
      </c>
      <c r="E10" s="49">
        <f>'Avg Week Mbrarara-Kabale'!E10+'Avg Week Kabale-Mbarara'!E10</f>
        <v>1.2857142857142856</v>
      </c>
      <c r="F10" s="49">
        <f>'Avg Week Mbrarara-Kabale'!F10+'Avg Week Kabale-Mbarara'!F10</f>
        <v>8.4285714285714288</v>
      </c>
      <c r="G10" s="49">
        <f>'Avg Week Mbrarara-Kabale'!G10+'Avg Week Kabale-Mbarara'!G10</f>
        <v>0.42857142857142855</v>
      </c>
      <c r="H10" s="49">
        <f>'Avg Week Mbrarara-Kabale'!H10+'Avg Week Kabale-Mbarara'!H10</f>
        <v>0.42857142857142855</v>
      </c>
      <c r="I10" s="49">
        <f>'Avg Week Mbrarara-Kabale'!I10+'Avg Week Kabale-Mbarara'!I10</f>
        <v>1.1428571428571428</v>
      </c>
      <c r="J10" s="49">
        <f>'Avg Week Mbrarara-Kabale'!J10+'Avg Week Kabale-Mbarara'!J10</f>
        <v>2</v>
      </c>
      <c r="K10" s="49">
        <f>'Avg Week Mbrarara-Kabale'!K10+'Avg Week Kabale-Mbarara'!K10</f>
        <v>3</v>
      </c>
      <c r="L10" s="49">
        <f>'Avg Week Mbrarara-Kabale'!L10+'Avg Week Kabale-Mbarara'!L10</f>
        <v>5.1428571428571423</v>
      </c>
      <c r="M10" s="49">
        <f>'Avg Week Mbrarara-Kabale'!M10+'Avg Week Kabale-Mbarara'!M10</f>
        <v>19.142857142857142</v>
      </c>
      <c r="N10" s="49">
        <f>'Avg Week Mbrarara-Kabale'!N10+'Avg Week Kabale-Mbarara'!N10</f>
        <v>0</v>
      </c>
      <c r="O10" s="15">
        <f t="shared" ref="O10:O73" si="0">SUM(C10:L10,N10)</f>
        <v>32.142857142857139</v>
      </c>
      <c r="P10" s="15">
        <f t="shared" ref="P10:P73" si="1">SUM(C10:N10)</f>
        <v>51.285714285714278</v>
      </c>
      <c r="R10" s="1" t="s">
        <v>6</v>
      </c>
      <c r="S10" s="17">
        <f t="shared" ref="S10:AF10" si="2">SUM(C10:C13)</f>
        <v>38.857142857142861</v>
      </c>
      <c r="T10" s="17">
        <f t="shared" si="2"/>
        <v>16</v>
      </c>
      <c r="U10" s="17">
        <f t="shared" si="2"/>
        <v>10.428571428571427</v>
      </c>
      <c r="V10" s="17">
        <f t="shared" si="2"/>
        <v>37.571428571428569</v>
      </c>
      <c r="W10" s="17">
        <f t="shared" si="2"/>
        <v>1</v>
      </c>
      <c r="X10" s="17">
        <f t="shared" si="2"/>
        <v>1.8571428571428572</v>
      </c>
      <c r="Y10" s="17">
        <f t="shared" si="2"/>
        <v>8.8571428571428577</v>
      </c>
      <c r="Z10" s="17">
        <f t="shared" si="2"/>
        <v>8.7142857142857135</v>
      </c>
      <c r="AA10" s="17">
        <f t="shared" si="2"/>
        <v>14</v>
      </c>
      <c r="AB10" s="17">
        <f t="shared" si="2"/>
        <v>21</v>
      </c>
      <c r="AC10" s="17">
        <f t="shared" si="2"/>
        <v>96.714285714285722</v>
      </c>
      <c r="AD10" s="17">
        <f t="shared" si="2"/>
        <v>0</v>
      </c>
      <c r="AE10" s="31">
        <f t="shared" si="2"/>
        <v>158.28571428571428</v>
      </c>
      <c r="AF10" s="31">
        <f t="shared" si="2"/>
        <v>255.00000000000003</v>
      </c>
    </row>
    <row r="11" spans="2:32" s="6" customFormat="1" ht="23.1" customHeight="1" x14ac:dyDescent="0.25">
      <c r="B11" s="23" t="s">
        <v>38</v>
      </c>
      <c r="C11" s="49">
        <f>'Avg Week Mbrarara-Kabale'!C11+'Avg Week Kabale-Mbarara'!C11</f>
        <v>10</v>
      </c>
      <c r="D11" s="49">
        <f>'Avg Week Mbrarara-Kabale'!D11+'Avg Week Kabale-Mbarara'!D11</f>
        <v>3.4285714285714284</v>
      </c>
      <c r="E11" s="49">
        <f>'Avg Week Mbrarara-Kabale'!E11+'Avg Week Kabale-Mbarara'!E11</f>
        <v>2.2857142857142856</v>
      </c>
      <c r="F11" s="49">
        <f>'Avg Week Mbrarara-Kabale'!F11+'Avg Week Kabale-Mbarara'!F11</f>
        <v>10.571428571428573</v>
      </c>
      <c r="G11" s="49">
        <f>'Avg Week Mbrarara-Kabale'!G11+'Avg Week Kabale-Mbarara'!G11</f>
        <v>0</v>
      </c>
      <c r="H11" s="49">
        <f>'Avg Week Mbrarara-Kabale'!H11+'Avg Week Kabale-Mbarara'!H11</f>
        <v>0.42857142857142855</v>
      </c>
      <c r="I11" s="49">
        <f>'Avg Week Mbrarara-Kabale'!I11+'Avg Week Kabale-Mbarara'!I11</f>
        <v>3</v>
      </c>
      <c r="J11" s="49">
        <f>'Avg Week Mbrarara-Kabale'!J11+'Avg Week Kabale-Mbarara'!J11</f>
        <v>1.7142857142857142</v>
      </c>
      <c r="K11" s="49">
        <f>'Avg Week Mbrarara-Kabale'!K11+'Avg Week Kabale-Mbarara'!K11</f>
        <v>2.714285714285714</v>
      </c>
      <c r="L11" s="49">
        <f>'Avg Week Mbrarara-Kabale'!L11+'Avg Week Kabale-Mbarara'!L11</f>
        <v>4.5714285714285712</v>
      </c>
      <c r="M11" s="49">
        <f>'Avg Week Mbrarara-Kabale'!M11+'Avg Week Kabale-Mbarara'!M11</f>
        <v>26.571428571428573</v>
      </c>
      <c r="N11" s="49">
        <f>'Avg Week Mbrarara-Kabale'!N11+'Avg Week Kabale-Mbarara'!N11</f>
        <v>0</v>
      </c>
      <c r="O11" s="15">
        <f t="shared" si="0"/>
        <v>38.714285714285715</v>
      </c>
      <c r="P11" s="15">
        <f t="shared" si="1"/>
        <v>65.285714285714292</v>
      </c>
      <c r="R11" s="1" t="s">
        <v>7</v>
      </c>
      <c r="S11" s="17">
        <f t="shared" ref="S11:AF11" si="3">SUM(C14:C17)</f>
        <v>49.714285714285715</v>
      </c>
      <c r="T11" s="17">
        <f t="shared" si="3"/>
        <v>13.285714285714285</v>
      </c>
      <c r="U11" s="17">
        <f t="shared" si="3"/>
        <v>10.571428571428573</v>
      </c>
      <c r="V11" s="17">
        <f t="shared" si="3"/>
        <v>34</v>
      </c>
      <c r="W11" s="17">
        <f t="shared" si="3"/>
        <v>1.8571428571428568</v>
      </c>
      <c r="X11" s="17">
        <f t="shared" si="3"/>
        <v>0.85714285714285698</v>
      </c>
      <c r="Y11" s="17">
        <f t="shared" si="3"/>
        <v>11.571428571428571</v>
      </c>
      <c r="Z11" s="17">
        <f t="shared" si="3"/>
        <v>7.2857142857142856</v>
      </c>
      <c r="AA11" s="17">
        <f t="shared" si="3"/>
        <v>4.5714285714285712</v>
      </c>
      <c r="AB11" s="17">
        <f t="shared" si="3"/>
        <v>14.142857142857142</v>
      </c>
      <c r="AC11" s="17">
        <f t="shared" si="3"/>
        <v>113.14285714285714</v>
      </c>
      <c r="AD11" s="17">
        <f t="shared" si="3"/>
        <v>0.5714285714285714</v>
      </c>
      <c r="AE11" s="31">
        <f t="shared" si="3"/>
        <v>148.42857142857144</v>
      </c>
      <c r="AF11" s="31">
        <f t="shared" si="3"/>
        <v>261.57142857142861</v>
      </c>
    </row>
    <row r="12" spans="2:32" ht="23.1" customHeight="1" x14ac:dyDescent="0.25">
      <c r="B12" s="23" t="s">
        <v>39</v>
      </c>
      <c r="C12" s="49">
        <f>'Avg Week Mbrarara-Kabale'!C12+'Avg Week Kabale-Mbarara'!C12</f>
        <v>12.142857142857142</v>
      </c>
      <c r="D12" s="49">
        <f>'Avg Week Mbrarara-Kabale'!D12+'Avg Week Kabale-Mbarara'!D12</f>
        <v>5.1428571428571432</v>
      </c>
      <c r="E12" s="49">
        <f>'Avg Week Mbrarara-Kabale'!E12+'Avg Week Kabale-Mbarara'!E12</f>
        <v>4.2857142857142856</v>
      </c>
      <c r="F12" s="49">
        <f>'Avg Week Mbrarara-Kabale'!F12+'Avg Week Kabale-Mbarara'!F12</f>
        <v>11.285714285714286</v>
      </c>
      <c r="G12" s="49">
        <f>'Avg Week Mbrarara-Kabale'!G12+'Avg Week Kabale-Mbarara'!G12</f>
        <v>0.42857142857142855</v>
      </c>
      <c r="H12" s="49">
        <f>'Avg Week Mbrarara-Kabale'!H12+'Avg Week Kabale-Mbarara'!H12</f>
        <v>0.2857142857142857</v>
      </c>
      <c r="I12" s="49">
        <f>'Avg Week Mbrarara-Kabale'!I12+'Avg Week Kabale-Mbarara'!I12</f>
        <v>2</v>
      </c>
      <c r="J12" s="49">
        <f>'Avg Week Mbrarara-Kabale'!J12+'Avg Week Kabale-Mbarara'!J12</f>
        <v>0.8571428571428571</v>
      </c>
      <c r="K12" s="49">
        <f>'Avg Week Mbrarara-Kabale'!K12+'Avg Week Kabale-Mbarara'!K12</f>
        <v>3.8571428571428577</v>
      </c>
      <c r="L12" s="49">
        <f>'Avg Week Mbrarara-Kabale'!L12+'Avg Week Kabale-Mbarara'!L12</f>
        <v>6.8571428571428577</v>
      </c>
      <c r="M12" s="49">
        <f>'Avg Week Mbrarara-Kabale'!M12+'Avg Week Kabale-Mbarara'!M12</f>
        <v>25.714285714285715</v>
      </c>
      <c r="N12" s="49">
        <f>'Avg Week Mbrarara-Kabale'!N12+'Avg Week Kabale-Mbarara'!N12</f>
        <v>0</v>
      </c>
      <c r="O12" s="15">
        <f t="shared" si="0"/>
        <v>47.142857142857139</v>
      </c>
      <c r="P12" s="15">
        <f t="shared" si="1"/>
        <v>72.857142857142861</v>
      </c>
      <c r="R12" s="1" t="s">
        <v>8</v>
      </c>
      <c r="S12" s="17">
        <f t="shared" ref="S12:AF12" si="4">SUM(C18:C21)</f>
        <v>52.142857142857146</v>
      </c>
      <c r="T12" s="17">
        <f t="shared" si="4"/>
        <v>14.142857142857142</v>
      </c>
      <c r="U12" s="17">
        <f t="shared" si="4"/>
        <v>11.142857142857144</v>
      </c>
      <c r="V12" s="17">
        <f t="shared" si="4"/>
        <v>44.714285714285722</v>
      </c>
      <c r="W12" s="17">
        <f t="shared" si="4"/>
        <v>0.71428571428571419</v>
      </c>
      <c r="X12" s="17">
        <f t="shared" si="4"/>
        <v>4.2857142857142856</v>
      </c>
      <c r="Y12" s="17">
        <f t="shared" si="4"/>
        <v>13</v>
      </c>
      <c r="Z12" s="17">
        <f t="shared" si="4"/>
        <v>8.4285714285714288</v>
      </c>
      <c r="AA12" s="17">
        <f t="shared" si="4"/>
        <v>5.7142857142857144</v>
      </c>
      <c r="AB12" s="17">
        <f t="shared" si="4"/>
        <v>17.571428571428573</v>
      </c>
      <c r="AC12" s="17">
        <f t="shared" si="4"/>
        <v>137</v>
      </c>
      <c r="AD12" s="17">
        <f t="shared" si="4"/>
        <v>0.2857142857142857</v>
      </c>
      <c r="AE12" s="31">
        <f t="shared" si="4"/>
        <v>172.14285714285717</v>
      </c>
      <c r="AF12" s="31">
        <f t="shared" si="4"/>
        <v>309.14285714285711</v>
      </c>
    </row>
    <row r="13" spans="2:32" ht="23.1" customHeight="1" x14ac:dyDescent="0.25">
      <c r="B13" s="23" t="s">
        <v>40</v>
      </c>
      <c r="C13" s="49">
        <f>'Avg Week Mbrarara-Kabale'!C13+'Avg Week Kabale-Mbarara'!C13</f>
        <v>9</v>
      </c>
      <c r="D13" s="49">
        <f>'Avg Week Mbrarara-Kabale'!D13+'Avg Week Kabale-Mbarara'!D13</f>
        <v>4.8571428571428568</v>
      </c>
      <c r="E13" s="49">
        <f>'Avg Week Mbrarara-Kabale'!E13+'Avg Week Kabale-Mbarara'!E13</f>
        <v>2.5714285714285712</v>
      </c>
      <c r="F13" s="49">
        <f>'Avg Week Mbrarara-Kabale'!F13+'Avg Week Kabale-Mbarara'!F13</f>
        <v>7.2857142857142865</v>
      </c>
      <c r="G13" s="49">
        <f>'Avg Week Mbrarara-Kabale'!G13+'Avg Week Kabale-Mbarara'!G13</f>
        <v>0.14285714285714285</v>
      </c>
      <c r="H13" s="49">
        <f>'Avg Week Mbrarara-Kabale'!H13+'Avg Week Kabale-Mbarara'!H13</f>
        <v>0.7142857142857143</v>
      </c>
      <c r="I13" s="49">
        <f>'Avg Week Mbrarara-Kabale'!I13+'Avg Week Kabale-Mbarara'!I13</f>
        <v>2.7142857142857144</v>
      </c>
      <c r="J13" s="49">
        <f>'Avg Week Mbrarara-Kabale'!J13+'Avg Week Kabale-Mbarara'!J13</f>
        <v>4.1428571428571423</v>
      </c>
      <c r="K13" s="49">
        <f>'Avg Week Mbrarara-Kabale'!K13+'Avg Week Kabale-Mbarara'!K13</f>
        <v>4.4285714285714288</v>
      </c>
      <c r="L13" s="49">
        <f>'Avg Week Mbrarara-Kabale'!L13+'Avg Week Kabale-Mbarara'!L13</f>
        <v>4.4285714285714288</v>
      </c>
      <c r="M13" s="49">
        <f>'Avg Week Mbrarara-Kabale'!M13+'Avg Week Kabale-Mbarara'!M13</f>
        <v>25.285714285714285</v>
      </c>
      <c r="N13" s="49">
        <f>'Avg Week Mbrarara-Kabale'!N13+'Avg Week Kabale-Mbarara'!N13</f>
        <v>0</v>
      </c>
      <c r="O13" s="15">
        <f t="shared" si="0"/>
        <v>40.285714285714292</v>
      </c>
      <c r="P13" s="15">
        <f t="shared" si="1"/>
        <v>65.571428571428584</v>
      </c>
      <c r="R13" s="1" t="s">
        <v>9</v>
      </c>
      <c r="S13" s="17">
        <f t="shared" ref="S13:AF13" si="5">SUM(C22:C25)</f>
        <v>64</v>
      </c>
      <c r="T13" s="17">
        <f t="shared" si="5"/>
        <v>15.857142857142858</v>
      </c>
      <c r="U13" s="17">
        <f t="shared" si="5"/>
        <v>10.714285714285715</v>
      </c>
      <c r="V13" s="17">
        <f t="shared" si="5"/>
        <v>43.571428571428569</v>
      </c>
      <c r="W13" s="17">
        <f t="shared" si="5"/>
        <v>0.8571428571428571</v>
      </c>
      <c r="X13" s="17">
        <f t="shared" si="5"/>
        <v>6.7142857142857135</v>
      </c>
      <c r="Y13" s="17">
        <f t="shared" si="5"/>
        <v>15</v>
      </c>
      <c r="Z13" s="17">
        <f t="shared" si="5"/>
        <v>8.1428571428571423</v>
      </c>
      <c r="AA13" s="17">
        <f t="shared" si="5"/>
        <v>8.5714285714285712</v>
      </c>
      <c r="AB13" s="17">
        <f t="shared" si="5"/>
        <v>15</v>
      </c>
      <c r="AC13" s="17">
        <f t="shared" si="5"/>
        <v>137.42857142857144</v>
      </c>
      <c r="AD13" s="17">
        <f t="shared" si="5"/>
        <v>0</v>
      </c>
      <c r="AE13" s="31">
        <f t="shared" si="5"/>
        <v>188.42857142857139</v>
      </c>
      <c r="AF13" s="31">
        <f t="shared" si="5"/>
        <v>325.85714285714283</v>
      </c>
    </row>
    <row r="14" spans="2:32" ht="23.1" customHeight="1" x14ac:dyDescent="0.25">
      <c r="B14" s="23" t="s">
        <v>41</v>
      </c>
      <c r="C14" s="49">
        <f>'Avg Week Mbrarara-Kabale'!C14+'Avg Week Kabale-Mbarara'!C14</f>
        <v>12.142857142857142</v>
      </c>
      <c r="D14" s="49">
        <f>'Avg Week Mbrarara-Kabale'!D14+'Avg Week Kabale-Mbarara'!D14</f>
        <v>2.4285714285714284</v>
      </c>
      <c r="E14" s="49">
        <f>'Avg Week Mbrarara-Kabale'!E14+'Avg Week Kabale-Mbarara'!E14</f>
        <v>1.2857142857142856</v>
      </c>
      <c r="F14" s="49">
        <f>'Avg Week Mbrarara-Kabale'!F14+'Avg Week Kabale-Mbarara'!F14</f>
        <v>7.5714285714285712</v>
      </c>
      <c r="G14" s="49">
        <f>'Avg Week Mbrarara-Kabale'!G14+'Avg Week Kabale-Mbarara'!G14</f>
        <v>0.2857142857142857</v>
      </c>
      <c r="H14" s="49">
        <f>'Avg Week Mbrarara-Kabale'!H14+'Avg Week Kabale-Mbarara'!H14</f>
        <v>0.5714285714285714</v>
      </c>
      <c r="I14" s="49">
        <f>'Avg Week Mbrarara-Kabale'!I14+'Avg Week Kabale-Mbarara'!I14</f>
        <v>2.5714285714285712</v>
      </c>
      <c r="J14" s="49">
        <f>'Avg Week Mbrarara-Kabale'!J14+'Avg Week Kabale-Mbarara'!J14</f>
        <v>1.8571428571428572</v>
      </c>
      <c r="K14" s="49">
        <f>'Avg Week Mbrarara-Kabale'!K14+'Avg Week Kabale-Mbarara'!K14</f>
        <v>0.71428571428571419</v>
      </c>
      <c r="L14" s="49">
        <f>'Avg Week Mbrarara-Kabale'!L14+'Avg Week Kabale-Mbarara'!L14</f>
        <v>2.5714285714285712</v>
      </c>
      <c r="M14" s="49">
        <f>'Avg Week Mbrarara-Kabale'!M14+'Avg Week Kabale-Mbarara'!M14</f>
        <v>22.428571428571431</v>
      </c>
      <c r="N14" s="49">
        <f>'Avg Week Mbrarara-Kabale'!N14+'Avg Week Kabale-Mbarara'!N14</f>
        <v>0</v>
      </c>
      <c r="O14" s="15">
        <f t="shared" si="0"/>
        <v>32.000000000000007</v>
      </c>
      <c r="P14" s="15">
        <f t="shared" si="1"/>
        <v>54.428571428571438</v>
      </c>
      <c r="R14" s="1" t="s">
        <v>10</v>
      </c>
      <c r="S14" s="17">
        <f t="shared" ref="S14:AF14" si="6">SUM(C26:C29)</f>
        <v>68.428571428571431</v>
      </c>
      <c r="T14" s="17">
        <f t="shared" si="6"/>
        <v>19.857142857142858</v>
      </c>
      <c r="U14" s="17">
        <f t="shared" si="6"/>
        <v>13.428571428571427</v>
      </c>
      <c r="V14" s="17">
        <f t="shared" si="6"/>
        <v>48.857142857142854</v>
      </c>
      <c r="W14" s="17">
        <f t="shared" si="6"/>
        <v>1</v>
      </c>
      <c r="X14" s="17">
        <f t="shared" si="6"/>
        <v>5.2857142857142847</v>
      </c>
      <c r="Y14" s="17">
        <f t="shared" si="6"/>
        <v>12.428571428571431</v>
      </c>
      <c r="Z14" s="17">
        <f t="shared" si="6"/>
        <v>11.285714285714285</v>
      </c>
      <c r="AA14" s="17">
        <f t="shared" si="6"/>
        <v>8.8571428571428577</v>
      </c>
      <c r="AB14" s="17">
        <f t="shared" si="6"/>
        <v>16</v>
      </c>
      <c r="AC14" s="17">
        <f t="shared" si="6"/>
        <v>121.85714285714286</v>
      </c>
      <c r="AD14" s="17">
        <f t="shared" si="6"/>
        <v>0.14285714285714285</v>
      </c>
      <c r="AE14" s="31">
        <f t="shared" si="6"/>
        <v>205.57142857142858</v>
      </c>
      <c r="AF14" s="31">
        <f t="shared" si="6"/>
        <v>327.42857142857139</v>
      </c>
    </row>
    <row r="15" spans="2:32" ht="23.1" customHeight="1" x14ac:dyDescent="0.25">
      <c r="B15" s="23" t="s">
        <v>42</v>
      </c>
      <c r="C15" s="49">
        <f>'Avg Week Mbrarara-Kabale'!C15+'Avg Week Kabale-Mbarara'!C15</f>
        <v>14.571428571428571</v>
      </c>
      <c r="D15" s="49">
        <f>'Avg Week Mbrarara-Kabale'!D15+'Avg Week Kabale-Mbarara'!D15</f>
        <v>2.1428571428571428</v>
      </c>
      <c r="E15" s="49">
        <f>'Avg Week Mbrarara-Kabale'!E15+'Avg Week Kabale-Mbarara'!E15</f>
        <v>2.1428571428571428</v>
      </c>
      <c r="F15" s="49">
        <f>'Avg Week Mbrarara-Kabale'!F15+'Avg Week Kabale-Mbarara'!F15</f>
        <v>10.428571428571429</v>
      </c>
      <c r="G15" s="49">
        <f>'Avg Week Mbrarara-Kabale'!G15+'Avg Week Kabale-Mbarara'!G15</f>
        <v>0.71428571428571419</v>
      </c>
      <c r="H15" s="49">
        <f>'Avg Week Mbrarara-Kabale'!H15+'Avg Week Kabale-Mbarara'!H15</f>
        <v>0.14285714285714285</v>
      </c>
      <c r="I15" s="49">
        <f>'Avg Week Mbrarara-Kabale'!I15+'Avg Week Kabale-Mbarara'!I15</f>
        <v>3</v>
      </c>
      <c r="J15" s="49">
        <f>'Avg Week Mbrarara-Kabale'!J15+'Avg Week Kabale-Mbarara'!J15</f>
        <v>1.5714285714285716</v>
      </c>
      <c r="K15" s="49">
        <f>'Avg Week Mbrarara-Kabale'!K15+'Avg Week Kabale-Mbarara'!K15</f>
        <v>2.1428571428571428</v>
      </c>
      <c r="L15" s="49">
        <f>'Avg Week Mbrarara-Kabale'!L15+'Avg Week Kabale-Mbarara'!L15</f>
        <v>2.1428571428571428</v>
      </c>
      <c r="M15" s="49">
        <f>'Avg Week Mbrarara-Kabale'!M15+'Avg Week Kabale-Mbarara'!M15</f>
        <v>29.857142857142858</v>
      </c>
      <c r="N15" s="49">
        <f>'Avg Week Mbrarara-Kabale'!N15+'Avg Week Kabale-Mbarara'!N15</f>
        <v>0</v>
      </c>
      <c r="O15" s="15">
        <f t="shared" si="0"/>
        <v>39</v>
      </c>
      <c r="P15" s="15">
        <f t="shared" si="1"/>
        <v>68.857142857142861</v>
      </c>
      <c r="R15" s="1" t="s">
        <v>11</v>
      </c>
      <c r="S15" s="17">
        <f t="shared" ref="S15:AF15" si="7">SUM(C30:C33)</f>
        <v>60.428571428571431</v>
      </c>
      <c r="T15" s="17">
        <f t="shared" si="7"/>
        <v>18.857142857142858</v>
      </c>
      <c r="U15" s="17">
        <f t="shared" si="7"/>
        <v>11.571428571428571</v>
      </c>
      <c r="V15" s="17">
        <f t="shared" si="7"/>
        <v>52.428571428571431</v>
      </c>
      <c r="W15" s="17">
        <f t="shared" si="7"/>
        <v>0.42857142857142855</v>
      </c>
      <c r="X15" s="17">
        <f t="shared" si="7"/>
        <v>6.1428571428571423</v>
      </c>
      <c r="Y15" s="17">
        <f t="shared" si="7"/>
        <v>13.714285714285714</v>
      </c>
      <c r="Z15" s="17">
        <f t="shared" si="7"/>
        <v>8.8571428571428559</v>
      </c>
      <c r="AA15" s="17">
        <f t="shared" si="7"/>
        <v>10.142857142857142</v>
      </c>
      <c r="AB15" s="17">
        <f t="shared" si="7"/>
        <v>17.571428571428569</v>
      </c>
      <c r="AC15" s="17">
        <f t="shared" si="7"/>
        <v>105.23809523809521</v>
      </c>
      <c r="AD15" s="17">
        <f t="shared" si="7"/>
        <v>0</v>
      </c>
      <c r="AE15" s="31">
        <f t="shared" si="7"/>
        <v>200.14285714285714</v>
      </c>
      <c r="AF15" s="31">
        <f t="shared" si="7"/>
        <v>305.38095238095241</v>
      </c>
    </row>
    <row r="16" spans="2:32" ht="23.1" customHeight="1" x14ac:dyDescent="0.25">
      <c r="B16" s="23" t="s">
        <v>43</v>
      </c>
      <c r="C16" s="49">
        <f>'Avg Week Mbrarara-Kabale'!C16+'Avg Week Kabale-Mbarara'!C16</f>
        <v>11.285714285714286</v>
      </c>
      <c r="D16" s="49">
        <f>'Avg Week Mbrarara-Kabale'!D16+'Avg Week Kabale-Mbarara'!D16</f>
        <v>4</v>
      </c>
      <c r="E16" s="49">
        <f>'Avg Week Mbrarara-Kabale'!E16+'Avg Week Kabale-Mbarara'!E16</f>
        <v>2.4285714285714288</v>
      </c>
      <c r="F16" s="49">
        <f>'Avg Week Mbrarara-Kabale'!F16+'Avg Week Kabale-Mbarara'!F16</f>
        <v>8.1428571428571423</v>
      </c>
      <c r="G16" s="49">
        <f>'Avg Week Mbrarara-Kabale'!G16+'Avg Week Kabale-Mbarara'!G16</f>
        <v>0.71428571428571419</v>
      </c>
      <c r="H16" s="49">
        <f>'Avg Week Mbrarara-Kabale'!H16+'Avg Week Kabale-Mbarara'!H16</f>
        <v>0.14285714285714285</v>
      </c>
      <c r="I16" s="49">
        <f>'Avg Week Mbrarara-Kabale'!I16+'Avg Week Kabale-Mbarara'!I16</f>
        <v>2.8571428571428572</v>
      </c>
      <c r="J16" s="49">
        <f>'Avg Week Mbrarara-Kabale'!J16+'Avg Week Kabale-Mbarara'!J16</f>
        <v>2.1428571428571428</v>
      </c>
      <c r="K16" s="49">
        <f>'Avg Week Mbrarara-Kabale'!K16+'Avg Week Kabale-Mbarara'!K16</f>
        <v>0.7142857142857143</v>
      </c>
      <c r="L16" s="49">
        <f>'Avg Week Mbrarara-Kabale'!L16+'Avg Week Kabale-Mbarara'!L16</f>
        <v>4.7142857142857144</v>
      </c>
      <c r="M16" s="49">
        <f>'Avg Week Mbrarara-Kabale'!M16+'Avg Week Kabale-Mbarara'!M16</f>
        <v>29.857142857142854</v>
      </c>
      <c r="N16" s="49">
        <f>'Avg Week Mbrarara-Kabale'!N16+'Avg Week Kabale-Mbarara'!N16</f>
        <v>0.14285714285714285</v>
      </c>
      <c r="O16" s="15">
        <f t="shared" si="0"/>
        <v>37.285714285714292</v>
      </c>
      <c r="P16" s="15">
        <f t="shared" si="1"/>
        <v>67.142857142857139</v>
      </c>
      <c r="R16" s="1" t="s">
        <v>12</v>
      </c>
      <c r="S16" s="17">
        <f t="shared" ref="S16:AF16" si="8">SUM(C34:C37)</f>
        <v>55.285714285714285</v>
      </c>
      <c r="T16" s="17">
        <f t="shared" si="8"/>
        <v>19.285714285714285</v>
      </c>
      <c r="U16" s="17">
        <f t="shared" si="8"/>
        <v>11.857142857142858</v>
      </c>
      <c r="V16" s="17">
        <f t="shared" si="8"/>
        <v>45.571428571428577</v>
      </c>
      <c r="W16" s="17">
        <f t="shared" si="8"/>
        <v>0.99999999999999989</v>
      </c>
      <c r="X16" s="17">
        <f t="shared" si="8"/>
        <v>4.1428571428571423</v>
      </c>
      <c r="Y16" s="17">
        <f t="shared" si="8"/>
        <v>10.142857142857142</v>
      </c>
      <c r="Z16" s="17">
        <f t="shared" si="8"/>
        <v>5.4285714285714288</v>
      </c>
      <c r="AA16" s="17">
        <f t="shared" si="8"/>
        <v>10.857142857142856</v>
      </c>
      <c r="AB16" s="17">
        <f t="shared" si="8"/>
        <v>16.142857142857142</v>
      </c>
      <c r="AC16" s="17">
        <f t="shared" si="8"/>
        <v>98.428571428571431</v>
      </c>
      <c r="AD16" s="17">
        <f t="shared" si="8"/>
        <v>0.5714285714285714</v>
      </c>
      <c r="AE16" s="31">
        <f t="shared" si="8"/>
        <v>180.28571428571428</v>
      </c>
      <c r="AF16" s="31">
        <f t="shared" si="8"/>
        <v>278.71428571428572</v>
      </c>
    </row>
    <row r="17" spans="2:32" ht="23.1" customHeight="1" x14ac:dyDescent="0.25">
      <c r="B17" s="23" t="s">
        <v>44</v>
      </c>
      <c r="C17" s="49">
        <f>'Avg Week Mbrarara-Kabale'!C17+'Avg Week Kabale-Mbarara'!C17</f>
        <v>11.714285714285715</v>
      </c>
      <c r="D17" s="49">
        <f>'Avg Week Mbrarara-Kabale'!D17+'Avg Week Kabale-Mbarara'!D17</f>
        <v>4.7142857142857144</v>
      </c>
      <c r="E17" s="49">
        <f>'Avg Week Mbrarara-Kabale'!E17+'Avg Week Kabale-Mbarara'!E17</f>
        <v>4.7142857142857144</v>
      </c>
      <c r="F17" s="49">
        <f>'Avg Week Mbrarara-Kabale'!F17+'Avg Week Kabale-Mbarara'!F17</f>
        <v>7.8571428571428577</v>
      </c>
      <c r="G17" s="49">
        <f>'Avg Week Mbrarara-Kabale'!G17+'Avg Week Kabale-Mbarara'!G17</f>
        <v>0.14285714285714285</v>
      </c>
      <c r="H17" s="49">
        <f>'Avg Week Mbrarara-Kabale'!H17+'Avg Week Kabale-Mbarara'!H17</f>
        <v>0</v>
      </c>
      <c r="I17" s="49">
        <f>'Avg Week Mbrarara-Kabale'!I17+'Avg Week Kabale-Mbarara'!I17</f>
        <v>3.1428571428571428</v>
      </c>
      <c r="J17" s="49">
        <f>'Avg Week Mbrarara-Kabale'!J17+'Avg Week Kabale-Mbarara'!J17</f>
        <v>1.7142857142857144</v>
      </c>
      <c r="K17" s="49">
        <f>'Avg Week Mbrarara-Kabale'!K17+'Avg Week Kabale-Mbarara'!K17</f>
        <v>1</v>
      </c>
      <c r="L17" s="49">
        <f>'Avg Week Mbrarara-Kabale'!L17+'Avg Week Kabale-Mbarara'!L17</f>
        <v>4.7142857142857144</v>
      </c>
      <c r="M17" s="49">
        <f>'Avg Week Mbrarara-Kabale'!M17+'Avg Week Kabale-Mbarara'!M17</f>
        <v>31</v>
      </c>
      <c r="N17" s="49">
        <f>'Avg Week Mbrarara-Kabale'!N17+'Avg Week Kabale-Mbarara'!N17</f>
        <v>0.42857142857142855</v>
      </c>
      <c r="O17" s="15">
        <f t="shared" si="0"/>
        <v>40.142857142857153</v>
      </c>
      <c r="P17" s="15">
        <f t="shared" si="1"/>
        <v>71.142857142857153</v>
      </c>
      <c r="R17" s="1" t="s">
        <v>13</v>
      </c>
      <c r="S17" s="17">
        <f t="shared" ref="S17:AF17" si="9">SUM(C38:C41)</f>
        <v>57.142857142857139</v>
      </c>
      <c r="T17" s="17">
        <f t="shared" si="9"/>
        <v>15.857142857142858</v>
      </c>
      <c r="U17" s="17">
        <f t="shared" si="9"/>
        <v>12.857142857142856</v>
      </c>
      <c r="V17" s="17">
        <f t="shared" si="9"/>
        <v>39</v>
      </c>
      <c r="W17" s="17">
        <f t="shared" si="9"/>
        <v>1.4285714285714284</v>
      </c>
      <c r="X17" s="17">
        <f t="shared" si="9"/>
        <v>7.1428571428571423</v>
      </c>
      <c r="Y17" s="17">
        <f t="shared" si="9"/>
        <v>11.857142857142856</v>
      </c>
      <c r="Z17" s="17">
        <f t="shared" si="9"/>
        <v>11</v>
      </c>
      <c r="AA17" s="17">
        <f t="shared" si="9"/>
        <v>11.714285714285715</v>
      </c>
      <c r="AB17" s="17">
        <f t="shared" si="9"/>
        <v>20.285714285714285</v>
      </c>
      <c r="AC17" s="17">
        <f t="shared" si="9"/>
        <v>96.571428571428584</v>
      </c>
      <c r="AD17" s="17">
        <f t="shared" si="9"/>
        <v>0.42857142857142855</v>
      </c>
      <c r="AE17" s="31">
        <f t="shared" si="9"/>
        <v>188.71428571428569</v>
      </c>
      <c r="AF17" s="31">
        <f t="shared" si="9"/>
        <v>285.28571428571428</v>
      </c>
    </row>
    <row r="18" spans="2:32" ht="23.1" customHeight="1" x14ac:dyDescent="0.25">
      <c r="B18" s="23" t="s">
        <v>45</v>
      </c>
      <c r="C18" s="49">
        <f>'Avg Week Mbrarara-Kabale'!C18+'Avg Week Kabale-Mbarara'!C18</f>
        <v>12.428571428571429</v>
      </c>
      <c r="D18" s="49">
        <f>'Avg Week Mbrarara-Kabale'!D18+'Avg Week Kabale-Mbarara'!D18</f>
        <v>3.5714285714285712</v>
      </c>
      <c r="E18" s="49">
        <f>'Avg Week Mbrarara-Kabale'!E18+'Avg Week Kabale-Mbarara'!E18</f>
        <v>2.7142857142857144</v>
      </c>
      <c r="F18" s="49">
        <f>'Avg Week Mbrarara-Kabale'!F18+'Avg Week Kabale-Mbarara'!F18</f>
        <v>13</v>
      </c>
      <c r="G18" s="49">
        <f>'Avg Week Mbrarara-Kabale'!G18+'Avg Week Kabale-Mbarara'!G18</f>
        <v>0.42857142857142855</v>
      </c>
      <c r="H18" s="49">
        <f>'Avg Week Mbrarara-Kabale'!H18+'Avg Week Kabale-Mbarara'!H18</f>
        <v>1.1428571428571428</v>
      </c>
      <c r="I18" s="49">
        <f>'Avg Week Mbrarara-Kabale'!I18+'Avg Week Kabale-Mbarara'!I18</f>
        <v>3.1428571428571428</v>
      </c>
      <c r="J18" s="49">
        <f>'Avg Week Mbrarara-Kabale'!J18+'Avg Week Kabale-Mbarara'!J18</f>
        <v>2</v>
      </c>
      <c r="K18" s="49">
        <f>'Avg Week Mbrarara-Kabale'!K18+'Avg Week Kabale-Mbarara'!K18</f>
        <v>1.1428571428571428</v>
      </c>
      <c r="L18" s="49">
        <f>'Avg Week Mbrarara-Kabale'!L18+'Avg Week Kabale-Mbarara'!L18</f>
        <v>5.7142857142857135</v>
      </c>
      <c r="M18" s="49">
        <f>'Avg Week Mbrarara-Kabale'!M18+'Avg Week Kabale-Mbarara'!M18</f>
        <v>30.714285714285715</v>
      </c>
      <c r="N18" s="49">
        <f>'Avg Week Mbrarara-Kabale'!N18+'Avg Week Kabale-Mbarara'!N18</f>
        <v>0</v>
      </c>
      <c r="O18" s="15">
        <f t="shared" si="0"/>
        <v>45.285714285714299</v>
      </c>
      <c r="P18" s="15">
        <f t="shared" si="1"/>
        <v>76.000000000000014</v>
      </c>
      <c r="R18" s="1" t="s">
        <v>14</v>
      </c>
      <c r="S18" s="17">
        <f t="shared" ref="S18:AF18" si="10">SUM(C42:C45)</f>
        <v>60.285714285714292</v>
      </c>
      <c r="T18" s="17">
        <f t="shared" si="10"/>
        <v>18</v>
      </c>
      <c r="U18" s="17">
        <f t="shared" si="10"/>
        <v>13.285714285714285</v>
      </c>
      <c r="V18" s="17">
        <f t="shared" si="10"/>
        <v>44.285714285714285</v>
      </c>
      <c r="W18" s="17">
        <f t="shared" si="10"/>
        <v>1.857142857142857</v>
      </c>
      <c r="X18" s="17">
        <f t="shared" si="10"/>
        <v>2.5714285714285707</v>
      </c>
      <c r="Y18" s="17">
        <f t="shared" si="10"/>
        <v>14.428571428571427</v>
      </c>
      <c r="Z18" s="17">
        <f t="shared" si="10"/>
        <v>10.714285714285714</v>
      </c>
      <c r="AA18" s="17">
        <f t="shared" si="10"/>
        <v>15.285714285714286</v>
      </c>
      <c r="AB18" s="17">
        <f t="shared" si="10"/>
        <v>23.857142857142861</v>
      </c>
      <c r="AC18" s="17">
        <f t="shared" si="10"/>
        <v>109.14285714285715</v>
      </c>
      <c r="AD18" s="17">
        <f t="shared" si="10"/>
        <v>0.14285714285714285</v>
      </c>
      <c r="AE18" s="31">
        <f t="shared" si="10"/>
        <v>204.71428571428575</v>
      </c>
      <c r="AF18" s="31">
        <f t="shared" si="10"/>
        <v>313.85714285714289</v>
      </c>
    </row>
    <row r="19" spans="2:32" ht="23.1" customHeight="1" x14ac:dyDescent="0.25">
      <c r="B19" s="23" t="s">
        <v>46</v>
      </c>
      <c r="C19" s="49">
        <f>'Avg Week Mbrarara-Kabale'!C19+'Avg Week Kabale-Mbarara'!C19</f>
        <v>11.714285714285715</v>
      </c>
      <c r="D19" s="49">
        <f>'Avg Week Mbrarara-Kabale'!D19+'Avg Week Kabale-Mbarara'!D19</f>
        <v>3.5714285714285716</v>
      </c>
      <c r="E19" s="49">
        <f>'Avg Week Mbrarara-Kabale'!E19+'Avg Week Kabale-Mbarara'!E19</f>
        <v>4.5714285714285721</v>
      </c>
      <c r="F19" s="49">
        <f>'Avg Week Mbrarara-Kabale'!F19+'Avg Week Kabale-Mbarara'!F19</f>
        <v>10.285714285714285</v>
      </c>
      <c r="G19" s="49">
        <f>'Avg Week Mbrarara-Kabale'!G19+'Avg Week Kabale-Mbarara'!G19</f>
        <v>0</v>
      </c>
      <c r="H19" s="49">
        <f>'Avg Week Mbrarara-Kabale'!H19+'Avg Week Kabale-Mbarara'!H19</f>
        <v>0.5714285714285714</v>
      </c>
      <c r="I19" s="49">
        <f>'Avg Week Mbrarara-Kabale'!I19+'Avg Week Kabale-Mbarara'!I19</f>
        <v>2.7142857142857144</v>
      </c>
      <c r="J19" s="49">
        <f>'Avg Week Mbrarara-Kabale'!J19+'Avg Week Kabale-Mbarara'!J19</f>
        <v>2.4285714285714284</v>
      </c>
      <c r="K19" s="49">
        <f>'Avg Week Mbrarara-Kabale'!K19+'Avg Week Kabale-Mbarara'!K19</f>
        <v>1</v>
      </c>
      <c r="L19" s="49">
        <f>'Avg Week Mbrarara-Kabale'!L19+'Avg Week Kabale-Mbarara'!L19</f>
        <v>4.2857142857142856</v>
      </c>
      <c r="M19" s="49">
        <f>'Avg Week Mbrarara-Kabale'!M19+'Avg Week Kabale-Mbarara'!M19</f>
        <v>30.714285714285715</v>
      </c>
      <c r="N19" s="49">
        <f>'Avg Week Mbrarara-Kabale'!N19+'Avg Week Kabale-Mbarara'!N19</f>
        <v>0.14285714285714285</v>
      </c>
      <c r="O19" s="15">
        <f t="shared" si="0"/>
        <v>41.285714285714292</v>
      </c>
      <c r="P19" s="15">
        <f t="shared" si="1"/>
        <v>72</v>
      </c>
      <c r="R19" s="1" t="s">
        <v>15</v>
      </c>
      <c r="S19" s="17">
        <f t="shared" ref="S19:AF19" si="11">SUM(C46:C49)</f>
        <v>61.428571428571431</v>
      </c>
      <c r="T19" s="17">
        <f t="shared" si="11"/>
        <v>18.142857142857142</v>
      </c>
      <c r="U19" s="17">
        <f t="shared" si="11"/>
        <v>12</v>
      </c>
      <c r="V19" s="17">
        <f t="shared" si="11"/>
        <v>37.285714285714285</v>
      </c>
      <c r="W19" s="17">
        <f t="shared" si="11"/>
        <v>0.5714285714285714</v>
      </c>
      <c r="X19" s="17">
        <f t="shared" si="11"/>
        <v>4.5714285714285712</v>
      </c>
      <c r="Y19" s="17">
        <f t="shared" si="11"/>
        <v>12.428571428571427</v>
      </c>
      <c r="Z19" s="17">
        <f t="shared" si="11"/>
        <v>10.571428571428571</v>
      </c>
      <c r="AA19" s="17">
        <f t="shared" si="11"/>
        <v>12.428571428571429</v>
      </c>
      <c r="AB19" s="17">
        <f t="shared" si="11"/>
        <v>23.714285714285712</v>
      </c>
      <c r="AC19" s="17">
        <f t="shared" si="11"/>
        <v>122.14285714285715</v>
      </c>
      <c r="AD19" s="17">
        <f t="shared" si="11"/>
        <v>0</v>
      </c>
      <c r="AE19" s="31">
        <f t="shared" si="11"/>
        <v>193.14285714285717</v>
      </c>
      <c r="AF19" s="31">
        <f t="shared" si="11"/>
        <v>315.28571428571433</v>
      </c>
    </row>
    <row r="20" spans="2:32" ht="23.1" customHeight="1" x14ac:dyDescent="0.25">
      <c r="B20" s="23" t="s">
        <v>47</v>
      </c>
      <c r="C20" s="49">
        <f>'Avg Week Mbrarara-Kabale'!C20+'Avg Week Kabale-Mbarara'!C20</f>
        <v>14.285714285714285</v>
      </c>
      <c r="D20" s="49">
        <f>'Avg Week Mbrarara-Kabale'!D20+'Avg Week Kabale-Mbarara'!D20</f>
        <v>3.7142857142857144</v>
      </c>
      <c r="E20" s="49">
        <f>'Avg Week Mbrarara-Kabale'!E20+'Avg Week Kabale-Mbarara'!E20</f>
        <v>2.2857142857142856</v>
      </c>
      <c r="F20" s="49">
        <f>'Avg Week Mbrarara-Kabale'!F20+'Avg Week Kabale-Mbarara'!F20</f>
        <v>11.571428571428573</v>
      </c>
      <c r="G20" s="49">
        <f>'Avg Week Mbrarara-Kabale'!G20+'Avg Week Kabale-Mbarara'!G20</f>
        <v>0.14285714285714285</v>
      </c>
      <c r="H20" s="49">
        <f>'Avg Week Mbrarara-Kabale'!H20+'Avg Week Kabale-Mbarara'!H20</f>
        <v>1.7142857142857142</v>
      </c>
      <c r="I20" s="49">
        <f>'Avg Week Mbrarara-Kabale'!I20+'Avg Week Kabale-Mbarara'!I20</f>
        <v>4.8571428571428577</v>
      </c>
      <c r="J20" s="49">
        <f>'Avg Week Mbrarara-Kabale'!J20+'Avg Week Kabale-Mbarara'!J20</f>
        <v>2.1428571428571428</v>
      </c>
      <c r="K20" s="49">
        <f>'Avg Week Mbrarara-Kabale'!K20+'Avg Week Kabale-Mbarara'!K20</f>
        <v>1.5714285714285716</v>
      </c>
      <c r="L20" s="49">
        <f>'Avg Week Mbrarara-Kabale'!L20+'Avg Week Kabale-Mbarara'!L20</f>
        <v>4.4285714285714288</v>
      </c>
      <c r="M20" s="49">
        <f>'Avg Week Mbrarara-Kabale'!M20+'Avg Week Kabale-Mbarara'!M20</f>
        <v>34.285714285714285</v>
      </c>
      <c r="N20" s="49">
        <f>'Avg Week Mbrarara-Kabale'!N20+'Avg Week Kabale-Mbarara'!N20</f>
        <v>0.14285714285714285</v>
      </c>
      <c r="O20" s="15">
        <f t="shared" si="0"/>
        <v>46.857142857142861</v>
      </c>
      <c r="P20" s="15">
        <f t="shared" si="1"/>
        <v>81.142857142857139</v>
      </c>
      <c r="R20" s="1" t="s">
        <v>16</v>
      </c>
      <c r="S20" s="17">
        <f t="shared" ref="S20:AF20" si="12">SUM(C50:C53)</f>
        <v>51.142857142857153</v>
      </c>
      <c r="T20" s="17">
        <f t="shared" si="12"/>
        <v>18</v>
      </c>
      <c r="U20" s="17">
        <f t="shared" si="12"/>
        <v>15.428571428571429</v>
      </c>
      <c r="V20" s="17">
        <f t="shared" si="12"/>
        <v>41.142857142857139</v>
      </c>
      <c r="W20" s="17">
        <f t="shared" si="12"/>
        <v>1.857142857142857</v>
      </c>
      <c r="X20" s="17">
        <f t="shared" si="12"/>
        <v>0.99999999999999989</v>
      </c>
      <c r="Y20" s="17">
        <f t="shared" si="12"/>
        <v>11.571428571428569</v>
      </c>
      <c r="Z20" s="17">
        <f t="shared" si="12"/>
        <v>7.2857142857142856</v>
      </c>
      <c r="AA20" s="17">
        <f t="shared" si="12"/>
        <v>16.857142857142858</v>
      </c>
      <c r="AB20" s="17">
        <f t="shared" si="12"/>
        <v>21.142857142857142</v>
      </c>
      <c r="AC20" s="17">
        <f t="shared" si="12"/>
        <v>111.71428571428571</v>
      </c>
      <c r="AD20" s="17">
        <f t="shared" si="12"/>
        <v>0</v>
      </c>
      <c r="AE20" s="31">
        <f t="shared" si="12"/>
        <v>185.42857142857144</v>
      </c>
      <c r="AF20" s="31">
        <f t="shared" si="12"/>
        <v>297.14285714285711</v>
      </c>
    </row>
    <row r="21" spans="2:32" ht="23.1" customHeight="1" x14ac:dyDescent="0.25">
      <c r="B21" s="23" t="s">
        <v>48</v>
      </c>
      <c r="C21" s="49">
        <f>'Avg Week Mbrarara-Kabale'!C21+'Avg Week Kabale-Mbarara'!C21</f>
        <v>13.714285714285715</v>
      </c>
      <c r="D21" s="49">
        <f>'Avg Week Mbrarara-Kabale'!D21+'Avg Week Kabale-Mbarara'!D21</f>
        <v>3.2857142857142856</v>
      </c>
      <c r="E21" s="49">
        <f>'Avg Week Mbrarara-Kabale'!E21+'Avg Week Kabale-Mbarara'!E21</f>
        <v>1.5714285714285714</v>
      </c>
      <c r="F21" s="49">
        <f>'Avg Week Mbrarara-Kabale'!F21+'Avg Week Kabale-Mbarara'!F21</f>
        <v>9.8571428571428577</v>
      </c>
      <c r="G21" s="49">
        <f>'Avg Week Mbrarara-Kabale'!G21+'Avg Week Kabale-Mbarara'!G21</f>
        <v>0.14285714285714285</v>
      </c>
      <c r="H21" s="49">
        <f>'Avg Week Mbrarara-Kabale'!H21+'Avg Week Kabale-Mbarara'!H21</f>
        <v>0.8571428571428571</v>
      </c>
      <c r="I21" s="49">
        <f>'Avg Week Mbrarara-Kabale'!I21+'Avg Week Kabale-Mbarara'!I21</f>
        <v>2.2857142857142856</v>
      </c>
      <c r="J21" s="49">
        <f>'Avg Week Mbrarara-Kabale'!J21+'Avg Week Kabale-Mbarara'!J21</f>
        <v>1.8571428571428572</v>
      </c>
      <c r="K21" s="49">
        <f>'Avg Week Mbrarara-Kabale'!K21+'Avg Week Kabale-Mbarara'!K21</f>
        <v>2</v>
      </c>
      <c r="L21" s="49">
        <f>'Avg Week Mbrarara-Kabale'!L21+'Avg Week Kabale-Mbarara'!L21</f>
        <v>3.1428571428571428</v>
      </c>
      <c r="M21" s="49">
        <f>'Avg Week Mbrarara-Kabale'!M21+'Avg Week Kabale-Mbarara'!M21</f>
        <v>41.285714285714292</v>
      </c>
      <c r="N21" s="49">
        <f>'Avg Week Mbrarara-Kabale'!N21+'Avg Week Kabale-Mbarara'!N21</f>
        <v>0</v>
      </c>
      <c r="O21" s="15">
        <f t="shared" si="0"/>
        <v>38.714285714285715</v>
      </c>
      <c r="P21" s="15">
        <f t="shared" si="1"/>
        <v>80</v>
      </c>
      <c r="R21" s="36" t="s">
        <v>20</v>
      </c>
      <c r="S21" s="34">
        <f t="shared" ref="S21:AF21" si="13">SUM(C54:C57)</f>
        <v>55</v>
      </c>
      <c r="T21" s="17">
        <f t="shared" si="13"/>
        <v>15.142857142857142</v>
      </c>
      <c r="U21" s="17">
        <f t="shared" si="13"/>
        <v>12.857142857142856</v>
      </c>
      <c r="V21" s="17">
        <f t="shared" si="13"/>
        <v>37.142857142857139</v>
      </c>
      <c r="W21" s="17">
        <f t="shared" si="13"/>
        <v>2.5714285714285712</v>
      </c>
      <c r="X21" s="17">
        <f t="shared" si="13"/>
        <v>2.4285714285714284</v>
      </c>
      <c r="Y21" s="17">
        <f t="shared" si="13"/>
        <v>10.142857142857142</v>
      </c>
      <c r="Z21" s="17">
        <f t="shared" si="13"/>
        <v>13.142857142857142</v>
      </c>
      <c r="AA21" s="17">
        <f t="shared" si="13"/>
        <v>18.714285714285715</v>
      </c>
      <c r="AB21" s="17">
        <f t="shared" si="13"/>
        <v>13.571428571428571</v>
      </c>
      <c r="AC21" s="17">
        <f t="shared" si="13"/>
        <v>115.42857142857143</v>
      </c>
      <c r="AD21" s="17">
        <f t="shared" si="13"/>
        <v>0.14285714285714285</v>
      </c>
      <c r="AE21" s="31">
        <f t="shared" si="13"/>
        <v>180.85714285714286</v>
      </c>
      <c r="AF21" s="31">
        <f t="shared" si="13"/>
        <v>296.28571428571428</v>
      </c>
    </row>
    <row r="22" spans="2:32" ht="23.1" customHeight="1" x14ac:dyDescent="0.25">
      <c r="B22" s="23" t="s">
        <v>49</v>
      </c>
      <c r="C22" s="49">
        <f>'Avg Week Mbrarara-Kabale'!C22+'Avg Week Kabale-Mbarara'!C22</f>
        <v>10.285714285714285</v>
      </c>
      <c r="D22" s="49">
        <f>'Avg Week Mbrarara-Kabale'!D22+'Avg Week Kabale-Mbarara'!D22</f>
        <v>3.7142857142857144</v>
      </c>
      <c r="E22" s="49">
        <f>'Avg Week Mbrarara-Kabale'!E22+'Avg Week Kabale-Mbarara'!E22</f>
        <v>3</v>
      </c>
      <c r="F22" s="49">
        <f>'Avg Week Mbrarara-Kabale'!F22+'Avg Week Kabale-Mbarara'!F22</f>
        <v>10.428571428571427</v>
      </c>
      <c r="G22" s="49">
        <f>'Avg Week Mbrarara-Kabale'!G22+'Avg Week Kabale-Mbarara'!G22</f>
        <v>0.2857142857142857</v>
      </c>
      <c r="H22" s="49">
        <f>'Avg Week Mbrarara-Kabale'!H22+'Avg Week Kabale-Mbarara'!H22</f>
        <v>0.7142857142857143</v>
      </c>
      <c r="I22" s="49">
        <f>'Avg Week Mbrarara-Kabale'!I22+'Avg Week Kabale-Mbarara'!I22</f>
        <v>3.8571428571428572</v>
      </c>
      <c r="J22" s="49">
        <f>'Avg Week Mbrarara-Kabale'!J22+'Avg Week Kabale-Mbarara'!J22</f>
        <v>1.5714285714285714</v>
      </c>
      <c r="K22" s="49">
        <f>'Avg Week Mbrarara-Kabale'!K22+'Avg Week Kabale-Mbarara'!K22</f>
        <v>2.714285714285714</v>
      </c>
      <c r="L22" s="49">
        <f>'Avg Week Mbrarara-Kabale'!L22+'Avg Week Kabale-Mbarara'!L22</f>
        <v>4.1428571428571423</v>
      </c>
      <c r="M22" s="49">
        <f>'Avg Week Mbrarara-Kabale'!M22+'Avg Week Kabale-Mbarara'!M22</f>
        <v>33.428571428571431</v>
      </c>
      <c r="N22" s="49">
        <f>'Avg Week Mbrarara-Kabale'!N22+'Avg Week Kabale-Mbarara'!N22</f>
        <v>0</v>
      </c>
      <c r="O22" s="15">
        <f t="shared" si="0"/>
        <v>40.714285714285708</v>
      </c>
      <c r="P22" s="15">
        <f t="shared" si="1"/>
        <v>74.142857142857139</v>
      </c>
      <c r="R22" s="1" t="s">
        <v>146</v>
      </c>
      <c r="S22" s="34">
        <f>SUM(C58:C61)</f>
        <v>68</v>
      </c>
      <c r="T22" s="34">
        <f t="shared" ref="T22:AF22" si="14">SUM(D58:D61)</f>
        <v>22</v>
      </c>
      <c r="U22" s="34">
        <f t="shared" si="14"/>
        <v>20</v>
      </c>
      <c r="V22" s="34">
        <f t="shared" si="14"/>
        <v>68</v>
      </c>
      <c r="W22" s="34">
        <f t="shared" si="14"/>
        <v>4</v>
      </c>
      <c r="X22" s="34">
        <f t="shared" si="14"/>
        <v>1</v>
      </c>
      <c r="Y22" s="34">
        <f t="shared" si="14"/>
        <v>13</v>
      </c>
      <c r="Z22" s="34">
        <f t="shared" si="14"/>
        <v>18.5</v>
      </c>
      <c r="AA22" s="34">
        <f t="shared" si="14"/>
        <v>20.5</v>
      </c>
      <c r="AB22" s="34">
        <f t="shared" si="14"/>
        <v>32.5</v>
      </c>
      <c r="AC22" s="34">
        <f t="shared" si="14"/>
        <v>92</v>
      </c>
      <c r="AD22" s="34">
        <f t="shared" si="14"/>
        <v>0</v>
      </c>
      <c r="AE22" s="31">
        <f t="shared" si="14"/>
        <v>267.5</v>
      </c>
      <c r="AF22" s="31">
        <f t="shared" si="14"/>
        <v>359.5</v>
      </c>
    </row>
    <row r="23" spans="2:32" ht="23.1" customHeight="1" x14ac:dyDescent="0.25">
      <c r="B23" s="23" t="s">
        <v>50</v>
      </c>
      <c r="C23" s="49">
        <f>'Avg Week Mbrarara-Kabale'!C23+'Avg Week Kabale-Mbarara'!C23</f>
        <v>16.428571428571431</v>
      </c>
      <c r="D23" s="49">
        <f>'Avg Week Mbrarara-Kabale'!D23+'Avg Week Kabale-Mbarara'!D23</f>
        <v>2.1428571428571428</v>
      </c>
      <c r="E23" s="49">
        <f>'Avg Week Mbrarara-Kabale'!E23+'Avg Week Kabale-Mbarara'!E23</f>
        <v>3.285714285714286</v>
      </c>
      <c r="F23" s="49">
        <f>'Avg Week Mbrarara-Kabale'!F23+'Avg Week Kabale-Mbarara'!F23</f>
        <v>10.714285714285715</v>
      </c>
      <c r="G23" s="49">
        <f>'Avg Week Mbrarara-Kabale'!G23+'Avg Week Kabale-Mbarara'!G23</f>
        <v>0</v>
      </c>
      <c r="H23" s="49">
        <f>'Avg Week Mbrarara-Kabale'!H23+'Avg Week Kabale-Mbarara'!H23</f>
        <v>0.71428571428571419</v>
      </c>
      <c r="I23" s="49">
        <f>'Avg Week Mbrarara-Kabale'!I23+'Avg Week Kabale-Mbarara'!I23</f>
        <v>3.2857142857142856</v>
      </c>
      <c r="J23" s="49">
        <f>'Avg Week Mbrarara-Kabale'!J23+'Avg Week Kabale-Mbarara'!J23</f>
        <v>2.5714285714285712</v>
      </c>
      <c r="K23" s="49">
        <f>'Avg Week Mbrarara-Kabale'!K23+'Avg Week Kabale-Mbarara'!K23</f>
        <v>1.4285714285714284</v>
      </c>
      <c r="L23" s="49">
        <f>'Avg Week Mbrarara-Kabale'!L23+'Avg Week Kabale-Mbarara'!L23</f>
        <v>3.1428571428571432</v>
      </c>
      <c r="M23" s="49">
        <f>'Avg Week Mbrarara-Kabale'!M23+'Avg Week Kabale-Mbarara'!M23</f>
        <v>38.285714285714285</v>
      </c>
      <c r="N23" s="49">
        <f>'Avg Week Mbrarara-Kabale'!N23+'Avg Week Kabale-Mbarara'!N23</f>
        <v>0</v>
      </c>
      <c r="O23" s="15">
        <f t="shared" si="0"/>
        <v>43.714285714285715</v>
      </c>
      <c r="P23" s="15">
        <f t="shared" si="1"/>
        <v>82</v>
      </c>
      <c r="R23" s="1" t="s">
        <v>147</v>
      </c>
      <c r="S23" s="34">
        <f>SUM(C62:C65)</f>
        <v>48</v>
      </c>
      <c r="T23" s="34">
        <f t="shared" ref="T23:AF23" si="15">SUM(D62:D65)</f>
        <v>21.5</v>
      </c>
      <c r="U23" s="34">
        <f t="shared" si="15"/>
        <v>12.5</v>
      </c>
      <c r="V23" s="34">
        <f t="shared" si="15"/>
        <v>29</v>
      </c>
      <c r="W23" s="34">
        <f t="shared" si="15"/>
        <v>2.5</v>
      </c>
      <c r="X23" s="34">
        <f t="shared" si="15"/>
        <v>0</v>
      </c>
      <c r="Y23" s="34">
        <f t="shared" si="15"/>
        <v>9.5</v>
      </c>
      <c r="Z23" s="34">
        <f t="shared" si="15"/>
        <v>6.5</v>
      </c>
      <c r="AA23" s="34">
        <f t="shared" si="15"/>
        <v>8</v>
      </c>
      <c r="AB23" s="34">
        <f t="shared" si="15"/>
        <v>12.5</v>
      </c>
      <c r="AC23" s="34">
        <f t="shared" si="15"/>
        <v>58.5</v>
      </c>
      <c r="AD23" s="34">
        <f t="shared" si="15"/>
        <v>0</v>
      </c>
      <c r="AE23" s="31">
        <f t="shared" si="15"/>
        <v>150</v>
      </c>
      <c r="AF23" s="31">
        <f t="shared" si="15"/>
        <v>208.5</v>
      </c>
    </row>
    <row r="24" spans="2:32" ht="23.1" customHeight="1" x14ac:dyDescent="0.25">
      <c r="B24" s="23" t="s">
        <v>51</v>
      </c>
      <c r="C24" s="49">
        <f>'Avg Week Mbrarara-Kabale'!C24+'Avg Week Kabale-Mbarara'!C24</f>
        <v>15.714285714285714</v>
      </c>
      <c r="D24" s="49">
        <f>'Avg Week Mbrarara-Kabale'!D24+'Avg Week Kabale-Mbarara'!D24</f>
        <v>5</v>
      </c>
      <c r="E24" s="49">
        <f>'Avg Week Mbrarara-Kabale'!E24+'Avg Week Kabale-Mbarara'!E24</f>
        <v>1.2857142857142856</v>
      </c>
      <c r="F24" s="49">
        <f>'Avg Week Mbrarara-Kabale'!F24+'Avg Week Kabale-Mbarara'!F24</f>
        <v>10.142857142857142</v>
      </c>
      <c r="G24" s="49">
        <f>'Avg Week Mbrarara-Kabale'!G24+'Avg Week Kabale-Mbarara'!G24</f>
        <v>0.2857142857142857</v>
      </c>
      <c r="H24" s="49">
        <f>'Avg Week Mbrarara-Kabale'!H24+'Avg Week Kabale-Mbarara'!H24</f>
        <v>1.2857142857142856</v>
      </c>
      <c r="I24" s="49">
        <f>'Avg Week Mbrarara-Kabale'!I24+'Avg Week Kabale-Mbarara'!I24</f>
        <v>3.7142857142857144</v>
      </c>
      <c r="J24" s="49">
        <f>'Avg Week Mbrarara-Kabale'!J24+'Avg Week Kabale-Mbarara'!J24</f>
        <v>2.714285714285714</v>
      </c>
      <c r="K24" s="49">
        <f>'Avg Week Mbrarara-Kabale'!K24+'Avg Week Kabale-Mbarara'!K24</f>
        <v>1.7142857142857144</v>
      </c>
      <c r="L24" s="49">
        <f>'Avg Week Mbrarara-Kabale'!L24+'Avg Week Kabale-Mbarara'!L24</f>
        <v>2.8571428571428572</v>
      </c>
      <c r="M24" s="49">
        <f>'Avg Week Mbrarara-Kabale'!M24+'Avg Week Kabale-Mbarara'!M24</f>
        <v>33.428571428571431</v>
      </c>
      <c r="N24" s="49">
        <f>'Avg Week Mbrarara-Kabale'!N24+'Avg Week Kabale-Mbarara'!N24</f>
        <v>0</v>
      </c>
      <c r="O24" s="15">
        <f t="shared" si="0"/>
        <v>44.714285714285708</v>
      </c>
      <c r="P24" s="15">
        <f t="shared" si="1"/>
        <v>78.142857142857139</v>
      </c>
      <c r="R24" s="1" t="s">
        <v>148</v>
      </c>
      <c r="S24" s="34">
        <f>SUM(C66:C69)</f>
        <v>28.5</v>
      </c>
      <c r="T24" s="34">
        <f t="shared" ref="T24:AF24" si="16">SUM(D66:D69)</f>
        <v>8</v>
      </c>
      <c r="U24" s="34">
        <f t="shared" si="16"/>
        <v>7.5</v>
      </c>
      <c r="V24" s="34">
        <f t="shared" si="16"/>
        <v>16</v>
      </c>
      <c r="W24" s="34">
        <f t="shared" si="16"/>
        <v>0.5</v>
      </c>
      <c r="X24" s="34">
        <f t="shared" si="16"/>
        <v>4.5</v>
      </c>
      <c r="Y24" s="34">
        <f t="shared" si="16"/>
        <v>7.5</v>
      </c>
      <c r="Z24" s="34">
        <f t="shared" si="16"/>
        <v>4.5</v>
      </c>
      <c r="AA24" s="34">
        <f t="shared" si="16"/>
        <v>6.5</v>
      </c>
      <c r="AB24" s="34">
        <f t="shared" si="16"/>
        <v>10</v>
      </c>
      <c r="AC24" s="34">
        <f t="shared" si="16"/>
        <v>42</v>
      </c>
      <c r="AD24" s="34">
        <f t="shared" si="16"/>
        <v>0</v>
      </c>
      <c r="AE24" s="31">
        <f t="shared" si="16"/>
        <v>93.5</v>
      </c>
      <c r="AF24" s="31">
        <f t="shared" si="16"/>
        <v>135.5</v>
      </c>
    </row>
    <row r="25" spans="2:32" ht="23.1" customHeight="1" x14ac:dyDescent="0.25">
      <c r="B25" s="23" t="s">
        <v>52</v>
      </c>
      <c r="C25" s="49">
        <f>'Avg Week Mbrarara-Kabale'!C25+'Avg Week Kabale-Mbarara'!C25</f>
        <v>21.571428571428569</v>
      </c>
      <c r="D25" s="49">
        <f>'Avg Week Mbrarara-Kabale'!D25+'Avg Week Kabale-Mbarara'!D25</f>
        <v>5</v>
      </c>
      <c r="E25" s="49">
        <f>'Avg Week Mbrarara-Kabale'!E25+'Avg Week Kabale-Mbarara'!E25</f>
        <v>3.1428571428571432</v>
      </c>
      <c r="F25" s="49">
        <f>'Avg Week Mbrarara-Kabale'!F25+'Avg Week Kabale-Mbarara'!F25</f>
        <v>12.285714285714285</v>
      </c>
      <c r="G25" s="49">
        <f>'Avg Week Mbrarara-Kabale'!G25+'Avg Week Kabale-Mbarara'!G25</f>
        <v>0.2857142857142857</v>
      </c>
      <c r="H25" s="49">
        <f>'Avg Week Mbrarara-Kabale'!H25+'Avg Week Kabale-Mbarara'!H25</f>
        <v>4</v>
      </c>
      <c r="I25" s="49">
        <f>'Avg Week Mbrarara-Kabale'!I25+'Avg Week Kabale-Mbarara'!I25</f>
        <v>4.1428571428571432</v>
      </c>
      <c r="J25" s="49">
        <f>'Avg Week Mbrarara-Kabale'!J25+'Avg Week Kabale-Mbarara'!J25</f>
        <v>1.2857142857142856</v>
      </c>
      <c r="K25" s="49">
        <f>'Avg Week Mbrarara-Kabale'!K25+'Avg Week Kabale-Mbarara'!K25</f>
        <v>2.7142857142857144</v>
      </c>
      <c r="L25" s="49">
        <f>'Avg Week Mbrarara-Kabale'!L25+'Avg Week Kabale-Mbarara'!L25</f>
        <v>4.8571428571428568</v>
      </c>
      <c r="M25" s="49">
        <f>'Avg Week Mbrarara-Kabale'!M25+'Avg Week Kabale-Mbarara'!M25</f>
        <v>32.285714285714285</v>
      </c>
      <c r="N25" s="49">
        <f>'Avg Week Mbrarara-Kabale'!N25+'Avg Week Kabale-Mbarara'!N25</f>
        <v>0</v>
      </c>
      <c r="O25" s="15">
        <f t="shared" si="0"/>
        <v>59.285714285714285</v>
      </c>
      <c r="P25" s="15">
        <f t="shared" si="1"/>
        <v>91.571428571428569</v>
      </c>
      <c r="R25" s="1" t="s">
        <v>149</v>
      </c>
      <c r="S25" s="34">
        <f>SUM(C70:C73)</f>
        <v>28.5</v>
      </c>
      <c r="T25" s="34">
        <f t="shared" ref="T25:AF25" si="17">SUM(D70:D73)</f>
        <v>12</v>
      </c>
      <c r="U25" s="34">
        <f t="shared" si="17"/>
        <v>11</v>
      </c>
      <c r="V25" s="34">
        <f t="shared" si="17"/>
        <v>18</v>
      </c>
      <c r="W25" s="34">
        <f t="shared" si="17"/>
        <v>0.5</v>
      </c>
      <c r="X25" s="34">
        <f t="shared" si="17"/>
        <v>7</v>
      </c>
      <c r="Y25" s="34">
        <f t="shared" si="17"/>
        <v>2</v>
      </c>
      <c r="Z25" s="34">
        <f t="shared" si="17"/>
        <v>5</v>
      </c>
      <c r="AA25" s="34">
        <f t="shared" si="17"/>
        <v>7.5</v>
      </c>
      <c r="AB25" s="34">
        <f t="shared" si="17"/>
        <v>7</v>
      </c>
      <c r="AC25" s="34">
        <f t="shared" si="17"/>
        <v>26</v>
      </c>
      <c r="AD25" s="34">
        <f t="shared" si="17"/>
        <v>0</v>
      </c>
      <c r="AE25" s="31">
        <f t="shared" si="17"/>
        <v>98.5</v>
      </c>
      <c r="AF25" s="31">
        <f t="shared" si="17"/>
        <v>124.5</v>
      </c>
    </row>
    <row r="26" spans="2:32" ht="23.1" customHeight="1" x14ac:dyDescent="0.25">
      <c r="B26" s="23" t="s">
        <v>53</v>
      </c>
      <c r="C26" s="49">
        <f>'Avg Week Mbrarara-Kabale'!C26+'Avg Week Kabale-Mbarara'!C26</f>
        <v>18.428571428571431</v>
      </c>
      <c r="D26" s="49">
        <f>'Avg Week Mbrarara-Kabale'!D26+'Avg Week Kabale-Mbarara'!D26</f>
        <v>3.4285714285714288</v>
      </c>
      <c r="E26" s="49">
        <f>'Avg Week Mbrarara-Kabale'!E26+'Avg Week Kabale-Mbarara'!E26</f>
        <v>3.8571428571428568</v>
      </c>
      <c r="F26" s="49">
        <f>'Avg Week Mbrarara-Kabale'!F26+'Avg Week Kabale-Mbarara'!F26</f>
        <v>11.857142857142858</v>
      </c>
      <c r="G26" s="49">
        <f>'Avg Week Mbrarara-Kabale'!G26+'Avg Week Kabale-Mbarara'!G26</f>
        <v>0.2857142857142857</v>
      </c>
      <c r="H26" s="49">
        <f>'Avg Week Mbrarara-Kabale'!H26+'Avg Week Kabale-Mbarara'!H26</f>
        <v>0.71428571428571419</v>
      </c>
      <c r="I26" s="49">
        <f>'Avg Week Mbrarara-Kabale'!I26+'Avg Week Kabale-Mbarara'!I26</f>
        <v>2.2857142857142856</v>
      </c>
      <c r="J26" s="49">
        <f>'Avg Week Mbrarara-Kabale'!J26+'Avg Week Kabale-Mbarara'!J26</f>
        <v>2.1428571428571428</v>
      </c>
      <c r="K26" s="49">
        <f>'Avg Week Mbrarara-Kabale'!K26+'Avg Week Kabale-Mbarara'!K26</f>
        <v>1.7142857142857142</v>
      </c>
      <c r="L26" s="49">
        <f>'Avg Week Mbrarara-Kabale'!L26+'Avg Week Kabale-Mbarara'!L26</f>
        <v>3.8571428571428568</v>
      </c>
      <c r="M26" s="49">
        <f>'Avg Week Mbrarara-Kabale'!M26+'Avg Week Kabale-Mbarara'!M26</f>
        <v>30.571428571428569</v>
      </c>
      <c r="N26" s="49">
        <f>'Avg Week Mbrarara-Kabale'!N26+'Avg Week Kabale-Mbarara'!N26</f>
        <v>0.14285714285714285</v>
      </c>
      <c r="O26" s="15">
        <f t="shared" si="0"/>
        <v>48.714285714285722</v>
      </c>
      <c r="P26" s="15">
        <f t="shared" si="1"/>
        <v>79.285714285714278</v>
      </c>
      <c r="R26" s="1" t="s">
        <v>150</v>
      </c>
      <c r="S26" s="34">
        <f>SUM(C74:C77)</f>
        <v>15.5</v>
      </c>
      <c r="T26" s="34">
        <f t="shared" ref="T26:AF26" si="18">SUM(D74:D77)</f>
        <v>4.5</v>
      </c>
      <c r="U26" s="34">
        <f t="shared" si="18"/>
        <v>3.5</v>
      </c>
      <c r="V26" s="34">
        <f t="shared" si="18"/>
        <v>12.5</v>
      </c>
      <c r="W26" s="34">
        <f t="shared" si="18"/>
        <v>0.5</v>
      </c>
      <c r="X26" s="34">
        <f t="shared" si="18"/>
        <v>2.5</v>
      </c>
      <c r="Y26" s="34">
        <f t="shared" si="18"/>
        <v>3.5</v>
      </c>
      <c r="Z26" s="34">
        <f t="shared" si="18"/>
        <v>6</v>
      </c>
      <c r="AA26" s="34">
        <f t="shared" si="18"/>
        <v>8.5</v>
      </c>
      <c r="AB26" s="34">
        <f t="shared" si="18"/>
        <v>16</v>
      </c>
      <c r="AC26" s="34">
        <f t="shared" si="18"/>
        <v>15.5</v>
      </c>
      <c r="AD26" s="34">
        <f t="shared" si="18"/>
        <v>0</v>
      </c>
      <c r="AE26" s="31">
        <f t="shared" si="18"/>
        <v>73</v>
      </c>
      <c r="AF26" s="31">
        <f t="shared" si="18"/>
        <v>88.5</v>
      </c>
    </row>
    <row r="27" spans="2:32" ht="23.1" customHeight="1" x14ac:dyDescent="0.25">
      <c r="B27" s="23" t="s">
        <v>54</v>
      </c>
      <c r="C27" s="49">
        <f>'Avg Week Mbrarara-Kabale'!C27+'Avg Week Kabale-Mbarara'!C27</f>
        <v>18.285714285714285</v>
      </c>
      <c r="D27" s="49">
        <f>'Avg Week Mbrarara-Kabale'!D27+'Avg Week Kabale-Mbarara'!D27</f>
        <v>7.8571428571428568</v>
      </c>
      <c r="E27" s="49">
        <f>'Avg Week Mbrarara-Kabale'!E27+'Avg Week Kabale-Mbarara'!E27</f>
        <v>3.5714285714285712</v>
      </c>
      <c r="F27" s="49">
        <f>'Avg Week Mbrarara-Kabale'!F27+'Avg Week Kabale-Mbarara'!F27</f>
        <v>13.285714285714285</v>
      </c>
      <c r="G27" s="49">
        <f>'Avg Week Mbrarara-Kabale'!G27+'Avg Week Kabale-Mbarara'!G27</f>
        <v>0.5714285714285714</v>
      </c>
      <c r="H27" s="49">
        <f>'Avg Week Mbrarara-Kabale'!H27+'Avg Week Kabale-Mbarara'!H27</f>
        <v>2.1428571428571428</v>
      </c>
      <c r="I27" s="49">
        <f>'Avg Week Mbrarara-Kabale'!I27+'Avg Week Kabale-Mbarara'!I27</f>
        <v>2.4285714285714288</v>
      </c>
      <c r="J27" s="49">
        <f>'Avg Week Mbrarara-Kabale'!J27+'Avg Week Kabale-Mbarara'!J27</f>
        <v>2.5714285714285712</v>
      </c>
      <c r="K27" s="49">
        <f>'Avg Week Mbrarara-Kabale'!K27+'Avg Week Kabale-Mbarara'!K27</f>
        <v>2</v>
      </c>
      <c r="L27" s="49">
        <f>'Avg Week Mbrarara-Kabale'!L27+'Avg Week Kabale-Mbarara'!L27</f>
        <v>4.1428571428571423</v>
      </c>
      <c r="M27" s="49">
        <f>'Avg Week Mbrarara-Kabale'!M27+'Avg Week Kabale-Mbarara'!M27</f>
        <v>32.428571428571431</v>
      </c>
      <c r="N27" s="49">
        <f>'Avg Week Mbrarara-Kabale'!N27+'Avg Week Kabale-Mbarara'!N27</f>
        <v>0</v>
      </c>
      <c r="O27" s="15">
        <f t="shared" si="0"/>
        <v>56.857142857142861</v>
      </c>
      <c r="P27" s="15">
        <f t="shared" si="1"/>
        <v>89.285714285714292</v>
      </c>
      <c r="R27" s="1" t="s">
        <v>151</v>
      </c>
      <c r="S27" s="34">
        <f>SUM(C78:C81)</f>
        <v>3</v>
      </c>
      <c r="T27" s="34">
        <f t="shared" ref="T27:AF27" si="19">SUM(D78:D81)</f>
        <v>3</v>
      </c>
      <c r="U27" s="34">
        <f t="shared" si="19"/>
        <v>3</v>
      </c>
      <c r="V27" s="34">
        <f t="shared" si="19"/>
        <v>7</v>
      </c>
      <c r="W27" s="34">
        <f t="shared" si="19"/>
        <v>0.5</v>
      </c>
      <c r="X27" s="34">
        <f t="shared" si="19"/>
        <v>3.5</v>
      </c>
      <c r="Y27" s="34">
        <f t="shared" si="19"/>
        <v>0.5</v>
      </c>
      <c r="Z27" s="34">
        <f t="shared" si="19"/>
        <v>5.5</v>
      </c>
      <c r="AA27" s="34">
        <f t="shared" si="19"/>
        <v>7.5</v>
      </c>
      <c r="AB27" s="34">
        <f t="shared" si="19"/>
        <v>13</v>
      </c>
      <c r="AC27" s="34">
        <f t="shared" si="19"/>
        <v>3</v>
      </c>
      <c r="AD27" s="34">
        <f t="shared" si="19"/>
        <v>0</v>
      </c>
      <c r="AE27" s="31">
        <f t="shared" si="19"/>
        <v>46.5</v>
      </c>
      <c r="AF27" s="31">
        <f t="shared" si="19"/>
        <v>49.5</v>
      </c>
    </row>
    <row r="28" spans="2:32" ht="23.1" customHeight="1" x14ac:dyDescent="0.25">
      <c r="B28" s="23" t="s">
        <v>55</v>
      </c>
      <c r="C28" s="49">
        <f>'Avg Week Mbrarara-Kabale'!C28+'Avg Week Kabale-Mbarara'!C28</f>
        <v>17.285714285714285</v>
      </c>
      <c r="D28" s="49">
        <f>'Avg Week Mbrarara-Kabale'!D28+'Avg Week Kabale-Mbarara'!D28</f>
        <v>3.8571428571428568</v>
      </c>
      <c r="E28" s="49">
        <f>'Avg Week Mbrarara-Kabale'!E28+'Avg Week Kabale-Mbarara'!E28</f>
        <v>4.7142857142857135</v>
      </c>
      <c r="F28" s="49">
        <f>'Avg Week Mbrarara-Kabale'!F28+'Avg Week Kabale-Mbarara'!F28</f>
        <v>14.428571428571427</v>
      </c>
      <c r="G28" s="49">
        <f>'Avg Week Mbrarara-Kabale'!G28+'Avg Week Kabale-Mbarara'!G28</f>
        <v>0.14285714285714285</v>
      </c>
      <c r="H28" s="49">
        <f>'Avg Week Mbrarara-Kabale'!H28+'Avg Week Kabale-Mbarara'!H28</f>
        <v>1.2857142857142856</v>
      </c>
      <c r="I28" s="49">
        <f>'Avg Week Mbrarara-Kabale'!I28+'Avg Week Kabale-Mbarara'!I28</f>
        <v>4.8571428571428577</v>
      </c>
      <c r="J28" s="49">
        <f>'Avg Week Mbrarara-Kabale'!J28+'Avg Week Kabale-Mbarara'!J28</f>
        <v>3.2857142857142856</v>
      </c>
      <c r="K28" s="49">
        <f>'Avg Week Mbrarara-Kabale'!K28+'Avg Week Kabale-Mbarara'!K28</f>
        <v>3.2857142857142856</v>
      </c>
      <c r="L28" s="49">
        <f>'Avg Week Mbrarara-Kabale'!L28+'Avg Week Kabale-Mbarara'!L28</f>
        <v>1.7142857142857142</v>
      </c>
      <c r="M28" s="49">
        <f>'Avg Week Mbrarara-Kabale'!M28+'Avg Week Kabale-Mbarara'!M28</f>
        <v>29.571428571428569</v>
      </c>
      <c r="N28" s="49">
        <f>'Avg Week Mbrarara-Kabale'!N28+'Avg Week Kabale-Mbarara'!N28</f>
        <v>0</v>
      </c>
      <c r="O28" s="15">
        <f t="shared" si="0"/>
        <v>54.857142857142854</v>
      </c>
      <c r="P28" s="15">
        <f t="shared" si="1"/>
        <v>84.428571428571416</v>
      </c>
      <c r="R28" s="1" t="s">
        <v>152</v>
      </c>
      <c r="S28" s="34">
        <f>SUM(C82:C85)</f>
        <v>2.5</v>
      </c>
      <c r="T28" s="34">
        <f t="shared" ref="T28:AF28" si="20">SUM(D82:D85)</f>
        <v>5.5</v>
      </c>
      <c r="U28" s="34">
        <f t="shared" si="20"/>
        <v>3</v>
      </c>
      <c r="V28" s="34">
        <f t="shared" si="20"/>
        <v>1</v>
      </c>
      <c r="W28" s="34">
        <f t="shared" si="20"/>
        <v>1</v>
      </c>
      <c r="X28" s="34">
        <f t="shared" si="20"/>
        <v>1.5</v>
      </c>
      <c r="Y28" s="34">
        <f t="shared" si="20"/>
        <v>0.5</v>
      </c>
      <c r="Z28" s="34">
        <f t="shared" si="20"/>
        <v>4.5</v>
      </c>
      <c r="AA28" s="34">
        <f t="shared" si="20"/>
        <v>7</v>
      </c>
      <c r="AB28" s="34">
        <f t="shared" si="20"/>
        <v>14</v>
      </c>
      <c r="AC28" s="34">
        <f t="shared" si="20"/>
        <v>6</v>
      </c>
      <c r="AD28" s="34">
        <f t="shared" si="20"/>
        <v>0</v>
      </c>
      <c r="AE28" s="31">
        <f t="shared" si="20"/>
        <v>40.5</v>
      </c>
      <c r="AF28" s="31">
        <f t="shared" si="20"/>
        <v>46.5</v>
      </c>
    </row>
    <row r="29" spans="2:32" ht="23.1" customHeight="1" x14ac:dyDescent="0.25">
      <c r="B29" s="23" t="s">
        <v>56</v>
      </c>
      <c r="C29" s="49">
        <f>'Avg Week Mbrarara-Kabale'!C29+'Avg Week Kabale-Mbarara'!C29</f>
        <v>14.428571428571429</v>
      </c>
      <c r="D29" s="49">
        <f>'Avg Week Mbrarara-Kabale'!D29+'Avg Week Kabale-Mbarara'!D29</f>
        <v>4.7142857142857144</v>
      </c>
      <c r="E29" s="49">
        <f>'Avg Week Mbrarara-Kabale'!E29+'Avg Week Kabale-Mbarara'!E29</f>
        <v>1.2857142857142856</v>
      </c>
      <c r="F29" s="49">
        <f>'Avg Week Mbrarara-Kabale'!F29+'Avg Week Kabale-Mbarara'!F29</f>
        <v>9.2857142857142865</v>
      </c>
      <c r="G29" s="49">
        <f>'Avg Week Mbrarara-Kabale'!G29+'Avg Week Kabale-Mbarara'!G29</f>
        <v>0</v>
      </c>
      <c r="H29" s="49">
        <f>'Avg Week Mbrarara-Kabale'!H29+'Avg Week Kabale-Mbarara'!H29</f>
        <v>1.1428571428571428</v>
      </c>
      <c r="I29" s="49">
        <f>'Avg Week Mbrarara-Kabale'!I29+'Avg Week Kabale-Mbarara'!I29</f>
        <v>2.8571428571428568</v>
      </c>
      <c r="J29" s="49">
        <f>'Avg Week Mbrarara-Kabale'!J29+'Avg Week Kabale-Mbarara'!J29</f>
        <v>3.2857142857142856</v>
      </c>
      <c r="K29" s="49">
        <f>'Avg Week Mbrarara-Kabale'!K29+'Avg Week Kabale-Mbarara'!K29</f>
        <v>1.8571428571428572</v>
      </c>
      <c r="L29" s="49">
        <f>'Avg Week Mbrarara-Kabale'!L29+'Avg Week Kabale-Mbarara'!L29</f>
        <v>6.2857142857142856</v>
      </c>
      <c r="M29" s="49">
        <f>'Avg Week Mbrarara-Kabale'!M29+'Avg Week Kabale-Mbarara'!M29</f>
        <v>29.285714285714285</v>
      </c>
      <c r="N29" s="49">
        <f>'Avg Week Mbrarara-Kabale'!N29+'Avg Week Kabale-Mbarara'!N29</f>
        <v>0</v>
      </c>
      <c r="O29" s="15">
        <f t="shared" si="0"/>
        <v>45.142857142857139</v>
      </c>
      <c r="P29" s="15">
        <f t="shared" si="1"/>
        <v>74.428571428571416</v>
      </c>
      <c r="R29" s="1" t="s">
        <v>153</v>
      </c>
      <c r="S29" s="34">
        <f>SUM(C86:C89)</f>
        <v>9</v>
      </c>
      <c r="T29" s="34">
        <f t="shared" ref="T29:AF29" si="21">SUM(D86:D89)</f>
        <v>2</v>
      </c>
      <c r="U29" s="34">
        <f t="shared" si="21"/>
        <v>0</v>
      </c>
      <c r="V29" s="34">
        <f t="shared" si="21"/>
        <v>3.5</v>
      </c>
      <c r="W29" s="34">
        <f t="shared" si="21"/>
        <v>0.5</v>
      </c>
      <c r="X29" s="34">
        <f t="shared" si="21"/>
        <v>0</v>
      </c>
      <c r="Y29" s="34">
        <f t="shared" si="21"/>
        <v>0.5</v>
      </c>
      <c r="Z29" s="34">
        <f t="shared" si="21"/>
        <v>2</v>
      </c>
      <c r="AA29" s="34">
        <f t="shared" si="21"/>
        <v>8</v>
      </c>
      <c r="AB29" s="34">
        <f t="shared" si="21"/>
        <v>14</v>
      </c>
      <c r="AC29" s="34">
        <f t="shared" si="21"/>
        <v>2</v>
      </c>
      <c r="AD29" s="34">
        <f t="shared" si="21"/>
        <v>0</v>
      </c>
      <c r="AE29" s="31">
        <f t="shared" si="21"/>
        <v>39.5</v>
      </c>
      <c r="AF29" s="31">
        <f t="shared" si="21"/>
        <v>41.5</v>
      </c>
    </row>
    <row r="30" spans="2:32" ht="23.1" customHeight="1" x14ac:dyDescent="0.25">
      <c r="B30" s="23" t="s">
        <v>57</v>
      </c>
      <c r="C30" s="49">
        <f>'Avg Week Mbrarara-Kabale'!C30+'Avg Week Kabale-Mbarara'!C30</f>
        <v>15.428571428571429</v>
      </c>
      <c r="D30" s="49">
        <f>'Avg Week Mbrarara-Kabale'!D30+'Avg Week Kabale-Mbarara'!D30</f>
        <v>3.7142857142857144</v>
      </c>
      <c r="E30" s="49">
        <f>'Avg Week Mbrarara-Kabale'!E30+'Avg Week Kabale-Mbarara'!E30</f>
        <v>2.8571428571428572</v>
      </c>
      <c r="F30" s="49">
        <f>'Avg Week Mbrarara-Kabale'!F30+'Avg Week Kabale-Mbarara'!F30</f>
        <v>12.714285714285715</v>
      </c>
      <c r="G30" s="49">
        <f>'Avg Week Mbrarara-Kabale'!G30+'Avg Week Kabale-Mbarara'!G30</f>
        <v>0.14285714285714285</v>
      </c>
      <c r="H30" s="49">
        <f>'Avg Week Mbrarara-Kabale'!H30+'Avg Week Kabale-Mbarara'!H30</f>
        <v>1.8571428571428572</v>
      </c>
      <c r="I30" s="49">
        <f>'Avg Week Mbrarara-Kabale'!I30+'Avg Week Kabale-Mbarara'!I30</f>
        <v>4.1428571428571423</v>
      </c>
      <c r="J30" s="49">
        <f>'Avg Week Mbrarara-Kabale'!J30+'Avg Week Kabale-Mbarara'!J30</f>
        <v>2.2857142857142856</v>
      </c>
      <c r="K30" s="49">
        <f>'Avg Week Mbrarara-Kabale'!K30+'Avg Week Kabale-Mbarara'!K30</f>
        <v>4.1428571428571423</v>
      </c>
      <c r="L30" s="49">
        <f>'Avg Week Mbrarara-Kabale'!L30+'Avg Week Kabale-Mbarara'!L30</f>
        <v>2.5714285714285712</v>
      </c>
      <c r="M30" s="49">
        <f>'Avg Week Mbrarara-Kabale'!M30+'Avg Week Kabale-Mbarara'!M30</f>
        <v>27.571428571428569</v>
      </c>
      <c r="N30" s="49">
        <f>'Avg Week Mbrarara-Kabale'!N30+'Avg Week Kabale-Mbarara'!N30</f>
        <v>0</v>
      </c>
      <c r="O30" s="15">
        <f t="shared" si="0"/>
        <v>49.857142857142861</v>
      </c>
      <c r="P30" s="15">
        <f t="shared" si="1"/>
        <v>77.428571428571431</v>
      </c>
      <c r="R30" s="1" t="s">
        <v>154</v>
      </c>
      <c r="S30" s="34">
        <f>SUM(C90:C93)</f>
        <v>2.5</v>
      </c>
      <c r="T30" s="34">
        <f t="shared" ref="T30:AF30" si="22">SUM(D90:D93)</f>
        <v>3</v>
      </c>
      <c r="U30" s="34">
        <f t="shared" si="22"/>
        <v>3</v>
      </c>
      <c r="V30" s="34">
        <f t="shared" si="22"/>
        <v>2.5</v>
      </c>
      <c r="W30" s="34">
        <f t="shared" si="22"/>
        <v>0</v>
      </c>
      <c r="X30" s="34">
        <f t="shared" si="22"/>
        <v>1</v>
      </c>
      <c r="Y30" s="34">
        <f t="shared" si="22"/>
        <v>4.5</v>
      </c>
      <c r="Z30" s="34">
        <f t="shared" si="22"/>
        <v>3.5</v>
      </c>
      <c r="AA30" s="34">
        <f t="shared" si="22"/>
        <v>12</v>
      </c>
      <c r="AB30" s="34">
        <f t="shared" si="22"/>
        <v>15.5</v>
      </c>
      <c r="AC30" s="34">
        <f t="shared" si="22"/>
        <v>2.5</v>
      </c>
      <c r="AD30" s="34">
        <f t="shared" si="22"/>
        <v>0</v>
      </c>
      <c r="AE30" s="31">
        <f t="shared" si="22"/>
        <v>47.5</v>
      </c>
      <c r="AF30" s="31">
        <f t="shared" si="22"/>
        <v>50</v>
      </c>
    </row>
    <row r="31" spans="2:32" ht="23.1" customHeight="1" x14ac:dyDescent="0.25">
      <c r="B31" s="24" t="s">
        <v>58</v>
      </c>
      <c r="C31" s="49">
        <f>'Avg Week Mbrarara-Kabale'!C31+'Avg Week Kabale-Mbarara'!C31</f>
        <v>17.571428571428569</v>
      </c>
      <c r="D31" s="49">
        <f>'Avg Week Mbrarara-Kabale'!D31+'Avg Week Kabale-Mbarara'!D31</f>
        <v>5.8571428571428577</v>
      </c>
      <c r="E31" s="49">
        <f>'Avg Week Mbrarara-Kabale'!E31+'Avg Week Kabale-Mbarara'!E31</f>
        <v>4</v>
      </c>
      <c r="F31" s="49">
        <f>'Avg Week Mbrarara-Kabale'!F31+'Avg Week Kabale-Mbarara'!F31</f>
        <v>16.142857142857142</v>
      </c>
      <c r="G31" s="49">
        <f>'Avg Week Mbrarara-Kabale'!G31+'Avg Week Kabale-Mbarara'!G31</f>
        <v>0.14285714285714285</v>
      </c>
      <c r="H31" s="49">
        <f>'Avg Week Mbrarara-Kabale'!H31+'Avg Week Kabale-Mbarara'!H31</f>
        <v>1.8571428571428572</v>
      </c>
      <c r="I31" s="49">
        <f>'Avg Week Mbrarara-Kabale'!I31+'Avg Week Kabale-Mbarara'!I31</f>
        <v>4.4285714285714288</v>
      </c>
      <c r="J31" s="49">
        <f>'Avg Week Mbrarara-Kabale'!J31+'Avg Week Kabale-Mbarara'!J31</f>
        <v>3</v>
      </c>
      <c r="K31" s="49">
        <f>'Avg Week Mbrarara-Kabale'!K31+'Avg Week Kabale-Mbarara'!K31</f>
        <v>1.8571428571428572</v>
      </c>
      <c r="L31" s="49">
        <f>'Avg Week Mbrarara-Kabale'!L31+'Avg Week Kabale-Mbarara'!L31</f>
        <v>4.4285714285714288</v>
      </c>
      <c r="M31" s="49">
        <f>'Avg Week Mbrarara-Kabale'!M31+'Avg Week Kabale-Mbarara'!M31</f>
        <v>33.714285714285708</v>
      </c>
      <c r="N31" s="49">
        <f>'Avg Week Mbrarara-Kabale'!N31+'Avg Week Kabale-Mbarara'!N31</f>
        <v>0</v>
      </c>
      <c r="O31" s="15">
        <f t="shared" si="0"/>
        <v>59.285714285714285</v>
      </c>
      <c r="P31" s="15">
        <f t="shared" si="1"/>
        <v>93</v>
      </c>
      <c r="R31" s="1" t="s">
        <v>155</v>
      </c>
      <c r="S31" s="34">
        <f>SUM(C94:C97)</f>
        <v>2</v>
      </c>
      <c r="T31" s="34">
        <f t="shared" ref="T31:AF31" si="23">SUM(D94:D97)</f>
        <v>2</v>
      </c>
      <c r="U31" s="34">
        <f t="shared" si="23"/>
        <v>1</v>
      </c>
      <c r="V31" s="34">
        <f t="shared" si="23"/>
        <v>5.5</v>
      </c>
      <c r="W31" s="34">
        <f t="shared" si="23"/>
        <v>0</v>
      </c>
      <c r="X31" s="34">
        <f t="shared" si="23"/>
        <v>0.5</v>
      </c>
      <c r="Y31" s="34">
        <f t="shared" si="23"/>
        <v>2.5</v>
      </c>
      <c r="Z31" s="34">
        <f t="shared" si="23"/>
        <v>7.5</v>
      </c>
      <c r="AA31" s="34">
        <f t="shared" si="23"/>
        <v>17.5</v>
      </c>
      <c r="AB31" s="34">
        <f t="shared" si="23"/>
        <v>28</v>
      </c>
      <c r="AC31" s="34">
        <f t="shared" si="23"/>
        <v>5.5</v>
      </c>
      <c r="AD31" s="34">
        <f t="shared" si="23"/>
        <v>0</v>
      </c>
      <c r="AE31" s="31">
        <f t="shared" si="23"/>
        <v>66.5</v>
      </c>
      <c r="AF31" s="31">
        <f t="shared" si="23"/>
        <v>72</v>
      </c>
    </row>
    <row r="32" spans="2:32" ht="23.1" customHeight="1" x14ac:dyDescent="0.25">
      <c r="B32" s="24" t="s">
        <v>59</v>
      </c>
      <c r="C32" s="49">
        <f>'Avg Week Mbrarara-Kabale'!C32+'Avg Week Kabale-Mbarara'!C32</f>
        <v>15</v>
      </c>
      <c r="D32" s="49">
        <f>'Avg Week Mbrarara-Kabale'!D32+'Avg Week Kabale-Mbarara'!D32</f>
        <v>6</v>
      </c>
      <c r="E32" s="49">
        <f>'Avg Week Mbrarara-Kabale'!E32+'Avg Week Kabale-Mbarara'!E32</f>
        <v>4</v>
      </c>
      <c r="F32" s="49">
        <f>'Avg Week Mbrarara-Kabale'!F32+'Avg Week Kabale-Mbarara'!F32</f>
        <v>13</v>
      </c>
      <c r="G32" s="49">
        <f>'Avg Week Mbrarara-Kabale'!G32+'Avg Week Kabale-Mbarara'!G32</f>
        <v>0.14285714285714285</v>
      </c>
      <c r="H32" s="49">
        <f>'Avg Week Mbrarara-Kabale'!H32+'Avg Week Kabale-Mbarara'!H32</f>
        <v>0.85714285714285721</v>
      </c>
      <c r="I32" s="49">
        <f>'Avg Week Mbrarara-Kabale'!I32+'Avg Week Kabale-Mbarara'!I32</f>
        <v>3.8571428571428568</v>
      </c>
      <c r="J32" s="49">
        <f>'Avg Week Mbrarara-Kabale'!J32+'Avg Week Kabale-Mbarara'!J32</f>
        <v>2.4285714285714284</v>
      </c>
      <c r="K32" s="49">
        <f>'Avg Week Mbrarara-Kabale'!K32+'Avg Week Kabale-Mbarara'!K32</f>
        <v>3</v>
      </c>
      <c r="L32" s="49">
        <f>'Avg Week Mbrarara-Kabale'!L32+'Avg Week Kabale-Mbarara'!L32</f>
        <v>6.1428571428571423</v>
      </c>
      <c r="M32" s="49">
        <f>'Avg Week Mbrarara-Kabale'!M32+'Avg Week Kabale-Mbarara'!M32</f>
        <v>23.285714285714285</v>
      </c>
      <c r="N32" s="49">
        <f>'Avg Week Mbrarara-Kabale'!N32+'Avg Week Kabale-Mbarara'!N32</f>
        <v>0</v>
      </c>
      <c r="O32" s="15">
        <f t="shared" si="0"/>
        <v>54.428571428571431</v>
      </c>
      <c r="P32" s="15">
        <f t="shared" si="1"/>
        <v>77.714285714285722</v>
      </c>
      <c r="R32" s="1" t="s">
        <v>156</v>
      </c>
      <c r="S32" s="34">
        <f>SUM(C98:C101)</f>
        <v>3.5</v>
      </c>
      <c r="T32" s="34">
        <f t="shared" ref="T32:AF32" si="24">SUM(D98:D101)</f>
        <v>3.5</v>
      </c>
      <c r="U32" s="34">
        <f t="shared" si="24"/>
        <v>6.5</v>
      </c>
      <c r="V32" s="34">
        <f t="shared" si="24"/>
        <v>12.5</v>
      </c>
      <c r="W32" s="34">
        <f t="shared" si="24"/>
        <v>0</v>
      </c>
      <c r="X32" s="34">
        <f t="shared" si="24"/>
        <v>1</v>
      </c>
      <c r="Y32" s="34">
        <f t="shared" si="24"/>
        <v>0.5</v>
      </c>
      <c r="Z32" s="34">
        <f t="shared" si="24"/>
        <v>2</v>
      </c>
      <c r="AA32" s="34">
        <f t="shared" si="24"/>
        <v>9</v>
      </c>
      <c r="AB32" s="34">
        <f t="shared" si="24"/>
        <v>19</v>
      </c>
      <c r="AC32" s="34">
        <f t="shared" si="24"/>
        <v>4</v>
      </c>
      <c r="AD32" s="34">
        <f t="shared" si="24"/>
        <v>0</v>
      </c>
      <c r="AE32" s="31">
        <f t="shared" si="24"/>
        <v>57.5</v>
      </c>
      <c r="AF32" s="31">
        <f t="shared" si="24"/>
        <v>61.5</v>
      </c>
    </row>
    <row r="33" spans="2:32" ht="23.1" customHeight="1" x14ac:dyDescent="0.25">
      <c r="B33" s="23" t="s">
        <v>60</v>
      </c>
      <c r="C33" s="49">
        <f>'Avg Week Mbrarara-Kabale'!C33+'Avg Week Kabale-Mbarara'!C33</f>
        <v>12.428571428571427</v>
      </c>
      <c r="D33" s="49">
        <f>'Avg Week Mbrarara-Kabale'!D33+'Avg Week Kabale-Mbarara'!D33</f>
        <v>3.2857142857142856</v>
      </c>
      <c r="E33" s="49">
        <f>'Avg Week Mbrarara-Kabale'!E33+'Avg Week Kabale-Mbarara'!E33</f>
        <v>0.71428571428571419</v>
      </c>
      <c r="F33" s="49">
        <f>'Avg Week Mbrarara-Kabale'!F33+'Avg Week Kabale-Mbarara'!F33</f>
        <v>10.571428571428571</v>
      </c>
      <c r="G33" s="49">
        <f>'Avg Week Mbrarara-Kabale'!G33+'Avg Week Kabale-Mbarara'!G33</f>
        <v>0</v>
      </c>
      <c r="H33" s="49">
        <f>'Avg Week Mbrarara-Kabale'!H33+'Avg Week Kabale-Mbarara'!H33</f>
        <v>1.5714285714285714</v>
      </c>
      <c r="I33" s="49">
        <f>'Avg Week Mbrarara-Kabale'!I33+'Avg Week Kabale-Mbarara'!I33</f>
        <v>1.2857142857142858</v>
      </c>
      <c r="J33" s="49">
        <f>'Avg Week Mbrarara-Kabale'!J33+'Avg Week Kabale-Mbarara'!J33</f>
        <v>1.1428571428571428</v>
      </c>
      <c r="K33" s="49">
        <f>'Avg Week Mbrarara-Kabale'!K33+'Avg Week Kabale-Mbarara'!K33</f>
        <v>1.1428571428571428</v>
      </c>
      <c r="L33" s="49">
        <f>'Avg Week Mbrarara-Kabale'!L33+'Avg Week Kabale-Mbarara'!L33</f>
        <v>4.4285714285714288</v>
      </c>
      <c r="M33" s="49">
        <f>'Avg Week Mbrarara-Kabale'!M33+'Avg Week Kabale-Mbarara'!M33</f>
        <v>20.666666666666664</v>
      </c>
      <c r="N33" s="49">
        <f>'Avg Week Mbrarara-Kabale'!N33+'Avg Week Kabale-Mbarara'!N33</f>
        <v>0</v>
      </c>
      <c r="O33" s="15">
        <f t="shared" si="0"/>
        <v>36.571428571428577</v>
      </c>
      <c r="P33" s="15">
        <f t="shared" si="1"/>
        <v>57.238095238095241</v>
      </c>
      <c r="R33" s="1" t="s">
        <v>157</v>
      </c>
      <c r="S33" s="34">
        <f>SUM(C102:C105)</f>
        <v>11.5</v>
      </c>
      <c r="T33" s="34">
        <f t="shared" ref="T33:AF33" si="25">SUM(D102:D105)</f>
        <v>8</v>
      </c>
      <c r="U33" s="34">
        <f t="shared" si="25"/>
        <v>8</v>
      </c>
      <c r="V33" s="34">
        <f t="shared" si="25"/>
        <v>23.5</v>
      </c>
      <c r="W33" s="34">
        <f t="shared" si="25"/>
        <v>2</v>
      </c>
      <c r="X33" s="34">
        <f t="shared" si="25"/>
        <v>1.5</v>
      </c>
      <c r="Y33" s="34">
        <f t="shared" si="25"/>
        <v>2</v>
      </c>
      <c r="Z33" s="34">
        <f t="shared" si="25"/>
        <v>7.5</v>
      </c>
      <c r="AA33" s="34">
        <f t="shared" si="25"/>
        <v>5.5</v>
      </c>
      <c r="AB33" s="34">
        <f t="shared" si="25"/>
        <v>19</v>
      </c>
      <c r="AC33" s="34">
        <f t="shared" si="25"/>
        <v>20</v>
      </c>
      <c r="AD33" s="34">
        <f t="shared" si="25"/>
        <v>0</v>
      </c>
      <c r="AE33" s="31">
        <f t="shared" si="25"/>
        <v>88.5</v>
      </c>
      <c r="AF33" s="31">
        <f t="shared" si="25"/>
        <v>108.5</v>
      </c>
    </row>
    <row r="34" spans="2:32" ht="23.1" customHeight="1" x14ac:dyDescent="0.25">
      <c r="B34" s="24" t="s">
        <v>61</v>
      </c>
      <c r="C34" s="49">
        <f>'Avg Week Mbrarara-Kabale'!C34+'Avg Week Kabale-Mbarara'!C34</f>
        <v>14</v>
      </c>
      <c r="D34" s="49">
        <f>'Avg Week Mbrarara-Kabale'!D34+'Avg Week Kabale-Mbarara'!D34</f>
        <v>4.2857142857142856</v>
      </c>
      <c r="E34" s="49">
        <f>'Avg Week Mbrarara-Kabale'!E34+'Avg Week Kabale-Mbarara'!E34</f>
        <v>3</v>
      </c>
      <c r="F34" s="49">
        <f>'Avg Week Mbrarara-Kabale'!F34+'Avg Week Kabale-Mbarara'!F34</f>
        <v>11.142857142857142</v>
      </c>
      <c r="G34" s="49">
        <f>'Avg Week Mbrarara-Kabale'!G34+'Avg Week Kabale-Mbarara'!G34</f>
        <v>0.2857142857142857</v>
      </c>
      <c r="H34" s="49">
        <f>'Avg Week Mbrarara-Kabale'!H34+'Avg Week Kabale-Mbarara'!H34</f>
        <v>0.42857142857142855</v>
      </c>
      <c r="I34" s="49">
        <f>'Avg Week Mbrarara-Kabale'!I34+'Avg Week Kabale-Mbarara'!I34</f>
        <v>3.2857142857142856</v>
      </c>
      <c r="J34" s="49">
        <f>'Avg Week Mbrarara-Kabale'!J34+'Avg Week Kabale-Mbarara'!J34</f>
        <v>1.2857142857142856</v>
      </c>
      <c r="K34" s="49">
        <f>'Avg Week Mbrarara-Kabale'!K34+'Avg Week Kabale-Mbarara'!K34</f>
        <v>2.8571428571428568</v>
      </c>
      <c r="L34" s="49">
        <f>'Avg Week Mbrarara-Kabale'!L34+'Avg Week Kabale-Mbarara'!L34</f>
        <v>3.7142857142857144</v>
      </c>
      <c r="M34" s="49">
        <f>'Avg Week Mbrarara-Kabale'!M34+'Avg Week Kabale-Mbarara'!M34</f>
        <v>24.571428571428569</v>
      </c>
      <c r="N34" s="49">
        <f>'Avg Week Mbrarara-Kabale'!N34+'Avg Week Kabale-Mbarara'!N34</f>
        <v>0</v>
      </c>
      <c r="O34" s="15">
        <f t="shared" si="0"/>
        <v>44.285714285714285</v>
      </c>
      <c r="P34" s="15">
        <f t="shared" si="1"/>
        <v>68.857142857142861</v>
      </c>
      <c r="R34" s="38" t="s">
        <v>90</v>
      </c>
      <c r="S34" s="39">
        <f t="shared" ref="S34:AF34" si="26">MAX(S10:S12)</f>
        <v>52.142857142857146</v>
      </c>
      <c r="T34" s="39">
        <f t="shared" si="26"/>
        <v>16</v>
      </c>
      <c r="U34" s="39">
        <f t="shared" si="26"/>
        <v>11.142857142857144</v>
      </c>
      <c r="V34" s="39">
        <f t="shared" si="26"/>
        <v>44.714285714285722</v>
      </c>
      <c r="W34" s="39">
        <f t="shared" si="26"/>
        <v>1.8571428571428568</v>
      </c>
      <c r="X34" s="39">
        <f t="shared" si="26"/>
        <v>4.2857142857142856</v>
      </c>
      <c r="Y34" s="39">
        <f t="shared" si="26"/>
        <v>13</v>
      </c>
      <c r="Z34" s="39">
        <f t="shared" si="26"/>
        <v>8.7142857142857135</v>
      </c>
      <c r="AA34" s="39">
        <f t="shared" si="26"/>
        <v>14</v>
      </c>
      <c r="AB34" s="39">
        <f t="shared" si="26"/>
        <v>21</v>
      </c>
      <c r="AC34" s="39">
        <f t="shared" si="26"/>
        <v>137</v>
      </c>
      <c r="AD34" s="39">
        <f t="shared" si="26"/>
        <v>0.5714285714285714</v>
      </c>
      <c r="AE34" s="40">
        <f t="shared" si="26"/>
        <v>172.14285714285717</v>
      </c>
      <c r="AF34" s="40">
        <f t="shared" si="26"/>
        <v>309.14285714285711</v>
      </c>
    </row>
    <row r="35" spans="2:32" ht="23.1" customHeight="1" x14ac:dyDescent="0.25">
      <c r="B35" s="24" t="s">
        <v>62</v>
      </c>
      <c r="C35" s="49">
        <f>'Avg Week Mbrarara-Kabale'!C35+'Avg Week Kabale-Mbarara'!C35</f>
        <v>15</v>
      </c>
      <c r="D35" s="49">
        <f>'Avg Week Mbrarara-Kabale'!D35+'Avg Week Kabale-Mbarara'!D35</f>
        <v>5.5714285714285721</v>
      </c>
      <c r="E35" s="49">
        <f>'Avg Week Mbrarara-Kabale'!E35+'Avg Week Kabale-Mbarara'!E35</f>
        <v>2.4285714285714284</v>
      </c>
      <c r="F35" s="49">
        <f>'Avg Week Mbrarara-Kabale'!F35+'Avg Week Kabale-Mbarara'!F35</f>
        <v>12.714285714285715</v>
      </c>
      <c r="G35" s="49">
        <f>'Avg Week Mbrarara-Kabale'!G35+'Avg Week Kabale-Mbarara'!G35</f>
        <v>0.42857142857142855</v>
      </c>
      <c r="H35" s="49">
        <f>'Avg Week Mbrarara-Kabale'!H35+'Avg Week Kabale-Mbarara'!H35</f>
        <v>2.4285714285714288</v>
      </c>
      <c r="I35" s="49">
        <f>'Avg Week Mbrarara-Kabale'!I35+'Avg Week Kabale-Mbarara'!I35</f>
        <v>3.1428571428571428</v>
      </c>
      <c r="J35" s="49">
        <f>'Avg Week Mbrarara-Kabale'!J35+'Avg Week Kabale-Mbarara'!J35</f>
        <v>1.4285714285714286</v>
      </c>
      <c r="K35" s="49">
        <f>'Avg Week Mbrarara-Kabale'!K35+'Avg Week Kabale-Mbarara'!K35</f>
        <v>1.2857142857142856</v>
      </c>
      <c r="L35" s="49">
        <f>'Avg Week Mbrarara-Kabale'!L35+'Avg Week Kabale-Mbarara'!L35</f>
        <v>5.4285714285714288</v>
      </c>
      <c r="M35" s="49">
        <f>'Avg Week Mbrarara-Kabale'!M35+'Avg Week Kabale-Mbarara'!M35</f>
        <v>26.428571428571431</v>
      </c>
      <c r="N35" s="49">
        <f>'Avg Week Mbrarara-Kabale'!N35+'Avg Week Kabale-Mbarara'!N35</f>
        <v>0</v>
      </c>
      <c r="O35" s="15">
        <f t="shared" si="0"/>
        <v>49.857142857142868</v>
      </c>
      <c r="P35" s="15">
        <f t="shared" si="1"/>
        <v>76.285714285714306</v>
      </c>
      <c r="R35" s="38" t="s">
        <v>91</v>
      </c>
      <c r="S35" s="39">
        <f t="shared" ref="S35:AF35" si="27">MAX(S13:S18)</f>
        <v>68.428571428571431</v>
      </c>
      <c r="T35" s="39">
        <f t="shared" si="27"/>
        <v>19.857142857142858</v>
      </c>
      <c r="U35" s="39">
        <f t="shared" si="27"/>
        <v>13.428571428571427</v>
      </c>
      <c r="V35" s="39">
        <f t="shared" si="27"/>
        <v>52.428571428571431</v>
      </c>
      <c r="W35" s="39">
        <f t="shared" si="27"/>
        <v>1.857142857142857</v>
      </c>
      <c r="X35" s="39">
        <f t="shared" si="27"/>
        <v>7.1428571428571423</v>
      </c>
      <c r="Y35" s="39">
        <f t="shared" si="27"/>
        <v>15</v>
      </c>
      <c r="Z35" s="39">
        <f t="shared" si="27"/>
        <v>11.285714285714285</v>
      </c>
      <c r="AA35" s="39">
        <f t="shared" si="27"/>
        <v>15.285714285714286</v>
      </c>
      <c r="AB35" s="39">
        <f t="shared" si="27"/>
        <v>23.857142857142861</v>
      </c>
      <c r="AC35" s="39">
        <f t="shared" si="27"/>
        <v>137.42857142857144</v>
      </c>
      <c r="AD35" s="39">
        <f t="shared" si="27"/>
        <v>0.5714285714285714</v>
      </c>
      <c r="AE35" s="40">
        <f t="shared" si="27"/>
        <v>205.57142857142858</v>
      </c>
      <c r="AF35" s="40">
        <f t="shared" si="27"/>
        <v>327.42857142857139</v>
      </c>
    </row>
    <row r="36" spans="2:32" ht="23.1" customHeight="1" x14ac:dyDescent="0.25">
      <c r="B36" s="24" t="s">
        <v>63</v>
      </c>
      <c r="C36" s="49">
        <f>'Avg Week Mbrarara-Kabale'!C36+'Avg Week Kabale-Mbarara'!C36</f>
        <v>12.285714285714285</v>
      </c>
      <c r="D36" s="49">
        <f>'Avg Week Mbrarara-Kabale'!D36+'Avg Week Kabale-Mbarara'!D36</f>
        <v>5</v>
      </c>
      <c r="E36" s="49">
        <f>'Avg Week Mbrarara-Kabale'!E36+'Avg Week Kabale-Mbarara'!E36</f>
        <v>4.4285714285714288</v>
      </c>
      <c r="F36" s="49">
        <f>'Avg Week Mbrarara-Kabale'!F36+'Avg Week Kabale-Mbarara'!F36</f>
        <v>14.571428571428571</v>
      </c>
      <c r="G36" s="49">
        <f>'Avg Week Mbrarara-Kabale'!G36+'Avg Week Kabale-Mbarara'!G36</f>
        <v>0</v>
      </c>
      <c r="H36" s="49">
        <f>'Avg Week Mbrarara-Kabale'!H36+'Avg Week Kabale-Mbarara'!H36</f>
        <v>0.2857142857142857</v>
      </c>
      <c r="I36" s="49">
        <f>'Avg Week Mbrarara-Kabale'!I36+'Avg Week Kabale-Mbarara'!I36</f>
        <v>2</v>
      </c>
      <c r="J36" s="49">
        <f>'Avg Week Mbrarara-Kabale'!J36+'Avg Week Kabale-Mbarara'!J36</f>
        <v>2.5714285714285712</v>
      </c>
      <c r="K36" s="49">
        <f>'Avg Week Mbrarara-Kabale'!K36+'Avg Week Kabale-Mbarara'!K36</f>
        <v>4.2857142857142856</v>
      </c>
      <c r="L36" s="49">
        <f>'Avg Week Mbrarara-Kabale'!L36+'Avg Week Kabale-Mbarara'!L36</f>
        <v>2.5714285714285712</v>
      </c>
      <c r="M36" s="49">
        <f>'Avg Week Mbrarara-Kabale'!M36+'Avg Week Kabale-Mbarara'!M36</f>
        <v>24.857142857142858</v>
      </c>
      <c r="N36" s="49">
        <f>'Avg Week Mbrarara-Kabale'!N36+'Avg Week Kabale-Mbarara'!N36</f>
        <v>0</v>
      </c>
      <c r="O36" s="15">
        <f t="shared" si="0"/>
        <v>47.999999999999993</v>
      </c>
      <c r="P36" s="15">
        <f t="shared" si="1"/>
        <v>72.857142857142847</v>
      </c>
      <c r="R36" s="38" t="s">
        <v>92</v>
      </c>
      <c r="S36" s="39">
        <f t="shared" ref="S36:AF36" si="28">MAX(S19:S21)</f>
        <v>61.428571428571431</v>
      </c>
      <c r="T36" s="39">
        <f t="shared" si="28"/>
        <v>18.142857142857142</v>
      </c>
      <c r="U36" s="39">
        <f t="shared" si="28"/>
        <v>15.428571428571429</v>
      </c>
      <c r="V36" s="39">
        <f t="shared" si="28"/>
        <v>41.142857142857139</v>
      </c>
      <c r="W36" s="39">
        <f t="shared" si="28"/>
        <v>2.5714285714285712</v>
      </c>
      <c r="X36" s="39">
        <f t="shared" si="28"/>
        <v>4.5714285714285712</v>
      </c>
      <c r="Y36" s="39">
        <f t="shared" si="28"/>
        <v>12.428571428571427</v>
      </c>
      <c r="Z36" s="39">
        <f t="shared" si="28"/>
        <v>13.142857142857142</v>
      </c>
      <c r="AA36" s="39">
        <f t="shared" si="28"/>
        <v>18.714285714285715</v>
      </c>
      <c r="AB36" s="39">
        <f t="shared" si="28"/>
        <v>23.714285714285712</v>
      </c>
      <c r="AC36" s="39">
        <f t="shared" si="28"/>
        <v>122.14285714285715</v>
      </c>
      <c r="AD36" s="39">
        <f t="shared" si="28"/>
        <v>0.14285714285714285</v>
      </c>
      <c r="AE36" s="40">
        <f t="shared" si="28"/>
        <v>193.14285714285717</v>
      </c>
      <c r="AF36" s="40">
        <f t="shared" si="28"/>
        <v>315.28571428571433</v>
      </c>
    </row>
    <row r="37" spans="2:32" ht="23.1" customHeight="1" x14ac:dyDescent="0.25">
      <c r="B37" s="23" t="s">
        <v>64</v>
      </c>
      <c r="C37" s="49">
        <f>'Avg Week Mbrarara-Kabale'!C37+'Avg Week Kabale-Mbarara'!C37</f>
        <v>14</v>
      </c>
      <c r="D37" s="49">
        <f>'Avg Week Mbrarara-Kabale'!D37+'Avg Week Kabale-Mbarara'!D37</f>
        <v>4.4285714285714288</v>
      </c>
      <c r="E37" s="49">
        <f>'Avg Week Mbrarara-Kabale'!E37+'Avg Week Kabale-Mbarara'!E37</f>
        <v>2</v>
      </c>
      <c r="F37" s="49">
        <f>'Avg Week Mbrarara-Kabale'!F37+'Avg Week Kabale-Mbarara'!F37</f>
        <v>7.1428571428571432</v>
      </c>
      <c r="G37" s="49">
        <f>'Avg Week Mbrarara-Kabale'!G37+'Avg Week Kabale-Mbarara'!G37</f>
        <v>0.2857142857142857</v>
      </c>
      <c r="H37" s="49">
        <f>'Avg Week Mbrarara-Kabale'!H37+'Avg Week Kabale-Mbarara'!H37</f>
        <v>1</v>
      </c>
      <c r="I37" s="49">
        <f>'Avg Week Mbrarara-Kabale'!I37+'Avg Week Kabale-Mbarara'!I37</f>
        <v>1.7142857142857144</v>
      </c>
      <c r="J37" s="49">
        <f>'Avg Week Mbrarara-Kabale'!J37+'Avg Week Kabale-Mbarara'!J37</f>
        <v>0.14285714285714285</v>
      </c>
      <c r="K37" s="49">
        <f>'Avg Week Mbrarara-Kabale'!K37+'Avg Week Kabale-Mbarara'!K37</f>
        <v>2.4285714285714288</v>
      </c>
      <c r="L37" s="49">
        <f>'Avg Week Mbrarara-Kabale'!L37+'Avg Week Kabale-Mbarara'!L37</f>
        <v>4.4285714285714288</v>
      </c>
      <c r="M37" s="49">
        <f>'Avg Week Mbrarara-Kabale'!M37+'Avg Week Kabale-Mbarara'!M37</f>
        <v>22.571428571428569</v>
      </c>
      <c r="N37" s="49">
        <f>'Avg Week Mbrarara-Kabale'!N37+'Avg Week Kabale-Mbarara'!N37</f>
        <v>0.5714285714285714</v>
      </c>
      <c r="O37" s="15">
        <f t="shared" si="0"/>
        <v>38.142857142857146</v>
      </c>
      <c r="P37" s="15">
        <f t="shared" si="1"/>
        <v>60.714285714285715</v>
      </c>
      <c r="R37" s="37" t="s">
        <v>85</v>
      </c>
      <c r="S37" s="35">
        <f t="shared" ref="S37:AF37" si="29">SUM(S10:S12)</f>
        <v>140.71428571428572</v>
      </c>
      <c r="T37" s="16">
        <f t="shared" si="29"/>
        <v>43.428571428571431</v>
      </c>
      <c r="U37" s="16">
        <f t="shared" si="29"/>
        <v>32.142857142857146</v>
      </c>
      <c r="V37" s="16">
        <f t="shared" si="29"/>
        <v>116.28571428571429</v>
      </c>
      <c r="W37" s="16">
        <f t="shared" si="29"/>
        <v>3.5714285714285712</v>
      </c>
      <c r="X37" s="16">
        <f t="shared" si="29"/>
        <v>7</v>
      </c>
      <c r="Y37" s="16">
        <f t="shared" si="29"/>
        <v>33.428571428571431</v>
      </c>
      <c r="Z37" s="16">
        <f t="shared" si="29"/>
        <v>24.428571428571431</v>
      </c>
      <c r="AA37" s="16">
        <f t="shared" si="29"/>
        <v>24.285714285714285</v>
      </c>
      <c r="AB37" s="16">
        <f t="shared" si="29"/>
        <v>52.714285714285708</v>
      </c>
      <c r="AC37" s="16">
        <f t="shared" si="29"/>
        <v>346.85714285714289</v>
      </c>
      <c r="AD37" s="16">
        <f t="shared" si="29"/>
        <v>0.8571428571428571</v>
      </c>
      <c r="AE37" s="32">
        <f t="shared" si="29"/>
        <v>478.85714285714289</v>
      </c>
      <c r="AF37" s="32">
        <f t="shared" si="29"/>
        <v>825.71428571428578</v>
      </c>
    </row>
    <row r="38" spans="2:32" ht="23.1" customHeight="1" x14ac:dyDescent="0.25">
      <c r="B38" s="24" t="s">
        <v>65</v>
      </c>
      <c r="C38" s="49">
        <f>'Avg Week Mbrarara-Kabale'!C38+'Avg Week Kabale-Mbarara'!C38</f>
        <v>13.428571428571427</v>
      </c>
      <c r="D38" s="49">
        <f>'Avg Week Mbrarara-Kabale'!D38+'Avg Week Kabale-Mbarara'!D38</f>
        <v>3.5714285714285716</v>
      </c>
      <c r="E38" s="49">
        <f>'Avg Week Mbrarara-Kabale'!E38+'Avg Week Kabale-Mbarara'!E38</f>
        <v>2.7142857142857144</v>
      </c>
      <c r="F38" s="49">
        <f>'Avg Week Mbrarara-Kabale'!F38+'Avg Week Kabale-Mbarara'!F38</f>
        <v>9</v>
      </c>
      <c r="G38" s="49">
        <f>'Avg Week Mbrarara-Kabale'!G38+'Avg Week Kabale-Mbarara'!G38</f>
        <v>0.42857142857142855</v>
      </c>
      <c r="H38" s="49">
        <f>'Avg Week Mbrarara-Kabale'!H38+'Avg Week Kabale-Mbarara'!H38</f>
        <v>2.5714285714285716</v>
      </c>
      <c r="I38" s="49">
        <f>'Avg Week Mbrarara-Kabale'!I38+'Avg Week Kabale-Mbarara'!I38</f>
        <v>2.8571428571428568</v>
      </c>
      <c r="J38" s="49">
        <f>'Avg Week Mbrarara-Kabale'!J38+'Avg Week Kabale-Mbarara'!J38</f>
        <v>2.7142857142857144</v>
      </c>
      <c r="K38" s="49">
        <f>'Avg Week Mbrarara-Kabale'!K38+'Avg Week Kabale-Mbarara'!K38</f>
        <v>2.8571428571428572</v>
      </c>
      <c r="L38" s="49">
        <f>'Avg Week Mbrarara-Kabale'!L38+'Avg Week Kabale-Mbarara'!L38</f>
        <v>5.4285714285714288</v>
      </c>
      <c r="M38" s="49">
        <f>'Avg Week Mbrarara-Kabale'!M38+'Avg Week Kabale-Mbarara'!M38</f>
        <v>19.285714285714285</v>
      </c>
      <c r="N38" s="49">
        <f>'Avg Week Mbrarara-Kabale'!N38+'Avg Week Kabale-Mbarara'!N38</f>
        <v>0</v>
      </c>
      <c r="O38" s="15">
        <f t="shared" si="0"/>
        <v>45.571428571428569</v>
      </c>
      <c r="P38" s="15">
        <f t="shared" si="1"/>
        <v>64.857142857142861</v>
      </c>
      <c r="R38" s="28" t="s">
        <v>86</v>
      </c>
      <c r="S38" s="16">
        <f t="shared" ref="S38:AF38" si="30">SUM(S13:S18)</f>
        <v>365.57142857142861</v>
      </c>
      <c r="T38" s="16">
        <f t="shared" si="30"/>
        <v>107.71428571428572</v>
      </c>
      <c r="U38" s="16">
        <f t="shared" si="30"/>
        <v>73.714285714285708</v>
      </c>
      <c r="V38" s="16">
        <f t="shared" si="30"/>
        <v>273.71428571428572</v>
      </c>
      <c r="W38" s="16">
        <f t="shared" si="30"/>
        <v>6.5714285714285703</v>
      </c>
      <c r="X38" s="16">
        <f t="shared" si="30"/>
        <v>31.999999999999993</v>
      </c>
      <c r="Y38" s="16">
        <f t="shared" si="30"/>
        <v>77.571428571428569</v>
      </c>
      <c r="Z38" s="16">
        <f t="shared" si="30"/>
        <v>55.428571428571431</v>
      </c>
      <c r="AA38" s="16">
        <f t="shared" si="30"/>
        <v>65.428571428571431</v>
      </c>
      <c r="AB38" s="16">
        <f t="shared" si="30"/>
        <v>108.85714285714286</v>
      </c>
      <c r="AC38" s="16">
        <f t="shared" si="30"/>
        <v>668.66666666666663</v>
      </c>
      <c r="AD38" s="16">
        <f t="shared" si="30"/>
        <v>1.2857142857142856</v>
      </c>
      <c r="AE38" s="32">
        <f t="shared" si="30"/>
        <v>1167.8571428571427</v>
      </c>
      <c r="AF38" s="32">
        <f t="shared" si="30"/>
        <v>1836.5238095238094</v>
      </c>
    </row>
    <row r="39" spans="2:32" ht="23.1" customHeight="1" x14ac:dyDescent="0.25">
      <c r="B39" s="24" t="s">
        <v>66</v>
      </c>
      <c r="C39" s="49">
        <f>'Avg Week Mbrarara-Kabale'!C39+'Avg Week Kabale-Mbarara'!C39</f>
        <v>13.142857142857142</v>
      </c>
      <c r="D39" s="49">
        <f>'Avg Week Mbrarara-Kabale'!D39+'Avg Week Kabale-Mbarara'!D39</f>
        <v>4.8571428571428577</v>
      </c>
      <c r="E39" s="49">
        <f>'Avg Week Mbrarara-Kabale'!E39+'Avg Week Kabale-Mbarara'!E39</f>
        <v>4.1428571428571423</v>
      </c>
      <c r="F39" s="49">
        <f>'Avg Week Mbrarara-Kabale'!F39+'Avg Week Kabale-Mbarara'!F39</f>
        <v>11</v>
      </c>
      <c r="G39" s="49">
        <f>'Avg Week Mbrarara-Kabale'!G39+'Avg Week Kabale-Mbarara'!G39</f>
        <v>0.2857142857142857</v>
      </c>
      <c r="H39" s="49">
        <f>'Avg Week Mbrarara-Kabale'!H39+'Avg Week Kabale-Mbarara'!H39</f>
        <v>2</v>
      </c>
      <c r="I39" s="49">
        <f>'Avg Week Mbrarara-Kabale'!I39+'Avg Week Kabale-Mbarara'!I39</f>
        <v>4</v>
      </c>
      <c r="J39" s="49">
        <f>'Avg Week Mbrarara-Kabale'!J39+'Avg Week Kabale-Mbarara'!J39</f>
        <v>3.5714285714285716</v>
      </c>
      <c r="K39" s="49">
        <f>'Avg Week Mbrarara-Kabale'!K39+'Avg Week Kabale-Mbarara'!K39</f>
        <v>3.5714285714285712</v>
      </c>
      <c r="L39" s="49">
        <f>'Avg Week Mbrarara-Kabale'!L39+'Avg Week Kabale-Mbarara'!L39</f>
        <v>3.1428571428571428</v>
      </c>
      <c r="M39" s="49">
        <f>'Avg Week Mbrarara-Kabale'!M39+'Avg Week Kabale-Mbarara'!M39</f>
        <v>26.142857142857142</v>
      </c>
      <c r="N39" s="49">
        <f>'Avg Week Mbrarara-Kabale'!N39+'Avg Week Kabale-Mbarara'!N39</f>
        <v>0.2857142857142857</v>
      </c>
      <c r="O39" s="15">
        <f t="shared" si="0"/>
        <v>49.999999999999993</v>
      </c>
      <c r="P39" s="15">
        <f t="shared" si="1"/>
        <v>76.142857142857139</v>
      </c>
      <c r="R39" s="29" t="s">
        <v>87</v>
      </c>
      <c r="S39" s="16">
        <f t="shared" ref="S39:AF39" si="31">SUM(S19:S21)</f>
        <v>167.57142857142858</v>
      </c>
      <c r="T39" s="16">
        <f t="shared" si="31"/>
        <v>51.285714285714278</v>
      </c>
      <c r="U39" s="16">
        <f t="shared" si="31"/>
        <v>40.285714285714285</v>
      </c>
      <c r="V39" s="16">
        <f t="shared" si="31"/>
        <v>115.57142857142856</v>
      </c>
      <c r="W39" s="16">
        <f t="shared" si="31"/>
        <v>5</v>
      </c>
      <c r="X39" s="16">
        <f t="shared" si="31"/>
        <v>8</v>
      </c>
      <c r="Y39" s="16">
        <f t="shared" si="31"/>
        <v>34.142857142857139</v>
      </c>
      <c r="Z39" s="16">
        <f t="shared" si="31"/>
        <v>31</v>
      </c>
      <c r="AA39" s="16">
        <f t="shared" si="31"/>
        <v>48</v>
      </c>
      <c r="AB39" s="16">
        <f t="shared" si="31"/>
        <v>58.428571428571423</v>
      </c>
      <c r="AC39" s="16">
        <f t="shared" si="31"/>
        <v>349.28571428571428</v>
      </c>
      <c r="AD39" s="16">
        <f t="shared" si="31"/>
        <v>0.14285714285714285</v>
      </c>
      <c r="AE39" s="32">
        <f t="shared" si="31"/>
        <v>559.42857142857144</v>
      </c>
      <c r="AF39" s="32">
        <f t="shared" si="31"/>
        <v>908.71428571428578</v>
      </c>
    </row>
    <row r="40" spans="2:32" ht="23.1" customHeight="1" x14ac:dyDescent="0.25">
      <c r="B40" s="24" t="s">
        <v>67</v>
      </c>
      <c r="C40" s="49">
        <f>'Avg Week Mbrarara-Kabale'!C40+'Avg Week Kabale-Mbarara'!C40</f>
        <v>15.285714285714285</v>
      </c>
      <c r="D40" s="49">
        <f>'Avg Week Mbrarara-Kabale'!D40+'Avg Week Kabale-Mbarara'!D40</f>
        <v>3.2857142857142856</v>
      </c>
      <c r="E40" s="49">
        <f>'Avg Week Mbrarara-Kabale'!E40+'Avg Week Kabale-Mbarara'!E40</f>
        <v>2.8571428571428572</v>
      </c>
      <c r="F40" s="49">
        <f>'Avg Week Mbrarara-Kabale'!F40+'Avg Week Kabale-Mbarara'!F40</f>
        <v>11</v>
      </c>
      <c r="G40" s="49">
        <f>'Avg Week Mbrarara-Kabale'!G40+'Avg Week Kabale-Mbarara'!G40</f>
        <v>0.42857142857142855</v>
      </c>
      <c r="H40" s="49">
        <f>'Avg Week Mbrarara-Kabale'!H40+'Avg Week Kabale-Mbarara'!H40</f>
        <v>1</v>
      </c>
      <c r="I40" s="49">
        <f>'Avg Week Mbrarara-Kabale'!I40+'Avg Week Kabale-Mbarara'!I40</f>
        <v>2.5714285714285712</v>
      </c>
      <c r="J40" s="49">
        <f>'Avg Week Mbrarara-Kabale'!J40+'Avg Week Kabale-Mbarara'!J40</f>
        <v>2.4285714285714288</v>
      </c>
      <c r="K40" s="49">
        <f>'Avg Week Mbrarara-Kabale'!K40+'Avg Week Kabale-Mbarara'!K40</f>
        <v>2.5714285714285712</v>
      </c>
      <c r="L40" s="49">
        <f>'Avg Week Mbrarara-Kabale'!L40+'Avg Week Kabale-Mbarara'!L40</f>
        <v>6.5714285714285712</v>
      </c>
      <c r="M40" s="49">
        <f>'Avg Week Mbrarara-Kabale'!M40+'Avg Week Kabale-Mbarara'!M40</f>
        <v>31.428571428571431</v>
      </c>
      <c r="N40" s="49">
        <f>'Avg Week Mbrarara-Kabale'!N40+'Avg Week Kabale-Mbarara'!N40</f>
        <v>0.14285714285714285</v>
      </c>
      <c r="O40" s="15">
        <f t="shared" si="0"/>
        <v>48.142857142857146</v>
      </c>
      <c r="P40" s="15">
        <f t="shared" si="1"/>
        <v>79.571428571428569</v>
      </c>
      <c r="R40" s="5" t="s">
        <v>17</v>
      </c>
      <c r="S40" s="16">
        <f t="shared" ref="S40:AF40" si="32">SUM(S10:S21)</f>
        <v>673.85714285714278</v>
      </c>
      <c r="T40" s="16">
        <f t="shared" si="32"/>
        <v>202.42857142857144</v>
      </c>
      <c r="U40" s="16">
        <f t="shared" si="32"/>
        <v>146.14285714285714</v>
      </c>
      <c r="V40" s="16">
        <f t="shared" si="32"/>
        <v>505.57142857142856</v>
      </c>
      <c r="W40" s="16">
        <f t="shared" si="32"/>
        <v>15.142857142857142</v>
      </c>
      <c r="X40" s="16">
        <f t="shared" si="32"/>
        <v>47</v>
      </c>
      <c r="Y40" s="16">
        <f t="shared" si="32"/>
        <v>145.14285714285714</v>
      </c>
      <c r="Z40" s="16">
        <f t="shared" si="32"/>
        <v>110.85714285714285</v>
      </c>
      <c r="AA40" s="16">
        <f t="shared" si="32"/>
        <v>137.71428571428572</v>
      </c>
      <c r="AB40" s="16">
        <f t="shared" si="32"/>
        <v>220</v>
      </c>
      <c r="AC40" s="16">
        <f t="shared" si="32"/>
        <v>1364.8095238095239</v>
      </c>
      <c r="AD40" s="16">
        <f t="shared" si="32"/>
        <v>2.2857142857142856</v>
      </c>
      <c r="AE40" s="32">
        <f t="shared" si="32"/>
        <v>2206.1428571428569</v>
      </c>
      <c r="AF40" s="32">
        <f t="shared" si="32"/>
        <v>3570.9523809523812</v>
      </c>
    </row>
    <row r="41" spans="2:32" ht="23.1" customHeight="1" x14ac:dyDescent="0.25">
      <c r="B41" s="23" t="s">
        <v>68</v>
      </c>
      <c r="C41" s="49">
        <f>'Avg Week Mbrarara-Kabale'!C41+'Avg Week Kabale-Mbarara'!C41</f>
        <v>15.285714285714286</v>
      </c>
      <c r="D41" s="49">
        <f>'Avg Week Mbrarara-Kabale'!D41+'Avg Week Kabale-Mbarara'!D41</f>
        <v>4.1428571428571423</v>
      </c>
      <c r="E41" s="49">
        <f>'Avg Week Mbrarara-Kabale'!E41+'Avg Week Kabale-Mbarara'!E41</f>
        <v>3.1428571428571428</v>
      </c>
      <c r="F41" s="49">
        <f>'Avg Week Mbrarara-Kabale'!F41+'Avg Week Kabale-Mbarara'!F41</f>
        <v>8</v>
      </c>
      <c r="G41" s="49">
        <f>'Avg Week Mbrarara-Kabale'!G41+'Avg Week Kabale-Mbarara'!G41</f>
        <v>0.2857142857142857</v>
      </c>
      <c r="H41" s="49">
        <f>'Avg Week Mbrarara-Kabale'!H41+'Avg Week Kabale-Mbarara'!H41</f>
        <v>1.5714285714285714</v>
      </c>
      <c r="I41" s="49">
        <f>'Avg Week Mbrarara-Kabale'!I41+'Avg Week Kabale-Mbarara'!I41</f>
        <v>2.4285714285714288</v>
      </c>
      <c r="J41" s="49">
        <f>'Avg Week Mbrarara-Kabale'!J41+'Avg Week Kabale-Mbarara'!J41</f>
        <v>2.2857142857142856</v>
      </c>
      <c r="K41" s="49">
        <f>'Avg Week Mbrarara-Kabale'!K41+'Avg Week Kabale-Mbarara'!K41</f>
        <v>2.7142857142857144</v>
      </c>
      <c r="L41" s="49">
        <f>'Avg Week Mbrarara-Kabale'!L41+'Avg Week Kabale-Mbarara'!L41</f>
        <v>5.1428571428571423</v>
      </c>
      <c r="M41" s="49">
        <f>'Avg Week Mbrarara-Kabale'!M41+'Avg Week Kabale-Mbarara'!M41</f>
        <v>19.714285714285715</v>
      </c>
      <c r="N41" s="49">
        <f>'Avg Week Mbrarara-Kabale'!N41+'Avg Week Kabale-Mbarara'!N41</f>
        <v>0</v>
      </c>
      <c r="O41" s="15">
        <f t="shared" si="0"/>
        <v>45</v>
      </c>
      <c r="P41" s="15">
        <f t="shared" si="1"/>
        <v>64.714285714285722</v>
      </c>
      <c r="R41" s="5" t="s">
        <v>187</v>
      </c>
      <c r="S41" s="52">
        <f>SUM(S10:S33)</f>
        <v>896.35714285714278</v>
      </c>
      <c r="T41" s="52">
        <f t="shared" ref="T41:AD41" si="33">SUM(T10:T33)</f>
        <v>297.42857142857144</v>
      </c>
      <c r="U41" s="52">
        <f t="shared" si="33"/>
        <v>225.14285714285714</v>
      </c>
      <c r="V41" s="52">
        <f t="shared" si="33"/>
        <v>704.57142857142856</v>
      </c>
      <c r="W41" s="52">
        <f t="shared" si="33"/>
        <v>27.142857142857142</v>
      </c>
      <c r="X41" s="52">
        <f t="shared" si="33"/>
        <v>71</v>
      </c>
      <c r="Y41" s="52">
        <f t="shared" si="33"/>
        <v>191.64285714285714</v>
      </c>
      <c r="Z41" s="52">
        <f t="shared" si="33"/>
        <v>183.85714285714283</v>
      </c>
      <c r="AA41" s="52">
        <f t="shared" si="33"/>
        <v>255.21428571428572</v>
      </c>
      <c r="AB41" s="52">
        <f t="shared" si="33"/>
        <v>420.5</v>
      </c>
      <c r="AC41" s="52">
        <f t="shared" si="33"/>
        <v>1641.8095238095239</v>
      </c>
      <c r="AD41" s="52">
        <f t="shared" si="33"/>
        <v>2.2857142857142856</v>
      </c>
      <c r="AE41" s="53">
        <f>SUM(AE10:AE33)</f>
        <v>3275.1428571428569</v>
      </c>
      <c r="AF41" s="53">
        <f>SUM(AF10:AF33)</f>
        <v>4916.9523809523816</v>
      </c>
    </row>
    <row r="42" spans="2:32" ht="23.1" customHeight="1" x14ac:dyDescent="0.25">
      <c r="B42" s="24" t="s">
        <v>69</v>
      </c>
      <c r="C42" s="49">
        <f>'Avg Week Mbrarara-Kabale'!C42+'Avg Week Kabale-Mbarara'!C42</f>
        <v>14.571428571428571</v>
      </c>
      <c r="D42" s="49">
        <f>'Avg Week Mbrarara-Kabale'!D42+'Avg Week Kabale-Mbarara'!D42</f>
        <v>4</v>
      </c>
      <c r="E42" s="49">
        <f>'Avg Week Mbrarara-Kabale'!E42+'Avg Week Kabale-Mbarara'!E42</f>
        <v>3.1428571428571428</v>
      </c>
      <c r="F42" s="49">
        <f>'Avg Week Mbrarara-Kabale'!F42+'Avg Week Kabale-Mbarara'!F42</f>
        <v>10.857142857142858</v>
      </c>
      <c r="G42" s="49">
        <f>'Avg Week Mbrarara-Kabale'!G42+'Avg Week Kabale-Mbarara'!G42</f>
        <v>0.42857142857142855</v>
      </c>
      <c r="H42" s="49">
        <f>'Avg Week Mbrarara-Kabale'!H42+'Avg Week Kabale-Mbarara'!H42</f>
        <v>0.71428571428571419</v>
      </c>
      <c r="I42" s="49">
        <f>'Avg Week Mbrarara-Kabale'!I42+'Avg Week Kabale-Mbarara'!I42</f>
        <v>4.5714285714285712</v>
      </c>
      <c r="J42" s="49">
        <f>'Avg Week Mbrarara-Kabale'!J42+'Avg Week Kabale-Mbarara'!J42</f>
        <v>5</v>
      </c>
      <c r="K42" s="49">
        <f>'Avg Week Mbrarara-Kabale'!K42+'Avg Week Kabale-Mbarara'!K42</f>
        <v>6.2857142857142856</v>
      </c>
      <c r="L42" s="49">
        <f>'Avg Week Mbrarara-Kabale'!L42+'Avg Week Kabale-Mbarara'!L42</f>
        <v>8.4285714285714288</v>
      </c>
      <c r="M42" s="49">
        <f>'Avg Week Mbrarara-Kabale'!M42+'Avg Week Kabale-Mbarara'!M42</f>
        <v>21.571428571428569</v>
      </c>
      <c r="N42" s="49">
        <f>'Avg Week Mbrarara-Kabale'!N42+'Avg Week Kabale-Mbarara'!N42</f>
        <v>0.14285714285714285</v>
      </c>
      <c r="O42" s="15">
        <f t="shared" si="0"/>
        <v>58.142857142857146</v>
      </c>
      <c r="P42" s="15">
        <f t="shared" si="1"/>
        <v>79.714285714285708</v>
      </c>
      <c r="R42" s="5" t="s">
        <v>160</v>
      </c>
      <c r="S42" s="48">
        <f>S41/S40</f>
        <v>1.3301886792452831</v>
      </c>
      <c r="T42" s="48">
        <f t="shared" ref="T42:AF42" si="34">T41/T40</f>
        <v>1.4693013408609739</v>
      </c>
      <c r="U42" s="48">
        <f t="shared" si="34"/>
        <v>1.5405669599217986</v>
      </c>
      <c r="V42" s="48">
        <f t="shared" si="34"/>
        <v>1.3936140152585477</v>
      </c>
      <c r="W42" s="48">
        <f t="shared" si="34"/>
        <v>1.7924528301886793</v>
      </c>
      <c r="X42" s="48">
        <f t="shared" si="34"/>
        <v>1.5106382978723405</v>
      </c>
      <c r="Y42" s="48">
        <f t="shared" si="34"/>
        <v>1.3203740157480315</v>
      </c>
      <c r="Z42" s="48">
        <f t="shared" si="34"/>
        <v>1.6585051546391751</v>
      </c>
      <c r="AA42" s="48">
        <f t="shared" si="34"/>
        <v>1.8532157676348546</v>
      </c>
      <c r="AB42" s="48">
        <f t="shared" si="34"/>
        <v>1.9113636363636364</v>
      </c>
      <c r="AC42" s="48">
        <f t="shared" si="34"/>
        <v>1.2029587243990092</v>
      </c>
      <c r="AD42" s="48">
        <f t="shared" si="34"/>
        <v>1</v>
      </c>
      <c r="AE42" s="51">
        <f t="shared" si="34"/>
        <v>1.4845561095642039</v>
      </c>
      <c r="AF42" s="51">
        <f t="shared" si="34"/>
        <v>1.3769302573676492</v>
      </c>
    </row>
    <row r="43" spans="2:32" ht="23.1" customHeight="1" x14ac:dyDescent="0.25">
      <c r="B43" s="23" t="s">
        <v>70</v>
      </c>
      <c r="C43" s="49">
        <f>'Avg Week Mbrarara-Kabale'!C43+'Avg Week Kabale-Mbarara'!C43</f>
        <v>13.857142857142858</v>
      </c>
      <c r="D43" s="49">
        <f>'Avg Week Mbrarara-Kabale'!D43+'Avg Week Kabale-Mbarara'!D43</f>
        <v>4.4285714285714288</v>
      </c>
      <c r="E43" s="49">
        <f>'Avg Week Mbrarara-Kabale'!E43+'Avg Week Kabale-Mbarara'!E43</f>
        <v>3.8571428571428572</v>
      </c>
      <c r="F43" s="49">
        <f>'Avg Week Mbrarara-Kabale'!F43+'Avg Week Kabale-Mbarara'!F43</f>
        <v>9.8571428571428577</v>
      </c>
      <c r="G43" s="49">
        <f>'Avg Week Mbrarara-Kabale'!G43+'Avg Week Kabale-Mbarara'!G43</f>
        <v>0.42857142857142855</v>
      </c>
      <c r="H43" s="49">
        <f>'Avg Week Mbrarara-Kabale'!H43+'Avg Week Kabale-Mbarara'!H43</f>
        <v>1.4285714285714284</v>
      </c>
      <c r="I43" s="49">
        <f>'Avg Week Mbrarara-Kabale'!I43+'Avg Week Kabale-Mbarara'!I43</f>
        <v>3.1428571428571428</v>
      </c>
      <c r="J43" s="49">
        <f>'Avg Week Mbrarara-Kabale'!J43+'Avg Week Kabale-Mbarara'!J43</f>
        <v>1.4285714285714284</v>
      </c>
      <c r="K43" s="49">
        <f>'Avg Week Mbrarara-Kabale'!K43+'Avg Week Kabale-Mbarara'!K43</f>
        <v>1.7142857142857144</v>
      </c>
      <c r="L43" s="49">
        <f>'Avg Week Mbrarara-Kabale'!L43+'Avg Week Kabale-Mbarara'!L43</f>
        <v>4.8571428571428577</v>
      </c>
      <c r="M43" s="49">
        <f>'Avg Week Mbrarara-Kabale'!M43+'Avg Week Kabale-Mbarara'!M43</f>
        <v>28.857142857142858</v>
      </c>
      <c r="N43" s="49">
        <f>'Avg Week Mbrarara-Kabale'!N43+'Avg Week Kabale-Mbarara'!N43</f>
        <v>0</v>
      </c>
      <c r="O43" s="15">
        <f t="shared" si="0"/>
        <v>45.000000000000014</v>
      </c>
      <c r="P43" s="15">
        <f t="shared" si="1"/>
        <v>73.857142857142875</v>
      </c>
    </row>
    <row r="44" spans="2:32" ht="23.1" customHeight="1" x14ac:dyDescent="0.25">
      <c r="B44" s="25" t="s">
        <v>71</v>
      </c>
      <c r="C44" s="49">
        <f>'Avg Week Mbrarara-Kabale'!C44+'Avg Week Kabale-Mbarara'!C44</f>
        <v>16.714285714285715</v>
      </c>
      <c r="D44" s="49">
        <f>'Avg Week Mbrarara-Kabale'!D44+'Avg Week Kabale-Mbarara'!D44</f>
        <v>5.1428571428571432</v>
      </c>
      <c r="E44" s="49">
        <f>'Avg Week Mbrarara-Kabale'!E44+'Avg Week Kabale-Mbarara'!E44</f>
        <v>3</v>
      </c>
      <c r="F44" s="49">
        <f>'Avg Week Mbrarara-Kabale'!F44+'Avg Week Kabale-Mbarara'!F44</f>
        <v>11.142857142857142</v>
      </c>
      <c r="G44" s="49">
        <f>'Avg Week Mbrarara-Kabale'!G44+'Avg Week Kabale-Mbarara'!G44</f>
        <v>0.2857142857142857</v>
      </c>
      <c r="H44" s="49">
        <f>'Avg Week Mbrarara-Kabale'!H44+'Avg Week Kabale-Mbarara'!H44</f>
        <v>0.14285714285714285</v>
      </c>
      <c r="I44" s="49">
        <f>'Avg Week Mbrarara-Kabale'!I44+'Avg Week Kabale-Mbarara'!I44</f>
        <v>2.7142857142857144</v>
      </c>
      <c r="J44" s="49">
        <f>'Avg Week Mbrarara-Kabale'!J44+'Avg Week Kabale-Mbarara'!J44</f>
        <v>2.1428571428571428</v>
      </c>
      <c r="K44" s="49">
        <f>'Avg Week Mbrarara-Kabale'!K44+'Avg Week Kabale-Mbarara'!K44</f>
        <v>3.7142857142857144</v>
      </c>
      <c r="L44" s="49">
        <f>'Avg Week Mbrarara-Kabale'!L44+'Avg Week Kabale-Mbarara'!L44</f>
        <v>6.1428571428571423</v>
      </c>
      <c r="M44" s="49">
        <f>'Avg Week Mbrarara-Kabale'!M44+'Avg Week Kabale-Mbarara'!M44</f>
        <v>29.857142857142858</v>
      </c>
      <c r="N44" s="49">
        <f>'Avg Week Mbrarara-Kabale'!N44+'Avg Week Kabale-Mbarara'!N44</f>
        <v>0</v>
      </c>
      <c r="O44" s="15">
        <f t="shared" si="0"/>
        <v>51.142857142857153</v>
      </c>
      <c r="P44" s="15">
        <f t="shared" si="1"/>
        <v>81.000000000000014</v>
      </c>
    </row>
    <row r="45" spans="2:32" ht="23.1" customHeight="1" x14ac:dyDescent="0.25">
      <c r="B45" s="23" t="s">
        <v>72</v>
      </c>
      <c r="C45" s="49">
        <f>'Avg Week Mbrarara-Kabale'!C45+'Avg Week Kabale-Mbarara'!C45</f>
        <v>15.142857142857142</v>
      </c>
      <c r="D45" s="49">
        <f>'Avg Week Mbrarara-Kabale'!D45+'Avg Week Kabale-Mbarara'!D45</f>
        <v>4.4285714285714288</v>
      </c>
      <c r="E45" s="49">
        <f>'Avg Week Mbrarara-Kabale'!E45+'Avg Week Kabale-Mbarara'!E45</f>
        <v>3.2857142857142856</v>
      </c>
      <c r="F45" s="49">
        <f>'Avg Week Mbrarara-Kabale'!F45+'Avg Week Kabale-Mbarara'!F45</f>
        <v>12.428571428571427</v>
      </c>
      <c r="G45" s="49">
        <f>'Avg Week Mbrarara-Kabale'!G45+'Avg Week Kabale-Mbarara'!G45</f>
        <v>0.71428571428571419</v>
      </c>
      <c r="H45" s="49">
        <f>'Avg Week Mbrarara-Kabale'!H45+'Avg Week Kabale-Mbarara'!H45</f>
        <v>0.2857142857142857</v>
      </c>
      <c r="I45" s="49">
        <f>'Avg Week Mbrarara-Kabale'!I45+'Avg Week Kabale-Mbarara'!I45</f>
        <v>4</v>
      </c>
      <c r="J45" s="49">
        <f>'Avg Week Mbrarara-Kabale'!J45+'Avg Week Kabale-Mbarara'!J45</f>
        <v>2.1428571428571428</v>
      </c>
      <c r="K45" s="49">
        <f>'Avg Week Mbrarara-Kabale'!K45+'Avg Week Kabale-Mbarara'!K45</f>
        <v>3.5714285714285712</v>
      </c>
      <c r="L45" s="49">
        <f>'Avg Week Mbrarara-Kabale'!L45+'Avg Week Kabale-Mbarara'!L45</f>
        <v>4.4285714285714288</v>
      </c>
      <c r="M45" s="49">
        <f>'Avg Week Mbrarara-Kabale'!M45+'Avg Week Kabale-Mbarara'!M45</f>
        <v>28.857142857142858</v>
      </c>
      <c r="N45" s="49">
        <f>'Avg Week Mbrarara-Kabale'!N45+'Avg Week Kabale-Mbarara'!N45</f>
        <v>0</v>
      </c>
      <c r="O45" s="15">
        <f t="shared" si="0"/>
        <v>50.428571428571423</v>
      </c>
      <c r="P45" s="15">
        <f t="shared" si="1"/>
        <v>79.285714285714278</v>
      </c>
    </row>
    <row r="46" spans="2:32" ht="23.1" customHeight="1" x14ac:dyDescent="0.25">
      <c r="B46" s="24" t="s">
        <v>73</v>
      </c>
      <c r="C46" s="49">
        <f>'Avg Week Mbrarara-Kabale'!C46+'Avg Week Kabale-Mbarara'!C46</f>
        <v>16.142857142857142</v>
      </c>
      <c r="D46" s="49">
        <f>'Avg Week Mbrarara-Kabale'!D46+'Avg Week Kabale-Mbarara'!D46</f>
        <v>4</v>
      </c>
      <c r="E46" s="49">
        <f>'Avg Week Mbrarara-Kabale'!E46+'Avg Week Kabale-Mbarara'!E46</f>
        <v>2.5714285714285712</v>
      </c>
      <c r="F46" s="49">
        <f>'Avg Week Mbrarara-Kabale'!F46+'Avg Week Kabale-Mbarara'!F46</f>
        <v>11.142857142857142</v>
      </c>
      <c r="G46" s="49">
        <f>'Avg Week Mbrarara-Kabale'!G46+'Avg Week Kabale-Mbarara'!G46</f>
        <v>0.2857142857142857</v>
      </c>
      <c r="H46" s="49">
        <f>'Avg Week Mbrarara-Kabale'!H46+'Avg Week Kabale-Mbarara'!H46</f>
        <v>1.5714285714285714</v>
      </c>
      <c r="I46" s="49">
        <f>'Avg Week Mbrarara-Kabale'!I46+'Avg Week Kabale-Mbarara'!I46</f>
        <v>3.7142857142857144</v>
      </c>
      <c r="J46" s="49">
        <f>'Avg Week Mbrarara-Kabale'!J46+'Avg Week Kabale-Mbarara'!J46</f>
        <v>2.7142857142857144</v>
      </c>
      <c r="K46" s="49">
        <f>'Avg Week Mbrarara-Kabale'!K46+'Avg Week Kabale-Mbarara'!K46</f>
        <v>4.5714285714285712</v>
      </c>
      <c r="L46" s="49">
        <f>'Avg Week Mbrarara-Kabale'!L46+'Avg Week Kabale-Mbarara'!L46</f>
        <v>6.1428571428571423</v>
      </c>
      <c r="M46" s="49">
        <f>'Avg Week Mbrarara-Kabale'!M46+'Avg Week Kabale-Mbarara'!M46</f>
        <v>32.714285714285715</v>
      </c>
      <c r="N46" s="49">
        <f>'Avg Week Mbrarara-Kabale'!N46+'Avg Week Kabale-Mbarara'!N46</f>
        <v>0</v>
      </c>
      <c r="O46" s="15">
        <f t="shared" si="0"/>
        <v>52.857142857142861</v>
      </c>
      <c r="P46" s="15">
        <f t="shared" si="1"/>
        <v>85.571428571428584</v>
      </c>
      <c r="R46" s="8"/>
      <c r="T46"/>
    </row>
    <row r="47" spans="2:32" ht="23.1" customHeight="1" x14ac:dyDescent="0.25">
      <c r="B47" s="24" t="s">
        <v>74</v>
      </c>
      <c r="C47" s="49">
        <f>'Avg Week Mbrarara-Kabale'!C47+'Avg Week Kabale-Mbarara'!C47</f>
        <v>18.285714285714285</v>
      </c>
      <c r="D47" s="49">
        <f>'Avg Week Mbrarara-Kabale'!D47+'Avg Week Kabale-Mbarara'!D47</f>
        <v>3.8571428571428572</v>
      </c>
      <c r="E47" s="49">
        <f>'Avg Week Mbrarara-Kabale'!E47+'Avg Week Kabale-Mbarara'!E47</f>
        <v>3.4285714285714288</v>
      </c>
      <c r="F47" s="49">
        <f>'Avg Week Mbrarara-Kabale'!F47+'Avg Week Kabale-Mbarara'!F47</f>
        <v>11.428571428571429</v>
      </c>
      <c r="G47" s="49">
        <f>'Avg Week Mbrarara-Kabale'!G47+'Avg Week Kabale-Mbarara'!G47</f>
        <v>0</v>
      </c>
      <c r="H47" s="49">
        <f>'Avg Week Mbrarara-Kabale'!H47+'Avg Week Kabale-Mbarara'!H47</f>
        <v>1.5714285714285714</v>
      </c>
      <c r="I47" s="49">
        <f>'Avg Week Mbrarara-Kabale'!I47+'Avg Week Kabale-Mbarara'!I47</f>
        <v>3.4285714285714288</v>
      </c>
      <c r="J47" s="49">
        <f>'Avg Week Mbrarara-Kabale'!J47+'Avg Week Kabale-Mbarara'!J47</f>
        <v>3</v>
      </c>
      <c r="K47" s="49">
        <f>'Avg Week Mbrarara-Kabale'!K47+'Avg Week Kabale-Mbarara'!K47</f>
        <v>3.1428571428571432</v>
      </c>
      <c r="L47" s="49">
        <f>'Avg Week Mbrarara-Kabale'!L47+'Avg Week Kabale-Mbarara'!L47</f>
        <v>7.5714285714285712</v>
      </c>
      <c r="M47" s="49">
        <f>'Avg Week Mbrarara-Kabale'!M47+'Avg Week Kabale-Mbarara'!M47</f>
        <v>37</v>
      </c>
      <c r="N47" s="49">
        <f>'Avg Week Mbrarara-Kabale'!N47+'Avg Week Kabale-Mbarara'!N47</f>
        <v>0</v>
      </c>
      <c r="O47" s="15">
        <f t="shared" si="0"/>
        <v>55.714285714285715</v>
      </c>
      <c r="P47" s="15">
        <f t="shared" si="1"/>
        <v>92.714285714285722</v>
      </c>
      <c r="R47" s="8"/>
      <c r="T47"/>
    </row>
    <row r="48" spans="2:32" ht="23.1" customHeight="1" x14ac:dyDescent="0.25">
      <c r="B48" s="24" t="s">
        <v>75</v>
      </c>
      <c r="C48" s="49">
        <f>'Avg Week Mbrarara-Kabale'!C48+'Avg Week Kabale-Mbarara'!C48</f>
        <v>11</v>
      </c>
      <c r="D48" s="49">
        <f>'Avg Week Mbrarara-Kabale'!D48+'Avg Week Kabale-Mbarara'!D48</f>
        <v>4</v>
      </c>
      <c r="E48" s="49">
        <f>'Avg Week Mbrarara-Kabale'!E48+'Avg Week Kabale-Mbarara'!E48</f>
        <v>2.2857142857142856</v>
      </c>
      <c r="F48" s="49">
        <f>'Avg Week Mbrarara-Kabale'!F48+'Avg Week Kabale-Mbarara'!F48</f>
        <v>7.7142857142857153</v>
      </c>
      <c r="G48" s="49">
        <f>'Avg Week Mbrarara-Kabale'!G48+'Avg Week Kabale-Mbarara'!G48</f>
        <v>0.14285714285714285</v>
      </c>
      <c r="H48" s="49">
        <f>'Avg Week Mbrarara-Kabale'!H48+'Avg Week Kabale-Mbarara'!H48</f>
        <v>0.71428571428571419</v>
      </c>
      <c r="I48" s="49">
        <f>'Avg Week Mbrarara-Kabale'!I48+'Avg Week Kabale-Mbarara'!I48</f>
        <v>2.4285714285714284</v>
      </c>
      <c r="J48" s="49">
        <f>'Avg Week Mbrarara-Kabale'!J48+'Avg Week Kabale-Mbarara'!J48</f>
        <v>1.8571428571428572</v>
      </c>
      <c r="K48" s="49">
        <f>'Avg Week Mbrarara-Kabale'!K48+'Avg Week Kabale-Mbarara'!K48</f>
        <v>1.2857142857142856</v>
      </c>
      <c r="L48" s="49">
        <f>'Avg Week Mbrarara-Kabale'!L48+'Avg Week Kabale-Mbarara'!L48</f>
        <v>4.7142857142857144</v>
      </c>
      <c r="M48" s="49">
        <f>'Avg Week Mbrarara-Kabale'!M48+'Avg Week Kabale-Mbarara'!M48</f>
        <v>25.428571428571427</v>
      </c>
      <c r="N48" s="49">
        <f>'Avg Week Mbrarara-Kabale'!N48+'Avg Week Kabale-Mbarara'!N48</f>
        <v>0</v>
      </c>
      <c r="O48" s="15">
        <f t="shared" si="0"/>
        <v>36.142857142857139</v>
      </c>
      <c r="P48" s="15">
        <f t="shared" si="1"/>
        <v>61.571428571428569</v>
      </c>
      <c r="R48" s="8"/>
      <c r="T48"/>
    </row>
    <row r="49" spans="2:20" ht="23.1" customHeight="1" x14ac:dyDescent="0.25">
      <c r="B49" s="23" t="s">
        <v>76</v>
      </c>
      <c r="C49" s="49">
        <f>'Avg Week Mbrarara-Kabale'!C49+'Avg Week Kabale-Mbarara'!C49</f>
        <v>16</v>
      </c>
      <c r="D49" s="49">
        <f>'Avg Week Mbrarara-Kabale'!D49+'Avg Week Kabale-Mbarara'!D49</f>
        <v>6.2857142857142856</v>
      </c>
      <c r="E49" s="49">
        <f>'Avg Week Mbrarara-Kabale'!E49+'Avg Week Kabale-Mbarara'!E49</f>
        <v>3.7142857142857144</v>
      </c>
      <c r="F49" s="49">
        <f>'Avg Week Mbrarara-Kabale'!F49+'Avg Week Kabale-Mbarara'!F49</f>
        <v>7</v>
      </c>
      <c r="G49" s="49">
        <f>'Avg Week Mbrarara-Kabale'!G49+'Avg Week Kabale-Mbarara'!G49</f>
        <v>0.14285714285714285</v>
      </c>
      <c r="H49" s="49">
        <f>'Avg Week Mbrarara-Kabale'!H49+'Avg Week Kabale-Mbarara'!H49</f>
        <v>0.71428571428571419</v>
      </c>
      <c r="I49" s="49">
        <f>'Avg Week Mbrarara-Kabale'!I49+'Avg Week Kabale-Mbarara'!I49</f>
        <v>2.8571428571428568</v>
      </c>
      <c r="J49" s="49">
        <f>'Avg Week Mbrarara-Kabale'!J49+'Avg Week Kabale-Mbarara'!J49</f>
        <v>3</v>
      </c>
      <c r="K49" s="49">
        <f>'Avg Week Mbrarara-Kabale'!K49+'Avg Week Kabale-Mbarara'!K49</f>
        <v>3.4285714285714288</v>
      </c>
      <c r="L49" s="49">
        <f>'Avg Week Mbrarara-Kabale'!L49+'Avg Week Kabale-Mbarara'!L49</f>
        <v>5.2857142857142856</v>
      </c>
      <c r="M49" s="49">
        <f>'Avg Week Mbrarara-Kabale'!M49+'Avg Week Kabale-Mbarara'!M49</f>
        <v>27</v>
      </c>
      <c r="N49" s="49">
        <f>'Avg Week Mbrarara-Kabale'!N49+'Avg Week Kabale-Mbarara'!N49</f>
        <v>0</v>
      </c>
      <c r="O49" s="15">
        <f t="shared" si="0"/>
        <v>48.428571428571431</v>
      </c>
      <c r="P49" s="15">
        <f t="shared" si="1"/>
        <v>75.428571428571431</v>
      </c>
      <c r="R49" s="8"/>
      <c r="T49"/>
    </row>
    <row r="50" spans="2:20" ht="23.1" customHeight="1" x14ac:dyDescent="0.25">
      <c r="B50" s="24" t="s">
        <v>77</v>
      </c>
      <c r="C50" s="49">
        <f>'Avg Week Mbrarara-Kabale'!C50+'Avg Week Kabale-Mbarara'!C50</f>
        <v>11.857142857142858</v>
      </c>
      <c r="D50" s="49">
        <f>'Avg Week Mbrarara-Kabale'!D50+'Avg Week Kabale-Mbarara'!D50</f>
        <v>4.5714285714285712</v>
      </c>
      <c r="E50" s="49">
        <f>'Avg Week Mbrarara-Kabale'!E50+'Avg Week Kabale-Mbarara'!E50</f>
        <v>2.7142857142857144</v>
      </c>
      <c r="F50" s="49">
        <f>'Avg Week Mbrarara-Kabale'!F50+'Avg Week Kabale-Mbarara'!F50</f>
        <v>11.571428571428571</v>
      </c>
      <c r="G50" s="49">
        <f>'Avg Week Mbrarara-Kabale'!G50+'Avg Week Kabale-Mbarara'!G50</f>
        <v>0.14285714285714285</v>
      </c>
      <c r="H50" s="49">
        <f>'Avg Week Mbrarara-Kabale'!H50+'Avg Week Kabale-Mbarara'!H50</f>
        <v>0.14285714285714285</v>
      </c>
      <c r="I50" s="49">
        <f>'Avg Week Mbrarara-Kabale'!I50+'Avg Week Kabale-Mbarara'!I50</f>
        <v>2.1428571428571428</v>
      </c>
      <c r="J50" s="49">
        <f>'Avg Week Mbrarara-Kabale'!J50+'Avg Week Kabale-Mbarara'!J50</f>
        <v>2.4285714285714288</v>
      </c>
      <c r="K50" s="49">
        <f>'Avg Week Mbrarara-Kabale'!K50+'Avg Week Kabale-Mbarara'!K50</f>
        <v>5</v>
      </c>
      <c r="L50" s="49">
        <f>'Avg Week Mbrarara-Kabale'!L50+'Avg Week Kabale-Mbarara'!L50</f>
        <v>5.2857142857142856</v>
      </c>
      <c r="M50" s="49">
        <f>'Avg Week Mbrarara-Kabale'!M50+'Avg Week Kabale-Mbarara'!M50</f>
        <v>28.428571428571431</v>
      </c>
      <c r="N50" s="49">
        <f>'Avg Week Mbrarara-Kabale'!N50+'Avg Week Kabale-Mbarara'!N50</f>
        <v>0</v>
      </c>
      <c r="O50" s="15">
        <f t="shared" si="0"/>
        <v>45.857142857142861</v>
      </c>
      <c r="P50" s="15">
        <f t="shared" si="1"/>
        <v>74.285714285714292</v>
      </c>
      <c r="R50" s="8"/>
      <c r="T50"/>
    </row>
    <row r="51" spans="2:20" ht="23.1" customHeight="1" x14ac:dyDescent="0.25">
      <c r="B51" s="24" t="s">
        <v>78</v>
      </c>
      <c r="C51" s="49">
        <f>'Avg Week Mbrarara-Kabale'!C51+'Avg Week Kabale-Mbarara'!C51</f>
        <v>15.571428571428573</v>
      </c>
      <c r="D51" s="49">
        <f>'Avg Week Mbrarara-Kabale'!D51+'Avg Week Kabale-Mbarara'!D51</f>
        <v>5.4285714285714288</v>
      </c>
      <c r="E51" s="49">
        <f>'Avg Week Mbrarara-Kabale'!E51+'Avg Week Kabale-Mbarara'!E51</f>
        <v>3.2857142857142856</v>
      </c>
      <c r="F51" s="49">
        <f>'Avg Week Mbrarara-Kabale'!F51+'Avg Week Kabale-Mbarara'!F51</f>
        <v>11.142857142857142</v>
      </c>
      <c r="G51" s="49">
        <f>'Avg Week Mbrarara-Kabale'!G51+'Avg Week Kabale-Mbarara'!G51</f>
        <v>0.71428571428571419</v>
      </c>
      <c r="H51" s="49">
        <f>'Avg Week Mbrarara-Kabale'!H51+'Avg Week Kabale-Mbarara'!H51</f>
        <v>0.5714285714285714</v>
      </c>
      <c r="I51" s="49">
        <f>'Avg Week Mbrarara-Kabale'!I51+'Avg Week Kabale-Mbarara'!I51</f>
        <v>4.4285714285714288</v>
      </c>
      <c r="J51" s="49">
        <f>'Avg Week Mbrarara-Kabale'!J51+'Avg Week Kabale-Mbarara'!J51</f>
        <v>2.1428571428571428</v>
      </c>
      <c r="K51" s="49">
        <f>'Avg Week Mbrarara-Kabale'!K51+'Avg Week Kabale-Mbarara'!K51</f>
        <v>3.8571428571428568</v>
      </c>
      <c r="L51" s="49">
        <f>'Avg Week Mbrarara-Kabale'!L51+'Avg Week Kabale-Mbarara'!L51</f>
        <v>6.8571428571428568</v>
      </c>
      <c r="M51" s="49">
        <f>'Avg Week Mbrarara-Kabale'!M51+'Avg Week Kabale-Mbarara'!M51</f>
        <v>29.285714285714285</v>
      </c>
      <c r="N51" s="49">
        <f>'Avg Week Mbrarara-Kabale'!N51+'Avg Week Kabale-Mbarara'!N51</f>
        <v>0</v>
      </c>
      <c r="O51" s="15">
        <f t="shared" si="0"/>
        <v>54</v>
      </c>
      <c r="P51" s="15">
        <f t="shared" si="1"/>
        <v>83.285714285714278</v>
      </c>
      <c r="R51" s="8"/>
      <c r="T51"/>
    </row>
    <row r="52" spans="2:20" ht="23.1" customHeight="1" x14ac:dyDescent="0.25">
      <c r="B52" s="24" t="s">
        <v>79</v>
      </c>
      <c r="C52" s="49">
        <f>'Avg Week Mbrarara-Kabale'!C52+'Avg Week Kabale-Mbarara'!C52</f>
        <v>9.8571428571428577</v>
      </c>
      <c r="D52" s="49">
        <f>'Avg Week Mbrarara-Kabale'!D52+'Avg Week Kabale-Mbarara'!D52</f>
        <v>4</v>
      </c>
      <c r="E52" s="49">
        <f>'Avg Week Mbrarara-Kabale'!E52+'Avg Week Kabale-Mbarara'!E52</f>
        <v>5.8571428571428568</v>
      </c>
      <c r="F52" s="49">
        <f>'Avg Week Mbrarara-Kabale'!F52+'Avg Week Kabale-Mbarara'!F52</f>
        <v>9.5714285714285712</v>
      </c>
      <c r="G52" s="49">
        <f>'Avg Week Mbrarara-Kabale'!G52+'Avg Week Kabale-Mbarara'!G52</f>
        <v>1</v>
      </c>
      <c r="H52" s="49">
        <f>'Avg Week Mbrarara-Kabale'!H52+'Avg Week Kabale-Mbarara'!H52</f>
        <v>0</v>
      </c>
      <c r="I52" s="49">
        <f>'Avg Week Mbrarara-Kabale'!I52+'Avg Week Kabale-Mbarara'!I52</f>
        <v>2.1428571428571428</v>
      </c>
      <c r="J52" s="49">
        <f>'Avg Week Mbrarara-Kabale'!J52+'Avg Week Kabale-Mbarara'!J52</f>
        <v>1.7142857142857142</v>
      </c>
      <c r="K52" s="49">
        <f>'Avg Week Mbrarara-Kabale'!K52+'Avg Week Kabale-Mbarara'!K52</f>
        <v>4.5714285714285712</v>
      </c>
      <c r="L52" s="49">
        <f>'Avg Week Mbrarara-Kabale'!L52+'Avg Week Kabale-Mbarara'!L52</f>
        <v>3.1428571428571428</v>
      </c>
      <c r="M52" s="49">
        <f>'Avg Week Mbrarara-Kabale'!M52+'Avg Week Kabale-Mbarara'!M52</f>
        <v>27.857142857142858</v>
      </c>
      <c r="N52" s="49">
        <f>'Avg Week Mbrarara-Kabale'!N52+'Avg Week Kabale-Mbarara'!N52</f>
        <v>0</v>
      </c>
      <c r="O52" s="15">
        <f t="shared" si="0"/>
        <v>41.857142857142861</v>
      </c>
      <c r="P52" s="15">
        <f t="shared" si="1"/>
        <v>69.714285714285722</v>
      </c>
      <c r="R52" s="8"/>
      <c r="T52"/>
    </row>
    <row r="53" spans="2:20" ht="23.1" customHeight="1" x14ac:dyDescent="0.25">
      <c r="B53" s="23" t="s">
        <v>80</v>
      </c>
      <c r="C53" s="49">
        <f>'Avg Week Mbrarara-Kabale'!C53+'Avg Week Kabale-Mbarara'!C53</f>
        <v>13.857142857142858</v>
      </c>
      <c r="D53" s="49">
        <f>'Avg Week Mbrarara-Kabale'!D53+'Avg Week Kabale-Mbarara'!D53</f>
        <v>4</v>
      </c>
      <c r="E53" s="49">
        <f>'Avg Week Mbrarara-Kabale'!E53+'Avg Week Kabale-Mbarara'!E53</f>
        <v>3.5714285714285712</v>
      </c>
      <c r="F53" s="49">
        <f>'Avg Week Mbrarara-Kabale'!F53+'Avg Week Kabale-Mbarara'!F53</f>
        <v>8.8571428571428577</v>
      </c>
      <c r="G53" s="49">
        <f>'Avg Week Mbrarara-Kabale'!G53+'Avg Week Kabale-Mbarara'!G53</f>
        <v>0</v>
      </c>
      <c r="H53" s="49">
        <f>'Avg Week Mbrarara-Kabale'!H53+'Avg Week Kabale-Mbarara'!H53</f>
        <v>0.2857142857142857</v>
      </c>
      <c r="I53" s="49">
        <f>'Avg Week Mbrarara-Kabale'!I53+'Avg Week Kabale-Mbarara'!I53</f>
        <v>2.8571428571428568</v>
      </c>
      <c r="J53" s="49">
        <f>'Avg Week Mbrarara-Kabale'!J53+'Avg Week Kabale-Mbarara'!J53</f>
        <v>1</v>
      </c>
      <c r="K53" s="49">
        <f>'Avg Week Mbrarara-Kabale'!K53+'Avg Week Kabale-Mbarara'!K53</f>
        <v>3.4285714285714288</v>
      </c>
      <c r="L53" s="49">
        <f>'Avg Week Mbrarara-Kabale'!L53+'Avg Week Kabale-Mbarara'!L53</f>
        <v>5.8571428571428568</v>
      </c>
      <c r="M53" s="49">
        <f>'Avg Week Mbrarara-Kabale'!M53+'Avg Week Kabale-Mbarara'!M53</f>
        <v>26.142857142857142</v>
      </c>
      <c r="N53" s="49">
        <f>'Avg Week Mbrarara-Kabale'!N53+'Avg Week Kabale-Mbarara'!N53</f>
        <v>0</v>
      </c>
      <c r="O53" s="15">
        <f t="shared" si="0"/>
        <v>43.714285714285715</v>
      </c>
      <c r="P53" s="15">
        <f t="shared" si="1"/>
        <v>69.857142857142861</v>
      </c>
      <c r="R53" s="8"/>
      <c r="T53"/>
    </row>
    <row r="54" spans="2:20" ht="23.1" customHeight="1" x14ac:dyDescent="0.25">
      <c r="B54" s="23" t="s">
        <v>81</v>
      </c>
      <c r="C54" s="49">
        <f>'Avg Week Mbrarara-Kabale'!C54+'Avg Week Kabale-Mbarara'!C54</f>
        <v>11</v>
      </c>
      <c r="D54" s="49">
        <f>'Avg Week Mbrarara-Kabale'!D54+'Avg Week Kabale-Mbarara'!D54</f>
        <v>2.2857142857142856</v>
      </c>
      <c r="E54" s="49">
        <f>'Avg Week Mbrarara-Kabale'!E54+'Avg Week Kabale-Mbarara'!E54</f>
        <v>1.7142857142857144</v>
      </c>
      <c r="F54" s="49">
        <f>'Avg Week Mbrarara-Kabale'!F54+'Avg Week Kabale-Mbarara'!F54</f>
        <v>9</v>
      </c>
      <c r="G54" s="49">
        <f>'Avg Week Mbrarara-Kabale'!G54+'Avg Week Kabale-Mbarara'!G54</f>
        <v>1</v>
      </c>
      <c r="H54" s="49">
        <f>'Avg Week Mbrarara-Kabale'!H54+'Avg Week Kabale-Mbarara'!H54</f>
        <v>0.8571428571428571</v>
      </c>
      <c r="I54" s="49">
        <f>'Avg Week Mbrarara-Kabale'!I54+'Avg Week Kabale-Mbarara'!I54</f>
        <v>2.4285714285714284</v>
      </c>
      <c r="J54" s="49">
        <f>'Avg Week Mbrarara-Kabale'!J54+'Avg Week Kabale-Mbarara'!J54</f>
        <v>4.7142857142857144</v>
      </c>
      <c r="K54" s="49">
        <f>'Avg Week Mbrarara-Kabale'!K54+'Avg Week Kabale-Mbarara'!K54</f>
        <v>4.4285714285714288</v>
      </c>
      <c r="L54" s="49">
        <f>'Avg Week Mbrarara-Kabale'!L54+'Avg Week Kabale-Mbarara'!L54</f>
        <v>2.4285714285714288</v>
      </c>
      <c r="M54" s="49">
        <f>'Avg Week Mbrarara-Kabale'!M54+'Avg Week Kabale-Mbarara'!M54</f>
        <v>30.142857142857146</v>
      </c>
      <c r="N54" s="49">
        <f>'Avg Week Mbrarara-Kabale'!N54+'Avg Week Kabale-Mbarara'!N54</f>
        <v>0</v>
      </c>
      <c r="O54" s="15">
        <f t="shared" si="0"/>
        <v>39.857142857142861</v>
      </c>
      <c r="P54" s="15">
        <f t="shared" si="1"/>
        <v>70</v>
      </c>
      <c r="R54" s="8"/>
      <c r="T54"/>
    </row>
    <row r="55" spans="2:20" ht="23.1" customHeight="1" x14ac:dyDescent="0.25">
      <c r="B55" s="23" t="s">
        <v>82</v>
      </c>
      <c r="C55" s="49">
        <f>'Avg Week Mbrarara-Kabale'!C55+'Avg Week Kabale-Mbarara'!C55</f>
        <v>15.142857142857142</v>
      </c>
      <c r="D55" s="49">
        <f>'Avg Week Mbrarara-Kabale'!D55+'Avg Week Kabale-Mbarara'!D55</f>
        <v>3.285714285714286</v>
      </c>
      <c r="E55" s="49">
        <f>'Avg Week Mbrarara-Kabale'!E55+'Avg Week Kabale-Mbarara'!E55</f>
        <v>2.1428571428571428</v>
      </c>
      <c r="F55" s="49">
        <f>'Avg Week Mbrarara-Kabale'!F55+'Avg Week Kabale-Mbarara'!F55</f>
        <v>9.8571428571428577</v>
      </c>
      <c r="G55" s="49">
        <f>'Avg Week Mbrarara-Kabale'!G55+'Avg Week Kabale-Mbarara'!G55</f>
        <v>1</v>
      </c>
      <c r="H55" s="49">
        <f>'Avg Week Mbrarara-Kabale'!H55+'Avg Week Kabale-Mbarara'!H55</f>
        <v>0.5714285714285714</v>
      </c>
      <c r="I55" s="49">
        <f>'Avg Week Mbrarara-Kabale'!I55+'Avg Week Kabale-Mbarara'!I55</f>
        <v>2.2857142857142856</v>
      </c>
      <c r="J55" s="49">
        <f>'Avg Week Mbrarara-Kabale'!J55+'Avg Week Kabale-Mbarara'!J55</f>
        <v>3.1428571428571428</v>
      </c>
      <c r="K55" s="49">
        <f>'Avg Week Mbrarara-Kabale'!K55+'Avg Week Kabale-Mbarara'!K55</f>
        <v>5.7142857142857135</v>
      </c>
      <c r="L55" s="49">
        <f>'Avg Week Mbrarara-Kabale'!L55+'Avg Week Kabale-Mbarara'!L55</f>
        <v>2.8571428571428568</v>
      </c>
      <c r="M55" s="49">
        <f>'Avg Week Mbrarara-Kabale'!M55+'Avg Week Kabale-Mbarara'!M55</f>
        <v>28.142857142857146</v>
      </c>
      <c r="N55" s="49">
        <f>'Avg Week Mbrarara-Kabale'!N55+'Avg Week Kabale-Mbarara'!N55</f>
        <v>0.14285714285714285</v>
      </c>
      <c r="O55" s="15">
        <f t="shared" si="0"/>
        <v>46.142857142857146</v>
      </c>
      <c r="P55" s="15">
        <f t="shared" si="1"/>
        <v>74.285714285714278</v>
      </c>
      <c r="R55" s="8"/>
      <c r="T55"/>
    </row>
    <row r="56" spans="2:20" ht="23.1" customHeight="1" x14ac:dyDescent="0.25">
      <c r="B56" s="23" t="s">
        <v>83</v>
      </c>
      <c r="C56" s="49">
        <f>'Avg Week Mbrarara-Kabale'!C56+'Avg Week Kabale-Mbarara'!C56</f>
        <v>14.428571428571429</v>
      </c>
      <c r="D56" s="49">
        <f>'Avg Week Mbrarara-Kabale'!D56+'Avg Week Kabale-Mbarara'!D56</f>
        <v>3.8571428571428572</v>
      </c>
      <c r="E56" s="49">
        <f>'Avg Week Mbrarara-Kabale'!E56+'Avg Week Kabale-Mbarara'!E56</f>
        <v>4.8571428571428568</v>
      </c>
      <c r="F56" s="49">
        <f>'Avg Week Mbrarara-Kabale'!F56+'Avg Week Kabale-Mbarara'!F56</f>
        <v>10.142857142857142</v>
      </c>
      <c r="G56" s="49">
        <f>'Avg Week Mbrarara-Kabale'!G56+'Avg Week Kabale-Mbarara'!G56</f>
        <v>0.5714285714285714</v>
      </c>
      <c r="H56" s="49">
        <f>'Avg Week Mbrarara-Kabale'!H56+'Avg Week Kabale-Mbarara'!H56</f>
        <v>0.8571428571428571</v>
      </c>
      <c r="I56" s="49">
        <f>'Avg Week Mbrarara-Kabale'!I56+'Avg Week Kabale-Mbarara'!I56</f>
        <v>2.8571428571428572</v>
      </c>
      <c r="J56" s="49">
        <f>'Avg Week Mbrarara-Kabale'!J56+'Avg Week Kabale-Mbarara'!J56</f>
        <v>3.2857142857142856</v>
      </c>
      <c r="K56" s="49">
        <f>'Avg Week Mbrarara-Kabale'!K56+'Avg Week Kabale-Mbarara'!K56</f>
        <v>4</v>
      </c>
      <c r="L56" s="49">
        <f>'Avg Week Mbrarara-Kabale'!L56+'Avg Week Kabale-Mbarara'!L56</f>
        <v>3.1428571428571428</v>
      </c>
      <c r="M56" s="49">
        <f>'Avg Week Mbrarara-Kabale'!M56+'Avg Week Kabale-Mbarara'!M56</f>
        <v>31.142857142857142</v>
      </c>
      <c r="N56" s="49">
        <f>'Avg Week Mbrarara-Kabale'!N56+'Avg Week Kabale-Mbarara'!N56</f>
        <v>0</v>
      </c>
      <c r="O56" s="15">
        <f t="shared" si="0"/>
        <v>47.999999999999993</v>
      </c>
      <c r="P56" s="15">
        <f t="shared" si="1"/>
        <v>79.142857142857139</v>
      </c>
      <c r="R56" s="8"/>
      <c r="T56"/>
    </row>
    <row r="57" spans="2:20" ht="23.1" customHeight="1" x14ac:dyDescent="0.25">
      <c r="B57" s="23" t="s">
        <v>84</v>
      </c>
      <c r="C57" s="49">
        <f>'Avg Week Mbrarara-Kabale'!C57+'Avg Week Kabale-Mbarara'!C57</f>
        <v>14.428571428571429</v>
      </c>
      <c r="D57" s="49">
        <f>'Avg Week Mbrarara-Kabale'!D57+'Avg Week Kabale-Mbarara'!D57</f>
        <v>5.7142857142857144</v>
      </c>
      <c r="E57" s="49">
        <f>'Avg Week Mbrarara-Kabale'!E57+'Avg Week Kabale-Mbarara'!E57</f>
        <v>4.1428571428571423</v>
      </c>
      <c r="F57" s="49">
        <f>'Avg Week Mbrarara-Kabale'!F57+'Avg Week Kabale-Mbarara'!F57</f>
        <v>8.1428571428571423</v>
      </c>
      <c r="G57" s="49">
        <f>'Avg Week Mbrarara-Kabale'!G57+'Avg Week Kabale-Mbarara'!G57</f>
        <v>0</v>
      </c>
      <c r="H57" s="49">
        <f>'Avg Week Mbrarara-Kabale'!H57+'Avg Week Kabale-Mbarara'!H57</f>
        <v>0.14285714285714285</v>
      </c>
      <c r="I57" s="49">
        <f>'Avg Week Mbrarara-Kabale'!I57+'Avg Week Kabale-Mbarara'!I57</f>
        <v>2.5714285714285712</v>
      </c>
      <c r="J57" s="49">
        <f>'Avg Week Mbrarara-Kabale'!J57+'Avg Week Kabale-Mbarara'!J57</f>
        <v>2</v>
      </c>
      <c r="K57" s="49">
        <f>'Avg Week Mbrarara-Kabale'!K57+'Avg Week Kabale-Mbarara'!K57</f>
        <v>4.5714285714285712</v>
      </c>
      <c r="L57" s="49">
        <f>'Avg Week Mbrarara-Kabale'!L57+'Avg Week Kabale-Mbarara'!L57</f>
        <v>5.1428571428571423</v>
      </c>
      <c r="M57" s="49">
        <f>'Avg Week Mbrarara-Kabale'!M57+'Avg Week Kabale-Mbarara'!M57</f>
        <v>26</v>
      </c>
      <c r="N57" s="49">
        <f>'Avg Week Mbrarara-Kabale'!N57+'Avg Week Kabale-Mbarara'!N57</f>
        <v>0</v>
      </c>
      <c r="O57" s="15">
        <f t="shared" si="0"/>
        <v>46.857142857142861</v>
      </c>
      <c r="P57" s="15">
        <f t="shared" si="1"/>
        <v>72.857142857142861</v>
      </c>
      <c r="R57" s="8"/>
      <c r="T57"/>
    </row>
    <row r="58" spans="2:20" ht="23.1" customHeight="1" x14ac:dyDescent="0.25">
      <c r="B58" s="23" t="s">
        <v>99</v>
      </c>
      <c r="C58" s="49">
        <f>'Avg Week Mbrarara-Kabale'!C58+'Avg Week Kabale-Mbarara'!C58</f>
        <v>17</v>
      </c>
      <c r="D58" s="49">
        <f>'Avg Week Mbrarara-Kabale'!D58+'Avg Week Kabale-Mbarara'!D58</f>
        <v>6</v>
      </c>
      <c r="E58" s="49">
        <f>'Avg Week Mbrarara-Kabale'!E58+'Avg Week Kabale-Mbarara'!E58</f>
        <v>6</v>
      </c>
      <c r="F58" s="49">
        <f>'Avg Week Mbrarara-Kabale'!F58+'Avg Week Kabale-Mbarara'!F58</f>
        <v>23</v>
      </c>
      <c r="G58" s="49">
        <f>'Avg Week Mbrarara-Kabale'!G58+'Avg Week Kabale-Mbarara'!G58</f>
        <v>2.5</v>
      </c>
      <c r="H58" s="49">
        <f>'Avg Week Mbrarara-Kabale'!H58+'Avg Week Kabale-Mbarara'!H58</f>
        <v>0</v>
      </c>
      <c r="I58" s="49">
        <f>'Avg Week Mbrarara-Kabale'!I58+'Avg Week Kabale-Mbarara'!I58</f>
        <v>1.5</v>
      </c>
      <c r="J58" s="49">
        <f>'Avg Week Mbrarara-Kabale'!J58+'Avg Week Kabale-Mbarara'!J58</f>
        <v>4</v>
      </c>
      <c r="K58" s="49">
        <f>'Avg Week Mbrarara-Kabale'!K58+'Avg Week Kabale-Mbarara'!K58</f>
        <v>10</v>
      </c>
      <c r="L58" s="49">
        <f>'Avg Week Mbrarara-Kabale'!L58+'Avg Week Kabale-Mbarara'!L58</f>
        <v>7.5</v>
      </c>
      <c r="M58" s="49">
        <f>'Avg Week Mbrarara-Kabale'!M58+'Avg Week Kabale-Mbarara'!M58</f>
        <v>32</v>
      </c>
      <c r="N58" s="49">
        <f>'Avg Week Mbrarara-Kabale'!N58+'Avg Week Kabale-Mbarara'!N58</f>
        <v>0</v>
      </c>
      <c r="O58" s="15">
        <f t="shared" si="0"/>
        <v>77.5</v>
      </c>
      <c r="P58" s="15">
        <f t="shared" si="1"/>
        <v>109.5</v>
      </c>
      <c r="R58" s="8"/>
      <c r="T58"/>
    </row>
    <row r="59" spans="2:20" ht="23.1" customHeight="1" x14ac:dyDescent="0.25">
      <c r="B59" s="23" t="s">
        <v>100</v>
      </c>
      <c r="C59" s="49">
        <f>'Avg Week Mbrarara-Kabale'!C59+'Avg Week Kabale-Mbarara'!C59</f>
        <v>19.5</v>
      </c>
      <c r="D59" s="49">
        <f>'Avg Week Mbrarara-Kabale'!D59+'Avg Week Kabale-Mbarara'!D59</f>
        <v>6.5</v>
      </c>
      <c r="E59" s="49">
        <f>'Avg Week Mbrarara-Kabale'!E59+'Avg Week Kabale-Mbarara'!E59</f>
        <v>6.5</v>
      </c>
      <c r="F59" s="49">
        <f>'Avg Week Mbrarara-Kabale'!F59+'Avg Week Kabale-Mbarara'!F59</f>
        <v>19.5</v>
      </c>
      <c r="G59" s="49">
        <f>'Avg Week Mbrarara-Kabale'!G59+'Avg Week Kabale-Mbarara'!G59</f>
        <v>0</v>
      </c>
      <c r="H59" s="49">
        <f>'Avg Week Mbrarara-Kabale'!H59+'Avg Week Kabale-Mbarara'!H59</f>
        <v>0</v>
      </c>
      <c r="I59" s="49">
        <f>'Avg Week Mbrarara-Kabale'!I59+'Avg Week Kabale-Mbarara'!I59</f>
        <v>3</v>
      </c>
      <c r="J59" s="49">
        <f>'Avg Week Mbrarara-Kabale'!J59+'Avg Week Kabale-Mbarara'!J59</f>
        <v>6</v>
      </c>
      <c r="K59" s="49">
        <f>'Avg Week Mbrarara-Kabale'!K59+'Avg Week Kabale-Mbarara'!K59</f>
        <v>4</v>
      </c>
      <c r="L59" s="49">
        <f>'Avg Week Mbrarara-Kabale'!L59+'Avg Week Kabale-Mbarara'!L59</f>
        <v>8.5</v>
      </c>
      <c r="M59" s="49">
        <f>'Avg Week Mbrarara-Kabale'!M59+'Avg Week Kabale-Mbarara'!M59</f>
        <v>20</v>
      </c>
      <c r="N59" s="49">
        <f>'Avg Week Mbrarara-Kabale'!N59+'Avg Week Kabale-Mbarara'!N59</f>
        <v>0</v>
      </c>
      <c r="O59" s="15">
        <f t="shared" si="0"/>
        <v>73.5</v>
      </c>
      <c r="P59" s="15">
        <f t="shared" si="1"/>
        <v>93.5</v>
      </c>
      <c r="R59" s="8"/>
      <c r="T59"/>
    </row>
    <row r="60" spans="2:20" ht="23.1" customHeight="1" x14ac:dyDescent="0.25">
      <c r="B60" s="23" t="s">
        <v>101</v>
      </c>
      <c r="C60" s="49">
        <f>'Avg Week Mbrarara-Kabale'!C60+'Avg Week Kabale-Mbarara'!C60</f>
        <v>10.5</v>
      </c>
      <c r="D60" s="49">
        <f>'Avg Week Mbrarara-Kabale'!D60+'Avg Week Kabale-Mbarara'!D60</f>
        <v>4.5</v>
      </c>
      <c r="E60" s="49">
        <f>'Avg Week Mbrarara-Kabale'!E60+'Avg Week Kabale-Mbarara'!E60</f>
        <v>6</v>
      </c>
      <c r="F60" s="49">
        <f>'Avg Week Mbrarara-Kabale'!F60+'Avg Week Kabale-Mbarara'!F60</f>
        <v>14</v>
      </c>
      <c r="G60" s="49">
        <f>'Avg Week Mbrarara-Kabale'!G60+'Avg Week Kabale-Mbarara'!G60</f>
        <v>1</v>
      </c>
      <c r="H60" s="49">
        <f>'Avg Week Mbrarara-Kabale'!H60+'Avg Week Kabale-Mbarara'!H60</f>
        <v>1</v>
      </c>
      <c r="I60" s="49">
        <f>'Avg Week Mbrarara-Kabale'!I60+'Avg Week Kabale-Mbarara'!I60</f>
        <v>6</v>
      </c>
      <c r="J60" s="49">
        <f>'Avg Week Mbrarara-Kabale'!J60+'Avg Week Kabale-Mbarara'!J60</f>
        <v>5.5</v>
      </c>
      <c r="K60" s="49">
        <f>'Avg Week Mbrarara-Kabale'!K60+'Avg Week Kabale-Mbarara'!K60</f>
        <v>3.5</v>
      </c>
      <c r="L60" s="49">
        <f>'Avg Week Mbrarara-Kabale'!L60+'Avg Week Kabale-Mbarara'!L60</f>
        <v>7.5</v>
      </c>
      <c r="M60" s="49">
        <f>'Avg Week Mbrarara-Kabale'!M60+'Avg Week Kabale-Mbarara'!M60</f>
        <v>22.5</v>
      </c>
      <c r="N60" s="49">
        <f>'Avg Week Mbrarara-Kabale'!N60+'Avg Week Kabale-Mbarara'!N60</f>
        <v>0</v>
      </c>
      <c r="O60" s="15">
        <f t="shared" si="0"/>
        <v>59.5</v>
      </c>
      <c r="P60" s="15">
        <f t="shared" si="1"/>
        <v>82</v>
      </c>
      <c r="R60" s="8"/>
      <c r="T60"/>
    </row>
    <row r="61" spans="2:20" ht="23.1" customHeight="1" x14ac:dyDescent="0.25">
      <c r="B61" s="23" t="s">
        <v>102</v>
      </c>
      <c r="C61" s="49">
        <f>'Avg Week Mbrarara-Kabale'!C61+'Avg Week Kabale-Mbarara'!C61</f>
        <v>21</v>
      </c>
      <c r="D61" s="49">
        <f>'Avg Week Mbrarara-Kabale'!D61+'Avg Week Kabale-Mbarara'!D61</f>
        <v>5</v>
      </c>
      <c r="E61" s="49">
        <f>'Avg Week Mbrarara-Kabale'!E61+'Avg Week Kabale-Mbarara'!E61</f>
        <v>1.5</v>
      </c>
      <c r="F61" s="49">
        <f>'Avg Week Mbrarara-Kabale'!F61+'Avg Week Kabale-Mbarara'!F61</f>
        <v>11.5</v>
      </c>
      <c r="G61" s="49">
        <f>'Avg Week Mbrarara-Kabale'!G61+'Avg Week Kabale-Mbarara'!G61</f>
        <v>0.5</v>
      </c>
      <c r="H61" s="49">
        <f>'Avg Week Mbrarara-Kabale'!H61+'Avg Week Kabale-Mbarara'!H61</f>
        <v>0</v>
      </c>
      <c r="I61" s="49">
        <f>'Avg Week Mbrarara-Kabale'!I61+'Avg Week Kabale-Mbarara'!I61</f>
        <v>2.5</v>
      </c>
      <c r="J61" s="49">
        <f>'Avg Week Mbrarara-Kabale'!J61+'Avg Week Kabale-Mbarara'!J61</f>
        <v>3</v>
      </c>
      <c r="K61" s="49">
        <f>'Avg Week Mbrarara-Kabale'!K61+'Avg Week Kabale-Mbarara'!K61</f>
        <v>3</v>
      </c>
      <c r="L61" s="49">
        <f>'Avg Week Mbrarara-Kabale'!L61+'Avg Week Kabale-Mbarara'!L61</f>
        <v>9</v>
      </c>
      <c r="M61" s="49">
        <f>'Avg Week Mbrarara-Kabale'!M61+'Avg Week Kabale-Mbarara'!M61</f>
        <v>17.5</v>
      </c>
      <c r="N61" s="49">
        <f>'Avg Week Mbrarara-Kabale'!N61+'Avg Week Kabale-Mbarara'!N61</f>
        <v>0</v>
      </c>
      <c r="O61" s="15">
        <f t="shared" si="0"/>
        <v>57</v>
      </c>
      <c r="P61" s="15">
        <f t="shared" si="1"/>
        <v>74.5</v>
      </c>
      <c r="R61" s="8"/>
      <c r="T61"/>
    </row>
    <row r="62" spans="2:20" ht="23.1" customHeight="1" x14ac:dyDescent="0.25">
      <c r="B62" s="23" t="s">
        <v>107</v>
      </c>
      <c r="C62" s="49">
        <f>'Avg Week Mbrarara-Kabale'!C62+'Avg Week Kabale-Mbarara'!C62</f>
        <v>10</v>
      </c>
      <c r="D62" s="49">
        <f>'Avg Week Mbrarara-Kabale'!D62+'Avg Week Kabale-Mbarara'!D62</f>
        <v>6.5</v>
      </c>
      <c r="E62" s="49">
        <f>'Avg Week Mbrarara-Kabale'!E62+'Avg Week Kabale-Mbarara'!E62</f>
        <v>4</v>
      </c>
      <c r="F62" s="49">
        <f>'Avg Week Mbrarara-Kabale'!F62+'Avg Week Kabale-Mbarara'!F62</f>
        <v>6.5</v>
      </c>
      <c r="G62" s="49">
        <f>'Avg Week Mbrarara-Kabale'!G62+'Avg Week Kabale-Mbarara'!G62</f>
        <v>0.5</v>
      </c>
      <c r="H62" s="49">
        <f>'Avg Week Mbrarara-Kabale'!H62+'Avg Week Kabale-Mbarara'!H62</f>
        <v>0</v>
      </c>
      <c r="I62" s="49">
        <f>'Avg Week Mbrarara-Kabale'!I62+'Avg Week Kabale-Mbarara'!I62</f>
        <v>3</v>
      </c>
      <c r="J62" s="49">
        <f>'Avg Week Mbrarara-Kabale'!J62+'Avg Week Kabale-Mbarara'!J62</f>
        <v>0.5</v>
      </c>
      <c r="K62" s="49">
        <f>'Avg Week Mbrarara-Kabale'!K62+'Avg Week Kabale-Mbarara'!K62</f>
        <v>3.5</v>
      </c>
      <c r="L62" s="49">
        <f>'Avg Week Mbrarara-Kabale'!L62+'Avg Week Kabale-Mbarara'!L62</f>
        <v>5</v>
      </c>
      <c r="M62" s="49">
        <f>'Avg Week Mbrarara-Kabale'!M62+'Avg Week Kabale-Mbarara'!M62</f>
        <v>17.5</v>
      </c>
      <c r="N62" s="49">
        <f>'Avg Week Mbrarara-Kabale'!N62+'Avg Week Kabale-Mbarara'!N62</f>
        <v>0</v>
      </c>
      <c r="O62" s="15">
        <f t="shared" si="0"/>
        <v>39.5</v>
      </c>
      <c r="P62" s="15">
        <f t="shared" si="1"/>
        <v>57</v>
      </c>
      <c r="R62" s="8"/>
      <c r="T62"/>
    </row>
    <row r="63" spans="2:20" ht="23.1" customHeight="1" x14ac:dyDescent="0.25">
      <c r="B63" s="23" t="s">
        <v>108</v>
      </c>
      <c r="C63" s="49">
        <f>'Avg Week Mbrarara-Kabale'!C63+'Avg Week Kabale-Mbarara'!C63</f>
        <v>10</v>
      </c>
      <c r="D63" s="49">
        <f>'Avg Week Mbrarara-Kabale'!D63+'Avg Week Kabale-Mbarara'!D63</f>
        <v>4</v>
      </c>
      <c r="E63" s="49">
        <f>'Avg Week Mbrarara-Kabale'!E63+'Avg Week Kabale-Mbarara'!E63</f>
        <v>2</v>
      </c>
      <c r="F63" s="49">
        <f>'Avg Week Mbrarara-Kabale'!F63+'Avg Week Kabale-Mbarara'!F63</f>
        <v>6</v>
      </c>
      <c r="G63" s="49">
        <f>'Avg Week Mbrarara-Kabale'!G63+'Avg Week Kabale-Mbarara'!G63</f>
        <v>1.5</v>
      </c>
      <c r="H63" s="49">
        <f>'Avg Week Mbrarara-Kabale'!H63+'Avg Week Kabale-Mbarara'!H63</f>
        <v>0</v>
      </c>
      <c r="I63" s="49">
        <f>'Avg Week Mbrarara-Kabale'!I63+'Avg Week Kabale-Mbarara'!I63</f>
        <v>3.5</v>
      </c>
      <c r="J63" s="49">
        <f>'Avg Week Mbrarara-Kabale'!J63+'Avg Week Kabale-Mbarara'!J63</f>
        <v>4</v>
      </c>
      <c r="K63" s="49">
        <f>'Avg Week Mbrarara-Kabale'!K63+'Avg Week Kabale-Mbarara'!K63</f>
        <v>3.5</v>
      </c>
      <c r="L63" s="49">
        <f>'Avg Week Mbrarara-Kabale'!L63+'Avg Week Kabale-Mbarara'!L63</f>
        <v>2</v>
      </c>
      <c r="M63" s="49">
        <f>'Avg Week Mbrarara-Kabale'!M63+'Avg Week Kabale-Mbarara'!M63</f>
        <v>19.5</v>
      </c>
      <c r="N63" s="49">
        <f>'Avg Week Mbrarara-Kabale'!N63+'Avg Week Kabale-Mbarara'!N63</f>
        <v>0</v>
      </c>
      <c r="O63" s="15">
        <f t="shared" si="0"/>
        <v>36.5</v>
      </c>
      <c r="P63" s="15">
        <f t="shared" si="1"/>
        <v>56</v>
      </c>
      <c r="R63" s="8"/>
      <c r="T63"/>
    </row>
    <row r="64" spans="2:20" ht="23.1" customHeight="1" x14ac:dyDescent="0.25">
      <c r="B64" s="23" t="s">
        <v>109</v>
      </c>
      <c r="C64" s="49">
        <f>'Avg Week Mbrarara-Kabale'!C64+'Avg Week Kabale-Mbarara'!C64</f>
        <v>12</v>
      </c>
      <c r="D64" s="49">
        <f>'Avg Week Mbrarara-Kabale'!D64+'Avg Week Kabale-Mbarara'!D64</f>
        <v>7.5</v>
      </c>
      <c r="E64" s="49">
        <f>'Avg Week Mbrarara-Kabale'!E64+'Avg Week Kabale-Mbarara'!E64</f>
        <v>5</v>
      </c>
      <c r="F64" s="49">
        <f>'Avg Week Mbrarara-Kabale'!F64+'Avg Week Kabale-Mbarara'!F64</f>
        <v>8.5</v>
      </c>
      <c r="G64" s="49">
        <f>'Avg Week Mbrarara-Kabale'!G64+'Avg Week Kabale-Mbarara'!G64</f>
        <v>0</v>
      </c>
      <c r="H64" s="49">
        <f>'Avg Week Mbrarara-Kabale'!H64+'Avg Week Kabale-Mbarara'!H64</f>
        <v>0</v>
      </c>
      <c r="I64" s="49">
        <f>'Avg Week Mbrarara-Kabale'!I64+'Avg Week Kabale-Mbarara'!I64</f>
        <v>0.5</v>
      </c>
      <c r="J64" s="49">
        <f>'Avg Week Mbrarara-Kabale'!J64+'Avg Week Kabale-Mbarara'!J64</f>
        <v>1.5</v>
      </c>
      <c r="K64" s="49">
        <f>'Avg Week Mbrarara-Kabale'!K64+'Avg Week Kabale-Mbarara'!K64</f>
        <v>1</v>
      </c>
      <c r="L64" s="49">
        <f>'Avg Week Mbrarara-Kabale'!L64+'Avg Week Kabale-Mbarara'!L64</f>
        <v>2</v>
      </c>
      <c r="M64" s="49">
        <f>'Avg Week Mbrarara-Kabale'!M64+'Avg Week Kabale-Mbarara'!M64</f>
        <v>8.5</v>
      </c>
      <c r="N64" s="49">
        <f>'Avg Week Mbrarara-Kabale'!N64+'Avg Week Kabale-Mbarara'!N64</f>
        <v>0</v>
      </c>
      <c r="O64" s="15">
        <f t="shared" si="0"/>
        <v>38</v>
      </c>
      <c r="P64" s="15">
        <f t="shared" si="1"/>
        <v>46.5</v>
      </c>
      <c r="R64" s="8"/>
      <c r="T64"/>
    </row>
    <row r="65" spans="2:20" ht="23.1" customHeight="1" x14ac:dyDescent="0.25">
      <c r="B65" s="23" t="s">
        <v>158</v>
      </c>
      <c r="C65" s="49">
        <f>'Avg Week Mbrarara-Kabale'!C65+'Avg Week Kabale-Mbarara'!C65</f>
        <v>16</v>
      </c>
      <c r="D65" s="49">
        <f>'Avg Week Mbrarara-Kabale'!D65+'Avg Week Kabale-Mbarara'!D65</f>
        <v>3.5</v>
      </c>
      <c r="E65" s="49">
        <f>'Avg Week Mbrarara-Kabale'!E65+'Avg Week Kabale-Mbarara'!E65</f>
        <v>1.5</v>
      </c>
      <c r="F65" s="49">
        <f>'Avg Week Mbrarara-Kabale'!F65+'Avg Week Kabale-Mbarara'!F65</f>
        <v>8</v>
      </c>
      <c r="G65" s="49">
        <f>'Avg Week Mbrarara-Kabale'!G65+'Avg Week Kabale-Mbarara'!G65</f>
        <v>0.5</v>
      </c>
      <c r="H65" s="49">
        <f>'Avg Week Mbrarara-Kabale'!H65+'Avg Week Kabale-Mbarara'!H65</f>
        <v>0</v>
      </c>
      <c r="I65" s="49">
        <f>'Avg Week Mbrarara-Kabale'!I65+'Avg Week Kabale-Mbarara'!I65</f>
        <v>2.5</v>
      </c>
      <c r="J65" s="49">
        <f>'Avg Week Mbrarara-Kabale'!J65+'Avg Week Kabale-Mbarara'!J65</f>
        <v>0.5</v>
      </c>
      <c r="K65" s="49">
        <f>'Avg Week Mbrarara-Kabale'!K65+'Avg Week Kabale-Mbarara'!K65</f>
        <v>0</v>
      </c>
      <c r="L65" s="49">
        <f>'Avg Week Mbrarara-Kabale'!L65+'Avg Week Kabale-Mbarara'!L65</f>
        <v>3.5</v>
      </c>
      <c r="M65" s="49">
        <f>'Avg Week Mbrarara-Kabale'!M65+'Avg Week Kabale-Mbarara'!M65</f>
        <v>13</v>
      </c>
      <c r="N65" s="49">
        <f>'Avg Week Mbrarara-Kabale'!N65+'Avg Week Kabale-Mbarara'!N65</f>
        <v>0</v>
      </c>
      <c r="O65" s="15">
        <f t="shared" si="0"/>
        <v>36</v>
      </c>
      <c r="P65" s="15">
        <f t="shared" si="1"/>
        <v>49</v>
      </c>
      <c r="R65" s="8"/>
      <c r="T65"/>
    </row>
    <row r="66" spans="2:20" ht="23.1" customHeight="1" x14ac:dyDescent="0.25">
      <c r="B66" s="23" t="s">
        <v>103</v>
      </c>
      <c r="C66" s="49">
        <f>'Avg Week Mbrarara-Kabale'!C66+'Avg Week Kabale-Mbarara'!C66</f>
        <v>6.5</v>
      </c>
      <c r="D66" s="49">
        <f>'Avg Week Mbrarara-Kabale'!D66+'Avg Week Kabale-Mbarara'!D66</f>
        <v>2.5</v>
      </c>
      <c r="E66" s="49">
        <f>'Avg Week Mbrarara-Kabale'!E66+'Avg Week Kabale-Mbarara'!E66</f>
        <v>2</v>
      </c>
      <c r="F66" s="49">
        <f>'Avg Week Mbrarara-Kabale'!F66+'Avg Week Kabale-Mbarara'!F66</f>
        <v>5</v>
      </c>
      <c r="G66" s="49">
        <f>'Avg Week Mbrarara-Kabale'!G66+'Avg Week Kabale-Mbarara'!G66</f>
        <v>0</v>
      </c>
      <c r="H66" s="49">
        <f>'Avg Week Mbrarara-Kabale'!H66+'Avg Week Kabale-Mbarara'!H66</f>
        <v>0</v>
      </c>
      <c r="I66" s="49">
        <f>'Avg Week Mbrarara-Kabale'!I66+'Avg Week Kabale-Mbarara'!I66</f>
        <v>4</v>
      </c>
      <c r="J66" s="49">
        <f>'Avg Week Mbrarara-Kabale'!J66+'Avg Week Kabale-Mbarara'!J66</f>
        <v>1</v>
      </c>
      <c r="K66" s="49">
        <f>'Avg Week Mbrarara-Kabale'!K66+'Avg Week Kabale-Mbarara'!K66</f>
        <v>1</v>
      </c>
      <c r="L66" s="49">
        <f>'Avg Week Mbrarara-Kabale'!L66+'Avg Week Kabale-Mbarara'!L66</f>
        <v>1.5</v>
      </c>
      <c r="M66" s="49">
        <f>'Avg Week Mbrarara-Kabale'!M66+'Avg Week Kabale-Mbarara'!M66</f>
        <v>13.5</v>
      </c>
      <c r="N66" s="49">
        <f>'Avg Week Mbrarara-Kabale'!N66+'Avg Week Kabale-Mbarara'!N66</f>
        <v>0</v>
      </c>
      <c r="O66" s="15">
        <f t="shared" si="0"/>
        <v>23.5</v>
      </c>
      <c r="P66" s="15">
        <f t="shared" si="1"/>
        <v>37</v>
      </c>
      <c r="R66" s="8"/>
      <c r="T66"/>
    </row>
    <row r="67" spans="2:20" ht="23.1" customHeight="1" x14ac:dyDescent="0.25">
      <c r="B67" s="23" t="s">
        <v>104</v>
      </c>
      <c r="C67" s="49">
        <f>'Avg Week Mbrarara-Kabale'!C67+'Avg Week Kabale-Mbarara'!C67</f>
        <v>6.5</v>
      </c>
      <c r="D67" s="49">
        <f>'Avg Week Mbrarara-Kabale'!D67+'Avg Week Kabale-Mbarara'!D67</f>
        <v>0</v>
      </c>
      <c r="E67" s="49">
        <f>'Avg Week Mbrarara-Kabale'!E67+'Avg Week Kabale-Mbarara'!E67</f>
        <v>1.5</v>
      </c>
      <c r="F67" s="49">
        <f>'Avg Week Mbrarara-Kabale'!F67+'Avg Week Kabale-Mbarara'!F67</f>
        <v>6</v>
      </c>
      <c r="G67" s="49">
        <f>'Avg Week Mbrarara-Kabale'!G67+'Avg Week Kabale-Mbarara'!G67</f>
        <v>0.5</v>
      </c>
      <c r="H67" s="49">
        <f>'Avg Week Mbrarara-Kabale'!H67+'Avg Week Kabale-Mbarara'!H67</f>
        <v>2.5</v>
      </c>
      <c r="I67" s="49">
        <f>'Avg Week Mbrarara-Kabale'!I67+'Avg Week Kabale-Mbarara'!I67</f>
        <v>0.5</v>
      </c>
      <c r="J67" s="49">
        <f>'Avg Week Mbrarara-Kabale'!J67+'Avg Week Kabale-Mbarara'!J67</f>
        <v>0.5</v>
      </c>
      <c r="K67" s="49">
        <f>'Avg Week Mbrarara-Kabale'!K67+'Avg Week Kabale-Mbarara'!K67</f>
        <v>3.5</v>
      </c>
      <c r="L67" s="49">
        <f>'Avg Week Mbrarara-Kabale'!L67+'Avg Week Kabale-Mbarara'!L67</f>
        <v>5</v>
      </c>
      <c r="M67" s="49">
        <f>'Avg Week Mbrarara-Kabale'!M67+'Avg Week Kabale-Mbarara'!M67</f>
        <v>12.5</v>
      </c>
      <c r="N67" s="49">
        <f>'Avg Week Mbrarara-Kabale'!N67+'Avg Week Kabale-Mbarara'!N67</f>
        <v>0</v>
      </c>
      <c r="O67" s="15">
        <f t="shared" si="0"/>
        <v>26.5</v>
      </c>
      <c r="P67" s="15">
        <f t="shared" si="1"/>
        <v>39</v>
      </c>
      <c r="R67" s="8"/>
      <c r="T67"/>
    </row>
    <row r="68" spans="2:20" ht="23.1" customHeight="1" x14ac:dyDescent="0.25">
      <c r="B68" s="23" t="s">
        <v>105</v>
      </c>
      <c r="C68" s="49">
        <f>'Avg Week Mbrarara-Kabale'!C68+'Avg Week Kabale-Mbarara'!C68</f>
        <v>6.5</v>
      </c>
      <c r="D68" s="49">
        <f>'Avg Week Mbrarara-Kabale'!D68+'Avg Week Kabale-Mbarara'!D68</f>
        <v>2.5</v>
      </c>
      <c r="E68" s="49">
        <f>'Avg Week Mbrarara-Kabale'!E68+'Avg Week Kabale-Mbarara'!E68</f>
        <v>2.5</v>
      </c>
      <c r="F68" s="49">
        <f>'Avg Week Mbrarara-Kabale'!F68+'Avg Week Kabale-Mbarara'!F68</f>
        <v>4</v>
      </c>
      <c r="G68" s="49">
        <f>'Avg Week Mbrarara-Kabale'!G68+'Avg Week Kabale-Mbarara'!G68</f>
        <v>0</v>
      </c>
      <c r="H68" s="49">
        <f>'Avg Week Mbrarara-Kabale'!H68+'Avg Week Kabale-Mbarara'!H68</f>
        <v>0.5</v>
      </c>
      <c r="I68" s="49">
        <f>'Avg Week Mbrarara-Kabale'!I68+'Avg Week Kabale-Mbarara'!I68</f>
        <v>1</v>
      </c>
      <c r="J68" s="49">
        <f>'Avg Week Mbrarara-Kabale'!J68+'Avg Week Kabale-Mbarara'!J68</f>
        <v>1.5</v>
      </c>
      <c r="K68" s="49">
        <f>'Avg Week Mbrarara-Kabale'!K68+'Avg Week Kabale-Mbarara'!K68</f>
        <v>1</v>
      </c>
      <c r="L68" s="49">
        <f>'Avg Week Mbrarara-Kabale'!L68+'Avg Week Kabale-Mbarara'!L68</f>
        <v>1</v>
      </c>
      <c r="M68" s="49">
        <f>'Avg Week Mbrarara-Kabale'!M68+'Avg Week Kabale-Mbarara'!M68</f>
        <v>11</v>
      </c>
      <c r="N68" s="49">
        <f>'Avg Week Mbrarara-Kabale'!N68+'Avg Week Kabale-Mbarara'!N68</f>
        <v>0</v>
      </c>
      <c r="O68" s="15">
        <f t="shared" si="0"/>
        <v>20.5</v>
      </c>
      <c r="P68" s="15">
        <f t="shared" si="1"/>
        <v>31.5</v>
      </c>
      <c r="R68" s="8"/>
      <c r="T68"/>
    </row>
    <row r="69" spans="2:20" ht="23.1" customHeight="1" x14ac:dyDescent="0.25">
      <c r="B69" s="23" t="s">
        <v>106</v>
      </c>
      <c r="C69" s="49">
        <f>'Avg Week Mbrarara-Kabale'!C69+'Avg Week Kabale-Mbarara'!C69</f>
        <v>9</v>
      </c>
      <c r="D69" s="49">
        <f>'Avg Week Mbrarara-Kabale'!D69+'Avg Week Kabale-Mbarara'!D69</f>
        <v>3</v>
      </c>
      <c r="E69" s="49">
        <f>'Avg Week Mbrarara-Kabale'!E69+'Avg Week Kabale-Mbarara'!E69</f>
        <v>1.5</v>
      </c>
      <c r="F69" s="49">
        <f>'Avg Week Mbrarara-Kabale'!F69+'Avg Week Kabale-Mbarara'!F69</f>
        <v>1</v>
      </c>
      <c r="G69" s="49">
        <f>'Avg Week Mbrarara-Kabale'!G69+'Avg Week Kabale-Mbarara'!G69</f>
        <v>0</v>
      </c>
      <c r="H69" s="49">
        <f>'Avg Week Mbrarara-Kabale'!H69+'Avg Week Kabale-Mbarara'!H69</f>
        <v>1.5</v>
      </c>
      <c r="I69" s="49">
        <f>'Avg Week Mbrarara-Kabale'!I69+'Avg Week Kabale-Mbarara'!I69</f>
        <v>2</v>
      </c>
      <c r="J69" s="49">
        <f>'Avg Week Mbrarara-Kabale'!J69+'Avg Week Kabale-Mbarara'!J69</f>
        <v>1.5</v>
      </c>
      <c r="K69" s="49">
        <f>'Avg Week Mbrarara-Kabale'!K69+'Avg Week Kabale-Mbarara'!K69</f>
        <v>1</v>
      </c>
      <c r="L69" s="49">
        <f>'Avg Week Mbrarara-Kabale'!L69+'Avg Week Kabale-Mbarara'!L69</f>
        <v>2.5</v>
      </c>
      <c r="M69" s="49">
        <f>'Avg Week Mbrarara-Kabale'!M69+'Avg Week Kabale-Mbarara'!M69</f>
        <v>5</v>
      </c>
      <c r="N69" s="49">
        <f>'Avg Week Mbrarara-Kabale'!N69+'Avg Week Kabale-Mbarara'!N69</f>
        <v>0</v>
      </c>
      <c r="O69" s="15">
        <f t="shared" si="0"/>
        <v>23</v>
      </c>
      <c r="P69" s="15">
        <f t="shared" si="1"/>
        <v>28</v>
      </c>
      <c r="R69" s="8"/>
      <c r="T69"/>
    </row>
    <row r="70" spans="2:20" ht="23.1" customHeight="1" x14ac:dyDescent="0.25">
      <c r="B70" s="23" t="s">
        <v>110</v>
      </c>
      <c r="C70" s="49">
        <f>'Avg Week Mbrarara-Kabale'!C70+'Avg Week Kabale-Mbarara'!C70</f>
        <v>5.5</v>
      </c>
      <c r="D70" s="49">
        <f>'Avg Week Mbrarara-Kabale'!D70+'Avg Week Kabale-Mbarara'!D70</f>
        <v>2.5</v>
      </c>
      <c r="E70" s="49">
        <f>'Avg Week Mbrarara-Kabale'!E70+'Avg Week Kabale-Mbarara'!E70</f>
        <v>2.5</v>
      </c>
      <c r="F70" s="49">
        <f>'Avg Week Mbrarara-Kabale'!F70+'Avg Week Kabale-Mbarara'!F70</f>
        <v>5</v>
      </c>
      <c r="G70" s="49">
        <f>'Avg Week Mbrarara-Kabale'!G70+'Avg Week Kabale-Mbarara'!G70</f>
        <v>0</v>
      </c>
      <c r="H70" s="49">
        <f>'Avg Week Mbrarara-Kabale'!H70+'Avg Week Kabale-Mbarara'!H70</f>
        <v>0.5</v>
      </c>
      <c r="I70" s="49">
        <f>'Avg Week Mbrarara-Kabale'!I70+'Avg Week Kabale-Mbarara'!I70</f>
        <v>0</v>
      </c>
      <c r="J70" s="49">
        <f>'Avg Week Mbrarara-Kabale'!J70+'Avg Week Kabale-Mbarara'!J70</f>
        <v>1.5</v>
      </c>
      <c r="K70" s="49">
        <f>'Avg Week Mbrarara-Kabale'!K70+'Avg Week Kabale-Mbarara'!K70</f>
        <v>0.5</v>
      </c>
      <c r="L70" s="49">
        <f>'Avg Week Mbrarara-Kabale'!L70+'Avg Week Kabale-Mbarara'!L70</f>
        <v>1.5</v>
      </c>
      <c r="M70" s="49">
        <f>'Avg Week Mbrarara-Kabale'!M70+'Avg Week Kabale-Mbarara'!M70</f>
        <v>7</v>
      </c>
      <c r="N70" s="49">
        <f>'Avg Week Mbrarara-Kabale'!N70+'Avg Week Kabale-Mbarara'!N70</f>
        <v>0</v>
      </c>
      <c r="O70" s="15">
        <f t="shared" si="0"/>
        <v>19.5</v>
      </c>
      <c r="P70" s="15">
        <f t="shared" si="1"/>
        <v>26.5</v>
      </c>
      <c r="R70" s="8"/>
      <c r="T70"/>
    </row>
    <row r="71" spans="2:20" ht="23.1" customHeight="1" x14ac:dyDescent="0.25">
      <c r="B71" s="23" t="s">
        <v>111</v>
      </c>
      <c r="C71" s="49">
        <f>'Avg Week Mbrarara-Kabale'!C71+'Avg Week Kabale-Mbarara'!C71</f>
        <v>4.5</v>
      </c>
      <c r="D71" s="49">
        <f>'Avg Week Mbrarara-Kabale'!D71+'Avg Week Kabale-Mbarara'!D71</f>
        <v>3</v>
      </c>
      <c r="E71" s="49">
        <f>'Avg Week Mbrarara-Kabale'!E71+'Avg Week Kabale-Mbarara'!E71</f>
        <v>3.5</v>
      </c>
      <c r="F71" s="49">
        <f>'Avg Week Mbrarara-Kabale'!F71+'Avg Week Kabale-Mbarara'!F71</f>
        <v>7.5</v>
      </c>
      <c r="G71" s="49">
        <f>'Avg Week Mbrarara-Kabale'!G71+'Avg Week Kabale-Mbarara'!G71</f>
        <v>0.5</v>
      </c>
      <c r="H71" s="49">
        <f>'Avg Week Mbrarara-Kabale'!H71+'Avg Week Kabale-Mbarara'!H71</f>
        <v>3.5</v>
      </c>
      <c r="I71" s="49">
        <f>'Avg Week Mbrarara-Kabale'!I71+'Avg Week Kabale-Mbarara'!I71</f>
        <v>1.5</v>
      </c>
      <c r="J71" s="49">
        <f>'Avg Week Mbrarara-Kabale'!J71+'Avg Week Kabale-Mbarara'!J71</f>
        <v>0.5</v>
      </c>
      <c r="K71" s="49">
        <f>'Avg Week Mbrarara-Kabale'!K71+'Avg Week Kabale-Mbarara'!K71</f>
        <v>2.5</v>
      </c>
      <c r="L71" s="49">
        <f>'Avg Week Mbrarara-Kabale'!L71+'Avg Week Kabale-Mbarara'!L71</f>
        <v>2.5</v>
      </c>
      <c r="M71" s="49">
        <f>'Avg Week Mbrarara-Kabale'!M71+'Avg Week Kabale-Mbarara'!M71</f>
        <v>3.5</v>
      </c>
      <c r="N71" s="49">
        <f>'Avg Week Mbrarara-Kabale'!N71+'Avg Week Kabale-Mbarara'!N71</f>
        <v>0</v>
      </c>
      <c r="O71" s="15">
        <f t="shared" si="0"/>
        <v>29.5</v>
      </c>
      <c r="P71" s="15">
        <f t="shared" si="1"/>
        <v>33</v>
      </c>
      <c r="R71" s="8"/>
      <c r="T71"/>
    </row>
    <row r="72" spans="2:20" ht="23.1" customHeight="1" x14ac:dyDescent="0.25">
      <c r="B72" s="23" t="s">
        <v>112</v>
      </c>
      <c r="C72" s="49">
        <f>'Avg Week Mbrarara-Kabale'!C72+'Avg Week Kabale-Mbarara'!C72</f>
        <v>10</v>
      </c>
      <c r="D72" s="49">
        <f>'Avg Week Mbrarara-Kabale'!D72+'Avg Week Kabale-Mbarara'!D72</f>
        <v>3</v>
      </c>
      <c r="E72" s="49">
        <f>'Avg Week Mbrarara-Kabale'!E72+'Avg Week Kabale-Mbarara'!E72</f>
        <v>3.5</v>
      </c>
      <c r="F72" s="49">
        <f>'Avg Week Mbrarara-Kabale'!F72+'Avg Week Kabale-Mbarara'!F72</f>
        <v>3</v>
      </c>
      <c r="G72" s="49">
        <f>'Avg Week Mbrarara-Kabale'!G72+'Avg Week Kabale-Mbarara'!G72</f>
        <v>0</v>
      </c>
      <c r="H72" s="49">
        <f>'Avg Week Mbrarara-Kabale'!H72+'Avg Week Kabale-Mbarara'!H72</f>
        <v>0</v>
      </c>
      <c r="I72" s="49">
        <f>'Avg Week Mbrarara-Kabale'!I72+'Avg Week Kabale-Mbarara'!I72</f>
        <v>0.5</v>
      </c>
      <c r="J72" s="49">
        <f>'Avg Week Mbrarara-Kabale'!J72+'Avg Week Kabale-Mbarara'!J72</f>
        <v>1.5</v>
      </c>
      <c r="K72" s="49">
        <f>'Avg Week Mbrarara-Kabale'!K72+'Avg Week Kabale-Mbarara'!K72</f>
        <v>3.5</v>
      </c>
      <c r="L72" s="49">
        <f>'Avg Week Mbrarara-Kabale'!L72+'Avg Week Kabale-Mbarara'!L72</f>
        <v>2</v>
      </c>
      <c r="M72" s="49">
        <f>'Avg Week Mbrarara-Kabale'!M72+'Avg Week Kabale-Mbarara'!M72</f>
        <v>10.5</v>
      </c>
      <c r="N72" s="49">
        <f>'Avg Week Mbrarara-Kabale'!N72+'Avg Week Kabale-Mbarara'!N72</f>
        <v>0</v>
      </c>
      <c r="O72" s="15">
        <f t="shared" si="0"/>
        <v>27</v>
      </c>
      <c r="P72" s="15">
        <f t="shared" si="1"/>
        <v>37.5</v>
      </c>
      <c r="R72" s="8"/>
      <c r="T72"/>
    </row>
    <row r="73" spans="2:20" ht="23.1" customHeight="1" x14ac:dyDescent="0.25">
      <c r="B73" s="23" t="s">
        <v>113</v>
      </c>
      <c r="C73" s="49">
        <f>'Avg Week Mbrarara-Kabale'!C73+'Avg Week Kabale-Mbarara'!C73</f>
        <v>8.5</v>
      </c>
      <c r="D73" s="49">
        <f>'Avg Week Mbrarara-Kabale'!D73+'Avg Week Kabale-Mbarara'!D73</f>
        <v>3.5</v>
      </c>
      <c r="E73" s="49">
        <f>'Avg Week Mbrarara-Kabale'!E73+'Avg Week Kabale-Mbarara'!E73</f>
        <v>1.5</v>
      </c>
      <c r="F73" s="49">
        <f>'Avg Week Mbrarara-Kabale'!F73+'Avg Week Kabale-Mbarara'!F73</f>
        <v>2.5</v>
      </c>
      <c r="G73" s="49">
        <f>'Avg Week Mbrarara-Kabale'!G73+'Avg Week Kabale-Mbarara'!G73</f>
        <v>0</v>
      </c>
      <c r="H73" s="49">
        <f>'Avg Week Mbrarara-Kabale'!H73+'Avg Week Kabale-Mbarara'!H73</f>
        <v>3</v>
      </c>
      <c r="I73" s="49">
        <f>'Avg Week Mbrarara-Kabale'!I73+'Avg Week Kabale-Mbarara'!I73</f>
        <v>0</v>
      </c>
      <c r="J73" s="49">
        <f>'Avg Week Mbrarara-Kabale'!J73+'Avg Week Kabale-Mbarara'!J73</f>
        <v>1.5</v>
      </c>
      <c r="K73" s="49">
        <f>'Avg Week Mbrarara-Kabale'!K73+'Avg Week Kabale-Mbarara'!K73</f>
        <v>1</v>
      </c>
      <c r="L73" s="49">
        <f>'Avg Week Mbrarara-Kabale'!L73+'Avg Week Kabale-Mbarara'!L73</f>
        <v>1</v>
      </c>
      <c r="M73" s="49">
        <f>'Avg Week Mbrarara-Kabale'!M73+'Avg Week Kabale-Mbarara'!M73</f>
        <v>5</v>
      </c>
      <c r="N73" s="49">
        <f>'Avg Week Mbrarara-Kabale'!N73+'Avg Week Kabale-Mbarara'!N73</f>
        <v>0</v>
      </c>
      <c r="O73" s="15">
        <f t="shared" si="0"/>
        <v>22.5</v>
      </c>
      <c r="P73" s="15">
        <f t="shared" si="1"/>
        <v>27.5</v>
      </c>
      <c r="R73" s="8"/>
      <c r="T73"/>
    </row>
    <row r="74" spans="2:20" ht="23.1" customHeight="1" x14ac:dyDescent="0.25">
      <c r="B74" s="23" t="s">
        <v>114</v>
      </c>
      <c r="C74" s="49">
        <f>'Avg Week Mbrarara-Kabale'!C74+'Avg Week Kabale-Mbarara'!C74</f>
        <v>6</v>
      </c>
      <c r="D74" s="49">
        <f>'Avg Week Mbrarara-Kabale'!D74+'Avg Week Kabale-Mbarara'!D74</f>
        <v>1</v>
      </c>
      <c r="E74" s="49">
        <f>'Avg Week Mbrarara-Kabale'!E74+'Avg Week Kabale-Mbarara'!E74</f>
        <v>1</v>
      </c>
      <c r="F74" s="49">
        <f>'Avg Week Mbrarara-Kabale'!F74+'Avg Week Kabale-Mbarara'!F74</f>
        <v>4.5</v>
      </c>
      <c r="G74" s="49">
        <f>'Avg Week Mbrarara-Kabale'!G74+'Avg Week Kabale-Mbarara'!G74</f>
        <v>0</v>
      </c>
      <c r="H74" s="49">
        <f>'Avg Week Mbrarara-Kabale'!H74+'Avg Week Kabale-Mbarara'!H74</f>
        <v>1</v>
      </c>
      <c r="I74" s="49">
        <f>'Avg Week Mbrarara-Kabale'!I74+'Avg Week Kabale-Mbarara'!I74</f>
        <v>0</v>
      </c>
      <c r="J74" s="49">
        <f>'Avg Week Mbrarara-Kabale'!J74+'Avg Week Kabale-Mbarara'!J74</f>
        <v>0</v>
      </c>
      <c r="K74" s="49">
        <f>'Avg Week Mbrarara-Kabale'!K74+'Avg Week Kabale-Mbarara'!K74</f>
        <v>2.5</v>
      </c>
      <c r="L74" s="49">
        <f>'Avg Week Mbrarara-Kabale'!L74+'Avg Week Kabale-Mbarara'!L74</f>
        <v>6</v>
      </c>
      <c r="M74" s="49">
        <f>'Avg Week Mbrarara-Kabale'!M74+'Avg Week Kabale-Mbarara'!M74</f>
        <v>3.5</v>
      </c>
      <c r="N74" s="49">
        <f>'Avg Week Mbrarara-Kabale'!N74+'Avg Week Kabale-Mbarara'!N74</f>
        <v>0</v>
      </c>
      <c r="O74" s="15">
        <f t="shared" ref="O74:O105" si="35">SUM(C74:L74,N74)</f>
        <v>22</v>
      </c>
      <c r="P74" s="15">
        <f t="shared" ref="P74:P105" si="36">SUM(C74:N74)</f>
        <v>25.5</v>
      </c>
      <c r="R74" s="8"/>
      <c r="T74"/>
    </row>
    <row r="75" spans="2:20" ht="23.1" customHeight="1" x14ac:dyDescent="0.25">
      <c r="B75" s="23" t="s">
        <v>115</v>
      </c>
      <c r="C75" s="49">
        <f>'Avg Week Mbrarara-Kabale'!C75+'Avg Week Kabale-Mbarara'!C75</f>
        <v>4</v>
      </c>
      <c r="D75" s="49">
        <f>'Avg Week Mbrarara-Kabale'!D75+'Avg Week Kabale-Mbarara'!D75</f>
        <v>2</v>
      </c>
      <c r="E75" s="49">
        <f>'Avg Week Mbrarara-Kabale'!E75+'Avg Week Kabale-Mbarara'!E75</f>
        <v>0</v>
      </c>
      <c r="F75" s="49">
        <f>'Avg Week Mbrarara-Kabale'!F75+'Avg Week Kabale-Mbarara'!F75</f>
        <v>3</v>
      </c>
      <c r="G75" s="49">
        <f>'Avg Week Mbrarara-Kabale'!G75+'Avg Week Kabale-Mbarara'!G75</f>
        <v>0</v>
      </c>
      <c r="H75" s="49">
        <f>'Avg Week Mbrarara-Kabale'!H75+'Avg Week Kabale-Mbarara'!H75</f>
        <v>0.5</v>
      </c>
      <c r="I75" s="49">
        <f>'Avg Week Mbrarara-Kabale'!I75+'Avg Week Kabale-Mbarara'!I75</f>
        <v>0.5</v>
      </c>
      <c r="J75" s="49">
        <f>'Avg Week Mbrarara-Kabale'!J75+'Avg Week Kabale-Mbarara'!J75</f>
        <v>5</v>
      </c>
      <c r="K75" s="49">
        <f>'Avg Week Mbrarara-Kabale'!K75+'Avg Week Kabale-Mbarara'!K75</f>
        <v>1.5</v>
      </c>
      <c r="L75" s="49">
        <f>'Avg Week Mbrarara-Kabale'!L75+'Avg Week Kabale-Mbarara'!L75</f>
        <v>1.5</v>
      </c>
      <c r="M75" s="49">
        <f>'Avg Week Mbrarara-Kabale'!M75+'Avg Week Kabale-Mbarara'!M75</f>
        <v>7</v>
      </c>
      <c r="N75" s="49">
        <f>'Avg Week Mbrarara-Kabale'!N75+'Avg Week Kabale-Mbarara'!N75</f>
        <v>0</v>
      </c>
      <c r="O75" s="15">
        <f t="shared" si="35"/>
        <v>18</v>
      </c>
      <c r="P75" s="15">
        <f t="shared" si="36"/>
        <v>25</v>
      </c>
      <c r="R75" s="8"/>
      <c r="T75"/>
    </row>
    <row r="76" spans="2:20" ht="23.1" customHeight="1" x14ac:dyDescent="0.25">
      <c r="B76" s="23" t="s">
        <v>116</v>
      </c>
      <c r="C76" s="49">
        <f>'Avg Week Mbrarara-Kabale'!C76+'Avg Week Kabale-Mbarara'!C76</f>
        <v>2</v>
      </c>
      <c r="D76" s="49">
        <f>'Avg Week Mbrarara-Kabale'!D76+'Avg Week Kabale-Mbarara'!D76</f>
        <v>1.5</v>
      </c>
      <c r="E76" s="49">
        <f>'Avg Week Mbrarara-Kabale'!E76+'Avg Week Kabale-Mbarara'!E76</f>
        <v>2</v>
      </c>
      <c r="F76" s="49">
        <f>'Avg Week Mbrarara-Kabale'!F76+'Avg Week Kabale-Mbarara'!F76</f>
        <v>2.5</v>
      </c>
      <c r="G76" s="49">
        <f>'Avg Week Mbrarara-Kabale'!G76+'Avg Week Kabale-Mbarara'!G76</f>
        <v>0</v>
      </c>
      <c r="H76" s="49">
        <f>'Avg Week Mbrarara-Kabale'!H76+'Avg Week Kabale-Mbarara'!H76</f>
        <v>0</v>
      </c>
      <c r="I76" s="49">
        <f>'Avg Week Mbrarara-Kabale'!I76+'Avg Week Kabale-Mbarara'!I76</f>
        <v>2.5</v>
      </c>
      <c r="J76" s="49">
        <f>'Avg Week Mbrarara-Kabale'!J76+'Avg Week Kabale-Mbarara'!J76</f>
        <v>0.5</v>
      </c>
      <c r="K76" s="49">
        <f>'Avg Week Mbrarara-Kabale'!K76+'Avg Week Kabale-Mbarara'!K76</f>
        <v>4.5</v>
      </c>
      <c r="L76" s="49">
        <f>'Avg Week Mbrarara-Kabale'!L76+'Avg Week Kabale-Mbarara'!L76</f>
        <v>5</v>
      </c>
      <c r="M76" s="49">
        <f>'Avg Week Mbrarara-Kabale'!M76+'Avg Week Kabale-Mbarara'!M76</f>
        <v>2.5</v>
      </c>
      <c r="N76" s="49">
        <f>'Avg Week Mbrarara-Kabale'!N76+'Avg Week Kabale-Mbarara'!N76</f>
        <v>0</v>
      </c>
      <c r="O76" s="15">
        <f t="shared" si="35"/>
        <v>20.5</v>
      </c>
      <c r="P76" s="15">
        <f t="shared" si="36"/>
        <v>23</v>
      </c>
      <c r="R76" s="8"/>
      <c r="T76"/>
    </row>
    <row r="77" spans="2:20" ht="23.1" customHeight="1" x14ac:dyDescent="0.25">
      <c r="B77" s="23" t="s">
        <v>117</v>
      </c>
      <c r="C77" s="49">
        <f>'Avg Week Mbrarara-Kabale'!C77+'Avg Week Kabale-Mbarara'!C77</f>
        <v>3.5</v>
      </c>
      <c r="D77" s="49">
        <f>'Avg Week Mbrarara-Kabale'!D77+'Avg Week Kabale-Mbarara'!D77</f>
        <v>0</v>
      </c>
      <c r="E77" s="49">
        <f>'Avg Week Mbrarara-Kabale'!E77+'Avg Week Kabale-Mbarara'!E77</f>
        <v>0.5</v>
      </c>
      <c r="F77" s="49">
        <f>'Avg Week Mbrarara-Kabale'!F77+'Avg Week Kabale-Mbarara'!F77</f>
        <v>2.5</v>
      </c>
      <c r="G77" s="49">
        <f>'Avg Week Mbrarara-Kabale'!G77+'Avg Week Kabale-Mbarara'!G77</f>
        <v>0.5</v>
      </c>
      <c r="H77" s="49">
        <f>'Avg Week Mbrarara-Kabale'!H77+'Avg Week Kabale-Mbarara'!H77</f>
        <v>1</v>
      </c>
      <c r="I77" s="49">
        <f>'Avg Week Mbrarara-Kabale'!I77+'Avg Week Kabale-Mbarara'!I77</f>
        <v>0.5</v>
      </c>
      <c r="J77" s="49">
        <f>'Avg Week Mbrarara-Kabale'!J77+'Avg Week Kabale-Mbarara'!J77</f>
        <v>0.5</v>
      </c>
      <c r="K77" s="49">
        <f>'Avg Week Mbrarara-Kabale'!K77+'Avg Week Kabale-Mbarara'!K77</f>
        <v>0</v>
      </c>
      <c r="L77" s="49">
        <f>'Avg Week Mbrarara-Kabale'!L77+'Avg Week Kabale-Mbarara'!L77</f>
        <v>3.5</v>
      </c>
      <c r="M77" s="49">
        <f>'Avg Week Mbrarara-Kabale'!M77+'Avg Week Kabale-Mbarara'!M77</f>
        <v>2.5</v>
      </c>
      <c r="N77" s="49">
        <f>'Avg Week Mbrarara-Kabale'!N77+'Avg Week Kabale-Mbarara'!N77</f>
        <v>0</v>
      </c>
      <c r="O77" s="15">
        <f t="shared" si="35"/>
        <v>12.5</v>
      </c>
      <c r="P77" s="15">
        <f t="shared" si="36"/>
        <v>15</v>
      </c>
      <c r="R77" s="8"/>
      <c r="T77"/>
    </row>
    <row r="78" spans="2:20" ht="23.1" customHeight="1" x14ac:dyDescent="0.25">
      <c r="B78" s="24" t="s">
        <v>118</v>
      </c>
      <c r="C78" s="49">
        <f>'Avg Week Mbrarara-Kabale'!C78+'Avg Week Kabale-Mbarara'!C78</f>
        <v>1</v>
      </c>
      <c r="D78" s="49">
        <f>'Avg Week Mbrarara-Kabale'!D78+'Avg Week Kabale-Mbarara'!D78</f>
        <v>2</v>
      </c>
      <c r="E78" s="49">
        <f>'Avg Week Mbrarara-Kabale'!E78+'Avg Week Kabale-Mbarara'!E78</f>
        <v>0</v>
      </c>
      <c r="F78" s="49">
        <f>'Avg Week Mbrarara-Kabale'!F78+'Avg Week Kabale-Mbarara'!F78</f>
        <v>2</v>
      </c>
      <c r="G78" s="49">
        <f>'Avg Week Mbrarara-Kabale'!G78+'Avg Week Kabale-Mbarara'!G78</f>
        <v>0</v>
      </c>
      <c r="H78" s="49">
        <f>'Avg Week Mbrarara-Kabale'!H78+'Avg Week Kabale-Mbarara'!H78</f>
        <v>2.5</v>
      </c>
      <c r="I78" s="49">
        <f>'Avg Week Mbrarara-Kabale'!I78+'Avg Week Kabale-Mbarara'!I78</f>
        <v>0.5</v>
      </c>
      <c r="J78" s="49">
        <f>'Avg Week Mbrarara-Kabale'!J78+'Avg Week Kabale-Mbarara'!J78</f>
        <v>1</v>
      </c>
      <c r="K78" s="49">
        <f>'Avg Week Mbrarara-Kabale'!K78+'Avg Week Kabale-Mbarara'!K78</f>
        <v>2</v>
      </c>
      <c r="L78" s="49">
        <f>'Avg Week Mbrarara-Kabale'!L78+'Avg Week Kabale-Mbarara'!L78</f>
        <v>5.5</v>
      </c>
      <c r="M78" s="49">
        <f>'Avg Week Mbrarara-Kabale'!M78+'Avg Week Kabale-Mbarara'!M78</f>
        <v>0.5</v>
      </c>
      <c r="N78" s="49">
        <f>'Avg Week Mbrarara-Kabale'!N78+'Avg Week Kabale-Mbarara'!N78</f>
        <v>0</v>
      </c>
      <c r="O78" s="15">
        <f t="shared" si="35"/>
        <v>16.5</v>
      </c>
      <c r="P78" s="15">
        <f t="shared" si="36"/>
        <v>17</v>
      </c>
      <c r="R78" s="8"/>
      <c r="T78"/>
    </row>
    <row r="79" spans="2:20" ht="23.1" customHeight="1" x14ac:dyDescent="0.25">
      <c r="B79" s="23" t="s">
        <v>119</v>
      </c>
      <c r="C79" s="49">
        <f>'Avg Week Mbrarara-Kabale'!C79+'Avg Week Kabale-Mbarara'!C79</f>
        <v>1</v>
      </c>
      <c r="D79" s="49">
        <f>'Avg Week Mbrarara-Kabale'!D79+'Avg Week Kabale-Mbarara'!D79</f>
        <v>0.5</v>
      </c>
      <c r="E79" s="49">
        <f>'Avg Week Mbrarara-Kabale'!E79+'Avg Week Kabale-Mbarara'!E79</f>
        <v>2.5</v>
      </c>
      <c r="F79" s="49">
        <f>'Avg Week Mbrarara-Kabale'!F79+'Avg Week Kabale-Mbarara'!F79</f>
        <v>3.5</v>
      </c>
      <c r="G79" s="49">
        <f>'Avg Week Mbrarara-Kabale'!G79+'Avg Week Kabale-Mbarara'!G79</f>
        <v>0.5</v>
      </c>
      <c r="H79" s="49">
        <f>'Avg Week Mbrarara-Kabale'!H79+'Avg Week Kabale-Mbarara'!H79</f>
        <v>0</v>
      </c>
      <c r="I79" s="49">
        <f>'Avg Week Mbrarara-Kabale'!I79+'Avg Week Kabale-Mbarara'!I79</f>
        <v>0</v>
      </c>
      <c r="J79" s="49">
        <f>'Avg Week Mbrarara-Kabale'!J79+'Avg Week Kabale-Mbarara'!J79</f>
        <v>0</v>
      </c>
      <c r="K79" s="49">
        <f>'Avg Week Mbrarara-Kabale'!K79+'Avg Week Kabale-Mbarara'!K79</f>
        <v>1.5</v>
      </c>
      <c r="L79" s="49">
        <f>'Avg Week Mbrarara-Kabale'!L79+'Avg Week Kabale-Mbarara'!L79</f>
        <v>1</v>
      </c>
      <c r="M79" s="49">
        <f>'Avg Week Mbrarara-Kabale'!M79+'Avg Week Kabale-Mbarara'!M79</f>
        <v>1.5</v>
      </c>
      <c r="N79" s="49">
        <f>'Avg Week Mbrarara-Kabale'!N79+'Avg Week Kabale-Mbarara'!N79</f>
        <v>0</v>
      </c>
      <c r="O79" s="15">
        <f t="shared" si="35"/>
        <v>10.5</v>
      </c>
      <c r="P79" s="15">
        <f t="shared" si="36"/>
        <v>12</v>
      </c>
      <c r="R79" s="8"/>
      <c r="T79"/>
    </row>
    <row r="80" spans="2:20" ht="23.1" customHeight="1" x14ac:dyDescent="0.25">
      <c r="B80" s="25" t="s">
        <v>120</v>
      </c>
      <c r="C80" s="49">
        <f>'Avg Week Mbrarara-Kabale'!C80+'Avg Week Kabale-Mbarara'!C80</f>
        <v>0.5</v>
      </c>
      <c r="D80" s="49">
        <f>'Avg Week Mbrarara-Kabale'!D80+'Avg Week Kabale-Mbarara'!D80</f>
        <v>0</v>
      </c>
      <c r="E80" s="49">
        <f>'Avg Week Mbrarara-Kabale'!E80+'Avg Week Kabale-Mbarara'!E80</f>
        <v>0.5</v>
      </c>
      <c r="F80" s="49">
        <f>'Avg Week Mbrarara-Kabale'!F80+'Avg Week Kabale-Mbarara'!F80</f>
        <v>1</v>
      </c>
      <c r="G80" s="49">
        <f>'Avg Week Mbrarara-Kabale'!G80+'Avg Week Kabale-Mbarara'!G80</f>
        <v>0</v>
      </c>
      <c r="H80" s="49">
        <f>'Avg Week Mbrarara-Kabale'!H80+'Avg Week Kabale-Mbarara'!H80</f>
        <v>1</v>
      </c>
      <c r="I80" s="49">
        <f>'Avg Week Mbrarara-Kabale'!I80+'Avg Week Kabale-Mbarara'!I80</f>
        <v>0</v>
      </c>
      <c r="J80" s="49">
        <f>'Avg Week Mbrarara-Kabale'!J80+'Avg Week Kabale-Mbarara'!J80</f>
        <v>2.5</v>
      </c>
      <c r="K80" s="49">
        <f>'Avg Week Mbrarara-Kabale'!K80+'Avg Week Kabale-Mbarara'!K80</f>
        <v>3.5</v>
      </c>
      <c r="L80" s="49">
        <f>'Avg Week Mbrarara-Kabale'!L80+'Avg Week Kabale-Mbarara'!L80</f>
        <v>5.5</v>
      </c>
      <c r="M80" s="49">
        <f>'Avg Week Mbrarara-Kabale'!M80+'Avg Week Kabale-Mbarara'!M80</f>
        <v>1</v>
      </c>
      <c r="N80" s="49">
        <f>'Avg Week Mbrarara-Kabale'!N80+'Avg Week Kabale-Mbarara'!N80</f>
        <v>0</v>
      </c>
      <c r="O80" s="15">
        <f t="shared" si="35"/>
        <v>14.5</v>
      </c>
      <c r="P80" s="15">
        <f t="shared" si="36"/>
        <v>15.5</v>
      </c>
      <c r="R80" s="8"/>
      <c r="T80"/>
    </row>
    <row r="81" spans="2:20" ht="23.1" customHeight="1" x14ac:dyDescent="0.25">
      <c r="B81" s="23" t="s">
        <v>121</v>
      </c>
      <c r="C81" s="49">
        <f>'Avg Week Mbrarara-Kabale'!C81+'Avg Week Kabale-Mbarara'!C81</f>
        <v>0.5</v>
      </c>
      <c r="D81" s="49">
        <f>'Avg Week Mbrarara-Kabale'!D81+'Avg Week Kabale-Mbarara'!D81</f>
        <v>0.5</v>
      </c>
      <c r="E81" s="49">
        <f>'Avg Week Mbrarara-Kabale'!E81+'Avg Week Kabale-Mbarara'!E81</f>
        <v>0</v>
      </c>
      <c r="F81" s="49">
        <f>'Avg Week Mbrarara-Kabale'!F81+'Avg Week Kabale-Mbarara'!F81</f>
        <v>0.5</v>
      </c>
      <c r="G81" s="49">
        <f>'Avg Week Mbrarara-Kabale'!G81+'Avg Week Kabale-Mbarara'!G81</f>
        <v>0</v>
      </c>
      <c r="H81" s="49">
        <f>'Avg Week Mbrarara-Kabale'!H81+'Avg Week Kabale-Mbarara'!H81</f>
        <v>0</v>
      </c>
      <c r="I81" s="49">
        <f>'Avg Week Mbrarara-Kabale'!I81+'Avg Week Kabale-Mbarara'!I81</f>
        <v>0</v>
      </c>
      <c r="J81" s="49">
        <f>'Avg Week Mbrarara-Kabale'!J81+'Avg Week Kabale-Mbarara'!J81</f>
        <v>2</v>
      </c>
      <c r="K81" s="49">
        <f>'Avg Week Mbrarara-Kabale'!K81+'Avg Week Kabale-Mbarara'!K81</f>
        <v>0.5</v>
      </c>
      <c r="L81" s="49">
        <f>'Avg Week Mbrarara-Kabale'!L81+'Avg Week Kabale-Mbarara'!L81</f>
        <v>1</v>
      </c>
      <c r="M81" s="49">
        <f>'Avg Week Mbrarara-Kabale'!M81+'Avg Week Kabale-Mbarara'!M81</f>
        <v>0</v>
      </c>
      <c r="N81" s="49">
        <f>'Avg Week Mbrarara-Kabale'!N81+'Avg Week Kabale-Mbarara'!N81</f>
        <v>0</v>
      </c>
      <c r="O81" s="15">
        <f t="shared" si="35"/>
        <v>5</v>
      </c>
      <c r="P81" s="15">
        <f t="shared" si="36"/>
        <v>5</v>
      </c>
      <c r="R81" s="8"/>
      <c r="T81"/>
    </row>
    <row r="82" spans="2:20" ht="23.1" customHeight="1" x14ac:dyDescent="0.25">
      <c r="B82" s="24" t="s">
        <v>122</v>
      </c>
      <c r="C82" s="49">
        <f>'Avg Week Mbrarara-Kabale'!C82+'Avg Week Kabale-Mbarara'!C82</f>
        <v>1</v>
      </c>
      <c r="D82" s="49">
        <f>'Avg Week Mbrarara-Kabale'!D82+'Avg Week Kabale-Mbarara'!D82</f>
        <v>3</v>
      </c>
      <c r="E82" s="49">
        <f>'Avg Week Mbrarara-Kabale'!E82+'Avg Week Kabale-Mbarara'!E82</f>
        <v>0</v>
      </c>
      <c r="F82" s="49">
        <f>'Avg Week Mbrarara-Kabale'!F82+'Avg Week Kabale-Mbarara'!F82</f>
        <v>0</v>
      </c>
      <c r="G82" s="49">
        <f>'Avg Week Mbrarara-Kabale'!G82+'Avg Week Kabale-Mbarara'!G82</f>
        <v>0</v>
      </c>
      <c r="H82" s="49">
        <f>'Avg Week Mbrarara-Kabale'!H82+'Avg Week Kabale-Mbarara'!H82</f>
        <v>0</v>
      </c>
      <c r="I82" s="49">
        <f>'Avg Week Mbrarara-Kabale'!I82+'Avg Week Kabale-Mbarara'!I82</f>
        <v>0</v>
      </c>
      <c r="J82" s="49">
        <f>'Avg Week Mbrarara-Kabale'!J82+'Avg Week Kabale-Mbarara'!J82</f>
        <v>1</v>
      </c>
      <c r="K82" s="49">
        <f>'Avg Week Mbrarara-Kabale'!K82+'Avg Week Kabale-Mbarara'!K82</f>
        <v>1.5</v>
      </c>
      <c r="L82" s="49">
        <f>'Avg Week Mbrarara-Kabale'!L82+'Avg Week Kabale-Mbarara'!L82</f>
        <v>6</v>
      </c>
      <c r="M82" s="49">
        <f>'Avg Week Mbrarara-Kabale'!M82+'Avg Week Kabale-Mbarara'!M82</f>
        <v>1</v>
      </c>
      <c r="N82" s="49">
        <f>'Avg Week Mbrarara-Kabale'!N82+'Avg Week Kabale-Mbarara'!N82</f>
        <v>0</v>
      </c>
      <c r="O82" s="15">
        <f t="shared" si="35"/>
        <v>12.5</v>
      </c>
      <c r="P82" s="15">
        <f t="shared" si="36"/>
        <v>13.5</v>
      </c>
      <c r="R82" s="8"/>
      <c r="T82"/>
    </row>
    <row r="83" spans="2:20" ht="23.1" customHeight="1" x14ac:dyDescent="0.25">
      <c r="B83" s="23" t="s">
        <v>123</v>
      </c>
      <c r="C83" s="49">
        <f>'Avg Week Mbrarara-Kabale'!C83+'Avg Week Kabale-Mbarara'!C83</f>
        <v>1.5</v>
      </c>
      <c r="D83" s="49">
        <f>'Avg Week Mbrarara-Kabale'!D83+'Avg Week Kabale-Mbarara'!D83</f>
        <v>0</v>
      </c>
      <c r="E83" s="49">
        <f>'Avg Week Mbrarara-Kabale'!E83+'Avg Week Kabale-Mbarara'!E83</f>
        <v>1.5</v>
      </c>
      <c r="F83" s="49">
        <f>'Avg Week Mbrarara-Kabale'!F83+'Avg Week Kabale-Mbarara'!F83</f>
        <v>0</v>
      </c>
      <c r="G83" s="49">
        <f>'Avg Week Mbrarara-Kabale'!G83+'Avg Week Kabale-Mbarara'!G83</f>
        <v>0.5</v>
      </c>
      <c r="H83" s="49">
        <f>'Avg Week Mbrarara-Kabale'!H83+'Avg Week Kabale-Mbarara'!H83</f>
        <v>0.5</v>
      </c>
      <c r="I83" s="49">
        <f>'Avg Week Mbrarara-Kabale'!I83+'Avg Week Kabale-Mbarara'!I83</f>
        <v>0.5</v>
      </c>
      <c r="J83" s="49">
        <f>'Avg Week Mbrarara-Kabale'!J83+'Avg Week Kabale-Mbarara'!J83</f>
        <v>1.5</v>
      </c>
      <c r="K83" s="49">
        <f>'Avg Week Mbrarara-Kabale'!K83+'Avg Week Kabale-Mbarara'!K83</f>
        <v>0.5</v>
      </c>
      <c r="L83" s="49">
        <f>'Avg Week Mbrarara-Kabale'!L83+'Avg Week Kabale-Mbarara'!L83</f>
        <v>1.5</v>
      </c>
      <c r="M83" s="49">
        <f>'Avg Week Mbrarara-Kabale'!M83+'Avg Week Kabale-Mbarara'!M83</f>
        <v>0</v>
      </c>
      <c r="N83" s="49">
        <f>'Avg Week Mbrarara-Kabale'!N83+'Avg Week Kabale-Mbarara'!N83</f>
        <v>0</v>
      </c>
      <c r="O83" s="15">
        <f t="shared" si="35"/>
        <v>8</v>
      </c>
      <c r="P83" s="15">
        <f t="shared" si="36"/>
        <v>8</v>
      </c>
      <c r="R83" s="8"/>
      <c r="T83"/>
    </row>
    <row r="84" spans="2:20" ht="23.1" customHeight="1" x14ac:dyDescent="0.25">
      <c r="B84" s="25" t="s">
        <v>124</v>
      </c>
      <c r="C84" s="49">
        <f>'Avg Week Mbrarara-Kabale'!C84+'Avg Week Kabale-Mbarara'!C84</f>
        <v>0</v>
      </c>
      <c r="D84" s="49">
        <f>'Avg Week Mbrarara-Kabale'!D84+'Avg Week Kabale-Mbarara'!D84</f>
        <v>2</v>
      </c>
      <c r="E84" s="49">
        <f>'Avg Week Mbrarara-Kabale'!E84+'Avg Week Kabale-Mbarara'!E84</f>
        <v>1.5</v>
      </c>
      <c r="F84" s="49">
        <f>'Avg Week Mbrarara-Kabale'!F84+'Avg Week Kabale-Mbarara'!F84</f>
        <v>0.5</v>
      </c>
      <c r="G84" s="49">
        <f>'Avg Week Mbrarara-Kabale'!G84+'Avg Week Kabale-Mbarara'!G84</f>
        <v>0</v>
      </c>
      <c r="H84" s="49">
        <f>'Avg Week Mbrarara-Kabale'!H84+'Avg Week Kabale-Mbarara'!H84</f>
        <v>0</v>
      </c>
      <c r="I84" s="49">
        <f>'Avg Week Mbrarara-Kabale'!I84+'Avg Week Kabale-Mbarara'!I84</f>
        <v>0</v>
      </c>
      <c r="J84" s="49">
        <f>'Avg Week Mbrarara-Kabale'!J84+'Avg Week Kabale-Mbarara'!J84</f>
        <v>2</v>
      </c>
      <c r="K84" s="49">
        <f>'Avg Week Mbrarara-Kabale'!K84+'Avg Week Kabale-Mbarara'!K84</f>
        <v>4.5</v>
      </c>
      <c r="L84" s="49">
        <f>'Avg Week Mbrarara-Kabale'!L84+'Avg Week Kabale-Mbarara'!L84</f>
        <v>6</v>
      </c>
      <c r="M84" s="49">
        <f>'Avg Week Mbrarara-Kabale'!M84+'Avg Week Kabale-Mbarara'!M84</f>
        <v>3.5</v>
      </c>
      <c r="N84" s="49">
        <f>'Avg Week Mbrarara-Kabale'!N84+'Avg Week Kabale-Mbarara'!N84</f>
        <v>0</v>
      </c>
      <c r="O84" s="15">
        <f t="shared" si="35"/>
        <v>16.5</v>
      </c>
      <c r="P84" s="15">
        <f t="shared" si="36"/>
        <v>20</v>
      </c>
      <c r="R84" s="8"/>
      <c r="T84"/>
    </row>
    <row r="85" spans="2:20" ht="23.1" customHeight="1" x14ac:dyDescent="0.25">
      <c r="B85" s="23" t="s">
        <v>125</v>
      </c>
      <c r="C85" s="49">
        <f>'Avg Week Mbrarara-Kabale'!C85+'Avg Week Kabale-Mbarara'!C85</f>
        <v>0</v>
      </c>
      <c r="D85" s="49">
        <f>'Avg Week Mbrarara-Kabale'!D85+'Avg Week Kabale-Mbarara'!D85</f>
        <v>0.5</v>
      </c>
      <c r="E85" s="49">
        <f>'Avg Week Mbrarara-Kabale'!E85+'Avg Week Kabale-Mbarara'!E85</f>
        <v>0</v>
      </c>
      <c r="F85" s="49">
        <f>'Avg Week Mbrarara-Kabale'!F85+'Avg Week Kabale-Mbarara'!F85</f>
        <v>0.5</v>
      </c>
      <c r="G85" s="49">
        <f>'Avg Week Mbrarara-Kabale'!G85+'Avg Week Kabale-Mbarara'!G85</f>
        <v>0.5</v>
      </c>
      <c r="H85" s="49">
        <f>'Avg Week Mbrarara-Kabale'!H85+'Avg Week Kabale-Mbarara'!H85</f>
        <v>1</v>
      </c>
      <c r="I85" s="49">
        <f>'Avg Week Mbrarara-Kabale'!I85+'Avg Week Kabale-Mbarara'!I85</f>
        <v>0</v>
      </c>
      <c r="J85" s="49">
        <f>'Avg Week Mbrarara-Kabale'!J85+'Avg Week Kabale-Mbarara'!J85</f>
        <v>0</v>
      </c>
      <c r="K85" s="49">
        <f>'Avg Week Mbrarara-Kabale'!K85+'Avg Week Kabale-Mbarara'!K85</f>
        <v>0.5</v>
      </c>
      <c r="L85" s="49">
        <f>'Avg Week Mbrarara-Kabale'!L85+'Avg Week Kabale-Mbarara'!L85</f>
        <v>0.5</v>
      </c>
      <c r="M85" s="49">
        <f>'Avg Week Mbrarara-Kabale'!M85+'Avg Week Kabale-Mbarara'!M85</f>
        <v>1.5</v>
      </c>
      <c r="N85" s="49">
        <f>'Avg Week Mbrarara-Kabale'!N85+'Avg Week Kabale-Mbarara'!N85</f>
        <v>0</v>
      </c>
      <c r="O85" s="15">
        <f t="shared" si="35"/>
        <v>3.5</v>
      </c>
      <c r="P85" s="15">
        <f t="shared" si="36"/>
        <v>5</v>
      </c>
      <c r="R85" s="8"/>
      <c r="T85"/>
    </row>
    <row r="86" spans="2:20" ht="23.1" customHeight="1" x14ac:dyDescent="0.25">
      <c r="B86" s="24" t="s">
        <v>126</v>
      </c>
      <c r="C86" s="49">
        <f>'Avg Week Mbrarara-Kabale'!C86+'Avg Week Kabale-Mbarara'!C86</f>
        <v>2.5</v>
      </c>
      <c r="D86" s="49">
        <f>'Avg Week Mbrarara-Kabale'!D86+'Avg Week Kabale-Mbarara'!D86</f>
        <v>1</v>
      </c>
      <c r="E86" s="49">
        <f>'Avg Week Mbrarara-Kabale'!E86+'Avg Week Kabale-Mbarara'!E86</f>
        <v>0</v>
      </c>
      <c r="F86" s="49">
        <f>'Avg Week Mbrarara-Kabale'!F86+'Avg Week Kabale-Mbarara'!F86</f>
        <v>1</v>
      </c>
      <c r="G86" s="49">
        <f>'Avg Week Mbrarara-Kabale'!G86+'Avg Week Kabale-Mbarara'!G86</f>
        <v>0.5</v>
      </c>
      <c r="H86" s="49">
        <f>'Avg Week Mbrarara-Kabale'!H86+'Avg Week Kabale-Mbarara'!H86</f>
        <v>0</v>
      </c>
      <c r="I86" s="49">
        <f>'Avg Week Mbrarara-Kabale'!I86+'Avg Week Kabale-Mbarara'!I86</f>
        <v>0</v>
      </c>
      <c r="J86" s="49">
        <f>'Avg Week Mbrarara-Kabale'!J86+'Avg Week Kabale-Mbarara'!J86</f>
        <v>1.5</v>
      </c>
      <c r="K86" s="49">
        <f>'Avg Week Mbrarara-Kabale'!K86+'Avg Week Kabale-Mbarara'!K86</f>
        <v>4</v>
      </c>
      <c r="L86" s="49">
        <f>'Avg Week Mbrarara-Kabale'!L86+'Avg Week Kabale-Mbarara'!L86</f>
        <v>5</v>
      </c>
      <c r="M86" s="49">
        <f>'Avg Week Mbrarara-Kabale'!M86+'Avg Week Kabale-Mbarara'!M86</f>
        <v>2</v>
      </c>
      <c r="N86" s="49">
        <f>'Avg Week Mbrarara-Kabale'!N86+'Avg Week Kabale-Mbarara'!N86</f>
        <v>0</v>
      </c>
      <c r="O86" s="15">
        <f t="shared" si="35"/>
        <v>15.5</v>
      </c>
      <c r="P86" s="15">
        <f t="shared" si="36"/>
        <v>17.5</v>
      </c>
      <c r="R86" s="8"/>
      <c r="T86"/>
    </row>
    <row r="87" spans="2:20" ht="23.1" customHeight="1" x14ac:dyDescent="0.25">
      <c r="B87" s="23" t="s">
        <v>127</v>
      </c>
      <c r="C87" s="49">
        <f>'Avg Week Mbrarara-Kabale'!C87+'Avg Week Kabale-Mbarara'!C87</f>
        <v>3.5</v>
      </c>
      <c r="D87" s="49">
        <f>'Avg Week Mbrarara-Kabale'!D87+'Avg Week Kabale-Mbarara'!D87</f>
        <v>0</v>
      </c>
      <c r="E87" s="49">
        <f>'Avg Week Mbrarara-Kabale'!E87+'Avg Week Kabale-Mbarara'!E87</f>
        <v>0</v>
      </c>
      <c r="F87" s="49">
        <f>'Avg Week Mbrarara-Kabale'!F87+'Avg Week Kabale-Mbarara'!F87</f>
        <v>0</v>
      </c>
      <c r="G87" s="49">
        <f>'Avg Week Mbrarara-Kabale'!G87+'Avg Week Kabale-Mbarara'!G87</f>
        <v>0</v>
      </c>
      <c r="H87" s="49">
        <f>'Avg Week Mbrarara-Kabale'!H87+'Avg Week Kabale-Mbarara'!H87</f>
        <v>0</v>
      </c>
      <c r="I87" s="49">
        <f>'Avg Week Mbrarara-Kabale'!I87+'Avg Week Kabale-Mbarara'!I87</f>
        <v>0</v>
      </c>
      <c r="J87" s="49">
        <f>'Avg Week Mbrarara-Kabale'!J87+'Avg Week Kabale-Mbarara'!J87</f>
        <v>0</v>
      </c>
      <c r="K87" s="49">
        <f>'Avg Week Mbrarara-Kabale'!K87+'Avg Week Kabale-Mbarara'!K87</f>
        <v>1.5</v>
      </c>
      <c r="L87" s="49">
        <f>'Avg Week Mbrarara-Kabale'!L87+'Avg Week Kabale-Mbarara'!L87</f>
        <v>5</v>
      </c>
      <c r="M87" s="49">
        <f>'Avg Week Mbrarara-Kabale'!M87+'Avg Week Kabale-Mbarara'!M87</f>
        <v>0</v>
      </c>
      <c r="N87" s="49">
        <f>'Avg Week Mbrarara-Kabale'!N87+'Avg Week Kabale-Mbarara'!N87</f>
        <v>0</v>
      </c>
      <c r="O87" s="15">
        <f t="shared" si="35"/>
        <v>10</v>
      </c>
      <c r="P87" s="15">
        <f t="shared" si="36"/>
        <v>10</v>
      </c>
      <c r="R87" s="8"/>
      <c r="T87"/>
    </row>
    <row r="88" spans="2:20" ht="23.1" customHeight="1" x14ac:dyDescent="0.25">
      <c r="B88" s="25" t="s">
        <v>128</v>
      </c>
      <c r="C88" s="49">
        <f>'Avg Week Mbrarara-Kabale'!C88+'Avg Week Kabale-Mbarara'!C88</f>
        <v>1</v>
      </c>
      <c r="D88" s="49">
        <f>'Avg Week Mbrarara-Kabale'!D88+'Avg Week Kabale-Mbarara'!D88</f>
        <v>1</v>
      </c>
      <c r="E88" s="49">
        <f>'Avg Week Mbrarara-Kabale'!E88+'Avg Week Kabale-Mbarara'!E88</f>
        <v>0</v>
      </c>
      <c r="F88" s="49">
        <f>'Avg Week Mbrarara-Kabale'!F88+'Avg Week Kabale-Mbarara'!F88</f>
        <v>1</v>
      </c>
      <c r="G88" s="49">
        <f>'Avg Week Mbrarara-Kabale'!G88+'Avg Week Kabale-Mbarara'!G88</f>
        <v>0</v>
      </c>
      <c r="H88" s="49">
        <f>'Avg Week Mbrarara-Kabale'!H88+'Avg Week Kabale-Mbarara'!H88</f>
        <v>0</v>
      </c>
      <c r="I88" s="49">
        <f>'Avg Week Mbrarara-Kabale'!I88+'Avg Week Kabale-Mbarara'!I88</f>
        <v>0.5</v>
      </c>
      <c r="J88" s="49">
        <f>'Avg Week Mbrarara-Kabale'!J88+'Avg Week Kabale-Mbarara'!J88</f>
        <v>0</v>
      </c>
      <c r="K88" s="49">
        <f>'Avg Week Mbrarara-Kabale'!K88+'Avg Week Kabale-Mbarara'!K88</f>
        <v>0.5</v>
      </c>
      <c r="L88" s="49">
        <f>'Avg Week Mbrarara-Kabale'!L88+'Avg Week Kabale-Mbarara'!L88</f>
        <v>3</v>
      </c>
      <c r="M88" s="49">
        <f>'Avg Week Mbrarara-Kabale'!M88+'Avg Week Kabale-Mbarara'!M88</f>
        <v>0</v>
      </c>
      <c r="N88" s="49">
        <f>'Avg Week Mbrarara-Kabale'!N88+'Avg Week Kabale-Mbarara'!N88</f>
        <v>0</v>
      </c>
      <c r="O88" s="15">
        <f t="shared" si="35"/>
        <v>7</v>
      </c>
      <c r="P88" s="15">
        <f t="shared" si="36"/>
        <v>7</v>
      </c>
      <c r="R88" s="8"/>
      <c r="T88"/>
    </row>
    <row r="89" spans="2:20" ht="23.1" customHeight="1" x14ac:dyDescent="0.25">
      <c r="B89" s="23" t="s">
        <v>129</v>
      </c>
      <c r="C89" s="49">
        <f>'Avg Week Mbrarara-Kabale'!C89+'Avg Week Kabale-Mbarara'!C89</f>
        <v>2</v>
      </c>
      <c r="D89" s="49">
        <f>'Avg Week Mbrarara-Kabale'!D89+'Avg Week Kabale-Mbarara'!D89</f>
        <v>0</v>
      </c>
      <c r="E89" s="49">
        <f>'Avg Week Mbrarara-Kabale'!E89+'Avg Week Kabale-Mbarara'!E89</f>
        <v>0</v>
      </c>
      <c r="F89" s="49">
        <f>'Avg Week Mbrarara-Kabale'!F89+'Avg Week Kabale-Mbarara'!F89</f>
        <v>1.5</v>
      </c>
      <c r="G89" s="49">
        <f>'Avg Week Mbrarara-Kabale'!G89+'Avg Week Kabale-Mbarara'!G89</f>
        <v>0</v>
      </c>
      <c r="H89" s="49">
        <f>'Avg Week Mbrarara-Kabale'!H89+'Avg Week Kabale-Mbarara'!H89</f>
        <v>0</v>
      </c>
      <c r="I89" s="49">
        <f>'Avg Week Mbrarara-Kabale'!I89+'Avg Week Kabale-Mbarara'!I89</f>
        <v>0</v>
      </c>
      <c r="J89" s="49">
        <f>'Avg Week Mbrarara-Kabale'!J89+'Avg Week Kabale-Mbarara'!J89</f>
        <v>0.5</v>
      </c>
      <c r="K89" s="49">
        <f>'Avg Week Mbrarara-Kabale'!K89+'Avg Week Kabale-Mbarara'!K89</f>
        <v>2</v>
      </c>
      <c r="L89" s="49">
        <f>'Avg Week Mbrarara-Kabale'!L89+'Avg Week Kabale-Mbarara'!L89</f>
        <v>1</v>
      </c>
      <c r="M89" s="49">
        <f>'Avg Week Mbrarara-Kabale'!M89+'Avg Week Kabale-Mbarara'!M89</f>
        <v>0</v>
      </c>
      <c r="N89" s="49">
        <f>'Avg Week Mbrarara-Kabale'!N89+'Avg Week Kabale-Mbarara'!N89</f>
        <v>0</v>
      </c>
      <c r="O89" s="15">
        <f t="shared" si="35"/>
        <v>7</v>
      </c>
      <c r="P89" s="15">
        <f t="shared" si="36"/>
        <v>7</v>
      </c>
      <c r="R89" s="8"/>
      <c r="T89"/>
    </row>
    <row r="90" spans="2:20" ht="23.1" customHeight="1" x14ac:dyDescent="0.25">
      <c r="B90" s="24" t="s">
        <v>130</v>
      </c>
      <c r="C90" s="49">
        <f>'Avg Week Mbrarara-Kabale'!C90+'Avg Week Kabale-Mbarara'!C90</f>
        <v>1.5</v>
      </c>
      <c r="D90" s="49">
        <f>'Avg Week Mbrarara-Kabale'!D90+'Avg Week Kabale-Mbarara'!D90</f>
        <v>0</v>
      </c>
      <c r="E90" s="49">
        <f>'Avg Week Mbrarara-Kabale'!E90+'Avg Week Kabale-Mbarara'!E90</f>
        <v>0</v>
      </c>
      <c r="F90" s="49">
        <f>'Avg Week Mbrarara-Kabale'!F90+'Avg Week Kabale-Mbarara'!F90</f>
        <v>1</v>
      </c>
      <c r="G90" s="49">
        <f>'Avg Week Mbrarara-Kabale'!G90+'Avg Week Kabale-Mbarara'!G90</f>
        <v>0</v>
      </c>
      <c r="H90" s="49">
        <f>'Avg Week Mbrarara-Kabale'!H90+'Avg Week Kabale-Mbarara'!H90</f>
        <v>1</v>
      </c>
      <c r="I90" s="49">
        <f>'Avg Week Mbrarara-Kabale'!I90+'Avg Week Kabale-Mbarara'!I90</f>
        <v>0</v>
      </c>
      <c r="J90" s="49">
        <f>'Avg Week Mbrarara-Kabale'!J90+'Avg Week Kabale-Mbarara'!J90</f>
        <v>0</v>
      </c>
      <c r="K90" s="49">
        <f>'Avg Week Mbrarara-Kabale'!K90+'Avg Week Kabale-Mbarara'!K90</f>
        <v>5</v>
      </c>
      <c r="L90" s="49">
        <f>'Avg Week Mbrarara-Kabale'!L90+'Avg Week Kabale-Mbarara'!L90</f>
        <v>2</v>
      </c>
      <c r="M90" s="49">
        <f>'Avg Week Mbrarara-Kabale'!M90+'Avg Week Kabale-Mbarara'!M90</f>
        <v>1</v>
      </c>
      <c r="N90" s="49">
        <f>'Avg Week Mbrarara-Kabale'!N90+'Avg Week Kabale-Mbarara'!N90</f>
        <v>0</v>
      </c>
      <c r="O90" s="15">
        <f t="shared" si="35"/>
        <v>10.5</v>
      </c>
      <c r="P90" s="15">
        <f t="shared" si="36"/>
        <v>11.5</v>
      </c>
      <c r="R90" s="8"/>
      <c r="T90"/>
    </row>
    <row r="91" spans="2:20" ht="23.1" customHeight="1" x14ac:dyDescent="0.25">
      <c r="B91" s="23" t="s">
        <v>131</v>
      </c>
      <c r="C91" s="49">
        <f>'Avg Week Mbrarara-Kabale'!C91+'Avg Week Kabale-Mbarara'!C91</f>
        <v>0</v>
      </c>
      <c r="D91" s="49">
        <f>'Avg Week Mbrarara-Kabale'!D91+'Avg Week Kabale-Mbarara'!D91</f>
        <v>1.5</v>
      </c>
      <c r="E91" s="49">
        <f>'Avg Week Mbrarara-Kabale'!E91+'Avg Week Kabale-Mbarara'!E91</f>
        <v>1</v>
      </c>
      <c r="F91" s="49">
        <f>'Avg Week Mbrarara-Kabale'!F91+'Avg Week Kabale-Mbarara'!F91</f>
        <v>0</v>
      </c>
      <c r="G91" s="49">
        <f>'Avg Week Mbrarara-Kabale'!G91+'Avg Week Kabale-Mbarara'!G91</f>
        <v>0</v>
      </c>
      <c r="H91" s="49">
        <f>'Avg Week Mbrarara-Kabale'!H91+'Avg Week Kabale-Mbarara'!H91</f>
        <v>0</v>
      </c>
      <c r="I91" s="49">
        <f>'Avg Week Mbrarara-Kabale'!I91+'Avg Week Kabale-Mbarara'!I91</f>
        <v>2</v>
      </c>
      <c r="J91" s="49">
        <f>'Avg Week Mbrarara-Kabale'!J91+'Avg Week Kabale-Mbarara'!J91</f>
        <v>1.5</v>
      </c>
      <c r="K91" s="49">
        <f>'Avg Week Mbrarara-Kabale'!K91+'Avg Week Kabale-Mbarara'!K91</f>
        <v>2.5</v>
      </c>
      <c r="L91" s="49">
        <f>'Avg Week Mbrarara-Kabale'!L91+'Avg Week Kabale-Mbarara'!L91</f>
        <v>4.5</v>
      </c>
      <c r="M91" s="49">
        <f>'Avg Week Mbrarara-Kabale'!M91+'Avg Week Kabale-Mbarara'!M91</f>
        <v>0</v>
      </c>
      <c r="N91" s="49">
        <f>'Avg Week Mbrarara-Kabale'!N91+'Avg Week Kabale-Mbarara'!N91</f>
        <v>0</v>
      </c>
      <c r="O91" s="15">
        <f t="shared" si="35"/>
        <v>13</v>
      </c>
      <c r="P91" s="15">
        <f t="shared" si="36"/>
        <v>13</v>
      </c>
      <c r="R91" s="8"/>
      <c r="T91"/>
    </row>
    <row r="92" spans="2:20" ht="23.1" customHeight="1" x14ac:dyDescent="0.25">
      <c r="B92" s="25" t="s">
        <v>132</v>
      </c>
      <c r="C92" s="49">
        <f>'Avg Week Mbrarara-Kabale'!C92+'Avg Week Kabale-Mbarara'!C92</f>
        <v>0</v>
      </c>
      <c r="D92" s="49">
        <f>'Avg Week Mbrarara-Kabale'!D92+'Avg Week Kabale-Mbarara'!D92</f>
        <v>0</v>
      </c>
      <c r="E92" s="49">
        <f>'Avg Week Mbrarara-Kabale'!E92+'Avg Week Kabale-Mbarara'!E92</f>
        <v>1</v>
      </c>
      <c r="F92" s="49">
        <f>'Avg Week Mbrarara-Kabale'!F92+'Avg Week Kabale-Mbarara'!F92</f>
        <v>1.5</v>
      </c>
      <c r="G92" s="49">
        <f>'Avg Week Mbrarara-Kabale'!G92+'Avg Week Kabale-Mbarara'!G92</f>
        <v>0</v>
      </c>
      <c r="H92" s="49">
        <f>'Avg Week Mbrarara-Kabale'!H92+'Avg Week Kabale-Mbarara'!H92</f>
        <v>0</v>
      </c>
      <c r="I92" s="49">
        <f>'Avg Week Mbrarara-Kabale'!I92+'Avg Week Kabale-Mbarara'!I92</f>
        <v>1.5</v>
      </c>
      <c r="J92" s="49">
        <f>'Avg Week Mbrarara-Kabale'!J92+'Avg Week Kabale-Mbarara'!J92</f>
        <v>1</v>
      </c>
      <c r="K92" s="49">
        <f>'Avg Week Mbrarara-Kabale'!K92+'Avg Week Kabale-Mbarara'!K92</f>
        <v>2.5</v>
      </c>
      <c r="L92" s="49">
        <f>'Avg Week Mbrarara-Kabale'!L92+'Avg Week Kabale-Mbarara'!L92</f>
        <v>5.5</v>
      </c>
      <c r="M92" s="49">
        <f>'Avg Week Mbrarara-Kabale'!M92+'Avg Week Kabale-Mbarara'!M92</f>
        <v>0</v>
      </c>
      <c r="N92" s="49">
        <f>'Avg Week Mbrarara-Kabale'!N92+'Avg Week Kabale-Mbarara'!N92</f>
        <v>0</v>
      </c>
      <c r="O92" s="15">
        <f t="shared" si="35"/>
        <v>13</v>
      </c>
      <c r="P92" s="15">
        <f t="shared" si="36"/>
        <v>13</v>
      </c>
      <c r="R92" s="8"/>
      <c r="T92"/>
    </row>
    <row r="93" spans="2:20" ht="23.1" customHeight="1" x14ac:dyDescent="0.25">
      <c r="B93" s="23" t="s">
        <v>133</v>
      </c>
      <c r="C93" s="49">
        <f>'Avg Week Mbrarara-Kabale'!C93+'Avg Week Kabale-Mbarara'!C93</f>
        <v>1</v>
      </c>
      <c r="D93" s="49">
        <f>'Avg Week Mbrarara-Kabale'!D93+'Avg Week Kabale-Mbarara'!D93</f>
        <v>1.5</v>
      </c>
      <c r="E93" s="49">
        <f>'Avg Week Mbrarara-Kabale'!E93+'Avg Week Kabale-Mbarara'!E93</f>
        <v>1</v>
      </c>
      <c r="F93" s="49">
        <f>'Avg Week Mbrarara-Kabale'!F93+'Avg Week Kabale-Mbarara'!F93</f>
        <v>0</v>
      </c>
      <c r="G93" s="49">
        <f>'Avg Week Mbrarara-Kabale'!G93+'Avg Week Kabale-Mbarara'!G93</f>
        <v>0</v>
      </c>
      <c r="H93" s="49">
        <f>'Avg Week Mbrarara-Kabale'!H93+'Avg Week Kabale-Mbarara'!H93</f>
        <v>0</v>
      </c>
      <c r="I93" s="49">
        <f>'Avg Week Mbrarara-Kabale'!I93+'Avg Week Kabale-Mbarara'!I93</f>
        <v>1</v>
      </c>
      <c r="J93" s="49">
        <f>'Avg Week Mbrarara-Kabale'!J93+'Avg Week Kabale-Mbarara'!J93</f>
        <v>1</v>
      </c>
      <c r="K93" s="49">
        <f>'Avg Week Mbrarara-Kabale'!K93+'Avg Week Kabale-Mbarara'!K93</f>
        <v>2</v>
      </c>
      <c r="L93" s="49">
        <f>'Avg Week Mbrarara-Kabale'!L93+'Avg Week Kabale-Mbarara'!L93</f>
        <v>3.5</v>
      </c>
      <c r="M93" s="49">
        <f>'Avg Week Mbrarara-Kabale'!M93+'Avg Week Kabale-Mbarara'!M93</f>
        <v>1.5</v>
      </c>
      <c r="N93" s="49">
        <f>'Avg Week Mbrarara-Kabale'!N93+'Avg Week Kabale-Mbarara'!N93</f>
        <v>0</v>
      </c>
      <c r="O93" s="15">
        <f t="shared" si="35"/>
        <v>11</v>
      </c>
      <c r="P93" s="15">
        <f t="shared" si="36"/>
        <v>12.5</v>
      </c>
      <c r="R93" s="8"/>
      <c r="T93"/>
    </row>
    <row r="94" spans="2:20" ht="23.1" customHeight="1" x14ac:dyDescent="0.25">
      <c r="B94" s="24" t="s">
        <v>134</v>
      </c>
      <c r="C94" s="49">
        <f>'Avg Week Mbrarara-Kabale'!C94+'Avg Week Kabale-Mbarara'!C94</f>
        <v>0</v>
      </c>
      <c r="D94" s="49">
        <f>'Avg Week Mbrarara-Kabale'!D94+'Avg Week Kabale-Mbarara'!D94</f>
        <v>1</v>
      </c>
      <c r="E94" s="49">
        <f>'Avg Week Mbrarara-Kabale'!E94+'Avg Week Kabale-Mbarara'!E94</f>
        <v>0</v>
      </c>
      <c r="F94" s="49">
        <f>'Avg Week Mbrarara-Kabale'!F94+'Avg Week Kabale-Mbarara'!F94</f>
        <v>2.5</v>
      </c>
      <c r="G94" s="49">
        <f>'Avg Week Mbrarara-Kabale'!G94+'Avg Week Kabale-Mbarara'!G94</f>
        <v>0</v>
      </c>
      <c r="H94" s="49">
        <f>'Avg Week Mbrarara-Kabale'!H94+'Avg Week Kabale-Mbarara'!H94</f>
        <v>0</v>
      </c>
      <c r="I94" s="49">
        <f>'Avg Week Mbrarara-Kabale'!I94+'Avg Week Kabale-Mbarara'!I94</f>
        <v>0</v>
      </c>
      <c r="J94" s="49">
        <f>'Avg Week Mbrarara-Kabale'!J94+'Avg Week Kabale-Mbarara'!J94</f>
        <v>2</v>
      </c>
      <c r="K94" s="49">
        <f>'Avg Week Mbrarara-Kabale'!K94+'Avg Week Kabale-Mbarara'!K94</f>
        <v>4</v>
      </c>
      <c r="L94" s="49">
        <f>'Avg Week Mbrarara-Kabale'!L94+'Avg Week Kabale-Mbarara'!L94</f>
        <v>10</v>
      </c>
      <c r="M94" s="49">
        <f>'Avg Week Mbrarara-Kabale'!M94+'Avg Week Kabale-Mbarara'!M94</f>
        <v>3</v>
      </c>
      <c r="N94" s="49">
        <f>'Avg Week Mbrarara-Kabale'!N94+'Avg Week Kabale-Mbarara'!N94</f>
        <v>0</v>
      </c>
      <c r="O94" s="15">
        <f t="shared" si="35"/>
        <v>19.5</v>
      </c>
      <c r="P94" s="15">
        <f t="shared" si="36"/>
        <v>22.5</v>
      </c>
      <c r="R94" s="8"/>
      <c r="T94"/>
    </row>
    <row r="95" spans="2:20" ht="23.1" customHeight="1" x14ac:dyDescent="0.25">
      <c r="B95" s="23" t="s">
        <v>135</v>
      </c>
      <c r="C95" s="49">
        <f>'Avg Week Mbrarara-Kabale'!C95+'Avg Week Kabale-Mbarara'!C95</f>
        <v>1</v>
      </c>
      <c r="D95" s="49">
        <f>'Avg Week Mbrarara-Kabale'!D95+'Avg Week Kabale-Mbarara'!D95</f>
        <v>0</v>
      </c>
      <c r="E95" s="49">
        <f>'Avg Week Mbrarara-Kabale'!E95+'Avg Week Kabale-Mbarara'!E95</f>
        <v>0</v>
      </c>
      <c r="F95" s="49">
        <f>'Avg Week Mbrarara-Kabale'!F95+'Avg Week Kabale-Mbarara'!F95</f>
        <v>0</v>
      </c>
      <c r="G95" s="49">
        <f>'Avg Week Mbrarara-Kabale'!G95+'Avg Week Kabale-Mbarara'!G95</f>
        <v>0</v>
      </c>
      <c r="H95" s="49">
        <f>'Avg Week Mbrarara-Kabale'!H95+'Avg Week Kabale-Mbarara'!H95</f>
        <v>0.5</v>
      </c>
      <c r="I95" s="49">
        <f>'Avg Week Mbrarara-Kabale'!I95+'Avg Week Kabale-Mbarara'!I95</f>
        <v>0</v>
      </c>
      <c r="J95" s="49">
        <f>'Avg Week Mbrarara-Kabale'!J95+'Avg Week Kabale-Mbarara'!J95</f>
        <v>1.5</v>
      </c>
      <c r="K95" s="49">
        <f>'Avg Week Mbrarara-Kabale'!K95+'Avg Week Kabale-Mbarara'!K95</f>
        <v>1.5</v>
      </c>
      <c r="L95" s="49">
        <f>'Avg Week Mbrarara-Kabale'!L95+'Avg Week Kabale-Mbarara'!L95</f>
        <v>3.5</v>
      </c>
      <c r="M95" s="49">
        <f>'Avg Week Mbrarara-Kabale'!M95+'Avg Week Kabale-Mbarara'!M95</f>
        <v>1</v>
      </c>
      <c r="N95" s="49">
        <f>'Avg Week Mbrarara-Kabale'!N95+'Avg Week Kabale-Mbarara'!N95</f>
        <v>0</v>
      </c>
      <c r="O95" s="15">
        <f t="shared" si="35"/>
        <v>8</v>
      </c>
      <c r="P95" s="15">
        <f t="shared" si="36"/>
        <v>9</v>
      </c>
      <c r="R95" s="8"/>
      <c r="T95"/>
    </row>
    <row r="96" spans="2:20" ht="23.1" customHeight="1" x14ac:dyDescent="0.25">
      <c r="B96" s="25" t="s">
        <v>136</v>
      </c>
      <c r="C96" s="49">
        <f>'Avg Week Mbrarara-Kabale'!C96+'Avg Week Kabale-Mbarara'!C96</f>
        <v>1</v>
      </c>
      <c r="D96" s="49">
        <f>'Avg Week Mbrarara-Kabale'!D96+'Avg Week Kabale-Mbarara'!D96</f>
        <v>0</v>
      </c>
      <c r="E96" s="49">
        <f>'Avg Week Mbrarara-Kabale'!E96+'Avg Week Kabale-Mbarara'!E96</f>
        <v>0.5</v>
      </c>
      <c r="F96" s="49">
        <f>'Avg Week Mbrarara-Kabale'!F96+'Avg Week Kabale-Mbarara'!F96</f>
        <v>1</v>
      </c>
      <c r="G96" s="49">
        <f>'Avg Week Mbrarara-Kabale'!G96+'Avg Week Kabale-Mbarara'!G96</f>
        <v>0</v>
      </c>
      <c r="H96" s="49">
        <f>'Avg Week Mbrarara-Kabale'!H96+'Avg Week Kabale-Mbarara'!H96</f>
        <v>0</v>
      </c>
      <c r="I96" s="49">
        <f>'Avg Week Mbrarara-Kabale'!I96+'Avg Week Kabale-Mbarara'!I96</f>
        <v>2</v>
      </c>
      <c r="J96" s="49">
        <f>'Avg Week Mbrarara-Kabale'!J96+'Avg Week Kabale-Mbarara'!J96</f>
        <v>2</v>
      </c>
      <c r="K96" s="49">
        <f>'Avg Week Mbrarara-Kabale'!K96+'Avg Week Kabale-Mbarara'!K96</f>
        <v>6.5</v>
      </c>
      <c r="L96" s="49">
        <f>'Avg Week Mbrarara-Kabale'!L96+'Avg Week Kabale-Mbarara'!L96</f>
        <v>7</v>
      </c>
      <c r="M96" s="49">
        <f>'Avg Week Mbrarara-Kabale'!M96+'Avg Week Kabale-Mbarara'!M96</f>
        <v>0</v>
      </c>
      <c r="N96" s="49">
        <f>'Avg Week Mbrarara-Kabale'!N96+'Avg Week Kabale-Mbarara'!N96</f>
        <v>0</v>
      </c>
      <c r="O96" s="15">
        <f t="shared" si="35"/>
        <v>20</v>
      </c>
      <c r="P96" s="15">
        <f t="shared" si="36"/>
        <v>20</v>
      </c>
      <c r="R96" s="8"/>
      <c r="T96"/>
    </row>
    <row r="97" spans="2:20" ht="23.1" customHeight="1" x14ac:dyDescent="0.25">
      <c r="B97" s="23" t="s">
        <v>137</v>
      </c>
      <c r="C97" s="49">
        <f>'Avg Week Mbrarara-Kabale'!C97+'Avg Week Kabale-Mbarara'!C97</f>
        <v>0</v>
      </c>
      <c r="D97" s="49">
        <f>'Avg Week Mbrarara-Kabale'!D97+'Avg Week Kabale-Mbarara'!D97</f>
        <v>1</v>
      </c>
      <c r="E97" s="49">
        <f>'Avg Week Mbrarara-Kabale'!E97+'Avg Week Kabale-Mbarara'!E97</f>
        <v>0.5</v>
      </c>
      <c r="F97" s="49">
        <f>'Avg Week Mbrarara-Kabale'!F97+'Avg Week Kabale-Mbarara'!F97</f>
        <v>2</v>
      </c>
      <c r="G97" s="49">
        <f>'Avg Week Mbrarara-Kabale'!G97+'Avg Week Kabale-Mbarara'!G97</f>
        <v>0</v>
      </c>
      <c r="H97" s="49">
        <f>'Avg Week Mbrarara-Kabale'!H97+'Avg Week Kabale-Mbarara'!H97</f>
        <v>0</v>
      </c>
      <c r="I97" s="49">
        <f>'Avg Week Mbrarara-Kabale'!I97+'Avg Week Kabale-Mbarara'!I97</f>
        <v>0.5</v>
      </c>
      <c r="J97" s="49">
        <f>'Avg Week Mbrarara-Kabale'!J97+'Avg Week Kabale-Mbarara'!J97</f>
        <v>2</v>
      </c>
      <c r="K97" s="49">
        <f>'Avg Week Mbrarara-Kabale'!K97+'Avg Week Kabale-Mbarara'!K97</f>
        <v>5.5</v>
      </c>
      <c r="L97" s="49">
        <f>'Avg Week Mbrarara-Kabale'!L97+'Avg Week Kabale-Mbarara'!L97</f>
        <v>7.5</v>
      </c>
      <c r="M97" s="49">
        <f>'Avg Week Mbrarara-Kabale'!M97+'Avg Week Kabale-Mbarara'!M97</f>
        <v>1.5</v>
      </c>
      <c r="N97" s="49">
        <f>'Avg Week Mbrarara-Kabale'!N97+'Avg Week Kabale-Mbarara'!N97</f>
        <v>0</v>
      </c>
      <c r="O97" s="15">
        <f t="shared" si="35"/>
        <v>19</v>
      </c>
      <c r="P97" s="15">
        <f t="shared" si="36"/>
        <v>20.5</v>
      </c>
      <c r="R97" s="8"/>
      <c r="T97"/>
    </row>
    <row r="98" spans="2:20" ht="23.1" customHeight="1" x14ac:dyDescent="0.25">
      <c r="B98" s="24" t="s">
        <v>138</v>
      </c>
      <c r="C98" s="49">
        <f>'Avg Week Mbrarara-Kabale'!C98+'Avg Week Kabale-Mbarara'!C98</f>
        <v>0.5</v>
      </c>
      <c r="D98" s="49">
        <f>'Avg Week Mbrarara-Kabale'!D98+'Avg Week Kabale-Mbarara'!D98</f>
        <v>0</v>
      </c>
      <c r="E98" s="49">
        <f>'Avg Week Mbrarara-Kabale'!E98+'Avg Week Kabale-Mbarara'!E98</f>
        <v>1</v>
      </c>
      <c r="F98" s="49">
        <f>'Avg Week Mbrarara-Kabale'!F98+'Avg Week Kabale-Mbarara'!F98</f>
        <v>5</v>
      </c>
      <c r="G98" s="49">
        <f>'Avg Week Mbrarara-Kabale'!G98+'Avg Week Kabale-Mbarara'!G98</f>
        <v>0</v>
      </c>
      <c r="H98" s="49">
        <f>'Avg Week Mbrarara-Kabale'!H98+'Avg Week Kabale-Mbarara'!H98</f>
        <v>0</v>
      </c>
      <c r="I98" s="49">
        <f>'Avg Week Mbrarara-Kabale'!I98+'Avg Week Kabale-Mbarara'!I98</f>
        <v>0</v>
      </c>
      <c r="J98" s="49">
        <f>'Avg Week Mbrarara-Kabale'!J98+'Avg Week Kabale-Mbarara'!J98</f>
        <v>0</v>
      </c>
      <c r="K98" s="49">
        <f>'Avg Week Mbrarara-Kabale'!K98+'Avg Week Kabale-Mbarara'!K98</f>
        <v>3</v>
      </c>
      <c r="L98" s="49">
        <f>'Avg Week Mbrarara-Kabale'!L98+'Avg Week Kabale-Mbarara'!L98</f>
        <v>5.5</v>
      </c>
      <c r="M98" s="49">
        <f>'Avg Week Mbrarara-Kabale'!M98+'Avg Week Kabale-Mbarara'!M98</f>
        <v>0</v>
      </c>
      <c r="N98" s="49">
        <f>'Avg Week Mbrarara-Kabale'!N98+'Avg Week Kabale-Mbarara'!N98</f>
        <v>0</v>
      </c>
      <c r="O98" s="15">
        <f t="shared" si="35"/>
        <v>15</v>
      </c>
      <c r="P98" s="15">
        <f t="shared" si="36"/>
        <v>15</v>
      </c>
      <c r="R98" s="8"/>
      <c r="T98"/>
    </row>
    <row r="99" spans="2:20" ht="23.1" customHeight="1" x14ac:dyDescent="0.25">
      <c r="B99" s="23" t="s">
        <v>139</v>
      </c>
      <c r="C99" s="49">
        <f>'Avg Week Mbrarara-Kabale'!C99+'Avg Week Kabale-Mbarara'!C99</f>
        <v>0</v>
      </c>
      <c r="D99" s="49">
        <f>'Avg Week Mbrarara-Kabale'!D99+'Avg Week Kabale-Mbarara'!D99</f>
        <v>1</v>
      </c>
      <c r="E99" s="49">
        <f>'Avg Week Mbrarara-Kabale'!E99+'Avg Week Kabale-Mbarara'!E99</f>
        <v>0.5</v>
      </c>
      <c r="F99" s="49">
        <f>'Avg Week Mbrarara-Kabale'!F99+'Avg Week Kabale-Mbarara'!F99</f>
        <v>1</v>
      </c>
      <c r="G99" s="49">
        <f>'Avg Week Mbrarara-Kabale'!G99+'Avg Week Kabale-Mbarara'!G99</f>
        <v>0</v>
      </c>
      <c r="H99" s="49">
        <f>'Avg Week Mbrarara-Kabale'!H99+'Avg Week Kabale-Mbarara'!H99</f>
        <v>0.5</v>
      </c>
      <c r="I99" s="49">
        <f>'Avg Week Mbrarara-Kabale'!I99+'Avg Week Kabale-Mbarara'!I99</f>
        <v>0.5</v>
      </c>
      <c r="J99" s="49">
        <f>'Avg Week Mbrarara-Kabale'!J99+'Avg Week Kabale-Mbarara'!J99</f>
        <v>1.5</v>
      </c>
      <c r="K99" s="49">
        <f>'Avg Week Mbrarara-Kabale'!K99+'Avg Week Kabale-Mbarara'!K99</f>
        <v>0.5</v>
      </c>
      <c r="L99" s="49">
        <f>'Avg Week Mbrarara-Kabale'!L99+'Avg Week Kabale-Mbarara'!L99</f>
        <v>3.5</v>
      </c>
      <c r="M99" s="49">
        <f>'Avg Week Mbrarara-Kabale'!M99+'Avg Week Kabale-Mbarara'!M99</f>
        <v>0</v>
      </c>
      <c r="N99" s="49">
        <f>'Avg Week Mbrarara-Kabale'!N99+'Avg Week Kabale-Mbarara'!N99</f>
        <v>0</v>
      </c>
      <c r="O99" s="15">
        <f t="shared" si="35"/>
        <v>9</v>
      </c>
      <c r="P99" s="15">
        <f t="shared" si="36"/>
        <v>9</v>
      </c>
      <c r="R99" s="8"/>
      <c r="T99"/>
    </row>
    <row r="100" spans="2:20" ht="23.1" customHeight="1" x14ac:dyDescent="0.25">
      <c r="B100" s="25" t="s">
        <v>140</v>
      </c>
      <c r="C100" s="49">
        <f>'Avg Week Mbrarara-Kabale'!C100+'Avg Week Kabale-Mbarara'!C100</f>
        <v>1</v>
      </c>
      <c r="D100" s="49">
        <f>'Avg Week Mbrarara-Kabale'!D100+'Avg Week Kabale-Mbarara'!D100</f>
        <v>0</v>
      </c>
      <c r="E100" s="49">
        <f>'Avg Week Mbrarara-Kabale'!E100+'Avg Week Kabale-Mbarara'!E100</f>
        <v>2</v>
      </c>
      <c r="F100" s="49">
        <f>'Avg Week Mbrarara-Kabale'!F100+'Avg Week Kabale-Mbarara'!F100</f>
        <v>3</v>
      </c>
      <c r="G100" s="49">
        <f>'Avg Week Mbrarara-Kabale'!G100+'Avg Week Kabale-Mbarara'!G100</f>
        <v>0</v>
      </c>
      <c r="H100" s="49">
        <f>'Avg Week Mbrarara-Kabale'!H100+'Avg Week Kabale-Mbarara'!H100</f>
        <v>0</v>
      </c>
      <c r="I100" s="49">
        <f>'Avg Week Mbrarara-Kabale'!I100+'Avg Week Kabale-Mbarara'!I100</f>
        <v>0</v>
      </c>
      <c r="J100" s="49">
        <f>'Avg Week Mbrarara-Kabale'!J100+'Avg Week Kabale-Mbarara'!J100</f>
        <v>0</v>
      </c>
      <c r="K100" s="49">
        <f>'Avg Week Mbrarara-Kabale'!K100+'Avg Week Kabale-Mbarara'!K100</f>
        <v>2.5</v>
      </c>
      <c r="L100" s="49">
        <f>'Avg Week Mbrarara-Kabale'!L100+'Avg Week Kabale-Mbarara'!L100</f>
        <v>7</v>
      </c>
      <c r="M100" s="49">
        <f>'Avg Week Mbrarara-Kabale'!M100+'Avg Week Kabale-Mbarara'!M100</f>
        <v>1</v>
      </c>
      <c r="N100" s="49">
        <f>'Avg Week Mbrarara-Kabale'!N100+'Avg Week Kabale-Mbarara'!N100</f>
        <v>0</v>
      </c>
      <c r="O100" s="15">
        <f t="shared" si="35"/>
        <v>15.5</v>
      </c>
      <c r="P100" s="15">
        <f t="shared" si="36"/>
        <v>16.5</v>
      </c>
      <c r="R100" s="8"/>
      <c r="T100"/>
    </row>
    <row r="101" spans="2:20" ht="23.1" customHeight="1" x14ac:dyDescent="0.25">
      <c r="B101" s="23" t="s">
        <v>141</v>
      </c>
      <c r="C101" s="49">
        <f>'Avg Week Mbrarara-Kabale'!C101+'Avg Week Kabale-Mbarara'!C101</f>
        <v>2</v>
      </c>
      <c r="D101" s="49">
        <f>'Avg Week Mbrarara-Kabale'!D101+'Avg Week Kabale-Mbarara'!D101</f>
        <v>2.5</v>
      </c>
      <c r="E101" s="49">
        <f>'Avg Week Mbrarara-Kabale'!E101+'Avg Week Kabale-Mbarara'!E101</f>
        <v>3</v>
      </c>
      <c r="F101" s="49">
        <f>'Avg Week Mbrarara-Kabale'!F101+'Avg Week Kabale-Mbarara'!F101</f>
        <v>3.5</v>
      </c>
      <c r="G101" s="49">
        <f>'Avg Week Mbrarara-Kabale'!G101+'Avg Week Kabale-Mbarara'!G101</f>
        <v>0</v>
      </c>
      <c r="H101" s="49">
        <f>'Avg Week Mbrarara-Kabale'!H101+'Avg Week Kabale-Mbarara'!H101</f>
        <v>0.5</v>
      </c>
      <c r="I101" s="49">
        <f>'Avg Week Mbrarara-Kabale'!I101+'Avg Week Kabale-Mbarara'!I101</f>
        <v>0</v>
      </c>
      <c r="J101" s="49">
        <f>'Avg Week Mbrarara-Kabale'!J101+'Avg Week Kabale-Mbarara'!J101</f>
        <v>0.5</v>
      </c>
      <c r="K101" s="49">
        <f>'Avg Week Mbrarara-Kabale'!K101+'Avg Week Kabale-Mbarara'!K101</f>
        <v>3</v>
      </c>
      <c r="L101" s="49">
        <f>'Avg Week Mbrarara-Kabale'!L101+'Avg Week Kabale-Mbarara'!L101</f>
        <v>3</v>
      </c>
      <c r="M101" s="49">
        <f>'Avg Week Mbrarara-Kabale'!M101+'Avg Week Kabale-Mbarara'!M101</f>
        <v>3</v>
      </c>
      <c r="N101" s="49">
        <f>'Avg Week Mbrarara-Kabale'!N101+'Avg Week Kabale-Mbarara'!N101</f>
        <v>0</v>
      </c>
      <c r="O101" s="15">
        <f t="shared" si="35"/>
        <v>18</v>
      </c>
      <c r="P101" s="15">
        <f t="shared" si="36"/>
        <v>21</v>
      </c>
      <c r="R101" s="8"/>
      <c r="T101"/>
    </row>
    <row r="102" spans="2:20" ht="23.1" customHeight="1" x14ac:dyDescent="0.25">
      <c r="B102" s="24" t="s">
        <v>142</v>
      </c>
      <c r="C102" s="49">
        <f>'Avg Week Mbrarara-Kabale'!C102+'Avg Week Kabale-Mbarara'!C102</f>
        <v>4</v>
      </c>
      <c r="D102" s="49">
        <f>'Avg Week Mbrarara-Kabale'!D102+'Avg Week Kabale-Mbarara'!D102</f>
        <v>1</v>
      </c>
      <c r="E102" s="49">
        <f>'Avg Week Mbrarara-Kabale'!E102+'Avg Week Kabale-Mbarara'!E102</f>
        <v>0.5</v>
      </c>
      <c r="F102" s="49">
        <f>'Avg Week Mbrarara-Kabale'!F102+'Avg Week Kabale-Mbarara'!F102</f>
        <v>6</v>
      </c>
      <c r="G102" s="49">
        <f>'Avg Week Mbrarara-Kabale'!G102+'Avg Week Kabale-Mbarara'!G102</f>
        <v>0</v>
      </c>
      <c r="H102" s="49">
        <f>'Avg Week Mbrarara-Kabale'!H102+'Avg Week Kabale-Mbarara'!H102</f>
        <v>1</v>
      </c>
      <c r="I102" s="49">
        <f>'Avg Week Mbrarara-Kabale'!I102+'Avg Week Kabale-Mbarara'!I102</f>
        <v>0</v>
      </c>
      <c r="J102" s="49">
        <f>'Avg Week Mbrarara-Kabale'!J102+'Avg Week Kabale-Mbarara'!J102</f>
        <v>1.5</v>
      </c>
      <c r="K102" s="49">
        <f>'Avg Week Mbrarara-Kabale'!K102+'Avg Week Kabale-Mbarara'!K102</f>
        <v>2.5</v>
      </c>
      <c r="L102" s="49">
        <f>'Avg Week Mbrarara-Kabale'!L102+'Avg Week Kabale-Mbarara'!L102</f>
        <v>5</v>
      </c>
      <c r="M102" s="49">
        <f>'Avg Week Mbrarara-Kabale'!M102+'Avg Week Kabale-Mbarara'!M102</f>
        <v>4.5</v>
      </c>
      <c r="N102" s="49">
        <f>'Avg Week Mbrarara-Kabale'!N102+'Avg Week Kabale-Mbarara'!N102</f>
        <v>0</v>
      </c>
      <c r="O102" s="15">
        <f t="shared" si="35"/>
        <v>21.5</v>
      </c>
      <c r="P102" s="15">
        <f t="shared" si="36"/>
        <v>26</v>
      </c>
      <c r="R102" s="8"/>
      <c r="T102"/>
    </row>
    <row r="103" spans="2:20" ht="23.1" customHeight="1" x14ac:dyDescent="0.25">
      <c r="B103" s="23" t="s">
        <v>143</v>
      </c>
      <c r="C103" s="49">
        <f>'Avg Week Mbrarara-Kabale'!C103+'Avg Week Kabale-Mbarara'!C103</f>
        <v>1</v>
      </c>
      <c r="D103" s="49">
        <f>'Avg Week Mbrarara-Kabale'!D103+'Avg Week Kabale-Mbarara'!D103</f>
        <v>2</v>
      </c>
      <c r="E103" s="49">
        <f>'Avg Week Mbrarara-Kabale'!E103+'Avg Week Kabale-Mbarara'!E103</f>
        <v>2</v>
      </c>
      <c r="F103" s="49">
        <f>'Avg Week Mbrarara-Kabale'!F103+'Avg Week Kabale-Mbarara'!F103</f>
        <v>6</v>
      </c>
      <c r="G103" s="49">
        <f>'Avg Week Mbrarara-Kabale'!G103+'Avg Week Kabale-Mbarara'!G103</f>
        <v>0.5</v>
      </c>
      <c r="H103" s="49">
        <f>'Avg Week Mbrarara-Kabale'!H103+'Avg Week Kabale-Mbarara'!H103</f>
        <v>0</v>
      </c>
      <c r="I103" s="49">
        <f>'Avg Week Mbrarara-Kabale'!I103+'Avg Week Kabale-Mbarara'!I103</f>
        <v>1</v>
      </c>
      <c r="J103" s="49">
        <f>'Avg Week Mbrarara-Kabale'!J103+'Avg Week Kabale-Mbarara'!J103</f>
        <v>1.5</v>
      </c>
      <c r="K103" s="49">
        <f>'Avg Week Mbrarara-Kabale'!K103+'Avg Week Kabale-Mbarara'!K103</f>
        <v>0</v>
      </c>
      <c r="L103" s="49">
        <f>'Avg Week Mbrarara-Kabale'!L103+'Avg Week Kabale-Mbarara'!L103</f>
        <v>2.5</v>
      </c>
      <c r="M103" s="49">
        <f>'Avg Week Mbrarara-Kabale'!M103+'Avg Week Kabale-Mbarara'!M103</f>
        <v>1</v>
      </c>
      <c r="N103" s="49">
        <f>'Avg Week Mbrarara-Kabale'!N103+'Avg Week Kabale-Mbarara'!N103</f>
        <v>0</v>
      </c>
      <c r="O103" s="15">
        <f t="shared" si="35"/>
        <v>16.5</v>
      </c>
      <c r="P103" s="15">
        <f t="shared" si="36"/>
        <v>17.5</v>
      </c>
      <c r="R103" s="8"/>
      <c r="T103"/>
    </row>
    <row r="104" spans="2:20" ht="23.1" customHeight="1" x14ac:dyDescent="0.25">
      <c r="B104" s="25" t="s">
        <v>144</v>
      </c>
      <c r="C104" s="49">
        <f>'Avg Week Mbrarara-Kabale'!C104+'Avg Week Kabale-Mbarara'!C104</f>
        <v>2.5</v>
      </c>
      <c r="D104" s="49">
        <f>'Avg Week Mbrarara-Kabale'!D104+'Avg Week Kabale-Mbarara'!D104</f>
        <v>1</v>
      </c>
      <c r="E104" s="49">
        <f>'Avg Week Mbrarara-Kabale'!E104+'Avg Week Kabale-Mbarara'!E104</f>
        <v>0.5</v>
      </c>
      <c r="F104" s="49">
        <f>'Avg Week Mbrarara-Kabale'!F104+'Avg Week Kabale-Mbarara'!F104</f>
        <v>0</v>
      </c>
      <c r="G104" s="49">
        <f>'Avg Week Mbrarara-Kabale'!G104+'Avg Week Kabale-Mbarara'!G104</f>
        <v>1</v>
      </c>
      <c r="H104" s="49">
        <f>'Avg Week Mbrarara-Kabale'!H104+'Avg Week Kabale-Mbarara'!H104</f>
        <v>0</v>
      </c>
      <c r="I104" s="49">
        <f>'Avg Week Mbrarara-Kabale'!I104+'Avg Week Kabale-Mbarara'!I104</f>
        <v>0.5</v>
      </c>
      <c r="J104" s="49">
        <f>'Avg Week Mbrarara-Kabale'!J104+'Avg Week Kabale-Mbarara'!J104</f>
        <v>2</v>
      </c>
      <c r="K104" s="49">
        <f>'Avg Week Mbrarara-Kabale'!K104+'Avg Week Kabale-Mbarara'!K104</f>
        <v>2.5</v>
      </c>
      <c r="L104" s="49">
        <f>'Avg Week Mbrarara-Kabale'!L104+'Avg Week Kabale-Mbarara'!L104</f>
        <v>4</v>
      </c>
      <c r="M104" s="49">
        <f>'Avg Week Mbrarara-Kabale'!M104+'Avg Week Kabale-Mbarara'!M104</f>
        <v>6.5</v>
      </c>
      <c r="N104" s="49">
        <f>'Avg Week Mbrarara-Kabale'!N104+'Avg Week Kabale-Mbarara'!N104</f>
        <v>0</v>
      </c>
      <c r="O104" s="15">
        <f t="shared" si="35"/>
        <v>14</v>
      </c>
      <c r="P104" s="15">
        <f t="shared" si="36"/>
        <v>20.5</v>
      </c>
      <c r="R104" s="8"/>
      <c r="T104"/>
    </row>
    <row r="105" spans="2:20" ht="23.1" customHeight="1" x14ac:dyDescent="0.25">
      <c r="B105" s="23" t="s">
        <v>145</v>
      </c>
      <c r="C105" s="49">
        <f>'Avg Week Mbrarara-Kabale'!C105+'Avg Week Kabale-Mbarara'!C105</f>
        <v>4</v>
      </c>
      <c r="D105" s="49">
        <f>'Avg Week Mbrarara-Kabale'!D105+'Avg Week Kabale-Mbarara'!D105</f>
        <v>4</v>
      </c>
      <c r="E105" s="49">
        <f>'Avg Week Mbrarara-Kabale'!E105+'Avg Week Kabale-Mbarara'!E105</f>
        <v>5</v>
      </c>
      <c r="F105" s="49">
        <f>'Avg Week Mbrarara-Kabale'!F105+'Avg Week Kabale-Mbarara'!F105</f>
        <v>11.5</v>
      </c>
      <c r="G105" s="49">
        <f>'Avg Week Mbrarara-Kabale'!G105+'Avg Week Kabale-Mbarara'!G105</f>
        <v>0.5</v>
      </c>
      <c r="H105" s="49">
        <f>'Avg Week Mbrarara-Kabale'!H105+'Avg Week Kabale-Mbarara'!H105</f>
        <v>0.5</v>
      </c>
      <c r="I105" s="49">
        <f>'Avg Week Mbrarara-Kabale'!I105+'Avg Week Kabale-Mbarara'!I105</f>
        <v>0.5</v>
      </c>
      <c r="J105" s="49">
        <f>'Avg Week Mbrarara-Kabale'!J105+'Avg Week Kabale-Mbarara'!J105</f>
        <v>2.5</v>
      </c>
      <c r="K105" s="49">
        <f>'Avg Week Mbrarara-Kabale'!K105+'Avg Week Kabale-Mbarara'!K105</f>
        <v>0.5</v>
      </c>
      <c r="L105" s="49">
        <f>'Avg Week Mbrarara-Kabale'!L105+'Avg Week Kabale-Mbarara'!L105</f>
        <v>7.5</v>
      </c>
      <c r="M105" s="49">
        <f>'Avg Week Mbrarara-Kabale'!M105+'Avg Week Kabale-Mbarara'!M105</f>
        <v>8</v>
      </c>
      <c r="N105" s="49">
        <f>'Avg Week Mbrarara-Kabale'!N105+'Avg Week Kabale-Mbarara'!N105</f>
        <v>0</v>
      </c>
      <c r="O105" s="15">
        <f t="shared" si="35"/>
        <v>36.5</v>
      </c>
      <c r="P105" s="15">
        <f t="shared" si="36"/>
        <v>44.5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896.357142857143</v>
      </c>
      <c r="D106" s="16">
        <f t="shared" ref="D106:P106" si="37">SUM(D10:D105)</f>
        <v>297.42857142857139</v>
      </c>
      <c r="E106" s="16">
        <f t="shared" si="37"/>
        <v>225.14285714285714</v>
      </c>
      <c r="F106" s="16">
        <f t="shared" si="37"/>
        <v>704.57142857142867</v>
      </c>
      <c r="G106" s="16">
        <f t="shared" si="37"/>
        <v>27.142857142857142</v>
      </c>
      <c r="H106" s="16">
        <f t="shared" si="37"/>
        <v>71</v>
      </c>
      <c r="I106" s="16">
        <f t="shared" si="37"/>
        <v>191.64285714285714</v>
      </c>
      <c r="J106" s="16">
        <f t="shared" si="37"/>
        <v>183.85714285714283</v>
      </c>
      <c r="K106" s="16">
        <f t="shared" si="37"/>
        <v>255.21428571428572</v>
      </c>
      <c r="L106" s="16">
        <f t="shared" si="37"/>
        <v>420.5</v>
      </c>
      <c r="M106" s="16">
        <f t="shared" si="37"/>
        <v>1641.8095238095236</v>
      </c>
      <c r="N106" s="16">
        <f t="shared" si="37"/>
        <v>2.2857142857142851</v>
      </c>
      <c r="O106" s="16">
        <f t="shared" si="37"/>
        <v>3275.1428571428573</v>
      </c>
      <c r="P106" s="16">
        <f t="shared" si="37"/>
        <v>4916.9523809523798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0.18229933369489432</v>
      </c>
      <c r="D107" s="43">
        <f t="shared" si="38"/>
        <v>6.049043154877199E-2</v>
      </c>
      <c r="E107" s="43">
        <f t="shared" si="38"/>
        <v>4.5789106686294268E-2</v>
      </c>
      <c r="F107" s="43">
        <f t="shared" si="38"/>
        <v>0.14329433640660111</v>
      </c>
      <c r="G107" s="43">
        <f t="shared" si="38"/>
        <v>5.5202603238552733E-3</v>
      </c>
      <c r="H107" s="43">
        <f t="shared" si="38"/>
        <v>1.4439838847137216E-2</v>
      </c>
      <c r="I107" s="43">
        <f t="shared" si="38"/>
        <v>3.8975943286588682E-2</v>
      </c>
      <c r="J107" s="43">
        <f t="shared" si="38"/>
        <v>3.7392500193693348E-2</v>
      </c>
      <c r="K107" s="43">
        <f t="shared" si="38"/>
        <v>5.1904974045091826E-2</v>
      </c>
      <c r="L107" s="43">
        <f t="shared" si="38"/>
        <v>8.5520454017199987E-2</v>
      </c>
      <c r="M107" s="43">
        <f t="shared" si="38"/>
        <v>0.33390795692260017</v>
      </c>
      <c r="N107" s="43">
        <f t="shared" si="38"/>
        <v>4.6486402727202291E-4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0.27368489924103639</v>
      </c>
      <c r="D108" s="44">
        <f t="shared" ref="D108:N108" si="39">D106/$O$106</f>
        <v>9.0813923056791396E-2</v>
      </c>
      <c r="E108" s="44">
        <f t="shared" si="39"/>
        <v>6.874291197766727E-2</v>
      </c>
      <c r="F108" s="44">
        <f t="shared" si="39"/>
        <v>0.21512693012300446</v>
      </c>
      <c r="G108" s="44">
        <f t="shared" si="39"/>
        <v>8.2875338044142016E-3</v>
      </c>
      <c r="H108" s="44">
        <f t="shared" si="39"/>
        <v>2.1678443688388727E-2</v>
      </c>
      <c r="I108" s="44">
        <f t="shared" si="39"/>
        <v>5.8514350519061321E-2</v>
      </c>
      <c r="J108" s="44">
        <f t="shared" si="39"/>
        <v>5.6137136875163557E-2</v>
      </c>
      <c r="K108" s="44">
        <f t="shared" si="39"/>
        <v>7.7924627060978802E-2</v>
      </c>
      <c r="L108" s="44">
        <f t="shared" si="39"/>
        <v>0.12839134606996422</v>
      </c>
      <c r="M108" s="44"/>
      <c r="N108" s="44">
        <f t="shared" si="39"/>
        <v>6.9789758352961683E-4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27.10 Mbarara-Kabale</vt:lpstr>
      <vt:lpstr>27.10 Kabale-Mbarara</vt:lpstr>
      <vt:lpstr>28.10 Mbarara-Kabale</vt:lpstr>
      <vt:lpstr>28.10 Kabale-Mbarara</vt:lpstr>
      <vt:lpstr>29.10 Mbarara-Kabale</vt:lpstr>
      <vt:lpstr>29.10 Kabale-Mbarara</vt:lpstr>
      <vt:lpstr>30.10 Mbarara-Kabale</vt:lpstr>
      <vt:lpstr>30.10 Kabale -Mbarara</vt:lpstr>
      <vt:lpstr>31.10 Mbarara-Kabale-24hr</vt:lpstr>
      <vt:lpstr>31.10 Kabale-Mbarara-24hr</vt:lpstr>
      <vt:lpstr>1.11 Mbarara-Kabale</vt:lpstr>
      <vt:lpstr>1.11 Kabale-Mbarara</vt:lpstr>
      <vt:lpstr>2.11 Mbarara-Kabale-24hr</vt:lpstr>
      <vt:lpstr>2.11 Kabale-Mbarara-24hr</vt:lpstr>
      <vt:lpstr>Avg Week Mbrarara-Kabale</vt:lpstr>
      <vt:lpstr>Avg Week Kabale-Mbarara</vt:lpstr>
      <vt:lpstr>Avg Week Mbalala-kabale-2Dir</vt:lpstr>
      <vt:lpstr>'1.11 Kabale-Mbarara'!Print_Area</vt:lpstr>
      <vt:lpstr>'1.11 Mbarara-Kabale'!Print_Area</vt:lpstr>
      <vt:lpstr>'2.11 Kabale-Mbarara-24hr'!Print_Area</vt:lpstr>
      <vt:lpstr>'2.11 Mbarara-Kabale-24hr'!Print_Area</vt:lpstr>
      <vt:lpstr>'27.10 Kabale-Mbarara'!Print_Area</vt:lpstr>
      <vt:lpstr>'27.10 Mbarara-Kabale'!Print_Area</vt:lpstr>
      <vt:lpstr>'28.10 Kabale-Mbarara'!Print_Area</vt:lpstr>
      <vt:lpstr>'28.10 Mbarara-Kabale'!Print_Area</vt:lpstr>
      <vt:lpstr>'29.10 Kabale-Mbarara'!Print_Area</vt:lpstr>
      <vt:lpstr>'29.10 Mbarara-Kabale'!Print_Area</vt:lpstr>
      <vt:lpstr>'30.10 Kabale -Mbarara'!Print_Area</vt:lpstr>
      <vt:lpstr>'30.10 Mbarara-Kabale'!Print_Area</vt:lpstr>
      <vt:lpstr>'31.10 Kabale-Mbarara-24hr'!Print_Area</vt:lpstr>
      <vt:lpstr>'31.10 Mbarara-Kabale-24hr'!Print_Area</vt:lpstr>
      <vt:lpstr>'Avg Week Kabale-Mbarara'!Print_Area</vt:lpstr>
      <vt:lpstr>'Avg Week Mbalala-kabale-2Dir'!Print_Area</vt:lpstr>
      <vt:lpstr>'Avg Week Mbrarara-Kabale'!Print_Area</vt:lpstr>
      <vt:lpstr>'1.11 Kabale-Mbarara'!Print_Titles</vt:lpstr>
      <vt:lpstr>'1.11 Mbarara-Kabale'!Print_Titles</vt:lpstr>
      <vt:lpstr>'2.11 Kabale-Mbarara-24hr'!Print_Titles</vt:lpstr>
      <vt:lpstr>'2.11 Mbarara-Kabale-24hr'!Print_Titles</vt:lpstr>
      <vt:lpstr>'27.10 Kabale-Mbarara'!Print_Titles</vt:lpstr>
      <vt:lpstr>'27.10 Mbarara-Kabale'!Print_Titles</vt:lpstr>
      <vt:lpstr>'28.10 Kabale-Mbarara'!Print_Titles</vt:lpstr>
      <vt:lpstr>'28.10 Mbarara-Kabale'!Print_Titles</vt:lpstr>
      <vt:lpstr>'29.10 Kabale-Mbarara'!Print_Titles</vt:lpstr>
      <vt:lpstr>'29.10 Mbarara-Kabale'!Print_Titles</vt:lpstr>
      <vt:lpstr>'30.10 Kabale -Mbarara'!Print_Titles</vt:lpstr>
      <vt:lpstr>'30.10 Mbarara-Kabale'!Print_Titles</vt:lpstr>
      <vt:lpstr>'31.10 Kabale-Mbarara-24hr'!Print_Titles</vt:lpstr>
      <vt:lpstr>'31.10 Mbarara-Kabale-24hr'!Print_Titles</vt:lpstr>
      <vt:lpstr>'Avg Week Kabale-Mbarara'!Print_Titles</vt:lpstr>
      <vt:lpstr>'Avg Week Mbalala-kabale-2Dir'!Print_Titles</vt:lpstr>
      <vt:lpstr>'Avg Week Mbrarara-Kabale'!Print_Titles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2019-07-25T18:18:41Z</cp:lastPrinted>
  <dcterms:created xsi:type="dcterms:W3CDTF">2010-07-06T07:39:49Z</dcterms:created>
  <dcterms:modified xsi:type="dcterms:W3CDTF">2020-01-15T13:14:36Z</dcterms:modified>
</cp:coreProperties>
</file>