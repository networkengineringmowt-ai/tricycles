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EDMP\EDMP Analysis\C-4 Analysis Complete-Benard\STN102-MBARARA-IBANDA\MCC\"/>
    </mc:Choice>
  </mc:AlternateContent>
  <xr:revisionPtr revIDLastSave="0" documentId="13_ncr:1_{C23A4FBF-AA39-4F59-A737-9C563A0CA3CF}" xr6:coauthVersionLast="45" xr6:coauthVersionMax="45" xr10:uidLastSave="{00000000-0000-0000-0000-000000000000}"/>
  <bookViews>
    <workbookView xWindow="-120" yWindow="-120" windowWidth="20730" windowHeight="11160" tabRatio="918" firstSheet="13" activeTab="16" xr2:uid="{00000000-000D-0000-FFFF-FFFF00000000}"/>
  </bookViews>
  <sheets>
    <sheet name="25.10 Ibanada-Mbarara" sheetId="93" r:id="rId1"/>
    <sheet name="25.10 Mbarara-Ibanda" sheetId="94" r:id="rId2"/>
    <sheet name="26.10 Ibanda-Mbarara-24hr" sheetId="101" r:id="rId3"/>
    <sheet name="26.10 Mbarara-Ibanda-24hr" sheetId="109" r:id="rId4"/>
    <sheet name="27.10 Ibanda-Mbarara" sheetId="95" r:id="rId5"/>
    <sheet name="27.10 Mbarara-Ibanda" sheetId="96" r:id="rId6"/>
    <sheet name="28.10 Ibanda-Mbarara-24hr" sheetId="105" r:id="rId7"/>
    <sheet name="28.10 Mbarara-Ibanda-24hr" sheetId="110" r:id="rId8"/>
    <sheet name="29.10 Ibanda-Mbarara" sheetId="97" r:id="rId9"/>
    <sheet name="29.10 Mbarara-Ibanda" sheetId="98" r:id="rId10"/>
    <sheet name="30.10 Ibanda-Mbarara" sheetId="99" r:id="rId11"/>
    <sheet name="30.10 Mbarara-Ibanda" sheetId="100" r:id="rId12"/>
    <sheet name="31.10 Ibanda-Mbarara" sheetId="103" r:id="rId13"/>
    <sheet name="31.10 Mbarara-Ibanda" sheetId="104" r:id="rId14"/>
    <sheet name="Avg Week Ibanda-Mbarara" sheetId="107" r:id="rId15"/>
    <sheet name="Avg Week Mbarara-Ibanda" sheetId="108" r:id="rId16"/>
    <sheet name="Avg Week Ibanda-Mbarara-2Dir" sheetId="111" r:id="rId17"/>
  </sheets>
  <definedNames>
    <definedName name="_xlnm.Print_Area" localSheetId="0">'25.10 Ibanada-Mbarara'!$A$1:$AF$60</definedName>
    <definedName name="_xlnm.Print_Area" localSheetId="1">'25.10 Mbarara-Ibanda'!$A$1:$AF$60</definedName>
    <definedName name="_xlnm.Print_Area" localSheetId="2">'26.10 Ibanda-Mbarara-24hr'!$A$1:$AF$108</definedName>
    <definedName name="_xlnm.Print_Area" localSheetId="3">'26.10 Mbarara-Ibanda-24hr'!$A$1:$AF$108</definedName>
    <definedName name="_xlnm.Print_Area" localSheetId="4">'27.10 Ibanda-Mbarara'!$A$1:$AF$60</definedName>
    <definedName name="_xlnm.Print_Area" localSheetId="5">'27.10 Mbarara-Ibanda'!$A$1:$AF$60</definedName>
    <definedName name="_xlnm.Print_Area" localSheetId="6">'28.10 Ibanda-Mbarara-24hr'!$A$1:$AF$108</definedName>
    <definedName name="_xlnm.Print_Area" localSheetId="7">'28.10 Mbarara-Ibanda-24hr'!$A$1:$AF$108</definedName>
    <definedName name="_xlnm.Print_Area" localSheetId="8">'29.10 Ibanda-Mbarara'!$A$1:$AF$60</definedName>
    <definedName name="_xlnm.Print_Area" localSheetId="9">'29.10 Mbarara-Ibanda'!$A$1:$AF$60</definedName>
    <definedName name="_xlnm.Print_Area" localSheetId="10">'30.10 Ibanda-Mbarara'!$A$1:$AF$60</definedName>
    <definedName name="_xlnm.Print_Area" localSheetId="11">'30.10 Mbarara-Ibanda'!$A$1:$AF$60</definedName>
    <definedName name="_xlnm.Print_Area" localSheetId="12">'31.10 Ibanda-Mbarara'!$A$1:$AF$60</definedName>
    <definedName name="_xlnm.Print_Area" localSheetId="13">'31.10 Mbarara-Ibanda'!$A$1:$AF$60</definedName>
    <definedName name="_xlnm.Print_Area" localSheetId="14">'Avg Week Ibanda-Mbarara'!$A$1:$AF$108</definedName>
    <definedName name="_xlnm.Print_Area" localSheetId="16">'Avg Week Ibanda-Mbarara-2Dir'!$A$1:$AF$108</definedName>
    <definedName name="_xlnm.Print_Area" localSheetId="15">'Avg Week Mbarara-Ibanda'!$A$1:$AF$108</definedName>
    <definedName name="_xlnm.Print_Titles" localSheetId="0">'25.10 Ibanada-Mbarara'!$1:$8</definedName>
    <definedName name="_xlnm.Print_Titles" localSheetId="1">'25.10 Mbarara-Ibanda'!$1:$8</definedName>
    <definedName name="_xlnm.Print_Titles" localSheetId="2">'26.10 Ibanda-Mbarara-24hr'!$1:$8</definedName>
    <definedName name="_xlnm.Print_Titles" localSheetId="3">'26.10 Mbarara-Ibanda-24hr'!$1:$8</definedName>
    <definedName name="_xlnm.Print_Titles" localSheetId="4">'27.10 Ibanda-Mbarara'!$1:$8</definedName>
    <definedName name="_xlnm.Print_Titles" localSheetId="5">'27.10 Mbarara-Ibanda'!$1:$8</definedName>
    <definedName name="_xlnm.Print_Titles" localSheetId="6">'28.10 Ibanda-Mbarara-24hr'!$1:$8</definedName>
    <definedName name="_xlnm.Print_Titles" localSheetId="7">'28.10 Mbarara-Ibanda-24hr'!$1:$8</definedName>
    <definedName name="_xlnm.Print_Titles" localSheetId="8">'29.10 Ibanda-Mbarara'!$1:$8</definedName>
    <definedName name="_xlnm.Print_Titles" localSheetId="9">'29.10 Mbarara-Ibanda'!$1:$8</definedName>
    <definedName name="_xlnm.Print_Titles" localSheetId="10">'30.10 Ibanda-Mbarara'!$1:$8</definedName>
    <definedName name="_xlnm.Print_Titles" localSheetId="11">'30.10 Mbarara-Ibanda'!$1:$8</definedName>
    <definedName name="_xlnm.Print_Titles" localSheetId="12">'31.10 Ibanda-Mbarara'!$1:$8</definedName>
    <definedName name="_xlnm.Print_Titles" localSheetId="13">'31.10 Mbarara-Ibanda'!$1:$8</definedName>
    <definedName name="_xlnm.Print_Titles" localSheetId="14">'Avg Week Ibanda-Mbarara'!$1:$8</definedName>
    <definedName name="_xlnm.Print_Titles" localSheetId="16">'Avg Week Ibanda-Mbarara-2Dir'!$1:$8</definedName>
    <definedName name="_xlnm.Print_Titles" localSheetId="15">'Avg Week Mbarara-Ibanda'!$1:$8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59" i="111" l="1"/>
  <c r="K65" i="111"/>
  <c r="I71" i="111"/>
  <c r="G77" i="111"/>
  <c r="E83" i="111"/>
  <c r="N88" i="111"/>
  <c r="L94" i="111"/>
  <c r="AB31" i="111" s="1"/>
  <c r="J100" i="111"/>
  <c r="D58" i="108"/>
  <c r="E58" i="108"/>
  <c r="F58" i="108"/>
  <c r="G58" i="108"/>
  <c r="H58" i="108"/>
  <c r="I58" i="108"/>
  <c r="J58" i="108"/>
  <c r="Z22" i="108" s="1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V23" i="108" s="1"/>
  <c r="G62" i="108"/>
  <c r="H62" i="108"/>
  <c r="I62" i="108"/>
  <c r="J62" i="108"/>
  <c r="K62" i="108"/>
  <c r="L62" i="108"/>
  <c r="M62" i="108"/>
  <c r="N62" i="108"/>
  <c r="AD23" i="108" s="1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Z24" i="108" s="1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V25" i="108" s="1"/>
  <c r="G70" i="108"/>
  <c r="H70" i="108"/>
  <c r="I70" i="108"/>
  <c r="J70" i="108"/>
  <c r="K70" i="108"/>
  <c r="L70" i="108"/>
  <c r="M70" i="108"/>
  <c r="N70" i="108"/>
  <c r="AD25" i="108" s="1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Z26" i="108" s="1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V27" i="108" s="1"/>
  <c r="G78" i="108"/>
  <c r="H78" i="108"/>
  <c r="I78" i="108"/>
  <c r="J78" i="108"/>
  <c r="K78" i="108"/>
  <c r="L78" i="108"/>
  <c r="M78" i="108"/>
  <c r="N78" i="108"/>
  <c r="AD27" i="108" s="1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Z28" i="108" s="1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V29" i="108" s="1"/>
  <c r="G86" i="108"/>
  <c r="H86" i="108"/>
  <c r="I86" i="108"/>
  <c r="J86" i="108"/>
  <c r="K86" i="108"/>
  <c r="L86" i="108"/>
  <c r="M86" i="108"/>
  <c r="N86" i="108"/>
  <c r="AD29" i="108" s="1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Z30" i="108" s="1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V31" i="108" s="1"/>
  <c r="G94" i="108"/>
  <c r="H94" i="108"/>
  <c r="I94" i="108"/>
  <c r="J94" i="108"/>
  <c r="K94" i="108"/>
  <c r="L94" i="108"/>
  <c r="M94" i="108"/>
  <c r="N94" i="108"/>
  <c r="AD31" i="108" s="1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Z32" i="108" s="1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V33" i="108" s="1"/>
  <c r="G102" i="108"/>
  <c r="H102" i="108"/>
  <c r="I102" i="108"/>
  <c r="J102" i="108"/>
  <c r="K102" i="108"/>
  <c r="L102" i="108"/>
  <c r="AB33" i="108" s="1"/>
  <c r="M102" i="108"/>
  <c r="N102" i="108"/>
  <c r="AD33" i="108" s="1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P59" i="108" s="1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P75" i="108" s="1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E58" i="107"/>
  <c r="F58" i="107"/>
  <c r="G58" i="107"/>
  <c r="H58" i="107"/>
  <c r="H58" i="111" s="1"/>
  <c r="X22" i="111" s="1"/>
  <c r="I58" i="107"/>
  <c r="J58" i="107"/>
  <c r="K58" i="107"/>
  <c r="L58" i="107"/>
  <c r="M58" i="107"/>
  <c r="N58" i="107"/>
  <c r="D59" i="107"/>
  <c r="D59" i="111" s="1"/>
  <c r="E59" i="107"/>
  <c r="E59" i="111" s="1"/>
  <c r="F59" i="107"/>
  <c r="F59" i="111" s="1"/>
  <c r="G59" i="107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N59" i="107"/>
  <c r="N59" i="111" s="1"/>
  <c r="D60" i="107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F62" i="107"/>
  <c r="G62" i="107"/>
  <c r="H62" i="107"/>
  <c r="I62" i="107"/>
  <c r="J62" i="107"/>
  <c r="K62" i="107"/>
  <c r="L62" i="107"/>
  <c r="L62" i="111" s="1"/>
  <c r="AB23" i="111" s="1"/>
  <c r="M62" i="107"/>
  <c r="N62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L65" i="107"/>
  <c r="L65" i="111" s="1"/>
  <c r="M65" i="107"/>
  <c r="N65" i="107"/>
  <c r="N65" i="111" s="1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D67" i="111" s="1"/>
  <c r="E67" i="107"/>
  <c r="E67" i="111" s="1"/>
  <c r="F67" i="107"/>
  <c r="F67" i="111" s="1"/>
  <c r="G67" i="107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D70" i="111" s="1"/>
  <c r="T25" i="111" s="1"/>
  <c r="E70" i="107"/>
  <c r="F70" i="107"/>
  <c r="G70" i="107"/>
  <c r="H70" i="107"/>
  <c r="I70" i="107"/>
  <c r="J70" i="107"/>
  <c r="K70" i="107"/>
  <c r="L70" i="107"/>
  <c r="L70" i="111" s="1"/>
  <c r="AB25" i="111" s="1"/>
  <c r="M70" i="107"/>
  <c r="N70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J71" i="107"/>
  <c r="J71" i="111" s="1"/>
  <c r="K71" i="107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N73" i="107"/>
  <c r="N73" i="111" s="1"/>
  <c r="D74" i="107"/>
  <c r="E74" i="107"/>
  <c r="F74" i="107"/>
  <c r="G74" i="107"/>
  <c r="H74" i="107"/>
  <c r="H74" i="111" s="1"/>
  <c r="X26" i="111" s="1"/>
  <c r="I74" i="107"/>
  <c r="J74" i="107"/>
  <c r="K74" i="107"/>
  <c r="L74" i="107"/>
  <c r="M74" i="107"/>
  <c r="N74" i="107"/>
  <c r="D75" i="107"/>
  <c r="D75" i="111" s="1"/>
  <c r="E75" i="107"/>
  <c r="E75" i="111" s="1"/>
  <c r="F75" i="107"/>
  <c r="F75" i="111" s="1"/>
  <c r="G75" i="107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H77" i="107"/>
  <c r="H77" i="111" s="1"/>
  <c r="I77" i="107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D78" i="111" s="1"/>
  <c r="T27" i="111" s="1"/>
  <c r="E78" i="107"/>
  <c r="F78" i="107"/>
  <c r="G78" i="107"/>
  <c r="H78" i="107"/>
  <c r="I78" i="107"/>
  <c r="J78" i="107"/>
  <c r="K78" i="107"/>
  <c r="L78" i="107"/>
  <c r="M78" i="107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N81" i="107"/>
  <c r="N81" i="111" s="1"/>
  <c r="D82" i="107"/>
  <c r="E82" i="107"/>
  <c r="F82" i="107"/>
  <c r="G82" i="107"/>
  <c r="H82" i="107"/>
  <c r="H82" i="111" s="1"/>
  <c r="X28" i="111" s="1"/>
  <c r="I82" i="107"/>
  <c r="J82" i="107"/>
  <c r="K82" i="107"/>
  <c r="L82" i="107"/>
  <c r="M82" i="107"/>
  <c r="N82" i="107"/>
  <c r="D83" i="107"/>
  <c r="D83" i="111" s="1"/>
  <c r="E83" i="107"/>
  <c r="F83" i="107"/>
  <c r="F83" i="111" s="1"/>
  <c r="G83" i="107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D84" i="107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D86" i="111" s="1"/>
  <c r="T29" i="111" s="1"/>
  <c r="E86" i="107"/>
  <c r="F86" i="107"/>
  <c r="G86" i="107"/>
  <c r="H86" i="107"/>
  <c r="I86" i="107"/>
  <c r="J86" i="107"/>
  <c r="K86" i="107"/>
  <c r="L86" i="107"/>
  <c r="L86" i="111" s="1"/>
  <c r="AB29" i="111" s="1"/>
  <c r="M86" i="107"/>
  <c r="N86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F88" i="111" s="1"/>
  <c r="G88" i="107"/>
  <c r="G88" i="111" s="1"/>
  <c r="H88" i="107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D89" i="107"/>
  <c r="D89" i="111" s="1"/>
  <c r="E89" i="107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N89" i="107"/>
  <c r="N89" i="111" s="1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D91" i="111" s="1"/>
  <c r="E91" i="107"/>
  <c r="E91" i="111" s="1"/>
  <c r="F91" i="107"/>
  <c r="F91" i="111" s="1"/>
  <c r="G91" i="107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D94" i="111" s="1"/>
  <c r="T31" i="111" s="1"/>
  <c r="E94" i="107"/>
  <c r="F94" i="107"/>
  <c r="G94" i="107"/>
  <c r="H94" i="107"/>
  <c r="I94" i="107"/>
  <c r="J94" i="107"/>
  <c r="K94" i="107"/>
  <c r="L94" i="107"/>
  <c r="M94" i="107"/>
  <c r="N94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N97" i="107"/>
  <c r="N97" i="111" s="1"/>
  <c r="D98" i="107"/>
  <c r="E98" i="107"/>
  <c r="F98" i="107"/>
  <c r="G98" i="107"/>
  <c r="H98" i="107"/>
  <c r="H98" i="111" s="1"/>
  <c r="X32" i="111" s="1"/>
  <c r="I98" i="107"/>
  <c r="J98" i="107"/>
  <c r="K98" i="107"/>
  <c r="L98" i="107"/>
  <c r="M98" i="107"/>
  <c r="N98" i="107"/>
  <c r="D99" i="107"/>
  <c r="D99" i="111" s="1"/>
  <c r="E99" i="107"/>
  <c r="E99" i="111" s="1"/>
  <c r="F99" i="107"/>
  <c r="F99" i="111" s="1"/>
  <c r="G99" i="107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K100" i="107"/>
  <c r="K100" i="111" s="1"/>
  <c r="L100" i="107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F102" i="107"/>
  <c r="G102" i="107"/>
  <c r="H102" i="107"/>
  <c r="I102" i="107"/>
  <c r="J102" i="107"/>
  <c r="K102" i="107"/>
  <c r="L102" i="107"/>
  <c r="L102" i="111" s="1"/>
  <c r="AB33" i="111" s="1"/>
  <c r="M102" i="107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60" i="107"/>
  <c r="C60" i="111" s="1"/>
  <c r="C61" i="107"/>
  <c r="C62" i="107"/>
  <c r="C63" i="107"/>
  <c r="P63" i="107" s="1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8"/>
  <c r="C58" i="107"/>
  <c r="P92" i="107" l="1"/>
  <c r="O92" i="107"/>
  <c r="C92" i="111"/>
  <c r="U32" i="107"/>
  <c r="E98" i="111"/>
  <c r="U32" i="111" s="1"/>
  <c r="O99" i="107"/>
  <c r="P99" i="107"/>
  <c r="C99" i="111"/>
  <c r="O59" i="107"/>
  <c r="P59" i="107"/>
  <c r="C59" i="111"/>
  <c r="X33" i="107"/>
  <c r="H102" i="111"/>
  <c r="X33" i="111" s="1"/>
  <c r="P89" i="107"/>
  <c r="O89" i="107"/>
  <c r="C89" i="111"/>
  <c r="N102" i="111"/>
  <c r="AD33" i="111" s="1"/>
  <c r="AD33" i="107"/>
  <c r="P73" i="108"/>
  <c r="O73" i="108"/>
  <c r="P87" i="107"/>
  <c r="P102" i="107"/>
  <c r="O102" i="107"/>
  <c r="S33" i="107"/>
  <c r="C102" i="111"/>
  <c r="P101" i="107"/>
  <c r="O101" i="107"/>
  <c r="P93" i="107"/>
  <c r="O93" i="107"/>
  <c r="P85" i="107"/>
  <c r="O85" i="107"/>
  <c r="P77" i="107"/>
  <c r="O77" i="107"/>
  <c r="P69" i="107"/>
  <c r="O69" i="107"/>
  <c r="P61" i="107"/>
  <c r="O61" i="107"/>
  <c r="C61" i="111"/>
  <c r="P61" i="111" s="1"/>
  <c r="Z33" i="107"/>
  <c r="J102" i="111"/>
  <c r="Z33" i="111" s="1"/>
  <c r="AD32" i="107"/>
  <c r="N98" i="111"/>
  <c r="AD32" i="111" s="1"/>
  <c r="C77" i="111"/>
  <c r="S22" i="107"/>
  <c r="P58" i="107"/>
  <c r="O58" i="107"/>
  <c r="AE22" i="107" s="1"/>
  <c r="Y33" i="107"/>
  <c r="I102" i="111"/>
  <c r="Y33" i="111" s="1"/>
  <c r="AC28" i="107"/>
  <c r="M82" i="111"/>
  <c r="AC28" i="111" s="1"/>
  <c r="U28" i="107"/>
  <c r="E82" i="111"/>
  <c r="U28" i="111" s="1"/>
  <c r="Y27" i="107"/>
  <c r="I78" i="111"/>
  <c r="Y27" i="111" s="1"/>
  <c r="AC26" i="107"/>
  <c r="M74" i="111"/>
  <c r="AC26" i="111" s="1"/>
  <c r="U26" i="107"/>
  <c r="E74" i="111"/>
  <c r="U26" i="111" s="1"/>
  <c r="Y25" i="107"/>
  <c r="I70" i="111"/>
  <c r="Y25" i="111" s="1"/>
  <c r="AC24" i="107"/>
  <c r="M66" i="111"/>
  <c r="AC24" i="111" s="1"/>
  <c r="U24" i="107"/>
  <c r="E66" i="111"/>
  <c r="U24" i="111" s="1"/>
  <c r="Y23" i="107"/>
  <c r="I62" i="111"/>
  <c r="Y23" i="111" s="1"/>
  <c r="AC22" i="107"/>
  <c r="M58" i="111"/>
  <c r="AC22" i="111" s="1"/>
  <c r="E58" i="111"/>
  <c r="U22" i="111" s="1"/>
  <c r="U22" i="107"/>
  <c r="C69" i="111"/>
  <c r="P68" i="107"/>
  <c r="O68" i="107"/>
  <c r="C68" i="111"/>
  <c r="O67" i="107"/>
  <c r="P67" i="107"/>
  <c r="C67" i="111"/>
  <c r="C58" i="111"/>
  <c r="O58" i="111" s="1"/>
  <c r="P98" i="107"/>
  <c r="AF32" i="107" s="1"/>
  <c r="O98" i="107"/>
  <c r="S32" i="107"/>
  <c r="C98" i="111"/>
  <c r="P90" i="107"/>
  <c r="S30" i="107"/>
  <c r="O90" i="107"/>
  <c r="C90" i="111"/>
  <c r="P82" i="107"/>
  <c r="O82" i="107"/>
  <c r="S28" i="107"/>
  <c r="C82" i="111"/>
  <c r="S26" i="107"/>
  <c r="P74" i="107"/>
  <c r="O74" i="107"/>
  <c r="C74" i="111"/>
  <c r="O74" i="111" s="1"/>
  <c r="S24" i="107"/>
  <c r="P66" i="107"/>
  <c r="AF24" i="107" s="1"/>
  <c r="O66" i="107"/>
  <c r="C66" i="111"/>
  <c r="S24" i="111" s="1"/>
  <c r="W33" i="107"/>
  <c r="G102" i="111"/>
  <c r="W33" i="111" s="1"/>
  <c r="AA32" i="107"/>
  <c r="K98" i="111"/>
  <c r="AA32" i="111" s="1"/>
  <c r="P84" i="107"/>
  <c r="O84" i="107"/>
  <c r="C84" i="111"/>
  <c r="AC32" i="107"/>
  <c r="M98" i="111"/>
  <c r="AC32" i="111" s="1"/>
  <c r="O83" i="107"/>
  <c r="C83" i="111"/>
  <c r="P83" i="107"/>
  <c r="P105" i="107"/>
  <c r="O105" i="107"/>
  <c r="C105" i="111"/>
  <c r="P105" i="111" s="1"/>
  <c r="C65" i="111"/>
  <c r="P65" i="107"/>
  <c r="O65" i="107"/>
  <c r="P105" i="108"/>
  <c r="O105" i="108"/>
  <c r="P81" i="108"/>
  <c r="O81" i="108"/>
  <c r="P100" i="107"/>
  <c r="O100" i="107"/>
  <c r="C100" i="111"/>
  <c r="O91" i="107"/>
  <c r="P91" i="107"/>
  <c r="C91" i="111"/>
  <c r="P73" i="107"/>
  <c r="O73" i="107"/>
  <c r="C73" i="111"/>
  <c r="P89" i="108"/>
  <c r="O89" i="108"/>
  <c r="P65" i="108"/>
  <c r="O65" i="108"/>
  <c r="P104" i="107"/>
  <c r="O104" i="107"/>
  <c r="C104" i="111"/>
  <c r="P96" i="107"/>
  <c r="O96" i="107"/>
  <c r="C96" i="111"/>
  <c r="P88" i="107"/>
  <c r="O88" i="107"/>
  <c r="C88" i="111"/>
  <c r="P88" i="111" s="1"/>
  <c r="P80" i="107"/>
  <c r="O80" i="107"/>
  <c r="C80" i="111"/>
  <c r="P72" i="107"/>
  <c r="O72" i="107"/>
  <c r="C72" i="111"/>
  <c r="P64" i="107"/>
  <c r="O64" i="107"/>
  <c r="C64" i="111"/>
  <c r="AC33" i="107"/>
  <c r="M102" i="111"/>
  <c r="AC33" i="111" s="1"/>
  <c r="C101" i="111"/>
  <c r="P60" i="107"/>
  <c r="O60" i="107"/>
  <c r="Y31" i="107"/>
  <c r="I94" i="111"/>
  <c r="Y31" i="111" s="1"/>
  <c r="M90" i="111"/>
  <c r="AC30" i="111" s="1"/>
  <c r="AC30" i="107"/>
  <c r="U30" i="107"/>
  <c r="E90" i="111"/>
  <c r="U30" i="111" s="1"/>
  <c r="P58" i="108"/>
  <c r="O58" i="108"/>
  <c r="S22" i="108"/>
  <c r="P81" i="107"/>
  <c r="O81" i="107"/>
  <c r="C81" i="111"/>
  <c r="F102" i="111"/>
  <c r="V33" i="111" s="1"/>
  <c r="V33" i="107"/>
  <c r="P97" i="108"/>
  <c r="O97" i="108"/>
  <c r="C93" i="111"/>
  <c r="P79" i="107"/>
  <c r="P76" i="107"/>
  <c r="O76" i="107"/>
  <c r="C76" i="111"/>
  <c r="Y29" i="107"/>
  <c r="I86" i="111"/>
  <c r="Y29" i="111" s="1"/>
  <c r="O75" i="107"/>
  <c r="P75" i="107"/>
  <c r="C75" i="111"/>
  <c r="P75" i="111" s="1"/>
  <c r="P97" i="107"/>
  <c r="O97" i="107"/>
  <c r="C97" i="111"/>
  <c r="P95" i="107"/>
  <c r="S31" i="107"/>
  <c r="P94" i="107"/>
  <c r="O94" i="107"/>
  <c r="C94" i="111"/>
  <c r="S31" i="111" s="1"/>
  <c r="S29" i="107"/>
  <c r="P86" i="107"/>
  <c r="O86" i="107"/>
  <c r="C86" i="111"/>
  <c r="S27" i="107"/>
  <c r="P78" i="107"/>
  <c r="O78" i="107"/>
  <c r="C78" i="111"/>
  <c r="S27" i="111" s="1"/>
  <c r="P70" i="107"/>
  <c r="O70" i="107"/>
  <c r="S25" i="107"/>
  <c r="C70" i="111"/>
  <c r="S23" i="107"/>
  <c r="P62" i="107"/>
  <c r="AF23" i="107" s="1"/>
  <c r="O62" i="107"/>
  <c r="C62" i="111"/>
  <c r="S23" i="111" s="1"/>
  <c r="AA33" i="107"/>
  <c r="K102" i="111"/>
  <c r="AA33" i="111" s="1"/>
  <c r="W26" i="108"/>
  <c r="C85" i="111"/>
  <c r="AB32" i="107"/>
  <c r="L98" i="111"/>
  <c r="T32" i="107"/>
  <c r="D98" i="111"/>
  <c r="T32" i="111" s="1"/>
  <c r="H94" i="111"/>
  <c r="X31" i="107"/>
  <c r="AB30" i="107"/>
  <c r="L90" i="111"/>
  <c r="T30" i="107"/>
  <c r="D90" i="111"/>
  <c r="X29" i="107"/>
  <c r="H86" i="111"/>
  <c r="X29" i="111" s="1"/>
  <c r="AB28" i="107"/>
  <c r="L82" i="111"/>
  <c r="T28" i="107"/>
  <c r="D82" i="111"/>
  <c r="X27" i="107"/>
  <c r="H78" i="111"/>
  <c r="AB26" i="107"/>
  <c r="L74" i="111"/>
  <c r="AB26" i="111" s="1"/>
  <c r="T26" i="107"/>
  <c r="D74" i="111"/>
  <c r="X25" i="107"/>
  <c r="H70" i="111"/>
  <c r="AB24" i="107"/>
  <c r="L66" i="111"/>
  <c r="T24" i="107"/>
  <c r="D66" i="111"/>
  <c r="T24" i="111" s="1"/>
  <c r="X23" i="107"/>
  <c r="H62" i="111"/>
  <c r="AB22" i="107"/>
  <c r="L58" i="111"/>
  <c r="T22" i="107"/>
  <c r="D58" i="111"/>
  <c r="P104" i="108"/>
  <c r="O104" i="108"/>
  <c r="P96" i="108"/>
  <c r="O96" i="108"/>
  <c r="P88" i="108"/>
  <c r="O88" i="108"/>
  <c r="P80" i="108"/>
  <c r="O80" i="108"/>
  <c r="P72" i="108"/>
  <c r="O72" i="108"/>
  <c r="P64" i="108"/>
  <c r="O64" i="108"/>
  <c r="AC33" i="108"/>
  <c r="U33" i="108"/>
  <c r="Y32" i="108"/>
  <c r="AC31" i="108"/>
  <c r="U31" i="108"/>
  <c r="Y30" i="108"/>
  <c r="AC29" i="108"/>
  <c r="U29" i="108"/>
  <c r="Y28" i="108"/>
  <c r="AC27" i="108"/>
  <c r="U27" i="108"/>
  <c r="Y26" i="108"/>
  <c r="AC25" i="108"/>
  <c r="U25" i="108"/>
  <c r="Y24" i="108"/>
  <c r="AC23" i="108"/>
  <c r="U23" i="108"/>
  <c r="Y22" i="108"/>
  <c r="T27" i="107"/>
  <c r="W31" i="107"/>
  <c r="G94" i="111"/>
  <c r="W31" i="111" s="1"/>
  <c r="AA30" i="107"/>
  <c r="K90" i="111"/>
  <c r="AA30" i="111" s="1"/>
  <c r="W29" i="107"/>
  <c r="G86" i="111"/>
  <c r="W29" i="111" s="1"/>
  <c r="AA28" i="107"/>
  <c r="K82" i="111"/>
  <c r="AA28" i="111" s="1"/>
  <c r="W27" i="107"/>
  <c r="G78" i="111"/>
  <c r="W27" i="111" s="1"/>
  <c r="AA26" i="107"/>
  <c r="K74" i="111"/>
  <c r="AA26" i="111" s="1"/>
  <c r="W25" i="107"/>
  <c r="G70" i="111"/>
  <c r="W25" i="111" s="1"/>
  <c r="K66" i="111"/>
  <c r="AA24" i="111" s="1"/>
  <c r="AA24" i="107"/>
  <c r="W23" i="107"/>
  <c r="G62" i="111"/>
  <c r="W23" i="111" s="1"/>
  <c r="AA22" i="107"/>
  <c r="K58" i="111"/>
  <c r="AA22" i="111" s="1"/>
  <c r="O103" i="108"/>
  <c r="P103" i="108"/>
  <c r="O95" i="108"/>
  <c r="P95" i="108"/>
  <c r="O87" i="108"/>
  <c r="P87" i="108"/>
  <c r="O79" i="108"/>
  <c r="P79" i="108"/>
  <c r="O71" i="108"/>
  <c r="P71" i="108"/>
  <c r="O63" i="108"/>
  <c r="P63" i="108"/>
  <c r="T33" i="108"/>
  <c r="X32" i="108"/>
  <c r="AB31" i="108"/>
  <c r="T31" i="108"/>
  <c r="X30" i="108"/>
  <c r="AB29" i="108"/>
  <c r="T29" i="108"/>
  <c r="X28" i="108"/>
  <c r="AB27" i="108"/>
  <c r="T27" i="108"/>
  <c r="X26" i="108"/>
  <c r="AB25" i="108"/>
  <c r="T25" i="108"/>
  <c r="X24" i="108"/>
  <c r="AB23" i="108"/>
  <c r="T23" i="108"/>
  <c r="X22" i="108"/>
  <c r="I101" i="111"/>
  <c r="L100" i="111"/>
  <c r="P100" i="111" s="1"/>
  <c r="D100" i="111"/>
  <c r="G99" i="111"/>
  <c r="Z32" i="107"/>
  <c r="J98" i="111"/>
  <c r="Z32" i="111" s="1"/>
  <c r="M97" i="111"/>
  <c r="E97" i="111"/>
  <c r="H96" i="111"/>
  <c r="K95" i="111"/>
  <c r="O95" i="111" s="1"/>
  <c r="AD31" i="107"/>
  <c r="N94" i="111"/>
  <c r="AD31" i="111" s="1"/>
  <c r="V31" i="107"/>
  <c r="F94" i="111"/>
  <c r="V31" i="111" s="1"/>
  <c r="I93" i="111"/>
  <c r="L92" i="111"/>
  <c r="D92" i="111"/>
  <c r="G91" i="111"/>
  <c r="Z30" i="107"/>
  <c r="J90" i="111"/>
  <c r="Z30" i="111" s="1"/>
  <c r="M89" i="111"/>
  <c r="E89" i="111"/>
  <c r="H88" i="111"/>
  <c r="K87" i="111"/>
  <c r="AD29" i="107"/>
  <c r="N86" i="111"/>
  <c r="AD29" i="111" s="1"/>
  <c r="V29" i="107"/>
  <c r="F86" i="111"/>
  <c r="V29" i="111" s="1"/>
  <c r="I85" i="111"/>
  <c r="L84" i="111"/>
  <c r="D84" i="111"/>
  <c r="G83" i="111"/>
  <c r="Z28" i="107"/>
  <c r="J82" i="111"/>
  <c r="Z28" i="111" s="1"/>
  <c r="M81" i="111"/>
  <c r="E81" i="111"/>
  <c r="H80" i="111"/>
  <c r="K79" i="111"/>
  <c r="AD27" i="107"/>
  <c r="N78" i="111"/>
  <c r="AD27" i="111" s="1"/>
  <c r="V27" i="107"/>
  <c r="F78" i="111"/>
  <c r="V27" i="111" s="1"/>
  <c r="I77" i="111"/>
  <c r="L76" i="111"/>
  <c r="D76" i="111"/>
  <c r="G75" i="111"/>
  <c r="Z26" i="107"/>
  <c r="J74" i="111"/>
  <c r="Z26" i="111" s="1"/>
  <c r="M73" i="111"/>
  <c r="E73" i="111"/>
  <c r="O73" i="111" s="1"/>
  <c r="H72" i="111"/>
  <c r="K71" i="111"/>
  <c r="N70" i="111"/>
  <c r="AD25" i="111" s="1"/>
  <c r="AD25" i="107"/>
  <c r="F70" i="111"/>
  <c r="V25" i="111" s="1"/>
  <c r="V25" i="107"/>
  <c r="I69" i="111"/>
  <c r="L68" i="111"/>
  <c r="P68" i="111" s="1"/>
  <c r="D68" i="111"/>
  <c r="G67" i="111"/>
  <c r="Z24" i="107"/>
  <c r="J66" i="111"/>
  <c r="Z24" i="111" s="1"/>
  <c r="M65" i="111"/>
  <c r="E65" i="111"/>
  <c r="H64" i="111"/>
  <c r="K63" i="111"/>
  <c r="O63" i="111" s="1"/>
  <c r="AD23" i="107"/>
  <c r="N62" i="111"/>
  <c r="AD23" i="111" s="1"/>
  <c r="V23" i="107"/>
  <c r="F62" i="111"/>
  <c r="V23" i="111" s="1"/>
  <c r="I61" i="111"/>
  <c r="L60" i="111"/>
  <c r="D60" i="111"/>
  <c r="O60" i="111" s="1"/>
  <c r="G59" i="111"/>
  <c r="O59" i="111" s="1"/>
  <c r="Z22" i="107"/>
  <c r="J58" i="111"/>
  <c r="Z22" i="111" s="1"/>
  <c r="S33" i="108"/>
  <c r="P102" i="108"/>
  <c r="AF33" i="108" s="1"/>
  <c r="O102" i="108"/>
  <c r="P94" i="108"/>
  <c r="AF31" i="108" s="1"/>
  <c r="O94" i="108"/>
  <c r="AE31" i="108" s="1"/>
  <c r="S31" i="108"/>
  <c r="P86" i="108"/>
  <c r="AF29" i="108" s="1"/>
  <c r="O86" i="108"/>
  <c r="AE29" i="108" s="1"/>
  <c r="S29" i="108"/>
  <c r="P78" i="108"/>
  <c r="AF27" i="108" s="1"/>
  <c r="O78" i="108"/>
  <c r="S27" i="108"/>
  <c r="S25" i="108"/>
  <c r="P70" i="108"/>
  <c r="AF25" i="108" s="1"/>
  <c r="O70" i="108"/>
  <c r="P62" i="108"/>
  <c r="AF23" i="108" s="1"/>
  <c r="O62" i="108"/>
  <c r="AE23" i="108" s="1"/>
  <c r="S23" i="108"/>
  <c r="AA33" i="108"/>
  <c r="W32" i="108"/>
  <c r="AA31" i="108"/>
  <c r="W30" i="108"/>
  <c r="AA29" i="108"/>
  <c r="W28" i="108"/>
  <c r="AA27" i="108"/>
  <c r="AA25" i="108"/>
  <c r="W24" i="108"/>
  <c r="AA23" i="108"/>
  <c r="W22" i="108"/>
  <c r="Y32" i="107"/>
  <c r="I98" i="111"/>
  <c r="Y32" i="111" s="1"/>
  <c r="U31" i="107"/>
  <c r="E94" i="111"/>
  <c r="U31" i="111" s="1"/>
  <c r="Y30" i="107"/>
  <c r="I90" i="111"/>
  <c r="Y30" i="111" s="1"/>
  <c r="AC29" i="107"/>
  <c r="M86" i="111"/>
  <c r="AC29" i="111" s="1"/>
  <c r="U29" i="107"/>
  <c r="E86" i="111"/>
  <c r="U29" i="111" s="1"/>
  <c r="Y28" i="107"/>
  <c r="I82" i="111"/>
  <c r="Y28" i="111" s="1"/>
  <c r="AC27" i="107"/>
  <c r="M78" i="111"/>
  <c r="AC27" i="111" s="1"/>
  <c r="U27" i="107"/>
  <c r="E78" i="111"/>
  <c r="U27" i="111" s="1"/>
  <c r="I74" i="111"/>
  <c r="Y26" i="111" s="1"/>
  <c r="Y26" i="107"/>
  <c r="AC25" i="107"/>
  <c r="M70" i="111"/>
  <c r="AC25" i="111" s="1"/>
  <c r="U25" i="107"/>
  <c r="E70" i="111"/>
  <c r="Y24" i="107"/>
  <c r="I66" i="111"/>
  <c r="Y24" i="111" s="1"/>
  <c r="AC23" i="107"/>
  <c r="M62" i="111"/>
  <c r="AC23" i="111" s="1"/>
  <c r="U23" i="107"/>
  <c r="E62" i="111"/>
  <c r="U23" i="111" s="1"/>
  <c r="Y22" i="107"/>
  <c r="I58" i="111"/>
  <c r="Y22" i="111" s="1"/>
  <c r="P101" i="108"/>
  <c r="O101" i="108"/>
  <c r="P93" i="108"/>
  <c r="O93" i="108"/>
  <c r="P85" i="108"/>
  <c r="O85" i="108"/>
  <c r="P77" i="108"/>
  <c r="O77" i="108"/>
  <c r="P69" i="108"/>
  <c r="O69" i="108"/>
  <c r="P61" i="108"/>
  <c r="O61" i="108"/>
  <c r="Z33" i="108"/>
  <c r="AD32" i="108"/>
  <c r="V32" i="108"/>
  <c r="Z31" i="108"/>
  <c r="AD30" i="108"/>
  <c r="V30" i="108"/>
  <c r="Z29" i="108"/>
  <c r="AD28" i="108"/>
  <c r="V28" i="108"/>
  <c r="Z27" i="108"/>
  <c r="AD26" i="108"/>
  <c r="V26" i="108"/>
  <c r="Z25" i="108"/>
  <c r="AD24" i="108"/>
  <c r="V24" i="108"/>
  <c r="Z23" i="108"/>
  <c r="AD22" i="108"/>
  <c r="V22" i="108"/>
  <c r="U33" i="107"/>
  <c r="E102" i="111"/>
  <c r="U33" i="111" s="1"/>
  <c r="AC31" i="107"/>
  <c r="M94" i="111"/>
  <c r="AC31" i="111" s="1"/>
  <c r="O103" i="107"/>
  <c r="P103" i="107"/>
  <c r="O95" i="107"/>
  <c r="O87" i="107"/>
  <c r="O79" i="107"/>
  <c r="O71" i="107"/>
  <c r="O63" i="107"/>
  <c r="AB33" i="107"/>
  <c r="T33" i="107"/>
  <c r="X32" i="107"/>
  <c r="AB31" i="107"/>
  <c r="T31" i="107"/>
  <c r="X30" i="107"/>
  <c r="AB29" i="107"/>
  <c r="T29" i="107"/>
  <c r="X28" i="107"/>
  <c r="AB27" i="107"/>
  <c r="X26" i="107"/>
  <c r="AB25" i="107"/>
  <c r="T25" i="107"/>
  <c r="X24" i="107"/>
  <c r="AB23" i="107"/>
  <c r="T23" i="107"/>
  <c r="X22" i="107"/>
  <c r="P100" i="108"/>
  <c r="O100" i="108"/>
  <c r="P92" i="108"/>
  <c r="O92" i="108"/>
  <c r="P84" i="108"/>
  <c r="O84" i="108"/>
  <c r="P76" i="108"/>
  <c r="O76" i="108"/>
  <c r="P68" i="108"/>
  <c r="O68" i="108"/>
  <c r="P60" i="108"/>
  <c r="O60" i="108"/>
  <c r="Y33" i="108"/>
  <c r="AC32" i="108"/>
  <c r="U32" i="108"/>
  <c r="Y31" i="108"/>
  <c r="AC30" i="108"/>
  <c r="U30" i="108"/>
  <c r="Y29" i="108"/>
  <c r="AC28" i="108"/>
  <c r="U28" i="108"/>
  <c r="Y27" i="108"/>
  <c r="AC26" i="108"/>
  <c r="U26" i="108"/>
  <c r="Y25" i="108"/>
  <c r="AC24" i="108"/>
  <c r="U24" i="108"/>
  <c r="Y23" i="108"/>
  <c r="AC22" i="108"/>
  <c r="U22" i="108"/>
  <c r="C63" i="111"/>
  <c r="D62" i="111"/>
  <c r="T23" i="111" s="1"/>
  <c r="W32" i="107"/>
  <c r="G98" i="111"/>
  <c r="W32" i="111" s="1"/>
  <c r="AA31" i="107"/>
  <c r="K94" i="111"/>
  <c r="W30" i="107"/>
  <c r="G90" i="111"/>
  <c r="AA29" i="107"/>
  <c r="K86" i="111"/>
  <c r="AA29" i="111" s="1"/>
  <c r="W28" i="107"/>
  <c r="G82" i="111"/>
  <c r="W28" i="111" s="1"/>
  <c r="AA27" i="107"/>
  <c r="K78" i="111"/>
  <c r="AA27" i="111" s="1"/>
  <c r="W26" i="107"/>
  <c r="G74" i="111"/>
  <c r="W26" i="111" s="1"/>
  <c r="AA25" i="107"/>
  <c r="K70" i="111"/>
  <c r="AA25" i="111" s="1"/>
  <c r="W24" i="107"/>
  <c r="G66" i="111"/>
  <c r="W24" i="111" s="1"/>
  <c r="AA23" i="107"/>
  <c r="K62" i="111"/>
  <c r="W22" i="107"/>
  <c r="G58" i="111"/>
  <c r="O99" i="108"/>
  <c r="P99" i="108"/>
  <c r="O91" i="108"/>
  <c r="O83" i="108"/>
  <c r="P83" i="108"/>
  <c r="O75" i="108"/>
  <c r="O67" i="108"/>
  <c r="P67" i="108"/>
  <c r="O59" i="108"/>
  <c r="X33" i="108"/>
  <c r="AB32" i="108"/>
  <c r="T32" i="108"/>
  <c r="X31" i="108"/>
  <c r="AB30" i="108"/>
  <c r="T30" i="108"/>
  <c r="X29" i="108"/>
  <c r="AB28" i="108"/>
  <c r="T28" i="108"/>
  <c r="X27" i="108"/>
  <c r="AB26" i="108"/>
  <c r="T26" i="108"/>
  <c r="X25" i="108"/>
  <c r="AB24" i="108"/>
  <c r="T24" i="108"/>
  <c r="X23" i="108"/>
  <c r="AB22" i="108"/>
  <c r="T22" i="108"/>
  <c r="C103" i="111"/>
  <c r="P103" i="111" s="1"/>
  <c r="C95" i="111"/>
  <c r="C87" i="111"/>
  <c r="P87" i="111" s="1"/>
  <c r="C79" i="111"/>
  <c r="P79" i="111" s="1"/>
  <c r="C71" i="111"/>
  <c r="P71" i="111" s="1"/>
  <c r="D102" i="111"/>
  <c r="T33" i="111" s="1"/>
  <c r="H90" i="111"/>
  <c r="X30" i="111" s="1"/>
  <c r="L78" i="111"/>
  <c r="AB27" i="111" s="1"/>
  <c r="P71" i="107"/>
  <c r="P91" i="108"/>
  <c r="V32" i="107"/>
  <c r="F98" i="111"/>
  <c r="V32" i="111" s="1"/>
  <c r="Z31" i="107"/>
  <c r="J94" i="111"/>
  <c r="Z31" i="111" s="1"/>
  <c r="AD30" i="107"/>
  <c r="N90" i="111"/>
  <c r="AD30" i="111" s="1"/>
  <c r="V30" i="107"/>
  <c r="F90" i="111"/>
  <c r="V30" i="111" s="1"/>
  <c r="Z29" i="107"/>
  <c r="J86" i="111"/>
  <c r="Z29" i="111" s="1"/>
  <c r="AD28" i="107"/>
  <c r="N82" i="111"/>
  <c r="AD28" i="111" s="1"/>
  <c r="V28" i="107"/>
  <c r="F82" i="111"/>
  <c r="V28" i="111" s="1"/>
  <c r="Z27" i="107"/>
  <c r="J78" i="111"/>
  <c r="Z27" i="111" s="1"/>
  <c r="AD26" i="107"/>
  <c r="N74" i="111"/>
  <c r="AD26" i="111" s="1"/>
  <c r="V26" i="107"/>
  <c r="F74" i="111"/>
  <c r="V26" i="111" s="1"/>
  <c r="O72" i="111"/>
  <c r="Z25" i="107"/>
  <c r="J70" i="111"/>
  <c r="Z25" i="111" s="1"/>
  <c r="AD24" i="107"/>
  <c r="N66" i="111"/>
  <c r="AD24" i="111" s="1"/>
  <c r="V24" i="107"/>
  <c r="F66" i="111"/>
  <c r="V24" i="111" s="1"/>
  <c r="O64" i="111"/>
  <c r="Z23" i="107"/>
  <c r="J62" i="111"/>
  <c r="Z23" i="111" s="1"/>
  <c r="AD22" i="107"/>
  <c r="N58" i="111"/>
  <c r="AD22" i="111" s="1"/>
  <c r="V22" i="107"/>
  <c r="F58" i="111"/>
  <c r="V22" i="111" s="1"/>
  <c r="P98" i="108"/>
  <c r="S32" i="108"/>
  <c r="O98" i="108"/>
  <c r="AE32" i="108" s="1"/>
  <c r="P90" i="108"/>
  <c r="AF30" i="108" s="1"/>
  <c r="O90" i="108"/>
  <c r="S30" i="108"/>
  <c r="P82" i="108"/>
  <c r="AF28" i="108" s="1"/>
  <c r="O82" i="108"/>
  <c r="AE28" i="108" s="1"/>
  <c r="S28" i="108"/>
  <c r="P74" i="108"/>
  <c r="AF26" i="108" s="1"/>
  <c r="O74" i="108"/>
  <c r="AE26" i="108" s="1"/>
  <c r="S26" i="108"/>
  <c r="P66" i="108"/>
  <c r="S24" i="108"/>
  <c r="O66" i="108"/>
  <c r="AE24" i="108" s="1"/>
  <c r="W33" i="108"/>
  <c r="AA32" i="108"/>
  <c r="W31" i="108"/>
  <c r="AA30" i="108"/>
  <c r="W29" i="108"/>
  <c r="AA28" i="108"/>
  <c r="W27" i="108"/>
  <c r="AA26" i="108"/>
  <c r="W25" i="108"/>
  <c r="AA24" i="108"/>
  <c r="W23" i="108"/>
  <c r="AA22" i="108"/>
  <c r="H66" i="111"/>
  <c r="X24" i="111" s="1"/>
  <c r="P72" i="111"/>
  <c r="P70" i="111"/>
  <c r="P64" i="111"/>
  <c r="P60" i="111"/>
  <c r="O71" i="111"/>
  <c r="O69" i="111"/>
  <c r="O67" i="111"/>
  <c r="O65" i="111"/>
  <c r="O61" i="111"/>
  <c r="O70" i="111"/>
  <c r="P104" i="111"/>
  <c r="O104" i="111"/>
  <c r="P102" i="111"/>
  <c r="AF33" i="111" s="1"/>
  <c r="O102" i="111"/>
  <c r="P96" i="111"/>
  <c r="O96" i="111"/>
  <c r="P92" i="111"/>
  <c r="O92" i="111"/>
  <c r="O88" i="111"/>
  <c r="P84" i="111"/>
  <c r="O84" i="111"/>
  <c r="P80" i="111"/>
  <c r="O80" i="111"/>
  <c r="P76" i="111"/>
  <c r="O76" i="111"/>
  <c r="O105" i="111"/>
  <c r="O103" i="111"/>
  <c r="O101" i="111"/>
  <c r="O99" i="111"/>
  <c r="O97" i="111"/>
  <c r="O93" i="111"/>
  <c r="O89" i="111"/>
  <c r="O87" i="111"/>
  <c r="O85" i="111"/>
  <c r="O83" i="111"/>
  <c r="O81" i="111"/>
  <c r="O79" i="111"/>
  <c r="O77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D106" i="108" s="1"/>
  <c r="E10" i="108"/>
  <c r="E106" i="108" s="1"/>
  <c r="F10" i="108"/>
  <c r="F106" i="108" s="1"/>
  <c r="G10" i="108"/>
  <c r="H10" i="108"/>
  <c r="H106" i="108" s="1"/>
  <c r="I10" i="108"/>
  <c r="I106" i="108" s="1"/>
  <c r="J10" i="108"/>
  <c r="J106" i="108" s="1"/>
  <c r="K10" i="108"/>
  <c r="L10" i="108"/>
  <c r="L106" i="108" s="1"/>
  <c r="M10" i="108"/>
  <c r="M106" i="108" s="1"/>
  <c r="N10" i="108"/>
  <c r="N106" i="108" s="1"/>
  <c r="C10" i="108"/>
  <c r="C11" i="107"/>
  <c r="C11" i="111" s="1"/>
  <c r="D11" i="107"/>
  <c r="D11" i="111" s="1"/>
  <c r="E11" i="107"/>
  <c r="E11" i="111" s="1"/>
  <c r="F11" i="107"/>
  <c r="F11" i="111" s="1"/>
  <c r="G11" i="107"/>
  <c r="G11" i="111" s="1"/>
  <c r="H11" i="107"/>
  <c r="H11" i="111" s="1"/>
  <c r="I11" i="107"/>
  <c r="I11" i="111" s="1"/>
  <c r="J11" i="107"/>
  <c r="J11" i="111" s="1"/>
  <c r="K11" i="107"/>
  <c r="K11" i="111" s="1"/>
  <c r="L11" i="107"/>
  <c r="L11" i="111" s="1"/>
  <c r="M11" i="107"/>
  <c r="M11" i="111" s="1"/>
  <c r="N11" i="107"/>
  <c r="N11" i="111" s="1"/>
  <c r="C12" i="107"/>
  <c r="C12" i="111" s="1"/>
  <c r="D12" i="107"/>
  <c r="D12" i="111" s="1"/>
  <c r="E12" i="107"/>
  <c r="E12" i="111" s="1"/>
  <c r="F12" i="107"/>
  <c r="F12" i="111" s="1"/>
  <c r="G12" i="107"/>
  <c r="G12" i="111" s="1"/>
  <c r="H12" i="107"/>
  <c r="H12" i="111" s="1"/>
  <c r="I12" i="107"/>
  <c r="I12" i="111" s="1"/>
  <c r="J12" i="107"/>
  <c r="J12" i="111" s="1"/>
  <c r="K12" i="107"/>
  <c r="K12" i="111" s="1"/>
  <c r="L12" i="107"/>
  <c r="L12" i="111" s="1"/>
  <c r="M12" i="107"/>
  <c r="M12" i="111" s="1"/>
  <c r="N12" i="107"/>
  <c r="N12" i="111" s="1"/>
  <c r="C13" i="107"/>
  <c r="C13" i="111" s="1"/>
  <c r="D13" i="107"/>
  <c r="D13" i="111" s="1"/>
  <c r="E13" i="107"/>
  <c r="E13" i="111" s="1"/>
  <c r="F13" i="107"/>
  <c r="F13" i="111" s="1"/>
  <c r="G13" i="107"/>
  <c r="G13" i="111" s="1"/>
  <c r="H13" i="107"/>
  <c r="H13" i="111" s="1"/>
  <c r="I13" i="107"/>
  <c r="I13" i="111" s="1"/>
  <c r="J13" i="107"/>
  <c r="J13" i="111" s="1"/>
  <c r="K13" i="107"/>
  <c r="K13" i="111" s="1"/>
  <c r="L13" i="107"/>
  <c r="L13" i="111" s="1"/>
  <c r="M13" i="107"/>
  <c r="M13" i="111" s="1"/>
  <c r="N13" i="107"/>
  <c r="N13" i="111" s="1"/>
  <c r="C14" i="107"/>
  <c r="C14" i="111" s="1"/>
  <c r="D14" i="107"/>
  <c r="D14" i="111" s="1"/>
  <c r="E14" i="107"/>
  <c r="E14" i="111" s="1"/>
  <c r="F14" i="107"/>
  <c r="F14" i="111" s="1"/>
  <c r="G14" i="107"/>
  <c r="G14" i="111" s="1"/>
  <c r="H14" i="107"/>
  <c r="H14" i="111" s="1"/>
  <c r="I14" i="107"/>
  <c r="I14" i="111" s="1"/>
  <c r="J14" i="107"/>
  <c r="J14" i="111" s="1"/>
  <c r="K14" i="107"/>
  <c r="K14" i="111" s="1"/>
  <c r="L14" i="107"/>
  <c r="L14" i="111" s="1"/>
  <c r="M14" i="107"/>
  <c r="M14" i="111" s="1"/>
  <c r="N14" i="107"/>
  <c r="N14" i="111" s="1"/>
  <c r="C15" i="107"/>
  <c r="C15" i="111" s="1"/>
  <c r="D15" i="107"/>
  <c r="D15" i="111" s="1"/>
  <c r="E15" i="107"/>
  <c r="E15" i="111" s="1"/>
  <c r="F15" i="107"/>
  <c r="F15" i="111" s="1"/>
  <c r="G15" i="107"/>
  <c r="G15" i="111" s="1"/>
  <c r="H15" i="107"/>
  <c r="H15" i="111" s="1"/>
  <c r="I15" i="107"/>
  <c r="I15" i="111" s="1"/>
  <c r="J15" i="107"/>
  <c r="J15" i="111" s="1"/>
  <c r="K15" i="107"/>
  <c r="K15" i="111" s="1"/>
  <c r="L15" i="107"/>
  <c r="L15" i="111" s="1"/>
  <c r="M15" i="107"/>
  <c r="M15" i="111" s="1"/>
  <c r="N15" i="107"/>
  <c r="N15" i="111" s="1"/>
  <c r="C16" i="107"/>
  <c r="C16" i="111" s="1"/>
  <c r="D16" i="107"/>
  <c r="D16" i="111" s="1"/>
  <c r="E16" i="107"/>
  <c r="E16" i="111" s="1"/>
  <c r="F16" i="107"/>
  <c r="F16" i="111" s="1"/>
  <c r="G16" i="107"/>
  <c r="G16" i="111" s="1"/>
  <c r="H16" i="107"/>
  <c r="H16" i="111" s="1"/>
  <c r="I16" i="107"/>
  <c r="I16" i="111" s="1"/>
  <c r="J16" i="107"/>
  <c r="J16" i="111" s="1"/>
  <c r="K16" i="107"/>
  <c r="K16" i="111" s="1"/>
  <c r="L16" i="107"/>
  <c r="L16" i="111" s="1"/>
  <c r="M16" i="107"/>
  <c r="M16" i="111" s="1"/>
  <c r="N16" i="107"/>
  <c r="N16" i="111" s="1"/>
  <c r="C17" i="107"/>
  <c r="C17" i="111" s="1"/>
  <c r="D17" i="107"/>
  <c r="D17" i="111" s="1"/>
  <c r="E17" i="107"/>
  <c r="E17" i="111" s="1"/>
  <c r="F17" i="107"/>
  <c r="F17" i="111" s="1"/>
  <c r="G17" i="107"/>
  <c r="G17" i="111" s="1"/>
  <c r="H17" i="107"/>
  <c r="H17" i="111" s="1"/>
  <c r="I17" i="107"/>
  <c r="I17" i="111" s="1"/>
  <c r="J17" i="107"/>
  <c r="J17" i="111" s="1"/>
  <c r="K17" i="107"/>
  <c r="K17" i="111" s="1"/>
  <c r="L17" i="107"/>
  <c r="L17" i="111" s="1"/>
  <c r="M17" i="107"/>
  <c r="M17" i="111" s="1"/>
  <c r="N17" i="107"/>
  <c r="N17" i="111" s="1"/>
  <c r="C18" i="107"/>
  <c r="C18" i="111" s="1"/>
  <c r="D18" i="107"/>
  <c r="D18" i="111" s="1"/>
  <c r="E18" i="107"/>
  <c r="E18" i="111" s="1"/>
  <c r="F18" i="107"/>
  <c r="F18" i="111" s="1"/>
  <c r="G18" i="107"/>
  <c r="G18" i="111" s="1"/>
  <c r="H18" i="107"/>
  <c r="H18" i="111" s="1"/>
  <c r="I18" i="107"/>
  <c r="I18" i="111" s="1"/>
  <c r="J18" i="107"/>
  <c r="J18" i="111" s="1"/>
  <c r="K18" i="107"/>
  <c r="K18" i="111" s="1"/>
  <c r="L18" i="107"/>
  <c r="L18" i="111" s="1"/>
  <c r="M18" i="107"/>
  <c r="M18" i="111" s="1"/>
  <c r="N18" i="107"/>
  <c r="N18" i="111" s="1"/>
  <c r="C19" i="107"/>
  <c r="C19" i="111" s="1"/>
  <c r="D19" i="107"/>
  <c r="D19" i="111" s="1"/>
  <c r="E19" i="107"/>
  <c r="E19" i="111" s="1"/>
  <c r="F19" i="107"/>
  <c r="F19" i="111" s="1"/>
  <c r="G19" i="107"/>
  <c r="G19" i="111" s="1"/>
  <c r="H19" i="107"/>
  <c r="H19" i="111" s="1"/>
  <c r="I19" i="107"/>
  <c r="I19" i="111" s="1"/>
  <c r="J19" i="107"/>
  <c r="J19" i="111" s="1"/>
  <c r="K19" i="107"/>
  <c r="K19" i="111" s="1"/>
  <c r="L19" i="107"/>
  <c r="L19" i="111" s="1"/>
  <c r="M19" i="107"/>
  <c r="M19" i="111" s="1"/>
  <c r="N19" i="107"/>
  <c r="N19" i="111" s="1"/>
  <c r="C20" i="107"/>
  <c r="C20" i="111" s="1"/>
  <c r="D20" i="107"/>
  <c r="D20" i="111" s="1"/>
  <c r="E20" i="107"/>
  <c r="E20" i="111" s="1"/>
  <c r="F20" i="107"/>
  <c r="F20" i="111" s="1"/>
  <c r="G20" i="107"/>
  <c r="G20" i="111" s="1"/>
  <c r="H20" i="107"/>
  <c r="H20" i="111" s="1"/>
  <c r="I20" i="107"/>
  <c r="I20" i="111" s="1"/>
  <c r="J20" i="107"/>
  <c r="J20" i="111" s="1"/>
  <c r="K20" i="107"/>
  <c r="K20" i="111" s="1"/>
  <c r="L20" i="107"/>
  <c r="L20" i="111" s="1"/>
  <c r="M20" i="107"/>
  <c r="M20" i="111" s="1"/>
  <c r="N20" i="107"/>
  <c r="N20" i="111" s="1"/>
  <c r="C21" i="107"/>
  <c r="C21" i="111" s="1"/>
  <c r="D21" i="107"/>
  <c r="D21" i="111" s="1"/>
  <c r="E21" i="107"/>
  <c r="E21" i="111" s="1"/>
  <c r="F21" i="107"/>
  <c r="F21" i="111" s="1"/>
  <c r="G21" i="107"/>
  <c r="G21" i="111" s="1"/>
  <c r="H21" i="107"/>
  <c r="H21" i="111" s="1"/>
  <c r="I21" i="107"/>
  <c r="I21" i="111" s="1"/>
  <c r="J21" i="107"/>
  <c r="J21" i="111" s="1"/>
  <c r="K21" i="107"/>
  <c r="K21" i="111" s="1"/>
  <c r="L21" i="107"/>
  <c r="L21" i="111" s="1"/>
  <c r="M21" i="107"/>
  <c r="M21" i="111" s="1"/>
  <c r="N21" i="107"/>
  <c r="N21" i="111" s="1"/>
  <c r="C22" i="107"/>
  <c r="C22" i="111" s="1"/>
  <c r="D22" i="107"/>
  <c r="D22" i="111" s="1"/>
  <c r="E22" i="107"/>
  <c r="E22" i="111" s="1"/>
  <c r="F22" i="107"/>
  <c r="F22" i="111" s="1"/>
  <c r="G22" i="107"/>
  <c r="G22" i="111" s="1"/>
  <c r="H22" i="107"/>
  <c r="H22" i="111" s="1"/>
  <c r="I22" i="107"/>
  <c r="I22" i="111" s="1"/>
  <c r="J22" i="107"/>
  <c r="J22" i="111" s="1"/>
  <c r="K22" i="107"/>
  <c r="K22" i="111" s="1"/>
  <c r="L22" i="107"/>
  <c r="L22" i="111" s="1"/>
  <c r="M22" i="107"/>
  <c r="M22" i="111" s="1"/>
  <c r="N22" i="107"/>
  <c r="N22" i="111" s="1"/>
  <c r="C23" i="107"/>
  <c r="C23" i="111" s="1"/>
  <c r="D23" i="107"/>
  <c r="D23" i="111" s="1"/>
  <c r="E23" i="107"/>
  <c r="E23" i="111" s="1"/>
  <c r="F23" i="107"/>
  <c r="F23" i="111" s="1"/>
  <c r="G23" i="107"/>
  <c r="G23" i="111" s="1"/>
  <c r="H23" i="107"/>
  <c r="H23" i="111" s="1"/>
  <c r="I23" i="107"/>
  <c r="I23" i="111" s="1"/>
  <c r="J23" i="107"/>
  <c r="J23" i="111" s="1"/>
  <c r="K23" i="107"/>
  <c r="K23" i="111" s="1"/>
  <c r="L23" i="107"/>
  <c r="L23" i="111" s="1"/>
  <c r="M23" i="107"/>
  <c r="M23" i="111" s="1"/>
  <c r="N23" i="107"/>
  <c r="N23" i="111" s="1"/>
  <c r="C24" i="107"/>
  <c r="C24" i="111" s="1"/>
  <c r="D24" i="107"/>
  <c r="D24" i="111" s="1"/>
  <c r="E24" i="107"/>
  <c r="E24" i="111" s="1"/>
  <c r="F24" i="107"/>
  <c r="F24" i="111" s="1"/>
  <c r="G24" i="107"/>
  <c r="G24" i="111" s="1"/>
  <c r="H24" i="107"/>
  <c r="H24" i="111" s="1"/>
  <c r="I24" i="107"/>
  <c r="I24" i="111" s="1"/>
  <c r="J24" i="107"/>
  <c r="J24" i="111" s="1"/>
  <c r="K24" i="107"/>
  <c r="K24" i="111" s="1"/>
  <c r="L24" i="107"/>
  <c r="L24" i="111" s="1"/>
  <c r="M24" i="107"/>
  <c r="M24" i="111" s="1"/>
  <c r="N24" i="107"/>
  <c r="N24" i="111" s="1"/>
  <c r="C25" i="107"/>
  <c r="C25" i="111" s="1"/>
  <c r="D25" i="107"/>
  <c r="D25" i="111" s="1"/>
  <c r="E25" i="107"/>
  <c r="E25" i="111" s="1"/>
  <c r="F25" i="107"/>
  <c r="F25" i="111" s="1"/>
  <c r="G25" i="107"/>
  <c r="G25" i="111" s="1"/>
  <c r="H25" i="107"/>
  <c r="H25" i="111" s="1"/>
  <c r="I25" i="107"/>
  <c r="I25" i="111" s="1"/>
  <c r="J25" i="107"/>
  <c r="J25" i="111" s="1"/>
  <c r="K25" i="107"/>
  <c r="K25" i="111" s="1"/>
  <c r="L25" i="107"/>
  <c r="L25" i="111" s="1"/>
  <c r="M25" i="107"/>
  <c r="M25" i="111" s="1"/>
  <c r="N25" i="107"/>
  <c r="N25" i="111" s="1"/>
  <c r="C26" i="107"/>
  <c r="C26" i="111" s="1"/>
  <c r="D26" i="107"/>
  <c r="D26" i="111" s="1"/>
  <c r="E26" i="107"/>
  <c r="E26" i="111" s="1"/>
  <c r="F26" i="107"/>
  <c r="F26" i="111" s="1"/>
  <c r="G26" i="107"/>
  <c r="G26" i="111" s="1"/>
  <c r="H26" i="107"/>
  <c r="H26" i="111" s="1"/>
  <c r="I26" i="107"/>
  <c r="I26" i="111" s="1"/>
  <c r="J26" i="107"/>
  <c r="J26" i="111" s="1"/>
  <c r="K26" i="107"/>
  <c r="K26" i="111" s="1"/>
  <c r="L26" i="107"/>
  <c r="L26" i="111" s="1"/>
  <c r="M26" i="107"/>
  <c r="M26" i="111" s="1"/>
  <c r="N26" i="107"/>
  <c r="N26" i="111" s="1"/>
  <c r="C27" i="107"/>
  <c r="C27" i="111" s="1"/>
  <c r="D27" i="107"/>
  <c r="D27" i="111" s="1"/>
  <c r="E27" i="107"/>
  <c r="E27" i="111" s="1"/>
  <c r="F27" i="107"/>
  <c r="F27" i="111" s="1"/>
  <c r="G27" i="107"/>
  <c r="G27" i="111" s="1"/>
  <c r="H27" i="107"/>
  <c r="H27" i="111" s="1"/>
  <c r="I27" i="107"/>
  <c r="I27" i="111" s="1"/>
  <c r="J27" i="107"/>
  <c r="J27" i="111" s="1"/>
  <c r="K27" i="107"/>
  <c r="K27" i="111" s="1"/>
  <c r="L27" i="107"/>
  <c r="L27" i="111" s="1"/>
  <c r="M27" i="107"/>
  <c r="M27" i="111" s="1"/>
  <c r="N27" i="107"/>
  <c r="N27" i="111" s="1"/>
  <c r="C28" i="107"/>
  <c r="C28" i="111" s="1"/>
  <c r="D28" i="107"/>
  <c r="D28" i="111" s="1"/>
  <c r="E28" i="107"/>
  <c r="E28" i="111" s="1"/>
  <c r="F28" i="107"/>
  <c r="F28" i="111" s="1"/>
  <c r="G28" i="107"/>
  <c r="G28" i="111" s="1"/>
  <c r="H28" i="107"/>
  <c r="H28" i="111" s="1"/>
  <c r="I28" i="107"/>
  <c r="I28" i="111" s="1"/>
  <c r="J28" i="107"/>
  <c r="J28" i="111" s="1"/>
  <c r="K28" i="107"/>
  <c r="K28" i="111" s="1"/>
  <c r="L28" i="107"/>
  <c r="L28" i="111" s="1"/>
  <c r="M28" i="107"/>
  <c r="M28" i="111" s="1"/>
  <c r="N28" i="107"/>
  <c r="N28" i="111" s="1"/>
  <c r="C29" i="107"/>
  <c r="C29" i="111" s="1"/>
  <c r="D29" i="107"/>
  <c r="D29" i="111" s="1"/>
  <c r="E29" i="107"/>
  <c r="E29" i="111" s="1"/>
  <c r="F29" i="107"/>
  <c r="F29" i="111" s="1"/>
  <c r="G29" i="107"/>
  <c r="G29" i="111" s="1"/>
  <c r="H29" i="107"/>
  <c r="H29" i="111" s="1"/>
  <c r="I29" i="107"/>
  <c r="I29" i="111" s="1"/>
  <c r="J29" i="107"/>
  <c r="J29" i="111" s="1"/>
  <c r="K29" i="107"/>
  <c r="K29" i="111" s="1"/>
  <c r="L29" i="107"/>
  <c r="L29" i="111" s="1"/>
  <c r="M29" i="107"/>
  <c r="M29" i="111" s="1"/>
  <c r="N29" i="107"/>
  <c r="N29" i="111" s="1"/>
  <c r="C30" i="107"/>
  <c r="C30" i="111" s="1"/>
  <c r="D30" i="107"/>
  <c r="D30" i="111" s="1"/>
  <c r="E30" i="107"/>
  <c r="E30" i="111" s="1"/>
  <c r="F30" i="107"/>
  <c r="F30" i="111" s="1"/>
  <c r="G30" i="107"/>
  <c r="G30" i="111" s="1"/>
  <c r="H30" i="107"/>
  <c r="H30" i="111" s="1"/>
  <c r="I30" i="107"/>
  <c r="I30" i="111" s="1"/>
  <c r="J30" i="107"/>
  <c r="J30" i="111" s="1"/>
  <c r="K30" i="107"/>
  <c r="K30" i="111" s="1"/>
  <c r="L30" i="107"/>
  <c r="L30" i="111" s="1"/>
  <c r="M30" i="107"/>
  <c r="M30" i="111" s="1"/>
  <c r="N30" i="107"/>
  <c r="N30" i="111" s="1"/>
  <c r="C31" i="107"/>
  <c r="C31" i="111" s="1"/>
  <c r="D31" i="107"/>
  <c r="D31" i="111" s="1"/>
  <c r="E31" i="107"/>
  <c r="E31" i="111" s="1"/>
  <c r="F31" i="107"/>
  <c r="F31" i="111" s="1"/>
  <c r="G31" i="107"/>
  <c r="G31" i="111" s="1"/>
  <c r="H31" i="107"/>
  <c r="H31" i="111" s="1"/>
  <c r="I31" i="107"/>
  <c r="I31" i="111" s="1"/>
  <c r="J31" i="107"/>
  <c r="J31" i="111" s="1"/>
  <c r="K31" i="107"/>
  <c r="K31" i="111" s="1"/>
  <c r="L31" i="107"/>
  <c r="L31" i="111" s="1"/>
  <c r="M31" i="107"/>
  <c r="M31" i="111" s="1"/>
  <c r="N31" i="107"/>
  <c r="N31" i="111" s="1"/>
  <c r="C32" i="107"/>
  <c r="C32" i="111" s="1"/>
  <c r="D32" i="107"/>
  <c r="D32" i="111" s="1"/>
  <c r="E32" i="107"/>
  <c r="E32" i="111" s="1"/>
  <c r="F32" i="107"/>
  <c r="F32" i="111" s="1"/>
  <c r="G32" i="107"/>
  <c r="G32" i="111" s="1"/>
  <c r="H32" i="107"/>
  <c r="H32" i="111" s="1"/>
  <c r="I32" i="107"/>
  <c r="I32" i="111" s="1"/>
  <c r="J32" i="107"/>
  <c r="J32" i="111" s="1"/>
  <c r="K32" i="107"/>
  <c r="K32" i="111" s="1"/>
  <c r="L32" i="107"/>
  <c r="L32" i="111" s="1"/>
  <c r="M32" i="107"/>
  <c r="M32" i="111" s="1"/>
  <c r="N32" i="107"/>
  <c r="N32" i="111" s="1"/>
  <c r="C33" i="107"/>
  <c r="C33" i="111" s="1"/>
  <c r="D33" i="107"/>
  <c r="D33" i="111" s="1"/>
  <c r="E33" i="107"/>
  <c r="E33" i="111" s="1"/>
  <c r="F33" i="107"/>
  <c r="F33" i="111" s="1"/>
  <c r="G33" i="107"/>
  <c r="G33" i="111" s="1"/>
  <c r="H33" i="107"/>
  <c r="H33" i="111" s="1"/>
  <c r="I33" i="107"/>
  <c r="I33" i="111" s="1"/>
  <c r="J33" i="107"/>
  <c r="J33" i="111" s="1"/>
  <c r="K33" i="107"/>
  <c r="K33" i="111" s="1"/>
  <c r="L33" i="107"/>
  <c r="L33" i="111" s="1"/>
  <c r="M33" i="107"/>
  <c r="M33" i="111" s="1"/>
  <c r="N33" i="107"/>
  <c r="N33" i="111" s="1"/>
  <c r="C34" i="107"/>
  <c r="C34" i="111" s="1"/>
  <c r="D34" i="107"/>
  <c r="D34" i="111" s="1"/>
  <c r="E34" i="107"/>
  <c r="E34" i="111" s="1"/>
  <c r="F34" i="107"/>
  <c r="F34" i="111" s="1"/>
  <c r="G34" i="107"/>
  <c r="G34" i="111" s="1"/>
  <c r="H34" i="107"/>
  <c r="H34" i="111" s="1"/>
  <c r="I34" i="107"/>
  <c r="I34" i="111" s="1"/>
  <c r="J34" i="107"/>
  <c r="J34" i="111" s="1"/>
  <c r="K34" i="107"/>
  <c r="K34" i="111" s="1"/>
  <c r="L34" i="107"/>
  <c r="L34" i="111" s="1"/>
  <c r="M34" i="107"/>
  <c r="M34" i="111" s="1"/>
  <c r="N34" i="107"/>
  <c r="N34" i="111" s="1"/>
  <c r="C35" i="107"/>
  <c r="C35" i="111" s="1"/>
  <c r="D35" i="107"/>
  <c r="D35" i="111" s="1"/>
  <c r="E35" i="107"/>
  <c r="E35" i="111" s="1"/>
  <c r="F35" i="107"/>
  <c r="F35" i="111" s="1"/>
  <c r="G35" i="107"/>
  <c r="G35" i="111" s="1"/>
  <c r="H35" i="107"/>
  <c r="H35" i="111" s="1"/>
  <c r="I35" i="107"/>
  <c r="I35" i="111" s="1"/>
  <c r="J35" i="107"/>
  <c r="J35" i="111" s="1"/>
  <c r="K35" i="107"/>
  <c r="K35" i="111" s="1"/>
  <c r="L35" i="107"/>
  <c r="L35" i="111" s="1"/>
  <c r="M35" i="107"/>
  <c r="M35" i="111" s="1"/>
  <c r="N35" i="107"/>
  <c r="N35" i="111" s="1"/>
  <c r="C36" i="107"/>
  <c r="C36" i="111" s="1"/>
  <c r="D36" i="107"/>
  <c r="D36" i="111" s="1"/>
  <c r="E36" i="107"/>
  <c r="E36" i="111" s="1"/>
  <c r="F36" i="107"/>
  <c r="F36" i="111" s="1"/>
  <c r="G36" i="107"/>
  <c r="G36" i="111" s="1"/>
  <c r="H36" i="107"/>
  <c r="H36" i="111" s="1"/>
  <c r="I36" i="107"/>
  <c r="I36" i="111" s="1"/>
  <c r="J36" i="107"/>
  <c r="J36" i="111" s="1"/>
  <c r="K36" i="107"/>
  <c r="K36" i="111" s="1"/>
  <c r="L36" i="107"/>
  <c r="L36" i="111" s="1"/>
  <c r="M36" i="107"/>
  <c r="M36" i="111" s="1"/>
  <c r="N36" i="107"/>
  <c r="N36" i="111" s="1"/>
  <c r="C37" i="107"/>
  <c r="C37" i="111" s="1"/>
  <c r="D37" i="107"/>
  <c r="D37" i="111" s="1"/>
  <c r="E37" i="107"/>
  <c r="E37" i="111" s="1"/>
  <c r="F37" i="107"/>
  <c r="F37" i="111" s="1"/>
  <c r="G37" i="107"/>
  <c r="G37" i="111" s="1"/>
  <c r="H37" i="107"/>
  <c r="H37" i="111" s="1"/>
  <c r="I37" i="107"/>
  <c r="I37" i="111" s="1"/>
  <c r="J37" i="107"/>
  <c r="J37" i="111" s="1"/>
  <c r="K37" i="107"/>
  <c r="K37" i="111" s="1"/>
  <c r="L37" i="107"/>
  <c r="L37" i="111" s="1"/>
  <c r="M37" i="107"/>
  <c r="M37" i="111" s="1"/>
  <c r="N37" i="107"/>
  <c r="N37" i="111" s="1"/>
  <c r="C38" i="107"/>
  <c r="C38" i="111" s="1"/>
  <c r="D38" i="107"/>
  <c r="D38" i="111" s="1"/>
  <c r="E38" i="107"/>
  <c r="E38" i="111" s="1"/>
  <c r="F38" i="107"/>
  <c r="F38" i="111" s="1"/>
  <c r="G38" i="107"/>
  <c r="G38" i="111" s="1"/>
  <c r="H38" i="107"/>
  <c r="H38" i="111" s="1"/>
  <c r="I38" i="107"/>
  <c r="I38" i="111" s="1"/>
  <c r="J38" i="107"/>
  <c r="J38" i="111" s="1"/>
  <c r="K38" i="107"/>
  <c r="K38" i="111" s="1"/>
  <c r="L38" i="107"/>
  <c r="L38" i="111" s="1"/>
  <c r="M38" i="107"/>
  <c r="M38" i="111" s="1"/>
  <c r="N38" i="107"/>
  <c r="N38" i="111" s="1"/>
  <c r="C39" i="107"/>
  <c r="C39" i="111" s="1"/>
  <c r="D39" i="107"/>
  <c r="D39" i="111" s="1"/>
  <c r="E39" i="107"/>
  <c r="E39" i="111" s="1"/>
  <c r="F39" i="107"/>
  <c r="F39" i="111" s="1"/>
  <c r="G39" i="107"/>
  <c r="G39" i="111" s="1"/>
  <c r="H39" i="107"/>
  <c r="H39" i="111" s="1"/>
  <c r="I39" i="107"/>
  <c r="I39" i="111" s="1"/>
  <c r="J39" i="107"/>
  <c r="J39" i="111" s="1"/>
  <c r="K39" i="107"/>
  <c r="K39" i="111" s="1"/>
  <c r="L39" i="107"/>
  <c r="L39" i="111" s="1"/>
  <c r="M39" i="107"/>
  <c r="M39" i="111" s="1"/>
  <c r="N39" i="107"/>
  <c r="N39" i="111" s="1"/>
  <c r="C40" i="107"/>
  <c r="C40" i="111" s="1"/>
  <c r="D40" i="107"/>
  <c r="D40" i="111" s="1"/>
  <c r="E40" i="107"/>
  <c r="E40" i="111" s="1"/>
  <c r="F40" i="107"/>
  <c r="F40" i="111" s="1"/>
  <c r="G40" i="107"/>
  <c r="G40" i="111" s="1"/>
  <c r="H40" i="107"/>
  <c r="H40" i="111" s="1"/>
  <c r="I40" i="107"/>
  <c r="I40" i="111" s="1"/>
  <c r="J40" i="107"/>
  <c r="J40" i="111" s="1"/>
  <c r="K40" i="107"/>
  <c r="K40" i="111" s="1"/>
  <c r="L40" i="107"/>
  <c r="L40" i="111" s="1"/>
  <c r="M40" i="107"/>
  <c r="M40" i="111" s="1"/>
  <c r="N40" i="107"/>
  <c r="N40" i="111" s="1"/>
  <c r="C41" i="107"/>
  <c r="C41" i="111" s="1"/>
  <c r="D41" i="107"/>
  <c r="D41" i="111" s="1"/>
  <c r="E41" i="107"/>
  <c r="E41" i="111" s="1"/>
  <c r="F41" i="107"/>
  <c r="F41" i="111" s="1"/>
  <c r="G41" i="107"/>
  <c r="G41" i="111" s="1"/>
  <c r="H41" i="107"/>
  <c r="H41" i="111" s="1"/>
  <c r="I41" i="107"/>
  <c r="I41" i="111" s="1"/>
  <c r="J41" i="107"/>
  <c r="J41" i="111" s="1"/>
  <c r="K41" i="107"/>
  <c r="K41" i="111" s="1"/>
  <c r="L41" i="107"/>
  <c r="L41" i="111" s="1"/>
  <c r="M41" i="107"/>
  <c r="M41" i="111" s="1"/>
  <c r="N41" i="107"/>
  <c r="N41" i="111" s="1"/>
  <c r="C42" i="107"/>
  <c r="C42" i="111" s="1"/>
  <c r="D42" i="107"/>
  <c r="D42" i="111" s="1"/>
  <c r="E42" i="107"/>
  <c r="E42" i="111" s="1"/>
  <c r="F42" i="107"/>
  <c r="F42" i="111" s="1"/>
  <c r="G42" i="107"/>
  <c r="G42" i="111" s="1"/>
  <c r="H42" i="107"/>
  <c r="H42" i="111" s="1"/>
  <c r="I42" i="107"/>
  <c r="I42" i="111" s="1"/>
  <c r="J42" i="107"/>
  <c r="J42" i="111" s="1"/>
  <c r="K42" i="107"/>
  <c r="K42" i="111" s="1"/>
  <c r="L42" i="107"/>
  <c r="L42" i="111" s="1"/>
  <c r="M42" i="107"/>
  <c r="M42" i="111" s="1"/>
  <c r="N42" i="107"/>
  <c r="N42" i="111" s="1"/>
  <c r="C43" i="107"/>
  <c r="C43" i="111" s="1"/>
  <c r="D43" i="107"/>
  <c r="D43" i="111" s="1"/>
  <c r="E43" i="107"/>
  <c r="E43" i="111" s="1"/>
  <c r="F43" i="107"/>
  <c r="F43" i="111" s="1"/>
  <c r="G43" i="107"/>
  <c r="G43" i="111" s="1"/>
  <c r="H43" i="107"/>
  <c r="H43" i="111" s="1"/>
  <c r="I43" i="107"/>
  <c r="I43" i="111" s="1"/>
  <c r="J43" i="107"/>
  <c r="J43" i="111" s="1"/>
  <c r="K43" i="107"/>
  <c r="K43" i="111" s="1"/>
  <c r="L43" i="107"/>
  <c r="L43" i="111" s="1"/>
  <c r="M43" i="107"/>
  <c r="M43" i="111" s="1"/>
  <c r="N43" i="107"/>
  <c r="N43" i="111" s="1"/>
  <c r="C44" i="107"/>
  <c r="C44" i="111" s="1"/>
  <c r="D44" i="107"/>
  <c r="D44" i="111" s="1"/>
  <c r="E44" i="107"/>
  <c r="E44" i="111" s="1"/>
  <c r="F44" i="107"/>
  <c r="F44" i="111" s="1"/>
  <c r="G44" i="107"/>
  <c r="G44" i="111" s="1"/>
  <c r="H44" i="107"/>
  <c r="H44" i="111" s="1"/>
  <c r="I44" i="107"/>
  <c r="I44" i="111" s="1"/>
  <c r="J44" i="107"/>
  <c r="J44" i="111" s="1"/>
  <c r="K44" i="107"/>
  <c r="K44" i="111" s="1"/>
  <c r="L44" i="107"/>
  <c r="L44" i="111" s="1"/>
  <c r="M44" i="107"/>
  <c r="M44" i="111" s="1"/>
  <c r="N44" i="107"/>
  <c r="N44" i="111" s="1"/>
  <c r="C45" i="107"/>
  <c r="C45" i="111" s="1"/>
  <c r="D45" i="107"/>
  <c r="D45" i="111" s="1"/>
  <c r="E45" i="107"/>
  <c r="E45" i="111" s="1"/>
  <c r="F45" i="107"/>
  <c r="F45" i="111" s="1"/>
  <c r="G45" i="107"/>
  <c r="G45" i="111" s="1"/>
  <c r="H45" i="107"/>
  <c r="H45" i="111" s="1"/>
  <c r="I45" i="107"/>
  <c r="I45" i="111" s="1"/>
  <c r="J45" i="107"/>
  <c r="J45" i="111" s="1"/>
  <c r="K45" i="107"/>
  <c r="K45" i="111" s="1"/>
  <c r="L45" i="107"/>
  <c r="L45" i="111" s="1"/>
  <c r="M45" i="107"/>
  <c r="M45" i="111" s="1"/>
  <c r="N45" i="107"/>
  <c r="N45" i="111" s="1"/>
  <c r="C46" i="107"/>
  <c r="C46" i="111" s="1"/>
  <c r="D46" i="107"/>
  <c r="D46" i="111" s="1"/>
  <c r="E46" i="107"/>
  <c r="E46" i="111" s="1"/>
  <c r="F46" i="107"/>
  <c r="F46" i="111" s="1"/>
  <c r="G46" i="107"/>
  <c r="G46" i="111" s="1"/>
  <c r="H46" i="107"/>
  <c r="H46" i="111" s="1"/>
  <c r="I46" i="107"/>
  <c r="I46" i="111" s="1"/>
  <c r="J46" i="107"/>
  <c r="J46" i="111" s="1"/>
  <c r="K46" i="107"/>
  <c r="K46" i="111" s="1"/>
  <c r="L46" i="107"/>
  <c r="L46" i="111" s="1"/>
  <c r="M46" i="107"/>
  <c r="M46" i="111" s="1"/>
  <c r="N46" i="107"/>
  <c r="N46" i="111" s="1"/>
  <c r="C47" i="107"/>
  <c r="C47" i="111" s="1"/>
  <c r="D47" i="107"/>
  <c r="D47" i="111" s="1"/>
  <c r="E47" i="107"/>
  <c r="E47" i="111" s="1"/>
  <c r="F47" i="107"/>
  <c r="F47" i="111" s="1"/>
  <c r="G47" i="107"/>
  <c r="G47" i="111" s="1"/>
  <c r="H47" i="107"/>
  <c r="H47" i="111" s="1"/>
  <c r="I47" i="107"/>
  <c r="I47" i="111" s="1"/>
  <c r="J47" i="107"/>
  <c r="J47" i="111" s="1"/>
  <c r="K47" i="107"/>
  <c r="K47" i="111" s="1"/>
  <c r="L47" i="107"/>
  <c r="L47" i="111" s="1"/>
  <c r="M47" i="107"/>
  <c r="M47" i="111" s="1"/>
  <c r="N47" i="107"/>
  <c r="N47" i="111" s="1"/>
  <c r="C48" i="107"/>
  <c r="C48" i="111" s="1"/>
  <c r="D48" i="107"/>
  <c r="D48" i="111" s="1"/>
  <c r="E48" i="107"/>
  <c r="E48" i="111" s="1"/>
  <c r="F48" i="107"/>
  <c r="F48" i="111" s="1"/>
  <c r="G48" i="107"/>
  <c r="G48" i="111" s="1"/>
  <c r="H48" i="107"/>
  <c r="H48" i="111" s="1"/>
  <c r="I48" i="107"/>
  <c r="I48" i="111" s="1"/>
  <c r="J48" i="107"/>
  <c r="J48" i="111" s="1"/>
  <c r="K48" i="107"/>
  <c r="K48" i="111" s="1"/>
  <c r="L48" i="107"/>
  <c r="L48" i="111" s="1"/>
  <c r="M48" i="107"/>
  <c r="M48" i="111" s="1"/>
  <c r="N48" i="107"/>
  <c r="N48" i="111" s="1"/>
  <c r="C49" i="107"/>
  <c r="C49" i="111" s="1"/>
  <c r="D49" i="107"/>
  <c r="D49" i="111" s="1"/>
  <c r="E49" i="107"/>
  <c r="E49" i="111" s="1"/>
  <c r="F49" i="107"/>
  <c r="F49" i="111" s="1"/>
  <c r="G49" i="107"/>
  <c r="G49" i="111" s="1"/>
  <c r="H49" i="107"/>
  <c r="H49" i="111" s="1"/>
  <c r="I49" i="107"/>
  <c r="I49" i="111" s="1"/>
  <c r="J49" i="107"/>
  <c r="J49" i="111" s="1"/>
  <c r="K49" i="107"/>
  <c r="K49" i="111" s="1"/>
  <c r="L49" i="107"/>
  <c r="L49" i="111" s="1"/>
  <c r="M49" i="107"/>
  <c r="M49" i="111" s="1"/>
  <c r="N49" i="107"/>
  <c r="N49" i="111" s="1"/>
  <c r="C50" i="107"/>
  <c r="C50" i="111" s="1"/>
  <c r="D50" i="107"/>
  <c r="D50" i="111" s="1"/>
  <c r="E50" i="107"/>
  <c r="E50" i="111" s="1"/>
  <c r="F50" i="107"/>
  <c r="F50" i="111" s="1"/>
  <c r="G50" i="107"/>
  <c r="G50" i="111" s="1"/>
  <c r="H50" i="107"/>
  <c r="H50" i="111" s="1"/>
  <c r="I50" i="107"/>
  <c r="I50" i="111" s="1"/>
  <c r="J50" i="107"/>
  <c r="J50" i="111" s="1"/>
  <c r="K50" i="107"/>
  <c r="K50" i="111" s="1"/>
  <c r="L50" i="107"/>
  <c r="L50" i="111" s="1"/>
  <c r="M50" i="107"/>
  <c r="M50" i="111" s="1"/>
  <c r="N50" i="107"/>
  <c r="N50" i="111" s="1"/>
  <c r="C51" i="107"/>
  <c r="C51" i="111" s="1"/>
  <c r="D51" i="107"/>
  <c r="D51" i="111" s="1"/>
  <c r="E51" i="107"/>
  <c r="E51" i="111" s="1"/>
  <c r="F51" i="107"/>
  <c r="F51" i="111" s="1"/>
  <c r="G51" i="107"/>
  <c r="G51" i="111" s="1"/>
  <c r="H51" i="107"/>
  <c r="H51" i="111" s="1"/>
  <c r="I51" i="107"/>
  <c r="I51" i="111" s="1"/>
  <c r="J51" i="107"/>
  <c r="J51" i="111" s="1"/>
  <c r="K51" i="107"/>
  <c r="K51" i="111" s="1"/>
  <c r="L51" i="107"/>
  <c r="L51" i="111" s="1"/>
  <c r="M51" i="107"/>
  <c r="M51" i="111" s="1"/>
  <c r="N51" i="107"/>
  <c r="N51" i="111" s="1"/>
  <c r="C52" i="107"/>
  <c r="C52" i="111" s="1"/>
  <c r="D52" i="107"/>
  <c r="D52" i="111" s="1"/>
  <c r="E52" i="107"/>
  <c r="E52" i="111" s="1"/>
  <c r="F52" i="107"/>
  <c r="F52" i="111" s="1"/>
  <c r="G52" i="107"/>
  <c r="G52" i="111" s="1"/>
  <c r="H52" i="107"/>
  <c r="H52" i="111" s="1"/>
  <c r="I52" i="107"/>
  <c r="I52" i="111" s="1"/>
  <c r="J52" i="107"/>
  <c r="J52" i="111" s="1"/>
  <c r="K52" i="107"/>
  <c r="K52" i="111" s="1"/>
  <c r="L52" i="107"/>
  <c r="L52" i="111" s="1"/>
  <c r="M52" i="107"/>
  <c r="M52" i="111" s="1"/>
  <c r="N52" i="107"/>
  <c r="N52" i="111" s="1"/>
  <c r="C53" i="107"/>
  <c r="C53" i="111" s="1"/>
  <c r="D53" i="107"/>
  <c r="D53" i="111" s="1"/>
  <c r="E53" i="107"/>
  <c r="E53" i="111" s="1"/>
  <c r="F53" i="107"/>
  <c r="F53" i="111" s="1"/>
  <c r="G53" i="107"/>
  <c r="G53" i="111" s="1"/>
  <c r="H53" i="107"/>
  <c r="H53" i="111" s="1"/>
  <c r="I53" i="107"/>
  <c r="I53" i="111" s="1"/>
  <c r="J53" i="107"/>
  <c r="J53" i="111" s="1"/>
  <c r="K53" i="107"/>
  <c r="K53" i="111" s="1"/>
  <c r="L53" i="107"/>
  <c r="L53" i="111" s="1"/>
  <c r="M53" i="107"/>
  <c r="M53" i="111" s="1"/>
  <c r="N53" i="107"/>
  <c r="N53" i="111" s="1"/>
  <c r="C54" i="107"/>
  <c r="C54" i="111" s="1"/>
  <c r="D54" i="107"/>
  <c r="D54" i="111" s="1"/>
  <c r="E54" i="107"/>
  <c r="E54" i="111" s="1"/>
  <c r="F54" i="107"/>
  <c r="F54" i="111" s="1"/>
  <c r="G54" i="107"/>
  <c r="G54" i="111" s="1"/>
  <c r="H54" i="107"/>
  <c r="H54" i="111" s="1"/>
  <c r="I54" i="107"/>
  <c r="I54" i="111" s="1"/>
  <c r="J54" i="107"/>
  <c r="J54" i="111" s="1"/>
  <c r="K54" i="107"/>
  <c r="K54" i="111" s="1"/>
  <c r="L54" i="107"/>
  <c r="L54" i="111" s="1"/>
  <c r="M54" i="107"/>
  <c r="M54" i="111" s="1"/>
  <c r="N54" i="107"/>
  <c r="N54" i="111" s="1"/>
  <c r="C55" i="107"/>
  <c r="C55" i="111" s="1"/>
  <c r="D55" i="107"/>
  <c r="D55" i="111" s="1"/>
  <c r="E55" i="107"/>
  <c r="E55" i="111" s="1"/>
  <c r="F55" i="107"/>
  <c r="F55" i="111" s="1"/>
  <c r="G55" i="107"/>
  <c r="G55" i="111" s="1"/>
  <c r="H55" i="107"/>
  <c r="H55" i="111" s="1"/>
  <c r="I55" i="107"/>
  <c r="I55" i="111" s="1"/>
  <c r="J55" i="107"/>
  <c r="J55" i="111" s="1"/>
  <c r="K55" i="107"/>
  <c r="K55" i="111" s="1"/>
  <c r="L55" i="107"/>
  <c r="L55" i="111" s="1"/>
  <c r="M55" i="107"/>
  <c r="M55" i="111" s="1"/>
  <c r="N55" i="107"/>
  <c r="N55" i="111" s="1"/>
  <c r="C56" i="107"/>
  <c r="C56" i="111" s="1"/>
  <c r="D56" i="107"/>
  <c r="D56" i="111" s="1"/>
  <c r="E56" i="107"/>
  <c r="E56" i="111" s="1"/>
  <c r="F56" i="107"/>
  <c r="F56" i="111" s="1"/>
  <c r="G56" i="107"/>
  <c r="G56" i="111" s="1"/>
  <c r="H56" i="107"/>
  <c r="H56" i="111" s="1"/>
  <c r="I56" i="107"/>
  <c r="I56" i="111" s="1"/>
  <c r="J56" i="107"/>
  <c r="J56" i="111" s="1"/>
  <c r="K56" i="107"/>
  <c r="K56" i="111" s="1"/>
  <c r="L56" i="107"/>
  <c r="L56" i="111" s="1"/>
  <c r="M56" i="107"/>
  <c r="M56" i="111" s="1"/>
  <c r="N56" i="107"/>
  <c r="N56" i="111" s="1"/>
  <c r="C57" i="107"/>
  <c r="C57" i="111" s="1"/>
  <c r="D57" i="107"/>
  <c r="D57" i="111" s="1"/>
  <c r="E57" i="107"/>
  <c r="E57" i="111" s="1"/>
  <c r="F57" i="107"/>
  <c r="F57" i="111" s="1"/>
  <c r="G57" i="107"/>
  <c r="G57" i="111" s="1"/>
  <c r="H57" i="107"/>
  <c r="H57" i="111" s="1"/>
  <c r="I57" i="107"/>
  <c r="I57" i="111" s="1"/>
  <c r="J57" i="107"/>
  <c r="J57" i="111" s="1"/>
  <c r="K57" i="107"/>
  <c r="K57" i="111" s="1"/>
  <c r="L57" i="107"/>
  <c r="L57" i="111" s="1"/>
  <c r="M57" i="107"/>
  <c r="M57" i="111" s="1"/>
  <c r="N57" i="107"/>
  <c r="N57" i="111" s="1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E22" i="111" l="1"/>
  <c r="N10" i="111"/>
  <c r="N106" i="111" s="1"/>
  <c r="N106" i="107"/>
  <c r="O78" i="111"/>
  <c r="AE27" i="111" s="1"/>
  <c r="O86" i="111"/>
  <c r="AE29" i="111" s="1"/>
  <c r="O94" i="111"/>
  <c r="AE31" i="111" s="1"/>
  <c r="AE33" i="111"/>
  <c r="P95" i="111"/>
  <c r="X23" i="111"/>
  <c r="T26" i="111"/>
  <c r="AB28" i="111"/>
  <c r="AE25" i="107"/>
  <c r="AF29" i="107"/>
  <c r="P81" i="111"/>
  <c r="AE28" i="107"/>
  <c r="AE32" i="107"/>
  <c r="P89" i="111"/>
  <c r="P99" i="111"/>
  <c r="F10" i="111"/>
  <c r="F106" i="111" s="1"/>
  <c r="F106" i="107"/>
  <c r="M10" i="111"/>
  <c r="M106" i="107"/>
  <c r="E10" i="111"/>
  <c r="E106" i="111" s="1"/>
  <c r="E106" i="107"/>
  <c r="P78" i="111"/>
  <c r="P86" i="111"/>
  <c r="AF29" i="111" s="1"/>
  <c r="P94" i="111"/>
  <c r="O75" i="111"/>
  <c r="AE26" i="111" s="1"/>
  <c r="P74" i="111"/>
  <c r="AF26" i="111" s="1"/>
  <c r="AF24" i="108"/>
  <c r="AE30" i="108"/>
  <c r="AE25" i="108"/>
  <c r="O68" i="111"/>
  <c r="X31" i="111"/>
  <c r="AF25" i="107"/>
  <c r="AF28" i="107"/>
  <c r="P69" i="111"/>
  <c r="AE33" i="107"/>
  <c r="P58" i="111"/>
  <c r="AF22" i="111" s="1"/>
  <c r="S22" i="111"/>
  <c r="K10" i="111"/>
  <c r="K106" i="107"/>
  <c r="K106" i="108"/>
  <c r="P62" i="111"/>
  <c r="AE23" i="107"/>
  <c r="AE27" i="107"/>
  <c r="AE31" i="107"/>
  <c r="P93" i="111"/>
  <c r="P83" i="111"/>
  <c r="AE26" i="107"/>
  <c r="AE30" i="107"/>
  <c r="P67" i="111"/>
  <c r="AF22" i="107"/>
  <c r="L10" i="111"/>
  <c r="L106" i="111" s="1"/>
  <c r="L106" i="107"/>
  <c r="S30" i="111"/>
  <c r="AF33" i="107"/>
  <c r="J10" i="111"/>
  <c r="J106" i="111" s="1"/>
  <c r="J106" i="107"/>
  <c r="O82" i="111"/>
  <c r="AE28" i="111" s="1"/>
  <c r="O90" i="111"/>
  <c r="AE30" i="111" s="1"/>
  <c r="O98" i="111"/>
  <c r="P63" i="111"/>
  <c r="T22" i="111"/>
  <c r="AB24" i="111"/>
  <c r="X27" i="111"/>
  <c r="T30" i="111"/>
  <c r="AB32" i="111"/>
  <c r="AF27" i="107"/>
  <c r="AF31" i="107"/>
  <c r="AE22" i="108"/>
  <c r="AF26" i="107"/>
  <c r="D10" i="111"/>
  <c r="D106" i="111" s="1"/>
  <c r="D106" i="107"/>
  <c r="S26" i="111"/>
  <c r="I10" i="111"/>
  <c r="I106" i="111" s="1"/>
  <c r="I106" i="107"/>
  <c r="P82" i="111"/>
  <c r="AF28" i="111" s="1"/>
  <c r="P90" i="111"/>
  <c r="P98" i="111"/>
  <c r="AE25" i="111"/>
  <c r="P66" i="111"/>
  <c r="AF32" i="108"/>
  <c r="W22" i="111"/>
  <c r="W30" i="111"/>
  <c r="U25" i="111"/>
  <c r="AE27" i="108"/>
  <c r="AE33" i="108"/>
  <c r="AF22" i="108"/>
  <c r="AF30" i="107"/>
  <c r="P77" i="111"/>
  <c r="P59" i="111"/>
  <c r="P91" i="111"/>
  <c r="H10" i="111"/>
  <c r="H106" i="111" s="1"/>
  <c r="H106" i="107"/>
  <c r="O91" i="111"/>
  <c r="O100" i="111"/>
  <c r="O66" i="111"/>
  <c r="AE24" i="111" s="1"/>
  <c r="AB22" i="111"/>
  <c r="X25" i="111"/>
  <c r="T28" i="111"/>
  <c r="AB30" i="111"/>
  <c r="P85" i="111"/>
  <c r="S25" i="111"/>
  <c r="S29" i="111"/>
  <c r="P101" i="111"/>
  <c r="P65" i="111"/>
  <c r="S28" i="111"/>
  <c r="S32" i="111"/>
  <c r="C10" i="111"/>
  <c r="C106" i="111" s="1"/>
  <c r="C106" i="107"/>
  <c r="G10" i="111"/>
  <c r="G106" i="107"/>
  <c r="C106" i="108"/>
  <c r="G106" i="108"/>
  <c r="O62" i="111"/>
  <c r="AE23" i="111" s="1"/>
  <c r="AF25" i="111"/>
  <c r="AA23" i="111"/>
  <c r="AA31" i="111"/>
  <c r="AE29" i="107"/>
  <c r="P97" i="111"/>
  <c r="P73" i="111"/>
  <c r="AE24" i="107"/>
  <c r="S33" i="111"/>
  <c r="M106" i="111"/>
  <c r="K106" i="111"/>
  <c r="G106" i="111"/>
  <c r="C3" i="103"/>
  <c r="C3" i="94"/>
  <c r="C3" i="98" s="1"/>
  <c r="AE32" i="111" l="1"/>
  <c r="AF23" i="111"/>
  <c r="AF24" i="111"/>
  <c r="AF31" i="111"/>
  <c r="AF32" i="111"/>
  <c r="AF27" i="111"/>
  <c r="AF30" i="111"/>
  <c r="C3" i="104"/>
  <c r="K6" i="98"/>
  <c r="K6" i="99" s="1"/>
  <c r="K6" i="100" s="1"/>
  <c r="K6" i="101" s="1"/>
  <c r="K6" i="109" s="1"/>
  <c r="K6" i="105" s="1"/>
  <c r="K6" i="103" s="1"/>
  <c r="K5" i="101"/>
  <c r="K5" i="109" s="1"/>
  <c r="K5" i="105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4" l="1"/>
  <c r="K6" i="108" s="1"/>
  <c r="K6" i="111" s="1"/>
  <c r="K6" i="107"/>
  <c r="K5" i="11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5"/>
  <c r="C3" i="101"/>
  <c r="C3" i="100"/>
  <c r="C3" i="99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B27" i="97" s="1"/>
  <c r="AA19" i="97"/>
  <c r="Z19" i="97"/>
  <c r="Z27" i="97" s="1"/>
  <c r="Y19" i="97"/>
  <c r="X19" i="97"/>
  <c r="X27" i="97" s="1"/>
  <c r="W19" i="97"/>
  <c r="V19" i="97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Z39" i="105" l="1"/>
  <c r="AA39" i="105"/>
  <c r="S27" i="99"/>
  <c r="S39" i="101"/>
  <c r="T27" i="103"/>
  <c r="AB27" i="103"/>
  <c r="V27" i="97"/>
  <c r="AD27" i="97"/>
  <c r="T27" i="99"/>
  <c r="U24" i="103"/>
  <c r="AA27" i="99"/>
  <c r="X39" i="105"/>
  <c r="U39" i="109"/>
  <c r="AC39" i="109"/>
  <c r="AA39" i="101"/>
  <c r="AD39" i="105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T19" i="108"/>
  <c r="V19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X36" i="101" l="1"/>
  <c r="S38" i="110"/>
  <c r="Y38" i="105"/>
  <c r="X23" i="103"/>
  <c r="AF33" i="101"/>
  <c r="T26" i="103"/>
  <c r="Z26" i="95"/>
  <c r="T36" i="105"/>
  <c r="AB26" i="98"/>
  <c r="AF25" i="101"/>
  <c r="AF28" i="101"/>
  <c r="S38" i="105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AD21" i="108"/>
  <c r="Z20" i="108"/>
  <c r="W27" i="95"/>
  <c r="W24" i="95"/>
  <c r="AB24" i="98"/>
  <c r="W26" i="96"/>
  <c r="V21" i="108"/>
  <c r="AD19" i="108"/>
  <c r="Z21" i="108"/>
  <c r="AD20" i="108"/>
  <c r="V20" i="108"/>
  <c r="Z19" i="108"/>
  <c r="AC26" i="97"/>
  <c r="AC23" i="97"/>
  <c r="T13" i="111"/>
  <c r="AD12" i="111"/>
  <c r="T12" i="111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AA41" i="107" s="1"/>
  <c r="P10" i="107"/>
  <c r="P106" i="107" s="1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O106" i="108" l="1"/>
  <c r="X41" i="108"/>
  <c r="O106" i="107"/>
  <c r="Y41" i="107"/>
  <c r="Z41" i="107"/>
  <c r="W41" i="107"/>
  <c r="W42" i="107" s="1"/>
  <c r="AC41" i="108"/>
  <c r="S41" i="107"/>
  <c r="AB41" i="107"/>
  <c r="AC41" i="107"/>
  <c r="Z41" i="108"/>
  <c r="AD41" i="108"/>
  <c r="V41" i="108"/>
  <c r="V42" i="108" s="1"/>
  <c r="V41" i="107"/>
  <c r="V42" i="107" s="1"/>
  <c r="AD39" i="107"/>
  <c r="S41" i="108"/>
  <c r="AA41" i="108"/>
  <c r="AD41" i="107"/>
  <c r="W41" i="108"/>
  <c r="Y41" i="108"/>
  <c r="T41" i="107"/>
  <c r="T42" i="107" s="1"/>
  <c r="AB41" i="108"/>
  <c r="AB42" i="108" s="1"/>
  <c r="AF10" i="108"/>
  <c r="P106" i="108"/>
  <c r="V22" i="93"/>
  <c r="AE24" i="98"/>
  <c r="S36" i="107"/>
  <c r="X41" i="107"/>
  <c r="X42" i="107" s="1"/>
  <c r="U41" i="107"/>
  <c r="U42" i="107" s="1"/>
  <c r="U41" i="108"/>
  <c r="T41" i="108"/>
  <c r="V36" i="108"/>
  <c r="U36" i="107"/>
  <c r="Y34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X41" i="111" s="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42" i="107" s="1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U41" i="111" l="1"/>
  <c r="V41" i="111"/>
  <c r="T42" i="108"/>
  <c r="S42" i="108"/>
  <c r="S42" i="107"/>
  <c r="X42" i="111"/>
  <c r="AE41" i="108"/>
  <c r="S41" i="111"/>
  <c r="U42" i="108"/>
  <c r="AF41" i="108"/>
  <c r="AC42" i="108"/>
  <c r="Z42" i="107"/>
  <c r="AF41" i="107"/>
  <c r="Y41" i="111"/>
  <c r="Y42" i="111" s="1"/>
  <c r="W41" i="111"/>
  <c r="Y42" i="108"/>
  <c r="AD42" i="108"/>
  <c r="Y42" i="107"/>
  <c r="AE41" i="107"/>
  <c r="W42" i="108"/>
  <c r="Z42" i="108"/>
  <c r="AA41" i="111"/>
  <c r="AA42" i="111" s="1"/>
  <c r="AB41" i="111"/>
  <c r="AB42" i="111" s="1"/>
  <c r="Z41" i="111"/>
  <c r="AD42" i="107"/>
  <c r="AC42" i="107"/>
  <c r="X42" i="108"/>
  <c r="AC41" i="111"/>
  <c r="T41" i="111"/>
  <c r="AA42" i="108"/>
  <c r="AB42" i="107"/>
  <c r="O106" i="11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Z42" i="111"/>
  <c r="S42" i="111"/>
  <c r="W42" i="111"/>
  <c r="AE42" i="108"/>
  <c r="T42" i="111"/>
  <c r="AF34" i="111"/>
  <c r="AF41" i="111"/>
  <c r="AF42" i="111" s="1"/>
  <c r="AC42" i="111"/>
  <c r="AF42" i="107"/>
  <c r="AE42" i="107"/>
  <c r="AF42" i="108"/>
  <c r="V42" i="111"/>
  <c r="U42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<sst xmlns="http://schemas.openxmlformats.org/spreadsheetml/2006/main" count="2335" uniqueCount="181">
  <si>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</si>
  <si>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</si>
  <si>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</si>
  <si>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</si>
  <si>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</si>
  <si>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</si>
  <si>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</si>
  <si>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</si>
  <si>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</si>
  <si>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</si>
  <si>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</si>
  <si>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</si>
  <si>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</si>
  <si>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</si>
  <si>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</si>
  <si>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</si>
  <si>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</si>
  <si>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</si>
  <si>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</si>
  <si>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</si>
  <si>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</si>
  <si>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</si>
  <si>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</si>
  <si>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</si>
  <si>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</si>
  <si>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</si>
  <si>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</si>
  <si>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</si>
  <si>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</si>
  <si>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</si>
  <si>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</si>
  <si>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</si>
  <si>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</si>
  <si>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</si>
  <si>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</si>
  <si>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</si>
  <si>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</si>
  <si>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</si>
  <si>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</si>
  <si>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</si>
  <si>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</si>
  <si>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</si>
  <si>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</si>
  <si>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</si>
  <si>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</si>
  <si>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</si>
  <si>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</si>
  <si>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</si>
  <si>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</si>
  <si>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</si>
  <si>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</si>
  <si>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</si>
  <si>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</si>
  <si>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</si>
  <si>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</si>
  <si>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</si>
  <si>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</si>
  <si>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</si>
  <si>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</si>
  <si>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</si>
  <si>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</si>
  <si>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</si>
  <si>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</si>
  <si>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</si>
  <si>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</si>
  <si>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</si>
  <si>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</si>
  <si>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</si>
  <si>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</si>
  <si>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</si>
  <si>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</si>
  <si>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</si>
  <si>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</si>
  <si>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</si>
  <si>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</si>
  <si>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</si>
  <si>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</si>
  <si>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</si>
  <si>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</si>
  <si>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</si>
  <si>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</si>
  <si>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</si>
  <si>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</si>
  <si>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</si>
  <si>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</si>
  <si>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</si>
  <si>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</si>
  <si>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</si>
  <si>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</si>
  <si>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</si>
  <si>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</si>
  <si>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</si>
  <si>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</si>
  <si>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</si>
  <si>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</si>
  <si>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</si>
  <si>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</si>
  <si>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</si>
  <si>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</si>
  <si>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</si>
  <si>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</si>
  <si>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</si>
  <si>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</si>
  <si>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</si>
  <si>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</si>
  <si>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</si>
  <si>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</si>
  <si>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</si>
  <si>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</si>
  <si>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</si>
  <si>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</si>
  <si>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</si>
  <si>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</si>
  <si>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</si>
  <si>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</si>
  <si>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</si>
  <si>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</si>
  <si>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</si>
  <si>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</si>
  <si>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</si>
  <si>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</si>
  <si>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</si>
  <si>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</si>
  <si>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</si>
  <si>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</si>
  <si>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</si>
  <si>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</si>
  <si>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</si>
  <si>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</si>
  <si>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</si>
  <si>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</si>
  <si>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</si>
  <si>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</si>
  <si>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</si>
  <si>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</si>
  <si>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</si>
  <si>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</si>
  <si>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</si>
  <si>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</si>
  <si>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</si>
  <si>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</si>
  <si>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</si>
  <si>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</si>
  <si>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</si>
  <si>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</si>
  <si>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</si>
  <si>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</si>
  <si>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</si>
  <si>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</si>
  <si>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</si>
  <si>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</si>
  <si>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</si>
  <si>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</si>
  <si>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</si>
  <si>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</si>
  <si>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</si>
  <si>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</si>
  <si>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</si>
  <si>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</si>
  <si>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</si>
  <si>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</si>
  <si>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</si>
  <si>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</si>
  <si>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IBANDA</t>
  </si>
  <si>
    <t>RUHUMBA</t>
  </si>
  <si>
    <t>MBARARA</t>
  </si>
  <si>
    <t>ATUKOL JOSHUA</t>
  </si>
  <si>
    <t>TURYAHABWE NORMAN</t>
  </si>
  <si>
    <t>25.10.2019</t>
  </si>
  <si>
    <t>26.10.2019</t>
  </si>
  <si>
    <t>27.10.2019</t>
  </si>
  <si>
    <t>28.10.2019</t>
  </si>
  <si>
    <t>NAGASHA MONICA</t>
  </si>
  <si>
    <t>29.10.2019</t>
  </si>
  <si>
    <t>KYARISIMA B</t>
  </si>
  <si>
    <t>30.10.2019</t>
  </si>
  <si>
    <t>31.10.2019</t>
  </si>
  <si>
    <t>MCC - C4 - STN102 - IBANDA-MBARARA ROAD</t>
  </si>
  <si>
    <t>XXXX</t>
  </si>
  <si>
    <t>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</si>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</sst>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9" xfId="0" applyFont="1" applyFill="1" applyBorder="1" applyAlignment="1">
      <alignment horizontal="center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Ibanada-Mbarara'!$AE$9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Ibanada-Mbarara'!$R$10:$R$21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Ibanada-Mbarara'!$AE$10:$AE$21</c:f>
              <c:numCache>
                <c:formatCode>0</c:formatCode>
                <c:ptCount val="12"/>
                <c:pt idx="0">
                  <c:v>35</c:v>
                </c:pt>
                <c:pt idx="1">
                  <c:v>48</c:v>
                </c:pt>
                <c:pt idx="2">
                  <c:v>47</c:v>
                </c:pt>
                <c:pt idx="3">
                  <c:v>51</c:v>
                </c:pt>
                <c:pt idx="4">
                  <c:v>45</c:v>
                </c:pt>
                <c:pt idx="5">
                  <c:v>48</c:v>
                </c:pt>
                <c:pt idx="6">
                  <c:v>59</c:v>
                </c:pt>
                <c:pt idx="7">
                  <c:v>40</c:v>
                </c:pt>
                <c:pt idx="8">
                  <c:v>53</c:v>
                </c:pt>
                <c:pt idx="9">
                  <c:v>60</c:v>
                </c:pt>
                <c:pt idx="10">
                  <c:v>59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'25.10 Ibanada-Mbarara'!$AF$9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Ibanada-Mbarara'!$R$10:$R$21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Ibanada-Mbarara'!$AF$10:$AF$21</c:f>
              <c:numCache>
                <c:formatCode>0</c:formatCode>
                <c:ptCount val="12"/>
                <c:pt idx="0">
                  <c:v>61</c:v>
                </c:pt>
                <c:pt idx="1">
                  <c:v>92</c:v>
                </c:pt>
                <c:pt idx="2">
                  <c:v>84</c:v>
                </c:pt>
                <c:pt idx="3">
                  <c:v>86</c:v>
                </c:pt>
                <c:pt idx="4">
                  <c:v>83</c:v>
                </c:pt>
                <c:pt idx="5">
                  <c:v>74</c:v>
                </c:pt>
                <c:pt idx="6">
                  <c:v>97</c:v>
                </c:pt>
                <c:pt idx="7">
                  <c:v>74</c:v>
                </c:pt>
                <c:pt idx="8">
                  <c:v>80</c:v>
                </c:pt>
                <c:pt idx="9">
                  <c:v>117</c:v>
                </c:pt>
                <c:pt idx="10">
                  <c:v>115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416992"/>
        <c:axId val="370418624"/>
      </c:lineChart>
      <c:catAx>
        <c:axId val="370416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18624"/>
        <c:crosses val="autoZero"/>
        <c:auto val="1"/>
        <c:lblAlgn val="ctr"/>
        <c:lblOffset val="100"/>
        <c:noMultiLvlLbl val="0"/>
      </c:catAx>
      <c:valAx>
        <c:axId val="370418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1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Ibanada-Mbarara'!$C$9:$N$9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Ibanada-Mbarara'!$C$59:$N$59</c:f>
              <c:numCache>
                <c:formatCode>0.0%</c:formatCode>
                <c:ptCount val="12"/>
                <c:pt idx="0">
                  <c:v>0.32749077490774908</c:v>
                </c:pt>
                <c:pt idx="1">
                  <c:v>4.6125461254612546E-2</c:v>
                </c:pt>
                <c:pt idx="2">
                  <c:v>3.8745387453874541E-2</c:v>
                </c:pt>
                <c:pt idx="3">
                  <c:v>8.4870848708487087E-2</c:v>
                </c:pt>
                <c:pt idx="4">
                  <c:v>3.6900369003690036E-3</c:v>
                </c:pt>
                <c:pt idx="5">
                  <c:v>5.5350553505535052E-3</c:v>
                </c:pt>
                <c:pt idx="6">
                  <c:v>2.7675276752767528E-2</c:v>
                </c:pt>
                <c:pt idx="7">
                  <c:v>2.3062730627306273E-2</c:v>
                </c:pt>
                <c:pt idx="8">
                  <c:v>3.6900369003690036E-3</c:v>
                </c:pt>
                <c:pt idx="9">
                  <c:v>2.7675276752767526E-3</c:v>
                </c:pt>
                <c:pt idx="10">
                  <c:v>0.43634686346863466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Ibanada-Mbarara'!$C$9:$N$9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Ibanada-Mbarara'!$C$60:$N$60</c:f>
              <c:numCache>
                <c:formatCode>0.00%</c:formatCode>
                <c:ptCount val="12"/>
                <c:pt idx="0">
                  <c:v>0.5810147299509002</c:v>
                </c:pt>
                <c:pt idx="1">
                  <c:v>8.1833060556464818E-2</c:v>
                </c:pt>
                <c:pt idx="2">
                  <c:v>6.8739770867430439E-2</c:v>
                </c:pt>
                <c:pt idx="3">
                  <c:v>0.15057283142389524</c:v>
                </c:pt>
                <c:pt idx="4">
                  <c:v>6.5466448445171853E-3</c:v>
                </c:pt>
                <c:pt idx="5">
                  <c:v>9.8199672667757774E-3</c:v>
                </c:pt>
                <c:pt idx="6">
                  <c:v>4.9099836333878884E-2</c:v>
                </c:pt>
                <c:pt idx="7">
                  <c:v>4.0916530278232409E-2</c:v>
                </c:pt>
                <c:pt idx="8">
                  <c:v>6.5466448445171853E-3</c:v>
                </c:pt>
                <c:pt idx="9">
                  <c:v>4.9099836333878887E-3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Mbarara-Ibanda'!$AE$9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Mbarara-Ibanda'!$AE$10:$AE$21</c:f>
              <c:numCache>
                <c:formatCode>0</c:formatCode>
                <c:ptCount val="12"/>
                <c:pt idx="0">
                  <c:v>26</c:v>
                </c:pt>
                <c:pt idx="1">
                  <c:v>34</c:v>
                </c:pt>
                <c:pt idx="2">
                  <c:v>22</c:v>
                </c:pt>
                <c:pt idx="3">
                  <c:v>34</c:v>
                </c:pt>
                <c:pt idx="4">
                  <c:v>39</c:v>
                </c:pt>
                <c:pt idx="5">
                  <c:v>33</c:v>
                </c:pt>
                <c:pt idx="6">
                  <c:v>48</c:v>
                </c:pt>
                <c:pt idx="7">
                  <c:v>27</c:v>
                </c:pt>
                <c:pt idx="8">
                  <c:v>31</c:v>
                </c:pt>
                <c:pt idx="9">
                  <c:v>40</c:v>
                </c:pt>
                <c:pt idx="10">
                  <c:v>35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'25.10 Mbarara-Ibanda'!$AF$9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Mbarara-Ibanda'!$AF$10:$AF$21</c:f>
              <c:numCache>
                <c:formatCode>0</c:formatCode>
                <c:ptCount val="12"/>
                <c:pt idx="0">
                  <c:v>50</c:v>
                </c:pt>
                <c:pt idx="1">
                  <c:v>64</c:v>
                </c:pt>
                <c:pt idx="2">
                  <c:v>53</c:v>
                </c:pt>
                <c:pt idx="3">
                  <c:v>52</c:v>
                </c:pt>
                <c:pt idx="4">
                  <c:v>60</c:v>
                </c:pt>
                <c:pt idx="5">
                  <c:v>48</c:v>
                </c:pt>
                <c:pt idx="6">
                  <c:v>69</c:v>
                </c:pt>
                <c:pt idx="7">
                  <c:v>48</c:v>
                </c:pt>
                <c:pt idx="8">
                  <c:v>55</c:v>
                </c:pt>
                <c:pt idx="9">
                  <c:v>62</c:v>
                </c:pt>
                <c:pt idx="10">
                  <c:v>68</c:v>
                </c:pt>
                <c:pt idx="11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420256"/>
        <c:axId val="370428416"/>
      </c:lineChart>
      <c:catAx>
        <c:axId val="370420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28416"/>
        <c:crosses val="autoZero"/>
        <c:auto val="1"/>
        <c:lblAlgn val="ctr"/>
        <c:lblOffset val="100"/>
        <c:noMultiLvlLbl val="0"/>
      </c:catAx>
      <c:valAx>
        <c:axId val="3704284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2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Mbarara-Ibanda'!$C$59:$N$59</c:f>
              <c:numCache>
                <c:formatCode>0.0%</c:formatCode>
                <c:ptCount val="12"/>
                <c:pt idx="0">
                  <c:v>0.32436260623229463</c:v>
                </c:pt>
                <c:pt idx="1">
                  <c:v>3.5410764872521247E-2</c:v>
                </c:pt>
                <c:pt idx="2">
                  <c:v>2.9745042492917848E-2</c:v>
                </c:pt>
                <c:pt idx="3">
                  <c:v>8.7818696883852687E-2</c:v>
                </c:pt>
                <c:pt idx="4">
                  <c:v>2.8328611898016999E-3</c:v>
                </c:pt>
                <c:pt idx="5">
                  <c:v>4.24929178470255E-3</c:v>
                </c:pt>
                <c:pt idx="6">
                  <c:v>3.6827195467422094E-2</c:v>
                </c:pt>
                <c:pt idx="7">
                  <c:v>3.8243626062322948E-2</c:v>
                </c:pt>
                <c:pt idx="8">
                  <c:v>7.0821529745042494E-3</c:v>
                </c:pt>
                <c:pt idx="9">
                  <c:v>2.8328611898016999E-3</c:v>
                </c:pt>
                <c:pt idx="10">
                  <c:v>0.43059490084985835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Mbarara-Ibanda'!$S$9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Mbarara-Ibanda'!$S$10:$S$21</c:f>
              <c:numCache>
                <c:formatCode>0</c:formatCode>
                <c:ptCount val="12"/>
                <c:pt idx="0">
                  <c:v>11</c:v>
                </c:pt>
                <c:pt idx="1">
                  <c:v>18</c:v>
                </c:pt>
                <c:pt idx="2">
                  <c:v>13</c:v>
                </c:pt>
                <c:pt idx="3">
                  <c:v>20</c:v>
                </c:pt>
                <c:pt idx="4">
                  <c:v>27</c:v>
                </c:pt>
                <c:pt idx="5">
                  <c:v>20</c:v>
                </c:pt>
                <c:pt idx="6">
                  <c:v>21</c:v>
                </c:pt>
                <c:pt idx="7">
                  <c:v>14</c:v>
                </c:pt>
                <c:pt idx="8">
                  <c:v>16</c:v>
                </c:pt>
                <c:pt idx="9">
                  <c:v>24</c:v>
                </c:pt>
                <c:pt idx="10">
                  <c:v>20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'25.10 Mbarara-Ibanda'!$T$9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Mbarara-Ibanda'!$T$10:$T$21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'25.10 Mbarara-Ibanda'!$U$9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Mbarara-Ibanda'!$U$10:$U$21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'25.10 Mbarara-Ibanda'!$V$9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Mbarara-Ibanda'!$V$10:$V$21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11</c:v>
                </c:pt>
                <c:pt idx="7">
                  <c:v>4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'25.10 Mbarara-Ibanda'!$W$9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'25.10 Mbarara-Ibanda'!$X$9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'25.10 Mbarara-Ibanda'!$Y$9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  <c:pt idx="6">
                  <c:v>5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'25.10 Mbarara-Ibanda'!$Z$9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'25.10 Mbarara-Ibanda'!$AA$9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'25.10 Mbarara-Ibanda'!$AB$9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'25.10 Mbarara-Ibanda'!$AC$9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Mbarara-Ibanda'!$AC$10:$AC$21</c:f>
              <c:numCache>
                <c:formatCode>0</c:formatCode>
                <c:ptCount val="12"/>
                <c:pt idx="0">
                  <c:v>24</c:v>
                </c:pt>
                <c:pt idx="1">
                  <c:v>30</c:v>
                </c:pt>
                <c:pt idx="2">
                  <c:v>31</c:v>
                </c:pt>
                <c:pt idx="3">
                  <c:v>18</c:v>
                </c:pt>
                <c:pt idx="4">
                  <c:v>21</c:v>
                </c:pt>
                <c:pt idx="5">
                  <c:v>15</c:v>
                </c:pt>
                <c:pt idx="6">
                  <c:v>21</c:v>
                </c:pt>
                <c:pt idx="7">
                  <c:v>21</c:v>
                </c:pt>
                <c:pt idx="8">
                  <c:v>24</c:v>
                </c:pt>
                <c:pt idx="9">
                  <c:v>22</c:v>
                </c:pt>
                <c:pt idx="10">
                  <c:v>33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'25.10 Mbarara-Ibanda'!$AD$9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Mbarara-Ibanda'!$AD$10:$AD$21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425696"/>
        <c:axId val="370429504"/>
      </c:lineChart>
      <c:catAx>
        <c:axId val="37042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29504"/>
        <c:crosses val="autoZero"/>
        <c:auto val="1"/>
        <c:lblAlgn val="ctr"/>
        <c:lblOffset val="100"/>
        <c:noMultiLvlLbl val="0"/>
      </c:catAx>
      <c:valAx>
        <c:axId val="37042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2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Mbarara-Ibanda'!$C$60:$N$60</c:f>
              <c:numCache>
                <c:formatCode>0.00%</c:formatCode>
                <c:ptCount val="12"/>
                <c:pt idx="0">
                  <c:v>0.56965174129353235</c:v>
                </c:pt>
                <c:pt idx="1">
                  <c:v>6.2189054726368161E-2</c:v>
                </c:pt>
                <c:pt idx="2">
                  <c:v>5.2238805970149252E-2</c:v>
                </c:pt>
                <c:pt idx="3">
                  <c:v>0.15422885572139303</c:v>
                </c:pt>
                <c:pt idx="4">
                  <c:v>4.9751243781094526E-3</c:v>
                </c:pt>
                <c:pt idx="5">
                  <c:v>7.462686567164179E-3</c:v>
                </c:pt>
                <c:pt idx="6">
                  <c:v>6.4676616915422883E-2</c:v>
                </c:pt>
                <c:pt idx="7">
                  <c:v>6.7164179104477612E-2</c:v>
                </c:pt>
                <c:pt idx="8">
                  <c:v>1.2437810945273632E-2</c:v>
                </c:pt>
                <c:pt idx="9">
                  <c:v>4.9751243781094526E-3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Ibanda-Mbarara-24hr'!$AE$9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Ibanda-Mbarara-24hr'!$R$10:$R$33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Ibanda-Mbarara-24hr'!$AE$10:$AE$33</c:f>
              <c:numCache>
                <c:formatCode>0</c:formatCode>
                <c:ptCount val="24"/>
                <c:pt idx="0">
                  <c:v>27</c:v>
                </c:pt>
                <c:pt idx="1">
                  <c:v>43</c:v>
                </c:pt>
                <c:pt idx="2">
                  <c:v>46</c:v>
                </c:pt>
                <c:pt idx="3">
                  <c:v>54</c:v>
                </c:pt>
                <c:pt idx="4">
                  <c:v>59</c:v>
                </c:pt>
                <c:pt idx="5">
                  <c:v>69</c:v>
                </c:pt>
                <c:pt idx="6">
                  <c:v>57</c:v>
                </c:pt>
                <c:pt idx="7">
                  <c:v>75</c:v>
                </c:pt>
                <c:pt idx="8">
                  <c:v>68</c:v>
                </c:pt>
                <c:pt idx="9">
                  <c:v>68</c:v>
                </c:pt>
                <c:pt idx="10">
                  <c:v>51</c:v>
                </c:pt>
                <c:pt idx="11">
                  <c:v>62</c:v>
                </c:pt>
                <c:pt idx="12">
                  <c:v>40</c:v>
                </c:pt>
                <c:pt idx="13">
                  <c:v>73</c:v>
                </c:pt>
                <c:pt idx="14">
                  <c:v>35</c:v>
                </c:pt>
                <c:pt idx="15">
                  <c:v>24</c:v>
                </c:pt>
                <c:pt idx="16">
                  <c:v>13</c:v>
                </c:pt>
                <c:pt idx="17">
                  <c:v>6</c:v>
                </c:pt>
                <c:pt idx="18">
                  <c:v>19</c:v>
                </c:pt>
                <c:pt idx="19">
                  <c:v>4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'26.10 Ibanda-Mbarara-24hr'!$AF$9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Ibanda-Mbarara-24hr'!$R$10:$R$33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Ibanda-Mbarara-24hr'!$AF$10:$AF$33</c:f>
              <c:numCache>
                <c:formatCode>0</c:formatCode>
                <c:ptCount val="24"/>
                <c:pt idx="0">
                  <c:v>44</c:v>
                </c:pt>
                <c:pt idx="1">
                  <c:v>60</c:v>
                </c:pt>
                <c:pt idx="2">
                  <c:v>91</c:v>
                </c:pt>
                <c:pt idx="3">
                  <c:v>105</c:v>
                </c:pt>
                <c:pt idx="4">
                  <c:v>103</c:v>
                </c:pt>
                <c:pt idx="5">
                  <c:v>129</c:v>
                </c:pt>
                <c:pt idx="6">
                  <c:v>107</c:v>
                </c:pt>
                <c:pt idx="7">
                  <c:v>117</c:v>
                </c:pt>
                <c:pt idx="8">
                  <c:v>121</c:v>
                </c:pt>
                <c:pt idx="9">
                  <c:v>133</c:v>
                </c:pt>
                <c:pt idx="10">
                  <c:v>96</c:v>
                </c:pt>
                <c:pt idx="11">
                  <c:v>109</c:v>
                </c:pt>
                <c:pt idx="12">
                  <c:v>73</c:v>
                </c:pt>
                <c:pt idx="13">
                  <c:v>107</c:v>
                </c:pt>
                <c:pt idx="14">
                  <c:v>41</c:v>
                </c:pt>
                <c:pt idx="15">
                  <c:v>31</c:v>
                </c:pt>
                <c:pt idx="16">
                  <c:v>14</c:v>
                </c:pt>
                <c:pt idx="17">
                  <c:v>6</c:v>
                </c:pt>
                <c:pt idx="18">
                  <c:v>21</c:v>
                </c:pt>
                <c:pt idx="19">
                  <c:v>7</c:v>
                </c:pt>
                <c:pt idx="20">
                  <c:v>20</c:v>
                </c:pt>
                <c:pt idx="21">
                  <c:v>7</c:v>
                </c:pt>
                <c:pt idx="22">
                  <c:v>7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432224"/>
        <c:axId val="370304304"/>
      </c:lineChart>
      <c:catAx>
        <c:axId val="370432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304304"/>
        <c:crosses val="autoZero"/>
        <c:auto val="1"/>
        <c:lblAlgn val="ctr"/>
        <c:lblOffset val="100"/>
        <c:noMultiLvlLbl val="0"/>
      </c:catAx>
      <c:valAx>
        <c:axId val="370304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043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Ibanda-Mbarara-24hr'!$C$9:$N$9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Ibanda-Mbarara-24hr'!$C$107:$N$107</c:f>
              <c:numCache>
                <c:formatCode>0.0%</c:formatCode>
                <c:ptCount val="12"/>
                <c:pt idx="0">
                  <c:v>0.36258808456117875</c:v>
                </c:pt>
                <c:pt idx="1">
                  <c:v>5.4452274183215889E-2</c:v>
                </c:pt>
                <c:pt idx="2">
                  <c:v>2.2421524663677129E-2</c:v>
                </c:pt>
                <c:pt idx="3">
                  <c:v>8.0076873798846898E-2</c:v>
                </c:pt>
                <c:pt idx="4">
                  <c:v>6.406149903907751E-4</c:v>
                </c:pt>
                <c:pt idx="5">
                  <c:v>1.9218449711723255E-3</c:v>
                </c:pt>
                <c:pt idx="6">
                  <c:v>2.1780909673286355E-2</c:v>
                </c:pt>
                <c:pt idx="7">
                  <c:v>3.0108904548366431E-2</c:v>
                </c:pt>
                <c:pt idx="8">
                  <c:v>1.1531069827033953E-2</c:v>
                </c:pt>
                <c:pt idx="9">
                  <c:v>4.4843049327354259E-3</c:v>
                </c:pt>
                <c:pt idx="10">
                  <c:v>0.40999359385009609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Ibanda-Mbarara-24hr'!$C$9:$N$9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Ibanda-Mbarara-24hr'!$C$108:$N$108</c:f>
              <c:numCache>
                <c:formatCode>0.00%</c:formatCode>
                <c:ptCount val="12"/>
                <c:pt idx="0">
                  <c:v>0.61454940282301851</c:v>
                </c:pt>
                <c:pt idx="1">
                  <c:v>9.2290988056460369E-2</c:v>
                </c:pt>
                <c:pt idx="2">
                  <c:v>3.8002171552660155E-2</c:v>
                </c:pt>
                <c:pt idx="3">
                  <c:v>0.13572204125950055</c:v>
                </c:pt>
                <c:pt idx="4">
                  <c:v>1.0857763300760044E-3</c:v>
                </c:pt>
                <c:pt idx="5">
                  <c:v>3.2573289902280132E-3</c:v>
                </c:pt>
                <c:pt idx="6">
                  <c:v>3.691639522258415E-2</c:v>
                </c:pt>
                <c:pt idx="7">
                  <c:v>5.1031487513572206E-2</c:v>
                </c:pt>
                <c:pt idx="8">
                  <c:v>1.9543973941368076E-2</c:v>
                </c:pt>
                <c:pt idx="9">
                  <c:v>7.6004343105320303E-3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Mbarara-Ibanda-24hr'!$AE$9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Mbarara-Ibanda-24hr'!$R$10:$R$33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Mbarara-Ibanda-24hr'!$AE$10:$AE$33</c:f>
              <c:numCache>
                <c:formatCode>0</c:formatCode>
                <c:ptCount val="24"/>
                <c:pt idx="0">
                  <c:v>22</c:v>
                </c:pt>
                <c:pt idx="1">
                  <c:v>74</c:v>
                </c:pt>
                <c:pt idx="2">
                  <c:v>38</c:v>
                </c:pt>
                <c:pt idx="3">
                  <c:v>64</c:v>
                </c:pt>
                <c:pt idx="4">
                  <c:v>50</c:v>
                </c:pt>
                <c:pt idx="5">
                  <c:v>65</c:v>
                </c:pt>
                <c:pt idx="6">
                  <c:v>70</c:v>
                </c:pt>
                <c:pt idx="7">
                  <c:v>60</c:v>
                </c:pt>
                <c:pt idx="8">
                  <c:v>82</c:v>
                </c:pt>
                <c:pt idx="9">
                  <c:v>101</c:v>
                </c:pt>
                <c:pt idx="10">
                  <c:v>81</c:v>
                </c:pt>
                <c:pt idx="11">
                  <c:v>57</c:v>
                </c:pt>
                <c:pt idx="12">
                  <c:v>47</c:v>
                </c:pt>
                <c:pt idx="13">
                  <c:v>53</c:v>
                </c:pt>
                <c:pt idx="14">
                  <c:v>35</c:v>
                </c:pt>
                <c:pt idx="15">
                  <c:v>19</c:v>
                </c:pt>
                <c:pt idx="16">
                  <c:v>9</c:v>
                </c:pt>
                <c:pt idx="17">
                  <c:v>9</c:v>
                </c:pt>
                <c:pt idx="18">
                  <c:v>18</c:v>
                </c:pt>
                <c:pt idx="19">
                  <c:v>5</c:v>
                </c:pt>
                <c:pt idx="20">
                  <c:v>19</c:v>
                </c:pt>
                <c:pt idx="21">
                  <c:v>9</c:v>
                </c:pt>
                <c:pt idx="22">
                  <c:v>7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'26.10 Mbarara-Ibanda-24hr'!$AF$9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Mbarara-Ibanda-24hr'!$R$10:$R$33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Mbarara-Ibanda-24hr'!$AF$10:$AF$33</c:f>
              <c:numCache>
                <c:formatCode>0</c:formatCode>
                <c:ptCount val="24"/>
                <c:pt idx="0">
                  <c:v>42</c:v>
                </c:pt>
                <c:pt idx="1">
                  <c:v>88</c:v>
                </c:pt>
                <c:pt idx="2">
                  <c:v>78</c:v>
                </c:pt>
                <c:pt idx="3">
                  <c:v>92</c:v>
                </c:pt>
                <c:pt idx="4">
                  <c:v>93</c:v>
                </c:pt>
                <c:pt idx="5">
                  <c:v>106</c:v>
                </c:pt>
                <c:pt idx="6">
                  <c:v>120</c:v>
                </c:pt>
                <c:pt idx="7">
                  <c:v>104</c:v>
                </c:pt>
                <c:pt idx="8">
                  <c:v>136</c:v>
                </c:pt>
                <c:pt idx="9">
                  <c:v>163</c:v>
                </c:pt>
                <c:pt idx="10">
                  <c:v>133</c:v>
                </c:pt>
                <c:pt idx="11">
                  <c:v>117</c:v>
                </c:pt>
                <c:pt idx="12">
                  <c:v>89</c:v>
                </c:pt>
                <c:pt idx="13">
                  <c:v>85</c:v>
                </c:pt>
                <c:pt idx="14">
                  <c:v>57</c:v>
                </c:pt>
                <c:pt idx="15">
                  <c:v>26</c:v>
                </c:pt>
                <c:pt idx="16">
                  <c:v>14</c:v>
                </c:pt>
                <c:pt idx="17">
                  <c:v>10</c:v>
                </c:pt>
                <c:pt idx="18">
                  <c:v>19</c:v>
                </c:pt>
                <c:pt idx="19">
                  <c:v>6</c:v>
                </c:pt>
                <c:pt idx="20">
                  <c:v>20</c:v>
                </c:pt>
                <c:pt idx="21">
                  <c:v>13</c:v>
                </c:pt>
                <c:pt idx="22">
                  <c:v>10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618448"/>
        <c:axId val="506624976"/>
      </c:lineChart>
      <c:catAx>
        <c:axId val="5066184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24976"/>
        <c:crosses val="autoZero"/>
        <c:auto val="1"/>
        <c:lblAlgn val="ctr"/>
        <c:lblOffset val="100"/>
        <c:noMultiLvlLbl val="0"/>
      </c:catAx>
      <c:valAx>
        <c:axId val="506624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1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Mbarara-Ibanda-24hr'!$C$9:$N$9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Mbarara-Ibanda-24hr'!$C$107:$N$107</c:f>
              <c:numCache>
                <c:formatCode>0.0%</c:formatCode>
                <c:ptCount val="12"/>
                <c:pt idx="0">
                  <c:v>0.34875228241022521</c:v>
                </c:pt>
                <c:pt idx="1">
                  <c:v>5.7821059038344488E-2</c:v>
                </c:pt>
                <c:pt idx="2">
                  <c:v>4.6256847230675593E-2</c:v>
                </c:pt>
                <c:pt idx="3">
                  <c:v>8.4601339013998786E-2</c:v>
                </c:pt>
                <c:pt idx="4">
                  <c:v>1.8259281801582471E-3</c:v>
                </c:pt>
                <c:pt idx="5">
                  <c:v>4.8691418137553257E-3</c:v>
                </c:pt>
                <c:pt idx="6">
                  <c:v>2.6780279975654291E-2</c:v>
                </c:pt>
                <c:pt idx="7">
                  <c:v>2.7388922702373707E-2</c:v>
                </c:pt>
                <c:pt idx="8">
                  <c:v>1.5216068167985392E-2</c:v>
                </c:pt>
                <c:pt idx="9">
                  <c:v>1.8259281801582471E-3</c:v>
                </c:pt>
                <c:pt idx="10">
                  <c:v>0.38466220328667072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Mbarara-Ibanda-24hr'!$C$9:$N$9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Mbarara-Ibanda-24hr'!$C$108:$N$108</c:f>
              <c:numCache>
                <c:formatCode>0.00%</c:formatCode>
                <c:ptCount val="12"/>
                <c:pt idx="0">
                  <c:v>0.56676557863501487</c:v>
                </c:pt>
                <c:pt idx="1">
                  <c:v>9.3966369930761628E-2</c:v>
                </c:pt>
                <c:pt idx="2">
                  <c:v>7.5173095944609303E-2</c:v>
                </c:pt>
                <c:pt idx="3">
                  <c:v>0.13748763600395647</c:v>
                </c:pt>
                <c:pt idx="4">
                  <c:v>2.967359050445104E-3</c:v>
                </c:pt>
                <c:pt idx="5">
                  <c:v>7.91295746785361E-3</c:v>
                </c:pt>
                <c:pt idx="6">
                  <c:v>4.3521266073194856E-2</c:v>
                </c:pt>
                <c:pt idx="7">
                  <c:v>4.4510385756676561E-2</c:v>
                </c:pt>
                <c:pt idx="8">
                  <c:v>2.4727992087042534E-2</c:v>
                </c:pt>
                <c:pt idx="9">
                  <c:v>2.967359050445104E-3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Ibanda-Mbarara'!$AE$9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Ibanda-Mbarara'!$AE$10:$AE$21</c:f>
              <c:numCache>
                <c:formatCode>0</c:formatCode>
                <c:ptCount val="12"/>
                <c:pt idx="0">
                  <c:v>22</c:v>
                </c:pt>
                <c:pt idx="1">
                  <c:v>31</c:v>
                </c:pt>
                <c:pt idx="2">
                  <c:v>23</c:v>
                </c:pt>
                <c:pt idx="3">
                  <c:v>47</c:v>
                </c:pt>
                <c:pt idx="4">
                  <c:v>42</c:v>
                </c:pt>
                <c:pt idx="5">
                  <c:v>42</c:v>
                </c:pt>
                <c:pt idx="6">
                  <c:v>41</c:v>
                </c:pt>
                <c:pt idx="7">
                  <c:v>39</c:v>
                </c:pt>
                <c:pt idx="8">
                  <c:v>49</c:v>
                </c:pt>
                <c:pt idx="9">
                  <c:v>43</c:v>
                </c:pt>
                <c:pt idx="10">
                  <c:v>52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'27.10 Ibanda-Mbarara'!$AF$9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Ibanda-Mbarara'!$AF$10:$AF$21</c:f>
              <c:numCache>
                <c:formatCode>0</c:formatCode>
                <c:ptCount val="12"/>
                <c:pt idx="0">
                  <c:v>46</c:v>
                </c:pt>
                <c:pt idx="1">
                  <c:v>65</c:v>
                </c:pt>
                <c:pt idx="2">
                  <c:v>67</c:v>
                </c:pt>
                <c:pt idx="3">
                  <c:v>91</c:v>
                </c:pt>
                <c:pt idx="4">
                  <c:v>100</c:v>
                </c:pt>
                <c:pt idx="5">
                  <c:v>92</c:v>
                </c:pt>
                <c:pt idx="6">
                  <c:v>94</c:v>
                </c:pt>
                <c:pt idx="7">
                  <c:v>95</c:v>
                </c:pt>
                <c:pt idx="8">
                  <c:v>110</c:v>
                </c:pt>
                <c:pt idx="9">
                  <c:v>90</c:v>
                </c:pt>
                <c:pt idx="10">
                  <c:v>110</c:v>
                </c:pt>
                <c:pt idx="11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620624"/>
        <c:axId val="506615728"/>
      </c:lineChart>
      <c:catAx>
        <c:axId val="5066206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15728"/>
        <c:crosses val="autoZero"/>
        <c:auto val="1"/>
        <c:lblAlgn val="ctr"/>
        <c:lblOffset val="100"/>
        <c:noMultiLvlLbl val="0"/>
      </c:catAx>
      <c:valAx>
        <c:axId val="506615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Ibanda-Mbarara'!$C$59:$N$59</c:f>
              <c:numCache>
                <c:formatCode>0.0%</c:formatCode>
                <c:ptCount val="12"/>
                <c:pt idx="0">
                  <c:v>0.28003696857670979</c:v>
                </c:pt>
                <c:pt idx="1">
                  <c:v>2.9574861367837338E-2</c:v>
                </c:pt>
                <c:pt idx="2">
                  <c:v>2.4953789279112754E-2</c:v>
                </c:pt>
                <c:pt idx="3">
                  <c:v>4.7134935304990758E-2</c:v>
                </c:pt>
                <c:pt idx="4">
                  <c:v>1.8484288354898336E-3</c:v>
                </c:pt>
                <c:pt idx="5">
                  <c:v>0</c:v>
                </c:pt>
                <c:pt idx="6">
                  <c:v>2.1256931608133085E-2</c:v>
                </c:pt>
                <c:pt idx="7">
                  <c:v>2.9574861367837338E-2</c:v>
                </c:pt>
                <c:pt idx="8">
                  <c:v>4.6210720887245845E-3</c:v>
                </c:pt>
                <c:pt idx="9">
                  <c:v>4.6210720887245845E-3</c:v>
                </c:pt>
                <c:pt idx="10">
                  <c:v>0.55637707948243997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Ibanda-Mbarara'!$S$9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Ibanda-Mbarara'!$S$10:$S$21</c:f>
              <c:numCache>
                <c:formatCode>0</c:formatCode>
                <c:ptCount val="12"/>
                <c:pt idx="0">
                  <c:v>15</c:v>
                </c:pt>
                <c:pt idx="1">
                  <c:v>17</c:v>
                </c:pt>
                <c:pt idx="2">
                  <c:v>14</c:v>
                </c:pt>
                <c:pt idx="3">
                  <c:v>32</c:v>
                </c:pt>
                <c:pt idx="4">
                  <c:v>23</c:v>
                </c:pt>
                <c:pt idx="5">
                  <c:v>28</c:v>
                </c:pt>
                <c:pt idx="6">
                  <c:v>23</c:v>
                </c:pt>
                <c:pt idx="7">
                  <c:v>24</c:v>
                </c:pt>
                <c:pt idx="8">
                  <c:v>30</c:v>
                </c:pt>
                <c:pt idx="9">
                  <c:v>23</c:v>
                </c:pt>
                <c:pt idx="10">
                  <c:v>36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'27.10 Ibanda-Mbarara'!$T$9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Ibanda-Mbarara'!$T$10:$T$21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6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'27.10 Ibanda-Mbarara'!$U$9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Ibanda-Mbarara'!$U$10:$U$21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'27.10 Ibanda-Mbarara'!$V$9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Ibanda-Mbarara'!$V$10:$V$21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8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'27.10 Ibanda-Mbarara'!$W$9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'27.10 Ibanda-Mbarara'!$X$9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'27.10 Ibanda-Mbarara'!$Y$9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'27.10 Ibanda-Mbarara'!$Z$9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'27.10 Ibanda-Mbarara'!$AA$9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'27.10 Ibanda-Mbarara'!$AB$9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'27.10 Ibanda-Mbarara'!$AC$9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Ibanda-Mbarara'!$AC$10:$AC$21</c:f>
              <c:numCache>
                <c:formatCode>0</c:formatCode>
                <c:ptCount val="12"/>
                <c:pt idx="0">
                  <c:v>24</c:v>
                </c:pt>
                <c:pt idx="1">
                  <c:v>34</c:v>
                </c:pt>
                <c:pt idx="2">
                  <c:v>44</c:v>
                </c:pt>
                <c:pt idx="3">
                  <c:v>44</c:v>
                </c:pt>
                <c:pt idx="4">
                  <c:v>58</c:v>
                </c:pt>
                <c:pt idx="5">
                  <c:v>50</c:v>
                </c:pt>
                <c:pt idx="6">
                  <c:v>53</c:v>
                </c:pt>
                <c:pt idx="7">
                  <c:v>56</c:v>
                </c:pt>
                <c:pt idx="8">
                  <c:v>61</c:v>
                </c:pt>
                <c:pt idx="9">
                  <c:v>47</c:v>
                </c:pt>
                <c:pt idx="10">
                  <c:v>58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'27.10 Ibanda-Mbarara'!$AD$9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Ibanda-Mbarara'!$AD$10:$AD$21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623888"/>
        <c:axId val="506625520"/>
      </c:lineChart>
      <c:catAx>
        <c:axId val="50662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25520"/>
        <c:crosses val="autoZero"/>
        <c:auto val="1"/>
        <c:lblAlgn val="ctr"/>
        <c:lblOffset val="100"/>
        <c:noMultiLvlLbl val="0"/>
      </c:catAx>
      <c:valAx>
        <c:axId val="5066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2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Ibanda-Mbarara'!$C$60:$N$60</c:f>
              <c:numCache>
                <c:formatCode>0.00%</c:formatCode>
                <c:ptCount val="12"/>
                <c:pt idx="0">
                  <c:v>0.63124999999999998</c:v>
                </c:pt>
                <c:pt idx="1">
                  <c:v>6.6666666666666666E-2</c:v>
                </c:pt>
                <c:pt idx="2">
                  <c:v>5.6250000000000001E-2</c:v>
                </c:pt>
                <c:pt idx="3">
                  <c:v>0.10625</c:v>
                </c:pt>
                <c:pt idx="4">
                  <c:v>4.1666666666666666E-3</c:v>
                </c:pt>
                <c:pt idx="5">
                  <c:v>0</c:v>
                </c:pt>
                <c:pt idx="6">
                  <c:v>4.791666666666667E-2</c:v>
                </c:pt>
                <c:pt idx="7">
                  <c:v>6.6666666666666666E-2</c:v>
                </c:pt>
                <c:pt idx="8">
                  <c:v>1.0416666666666666E-2</c:v>
                </c:pt>
                <c:pt idx="9">
                  <c:v>1.0416666666666666E-2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Mbarara-Ibanda'!$AE$9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Mbarara-Ibanda'!$AE$10:$AE$21</c:f>
              <c:numCache>
                <c:formatCode>0</c:formatCode>
                <c:ptCount val="12"/>
                <c:pt idx="0">
                  <c:v>18</c:v>
                </c:pt>
                <c:pt idx="1">
                  <c:v>22</c:v>
                </c:pt>
                <c:pt idx="2">
                  <c:v>29</c:v>
                </c:pt>
                <c:pt idx="3">
                  <c:v>57</c:v>
                </c:pt>
                <c:pt idx="4">
                  <c:v>50</c:v>
                </c:pt>
                <c:pt idx="5">
                  <c:v>44</c:v>
                </c:pt>
                <c:pt idx="6">
                  <c:v>52</c:v>
                </c:pt>
                <c:pt idx="7">
                  <c:v>30</c:v>
                </c:pt>
                <c:pt idx="8">
                  <c:v>53</c:v>
                </c:pt>
                <c:pt idx="9">
                  <c:v>41</c:v>
                </c:pt>
                <c:pt idx="10">
                  <c:v>43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'27.10 Mbarara-Ibanda'!$AF$9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Mbarara-Ibanda'!$AF$10:$AF$21</c:f>
              <c:numCache>
                <c:formatCode>0</c:formatCode>
                <c:ptCount val="12"/>
                <c:pt idx="0">
                  <c:v>32</c:v>
                </c:pt>
                <c:pt idx="1">
                  <c:v>50</c:v>
                </c:pt>
                <c:pt idx="2">
                  <c:v>65</c:v>
                </c:pt>
                <c:pt idx="3">
                  <c:v>100</c:v>
                </c:pt>
                <c:pt idx="4">
                  <c:v>96</c:v>
                </c:pt>
                <c:pt idx="5">
                  <c:v>89</c:v>
                </c:pt>
                <c:pt idx="6">
                  <c:v>102</c:v>
                </c:pt>
                <c:pt idx="7">
                  <c:v>89</c:v>
                </c:pt>
                <c:pt idx="8">
                  <c:v>94</c:v>
                </c:pt>
                <c:pt idx="9">
                  <c:v>74</c:v>
                </c:pt>
                <c:pt idx="10">
                  <c:v>96</c:v>
                </c:pt>
                <c:pt idx="11">
                  <c:v>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616272"/>
        <c:axId val="508485424"/>
      </c:lineChart>
      <c:catAx>
        <c:axId val="506616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85424"/>
        <c:crosses val="autoZero"/>
        <c:auto val="1"/>
        <c:lblAlgn val="ctr"/>
        <c:lblOffset val="100"/>
        <c:noMultiLvlLbl val="0"/>
      </c:catAx>
      <c:valAx>
        <c:axId val="508485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661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Mbarara-Ibanda'!$C$59:$N$59</c:f>
              <c:numCache>
                <c:formatCode>0.0%</c:formatCode>
                <c:ptCount val="12"/>
                <c:pt idx="0">
                  <c:v>0.29347826086956524</c:v>
                </c:pt>
                <c:pt idx="1">
                  <c:v>4.4466403162055336E-2</c:v>
                </c:pt>
                <c:pt idx="2">
                  <c:v>2.3715415019762844E-2</c:v>
                </c:pt>
                <c:pt idx="3">
                  <c:v>5.632411067193676E-2</c:v>
                </c:pt>
                <c:pt idx="4">
                  <c:v>0</c:v>
                </c:pt>
                <c:pt idx="5">
                  <c:v>2.9644268774703555E-3</c:v>
                </c:pt>
                <c:pt idx="6">
                  <c:v>2.1739130434782608E-2</c:v>
                </c:pt>
                <c:pt idx="7">
                  <c:v>2.865612648221344E-2</c:v>
                </c:pt>
                <c:pt idx="8">
                  <c:v>8.8932806324110679E-3</c:v>
                </c:pt>
                <c:pt idx="9">
                  <c:v>4.940711462450593E-3</c:v>
                </c:pt>
                <c:pt idx="10">
                  <c:v>0.5148221343873518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Mbarara-Ibanda'!$S$9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Mbarara-Ibanda'!$S$10:$S$21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14</c:v>
                </c:pt>
                <c:pt idx="3">
                  <c:v>29</c:v>
                </c:pt>
                <c:pt idx="4">
                  <c:v>33</c:v>
                </c:pt>
                <c:pt idx="5">
                  <c:v>29</c:v>
                </c:pt>
                <c:pt idx="6">
                  <c:v>32</c:v>
                </c:pt>
                <c:pt idx="7">
                  <c:v>18</c:v>
                </c:pt>
                <c:pt idx="8">
                  <c:v>22</c:v>
                </c:pt>
                <c:pt idx="9">
                  <c:v>25</c:v>
                </c:pt>
                <c:pt idx="10">
                  <c:v>33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'27.10 Mbarara-Ibanda'!$T$9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Mbarara-Ibanda'!$T$10:$T$21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8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10</c:v>
                </c:pt>
                <c:pt idx="9">
                  <c:v>5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'27.10 Mbarara-Ibanda'!$U$9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  <c:pt idx="6">
                  <c:v>7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'27.10 Mbarara-Ibanda'!$V$9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8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'27.10 Mbarara-Ibanda'!$W$9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'27.10 Mbarara-Ibanda'!$X$9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'27.10 Mbarara-Ibanda'!$Y$9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5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'27.10 Mbarara-Ibanda'!$Z$9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1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6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'27.10 Mbarara-Ibanda'!$AA$9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'27.10 Mbarara-Ibanda'!$AB$9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'27.10 Mbarara-Ibanda'!$AC$9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Mbarara-Ibanda'!$AC$10:$AC$21</c:f>
              <c:numCache>
                <c:formatCode>0</c:formatCode>
                <c:ptCount val="12"/>
                <c:pt idx="0">
                  <c:v>14</c:v>
                </c:pt>
                <c:pt idx="1">
                  <c:v>28</c:v>
                </c:pt>
                <c:pt idx="2">
                  <c:v>36</c:v>
                </c:pt>
                <c:pt idx="3">
                  <c:v>43</c:v>
                </c:pt>
                <c:pt idx="4">
                  <c:v>46</c:v>
                </c:pt>
                <c:pt idx="5">
                  <c:v>45</c:v>
                </c:pt>
                <c:pt idx="6">
                  <c:v>50</c:v>
                </c:pt>
                <c:pt idx="7">
                  <c:v>59</c:v>
                </c:pt>
                <c:pt idx="8">
                  <c:v>41</c:v>
                </c:pt>
                <c:pt idx="9">
                  <c:v>33</c:v>
                </c:pt>
                <c:pt idx="10">
                  <c:v>53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'27.10 Mbarara-Ibanda'!$AD$9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Mbarara-Ibanda'!$AD$10:$AD$21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8474000"/>
        <c:axId val="508479440"/>
      </c:lineChart>
      <c:catAx>
        <c:axId val="50847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79440"/>
        <c:crosses val="autoZero"/>
        <c:auto val="1"/>
        <c:lblAlgn val="ctr"/>
        <c:lblOffset val="100"/>
        <c:noMultiLvlLbl val="0"/>
      </c:catAx>
      <c:valAx>
        <c:axId val="50847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Mbarara-Ibanda'!$C$60:$N$60</c:f>
              <c:numCache>
                <c:formatCode>0.00%</c:formatCode>
                <c:ptCount val="12"/>
                <c:pt idx="0">
                  <c:v>0.60488798370672103</c:v>
                </c:pt>
                <c:pt idx="1">
                  <c:v>9.1649694501018328E-2</c:v>
                </c:pt>
                <c:pt idx="2">
                  <c:v>4.8879837067209775E-2</c:v>
                </c:pt>
                <c:pt idx="3">
                  <c:v>0.11608961303462322</c:v>
                </c:pt>
                <c:pt idx="4">
                  <c:v>0</c:v>
                </c:pt>
                <c:pt idx="5">
                  <c:v>6.1099796334012219E-3</c:v>
                </c:pt>
                <c:pt idx="6">
                  <c:v>4.4806517311608958E-2</c:v>
                </c:pt>
                <c:pt idx="7">
                  <c:v>5.9063136456211814E-2</c:v>
                </c:pt>
                <c:pt idx="8">
                  <c:v>1.8329938900203666E-2</c:v>
                </c:pt>
                <c:pt idx="9">
                  <c:v>1.0183299389002037E-2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Ibanda-Mbarara-24hr'!$AE$9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Ibanda-Mbarara-24hr'!$R$10:$R$33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Ibanda-Mbarara-24hr'!$AE$10:$AE$33</c:f>
              <c:numCache>
                <c:formatCode>0</c:formatCode>
                <c:ptCount val="24"/>
                <c:pt idx="0">
                  <c:v>29</c:v>
                </c:pt>
                <c:pt idx="1">
                  <c:v>50</c:v>
                </c:pt>
                <c:pt idx="2">
                  <c:v>45</c:v>
                </c:pt>
                <c:pt idx="3">
                  <c:v>52</c:v>
                </c:pt>
                <c:pt idx="4">
                  <c:v>35</c:v>
                </c:pt>
                <c:pt idx="5">
                  <c:v>48</c:v>
                </c:pt>
                <c:pt idx="6">
                  <c:v>38</c:v>
                </c:pt>
                <c:pt idx="7">
                  <c:v>46</c:v>
                </c:pt>
                <c:pt idx="8">
                  <c:v>37</c:v>
                </c:pt>
                <c:pt idx="9">
                  <c:v>49</c:v>
                </c:pt>
                <c:pt idx="10">
                  <c:v>31</c:v>
                </c:pt>
                <c:pt idx="11">
                  <c:v>38</c:v>
                </c:pt>
                <c:pt idx="12">
                  <c:v>46</c:v>
                </c:pt>
                <c:pt idx="13">
                  <c:v>21</c:v>
                </c:pt>
                <c:pt idx="14">
                  <c:v>20</c:v>
                </c:pt>
                <c:pt idx="15">
                  <c:v>15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10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'28.10 Ibanda-Mbarara-24hr'!$AF$9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Ibanda-Mbarara-24hr'!$R$10:$R$33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Ibanda-Mbarara-24hr'!$AF$10:$AF$33</c:f>
              <c:numCache>
                <c:formatCode>0</c:formatCode>
                <c:ptCount val="24"/>
                <c:pt idx="0">
                  <c:v>58</c:v>
                </c:pt>
                <c:pt idx="1">
                  <c:v>106</c:v>
                </c:pt>
                <c:pt idx="2">
                  <c:v>95</c:v>
                </c:pt>
                <c:pt idx="3">
                  <c:v>96</c:v>
                </c:pt>
                <c:pt idx="4">
                  <c:v>73</c:v>
                </c:pt>
                <c:pt idx="5">
                  <c:v>94</c:v>
                </c:pt>
                <c:pt idx="6">
                  <c:v>93</c:v>
                </c:pt>
                <c:pt idx="7">
                  <c:v>78</c:v>
                </c:pt>
                <c:pt idx="8">
                  <c:v>89</c:v>
                </c:pt>
                <c:pt idx="9">
                  <c:v>86</c:v>
                </c:pt>
                <c:pt idx="10">
                  <c:v>74</c:v>
                </c:pt>
                <c:pt idx="11">
                  <c:v>86</c:v>
                </c:pt>
                <c:pt idx="12">
                  <c:v>60</c:v>
                </c:pt>
                <c:pt idx="13">
                  <c:v>40</c:v>
                </c:pt>
                <c:pt idx="14">
                  <c:v>29</c:v>
                </c:pt>
                <c:pt idx="15">
                  <c:v>24</c:v>
                </c:pt>
                <c:pt idx="16">
                  <c:v>11</c:v>
                </c:pt>
                <c:pt idx="17">
                  <c:v>18</c:v>
                </c:pt>
                <c:pt idx="18">
                  <c:v>12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17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484880"/>
        <c:axId val="508482704"/>
      </c:lineChart>
      <c:catAx>
        <c:axId val="508484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82704"/>
        <c:crosses val="autoZero"/>
        <c:auto val="1"/>
        <c:lblAlgn val="ctr"/>
        <c:lblOffset val="100"/>
        <c:noMultiLvlLbl val="0"/>
      </c:catAx>
      <c:valAx>
        <c:axId val="508482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8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Ibanda-Mbarara-24hr'!$C$9:$N$9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Ibanda-Mbarara-24hr'!$C$107:$N$107</c:f>
              <c:numCache>
                <c:formatCode>0.0%</c:formatCode>
                <c:ptCount val="12"/>
                <c:pt idx="0">
                  <c:v>0.26856240126382308</c:v>
                </c:pt>
                <c:pt idx="1">
                  <c:v>3.7124802527646127E-2</c:v>
                </c:pt>
                <c:pt idx="2">
                  <c:v>3.0015797788309637E-2</c:v>
                </c:pt>
                <c:pt idx="3">
                  <c:v>8.7677725118483416E-2</c:v>
                </c:pt>
                <c:pt idx="4">
                  <c:v>2.3696682464454978E-3</c:v>
                </c:pt>
                <c:pt idx="5">
                  <c:v>5.5292259083728279E-3</c:v>
                </c:pt>
                <c:pt idx="6">
                  <c:v>3.7124802527646127E-2</c:v>
                </c:pt>
                <c:pt idx="7">
                  <c:v>3.5545023696682464E-2</c:v>
                </c:pt>
                <c:pt idx="8">
                  <c:v>1.0268562401263823E-2</c:v>
                </c:pt>
                <c:pt idx="9">
                  <c:v>2.3696682464454978E-3</c:v>
                </c:pt>
                <c:pt idx="10">
                  <c:v>0.48341232227488151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Ibanda-Mbarara-24hr'!$C$9:$N$9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Ibanda-Mbarara-24hr'!$C$108:$N$108</c:f>
              <c:numCache>
                <c:formatCode>0.00%</c:formatCode>
                <c:ptCount val="12"/>
                <c:pt idx="0">
                  <c:v>0.51987767584097855</c:v>
                </c:pt>
                <c:pt idx="1">
                  <c:v>7.1865443425076447E-2</c:v>
                </c:pt>
                <c:pt idx="2">
                  <c:v>5.8103975535168197E-2</c:v>
                </c:pt>
                <c:pt idx="3">
                  <c:v>0.16972477064220184</c:v>
                </c:pt>
                <c:pt idx="4">
                  <c:v>4.5871559633027525E-3</c:v>
                </c:pt>
                <c:pt idx="5">
                  <c:v>1.0703363914373088E-2</c:v>
                </c:pt>
                <c:pt idx="6">
                  <c:v>7.1865443425076447E-2</c:v>
                </c:pt>
                <c:pt idx="7">
                  <c:v>6.8807339449541288E-2</c:v>
                </c:pt>
                <c:pt idx="8">
                  <c:v>1.9877675840978593E-2</c:v>
                </c:pt>
                <c:pt idx="9">
                  <c:v>4.5871559633027525E-3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Mbarara-Ibanda-24hr'!$AE$9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Mbarara-Ibanda-24hr'!$R$10:$R$33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Mbarara-Ibanda-24hr'!$AE$10:$AE$33</c:f>
              <c:numCache>
                <c:formatCode>0</c:formatCode>
                <c:ptCount val="24"/>
                <c:pt idx="0">
                  <c:v>20</c:v>
                </c:pt>
                <c:pt idx="1">
                  <c:v>37</c:v>
                </c:pt>
                <c:pt idx="2">
                  <c:v>46</c:v>
                </c:pt>
                <c:pt idx="3">
                  <c:v>43</c:v>
                </c:pt>
                <c:pt idx="4">
                  <c:v>55</c:v>
                </c:pt>
                <c:pt idx="5">
                  <c:v>43</c:v>
                </c:pt>
                <c:pt idx="6">
                  <c:v>67</c:v>
                </c:pt>
                <c:pt idx="7">
                  <c:v>49</c:v>
                </c:pt>
                <c:pt idx="8">
                  <c:v>53</c:v>
                </c:pt>
                <c:pt idx="9">
                  <c:v>32</c:v>
                </c:pt>
                <c:pt idx="10">
                  <c:v>60</c:v>
                </c:pt>
                <c:pt idx="11">
                  <c:v>50</c:v>
                </c:pt>
                <c:pt idx="12">
                  <c:v>22</c:v>
                </c:pt>
                <c:pt idx="13">
                  <c:v>21</c:v>
                </c:pt>
                <c:pt idx="14">
                  <c:v>21</c:v>
                </c:pt>
                <c:pt idx="15">
                  <c:v>12</c:v>
                </c:pt>
                <c:pt idx="16">
                  <c:v>7</c:v>
                </c:pt>
                <c:pt idx="17">
                  <c:v>13</c:v>
                </c:pt>
                <c:pt idx="18">
                  <c:v>8</c:v>
                </c:pt>
                <c:pt idx="19">
                  <c:v>3</c:v>
                </c:pt>
                <c:pt idx="20">
                  <c:v>4</c:v>
                </c:pt>
                <c:pt idx="21">
                  <c:v>1</c:v>
                </c:pt>
                <c:pt idx="22">
                  <c:v>9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'28.10 Mbarara-Ibanda-24hr'!$AF$9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Mbarara-Ibanda-24hr'!$R$10:$R$33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Mbarara-Ibanda-24hr'!$AF$10:$AF$33</c:f>
              <c:numCache>
                <c:formatCode>0</c:formatCode>
                <c:ptCount val="24"/>
                <c:pt idx="0">
                  <c:v>39</c:v>
                </c:pt>
                <c:pt idx="1">
                  <c:v>82</c:v>
                </c:pt>
                <c:pt idx="2">
                  <c:v>88</c:v>
                </c:pt>
                <c:pt idx="3">
                  <c:v>93</c:v>
                </c:pt>
                <c:pt idx="4">
                  <c:v>78</c:v>
                </c:pt>
                <c:pt idx="5">
                  <c:v>86</c:v>
                </c:pt>
                <c:pt idx="6">
                  <c:v>108</c:v>
                </c:pt>
                <c:pt idx="7">
                  <c:v>91</c:v>
                </c:pt>
                <c:pt idx="8">
                  <c:v>113</c:v>
                </c:pt>
                <c:pt idx="9">
                  <c:v>71</c:v>
                </c:pt>
                <c:pt idx="10">
                  <c:v>103</c:v>
                </c:pt>
                <c:pt idx="11">
                  <c:v>89</c:v>
                </c:pt>
                <c:pt idx="12">
                  <c:v>48</c:v>
                </c:pt>
                <c:pt idx="13">
                  <c:v>30</c:v>
                </c:pt>
                <c:pt idx="14">
                  <c:v>24</c:v>
                </c:pt>
                <c:pt idx="15">
                  <c:v>19</c:v>
                </c:pt>
                <c:pt idx="16">
                  <c:v>7</c:v>
                </c:pt>
                <c:pt idx="17">
                  <c:v>17</c:v>
                </c:pt>
                <c:pt idx="18">
                  <c:v>14</c:v>
                </c:pt>
                <c:pt idx="19">
                  <c:v>4</c:v>
                </c:pt>
                <c:pt idx="20">
                  <c:v>5</c:v>
                </c:pt>
                <c:pt idx="21">
                  <c:v>3</c:v>
                </c:pt>
                <c:pt idx="22">
                  <c:v>13</c:v>
                </c:pt>
                <c:pt idx="23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477808"/>
        <c:axId val="508486512"/>
      </c:lineChart>
      <c:catAx>
        <c:axId val="508477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86512"/>
        <c:crosses val="autoZero"/>
        <c:auto val="1"/>
        <c:lblAlgn val="ctr"/>
        <c:lblOffset val="100"/>
        <c:noMultiLvlLbl val="0"/>
      </c:catAx>
      <c:valAx>
        <c:axId val="508486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7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Mbarara-Ibanda-24hr'!$C$9:$N$9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Mbarara-Ibanda-24hr'!$C$107:$N$107</c:f>
              <c:numCache>
                <c:formatCode>0.0%</c:formatCode>
                <c:ptCount val="12"/>
                <c:pt idx="0">
                  <c:v>0.28424386381631039</c:v>
                </c:pt>
                <c:pt idx="1">
                  <c:v>3.2462391132224863E-2</c:v>
                </c:pt>
                <c:pt idx="2">
                  <c:v>4.2755344418052253E-2</c:v>
                </c:pt>
                <c:pt idx="3">
                  <c:v>7.3634204275534437E-2</c:v>
                </c:pt>
                <c:pt idx="4">
                  <c:v>4.7505938242280287E-3</c:v>
                </c:pt>
                <c:pt idx="5">
                  <c:v>3.95882818685669E-3</c:v>
                </c:pt>
                <c:pt idx="6">
                  <c:v>4.829770387965162E-2</c:v>
                </c:pt>
                <c:pt idx="7">
                  <c:v>3.0878859857482184E-2</c:v>
                </c:pt>
                <c:pt idx="8">
                  <c:v>1.66270783847981E-2</c:v>
                </c:pt>
                <c:pt idx="9">
                  <c:v>7.1258907363420431E-3</c:v>
                </c:pt>
                <c:pt idx="10">
                  <c:v>0.44734758511480599</c:v>
                </c:pt>
                <c:pt idx="11">
                  <c:v>7.91765637371338E-3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Mbarara-Ibanda-24hr'!$C$9:$N$9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Mbarara-Ibanda-24hr'!$C$108:$N$108</c:f>
              <c:numCache>
                <c:formatCode>0.00%</c:formatCode>
                <c:ptCount val="12"/>
                <c:pt idx="0">
                  <c:v>0.51432664756446989</c:v>
                </c:pt>
                <c:pt idx="1">
                  <c:v>5.8739255014326648E-2</c:v>
                </c:pt>
                <c:pt idx="2">
                  <c:v>7.7363896848137534E-2</c:v>
                </c:pt>
                <c:pt idx="3">
                  <c:v>0.13323782234957021</c:v>
                </c:pt>
                <c:pt idx="4">
                  <c:v>8.5959885386819486E-3</c:v>
                </c:pt>
                <c:pt idx="5">
                  <c:v>7.1633237822349575E-3</c:v>
                </c:pt>
                <c:pt idx="6">
                  <c:v>8.7392550143266481E-2</c:v>
                </c:pt>
                <c:pt idx="7">
                  <c:v>5.5873925501432664E-2</c:v>
                </c:pt>
                <c:pt idx="8">
                  <c:v>3.0085959885386818E-2</c:v>
                </c:pt>
                <c:pt idx="9">
                  <c:v>1.2893982808022923E-2</c:v>
                </c:pt>
                <c:pt idx="11">
                  <c:v>1.4326647564469915E-2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Ibanda-Mbarara'!$AE$9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Ibanda-Mbarara'!$AE$10:$AE$21</c:f>
              <c:numCache>
                <c:formatCode>0</c:formatCode>
                <c:ptCount val="12"/>
                <c:pt idx="0">
                  <c:v>37</c:v>
                </c:pt>
                <c:pt idx="1">
                  <c:v>25</c:v>
                </c:pt>
                <c:pt idx="2">
                  <c:v>28</c:v>
                </c:pt>
                <c:pt idx="3">
                  <c:v>28</c:v>
                </c:pt>
                <c:pt idx="4">
                  <c:v>29</c:v>
                </c:pt>
                <c:pt idx="5">
                  <c:v>43</c:v>
                </c:pt>
                <c:pt idx="6">
                  <c:v>30</c:v>
                </c:pt>
                <c:pt idx="7">
                  <c:v>35</c:v>
                </c:pt>
                <c:pt idx="8">
                  <c:v>41</c:v>
                </c:pt>
                <c:pt idx="9">
                  <c:v>40</c:v>
                </c:pt>
                <c:pt idx="10">
                  <c:v>36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'29.10 Ibanda-Mbarara'!$AF$9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Ibanda-Mbarara'!$AF$10:$AF$21</c:f>
              <c:numCache>
                <c:formatCode>0</c:formatCode>
                <c:ptCount val="12"/>
                <c:pt idx="0">
                  <c:v>60</c:v>
                </c:pt>
                <c:pt idx="1">
                  <c:v>55</c:v>
                </c:pt>
                <c:pt idx="2">
                  <c:v>67</c:v>
                </c:pt>
                <c:pt idx="3">
                  <c:v>50</c:v>
                </c:pt>
                <c:pt idx="4">
                  <c:v>66</c:v>
                </c:pt>
                <c:pt idx="5">
                  <c:v>91</c:v>
                </c:pt>
                <c:pt idx="6">
                  <c:v>67</c:v>
                </c:pt>
                <c:pt idx="7">
                  <c:v>90</c:v>
                </c:pt>
                <c:pt idx="8">
                  <c:v>66</c:v>
                </c:pt>
                <c:pt idx="9">
                  <c:v>76</c:v>
                </c:pt>
                <c:pt idx="10">
                  <c:v>95</c:v>
                </c:pt>
                <c:pt idx="11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475088"/>
        <c:axId val="508475632"/>
      </c:lineChart>
      <c:catAx>
        <c:axId val="508475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75632"/>
        <c:crosses val="autoZero"/>
        <c:auto val="1"/>
        <c:lblAlgn val="ctr"/>
        <c:lblOffset val="100"/>
        <c:noMultiLvlLbl val="0"/>
      </c:catAx>
      <c:valAx>
        <c:axId val="508475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0847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Ibanda-Mbarara'!$C$59:$N$59</c:f>
              <c:numCache>
                <c:formatCode>0.0%</c:formatCode>
                <c:ptCount val="12"/>
                <c:pt idx="0">
                  <c:v>0.24649532710280375</c:v>
                </c:pt>
                <c:pt idx="1">
                  <c:v>3.9719626168224297E-2</c:v>
                </c:pt>
                <c:pt idx="2">
                  <c:v>5.0233644859813083E-2</c:v>
                </c:pt>
                <c:pt idx="3">
                  <c:v>6.0747663551401869E-2</c:v>
                </c:pt>
                <c:pt idx="4">
                  <c:v>1.1682242990654205E-3</c:v>
                </c:pt>
                <c:pt idx="5">
                  <c:v>2.3364485981308409E-3</c:v>
                </c:pt>
                <c:pt idx="6">
                  <c:v>2.4532710280373831E-2</c:v>
                </c:pt>
                <c:pt idx="7">
                  <c:v>3.2710280373831772E-2</c:v>
                </c:pt>
                <c:pt idx="8">
                  <c:v>1.0514018691588784E-2</c:v>
                </c:pt>
                <c:pt idx="9">
                  <c:v>4.6728971962616819E-3</c:v>
                </c:pt>
                <c:pt idx="10">
                  <c:v>0.52570093457943923</c:v>
                </c:pt>
                <c:pt idx="11">
                  <c:v>1.1682242990654205E-3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Ibanda-Mbarara'!$S$9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Ibanda-Mbarara'!$S$10:$S$21</c:f>
              <c:numCache>
                <c:formatCode>0</c:formatCode>
                <c:ptCount val="12"/>
                <c:pt idx="0">
                  <c:v>17</c:v>
                </c:pt>
                <c:pt idx="1">
                  <c:v>15</c:v>
                </c:pt>
                <c:pt idx="2">
                  <c:v>19</c:v>
                </c:pt>
                <c:pt idx="3">
                  <c:v>18</c:v>
                </c:pt>
                <c:pt idx="4">
                  <c:v>18</c:v>
                </c:pt>
                <c:pt idx="5">
                  <c:v>25</c:v>
                </c:pt>
                <c:pt idx="6">
                  <c:v>9</c:v>
                </c:pt>
                <c:pt idx="7">
                  <c:v>16</c:v>
                </c:pt>
                <c:pt idx="8">
                  <c:v>18</c:v>
                </c:pt>
                <c:pt idx="9">
                  <c:v>24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'29.10 Ibanda-Mbarara'!$T$9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Ibanda-Mbarara'!$T$10:$T$21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'29.10 Ibanda-Mbarara'!$U$9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Ibanda-Mbarara'!$U$10:$U$21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6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'29.10 Ibanda-Mbarara'!$V$9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Ibanda-Mbarara'!$V$10:$V$21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1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'29.10 Ibanda-Mbarara'!$W$9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'29.10 Ibanda-Mbarara'!$X$9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'29.10 Ibanda-Mbarara'!$Y$9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6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'29.10 Ibanda-Mbarara'!$Z$9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'29.10 Ibanda-Mbarara'!$AA$9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'29.10 Ibanda-Mbarara'!$AB$9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'29.10 Ibanda-Mbarara'!$AC$9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Ibanda-Mbarara'!$AC$10:$AC$21</c:f>
              <c:numCache>
                <c:formatCode>0</c:formatCode>
                <c:ptCount val="12"/>
                <c:pt idx="0">
                  <c:v>23</c:v>
                </c:pt>
                <c:pt idx="1">
                  <c:v>30</c:v>
                </c:pt>
                <c:pt idx="2">
                  <c:v>39</c:v>
                </c:pt>
                <c:pt idx="3">
                  <c:v>22</c:v>
                </c:pt>
                <c:pt idx="4">
                  <c:v>37</c:v>
                </c:pt>
                <c:pt idx="5">
                  <c:v>48</c:v>
                </c:pt>
                <c:pt idx="6">
                  <c:v>37</c:v>
                </c:pt>
                <c:pt idx="7">
                  <c:v>55</c:v>
                </c:pt>
                <c:pt idx="8">
                  <c:v>25</c:v>
                </c:pt>
                <c:pt idx="9">
                  <c:v>36</c:v>
                </c:pt>
                <c:pt idx="10">
                  <c:v>59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'29.10 Ibanda-Mbarara'!$AD$9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Ibanda-Mbarara'!$AD$10:$AD$21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936240"/>
        <c:axId val="510933520"/>
      </c:lineChart>
      <c:catAx>
        <c:axId val="51093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33520"/>
        <c:crosses val="autoZero"/>
        <c:auto val="1"/>
        <c:lblAlgn val="ctr"/>
        <c:lblOffset val="100"/>
        <c:noMultiLvlLbl val="0"/>
      </c:catAx>
      <c:valAx>
        <c:axId val="51093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3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Ibanda-Mbarara'!$C$60:$N$60</c:f>
              <c:numCache>
                <c:formatCode>0.00%</c:formatCode>
                <c:ptCount val="12"/>
                <c:pt idx="0">
                  <c:v>0.51970443349753692</c:v>
                </c:pt>
                <c:pt idx="1">
                  <c:v>8.3743842364532015E-2</c:v>
                </c:pt>
                <c:pt idx="2">
                  <c:v>0.10591133004926108</c:v>
                </c:pt>
                <c:pt idx="3">
                  <c:v>0.12807881773399016</c:v>
                </c:pt>
                <c:pt idx="4">
                  <c:v>2.4630541871921183E-3</c:v>
                </c:pt>
                <c:pt idx="5">
                  <c:v>4.9261083743842365E-3</c:v>
                </c:pt>
                <c:pt idx="6">
                  <c:v>5.1724137931034482E-2</c:v>
                </c:pt>
                <c:pt idx="7">
                  <c:v>6.8965517241379309E-2</c:v>
                </c:pt>
                <c:pt idx="8">
                  <c:v>2.2167487684729065E-2</c:v>
                </c:pt>
                <c:pt idx="9">
                  <c:v>9.852216748768473E-3</c:v>
                </c:pt>
                <c:pt idx="11">
                  <c:v>2.4630541871921183E-3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Mbarara-Ibanda'!$AE$9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Mbarara-Ibanda'!$AE$10:$AE$21</c:f>
              <c:numCache>
                <c:formatCode>0</c:formatCode>
                <c:ptCount val="12"/>
                <c:pt idx="0">
                  <c:v>26</c:v>
                </c:pt>
                <c:pt idx="1">
                  <c:v>41</c:v>
                </c:pt>
                <c:pt idx="2">
                  <c:v>37</c:v>
                </c:pt>
                <c:pt idx="3">
                  <c:v>50</c:v>
                </c:pt>
                <c:pt idx="4">
                  <c:v>58</c:v>
                </c:pt>
                <c:pt idx="5">
                  <c:v>33</c:v>
                </c:pt>
                <c:pt idx="6">
                  <c:v>57</c:v>
                </c:pt>
                <c:pt idx="7">
                  <c:v>41</c:v>
                </c:pt>
                <c:pt idx="8">
                  <c:v>42</c:v>
                </c:pt>
                <c:pt idx="9">
                  <c:v>37</c:v>
                </c:pt>
                <c:pt idx="10">
                  <c:v>42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'29.10 Mbarara-Ibanda'!$AF$9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Mbarara-Ibanda'!$AF$10:$AF$21</c:f>
              <c:numCache>
                <c:formatCode>0</c:formatCode>
                <c:ptCount val="12"/>
                <c:pt idx="0">
                  <c:v>43</c:v>
                </c:pt>
                <c:pt idx="1">
                  <c:v>103</c:v>
                </c:pt>
                <c:pt idx="2">
                  <c:v>91</c:v>
                </c:pt>
                <c:pt idx="3">
                  <c:v>111</c:v>
                </c:pt>
                <c:pt idx="4">
                  <c:v>96</c:v>
                </c:pt>
                <c:pt idx="5">
                  <c:v>71</c:v>
                </c:pt>
                <c:pt idx="6">
                  <c:v>85</c:v>
                </c:pt>
                <c:pt idx="7">
                  <c:v>81</c:v>
                </c:pt>
                <c:pt idx="8">
                  <c:v>57</c:v>
                </c:pt>
                <c:pt idx="9">
                  <c:v>81</c:v>
                </c:pt>
                <c:pt idx="10">
                  <c:v>89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937872"/>
        <c:axId val="510947120"/>
      </c:lineChart>
      <c:catAx>
        <c:axId val="510937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47120"/>
        <c:crosses val="autoZero"/>
        <c:auto val="1"/>
        <c:lblAlgn val="ctr"/>
        <c:lblOffset val="100"/>
        <c:noMultiLvlLbl val="0"/>
      </c:catAx>
      <c:valAx>
        <c:axId val="51094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3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Mbarara-Ibanda'!$C$59:$N$59</c:f>
              <c:numCache>
                <c:formatCode>0.0%</c:formatCode>
                <c:ptCount val="12"/>
                <c:pt idx="0">
                  <c:v>0.27482447342026078</c:v>
                </c:pt>
                <c:pt idx="1">
                  <c:v>1.9057171514543631E-2</c:v>
                </c:pt>
                <c:pt idx="2">
                  <c:v>3.6108324974924777E-2</c:v>
                </c:pt>
                <c:pt idx="3">
                  <c:v>8.826479438314945E-2</c:v>
                </c:pt>
                <c:pt idx="4">
                  <c:v>2.0060180541624875E-3</c:v>
                </c:pt>
                <c:pt idx="5">
                  <c:v>1.0030090270812437E-2</c:v>
                </c:pt>
                <c:pt idx="6">
                  <c:v>3.2096288866599799E-2</c:v>
                </c:pt>
                <c:pt idx="7">
                  <c:v>1.5045135406218655E-2</c:v>
                </c:pt>
                <c:pt idx="8">
                  <c:v>7.0210631895687063E-3</c:v>
                </c:pt>
                <c:pt idx="9">
                  <c:v>1.3039117352056168E-2</c:v>
                </c:pt>
                <c:pt idx="10">
                  <c:v>0.50250752256770315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Mbarara-Ibanda'!$C$60:$N$60</c:f>
              <c:numCache>
                <c:formatCode>0.00%</c:formatCode>
                <c:ptCount val="12"/>
                <c:pt idx="0">
                  <c:v>0.55241935483870963</c:v>
                </c:pt>
                <c:pt idx="1">
                  <c:v>3.8306451612903226E-2</c:v>
                </c:pt>
                <c:pt idx="2">
                  <c:v>7.2580645161290328E-2</c:v>
                </c:pt>
                <c:pt idx="3">
                  <c:v>0.17741935483870969</c:v>
                </c:pt>
                <c:pt idx="4">
                  <c:v>4.0322580645161289E-3</c:v>
                </c:pt>
                <c:pt idx="5">
                  <c:v>2.0161290322580645E-2</c:v>
                </c:pt>
                <c:pt idx="6">
                  <c:v>6.4516129032258063E-2</c:v>
                </c:pt>
                <c:pt idx="7">
                  <c:v>3.0241935483870969E-2</c:v>
                </c:pt>
                <c:pt idx="8">
                  <c:v>1.4112903225806451E-2</c:v>
                </c:pt>
                <c:pt idx="9">
                  <c:v>2.620967741935484E-2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Ibanda-Mbarara'!$AE$9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Ibanda-Mbarara'!$AE$10:$AE$21</c:f>
              <c:numCache>
                <c:formatCode>0</c:formatCode>
                <c:ptCount val="12"/>
                <c:pt idx="0">
                  <c:v>29</c:v>
                </c:pt>
                <c:pt idx="1">
                  <c:v>43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  <c:pt idx="5">
                  <c:v>40</c:v>
                </c:pt>
                <c:pt idx="6">
                  <c:v>30</c:v>
                </c:pt>
                <c:pt idx="7">
                  <c:v>30</c:v>
                </c:pt>
                <c:pt idx="8">
                  <c:v>50</c:v>
                </c:pt>
                <c:pt idx="9">
                  <c:v>44</c:v>
                </c:pt>
                <c:pt idx="10">
                  <c:v>42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'30.10 Ibanda-Mbarara'!$AF$9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Ibanda-Mbarara'!$AF$10:$AF$21</c:f>
              <c:numCache>
                <c:formatCode>0</c:formatCode>
                <c:ptCount val="12"/>
                <c:pt idx="0">
                  <c:v>55</c:v>
                </c:pt>
                <c:pt idx="1">
                  <c:v>72</c:v>
                </c:pt>
                <c:pt idx="2">
                  <c:v>66</c:v>
                </c:pt>
                <c:pt idx="3">
                  <c:v>68</c:v>
                </c:pt>
                <c:pt idx="4">
                  <c:v>65</c:v>
                </c:pt>
                <c:pt idx="5">
                  <c:v>68</c:v>
                </c:pt>
                <c:pt idx="6">
                  <c:v>63</c:v>
                </c:pt>
                <c:pt idx="7">
                  <c:v>64</c:v>
                </c:pt>
                <c:pt idx="8">
                  <c:v>76</c:v>
                </c:pt>
                <c:pt idx="9">
                  <c:v>79</c:v>
                </c:pt>
                <c:pt idx="10">
                  <c:v>80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943312"/>
        <c:axId val="510939504"/>
      </c:lineChart>
      <c:catAx>
        <c:axId val="5109433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39504"/>
        <c:crosses val="autoZero"/>
        <c:auto val="1"/>
        <c:lblAlgn val="ctr"/>
        <c:lblOffset val="100"/>
        <c:noMultiLvlLbl val="0"/>
      </c:catAx>
      <c:valAx>
        <c:axId val="510939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4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Ibanda-Mbarara'!$C$59:$N$59</c:f>
              <c:numCache>
                <c:formatCode>0.0%</c:formatCode>
                <c:ptCount val="12"/>
                <c:pt idx="0">
                  <c:v>0.2757396449704142</c:v>
                </c:pt>
                <c:pt idx="1">
                  <c:v>4.3786982248520713E-2</c:v>
                </c:pt>
                <c:pt idx="2">
                  <c:v>3.4319526627218933E-2</c:v>
                </c:pt>
                <c:pt idx="3">
                  <c:v>8.8757396449704137E-2</c:v>
                </c:pt>
                <c:pt idx="4">
                  <c:v>2.3668639053254438E-3</c:v>
                </c:pt>
                <c:pt idx="5">
                  <c:v>8.2840236686390536E-3</c:v>
                </c:pt>
                <c:pt idx="6">
                  <c:v>4.142011834319527E-2</c:v>
                </c:pt>
                <c:pt idx="7">
                  <c:v>4.4970414201183431E-2</c:v>
                </c:pt>
                <c:pt idx="8">
                  <c:v>3.5502958579881655E-3</c:v>
                </c:pt>
                <c:pt idx="9">
                  <c:v>3.5502958579881655E-3</c:v>
                </c:pt>
                <c:pt idx="10">
                  <c:v>0.4532544378698225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Ibanda-Mbarara'!$S$9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Ibanda-Mbarara'!$S$10:$S$21</c:f>
              <c:numCache>
                <c:formatCode>0</c:formatCode>
                <c:ptCount val="12"/>
                <c:pt idx="0">
                  <c:v>16</c:v>
                </c:pt>
                <c:pt idx="1">
                  <c:v>19</c:v>
                </c:pt>
                <c:pt idx="2">
                  <c:v>11</c:v>
                </c:pt>
                <c:pt idx="3">
                  <c:v>16</c:v>
                </c:pt>
                <c:pt idx="4">
                  <c:v>20</c:v>
                </c:pt>
                <c:pt idx="5">
                  <c:v>23</c:v>
                </c:pt>
                <c:pt idx="6">
                  <c:v>18</c:v>
                </c:pt>
                <c:pt idx="7">
                  <c:v>15</c:v>
                </c:pt>
                <c:pt idx="8">
                  <c:v>22</c:v>
                </c:pt>
                <c:pt idx="9">
                  <c:v>28</c:v>
                </c:pt>
                <c:pt idx="10">
                  <c:v>23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'30.10 Ibanda-Mbarara'!$T$9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Ibanda-Mbarara'!$T$10:$T$21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7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'30.10 Ibanda-Mbarara'!$U$9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'30.10 Ibanda-Mbarara'!$V$9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Ibanda-Mbarara'!$V$10:$V$21</c:f>
              <c:numCache>
                <c:formatCode>0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1</c:v>
                </c:pt>
                <c:pt idx="7">
                  <c:v>3</c:v>
                </c:pt>
                <c:pt idx="8">
                  <c:v>8</c:v>
                </c:pt>
                <c:pt idx="9">
                  <c:v>3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'30.10 Ibanda-Mbarara'!$W$9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'30.10 Ibanda-Mbarara'!$X$9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'30.10 Ibanda-Mbarara'!$Y$9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'30.10 Ibanda-Mbarara'!$Z$9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'30.10 Ibanda-Mbarara'!$AA$9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'30.10 Ibanda-Mbarara'!$AB$9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'30.10 Ibanda-Mbarara'!$AC$9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Ibanda-Mbarara'!$AC$10:$AC$21</c:f>
              <c:numCache>
                <c:formatCode>0</c:formatCode>
                <c:ptCount val="12"/>
                <c:pt idx="0">
                  <c:v>26</c:v>
                </c:pt>
                <c:pt idx="1">
                  <c:v>29</c:v>
                </c:pt>
                <c:pt idx="2">
                  <c:v>32</c:v>
                </c:pt>
                <c:pt idx="3">
                  <c:v>33</c:v>
                </c:pt>
                <c:pt idx="4">
                  <c:v>29</c:v>
                </c:pt>
                <c:pt idx="5">
                  <c:v>28</c:v>
                </c:pt>
                <c:pt idx="6">
                  <c:v>33</c:v>
                </c:pt>
                <c:pt idx="7">
                  <c:v>34</c:v>
                </c:pt>
                <c:pt idx="8">
                  <c:v>26</c:v>
                </c:pt>
                <c:pt idx="9">
                  <c:v>35</c:v>
                </c:pt>
                <c:pt idx="10">
                  <c:v>38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'30.10 Ibanda-Mbarara'!$AD$9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Ibanda-Mbarara'!$AD$10:$AD$21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942224"/>
        <c:axId val="510943856"/>
      </c:lineChart>
      <c:catAx>
        <c:axId val="51094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43856"/>
        <c:crosses val="autoZero"/>
        <c:auto val="1"/>
        <c:lblAlgn val="ctr"/>
        <c:lblOffset val="100"/>
        <c:noMultiLvlLbl val="0"/>
      </c:catAx>
      <c:valAx>
        <c:axId val="51094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094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Ibanda-Mbarara'!$C$60:$N$60</c:f>
              <c:numCache>
                <c:formatCode>0.00%</c:formatCode>
                <c:ptCount val="12"/>
                <c:pt idx="0">
                  <c:v>0.50432900432900429</c:v>
                </c:pt>
                <c:pt idx="1">
                  <c:v>8.0086580086580081E-2</c:v>
                </c:pt>
                <c:pt idx="2">
                  <c:v>6.2770562770562768E-2</c:v>
                </c:pt>
                <c:pt idx="3">
                  <c:v>0.16233766233766234</c:v>
                </c:pt>
                <c:pt idx="4">
                  <c:v>4.329004329004329E-3</c:v>
                </c:pt>
                <c:pt idx="5">
                  <c:v>1.5151515151515152E-2</c:v>
                </c:pt>
                <c:pt idx="6">
                  <c:v>7.575757575757576E-2</c:v>
                </c:pt>
                <c:pt idx="7">
                  <c:v>8.2251082251082255E-2</c:v>
                </c:pt>
                <c:pt idx="8">
                  <c:v>6.4935064935064939E-3</c:v>
                </c:pt>
                <c:pt idx="9">
                  <c:v>6.4935064935064939E-3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Mbarara-Ibanda'!$AE$9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Mbarara-Ibanda'!$AE$10:$AE$21</c:f>
              <c:numCache>
                <c:formatCode>0</c:formatCode>
                <c:ptCount val="12"/>
                <c:pt idx="0">
                  <c:v>28</c:v>
                </c:pt>
                <c:pt idx="1">
                  <c:v>24</c:v>
                </c:pt>
                <c:pt idx="2">
                  <c:v>36</c:v>
                </c:pt>
                <c:pt idx="3">
                  <c:v>40</c:v>
                </c:pt>
                <c:pt idx="4">
                  <c:v>39</c:v>
                </c:pt>
                <c:pt idx="5">
                  <c:v>42</c:v>
                </c:pt>
                <c:pt idx="6">
                  <c:v>31</c:v>
                </c:pt>
                <c:pt idx="7">
                  <c:v>52</c:v>
                </c:pt>
                <c:pt idx="8">
                  <c:v>47</c:v>
                </c:pt>
                <c:pt idx="9">
                  <c:v>30</c:v>
                </c:pt>
                <c:pt idx="10">
                  <c:v>28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'30.10 Mbarara-Ibanda'!$AF$9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Mbarara-Ibanda'!$AF$10:$AF$21</c:f>
              <c:numCache>
                <c:formatCode>0</c:formatCode>
                <c:ptCount val="12"/>
                <c:pt idx="0">
                  <c:v>51</c:v>
                </c:pt>
                <c:pt idx="1">
                  <c:v>47</c:v>
                </c:pt>
                <c:pt idx="2">
                  <c:v>72</c:v>
                </c:pt>
                <c:pt idx="3">
                  <c:v>70</c:v>
                </c:pt>
                <c:pt idx="4">
                  <c:v>64</c:v>
                </c:pt>
                <c:pt idx="5">
                  <c:v>67</c:v>
                </c:pt>
                <c:pt idx="6">
                  <c:v>48</c:v>
                </c:pt>
                <c:pt idx="7">
                  <c:v>83</c:v>
                </c:pt>
                <c:pt idx="8">
                  <c:v>76</c:v>
                </c:pt>
                <c:pt idx="9">
                  <c:v>68</c:v>
                </c:pt>
                <c:pt idx="10">
                  <c:v>62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335152"/>
        <c:axId val="512330256"/>
      </c:lineChart>
      <c:catAx>
        <c:axId val="512335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30256"/>
        <c:crosses val="autoZero"/>
        <c:auto val="1"/>
        <c:lblAlgn val="ctr"/>
        <c:lblOffset val="100"/>
        <c:noMultiLvlLbl val="0"/>
      </c:catAx>
      <c:valAx>
        <c:axId val="512330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3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Mbarara-Ibanda'!$C$59:$N$59</c:f>
              <c:numCache>
                <c:formatCode>0.0%</c:formatCode>
                <c:ptCount val="12"/>
                <c:pt idx="0">
                  <c:v>0.30541237113402064</c:v>
                </c:pt>
                <c:pt idx="1">
                  <c:v>3.2216494845360821E-2</c:v>
                </c:pt>
                <c:pt idx="2">
                  <c:v>2.9639175257731958E-2</c:v>
                </c:pt>
                <c:pt idx="3">
                  <c:v>8.3762886597938138E-2</c:v>
                </c:pt>
                <c:pt idx="4">
                  <c:v>1.288659793814433E-3</c:v>
                </c:pt>
                <c:pt idx="5">
                  <c:v>2.5773195876288659E-3</c:v>
                </c:pt>
                <c:pt idx="6">
                  <c:v>4.1237113402061855E-2</c:v>
                </c:pt>
                <c:pt idx="7">
                  <c:v>3.4793814432989692E-2</c:v>
                </c:pt>
                <c:pt idx="8">
                  <c:v>1.5463917525773196E-2</c:v>
                </c:pt>
                <c:pt idx="9">
                  <c:v>5.1546391752577319E-3</c:v>
                </c:pt>
                <c:pt idx="10">
                  <c:v>0.4484536082474227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Mbarara-Ibanda'!$S$9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Mbarara-Ibanda'!$S$10:$S$21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19</c:v>
                </c:pt>
                <c:pt idx="3">
                  <c:v>26</c:v>
                </c:pt>
                <c:pt idx="4">
                  <c:v>23</c:v>
                </c:pt>
                <c:pt idx="5">
                  <c:v>18</c:v>
                </c:pt>
                <c:pt idx="6">
                  <c:v>14</c:v>
                </c:pt>
                <c:pt idx="7">
                  <c:v>26</c:v>
                </c:pt>
                <c:pt idx="8">
                  <c:v>26</c:v>
                </c:pt>
                <c:pt idx="9">
                  <c:v>16</c:v>
                </c:pt>
                <c:pt idx="10">
                  <c:v>18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'30.10 Mbarara-Ibanda'!$T$9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Mbarara-Ibanda'!$T$10:$T$21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'30.10 Mbarara-Ibanda'!$U$9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'30.10 Mbarara-Ibanda'!$V$9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Mbarara-Ibanda'!$V$10:$V$21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14</c:v>
                </c:pt>
                <c:pt idx="8">
                  <c:v>7</c:v>
                </c:pt>
                <c:pt idx="9">
                  <c:v>4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'30.10 Mbarara-Ibanda'!$W$9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'30.10 Mbarara-Ibanda'!$X$9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'30.10 Mbarara-Ibanda'!$Y$9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2</c:v>
                </c:pt>
                <c:pt idx="5">
                  <c:v>5</c:v>
                </c:pt>
                <c:pt idx="6">
                  <c:v>8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'30.10 Mbarara-Ibanda'!$Z$9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Mbarara-Ibanda'!$Z$10:$Z$21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'30.10 Mbarara-Ibanda'!$AA$9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'30.10 Mbarara-Ibanda'!$AB$9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'30.10 Mbarara-Ibanda'!$AC$9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Mbarara-Ibanda'!$AC$10:$AC$21</c:f>
              <c:numCache>
                <c:formatCode>0</c:formatCode>
                <c:ptCount val="12"/>
                <c:pt idx="0">
                  <c:v>23</c:v>
                </c:pt>
                <c:pt idx="1">
                  <c:v>23</c:v>
                </c:pt>
                <c:pt idx="2">
                  <c:v>36</c:v>
                </c:pt>
                <c:pt idx="3">
                  <c:v>30</c:v>
                </c:pt>
                <c:pt idx="4">
                  <c:v>25</c:v>
                </c:pt>
                <c:pt idx="5">
                  <c:v>25</c:v>
                </c:pt>
                <c:pt idx="6">
                  <c:v>17</c:v>
                </c:pt>
                <c:pt idx="7">
                  <c:v>31</c:v>
                </c:pt>
                <c:pt idx="8">
                  <c:v>29</c:v>
                </c:pt>
                <c:pt idx="9">
                  <c:v>38</c:v>
                </c:pt>
                <c:pt idx="10">
                  <c:v>34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'30.10 Mbarara-Ibanda'!$AD$9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Mbarara-Ibanda'!$AD$10:$AD$21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334608"/>
        <c:axId val="512330800"/>
      </c:lineChart>
      <c:catAx>
        <c:axId val="51233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30800"/>
        <c:crosses val="autoZero"/>
        <c:auto val="1"/>
        <c:lblAlgn val="ctr"/>
        <c:lblOffset val="100"/>
        <c:noMultiLvlLbl val="0"/>
      </c:catAx>
      <c:valAx>
        <c:axId val="51233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3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Mbarara-Ibanda'!$C$60:$N$60</c:f>
              <c:numCache>
                <c:formatCode>0.00%</c:formatCode>
                <c:ptCount val="12"/>
                <c:pt idx="0">
                  <c:v>0.55373831775700932</c:v>
                </c:pt>
                <c:pt idx="1">
                  <c:v>5.8411214953271028E-2</c:v>
                </c:pt>
                <c:pt idx="2">
                  <c:v>5.3738317757009345E-2</c:v>
                </c:pt>
                <c:pt idx="3">
                  <c:v>0.15186915887850466</c:v>
                </c:pt>
                <c:pt idx="4">
                  <c:v>2.3364485981308409E-3</c:v>
                </c:pt>
                <c:pt idx="5">
                  <c:v>4.6728971962616819E-3</c:v>
                </c:pt>
                <c:pt idx="6">
                  <c:v>7.476635514018691E-2</c:v>
                </c:pt>
                <c:pt idx="7">
                  <c:v>6.3084112149532703E-2</c:v>
                </c:pt>
                <c:pt idx="8">
                  <c:v>2.8037383177570093E-2</c:v>
                </c:pt>
                <c:pt idx="9">
                  <c:v>9.3457943925233638E-3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Ibanda-Mbarara'!$AE$9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Ibanda-Mbarara'!$AE$10:$AE$21</c:f>
              <c:numCache>
                <c:formatCode>0</c:formatCode>
                <c:ptCount val="12"/>
                <c:pt idx="0">
                  <c:v>34</c:v>
                </c:pt>
                <c:pt idx="1">
                  <c:v>38</c:v>
                </c:pt>
                <c:pt idx="2">
                  <c:v>46</c:v>
                </c:pt>
                <c:pt idx="3">
                  <c:v>37</c:v>
                </c:pt>
                <c:pt idx="4">
                  <c:v>50</c:v>
                </c:pt>
                <c:pt idx="5">
                  <c:v>47</c:v>
                </c:pt>
                <c:pt idx="6">
                  <c:v>54</c:v>
                </c:pt>
                <c:pt idx="7">
                  <c:v>40</c:v>
                </c:pt>
                <c:pt idx="8">
                  <c:v>48</c:v>
                </c:pt>
                <c:pt idx="9">
                  <c:v>47</c:v>
                </c:pt>
                <c:pt idx="10">
                  <c:v>57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'31.10 Ibanda-Mbarara'!$AF$9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Ibanda-Mbarara'!$AF$10:$AF$21</c:f>
              <c:numCache>
                <c:formatCode>0</c:formatCode>
                <c:ptCount val="12"/>
                <c:pt idx="0">
                  <c:v>68</c:v>
                </c:pt>
                <c:pt idx="1">
                  <c:v>91</c:v>
                </c:pt>
                <c:pt idx="2">
                  <c:v>86</c:v>
                </c:pt>
                <c:pt idx="3">
                  <c:v>73</c:v>
                </c:pt>
                <c:pt idx="4">
                  <c:v>83</c:v>
                </c:pt>
                <c:pt idx="5">
                  <c:v>73</c:v>
                </c:pt>
                <c:pt idx="6">
                  <c:v>90</c:v>
                </c:pt>
                <c:pt idx="7">
                  <c:v>69</c:v>
                </c:pt>
                <c:pt idx="8">
                  <c:v>93</c:v>
                </c:pt>
                <c:pt idx="9">
                  <c:v>96</c:v>
                </c:pt>
                <c:pt idx="10">
                  <c:v>117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336240"/>
        <c:axId val="512328080"/>
      </c:lineChart>
      <c:catAx>
        <c:axId val="51233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28080"/>
        <c:crosses val="autoZero"/>
        <c:auto val="1"/>
        <c:lblAlgn val="ctr"/>
        <c:lblOffset val="100"/>
        <c:noMultiLvlLbl val="0"/>
      </c:catAx>
      <c:valAx>
        <c:axId val="512328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3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Ibanda-Mbarara'!$C$59:$N$59</c:f>
              <c:numCache>
                <c:formatCode>0.0%</c:formatCode>
                <c:ptCount val="12"/>
                <c:pt idx="0">
                  <c:v>0.29130009775171067</c:v>
                </c:pt>
                <c:pt idx="1">
                  <c:v>3.0303030303030304E-2</c:v>
                </c:pt>
                <c:pt idx="2">
                  <c:v>4.398826979472141E-2</c:v>
                </c:pt>
                <c:pt idx="3">
                  <c:v>8.6999022482893457E-2</c:v>
                </c:pt>
                <c:pt idx="4">
                  <c:v>1.9550342130987292E-3</c:v>
                </c:pt>
                <c:pt idx="5">
                  <c:v>2.9325513196480938E-3</c:v>
                </c:pt>
                <c:pt idx="6">
                  <c:v>2.932551319648094E-2</c:v>
                </c:pt>
                <c:pt idx="7">
                  <c:v>3.7145650048875857E-2</c:v>
                </c:pt>
                <c:pt idx="8">
                  <c:v>3.9100684261974585E-3</c:v>
                </c:pt>
                <c:pt idx="9">
                  <c:v>9.7751710654936461E-3</c:v>
                </c:pt>
                <c:pt idx="10">
                  <c:v>0.46236559139784944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Ibanda-Mbarara'!$S$9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Ibanda-Mbarara'!$S$10:$S$21</c:f>
              <c:numCache>
                <c:formatCode>0</c:formatCode>
                <c:ptCount val="12"/>
                <c:pt idx="0">
                  <c:v>14</c:v>
                </c:pt>
                <c:pt idx="1">
                  <c:v>22</c:v>
                </c:pt>
                <c:pt idx="2">
                  <c:v>20</c:v>
                </c:pt>
                <c:pt idx="3">
                  <c:v>19</c:v>
                </c:pt>
                <c:pt idx="4">
                  <c:v>21</c:v>
                </c:pt>
                <c:pt idx="5">
                  <c:v>30</c:v>
                </c:pt>
                <c:pt idx="6">
                  <c:v>33</c:v>
                </c:pt>
                <c:pt idx="7">
                  <c:v>17</c:v>
                </c:pt>
                <c:pt idx="8">
                  <c:v>28</c:v>
                </c:pt>
                <c:pt idx="9">
                  <c:v>29</c:v>
                </c:pt>
                <c:pt idx="10">
                  <c:v>36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'31.10 Ibanda-Mbarara'!$T$9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Ibanda-Mbarara'!$R$10:$R$21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Ibanda-Mbarara'!$T$10:$T$21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7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'31.10 Ibanda-Mbarara'!$U$9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Ibanda-Mbarara'!$U$10:$U$21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9">
                  <c:v>1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'31.10 Ibanda-Mbarara'!$V$9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Ibanda-Mbarara'!$V$10:$V$21</c:f>
              <c:numCache>
                <c:formatCode>0</c:formatCode>
                <c:ptCount val="12"/>
                <c:pt idx="0">
                  <c:v>13</c:v>
                </c:pt>
                <c:pt idx="1">
                  <c:v>11</c:v>
                </c:pt>
                <c:pt idx="2">
                  <c:v>11</c:v>
                </c:pt>
                <c:pt idx="3">
                  <c:v>9</c:v>
                </c:pt>
                <c:pt idx="4">
                  <c:v>11</c:v>
                </c:pt>
                <c:pt idx="5">
                  <c:v>2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'31.10 Ibanda-Mbarara'!$W$9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'31.10 Ibanda-Mbarara'!$X$9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'31.10 Ibanda-Mbarara'!$Y$9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'31.10 Ibanda-Mbarara'!$Z$9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6</c:v>
                </c:pt>
                <c:pt idx="10">
                  <c:v>9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'31.10 Ibanda-Mbarara'!$AA$9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'31.10 Ibanda-Mbarara'!$AB$9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'31.10 Ibanda-Mbarara'!$AC$9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Ibanda-Mbarara'!$AC$10:$AC$21</c:f>
              <c:numCache>
                <c:formatCode>0</c:formatCode>
                <c:ptCount val="12"/>
                <c:pt idx="0">
                  <c:v>34</c:v>
                </c:pt>
                <c:pt idx="1">
                  <c:v>53</c:v>
                </c:pt>
                <c:pt idx="2">
                  <c:v>40</c:v>
                </c:pt>
                <c:pt idx="3">
                  <c:v>36</c:v>
                </c:pt>
                <c:pt idx="4">
                  <c:v>33</c:v>
                </c:pt>
                <c:pt idx="5">
                  <c:v>26</c:v>
                </c:pt>
                <c:pt idx="6">
                  <c:v>36</c:v>
                </c:pt>
                <c:pt idx="7">
                  <c:v>29</c:v>
                </c:pt>
                <c:pt idx="8">
                  <c:v>45</c:v>
                </c:pt>
                <c:pt idx="9">
                  <c:v>49</c:v>
                </c:pt>
                <c:pt idx="10">
                  <c:v>60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'31.10 Ibanda-Mbarara'!$AD$9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Ibanda-Mbarara'!$AD$10:$AD$21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325360"/>
        <c:axId val="512337872"/>
      </c:lineChart>
      <c:catAx>
        <c:axId val="51232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37872"/>
        <c:crosses val="autoZero"/>
        <c:auto val="1"/>
        <c:lblAlgn val="ctr"/>
        <c:lblOffset val="100"/>
        <c:noMultiLvlLbl val="0"/>
      </c:catAx>
      <c:valAx>
        <c:axId val="51233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2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Ibanda-Mbarara'!$C$60:$N$60</c:f>
              <c:numCache>
                <c:formatCode>0.00%</c:formatCode>
                <c:ptCount val="12"/>
                <c:pt idx="0">
                  <c:v>0.54181818181818187</c:v>
                </c:pt>
                <c:pt idx="1">
                  <c:v>5.6363636363636366E-2</c:v>
                </c:pt>
                <c:pt idx="2">
                  <c:v>8.1818181818181818E-2</c:v>
                </c:pt>
                <c:pt idx="3">
                  <c:v>0.16181818181818181</c:v>
                </c:pt>
                <c:pt idx="4">
                  <c:v>3.6363636363636364E-3</c:v>
                </c:pt>
                <c:pt idx="5">
                  <c:v>5.454545454545455E-3</c:v>
                </c:pt>
                <c:pt idx="6">
                  <c:v>5.4545454545454543E-2</c:v>
                </c:pt>
                <c:pt idx="7">
                  <c:v>6.9090909090909092E-2</c:v>
                </c:pt>
                <c:pt idx="8">
                  <c:v>7.2727272727272727E-3</c:v>
                </c:pt>
                <c:pt idx="9">
                  <c:v>1.8181818181818181E-2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Mbarara-Ibanda'!$AE$9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Mbarara-Ibanda'!$AE$10:$AE$21</c:f>
              <c:numCache>
                <c:formatCode>0</c:formatCode>
                <c:ptCount val="12"/>
                <c:pt idx="0">
                  <c:v>28</c:v>
                </c:pt>
                <c:pt idx="1">
                  <c:v>28</c:v>
                </c:pt>
                <c:pt idx="2">
                  <c:v>31</c:v>
                </c:pt>
                <c:pt idx="3">
                  <c:v>34</c:v>
                </c:pt>
                <c:pt idx="4">
                  <c:v>50</c:v>
                </c:pt>
                <c:pt idx="5">
                  <c:v>35</c:v>
                </c:pt>
                <c:pt idx="6">
                  <c:v>51</c:v>
                </c:pt>
                <c:pt idx="7">
                  <c:v>60</c:v>
                </c:pt>
                <c:pt idx="8">
                  <c:v>49</c:v>
                </c:pt>
                <c:pt idx="9">
                  <c:v>39</c:v>
                </c:pt>
                <c:pt idx="10">
                  <c:v>48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'31.10 Mbarara-Ibanda'!$AF$9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Mbarara-Ibanda'!$AF$10:$AF$21</c:f>
              <c:numCache>
                <c:formatCode>0</c:formatCode>
                <c:ptCount val="12"/>
                <c:pt idx="0">
                  <c:v>47</c:v>
                </c:pt>
                <c:pt idx="1">
                  <c:v>64</c:v>
                </c:pt>
                <c:pt idx="2">
                  <c:v>70</c:v>
                </c:pt>
                <c:pt idx="3">
                  <c:v>58</c:v>
                </c:pt>
                <c:pt idx="4">
                  <c:v>77</c:v>
                </c:pt>
                <c:pt idx="5">
                  <c:v>69</c:v>
                </c:pt>
                <c:pt idx="6">
                  <c:v>83</c:v>
                </c:pt>
                <c:pt idx="7">
                  <c:v>88</c:v>
                </c:pt>
                <c:pt idx="8">
                  <c:v>91</c:v>
                </c:pt>
                <c:pt idx="9">
                  <c:v>87</c:v>
                </c:pt>
                <c:pt idx="10">
                  <c:v>82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323728"/>
        <c:axId val="512324272"/>
      </c:lineChart>
      <c:catAx>
        <c:axId val="512323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24272"/>
        <c:crosses val="autoZero"/>
        <c:auto val="1"/>
        <c:lblAlgn val="ctr"/>
        <c:lblOffset val="100"/>
        <c:noMultiLvlLbl val="0"/>
      </c:catAx>
      <c:valAx>
        <c:axId val="512324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232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Mbarara-Ibanda'!$C$59:$N$59</c:f>
              <c:numCache>
                <c:formatCode>0.0%</c:formatCode>
                <c:ptCount val="12"/>
                <c:pt idx="0">
                  <c:v>0.30144605116796441</c:v>
                </c:pt>
                <c:pt idx="1">
                  <c:v>3.5595105672969966E-2</c:v>
                </c:pt>
                <c:pt idx="2">
                  <c:v>2.6696329254727477E-2</c:v>
                </c:pt>
                <c:pt idx="3">
                  <c:v>7.8976640711902107E-2</c:v>
                </c:pt>
                <c:pt idx="4">
                  <c:v>5.5617352614015575E-3</c:v>
                </c:pt>
                <c:pt idx="5">
                  <c:v>1.1123470522803115E-2</c:v>
                </c:pt>
                <c:pt idx="6">
                  <c:v>5.0055617352614018E-2</c:v>
                </c:pt>
                <c:pt idx="7">
                  <c:v>3.3370411568409343E-2</c:v>
                </c:pt>
                <c:pt idx="8">
                  <c:v>3.3370411568409346E-3</c:v>
                </c:pt>
                <c:pt idx="9">
                  <c:v>2.2246941045606229E-3</c:v>
                </c:pt>
                <c:pt idx="10">
                  <c:v>0.45161290322580644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Mbarara-Ibanda'!$S$9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Mbarara-Ibanda'!$S$10:$S$21</c:f>
              <c:numCache>
                <c:formatCode>0</c:formatCode>
                <c:ptCount val="12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18</c:v>
                </c:pt>
                <c:pt idx="4">
                  <c:v>32</c:v>
                </c:pt>
                <c:pt idx="5">
                  <c:v>18</c:v>
                </c:pt>
                <c:pt idx="6">
                  <c:v>25</c:v>
                </c:pt>
                <c:pt idx="7">
                  <c:v>28</c:v>
                </c:pt>
                <c:pt idx="8">
                  <c:v>27</c:v>
                </c:pt>
                <c:pt idx="9">
                  <c:v>20</c:v>
                </c:pt>
                <c:pt idx="10">
                  <c:v>23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'31.10 Mbarara-Ibanda'!$T$9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Mbarara-Ibanda'!$R$10:$R$21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Mbarara-Ibanda'!$T$10:$T$21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5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'31.10 Mbarara-Ibanda'!$U$9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Mbarara-Ibanda'!$U$10:$U$21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'31.10 Mbarara-Ibanda'!$V$9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Mbarara-Ibanda'!$V$10:$V$21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7</c:v>
                </c:pt>
                <c:pt idx="5">
                  <c:v>6</c:v>
                </c:pt>
                <c:pt idx="6">
                  <c:v>10</c:v>
                </c:pt>
                <c:pt idx="7">
                  <c:v>7</c:v>
                </c:pt>
                <c:pt idx="8">
                  <c:v>4</c:v>
                </c:pt>
                <c:pt idx="9">
                  <c:v>3</c:v>
                </c:pt>
                <c:pt idx="10">
                  <c:v>13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'31.10 Mbarara-Ibanda'!$W$9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'31.10 Mbarara-Ibanda'!$X$9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'31.10 Mbarara-Ibanda'!$Y$9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12</c:v>
                </c:pt>
                <c:pt idx="8">
                  <c:v>8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'31.10 Mbarara-Ibanda'!$Z$9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6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'31.10 Mbarara-Ibanda'!$AA$9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'31.10 Mbarara-Ibanda'!$AB$9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'31.10 Mbarara-Ibanda'!$AC$9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Mbarara-Ibanda'!$AC$10:$AC$21</c:f>
              <c:numCache>
                <c:formatCode>0</c:formatCode>
                <c:ptCount val="12"/>
                <c:pt idx="0">
                  <c:v>19</c:v>
                </c:pt>
                <c:pt idx="1">
                  <c:v>36</c:v>
                </c:pt>
                <c:pt idx="2">
                  <c:v>39</c:v>
                </c:pt>
                <c:pt idx="3">
                  <c:v>24</c:v>
                </c:pt>
                <c:pt idx="4">
                  <c:v>27</c:v>
                </c:pt>
                <c:pt idx="5">
                  <c:v>34</c:v>
                </c:pt>
                <c:pt idx="6">
                  <c:v>32</c:v>
                </c:pt>
                <c:pt idx="7">
                  <c:v>28</c:v>
                </c:pt>
                <c:pt idx="8">
                  <c:v>42</c:v>
                </c:pt>
                <c:pt idx="9">
                  <c:v>48</c:v>
                </c:pt>
                <c:pt idx="10">
                  <c:v>34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'31.10 Mbarara-Ibanda'!$AD$9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Mbarara-Ibanda'!$AD$10:$AD$21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4266800"/>
        <c:axId val="514266256"/>
      </c:lineChart>
      <c:catAx>
        <c:axId val="51426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4266256"/>
        <c:crosses val="autoZero"/>
        <c:auto val="1"/>
        <c:lblAlgn val="ctr"/>
        <c:lblOffset val="100"/>
        <c:noMultiLvlLbl val="0"/>
      </c:catAx>
      <c:valAx>
        <c:axId val="51426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426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Mbarara-Ibanda'!$C$60:$N$60</c:f>
              <c:numCache>
                <c:formatCode>0.00%</c:formatCode>
                <c:ptCount val="12"/>
                <c:pt idx="0">
                  <c:v>0.5496957403651116</c:v>
                </c:pt>
                <c:pt idx="1">
                  <c:v>6.4908722109533468E-2</c:v>
                </c:pt>
                <c:pt idx="2">
                  <c:v>4.8681541582150101E-2</c:v>
                </c:pt>
                <c:pt idx="3">
                  <c:v>0.1440162271805274</c:v>
                </c:pt>
                <c:pt idx="4">
                  <c:v>1.0141987829614604E-2</c:v>
                </c:pt>
                <c:pt idx="5">
                  <c:v>2.0283975659229209E-2</c:v>
                </c:pt>
                <c:pt idx="6">
                  <c:v>9.1277890466531439E-2</c:v>
                </c:pt>
                <c:pt idx="7">
                  <c:v>6.0851926977687626E-2</c:v>
                </c:pt>
                <c:pt idx="8">
                  <c:v>6.0851926977687626E-3</c:v>
                </c:pt>
                <c:pt idx="9">
                  <c:v>4.0567951318458417E-3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Ibanda-Mbarara'!$AE$9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Ibanda-Mbarara'!$R$10:$R$33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Ibanda-Mbarara'!$AE$10:$AE$33</c:f>
              <c:numCache>
                <c:formatCode>0</c:formatCode>
                <c:ptCount val="24"/>
                <c:pt idx="0">
                  <c:v>30.428571428571431</c:v>
                </c:pt>
                <c:pt idx="1">
                  <c:v>39.714285714285715</c:v>
                </c:pt>
                <c:pt idx="2">
                  <c:v>38.428571428571431</c:v>
                </c:pt>
                <c:pt idx="3">
                  <c:v>43.428571428571423</c:v>
                </c:pt>
                <c:pt idx="4">
                  <c:v>42.285714285714278</c:v>
                </c:pt>
                <c:pt idx="5">
                  <c:v>48.142857142857146</c:v>
                </c:pt>
                <c:pt idx="6">
                  <c:v>44.142857142857139</c:v>
                </c:pt>
                <c:pt idx="7">
                  <c:v>43.571428571428569</c:v>
                </c:pt>
                <c:pt idx="8">
                  <c:v>49.428571428571431</c:v>
                </c:pt>
                <c:pt idx="9">
                  <c:v>50.142857142857139</c:v>
                </c:pt>
                <c:pt idx="10">
                  <c:v>46.857142857142861</c:v>
                </c:pt>
                <c:pt idx="11">
                  <c:v>50</c:v>
                </c:pt>
                <c:pt idx="12">
                  <c:v>43</c:v>
                </c:pt>
                <c:pt idx="13">
                  <c:v>47</c:v>
                </c:pt>
                <c:pt idx="14">
                  <c:v>27.5</c:v>
                </c:pt>
                <c:pt idx="15">
                  <c:v>19.5</c:v>
                </c:pt>
                <c:pt idx="16">
                  <c:v>10.5</c:v>
                </c:pt>
                <c:pt idx="17">
                  <c:v>10</c:v>
                </c:pt>
                <c:pt idx="18">
                  <c:v>12</c:v>
                </c:pt>
                <c:pt idx="19">
                  <c:v>2.5</c:v>
                </c:pt>
                <c:pt idx="20">
                  <c:v>5</c:v>
                </c:pt>
                <c:pt idx="21">
                  <c:v>4.5</c:v>
                </c:pt>
                <c:pt idx="22">
                  <c:v>8</c:v>
                </c:pt>
                <c:pt idx="23">
                  <c:v>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Ibanda-Mbarara'!$AF$9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Ibanda-Mbarara'!$R$10:$R$33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Ibanda-Mbarara'!$AF$10:$AF$33</c:f>
              <c:numCache>
                <c:formatCode>0</c:formatCode>
                <c:ptCount val="24"/>
                <c:pt idx="0">
                  <c:v>56</c:v>
                </c:pt>
                <c:pt idx="1">
                  <c:v>77.285714285714278</c:v>
                </c:pt>
                <c:pt idx="2">
                  <c:v>79.428571428571445</c:v>
                </c:pt>
                <c:pt idx="3">
                  <c:v>81.285714285714278</c:v>
                </c:pt>
                <c:pt idx="4">
                  <c:v>81.857142857142861</c:v>
                </c:pt>
                <c:pt idx="5">
                  <c:v>88.714285714285722</c:v>
                </c:pt>
                <c:pt idx="6">
                  <c:v>87.285714285714278</c:v>
                </c:pt>
                <c:pt idx="7">
                  <c:v>83.857142857142861</c:v>
                </c:pt>
                <c:pt idx="8">
                  <c:v>90.714285714285694</c:v>
                </c:pt>
                <c:pt idx="9">
                  <c:v>96.714285714285708</c:v>
                </c:pt>
                <c:pt idx="10">
                  <c:v>98.142857142857139</c:v>
                </c:pt>
                <c:pt idx="11">
                  <c:v>97.714285714285722</c:v>
                </c:pt>
                <c:pt idx="12">
                  <c:v>66.5</c:v>
                </c:pt>
                <c:pt idx="13">
                  <c:v>73.5</c:v>
                </c:pt>
                <c:pt idx="14">
                  <c:v>35</c:v>
                </c:pt>
                <c:pt idx="15">
                  <c:v>27.5</c:v>
                </c:pt>
                <c:pt idx="16">
                  <c:v>12.5</c:v>
                </c:pt>
                <c:pt idx="17">
                  <c:v>12</c:v>
                </c:pt>
                <c:pt idx="18">
                  <c:v>16.5</c:v>
                </c:pt>
                <c:pt idx="19">
                  <c:v>4.5</c:v>
                </c:pt>
                <c:pt idx="20">
                  <c:v>11</c:v>
                </c:pt>
                <c:pt idx="21">
                  <c:v>4.5</c:v>
                </c:pt>
                <c:pt idx="22">
                  <c:v>12</c:v>
                </c:pt>
                <c:pt idx="23">
                  <c:v>16.5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268976"/>
        <c:axId val="514261904"/>
      </c:lineChart>
      <c:catAx>
        <c:axId val="514268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4261904"/>
        <c:crosses val="autoZero"/>
        <c:auto val="1"/>
        <c:lblAlgn val="ctr"/>
        <c:lblOffset val="100"/>
        <c:noMultiLvlLbl val="0"/>
      </c:catAx>
      <c:valAx>
        <c:axId val="514261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426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Ibanda-Mbarara'!$C$107:$N$107</c:f>
              <c:numCache>
                <c:formatCode>0.0%</c:formatCode>
                <c:ptCount val="12"/>
                <c:pt idx="0">
                  <c:v>0.30004358722894187</c:v>
                </c:pt>
                <c:pt idx="1">
                  <c:v>4.9961861174675819E-2</c:v>
                </c:pt>
                <c:pt idx="2">
                  <c:v>3.2581453634085211E-2</c:v>
                </c:pt>
                <c:pt idx="3">
                  <c:v>7.7912171733682034E-2</c:v>
                </c:pt>
                <c:pt idx="4">
                  <c:v>2.7242018088700008E-3</c:v>
                </c:pt>
                <c:pt idx="5">
                  <c:v>4.9580472921434016E-3</c:v>
                </c:pt>
                <c:pt idx="6">
                  <c:v>3.2418001525553013E-2</c:v>
                </c:pt>
                <c:pt idx="7">
                  <c:v>3.737604881769642E-2</c:v>
                </c:pt>
                <c:pt idx="8">
                  <c:v>1.0460934946060804E-2</c:v>
                </c:pt>
                <c:pt idx="9">
                  <c:v>4.9035632559660015E-3</c:v>
                </c:pt>
                <c:pt idx="10">
                  <c:v>0.44655116050997068</c:v>
                </c:pt>
                <c:pt idx="11">
                  <c:v>1.0896807235480004E-4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Ibanda-Mbarara'!$C$9:$N$9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Ibanda-Mbarara'!$C$108:$N$108</c:f>
              <c:numCache>
                <c:formatCode>0.00%</c:formatCode>
                <c:ptCount val="12"/>
                <c:pt idx="0">
                  <c:v>0.54213427840125994</c:v>
                </c:pt>
                <c:pt idx="1">
                  <c:v>9.0273675920456792E-2</c:v>
                </c:pt>
                <c:pt idx="2">
                  <c:v>5.8869856270919473E-2</c:v>
                </c:pt>
                <c:pt idx="3">
                  <c:v>0.14077574325654657</c:v>
                </c:pt>
                <c:pt idx="4">
                  <c:v>4.9222287851939358E-3</c:v>
                </c:pt>
                <c:pt idx="5">
                  <c:v>8.9584563890529635E-3</c:v>
                </c:pt>
                <c:pt idx="6">
                  <c:v>5.8574522543807836E-2</c:v>
                </c:pt>
                <c:pt idx="7">
                  <c:v>6.753297893286081E-2</c:v>
                </c:pt>
                <c:pt idx="8">
                  <c:v>1.8901358535144713E-2</c:v>
                </c:pt>
                <c:pt idx="9">
                  <c:v>8.8600118133490835E-3</c:v>
                </c:pt>
                <c:pt idx="11">
                  <c:v>1.9688915140775743E-4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Mbarara-Ibanda'!$AE$9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Mbarara-Ibanda'!$R$10:$R$33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Mbarara-Ibanda'!$AE$10:$AE$33</c:f>
              <c:numCache>
                <c:formatCode>0</c:formatCode>
                <c:ptCount val="24"/>
                <c:pt idx="0">
                  <c:v>24</c:v>
                </c:pt>
                <c:pt idx="1">
                  <c:v>37.142857142857139</c:v>
                </c:pt>
                <c:pt idx="2">
                  <c:v>34.142857142857153</c:v>
                </c:pt>
                <c:pt idx="3">
                  <c:v>46</c:v>
                </c:pt>
                <c:pt idx="4">
                  <c:v>48.714285714285715</c:v>
                </c:pt>
                <c:pt idx="5">
                  <c:v>42.142857142857139</c:v>
                </c:pt>
                <c:pt idx="6">
                  <c:v>53.714285714285722</c:v>
                </c:pt>
                <c:pt idx="7">
                  <c:v>45.571428571428569</c:v>
                </c:pt>
                <c:pt idx="8">
                  <c:v>51</c:v>
                </c:pt>
                <c:pt idx="9">
                  <c:v>45.714285714285722</c:v>
                </c:pt>
                <c:pt idx="10">
                  <c:v>48.142857142857146</c:v>
                </c:pt>
                <c:pt idx="11">
                  <c:v>42.142857142857139</c:v>
                </c:pt>
                <c:pt idx="12">
                  <c:v>34.5</c:v>
                </c:pt>
                <c:pt idx="13">
                  <c:v>37</c:v>
                </c:pt>
                <c:pt idx="14">
                  <c:v>28</c:v>
                </c:pt>
                <c:pt idx="15">
                  <c:v>15.5</c:v>
                </c:pt>
                <c:pt idx="16">
                  <c:v>8</c:v>
                </c:pt>
                <c:pt idx="17">
                  <c:v>11</c:v>
                </c:pt>
                <c:pt idx="18">
                  <c:v>13</c:v>
                </c:pt>
                <c:pt idx="19">
                  <c:v>4</c:v>
                </c:pt>
                <c:pt idx="20">
                  <c:v>11.5</c:v>
                </c:pt>
                <c:pt idx="21">
                  <c:v>5</c:v>
                </c:pt>
                <c:pt idx="22">
                  <c:v>8</c:v>
                </c:pt>
                <c:pt idx="23">
                  <c:v>19.5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Mbarara-Ibanda'!$AF$9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Mbarara-Ibanda'!$R$10:$R$33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Mbarara-Ibanda'!$AF$10:$AF$33</c:f>
              <c:numCache>
                <c:formatCode>0</c:formatCode>
                <c:ptCount val="24"/>
                <c:pt idx="0">
                  <c:v>43.428571428571431</c:v>
                </c:pt>
                <c:pt idx="1">
                  <c:v>71.142857142857139</c:v>
                </c:pt>
                <c:pt idx="2">
                  <c:v>73.857142857142861</c:v>
                </c:pt>
                <c:pt idx="3">
                  <c:v>82.285714285714278</c:v>
                </c:pt>
                <c:pt idx="4">
                  <c:v>80.571428571428569</c:v>
                </c:pt>
                <c:pt idx="5">
                  <c:v>76.571428571428569</c:v>
                </c:pt>
                <c:pt idx="6">
                  <c:v>87.857142857142861</c:v>
                </c:pt>
                <c:pt idx="7">
                  <c:v>83.428571428571416</c:v>
                </c:pt>
                <c:pt idx="8">
                  <c:v>88.857142857142861</c:v>
                </c:pt>
                <c:pt idx="9">
                  <c:v>86.571428571428584</c:v>
                </c:pt>
                <c:pt idx="10">
                  <c:v>90.428571428571431</c:v>
                </c:pt>
                <c:pt idx="11">
                  <c:v>92.571428571428555</c:v>
                </c:pt>
                <c:pt idx="12">
                  <c:v>68.5</c:v>
                </c:pt>
                <c:pt idx="13">
                  <c:v>57.5</c:v>
                </c:pt>
                <c:pt idx="14">
                  <c:v>40.5</c:v>
                </c:pt>
                <c:pt idx="15">
                  <c:v>22.5</c:v>
                </c:pt>
                <c:pt idx="16">
                  <c:v>10.5</c:v>
                </c:pt>
                <c:pt idx="17">
                  <c:v>13.5</c:v>
                </c:pt>
                <c:pt idx="18">
                  <c:v>16.5</c:v>
                </c:pt>
                <c:pt idx="19">
                  <c:v>5</c:v>
                </c:pt>
                <c:pt idx="20">
                  <c:v>12.5</c:v>
                </c:pt>
                <c:pt idx="21">
                  <c:v>8</c:v>
                </c:pt>
                <c:pt idx="22">
                  <c:v>11.5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262992"/>
        <c:axId val="514263536"/>
      </c:lineChart>
      <c:catAx>
        <c:axId val="514262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4263536"/>
        <c:crosses val="autoZero"/>
        <c:auto val="1"/>
        <c:lblAlgn val="ctr"/>
        <c:lblOffset val="100"/>
        <c:noMultiLvlLbl val="0"/>
      </c:catAx>
      <c:valAx>
        <c:axId val="5142635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1426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Mbarara-Ibanda'!$C$107:$N$107</c:f>
              <c:numCache>
                <c:formatCode>0.0%</c:formatCode>
                <c:ptCount val="12"/>
                <c:pt idx="0">
                  <c:v>0.30756963034687018</c:v>
                </c:pt>
                <c:pt idx="1">
                  <c:v>4.2091473486358708E-2</c:v>
                </c:pt>
                <c:pt idx="2">
                  <c:v>3.7648801048015032E-2</c:v>
                </c:pt>
                <c:pt idx="3">
                  <c:v>7.6322834197186287E-2</c:v>
                </c:pt>
                <c:pt idx="4">
                  <c:v>3.8730990488124381E-3</c:v>
                </c:pt>
                <c:pt idx="5">
                  <c:v>6.0944352679842776E-3</c:v>
                </c:pt>
                <c:pt idx="6">
                  <c:v>4.1806686791593078E-2</c:v>
                </c:pt>
                <c:pt idx="7">
                  <c:v>3.0984792390499505E-2</c:v>
                </c:pt>
                <c:pt idx="8">
                  <c:v>1.5891097567921623E-2</c:v>
                </c:pt>
                <c:pt idx="9">
                  <c:v>5.4679045394999135E-3</c:v>
                </c:pt>
                <c:pt idx="10">
                  <c:v>0.43111009853619625</c:v>
                </c:pt>
                <c:pt idx="11">
                  <c:v>1.139146779062482E-3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Mbarara-Ibanda'!$C$9:$N$9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Mbarara-Ibanda'!$C$108:$N$108</c:f>
              <c:numCache>
                <c:formatCode>0.00%</c:formatCode>
                <c:ptCount val="12"/>
                <c:pt idx="0">
                  <c:v>0.5406487785342412</c:v>
                </c:pt>
                <c:pt idx="1">
                  <c:v>7.3988786543852617E-2</c:v>
                </c:pt>
                <c:pt idx="2">
                  <c:v>6.6179415298358038E-2</c:v>
                </c:pt>
                <c:pt idx="3">
                  <c:v>0.1341609931918302</c:v>
                </c:pt>
                <c:pt idx="4">
                  <c:v>6.8081698037645169E-3</c:v>
                </c:pt>
                <c:pt idx="5">
                  <c:v>1.0712855426511814E-2</c:v>
                </c:pt>
                <c:pt idx="6">
                  <c:v>7.3488185822987565E-2</c:v>
                </c:pt>
                <c:pt idx="7">
                  <c:v>5.4465358430116136E-2</c:v>
                </c:pt>
                <c:pt idx="8">
                  <c:v>2.7933520224269121E-2</c:v>
                </c:pt>
                <c:pt idx="9">
                  <c:v>9.6115338406087304E-3</c:v>
                </c:pt>
                <c:pt idx="11">
                  <c:v>2.0024028834601522E-3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Ibanda-Mbarara-2Dir'!$C$9:$N$9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Ibanda-Mbarara-2Dir'!$C$107:$N$107</c:f>
              <c:numCache>
                <c:formatCode>0.0%</c:formatCode>
                <c:ptCount val="12"/>
                <c:pt idx="0">
                  <c:v>0.30372309320263985</c:v>
                </c:pt>
                <c:pt idx="1">
                  <c:v>4.6114004065606645E-2</c:v>
                </c:pt>
                <c:pt idx="2">
                  <c:v>3.5058895603018572E-2</c:v>
                </c:pt>
                <c:pt idx="3">
                  <c:v>7.7135139650803389E-2</c:v>
                </c:pt>
                <c:pt idx="4">
                  <c:v>3.285901255882598E-3</c:v>
                </c:pt>
                <c:pt idx="5">
                  <c:v>5.5136309208877517E-3</c:v>
                </c:pt>
                <c:pt idx="6">
                  <c:v>3.7008159059898085E-2</c:v>
                </c:pt>
                <c:pt idx="7">
                  <c:v>3.4251343599454205E-2</c:v>
                </c:pt>
                <c:pt idx="8">
                  <c:v>1.3115758402717831E-2</c:v>
                </c:pt>
                <c:pt idx="9">
                  <c:v>5.179471471136979E-3</c:v>
                </c:pt>
                <c:pt idx="10">
                  <c:v>0.4390019771100776</c:v>
                </c:pt>
                <c:pt idx="11">
                  <c:v>6.1262565787641675E-4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Ibanda-Mbarara-2Dir'!$C$9:$N$9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Ibanda-Mbarara-2Dir'!$C$108:$N$108</c:f>
              <c:numCache>
                <c:formatCode>0.00%</c:formatCode>
                <c:ptCount val="12"/>
                <c:pt idx="0">
                  <c:v>0.54139779608855354</c:v>
                </c:pt>
                <c:pt idx="1">
                  <c:v>8.2199940434825786E-2</c:v>
                </c:pt>
                <c:pt idx="2">
                  <c:v>6.2493795294351236E-2</c:v>
                </c:pt>
                <c:pt idx="3">
                  <c:v>0.13749627717661078</c:v>
                </c:pt>
                <c:pt idx="4">
                  <c:v>5.8572421324332375E-3</c:v>
                </c:pt>
                <c:pt idx="5">
                  <c:v>9.8282537476422158E-3</c:v>
                </c:pt>
                <c:pt idx="6">
                  <c:v>6.59684304576591E-2</c:v>
                </c:pt>
                <c:pt idx="7">
                  <c:v>6.1054303583837982E-2</c:v>
                </c:pt>
                <c:pt idx="8">
                  <c:v>2.3379330884542842E-2</c:v>
                </c:pt>
                <c:pt idx="9">
                  <c:v>9.2326020053608692E-3</c:v>
                </c:pt>
                <c:pt idx="11">
                  <c:v>1.0920281941824682E-3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Ibanda-Mbarara-2Dir'!$AE$9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Ibanda-Mbarara-2Dir'!$R$10:$R$33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Ibanda-Mbarara-2Dir'!$AE$10:$AE$33</c:f>
              <c:numCache>
                <c:formatCode>0</c:formatCode>
                <c:ptCount val="24"/>
                <c:pt idx="0">
                  <c:v>54.428571428571423</c:v>
                </c:pt>
                <c:pt idx="1">
                  <c:v>76.857142857142861</c:v>
                </c:pt>
                <c:pt idx="2">
                  <c:v>72.571428571428584</c:v>
                </c:pt>
                <c:pt idx="3">
                  <c:v>89.428571428571416</c:v>
                </c:pt>
                <c:pt idx="4">
                  <c:v>90.999999999999986</c:v>
                </c:pt>
                <c:pt idx="5">
                  <c:v>90.285714285714278</c:v>
                </c:pt>
                <c:pt idx="6">
                  <c:v>97.857142857142833</c:v>
                </c:pt>
                <c:pt idx="7">
                  <c:v>89.142857142857139</c:v>
                </c:pt>
                <c:pt idx="8">
                  <c:v>100.42857142857142</c:v>
                </c:pt>
                <c:pt idx="9">
                  <c:v>95.857142857142861</c:v>
                </c:pt>
                <c:pt idx="10">
                  <c:v>94.999999999999986</c:v>
                </c:pt>
                <c:pt idx="11">
                  <c:v>92.142857142857139</c:v>
                </c:pt>
                <c:pt idx="12">
                  <c:v>77.5</c:v>
                </c:pt>
                <c:pt idx="13">
                  <c:v>84</c:v>
                </c:pt>
                <c:pt idx="14">
                  <c:v>55.5</c:v>
                </c:pt>
                <c:pt idx="15">
                  <c:v>35</c:v>
                </c:pt>
                <c:pt idx="16">
                  <c:v>18.5</c:v>
                </c:pt>
                <c:pt idx="17">
                  <c:v>21</c:v>
                </c:pt>
                <c:pt idx="18">
                  <c:v>25</c:v>
                </c:pt>
                <c:pt idx="19">
                  <c:v>6.5</c:v>
                </c:pt>
                <c:pt idx="20">
                  <c:v>16.5</c:v>
                </c:pt>
                <c:pt idx="21">
                  <c:v>9.5</c:v>
                </c:pt>
                <c:pt idx="22">
                  <c:v>16</c:v>
                </c:pt>
                <c:pt idx="23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DD-4CF6-AC98-64713401B27F}"/>
            </c:ext>
          </c:extLst>
        </c:ser>
        <c:ser>
          <c:idx val="1"/>
          <c:order val="1"/>
          <c:tx>
            <c:strRef>
              <c:f>'Avg Week Ibanda-Mbarara-2Dir'!$AF$9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Ibanda-Mbarara-2Dir'!$R$10:$R$33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Ibanda-Mbarara-2Dir'!$AF$10:$AF$33</c:f>
              <c:numCache>
                <c:formatCode>0</c:formatCode>
                <c:ptCount val="24"/>
                <c:pt idx="0">
                  <c:v>99.428571428571416</c:v>
                </c:pt>
                <c:pt idx="1">
                  <c:v>148.42857142857142</c:v>
                </c:pt>
                <c:pt idx="2">
                  <c:v>153.28571428571428</c:v>
                </c:pt>
                <c:pt idx="3">
                  <c:v>163.57142857142856</c:v>
                </c:pt>
                <c:pt idx="4">
                  <c:v>162.42857142857142</c:v>
                </c:pt>
                <c:pt idx="5">
                  <c:v>165.28571428571428</c:v>
                </c:pt>
                <c:pt idx="6">
                  <c:v>175.14285714285714</c:v>
                </c:pt>
                <c:pt idx="7">
                  <c:v>167.28571428571428</c:v>
                </c:pt>
                <c:pt idx="8">
                  <c:v>179.57142857142858</c:v>
                </c:pt>
                <c:pt idx="9">
                  <c:v>183.28571428571428</c:v>
                </c:pt>
                <c:pt idx="10">
                  <c:v>188.57142857142856</c:v>
                </c:pt>
                <c:pt idx="11">
                  <c:v>190.28571428571428</c:v>
                </c:pt>
                <c:pt idx="12">
                  <c:v>135</c:v>
                </c:pt>
                <c:pt idx="13">
                  <c:v>131</c:v>
                </c:pt>
                <c:pt idx="14">
                  <c:v>75.5</c:v>
                </c:pt>
                <c:pt idx="15">
                  <c:v>50</c:v>
                </c:pt>
                <c:pt idx="16">
                  <c:v>23</c:v>
                </c:pt>
                <c:pt idx="17">
                  <c:v>25.5</c:v>
                </c:pt>
                <c:pt idx="18">
                  <c:v>33</c:v>
                </c:pt>
                <c:pt idx="19">
                  <c:v>9.5</c:v>
                </c:pt>
                <c:pt idx="20">
                  <c:v>23.5</c:v>
                </c:pt>
                <c:pt idx="21">
                  <c:v>12.5</c:v>
                </c:pt>
                <c:pt idx="22">
                  <c:v>23.5</c:v>
                </c:pt>
                <c:pt idx="23">
                  <c:v>46.5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3DD-4CF6-AC98-64713401B27F}"/>
            </c:ext>
          </c:extLst>
        </c:ser>
        <c:ser>
          <c:idx val="5"/>
          <c:order val="2"/>
          <c:tx>
            <c:strRef>
              <c:f>'Avg Week Ibanda-Mbarara-2Dir'!$AC$9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Ibanda-Mbarara-2Dir'!$R$10:$R$33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Ibanda-Mbarara-2Dir'!$AC$10:$AC$33</c:f>
              <c:numCache>
                <c:formatCode>0</c:formatCode>
                <c:ptCount val="24"/>
                <c:pt idx="0">
                  <c:v>45</c:v>
                </c:pt>
                <c:pt idx="1">
                  <c:v>71.571428571428569</c:v>
                </c:pt>
                <c:pt idx="2">
                  <c:v>80.714285714285708</c:v>
                </c:pt>
                <c:pt idx="3">
                  <c:v>74.142857142857153</c:v>
                </c:pt>
                <c:pt idx="4">
                  <c:v>71.428571428571416</c:v>
                </c:pt>
                <c:pt idx="5">
                  <c:v>75</c:v>
                </c:pt>
                <c:pt idx="6">
                  <c:v>77.285714285714292</c:v>
                </c:pt>
                <c:pt idx="7">
                  <c:v>78.142857142857139</c:v>
                </c:pt>
                <c:pt idx="8">
                  <c:v>79.142857142857139</c:v>
                </c:pt>
                <c:pt idx="9">
                  <c:v>87.428571428571431</c:v>
                </c:pt>
                <c:pt idx="10">
                  <c:v>93.571428571428584</c:v>
                </c:pt>
                <c:pt idx="11">
                  <c:v>98.142857142857139</c:v>
                </c:pt>
                <c:pt idx="12">
                  <c:v>57.5</c:v>
                </c:pt>
                <c:pt idx="13">
                  <c:v>47</c:v>
                </c:pt>
                <c:pt idx="14">
                  <c:v>20</c:v>
                </c:pt>
                <c:pt idx="15">
                  <c:v>15</c:v>
                </c:pt>
                <c:pt idx="16">
                  <c:v>4.5</c:v>
                </c:pt>
                <c:pt idx="17">
                  <c:v>4.5</c:v>
                </c:pt>
                <c:pt idx="18">
                  <c:v>8</c:v>
                </c:pt>
                <c:pt idx="19">
                  <c:v>3</c:v>
                </c:pt>
                <c:pt idx="20">
                  <c:v>7</c:v>
                </c:pt>
                <c:pt idx="21">
                  <c:v>3</c:v>
                </c:pt>
                <c:pt idx="22">
                  <c:v>7.5</c:v>
                </c:pt>
                <c:pt idx="23">
                  <c:v>17.5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D-4CF6-AC98-64713401B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Ibanda-Mbarara-2Dir'!$S$9:$AF$9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Ibanda-Mbarara-2Dir'!$S$41:$AF$41</c:f>
              <c:numCache>
                <c:formatCode>_(* #,##0_);_(* \(#,##0\);_(* "-"_);_(@_)</c:formatCode>
                <c:ptCount val="14"/>
                <c:pt idx="0">
                  <c:v>779.07142857142844</c:v>
                </c:pt>
                <c:pt idx="1">
                  <c:v>118.28571428571428</c:v>
                </c:pt>
                <c:pt idx="2">
                  <c:v>89.928571428571445</c:v>
                </c:pt>
                <c:pt idx="3">
                  <c:v>197.85714285714286</c:v>
                </c:pt>
                <c:pt idx="4">
                  <c:v>8.428571428571427</c:v>
                </c:pt>
                <c:pt idx="5">
                  <c:v>14.142857142857142</c:v>
                </c:pt>
                <c:pt idx="6">
                  <c:v>94.928571428571416</c:v>
                </c:pt>
                <c:pt idx="7">
                  <c:v>87.857142857142847</c:v>
                </c:pt>
                <c:pt idx="8">
                  <c:v>33.642857142857139</c:v>
                </c:pt>
                <c:pt idx="9">
                  <c:v>13.285714285714285</c:v>
                </c:pt>
                <c:pt idx="10">
                  <c:v>1126.0714285714284</c:v>
                </c:pt>
                <c:pt idx="11">
                  <c:v>1.5714285714285714</c:v>
                </c:pt>
                <c:pt idx="12">
                  <c:v>1439</c:v>
                </c:pt>
                <c:pt idx="13">
                  <c:v>2565.0714285714284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F3-4D3A-ABB2-DC32C7EEA6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Ibanda-Mbarara-2Dir'!$S$9:$AF$9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Ibanda-Mbarara-2Dir'!$S$42:$AF$42</c:f>
              <c:numCache>
                <c:formatCode>0.000</c:formatCode>
                <c:ptCount val="14"/>
                <c:pt idx="0">
                  <c:v>1.3037293808271575</c:v>
                </c:pt>
                <c:pt idx="1">
                  <c:v>1.6363636363636365</c:v>
                </c:pt>
                <c:pt idx="2">
                  <c:v>1.333686440677966</c:v>
                </c:pt>
                <c:pt idx="3">
                  <c:v>1.2776752767527675</c:v>
                </c:pt>
                <c:pt idx="4">
                  <c:v>2.4583333333333335</c:v>
                </c:pt>
                <c:pt idx="5">
                  <c:v>1.736842105263158</c:v>
                </c:pt>
                <c:pt idx="6">
                  <c:v>1.6246943765281172</c:v>
                </c:pt>
                <c:pt idx="7">
                  <c:v>1.5185185185185186</c:v>
                </c:pt>
                <c:pt idx="8">
                  <c:v>2.3787878787878785</c:v>
                </c:pt>
                <c:pt idx="9">
                  <c:v>1.4307692307692308</c:v>
                </c:pt>
                <c:pt idx="10">
                  <c:v>1.2087869958595305</c:v>
                </c:pt>
                <c:pt idx="11">
                  <c:v>1</c:v>
                </c:pt>
                <c:pt idx="12">
                  <c:v>1.3770334928229666</c:v>
                </c:pt>
                <c:pt idx="13">
                  <c:v>1.297737785487135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4F-4CE2-BE2D-4B10F8F9114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7.xml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1.xml"/><Relationship Id="rId1" Type="http://schemas.openxmlformats.org/officeDocument/2006/relationships/chart" Target="../charts/chart1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8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7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42</xdr:row>
      <xdr:rowOff>276224</xdr:rowOff>
    </xdr:from>
    <xdr:to>
      <xdr:col>27</xdr:col>
      <xdr:colOff>635001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15875</xdr:colOff>
      <xdr:row>58</xdr:row>
      <xdr:rowOff>25400</xdr:rowOff>
    </xdr:from>
    <xdr:to>
      <xdr:col>30</xdr:col>
      <xdr:colOff>0</xdr:colOff>
      <xdr:row>72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15874</xdr:colOff>
      <xdr:row>58</xdr:row>
      <xdr:rowOff>31751</xdr:rowOff>
    </xdr:from>
    <xdr:to>
      <xdr:col>23</xdr:col>
      <xdr:colOff>698500</xdr:colOff>
      <xdr:row>72</xdr:row>
      <xdr:rowOff>47625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22224</xdr:rowOff>
    </xdr:from>
    <xdr:to>
      <xdr:col>27</xdr:col>
      <xdr:colOff>698499</xdr:colOff>
      <xdr:row>57</xdr:row>
      <xdr:rowOff>285749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23</xdr:col>
      <xdr:colOff>698500</xdr:colOff>
      <xdr:row>58</xdr:row>
      <xdr:rowOff>25400</xdr:rowOff>
    </xdr:from>
    <xdr:to>
      <xdr:col>30</xdr:col>
      <xdr:colOff>0</xdr:colOff>
      <xdr:row>72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149224</xdr:colOff>
      <xdr:row>58</xdr:row>
      <xdr:rowOff>31749</xdr:rowOff>
    </xdr:from>
    <xdr:to>
      <xdr:col>23</xdr:col>
      <xdr:colOff>714374</xdr:colOff>
      <xdr:row>72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279400</xdr:rowOff>
    </xdr:from>
    <xdr:to>
      <xdr:col>23</xdr:col>
      <xdr:colOff>619125</xdr:colOff>
      <xdr:row>91</xdr:row>
      <xdr:rowOff>222250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15875</xdr:rowOff>
    </xdr:from>
    <xdr:to>
      <xdr:col>23</xdr:col>
      <xdr:colOff>634999</xdr:colOff>
      <xdr:row>74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1</xdr:rowOff>
    </xdr:from>
    <xdr:to>
      <xdr:col>28</xdr:col>
      <xdr:colOff>0</xdr:colOff>
      <xdr:row>58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650875</xdr:colOff>
      <xdr:row>59</xdr:row>
      <xdr:rowOff>0</xdr:rowOff>
    </xdr:from>
    <xdr:to>
      <xdr:col>30</xdr:col>
      <xdr:colOff>698500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634999</xdr:colOff>
      <xdr:row>75</xdr:row>
      <xdr:rowOff>0</xdr:rowOff>
    </xdr:from>
    <xdr:to>
      <xdr:col>30</xdr:col>
      <xdr:colOff>666749</xdr:colOff>
      <xdr:row>91</xdr:row>
      <xdr:rowOff>222249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" zoomScale="60" workbookViewId="0">
      <selection activeCell="I39" sqref="I3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3.42578125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177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30.75" customHeight="1" x14ac:dyDescent="0.25">
      <c r="C5" s="4" t="s">
        <v>3</v>
      </c>
      <c r="D5" s="36" t="s">
        <v>168</v>
      </c>
      <c r="E5" s="3"/>
      <c r="F5" s="41" t="s">
        <v>1</v>
      </c>
      <c r="G5" s="54" t="s">
        <v>164</v>
      </c>
      <c r="H5" s="55"/>
      <c r="I5" s="14"/>
      <c r="J5" s="2" t="s">
        <v>5</v>
      </c>
      <c r="K5" s="54" t="s">
        <v>166</v>
      </c>
      <c r="L5" s="55"/>
      <c r="M5" s="10"/>
      <c r="N5" s="10"/>
      <c r="O5" s="3"/>
      <c r="P5" s="3"/>
    </row>
    <row r="6" spans="2:32" ht="29.25" customHeight="1" x14ac:dyDescent="0.25">
      <c r="C6" s="2" t="s">
        <v>4</v>
      </c>
      <c r="D6" s="54" t="s">
        <v>163</v>
      </c>
      <c r="E6" s="55"/>
      <c r="F6" s="2" t="s">
        <v>2</v>
      </c>
      <c r="G6" s="54" t="s">
        <v>165</v>
      </c>
      <c r="H6" s="55"/>
      <c r="J6" s="2" t="s">
        <v>21</v>
      </c>
      <c r="K6" s="54" t="s">
        <v>167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21</v>
      </c>
      <c r="T10" s="17">
        <f t="shared" si="2"/>
        <v>4</v>
      </c>
      <c r="U10" s="17">
        <f t="shared" si="2"/>
        <v>0</v>
      </c>
      <c r="V10" s="17">
        <f t="shared" si="2"/>
        <v>8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26</v>
      </c>
      <c r="AD10" s="17">
        <f t="shared" si="2"/>
        <v>0</v>
      </c>
      <c r="AE10" s="31">
        <f t="shared" si="2"/>
        <v>35</v>
      </c>
      <c r="AF10" s="31">
        <f t="shared" si="2"/>
        <v>61</v>
      </c>
    </row>
    <row r="11" spans="2:32" s="6" customFormat="1" ht="23.1" customHeight="1" x14ac:dyDescent="0.25">
      <c r="B11" s="23" t="s">
        <v>38</v>
      </c>
      <c r="C11" s="50">
        <v>5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7</v>
      </c>
      <c r="P11" s="15">
        <f t="shared" si="1"/>
        <v>13</v>
      </c>
      <c r="R11" s="1" t="s">
        <v>7</v>
      </c>
      <c r="S11" s="17">
        <f t="shared" ref="S11:AF11" si="3">SUM(C14:C17)</f>
        <v>29</v>
      </c>
      <c r="T11" s="17">
        <f t="shared" si="3"/>
        <v>2</v>
      </c>
      <c r="U11" s="17">
        <f t="shared" si="3"/>
        <v>0</v>
      </c>
      <c r="V11" s="17">
        <f t="shared" si="3"/>
        <v>11</v>
      </c>
      <c r="W11" s="17">
        <f t="shared" si="3"/>
        <v>1</v>
      </c>
      <c r="X11" s="17">
        <f t="shared" si="3"/>
        <v>1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44</v>
      </c>
      <c r="AD11" s="17">
        <f t="shared" si="3"/>
        <v>0</v>
      </c>
      <c r="AE11" s="31">
        <f t="shared" si="3"/>
        <v>48</v>
      </c>
      <c r="AF11" s="31">
        <f t="shared" si="3"/>
        <v>92</v>
      </c>
    </row>
    <row r="12" spans="2:32" ht="23.1" customHeight="1" x14ac:dyDescent="0.25">
      <c r="B12" s="23" t="s">
        <v>39</v>
      </c>
      <c r="C12" s="50">
        <v>7</v>
      </c>
      <c r="D12" s="50">
        <v>2</v>
      </c>
      <c r="E12" s="50">
        <v>0</v>
      </c>
      <c r="F12" s="50">
        <v>4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13</v>
      </c>
      <c r="P12" s="15">
        <f t="shared" si="1"/>
        <v>21</v>
      </c>
      <c r="R12" s="1" t="s">
        <v>8</v>
      </c>
      <c r="S12" s="17">
        <f t="shared" ref="S12:AF12" si="4">SUM(C18:C21)</f>
        <v>23</v>
      </c>
      <c r="T12" s="17">
        <f t="shared" si="4"/>
        <v>1</v>
      </c>
      <c r="U12" s="17">
        <f t="shared" si="4"/>
        <v>5</v>
      </c>
      <c r="V12" s="17">
        <f t="shared" si="4"/>
        <v>15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37</v>
      </c>
      <c r="AD12" s="17">
        <f t="shared" si="4"/>
        <v>0</v>
      </c>
      <c r="AE12" s="31">
        <f t="shared" si="4"/>
        <v>47</v>
      </c>
      <c r="AF12" s="31">
        <f t="shared" si="4"/>
        <v>84</v>
      </c>
    </row>
    <row r="13" spans="2:32" ht="23.1" customHeight="1" x14ac:dyDescent="0.25">
      <c r="B13" s="23" t="s">
        <v>40</v>
      </c>
      <c r="C13" s="50">
        <v>6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10</v>
      </c>
      <c r="P13" s="15">
        <f t="shared" si="1"/>
        <v>17</v>
      </c>
      <c r="R13" s="1" t="s">
        <v>9</v>
      </c>
      <c r="S13" s="17">
        <f t="shared" ref="S13:AF13" si="5">SUM(C22:C25)</f>
        <v>23</v>
      </c>
      <c r="T13" s="17">
        <f t="shared" si="5"/>
        <v>1</v>
      </c>
      <c r="U13" s="17">
        <f t="shared" si="5"/>
        <v>5</v>
      </c>
      <c r="V13" s="17">
        <f t="shared" si="5"/>
        <v>11</v>
      </c>
      <c r="W13" s="17">
        <f t="shared" si="5"/>
        <v>1</v>
      </c>
      <c r="X13" s="17">
        <f t="shared" si="5"/>
        <v>2</v>
      </c>
      <c r="Y13" s="17">
        <f t="shared" si="5"/>
        <v>4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35</v>
      </c>
      <c r="AD13" s="17">
        <f t="shared" si="5"/>
        <v>0</v>
      </c>
      <c r="AE13" s="31">
        <f t="shared" si="5"/>
        <v>51</v>
      </c>
      <c r="AF13" s="31">
        <f t="shared" si="5"/>
        <v>86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0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8</v>
      </c>
      <c r="P14" s="15">
        <f t="shared" si="1"/>
        <v>14</v>
      </c>
      <c r="R14" s="1" t="s">
        <v>10</v>
      </c>
      <c r="S14" s="17">
        <f t="shared" ref="S14:AF14" si="6">SUM(C26:C29)</f>
        <v>28</v>
      </c>
      <c r="T14" s="17">
        <f t="shared" si="6"/>
        <v>0</v>
      </c>
      <c r="U14" s="17">
        <f t="shared" si="6"/>
        <v>2</v>
      </c>
      <c r="V14" s="17">
        <f t="shared" si="6"/>
        <v>8</v>
      </c>
      <c r="W14" s="17">
        <f t="shared" si="6"/>
        <v>2</v>
      </c>
      <c r="X14" s="17">
        <f t="shared" si="6"/>
        <v>1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38</v>
      </c>
      <c r="AD14" s="17">
        <f t="shared" si="6"/>
        <v>0</v>
      </c>
      <c r="AE14" s="31">
        <f t="shared" si="6"/>
        <v>45</v>
      </c>
      <c r="AF14" s="31">
        <f t="shared" si="6"/>
        <v>83</v>
      </c>
    </row>
    <row r="15" spans="2:32" ht="23.1" customHeight="1" x14ac:dyDescent="0.25">
      <c r="B15" s="23" t="s">
        <v>42</v>
      </c>
      <c r="C15" s="50">
        <v>11</v>
      </c>
      <c r="D15" s="50">
        <v>2</v>
      </c>
      <c r="E15" s="50">
        <v>0</v>
      </c>
      <c r="F15" s="50">
        <v>4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1</v>
      </c>
      <c r="M15" s="50">
        <v>10</v>
      </c>
      <c r="N15" s="50">
        <v>0</v>
      </c>
      <c r="O15" s="15">
        <f t="shared" si="0"/>
        <v>19</v>
      </c>
      <c r="P15" s="15">
        <f t="shared" si="1"/>
        <v>29</v>
      </c>
      <c r="R15" s="1" t="s">
        <v>11</v>
      </c>
      <c r="S15" s="17">
        <f t="shared" ref="S15:AF15" si="7">SUM(C30:C33)</f>
        <v>21</v>
      </c>
      <c r="T15" s="17">
        <f t="shared" si="7"/>
        <v>12</v>
      </c>
      <c r="U15" s="17">
        <f t="shared" si="7"/>
        <v>5</v>
      </c>
      <c r="V15" s="17">
        <f t="shared" si="7"/>
        <v>5</v>
      </c>
      <c r="W15" s="17">
        <f t="shared" si="7"/>
        <v>0</v>
      </c>
      <c r="X15" s="17">
        <f t="shared" si="7"/>
        <v>2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26</v>
      </c>
      <c r="AD15" s="17">
        <f t="shared" si="7"/>
        <v>0</v>
      </c>
      <c r="AE15" s="31">
        <f t="shared" si="7"/>
        <v>48</v>
      </c>
      <c r="AF15" s="31">
        <f t="shared" si="7"/>
        <v>74</v>
      </c>
    </row>
    <row r="16" spans="2:32" ht="23.1" customHeight="1" x14ac:dyDescent="0.25">
      <c r="B16" s="23" t="s">
        <v>43</v>
      </c>
      <c r="C16" s="50">
        <v>7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9</v>
      </c>
      <c r="P16" s="15">
        <f t="shared" si="1"/>
        <v>20</v>
      </c>
      <c r="R16" s="1" t="s">
        <v>12</v>
      </c>
      <c r="S16" s="17">
        <f t="shared" ref="S16:AF16" si="8">SUM(C34:C37)</f>
        <v>36</v>
      </c>
      <c r="T16" s="17">
        <f t="shared" si="8"/>
        <v>5</v>
      </c>
      <c r="U16" s="17">
        <f t="shared" si="8"/>
        <v>5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38</v>
      </c>
      <c r="AD16" s="17">
        <f t="shared" si="8"/>
        <v>0</v>
      </c>
      <c r="AE16" s="31">
        <f t="shared" si="8"/>
        <v>59</v>
      </c>
      <c r="AF16" s="31">
        <f t="shared" si="8"/>
        <v>97</v>
      </c>
    </row>
    <row r="17" spans="2:32" ht="23.1" customHeight="1" x14ac:dyDescent="0.25">
      <c r="B17" s="23" t="s">
        <v>44</v>
      </c>
      <c r="C17" s="50">
        <v>7</v>
      </c>
      <c r="D17" s="50">
        <v>0</v>
      </c>
      <c r="E17" s="50">
        <v>0</v>
      </c>
      <c r="F17" s="50">
        <v>3</v>
      </c>
      <c r="G17" s="50">
        <v>1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12</v>
      </c>
      <c r="P17" s="15">
        <f t="shared" si="1"/>
        <v>29</v>
      </c>
      <c r="R17" s="1" t="s">
        <v>13</v>
      </c>
      <c r="S17" s="17">
        <f t="shared" ref="S17:AF17" si="9">SUM(C38:C41)</f>
        <v>25</v>
      </c>
      <c r="T17" s="17">
        <f t="shared" si="9"/>
        <v>5</v>
      </c>
      <c r="U17" s="17">
        <f t="shared" si="9"/>
        <v>0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3</v>
      </c>
      <c r="AA17" s="17">
        <f t="shared" si="9"/>
        <v>1</v>
      </c>
      <c r="AB17" s="17">
        <f t="shared" si="9"/>
        <v>1</v>
      </c>
      <c r="AC17" s="17">
        <f t="shared" si="9"/>
        <v>34</v>
      </c>
      <c r="AD17" s="17">
        <f t="shared" si="9"/>
        <v>0</v>
      </c>
      <c r="AE17" s="31">
        <f t="shared" si="9"/>
        <v>40</v>
      </c>
      <c r="AF17" s="31">
        <f t="shared" si="9"/>
        <v>74</v>
      </c>
    </row>
    <row r="18" spans="2:32" ht="23.1" customHeight="1" x14ac:dyDescent="0.25">
      <c r="B18" s="23" t="s">
        <v>45</v>
      </c>
      <c r="C18" s="50">
        <v>6</v>
      </c>
      <c r="D18" s="50">
        <v>0</v>
      </c>
      <c r="E18" s="50">
        <v>2</v>
      </c>
      <c r="F18" s="50">
        <v>4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10</v>
      </c>
      <c r="N18" s="50">
        <v>0</v>
      </c>
      <c r="O18" s="15">
        <f t="shared" si="0"/>
        <v>13</v>
      </c>
      <c r="P18" s="15">
        <f t="shared" si="1"/>
        <v>23</v>
      </c>
      <c r="R18" s="1" t="s">
        <v>14</v>
      </c>
      <c r="S18" s="17">
        <f t="shared" ref="S18:AF18" si="10">SUM(C42:C45)</f>
        <v>31</v>
      </c>
      <c r="T18" s="17">
        <f t="shared" si="10"/>
        <v>5</v>
      </c>
      <c r="U18" s="17">
        <f t="shared" si="10"/>
        <v>3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27</v>
      </c>
      <c r="AD18" s="17">
        <f t="shared" si="10"/>
        <v>0</v>
      </c>
      <c r="AE18" s="31">
        <f t="shared" si="10"/>
        <v>53</v>
      </c>
      <c r="AF18" s="31">
        <f t="shared" si="10"/>
        <v>80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1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10</v>
      </c>
      <c r="P19" s="15">
        <f t="shared" si="1"/>
        <v>15</v>
      </c>
      <c r="R19" s="1" t="s">
        <v>15</v>
      </c>
      <c r="S19" s="17">
        <f t="shared" ref="S19:AF19" si="11">SUM(C46:C49)</f>
        <v>36</v>
      </c>
      <c r="T19" s="17">
        <f t="shared" si="11"/>
        <v>6</v>
      </c>
      <c r="U19" s="17">
        <f t="shared" si="11"/>
        <v>9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57</v>
      </c>
      <c r="AD19" s="17">
        <f t="shared" si="11"/>
        <v>0</v>
      </c>
      <c r="AE19" s="31">
        <f t="shared" si="11"/>
        <v>60</v>
      </c>
      <c r="AF19" s="31">
        <f t="shared" si="11"/>
        <v>117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2</v>
      </c>
      <c r="F20" s="50">
        <v>4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0"/>
        <v>11</v>
      </c>
      <c r="P20" s="15">
        <f t="shared" si="1"/>
        <v>22</v>
      </c>
      <c r="R20" s="1" t="s">
        <v>16</v>
      </c>
      <c r="S20" s="17">
        <f t="shared" ref="S20:AF20" si="12">SUM(C50:C53)</f>
        <v>36</v>
      </c>
      <c r="T20" s="17">
        <f t="shared" si="12"/>
        <v>7</v>
      </c>
      <c r="U20" s="17">
        <f t="shared" si="12"/>
        <v>3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56</v>
      </c>
      <c r="AD20" s="17">
        <f t="shared" si="12"/>
        <v>0</v>
      </c>
      <c r="AE20" s="31">
        <f t="shared" si="12"/>
        <v>59</v>
      </c>
      <c r="AF20" s="31">
        <f t="shared" si="12"/>
        <v>115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0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13</v>
      </c>
      <c r="P21" s="15">
        <f t="shared" si="1"/>
        <v>24</v>
      </c>
      <c r="R21" s="36" t="s">
        <v>20</v>
      </c>
      <c r="S21" s="34">
        <f t="shared" ref="S21:AF21" si="13">SUM(C54:C57)</f>
        <v>46</v>
      </c>
      <c r="T21" s="17">
        <f t="shared" si="13"/>
        <v>2</v>
      </c>
      <c r="U21" s="17">
        <f t="shared" si="13"/>
        <v>5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2</v>
      </c>
      <c r="AB21" s="17">
        <f t="shared" si="13"/>
        <v>0</v>
      </c>
      <c r="AC21" s="17">
        <f t="shared" si="13"/>
        <v>55</v>
      </c>
      <c r="AD21" s="17">
        <f t="shared" si="13"/>
        <v>0</v>
      </c>
      <c r="AE21" s="31">
        <f t="shared" si="13"/>
        <v>66</v>
      </c>
      <c r="AF21" s="31">
        <f t="shared" si="13"/>
        <v>121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2</v>
      </c>
      <c r="F22" s="50">
        <v>4</v>
      </c>
      <c r="G22" s="50">
        <v>0</v>
      </c>
      <c r="H22" s="50">
        <v>2</v>
      </c>
      <c r="I22" s="50">
        <v>0</v>
      </c>
      <c r="J22" s="50">
        <v>1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14</v>
      </c>
      <c r="P22" s="15">
        <f t="shared" si="1"/>
        <v>23</v>
      </c>
      <c r="R22" s="38" t="s">
        <v>90</v>
      </c>
      <c r="S22" s="39">
        <f>MAX(S10:S12)</f>
        <v>29</v>
      </c>
      <c r="T22" s="39">
        <f t="shared" ref="T22:AF22" si="14">MAX(T10:T12)</f>
        <v>4</v>
      </c>
      <c r="U22" s="39">
        <f t="shared" si="14"/>
        <v>5</v>
      </c>
      <c r="V22" s="39">
        <f t="shared" si="14"/>
        <v>15</v>
      </c>
      <c r="W22" s="39">
        <f t="shared" si="14"/>
        <v>1</v>
      </c>
      <c r="X22" s="39">
        <f t="shared" si="14"/>
        <v>1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44</v>
      </c>
      <c r="AD22" s="39">
        <f t="shared" si="14"/>
        <v>0</v>
      </c>
      <c r="AE22" s="40">
        <f t="shared" si="14"/>
        <v>48</v>
      </c>
      <c r="AF22" s="40">
        <f t="shared" si="14"/>
        <v>92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2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9</v>
      </c>
      <c r="P23" s="15">
        <f t="shared" si="1"/>
        <v>16</v>
      </c>
      <c r="R23" s="38" t="s">
        <v>91</v>
      </c>
      <c r="S23" s="39">
        <f>MAX(S13:S18)</f>
        <v>36</v>
      </c>
      <c r="T23" s="39">
        <f t="shared" ref="T23:AF23" si="15">MAX(T13:T18)</f>
        <v>12</v>
      </c>
      <c r="U23" s="39">
        <f t="shared" si="15"/>
        <v>5</v>
      </c>
      <c r="V23" s="39">
        <f t="shared" si="15"/>
        <v>11</v>
      </c>
      <c r="W23" s="39">
        <f t="shared" si="15"/>
        <v>2</v>
      </c>
      <c r="X23" s="39">
        <f t="shared" si="15"/>
        <v>2</v>
      </c>
      <c r="Y23" s="39">
        <f t="shared" si="15"/>
        <v>5</v>
      </c>
      <c r="Z23" s="39">
        <f t="shared" si="15"/>
        <v>6</v>
      </c>
      <c r="AA23" s="39">
        <f t="shared" si="15"/>
        <v>1</v>
      </c>
      <c r="AB23" s="39">
        <f t="shared" si="15"/>
        <v>1</v>
      </c>
      <c r="AC23" s="39">
        <f t="shared" si="15"/>
        <v>38</v>
      </c>
      <c r="AD23" s="39">
        <f t="shared" si="15"/>
        <v>0</v>
      </c>
      <c r="AE23" s="40">
        <f t="shared" si="15"/>
        <v>59</v>
      </c>
      <c r="AF23" s="40">
        <f t="shared" si="15"/>
        <v>97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14</v>
      </c>
      <c r="P24" s="15">
        <f t="shared" si="1"/>
        <v>24</v>
      </c>
      <c r="R24" s="38" t="s">
        <v>92</v>
      </c>
      <c r="S24" s="39">
        <f>MAX(S19:S21)</f>
        <v>46</v>
      </c>
      <c r="T24" s="39">
        <f t="shared" ref="T24:AF24" si="16">MAX(T19:T21)</f>
        <v>7</v>
      </c>
      <c r="U24" s="39">
        <f t="shared" si="16"/>
        <v>9</v>
      </c>
      <c r="V24" s="39">
        <f t="shared" si="16"/>
        <v>8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2</v>
      </c>
      <c r="AB24" s="39">
        <f t="shared" si="16"/>
        <v>0</v>
      </c>
      <c r="AC24" s="39">
        <f t="shared" si="16"/>
        <v>57</v>
      </c>
      <c r="AD24" s="39">
        <f t="shared" si="16"/>
        <v>0</v>
      </c>
      <c r="AE24" s="40">
        <f t="shared" si="16"/>
        <v>66</v>
      </c>
      <c r="AF24" s="40">
        <f t="shared" si="16"/>
        <v>121</v>
      </c>
    </row>
    <row r="25" spans="2:32" ht="23.1" customHeight="1" x14ac:dyDescent="0.25">
      <c r="B25" s="23" t="s">
        <v>52</v>
      </c>
      <c r="C25" s="50">
        <v>6</v>
      </c>
      <c r="D25" s="50">
        <v>1</v>
      </c>
      <c r="E25" s="50">
        <v>0</v>
      </c>
      <c r="F25" s="50">
        <v>2</v>
      </c>
      <c r="G25" s="50">
        <v>1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14</v>
      </c>
      <c r="P25" s="15">
        <f t="shared" si="1"/>
        <v>23</v>
      </c>
      <c r="R25" s="37" t="s">
        <v>85</v>
      </c>
      <c r="S25" s="35">
        <f t="shared" ref="S25:AF25" si="17">SUM(S10:S12)</f>
        <v>73</v>
      </c>
      <c r="T25" s="16">
        <f t="shared" si="17"/>
        <v>7</v>
      </c>
      <c r="U25" s="16">
        <f t="shared" si="17"/>
        <v>5</v>
      </c>
      <c r="V25" s="16">
        <f t="shared" si="17"/>
        <v>34</v>
      </c>
      <c r="W25" s="16">
        <f t="shared" si="17"/>
        <v>1</v>
      </c>
      <c r="X25" s="16">
        <f t="shared" si="17"/>
        <v>1</v>
      </c>
      <c r="Y25" s="16">
        <f t="shared" si="17"/>
        <v>6</v>
      </c>
      <c r="Z25" s="16">
        <f t="shared" si="17"/>
        <v>1</v>
      </c>
      <c r="AA25" s="16">
        <f t="shared" si="17"/>
        <v>0</v>
      </c>
      <c r="AB25" s="16">
        <f t="shared" si="17"/>
        <v>2</v>
      </c>
      <c r="AC25" s="16">
        <f t="shared" si="17"/>
        <v>107</v>
      </c>
      <c r="AD25" s="16">
        <f t="shared" si="17"/>
        <v>0</v>
      </c>
      <c r="AE25" s="32">
        <f t="shared" si="17"/>
        <v>130</v>
      </c>
      <c r="AF25" s="32">
        <f t="shared" si="17"/>
        <v>237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9</v>
      </c>
      <c r="P26" s="15">
        <f t="shared" si="1"/>
        <v>15</v>
      </c>
      <c r="R26" s="28" t="s">
        <v>86</v>
      </c>
      <c r="S26" s="16">
        <f t="shared" ref="S26:AF26" si="18">SUM(S13:S18)</f>
        <v>164</v>
      </c>
      <c r="T26" s="16">
        <f t="shared" si="18"/>
        <v>28</v>
      </c>
      <c r="U26" s="16">
        <f t="shared" si="18"/>
        <v>20</v>
      </c>
      <c r="V26" s="16">
        <f t="shared" si="18"/>
        <v>38</v>
      </c>
      <c r="W26" s="16">
        <f t="shared" si="18"/>
        <v>3</v>
      </c>
      <c r="X26" s="16">
        <f t="shared" si="18"/>
        <v>5</v>
      </c>
      <c r="Y26" s="16">
        <f t="shared" si="18"/>
        <v>18</v>
      </c>
      <c r="Z26" s="16">
        <f t="shared" si="18"/>
        <v>18</v>
      </c>
      <c r="AA26" s="16">
        <f t="shared" si="18"/>
        <v>1</v>
      </c>
      <c r="AB26" s="16">
        <f t="shared" si="18"/>
        <v>1</v>
      </c>
      <c r="AC26" s="16">
        <f t="shared" si="18"/>
        <v>198</v>
      </c>
      <c r="AD26" s="16">
        <f t="shared" si="18"/>
        <v>0</v>
      </c>
      <c r="AE26" s="32">
        <f t="shared" si="18"/>
        <v>296</v>
      </c>
      <c r="AF26" s="32">
        <f t="shared" si="18"/>
        <v>494</v>
      </c>
    </row>
    <row r="27" spans="2:32" ht="23.1" customHeight="1" x14ac:dyDescent="0.25">
      <c r="B27" s="23" t="s">
        <v>54</v>
      </c>
      <c r="C27" s="50">
        <v>9</v>
      </c>
      <c r="D27" s="50">
        <v>0</v>
      </c>
      <c r="E27" s="50">
        <v>0</v>
      </c>
      <c r="F27" s="50">
        <v>1</v>
      </c>
      <c r="G27" s="50">
        <v>1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13</v>
      </c>
      <c r="P27" s="15">
        <f t="shared" si="1"/>
        <v>24</v>
      </c>
      <c r="R27" s="29" t="s">
        <v>87</v>
      </c>
      <c r="S27" s="16">
        <f t="shared" ref="S27:AF27" si="19">SUM(S19:S21)</f>
        <v>118</v>
      </c>
      <c r="T27" s="16">
        <f t="shared" si="19"/>
        <v>15</v>
      </c>
      <c r="U27" s="16">
        <f t="shared" si="19"/>
        <v>17</v>
      </c>
      <c r="V27" s="16">
        <f t="shared" si="19"/>
        <v>20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6</v>
      </c>
      <c r="AA27" s="16">
        <f t="shared" si="19"/>
        <v>3</v>
      </c>
      <c r="AB27" s="16">
        <f t="shared" si="19"/>
        <v>0</v>
      </c>
      <c r="AC27" s="16">
        <f t="shared" si="19"/>
        <v>168</v>
      </c>
      <c r="AD27" s="16">
        <f t="shared" si="19"/>
        <v>0</v>
      </c>
      <c r="AE27" s="32">
        <f t="shared" si="19"/>
        <v>185</v>
      </c>
      <c r="AF27" s="32">
        <f t="shared" si="19"/>
        <v>353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0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12</v>
      </c>
      <c r="P28" s="15">
        <f t="shared" si="1"/>
        <v>24</v>
      </c>
      <c r="R28" s="5" t="s">
        <v>17</v>
      </c>
      <c r="S28" s="16">
        <f t="shared" ref="S28:AF28" si="20">SUM(S10:S21)</f>
        <v>355</v>
      </c>
      <c r="T28" s="16">
        <f t="shared" si="20"/>
        <v>50</v>
      </c>
      <c r="U28" s="16">
        <f t="shared" si="20"/>
        <v>42</v>
      </c>
      <c r="V28" s="16">
        <f t="shared" si="20"/>
        <v>92</v>
      </c>
      <c r="W28" s="16">
        <f t="shared" si="20"/>
        <v>4</v>
      </c>
      <c r="X28" s="16">
        <f t="shared" si="20"/>
        <v>6</v>
      </c>
      <c r="Y28" s="16">
        <f t="shared" si="20"/>
        <v>30</v>
      </c>
      <c r="Z28" s="16">
        <f t="shared" si="20"/>
        <v>25</v>
      </c>
      <c r="AA28" s="16">
        <f t="shared" si="20"/>
        <v>4</v>
      </c>
      <c r="AB28" s="16">
        <f t="shared" si="20"/>
        <v>3</v>
      </c>
      <c r="AC28" s="16">
        <f t="shared" si="20"/>
        <v>473</v>
      </c>
      <c r="AD28" s="16">
        <f t="shared" si="20"/>
        <v>0</v>
      </c>
      <c r="AE28" s="32">
        <f t="shared" si="20"/>
        <v>611</v>
      </c>
      <c r="AF28" s="32">
        <f t="shared" si="20"/>
        <v>1084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2</v>
      </c>
      <c r="G29" s="50">
        <v>1</v>
      </c>
      <c r="H29" s="50">
        <v>1</v>
      </c>
      <c r="I29" s="50">
        <v>1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11</v>
      </c>
      <c r="P29" s="15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2</v>
      </c>
      <c r="E30" s="50">
        <v>0</v>
      </c>
      <c r="F30" s="50">
        <v>2</v>
      </c>
      <c r="G30" s="50">
        <v>0</v>
      </c>
      <c r="H30" s="50">
        <v>1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6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6</v>
      </c>
      <c r="D31" s="50">
        <v>0</v>
      </c>
      <c r="E31" s="50">
        <v>0</v>
      </c>
      <c r="F31" s="50">
        <v>0</v>
      </c>
      <c r="G31" s="50">
        <v>0</v>
      </c>
      <c r="H31" s="50">
        <v>1</v>
      </c>
      <c r="I31" s="50">
        <v>0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7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3</v>
      </c>
      <c r="F32" s="50">
        <v>2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11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10</v>
      </c>
      <c r="D33" s="50">
        <v>10</v>
      </c>
      <c r="E33" s="50">
        <v>2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8</v>
      </c>
      <c r="N33" s="50">
        <v>0</v>
      </c>
      <c r="O33" s="15">
        <f t="shared" si="0"/>
        <v>24</v>
      </c>
      <c r="P33" s="15">
        <f t="shared" si="1"/>
        <v>32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3</v>
      </c>
      <c r="F34" s="50">
        <v>1</v>
      </c>
      <c r="G34" s="50">
        <v>0</v>
      </c>
      <c r="H34" s="50">
        <v>0</v>
      </c>
      <c r="I34" s="50">
        <v>0</v>
      </c>
      <c r="J34" s="50">
        <v>3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15</v>
      </c>
      <c r="P34" s="15">
        <f t="shared" si="1"/>
        <v>29</v>
      </c>
    </row>
    <row r="35" spans="2:20" ht="23.1" customHeight="1" x14ac:dyDescent="0.25">
      <c r="B35" s="24" t="s">
        <v>62</v>
      </c>
      <c r="C35" s="50">
        <v>6</v>
      </c>
      <c r="D35" s="50">
        <v>1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8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10</v>
      </c>
      <c r="D36" s="50">
        <v>2</v>
      </c>
      <c r="E36" s="50">
        <v>1</v>
      </c>
      <c r="F36" s="50">
        <v>3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4</v>
      </c>
      <c r="N36" s="50">
        <v>0</v>
      </c>
      <c r="O36" s="15">
        <f t="shared" si="0"/>
        <v>17</v>
      </c>
      <c r="P36" s="15">
        <f t="shared" si="1"/>
        <v>21</v>
      </c>
    </row>
    <row r="37" spans="2:20" ht="23.1" customHeight="1" x14ac:dyDescent="0.25">
      <c r="B37" s="23" t="s">
        <v>64</v>
      </c>
      <c r="C37" s="50">
        <v>12</v>
      </c>
      <c r="D37" s="50">
        <v>2</v>
      </c>
      <c r="E37" s="50">
        <v>1</v>
      </c>
      <c r="F37" s="50">
        <v>3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19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6</v>
      </c>
      <c r="D38" s="50">
        <v>1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9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10</v>
      </c>
      <c r="P39" s="15">
        <f t="shared" si="1"/>
        <v>18</v>
      </c>
    </row>
    <row r="40" spans="2:20" ht="23.1" customHeight="1" x14ac:dyDescent="0.25">
      <c r="B40" s="24" t="s">
        <v>67</v>
      </c>
      <c r="C40" s="50">
        <v>5</v>
      </c>
      <c r="D40" s="50">
        <v>1</v>
      </c>
      <c r="E40" s="50">
        <v>0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1</v>
      </c>
      <c r="L40" s="50">
        <v>1</v>
      </c>
      <c r="M40" s="50">
        <v>6</v>
      </c>
      <c r="N40" s="50">
        <v>0</v>
      </c>
      <c r="O40" s="15">
        <f t="shared" si="0"/>
        <v>11</v>
      </c>
      <c r="P40" s="15">
        <f t="shared" si="1"/>
        <v>17</v>
      </c>
    </row>
    <row r="41" spans="2:20" ht="23.1" customHeight="1" x14ac:dyDescent="0.25">
      <c r="B41" s="23" t="s">
        <v>68</v>
      </c>
      <c r="C41" s="50">
        <v>5</v>
      </c>
      <c r="D41" s="50">
        <v>3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7</v>
      </c>
      <c r="N41" s="50">
        <v>0</v>
      </c>
      <c r="O41" s="15">
        <f t="shared" si="0"/>
        <v>10</v>
      </c>
      <c r="P41" s="15">
        <f t="shared" si="1"/>
        <v>17</v>
      </c>
    </row>
    <row r="42" spans="2:20" ht="23.1" customHeight="1" x14ac:dyDescent="0.25">
      <c r="B42" s="24" t="s">
        <v>69</v>
      </c>
      <c r="C42" s="50">
        <v>6</v>
      </c>
      <c r="D42" s="50">
        <v>2</v>
      </c>
      <c r="E42" s="50">
        <v>2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11</v>
      </c>
      <c r="P42" s="15">
        <f t="shared" si="1"/>
        <v>22</v>
      </c>
    </row>
    <row r="43" spans="2:20" ht="23.1" customHeight="1" x14ac:dyDescent="0.25">
      <c r="B43" s="23" t="s">
        <v>70</v>
      </c>
      <c r="C43" s="50">
        <v>7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9</v>
      </c>
      <c r="P43" s="15">
        <f t="shared" si="1"/>
        <v>15</v>
      </c>
    </row>
    <row r="44" spans="2:20" ht="23.1" customHeight="1" x14ac:dyDescent="0.25">
      <c r="B44" s="25" t="s">
        <v>71</v>
      </c>
      <c r="C44" s="50">
        <v>10</v>
      </c>
      <c r="D44" s="50">
        <v>3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17</v>
      </c>
      <c r="P44" s="15">
        <f t="shared" si="1"/>
        <v>19</v>
      </c>
    </row>
    <row r="45" spans="2:20" ht="23.1" customHeight="1" x14ac:dyDescent="0.25">
      <c r="B45" s="23" t="s">
        <v>72</v>
      </c>
      <c r="C45" s="50">
        <v>8</v>
      </c>
      <c r="D45" s="50">
        <v>0</v>
      </c>
      <c r="E45" s="50">
        <v>1</v>
      </c>
      <c r="F45" s="50">
        <v>3</v>
      </c>
      <c r="G45" s="50">
        <v>0</v>
      </c>
      <c r="H45" s="50">
        <v>0</v>
      </c>
      <c r="I45" s="50">
        <v>1</v>
      </c>
      <c r="J45" s="50">
        <v>3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16</v>
      </c>
      <c r="P45" s="15">
        <f t="shared" si="1"/>
        <v>24</v>
      </c>
    </row>
    <row r="46" spans="2:20" ht="23.1" customHeight="1" x14ac:dyDescent="0.25">
      <c r="B46" s="24" t="s">
        <v>73</v>
      </c>
      <c r="C46" s="50">
        <v>9</v>
      </c>
      <c r="D46" s="50">
        <v>0</v>
      </c>
      <c r="E46" s="50">
        <v>1</v>
      </c>
      <c r="F46" s="50">
        <v>2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12</v>
      </c>
      <c r="P46" s="15">
        <f t="shared" si="1"/>
        <v>22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3</v>
      </c>
      <c r="E47" s="50">
        <v>3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14</v>
      </c>
      <c r="N47" s="50">
        <v>0</v>
      </c>
      <c r="O47" s="15">
        <f t="shared" si="0"/>
        <v>20</v>
      </c>
      <c r="P47" s="15">
        <f t="shared" si="1"/>
        <v>34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3</v>
      </c>
      <c r="E48" s="50">
        <v>4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18</v>
      </c>
      <c r="N48" s="50">
        <v>0</v>
      </c>
      <c r="O48" s="15">
        <f t="shared" si="0"/>
        <v>16</v>
      </c>
      <c r="P48" s="15">
        <f t="shared" si="1"/>
        <v>34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12</v>
      </c>
      <c r="P49" s="15">
        <f t="shared" si="1"/>
        <v>27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3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14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8</v>
      </c>
      <c r="D51" s="50">
        <v>1</v>
      </c>
      <c r="E51" s="50">
        <v>0</v>
      </c>
      <c r="F51" s="50">
        <v>3</v>
      </c>
      <c r="G51" s="50">
        <v>0</v>
      </c>
      <c r="H51" s="50">
        <v>0</v>
      </c>
      <c r="I51" s="50">
        <v>0</v>
      </c>
      <c r="J51" s="50">
        <v>1</v>
      </c>
      <c r="K51" s="50">
        <v>1</v>
      </c>
      <c r="L51" s="50">
        <v>0</v>
      </c>
      <c r="M51" s="50">
        <v>13</v>
      </c>
      <c r="N51" s="50">
        <v>0</v>
      </c>
      <c r="O51" s="15">
        <f t="shared" si="0"/>
        <v>14</v>
      </c>
      <c r="P51" s="15">
        <f t="shared" si="1"/>
        <v>27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0</v>
      </c>
      <c r="E52" s="50">
        <v>1</v>
      </c>
      <c r="F52" s="50">
        <v>4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17</v>
      </c>
      <c r="N52" s="50">
        <v>0</v>
      </c>
      <c r="O52" s="15">
        <f t="shared" si="0"/>
        <v>18</v>
      </c>
      <c r="P52" s="15">
        <f t="shared" si="1"/>
        <v>35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3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18</v>
      </c>
      <c r="N53" s="50">
        <v>0</v>
      </c>
      <c r="O53" s="15">
        <f t="shared" si="0"/>
        <v>13</v>
      </c>
      <c r="P53" s="15">
        <f t="shared" si="1"/>
        <v>31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1</v>
      </c>
      <c r="E54" s="50">
        <v>2</v>
      </c>
      <c r="F54" s="50">
        <v>1</v>
      </c>
      <c r="G54" s="50">
        <v>0</v>
      </c>
      <c r="H54" s="50">
        <v>0</v>
      </c>
      <c r="I54" s="50">
        <v>2</v>
      </c>
      <c r="J54" s="50">
        <v>1</v>
      </c>
      <c r="K54" s="50">
        <v>1</v>
      </c>
      <c r="L54" s="50">
        <v>0</v>
      </c>
      <c r="M54" s="50">
        <v>10</v>
      </c>
      <c r="N54" s="50">
        <v>0</v>
      </c>
      <c r="O54" s="15">
        <f t="shared" si="0"/>
        <v>19</v>
      </c>
      <c r="P54" s="15">
        <f t="shared" si="1"/>
        <v>29</v>
      </c>
      <c r="R54" s="8"/>
      <c r="T54"/>
    </row>
    <row r="55" spans="2:20" ht="23.1" customHeight="1" x14ac:dyDescent="0.25">
      <c r="B55" s="23" t="s">
        <v>82</v>
      </c>
      <c r="C55" s="50">
        <v>16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18</v>
      </c>
      <c r="P55" s="15">
        <f t="shared" si="1"/>
        <v>34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0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1</v>
      </c>
      <c r="K56" s="50">
        <v>1</v>
      </c>
      <c r="L56" s="50">
        <v>0</v>
      </c>
      <c r="M56" s="50">
        <v>15</v>
      </c>
      <c r="N56" s="50">
        <v>0</v>
      </c>
      <c r="O56" s="15">
        <f t="shared" si="0"/>
        <v>14</v>
      </c>
      <c r="P56" s="15">
        <f t="shared" si="1"/>
        <v>29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1</v>
      </c>
      <c r="E57" s="50">
        <v>0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15</v>
      </c>
      <c r="P57" s="15">
        <f t="shared" si="1"/>
        <v>29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355</v>
      </c>
      <c r="D58" s="16">
        <f t="shared" si="21"/>
        <v>50</v>
      </c>
      <c r="E58" s="16">
        <f t="shared" si="21"/>
        <v>42</v>
      </c>
      <c r="F58" s="16">
        <f t="shared" si="21"/>
        <v>92</v>
      </c>
      <c r="G58" s="16">
        <f t="shared" si="21"/>
        <v>4</v>
      </c>
      <c r="H58" s="16">
        <f t="shared" si="21"/>
        <v>6</v>
      </c>
      <c r="I58" s="16">
        <f t="shared" si="21"/>
        <v>30</v>
      </c>
      <c r="J58" s="16">
        <f t="shared" si="21"/>
        <v>25</v>
      </c>
      <c r="K58" s="16">
        <f t="shared" si="21"/>
        <v>4</v>
      </c>
      <c r="L58" s="16">
        <f t="shared" si="21"/>
        <v>3</v>
      </c>
      <c r="M58" s="16">
        <f t="shared" si="21"/>
        <v>473</v>
      </c>
      <c r="N58" s="16">
        <f t="shared" si="21"/>
        <v>0</v>
      </c>
      <c r="O58" s="16">
        <f t="shared" si="21"/>
        <v>611</v>
      </c>
      <c r="P58" s="16">
        <f t="shared" si="21"/>
        <v>1084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0.32749077490774908</v>
      </c>
      <c r="D59" s="43">
        <f t="shared" si="22"/>
        <v>4.6125461254612546E-2</v>
      </c>
      <c r="E59" s="43">
        <f t="shared" si="22"/>
        <v>3.8745387453874541E-2</v>
      </c>
      <c r="F59" s="43">
        <f t="shared" si="22"/>
        <v>8.4870848708487087E-2</v>
      </c>
      <c r="G59" s="43">
        <f t="shared" si="22"/>
        <v>3.6900369003690036E-3</v>
      </c>
      <c r="H59" s="43">
        <f t="shared" si="22"/>
        <v>5.5350553505535052E-3</v>
      </c>
      <c r="I59" s="43">
        <f t="shared" si="22"/>
        <v>2.7675276752767528E-2</v>
      </c>
      <c r="J59" s="43">
        <f t="shared" si="22"/>
        <v>2.3062730627306273E-2</v>
      </c>
      <c r="K59" s="43">
        <f t="shared" si="22"/>
        <v>3.6900369003690036E-3</v>
      </c>
      <c r="L59" s="43">
        <f t="shared" si="22"/>
        <v>2.7675276752767526E-3</v>
      </c>
      <c r="M59" s="43">
        <f t="shared" si="22"/>
        <v>0.43634686346863466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0.5810147299509002</v>
      </c>
      <c r="D60" s="44">
        <f t="shared" ref="D60:N60" si="23">D58/$O$58</f>
        <v>8.1833060556464818E-2</v>
      </c>
      <c r="E60" s="44">
        <f t="shared" si="23"/>
        <v>6.8739770867430439E-2</v>
      </c>
      <c r="F60" s="44">
        <f t="shared" si="23"/>
        <v>0.15057283142389524</v>
      </c>
      <c r="G60" s="44">
        <f t="shared" si="23"/>
        <v>6.5466448445171853E-3</v>
      </c>
      <c r="H60" s="44">
        <f t="shared" si="23"/>
        <v>9.8199672667757774E-3</v>
      </c>
      <c r="I60" s="44">
        <f t="shared" si="23"/>
        <v>4.9099836333878884E-2</v>
      </c>
      <c r="J60" s="44">
        <f t="shared" si="23"/>
        <v>4.0916530278232409E-2</v>
      </c>
      <c r="K60" s="44">
        <f t="shared" si="23"/>
        <v>6.5466448445171853E-3</v>
      </c>
      <c r="L60" s="44">
        <f t="shared" si="23"/>
        <v>4.9099836333878887E-3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'25.10 Ibanada-Mbarara'!D5</f>
        <v>25.10.2019</v>
      </c>
      <c r="E5" s="3"/>
      <c r="F5" s="41" t="s">
        <v>1</v>
      </c>
      <c r="G5" s="54" t="str">
        <f>'25.10 Ibanada-Mbarara'!G5:H5</f>
        <v>RUHUMBA</v>
      </c>
      <c r="H5" s="55"/>
      <c r="I5" s="14"/>
      <c r="J5" s="2" t="s">
        <v>5</v>
      </c>
      <c r="K5" s="54" t="s">
        <v>167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165</v>
      </c>
      <c r="E6" s="55"/>
      <c r="F6" s="2" t="s">
        <v>2</v>
      </c>
      <c r="G6" s="54" t="s">
        <v>163</v>
      </c>
      <c r="H6" s="55"/>
      <c r="J6" s="2" t="s">
        <v>21</v>
      </c>
      <c r="K6" s="54" t="str">
        <f>'25.10 Ibanada-Mbarara'!K6:L6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11</v>
      </c>
      <c r="T10" s="17">
        <f t="shared" si="2"/>
        <v>3</v>
      </c>
      <c r="U10" s="17">
        <f t="shared" si="2"/>
        <v>0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24</v>
      </c>
      <c r="AD10" s="17">
        <f t="shared" si="2"/>
        <v>0</v>
      </c>
      <c r="AE10" s="31">
        <f t="shared" si="2"/>
        <v>26</v>
      </c>
      <c r="AF10" s="31">
        <f t="shared" si="2"/>
        <v>50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1</v>
      </c>
      <c r="P11" s="15">
        <f t="shared" si="1"/>
        <v>6</v>
      </c>
      <c r="R11" s="1" t="s">
        <v>7</v>
      </c>
      <c r="S11" s="17">
        <f t="shared" ref="S11:AF11" si="3">SUM(C14:C17)</f>
        <v>18</v>
      </c>
      <c r="T11" s="17">
        <f t="shared" si="3"/>
        <v>1</v>
      </c>
      <c r="U11" s="17">
        <f t="shared" si="3"/>
        <v>4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3</v>
      </c>
      <c r="AA11" s="17">
        <f t="shared" si="3"/>
        <v>1</v>
      </c>
      <c r="AB11" s="17">
        <f t="shared" si="3"/>
        <v>0</v>
      </c>
      <c r="AC11" s="17">
        <f t="shared" si="3"/>
        <v>30</v>
      </c>
      <c r="AD11" s="17">
        <f t="shared" si="3"/>
        <v>0</v>
      </c>
      <c r="AE11" s="31">
        <f t="shared" si="3"/>
        <v>34</v>
      </c>
      <c r="AF11" s="31">
        <f t="shared" si="3"/>
        <v>64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0</v>
      </c>
      <c r="F12" s="50">
        <v>4</v>
      </c>
      <c r="G12" s="50">
        <v>0</v>
      </c>
      <c r="H12" s="50">
        <v>0</v>
      </c>
      <c r="I12" s="50">
        <v>0</v>
      </c>
      <c r="J12" s="50">
        <v>1</v>
      </c>
      <c r="K12" s="50">
        <v>1</v>
      </c>
      <c r="L12" s="50">
        <v>0</v>
      </c>
      <c r="M12" s="50">
        <v>6</v>
      </c>
      <c r="N12" s="50">
        <v>0</v>
      </c>
      <c r="O12" s="15">
        <f t="shared" si="0"/>
        <v>12</v>
      </c>
      <c r="P12" s="15">
        <f t="shared" si="1"/>
        <v>18</v>
      </c>
      <c r="R12" s="1" t="s">
        <v>8</v>
      </c>
      <c r="S12" s="17">
        <f t="shared" ref="S12:AF12" si="4">SUM(C18:C21)</f>
        <v>13</v>
      </c>
      <c r="T12" s="17">
        <f t="shared" si="4"/>
        <v>2</v>
      </c>
      <c r="U12" s="17">
        <f t="shared" si="4"/>
        <v>3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31</v>
      </c>
      <c r="AD12" s="17">
        <f t="shared" si="4"/>
        <v>0</v>
      </c>
      <c r="AE12" s="31">
        <f t="shared" si="4"/>
        <v>22</v>
      </c>
      <c r="AF12" s="31">
        <f t="shared" si="4"/>
        <v>53</v>
      </c>
    </row>
    <row r="13" spans="2:32" ht="23.1" customHeight="1" x14ac:dyDescent="0.25">
      <c r="B13" s="23" t="s">
        <v>40</v>
      </c>
      <c r="C13" s="50">
        <v>4</v>
      </c>
      <c r="D13" s="50">
        <v>1</v>
      </c>
      <c r="E13" s="50">
        <v>0</v>
      </c>
      <c r="F13" s="50">
        <v>2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9</v>
      </c>
      <c r="P13" s="15">
        <f t="shared" si="1"/>
        <v>14</v>
      </c>
      <c r="R13" s="1" t="s">
        <v>9</v>
      </c>
      <c r="S13" s="17">
        <f t="shared" ref="S13:AF13" si="5">SUM(C22:C25)</f>
        <v>20</v>
      </c>
      <c r="T13" s="17">
        <f t="shared" si="5"/>
        <v>3</v>
      </c>
      <c r="U13" s="17">
        <f t="shared" si="5"/>
        <v>4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18</v>
      </c>
      <c r="AD13" s="17">
        <f t="shared" si="5"/>
        <v>0</v>
      </c>
      <c r="AE13" s="31">
        <f t="shared" si="5"/>
        <v>34</v>
      </c>
      <c r="AF13" s="31">
        <f t="shared" si="5"/>
        <v>52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1</v>
      </c>
      <c r="P14" s="15">
        <f t="shared" si="1"/>
        <v>5</v>
      </c>
      <c r="R14" s="1" t="s">
        <v>10</v>
      </c>
      <c r="S14" s="17">
        <f t="shared" ref="S14:AF14" si="6">SUM(C26:C29)</f>
        <v>27</v>
      </c>
      <c r="T14" s="17">
        <f t="shared" si="6"/>
        <v>3</v>
      </c>
      <c r="U14" s="17">
        <f t="shared" si="6"/>
        <v>0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21</v>
      </c>
      <c r="AD14" s="17">
        <f t="shared" si="6"/>
        <v>0</v>
      </c>
      <c r="AE14" s="31">
        <f t="shared" si="6"/>
        <v>39</v>
      </c>
      <c r="AF14" s="31">
        <f t="shared" si="6"/>
        <v>60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2</v>
      </c>
      <c r="F15" s="50">
        <v>3</v>
      </c>
      <c r="G15" s="50">
        <v>0</v>
      </c>
      <c r="H15" s="50">
        <v>0</v>
      </c>
      <c r="I15" s="50">
        <v>0</v>
      </c>
      <c r="J15" s="50">
        <v>2</v>
      </c>
      <c r="K15" s="50">
        <v>1</v>
      </c>
      <c r="L15" s="50">
        <v>0</v>
      </c>
      <c r="M15" s="50">
        <v>14</v>
      </c>
      <c r="N15" s="50">
        <v>0</v>
      </c>
      <c r="O15" s="15">
        <f t="shared" si="0"/>
        <v>13</v>
      </c>
      <c r="P15" s="15">
        <f t="shared" si="1"/>
        <v>27</v>
      </c>
      <c r="R15" s="1" t="s">
        <v>11</v>
      </c>
      <c r="S15" s="17">
        <f t="shared" ref="S15:AF15" si="7">SUM(C30:C33)</f>
        <v>20</v>
      </c>
      <c r="T15" s="17">
        <f t="shared" si="7"/>
        <v>1</v>
      </c>
      <c r="U15" s="17">
        <f t="shared" si="7"/>
        <v>0</v>
      </c>
      <c r="V15" s="17">
        <f t="shared" si="7"/>
        <v>4</v>
      </c>
      <c r="W15" s="17">
        <f t="shared" si="7"/>
        <v>1</v>
      </c>
      <c r="X15" s="17">
        <f t="shared" si="7"/>
        <v>0</v>
      </c>
      <c r="Y15" s="17">
        <f t="shared" si="7"/>
        <v>0</v>
      </c>
      <c r="Z15" s="17">
        <f t="shared" si="7"/>
        <v>6</v>
      </c>
      <c r="AA15" s="17">
        <f t="shared" si="7"/>
        <v>0</v>
      </c>
      <c r="AB15" s="17">
        <f t="shared" si="7"/>
        <v>1</v>
      </c>
      <c r="AC15" s="17">
        <f t="shared" si="7"/>
        <v>15</v>
      </c>
      <c r="AD15" s="17">
        <f t="shared" si="7"/>
        <v>0</v>
      </c>
      <c r="AE15" s="31">
        <f t="shared" si="7"/>
        <v>33</v>
      </c>
      <c r="AF15" s="31">
        <f t="shared" si="7"/>
        <v>48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10</v>
      </c>
      <c r="P16" s="15">
        <f t="shared" si="1"/>
        <v>14</v>
      </c>
      <c r="R16" s="1" t="s">
        <v>12</v>
      </c>
      <c r="S16" s="17">
        <f t="shared" ref="S16:AF16" si="8">SUM(C34:C37)</f>
        <v>21</v>
      </c>
      <c r="T16" s="17">
        <f t="shared" si="8"/>
        <v>4</v>
      </c>
      <c r="U16" s="17">
        <f t="shared" si="8"/>
        <v>2</v>
      </c>
      <c r="V16" s="17">
        <f t="shared" si="8"/>
        <v>11</v>
      </c>
      <c r="W16" s="17">
        <f t="shared" si="8"/>
        <v>0</v>
      </c>
      <c r="X16" s="17">
        <f t="shared" si="8"/>
        <v>1</v>
      </c>
      <c r="Y16" s="17">
        <f t="shared" si="8"/>
        <v>5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48</v>
      </c>
      <c r="AF16" s="31">
        <f t="shared" si="8"/>
        <v>69</v>
      </c>
    </row>
    <row r="17" spans="2:32" ht="23.1" customHeight="1" x14ac:dyDescent="0.25">
      <c r="B17" s="23" t="s">
        <v>44</v>
      </c>
      <c r="C17" s="50">
        <v>6</v>
      </c>
      <c r="D17" s="50">
        <v>1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10</v>
      </c>
      <c r="P17" s="15">
        <f t="shared" si="1"/>
        <v>18</v>
      </c>
      <c r="R17" s="1" t="s">
        <v>13</v>
      </c>
      <c r="S17" s="17">
        <f t="shared" ref="S17:AF17" si="9">SUM(C38:C41)</f>
        <v>14</v>
      </c>
      <c r="T17" s="17">
        <f t="shared" si="9"/>
        <v>1</v>
      </c>
      <c r="U17" s="17">
        <f t="shared" si="9"/>
        <v>2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21</v>
      </c>
      <c r="AD17" s="17">
        <f t="shared" si="9"/>
        <v>0</v>
      </c>
      <c r="AE17" s="31">
        <f t="shared" si="9"/>
        <v>27</v>
      </c>
      <c r="AF17" s="31">
        <f t="shared" si="9"/>
        <v>48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3</v>
      </c>
      <c r="P18" s="15">
        <f t="shared" si="1"/>
        <v>10</v>
      </c>
      <c r="R18" s="1" t="s">
        <v>14</v>
      </c>
      <c r="S18" s="17">
        <f t="shared" ref="S18:AF18" si="10">SUM(C42:C45)</f>
        <v>16</v>
      </c>
      <c r="T18" s="17">
        <f t="shared" si="10"/>
        <v>0</v>
      </c>
      <c r="U18" s="17">
        <f t="shared" si="10"/>
        <v>1</v>
      </c>
      <c r="V18" s="17">
        <f t="shared" si="10"/>
        <v>10</v>
      </c>
      <c r="W18" s="17">
        <f t="shared" si="10"/>
        <v>1</v>
      </c>
      <c r="X18" s="17">
        <f t="shared" si="10"/>
        <v>0</v>
      </c>
      <c r="Y18" s="17">
        <f t="shared" si="10"/>
        <v>0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24</v>
      </c>
      <c r="AD18" s="17">
        <f t="shared" si="10"/>
        <v>0</v>
      </c>
      <c r="AE18" s="31">
        <f t="shared" si="10"/>
        <v>31</v>
      </c>
      <c r="AF18" s="31">
        <f t="shared" si="10"/>
        <v>55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7</v>
      </c>
      <c r="P19" s="15">
        <f t="shared" si="1"/>
        <v>16</v>
      </c>
      <c r="R19" s="1" t="s">
        <v>15</v>
      </c>
      <c r="S19" s="17">
        <f t="shared" ref="S19:AF19" si="11">SUM(C46:C49)</f>
        <v>24</v>
      </c>
      <c r="T19" s="17">
        <f t="shared" si="11"/>
        <v>3</v>
      </c>
      <c r="U19" s="17">
        <f t="shared" si="11"/>
        <v>3</v>
      </c>
      <c r="V19" s="17">
        <f t="shared" si="11"/>
        <v>5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22</v>
      </c>
      <c r="AD19" s="17">
        <f t="shared" si="11"/>
        <v>0</v>
      </c>
      <c r="AE19" s="31">
        <f t="shared" si="11"/>
        <v>40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3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5</v>
      </c>
      <c r="P20" s="15">
        <f t="shared" si="1"/>
        <v>13</v>
      </c>
      <c r="R20" s="1" t="s">
        <v>16</v>
      </c>
      <c r="S20" s="17">
        <f t="shared" ref="S20:AF20" si="12">SUM(C50:C53)</f>
        <v>20</v>
      </c>
      <c r="T20" s="17">
        <f t="shared" si="12"/>
        <v>2</v>
      </c>
      <c r="U20" s="17">
        <f t="shared" si="12"/>
        <v>2</v>
      </c>
      <c r="V20" s="17">
        <f t="shared" si="12"/>
        <v>7</v>
      </c>
      <c r="W20" s="17">
        <f t="shared" si="12"/>
        <v>0</v>
      </c>
      <c r="X20" s="17">
        <f t="shared" si="12"/>
        <v>1</v>
      </c>
      <c r="Y20" s="17">
        <f t="shared" si="12"/>
        <v>1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33</v>
      </c>
      <c r="AD20" s="17">
        <f t="shared" si="12"/>
        <v>0</v>
      </c>
      <c r="AE20" s="31">
        <f t="shared" si="12"/>
        <v>35</v>
      </c>
      <c r="AF20" s="31">
        <f t="shared" si="12"/>
        <v>68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7</v>
      </c>
      <c r="P21" s="15">
        <f t="shared" si="1"/>
        <v>14</v>
      </c>
      <c r="R21" s="36" t="s">
        <v>20</v>
      </c>
      <c r="S21" s="34">
        <f t="shared" ref="S21:AF21" si="13">SUM(C54:C57)</f>
        <v>25</v>
      </c>
      <c r="T21" s="17">
        <f t="shared" si="13"/>
        <v>2</v>
      </c>
      <c r="U21" s="17">
        <f t="shared" si="13"/>
        <v>0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44</v>
      </c>
      <c r="AD21" s="17">
        <f t="shared" si="13"/>
        <v>0</v>
      </c>
      <c r="AE21" s="31">
        <f t="shared" si="13"/>
        <v>33</v>
      </c>
      <c r="AF21" s="31">
        <f t="shared" si="13"/>
        <v>77</v>
      </c>
    </row>
    <row r="22" spans="2:32" ht="23.1" customHeight="1" x14ac:dyDescent="0.25">
      <c r="B22" s="23" t="s">
        <v>49</v>
      </c>
      <c r="C22" s="50">
        <v>6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7</v>
      </c>
      <c r="P22" s="15">
        <f t="shared" si="1"/>
        <v>10</v>
      </c>
      <c r="R22" s="38" t="s">
        <v>90</v>
      </c>
      <c r="S22" s="39">
        <f>MAX(S10:S12)</f>
        <v>18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6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3</v>
      </c>
      <c r="AA22" s="39">
        <f t="shared" si="14"/>
        <v>1</v>
      </c>
      <c r="AB22" s="39">
        <f t="shared" si="14"/>
        <v>0</v>
      </c>
      <c r="AC22" s="39">
        <f t="shared" si="14"/>
        <v>31</v>
      </c>
      <c r="AD22" s="39">
        <f t="shared" si="14"/>
        <v>0</v>
      </c>
      <c r="AE22" s="40">
        <f t="shared" si="14"/>
        <v>34</v>
      </c>
      <c r="AF22" s="40">
        <f t="shared" si="14"/>
        <v>64</v>
      </c>
    </row>
    <row r="23" spans="2:32" ht="23.1" customHeight="1" x14ac:dyDescent="0.25">
      <c r="B23" s="23" t="s">
        <v>50</v>
      </c>
      <c r="C23" s="50">
        <v>2</v>
      </c>
      <c r="D23" s="50">
        <v>2</v>
      </c>
      <c r="E23" s="50">
        <v>2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7</v>
      </c>
      <c r="P23" s="15">
        <f t="shared" si="1"/>
        <v>10</v>
      </c>
      <c r="R23" s="38" t="s">
        <v>91</v>
      </c>
      <c r="S23" s="39">
        <f>MAX(S13:S18)</f>
        <v>27</v>
      </c>
      <c r="T23" s="39">
        <f t="shared" ref="T23:AF23" si="15">MAX(T13:T18)</f>
        <v>4</v>
      </c>
      <c r="U23" s="39">
        <f t="shared" si="15"/>
        <v>4</v>
      </c>
      <c r="V23" s="39">
        <f t="shared" si="15"/>
        <v>11</v>
      </c>
      <c r="W23" s="39">
        <f t="shared" si="15"/>
        <v>1</v>
      </c>
      <c r="X23" s="39">
        <f t="shared" si="15"/>
        <v>1</v>
      </c>
      <c r="Y23" s="39">
        <f t="shared" si="15"/>
        <v>5</v>
      </c>
      <c r="Z23" s="39">
        <f t="shared" si="15"/>
        <v>6</v>
      </c>
      <c r="AA23" s="39">
        <f t="shared" si="15"/>
        <v>1</v>
      </c>
      <c r="AB23" s="39">
        <f t="shared" si="15"/>
        <v>1</v>
      </c>
      <c r="AC23" s="39">
        <f t="shared" si="15"/>
        <v>24</v>
      </c>
      <c r="AD23" s="39">
        <f t="shared" si="15"/>
        <v>0</v>
      </c>
      <c r="AE23" s="40">
        <f t="shared" si="15"/>
        <v>48</v>
      </c>
      <c r="AF23" s="40">
        <f t="shared" si="15"/>
        <v>69</v>
      </c>
    </row>
    <row r="24" spans="2:32" ht="23.1" customHeight="1" x14ac:dyDescent="0.25">
      <c r="B24" s="23" t="s">
        <v>51</v>
      </c>
      <c r="C24" s="50">
        <v>5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12</v>
      </c>
      <c r="P24" s="15">
        <f t="shared" si="1"/>
        <v>17</v>
      </c>
      <c r="R24" s="38" t="s">
        <v>92</v>
      </c>
      <c r="S24" s="39">
        <f>MAX(S19:S21)</f>
        <v>25</v>
      </c>
      <c r="T24" s="39">
        <f t="shared" ref="T24:AF24" si="16">MAX(T19:T21)</f>
        <v>3</v>
      </c>
      <c r="U24" s="39">
        <f t="shared" si="16"/>
        <v>3</v>
      </c>
      <c r="V24" s="39">
        <f t="shared" si="16"/>
        <v>7</v>
      </c>
      <c r="W24" s="39">
        <f t="shared" si="16"/>
        <v>0</v>
      </c>
      <c r="X24" s="39">
        <f t="shared" si="16"/>
        <v>1</v>
      </c>
      <c r="Y24" s="39">
        <f t="shared" si="16"/>
        <v>3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44</v>
      </c>
      <c r="AD24" s="39">
        <f t="shared" si="16"/>
        <v>0</v>
      </c>
      <c r="AE24" s="40">
        <f t="shared" si="16"/>
        <v>40</v>
      </c>
      <c r="AF24" s="40">
        <f t="shared" si="16"/>
        <v>77</v>
      </c>
    </row>
    <row r="25" spans="2:32" ht="23.1" customHeight="1" x14ac:dyDescent="0.25">
      <c r="B25" s="23" t="s">
        <v>52</v>
      </c>
      <c r="C25" s="50">
        <v>7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8</v>
      </c>
      <c r="P25" s="15">
        <f t="shared" si="1"/>
        <v>15</v>
      </c>
      <c r="R25" s="37" t="s">
        <v>85</v>
      </c>
      <c r="S25" s="35">
        <f t="shared" ref="S25:AF25" si="17">SUM(S10:S12)</f>
        <v>42</v>
      </c>
      <c r="T25" s="16">
        <f t="shared" si="17"/>
        <v>6</v>
      </c>
      <c r="U25" s="16">
        <f t="shared" si="17"/>
        <v>7</v>
      </c>
      <c r="V25" s="16">
        <f t="shared" si="17"/>
        <v>13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6</v>
      </c>
      <c r="AA25" s="16">
        <f t="shared" si="17"/>
        <v>2</v>
      </c>
      <c r="AB25" s="16">
        <f t="shared" si="17"/>
        <v>0</v>
      </c>
      <c r="AC25" s="16">
        <f t="shared" si="17"/>
        <v>85</v>
      </c>
      <c r="AD25" s="16">
        <f t="shared" si="17"/>
        <v>0</v>
      </c>
      <c r="AE25" s="32">
        <f t="shared" si="17"/>
        <v>82</v>
      </c>
      <c r="AF25" s="32">
        <f t="shared" si="17"/>
        <v>167</v>
      </c>
    </row>
    <row r="26" spans="2:32" ht="23.1" customHeight="1" x14ac:dyDescent="0.25">
      <c r="B26" s="23" t="s">
        <v>53</v>
      </c>
      <c r="C26" s="50">
        <v>5</v>
      </c>
      <c r="D26" s="50">
        <v>2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10</v>
      </c>
      <c r="P26" s="15">
        <f t="shared" si="1"/>
        <v>16</v>
      </c>
      <c r="R26" s="28" t="s">
        <v>86</v>
      </c>
      <c r="S26" s="16">
        <f t="shared" ref="S26:AF26" si="18">SUM(S13:S18)</f>
        <v>118</v>
      </c>
      <c r="T26" s="16">
        <f t="shared" si="18"/>
        <v>12</v>
      </c>
      <c r="U26" s="16">
        <f t="shared" si="18"/>
        <v>9</v>
      </c>
      <c r="V26" s="16">
        <f t="shared" si="18"/>
        <v>34</v>
      </c>
      <c r="W26" s="16">
        <f t="shared" si="18"/>
        <v>2</v>
      </c>
      <c r="X26" s="16">
        <f t="shared" si="18"/>
        <v>1</v>
      </c>
      <c r="Y26" s="16">
        <f t="shared" si="18"/>
        <v>14</v>
      </c>
      <c r="Z26" s="16">
        <f t="shared" si="18"/>
        <v>19</v>
      </c>
      <c r="AA26" s="16">
        <f t="shared" si="18"/>
        <v>2</v>
      </c>
      <c r="AB26" s="16">
        <f t="shared" si="18"/>
        <v>1</v>
      </c>
      <c r="AC26" s="16">
        <f t="shared" si="18"/>
        <v>120</v>
      </c>
      <c r="AD26" s="16">
        <f t="shared" si="18"/>
        <v>0</v>
      </c>
      <c r="AE26" s="32">
        <f t="shared" si="18"/>
        <v>212</v>
      </c>
      <c r="AF26" s="32">
        <f t="shared" si="18"/>
        <v>332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10</v>
      </c>
      <c r="P27" s="15">
        <f t="shared" si="1"/>
        <v>14</v>
      </c>
      <c r="R27" s="29" t="s">
        <v>87</v>
      </c>
      <c r="S27" s="16">
        <f t="shared" ref="S27:AF27" si="19">SUM(S19:S21)</f>
        <v>69</v>
      </c>
      <c r="T27" s="16">
        <f t="shared" si="19"/>
        <v>7</v>
      </c>
      <c r="U27" s="16">
        <f t="shared" si="19"/>
        <v>5</v>
      </c>
      <c r="V27" s="16">
        <f t="shared" si="19"/>
        <v>15</v>
      </c>
      <c r="W27" s="16">
        <f t="shared" si="19"/>
        <v>0</v>
      </c>
      <c r="X27" s="16">
        <f t="shared" si="19"/>
        <v>2</v>
      </c>
      <c r="Y27" s="16">
        <f t="shared" si="19"/>
        <v>6</v>
      </c>
      <c r="Z27" s="16">
        <f t="shared" si="19"/>
        <v>2</v>
      </c>
      <c r="AA27" s="16">
        <f t="shared" si="19"/>
        <v>1</v>
      </c>
      <c r="AB27" s="16">
        <f t="shared" si="19"/>
        <v>1</v>
      </c>
      <c r="AC27" s="16">
        <f t="shared" si="19"/>
        <v>99</v>
      </c>
      <c r="AD27" s="16">
        <f t="shared" si="19"/>
        <v>0</v>
      </c>
      <c r="AE27" s="32">
        <f t="shared" si="19"/>
        <v>108</v>
      </c>
      <c r="AF27" s="32">
        <f t="shared" si="19"/>
        <v>207</v>
      </c>
    </row>
    <row r="28" spans="2:32" ht="23.1" customHeight="1" x14ac:dyDescent="0.25">
      <c r="B28" s="23" t="s">
        <v>55</v>
      </c>
      <c r="C28" s="50">
        <v>8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1</v>
      </c>
      <c r="L28" s="50">
        <v>0</v>
      </c>
      <c r="M28" s="50">
        <v>8</v>
      </c>
      <c r="N28" s="50">
        <v>0</v>
      </c>
      <c r="O28" s="15">
        <f t="shared" si="0"/>
        <v>11</v>
      </c>
      <c r="P28" s="15">
        <f t="shared" si="1"/>
        <v>19</v>
      </c>
      <c r="R28" s="5" t="s">
        <v>17</v>
      </c>
      <c r="S28" s="16">
        <f t="shared" ref="S28:AF28" si="20">SUM(S10:S21)</f>
        <v>229</v>
      </c>
      <c r="T28" s="16">
        <f t="shared" si="20"/>
        <v>25</v>
      </c>
      <c r="U28" s="16">
        <f t="shared" si="20"/>
        <v>21</v>
      </c>
      <c r="V28" s="16">
        <f t="shared" si="20"/>
        <v>62</v>
      </c>
      <c r="W28" s="16">
        <f t="shared" si="20"/>
        <v>2</v>
      </c>
      <c r="X28" s="16">
        <f t="shared" si="20"/>
        <v>3</v>
      </c>
      <c r="Y28" s="16">
        <f t="shared" si="20"/>
        <v>26</v>
      </c>
      <c r="Z28" s="16">
        <f t="shared" si="20"/>
        <v>27</v>
      </c>
      <c r="AA28" s="16">
        <f t="shared" si="20"/>
        <v>5</v>
      </c>
      <c r="AB28" s="16">
        <f t="shared" si="20"/>
        <v>2</v>
      </c>
      <c r="AC28" s="16">
        <f t="shared" si="20"/>
        <v>304</v>
      </c>
      <c r="AD28" s="16">
        <f t="shared" si="20"/>
        <v>0</v>
      </c>
      <c r="AE28" s="32">
        <f t="shared" si="20"/>
        <v>402</v>
      </c>
      <c r="AF28" s="32">
        <f t="shared" si="20"/>
        <v>706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8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3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8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0</v>
      </c>
      <c r="F31" s="50">
        <v>0</v>
      </c>
      <c r="G31" s="50">
        <v>1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5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1</v>
      </c>
      <c r="M32" s="50">
        <v>3</v>
      </c>
      <c r="N32" s="50">
        <v>0</v>
      </c>
      <c r="O32" s="15">
        <f t="shared" si="0"/>
        <v>7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10</v>
      </c>
      <c r="D33" s="50">
        <v>1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8</v>
      </c>
      <c r="N33" s="50">
        <v>0</v>
      </c>
      <c r="O33" s="15">
        <f t="shared" si="0"/>
        <v>13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2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6</v>
      </c>
      <c r="D35" s="50">
        <v>1</v>
      </c>
      <c r="E35" s="50">
        <v>0</v>
      </c>
      <c r="F35" s="50">
        <v>3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13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8</v>
      </c>
      <c r="D36" s="50">
        <v>2</v>
      </c>
      <c r="E36" s="50">
        <v>2</v>
      </c>
      <c r="F36" s="50">
        <v>8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23</v>
      </c>
      <c r="P36" s="15">
        <f t="shared" si="1"/>
        <v>32</v>
      </c>
    </row>
    <row r="37" spans="2:20" ht="23.1" customHeight="1" x14ac:dyDescent="0.25">
      <c r="B37" s="23" t="s">
        <v>64</v>
      </c>
      <c r="C37" s="50">
        <v>6</v>
      </c>
      <c r="D37" s="50">
        <v>1</v>
      </c>
      <c r="E37" s="50">
        <v>0</v>
      </c>
      <c r="F37" s="50">
        <v>0</v>
      </c>
      <c r="G37" s="50">
        <v>0</v>
      </c>
      <c r="H37" s="50">
        <v>1</v>
      </c>
      <c r="I37" s="50">
        <v>2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10</v>
      </c>
      <c r="P37" s="15">
        <f t="shared" si="1"/>
        <v>18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6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8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6</v>
      </c>
      <c r="N40" s="50">
        <v>0</v>
      </c>
      <c r="O40" s="15">
        <f t="shared" si="0"/>
        <v>5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8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2</v>
      </c>
      <c r="G42" s="50">
        <v>1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5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0</v>
      </c>
      <c r="F43" s="50">
        <v>3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6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8</v>
      </c>
      <c r="D44" s="50">
        <v>0</v>
      </c>
      <c r="E44" s="50">
        <v>0</v>
      </c>
      <c r="F44" s="50">
        <v>3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13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9</v>
      </c>
      <c r="N45" s="50">
        <v>0</v>
      </c>
      <c r="O45" s="15">
        <f t="shared" si="0"/>
        <v>7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6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2</v>
      </c>
      <c r="E47" s="50">
        <v>1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6</v>
      </c>
      <c r="N47" s="50">
        <v>0</v>
      </c>
      <c r="O47" s="15">
        <f t="shared" si="0"/>
        <v>14</v>
      </c>
      <c r="P47" s="15">
        <f t="shared" si="1"/>
        <v>20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1</v>
      </c>
      <c r="E48" s="50">
        <v>0</v>
      </c>
      <c r="F48" s="50">
        <v>1</v>
      </c>
      <c r="G48" s="50">
        <v>0</v>
      </c>
      <c r="H48" s="50">
        <v>1</v>
      </c>
      <c r="I48" s="50">
        <v>0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10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10</v>
      </c>
      <c r="P49" s="15">
        <f t="shared" si="1"/>
        <v>18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6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0</v>
      </c>
      <c r="F51" s="50">
        <v>3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9</v>
      </c>
      <c r="N51" s="50">
        <v>0</v>
      </c>
      <c r="O51" s="15">
        <f t="shared" si="0"/>
        <v>11</v>
      </c>
      <c r="P51" s="15">
        <f t="shared" si="1"/>
        <v>20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1</v>
      </c>
      <c r="F52" s="50">
        <v>0</v>
      </c>
      <c r="G52" s="50">
        <v>0</v>
      </c>
      <c r="H52" s="50">
        <v>1</v>
      </c>
      <c r="I52" s="50">
        <v>1</v>
      </c>
      <c r="J52" s="50">
        <v>0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6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12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9</v>
      </c>
      <c r="P54" s="15">
        <f t="shared" si="1"/>
        <v>21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13</v>
      </c>
      <c r="P55" s="15">
        <f t="shared" si="1"/>
        <v>25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9</v>
      </c>
      <c r="N56" s="50">
        <v>0</v>
      </c>
      <c r="O56" s="15">
        <f t="shared" si="0"/>
        <v>4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7</v>
      </c>
      <c r="P57" s="15">
        <f t="shared" si="1"/>
        <v>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229</v>
      </c>
      <c r="D58" s="16">
        <f t="shared" si="21"/>
        <v>25</v>
      </c>
      <c r="E58" s="16">
        <f t="shared" si="21"/>
        <v>21</v>
      </c>
      <c r="F58" s="16">
        <f t="shared" si="21"/>
        <v>62</v>
      </c>
      <c r="G58" s="16">
        <f t="shared" si="21"/>
        <v>2</v>
      </c>
      <c r="H58" s="16">
        <f t="shared" si="21"/>
        <v>3</v>
      </c>
      <c r="I58" s="16">
        <f t="shared" si="21"/>
        <v>26</v>
      </c>
      <c r="J58" s="16">
        <f t="shared" si="21"/>
        <v>27</v>
      </c>
      <c r="K58" s="16">
        <f t="shared" si="21"/>
        <v>5</v>
      </c>
      <c r="L58" s="16">
        <f t="shared" si="21"/>
        <v>2</v>
      </c>
      <c r="M58" s="16">
        <f t="shared" si="21"/>
        <v>304</v>
      </c>
      <c r="N58" s="16">
        <f t="shared" si="21"/>
        <v>0</v>
      </c>
      <c r="O58" s="16">
        <f t="shared" si="21"/>
        <v>402</v>
      </c>
      <c r="P58" s="16">
        <f t="shared" si="21"/>
        <v>706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0.32436260623229463</v>
      </c>
      <c r="D59" s="43">
        <f t="shared" si="22"/>
        <v>3.5410764872521247E-2</v>
      </c>
      <c r="E59" s="43">
        <f t="shared" si="22"/>
        <v>2.9745042492917848E-2</v>
      </c>
      <c r="F59" s="43">
        <f t="shared" si="22"/>
        <v>8.7818696883852687E-2</v>
      </c>
      <c r="G59" s="43">
        <f t="shared" si="22"/>
        <v>2.8328611898016999E-3</v>
      </c>
      <c r="H59" s="43">
        <f t="shared" si="22"/>
        <v>4.24929178470255E-3</v>
      </c>
      <c r="I59" s="43">
        <f t="shared" si="22"/>
        <v>3.6827195467422094E-2</v>
      </c>
      <c r="J59" s="43">
        <f t="shared" si="22"/>
        <v>3.8243626062322948E-2</v>
      </c>
      <c r="K59" s="43">
        <f t="shared" si="22"/>
        <v>7.0821529745042494E-3</v>
      </c>
      <c r="L59" s="43">
        <f t="shared" si="22"/>
        <v>2.8328611898016999E-3</v>
      </c>
      <c r="M59" s="43">
        <f t="shared" si="22"/>
        <v>0.43059490084985835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0.56965174129353235</v>
      </c>
      <c r="D60" s="44">
        <f t="shared" ref="D60:N60" si="23">D58/$O$58</f>
        <v>6.2189054726368161E-2</v>
      </c>
      <c r="E60" s="44">
        <f t="shared" si="23"/>
        <v>5.2238805970149252E-2</v>
      </c>
      <c r="F60" s="44">
        <f t="shared" si="23"/>
        <v>0.15422885572139303</v>
      </c>
      <c r="G60" s="44">
        <f t="shared" si="23"/>
        <v>4.9751243781094526E-3</v>
      </c>
      <c r="H60" s="44">
        <f t="shared" si="23"/>
        <v>7.462686567164179E-3</v>
      </c>
      <c r="I60" s="44">
        <f t="shared" si="23"/>
        <v>6.4676616915422883E-2</v>
      </c>
      <c r="J60" s="44">
        <f t="shared" si="23"/>
        <v>6.7164179104477612E-2</v>
      </c>
      <c r="K60" s="44">
        <f t="shared" si="23"/>
        <v>1.2437810945273632E-2</v>
      </c>
      <c r="L60" s="44">
        <f t="shared" si="23"/>
        <v>4.9751243781094526E-3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F174"/>
  <sheetViews>
    <sheetView view="pageBreakPreview" topLeftCell="A46" zoomScale="60" workbookViewId="0">
      <selection activeCell="H99" sqref="H9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5.5" customHeight="1" x14ac:dyDescent="0.25">
      <c r="C5" s="4" t="s">
        <v>3</v>
      </c>
      <c r="D5" s="36" t="s">
        <v>169</v>
      </c>
      <c r="E5" s="3"/>
      <c r="F5" s="41" t="s">
        <v>1</v>
      </c>
      <c r="G5" s="54" t="str">
        <f>'30.10 Mbarara-Ibanda'!G5:H5</f>
        <v>RUHUMBA</v>
      </c>
      <c r="H5" s="55"/>
      <c r="I5" s="14"/>
      <c r="J5" s="2" t="s">
        <v>5</v>
      </c>
      <c r="K5" s="54" t="str">
        <f>'30.10 Mbarara-Ibanda'!K5:L5</f>
        <v>TURYAHABWE NORMAN</v>
      </c>
      <c r="L5" s="55"/>
      <c r="M5" s="10"/>
      <c r="N5" s="10"/>
      <c r="O5" s="3"/>
      <c r="P5" s="3"/>
    </row>
    <row r="6" spans="2:32" ht="34.5" customHeight="1" x14ac:dyDescent="0.25">
      <c r="C6" s="2" t="s">
        <v>4</v>
      </c>
      <c r="D6" s="54" t="str">
        <f>'25.10 Ibanada-Mbarara'!D6:E6</f>
        <v>IBANDA</v>
      </c>
      <c r="E6" s="55"/>
      <c r="F6" s="2" t="s">
        <v>2</v>
      </c>
      <c r="G6" s="54" t="str">
        <f>'25.10 Ibanada-Mbarara'!G6:H6</f>
        <v>MBARARA</v>
      </c>
      <c r="H6" s="55"/>
      <c r="J6" s="2" t="s">
        <v>21</v>
      </c>
      <c r="K6" s="54" t="str">
        <f>'30.10 Mbarara-Ibanda'!K6:L6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2</v>
      </c>
      <c r="E10" s="50">
        <v>0</v>
      </c>
      <c r="F10" s="50">
        <v>3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10</v>
      </c>
      <c r="T10" s="17">
        <f t="shared" si="2"/>
        <v>3</v>
      </c>
      <c r="U10" s="17">
        <f t="shared" si="2"/>
        <v>2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17</v>
      </c>
      <c r="AD10" s="17">
        <f t="shared" si="2"/>
        <v>0</v>
      </c>
      <c r="AE10" s="31">
        <f t="shared" si="2"/>
        <v>27</v>
      </c>
      <c r="AF10" s="31">
        <f t="shared" si="2"/>
        <v>44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0</v>
      </c>
      <c r="F11" s="50">
        <v>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8</v>
      </c>
      <c r="P11" s="15">
        <f t="shared" si="1"/>
        <v>13</v>
      </c>
      <c r="R11" s="1" t="s">
        <v>7</v>
      </c>
      <c r="S11" s="17">
        <f t="shared" ref="S11:AF11" si="3">SUM(C14:C17)</f>
        <v>26</v>
      </c>
      <c r="T11" s="17">
        <f t="shared" si="3"/>
        <v>1</v>
      </c>
      <c r="U11" s="17">
        <f t="shared" si="3"/>
        <v>1</v>
      </c>
      <c r="V11" s="17">
        <f t="shared" si="3"/>
        <v>13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43</v>
      </c>
      <c r="AF11" s="31">
        <f t="shared" si="3"/>
        <v>60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2</v>
      </c>
      <c r="P12" s="15">
        <f t="shared" si="1"/>
        <v>3</v>
      </c>
      <c r="R12" s="1" t="s">
        <v>8</v>
      </c>
      <c r="S12" s="17">
        <f t="shared" ref="S12:AF12" si="4">SUM(C18:C21)</f>
        <v>29</v>
      </c>
      <c r="T12" s="17">
        <f t="shared" si="4"/>
        <v>2</v>
      </c>
      <c r="U12" s="17">
        <f t="shared" si="4"/>
        <v>3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45</v>
      </c>
      <c r="AD12" s="17">
        <f t="shared" si="4"/>
        <v>0</v>
      </c>
      <c r="AE12" s="31">
        <f t="shared" si="4"/>
        <v>46</v>
      </c>
      <c r="AF12" s="31">
        <f t="shared" si="4"/>
        <v>91</v>
      </c>
    </row>
    <row r="13" spans="2:32" ht="23.1" customHeight="1" x14ac:dyDescent="0.25">
      <c r="B13" s="45" t="s">
        <v>40</v>
      </c>
      <c r="C13" s="50">
        <v>5</v>
      </c>
      <c r="D13" s="50">
        <v>1</v>
      </c>
      <c r="E13" s="50">
        <v>2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10</v>
      </c>
      <c r="P13" s="15">
        <f t="shared" si="1"/>
        <v>15</v>
      </c>
      <c r="R13" s="1" t="s">
        <v>9</v>
      </c>
      <c r="S13" s="17">
        <f t="shared" ref="S13:AF13" si="5">SUM(C22:C25)</f>
        <v>39</v>
      </c>
      <c r="T13" s="17">
        <f t="shared" si="5"/>
        <v>3</v>
      </c>
      <c r="U13" s="17">
        <f t="shared" si="5"/>
        <v>2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51</v>
      </c>
      <c r="AD13" s="17">
        <f t="shared" si="5"/>
        <v>0</v>
      </c>
      <c r="AE13" s="31">
        <f t="shared" si="5"/>
        <v>54</v>
      </c>
      <c r="AF13" s="31">
        <f t="shared" si="5"/>
        <v>105</v>
      </c>
    </row>
    <row r="14" spans="2:32" ht="23.1" customHeight="1" x14ac:dyDescent="0.25">
      <c r="B14" s="45" t="s">
        <v>41</v>
      </c>
      <c r="C14" s="50">
        <v>4</v>
      </c>
      <c r="D14" s="50">
        <v>1</v>
      </c>
      <c r="E14" s="50">
        <v>1</v>
      </c>
      <c r="F14" s="50">
        <v>4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11</v>
      </c>
      <c r="P14" s="15">
        <f t="shared" si="1"/>
        <v>12</v>
      </c>
      <c r="R14" s="1" t="s">
        <v>10</v>
      </c>
      <c r="S14" s="17">
        <f t="shared" ref="S14:AF14" si="6">SUM(C26:C29)</f>
        <v>40</v>
      </c>
      <c r="T14" s="17">
        <f t="shared" si="6"/>
        <v>3</v>
      </c>
      <c r="U14" s="17">
        <f t="shared" si="6"/>
        <v>1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44</v>
      </c>
      <c r="AD14" s="17">
        <f t="shared" si="6"/>
        <v>0</v>
      </c>
      <c r="AE14" s="31">
        <f t="shared" si="6"/>
        <v>59</v>
      </c>
      <c r="AF14" s="31">
        <f t="shared" si="6"/>
        <v>103</v>
      </c>
    </row>
    <row r="15" spans="2:32" ht="23.1" customHeight="1" x14ac:dyDescent="0.25">
      <c r="B15" s="45" t="s">
        <v>42</v>
      </c>
      <c r="C15" s="50">
        <v>16</v>
      </c>
      <c r="D15" s="50">
        <v>0</v>
      </c>
      <c r="E15" s="50">
        <v>0</v>
      </c>
      <c r="F15" s="50">
        <v>3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20</v>
      </c>
      <c r="P15" s="15">
        <f t="shared" si="1"/>
        <v>27</v>
      </c>
      <c r="R15" s="1" t="s">
        <v>11</v>
      </c>
      <c r="S15" s="17">
        <f t="shared" ref="S15:AF15" si="7">SUM(C30:C33)</f>
        <v>51</v>
      </c>
      <c r="T15" s="17">
        <f t="shared" si="7"/>
        <v>1</v>
      </c>
      <c r="U15" s="17">
        <f t="shared" si="7"/>
        <v>3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1">
        <f t="shared" si="7"/>
        <v>69</v>
      </c>
      <c r="AF15" s="31">
        <f t="shared" si="7"/>
        <v>129</v>
      </c>
    </row>
    <row r="16" spans="2:32" ht="23.1" customHeight="1" x14ac:dyDescent="0.25">
      <c r="B16" s="45" t="s">
        <v>43</v>
      </c>
      <c r="C16" s="50">
        <v>5</v>
      </c>
      <c r="D16" s="50">
        <v>0</v>
      </c>
      <c r="E16" s="50">
        <v>0</v>
      </c>
      <c r="F16" s="50">
        <v>5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10</v>
      </c>
      <c r="P16" s="15">
        <f t="shared" si="1"/>
        <v>13</v>
      </c>
      <c r="R16" s="1" t="s">
        <v>12</v>
      </c>
      <c r="S16" s="17">
        <f t="shared" ref="S16:AF16" si="8">SUM(C34:C37)</f>
        <v>47</v>
      </c>
      <c r="T16" s="17">
        <f t="shared" si="8"/>
        <v>3</v>
      </c>
      <c r="U16" s="17">
        <f t="shared" si="8"/>
        <v>0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50</v>
      </c>
      <c r="AD16" s="17">
        <f t="shared" si="8"/>
        <v>0</v>
      </c>
      <c r="AE16" s="31">
        <f t="shared" si="8"/>
        <v>57</v>
      </c>
      <c r="AF16" s="31">
        <f t="shared" si="8"/>
        <v>107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2</v>
      </c>
      <c r="P17" s="15">
        <f t="shared" si="1"/>
        <v>8</v>
      </c>
      <c r="R17" s="1" t="s">
        <v>13</v>
      </c>
      <c r="S17" s="17">
        <f t="shared" ref="S17:AF17" si="9">SUM(C38:C41)</f>
        <v>56</v>
      </c>
      <c r="T17" s="17">
        <f t="shared" si="9"/>
        <v>8</v>
      </c>
      <c r="U17" s="17">
        <f t="shared" si="9"/>
        <v>2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42</v>
      </c>
      <c r="AD17" s="17">
        <f t="shared" si="9"/>
        <v>0</v>
      </c>
      <c r="AE17" s="31">
        <f t="shared" si="9"/>
        <v>75</v>
      </c>
      <c r="AF17" s="31">
        <f t="shared" si="9"/>
        <v>117</v>
      </c>
    </row>
    <row r="18" spans="2:32" ht="23.1" customHeight="1" x14ac:dyDescent="0.25">
      <c r="B18" s="45" t="s">
        <v>45</v>
      </c>
      <c r="C18" s="50">
        <v>1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3</v>
      </c>
      <c r="P18" s="15">
        <f t="shared" si="1"/>
        <v>3</v>
      </c>
      <c r="R18" s="1" t="s">
        <v>14</v>
      </c>
      <c r="S18" s="17">
        <f t="shared" ref="S18:AF18" si="10">SUM(C42:C45)</f>
        <v>44</v>
      </c>
      <c r="T18" s="17">
        <f t="shared" si="10"/>
        <v>4</v>
      </c>
      <c r="U18" s="17">
        <f t="shared" si="10"/>
        <v>4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1</v>
      </c>
      <c r="AB18" s="17">
        <f t="shared" si="10"/>
        <v>2</v>
      </c>
      <c r="AC18" s="17">
        <f t="shared" si="10"/>
        <v>53</v>
      </c>
      <c r="AD18" s="17">
        <f t="shared" si="10"/>
        <v>0</v>
      </c>
      <c r="AE18" s="31">
        <f t="shared" si="10"/>
        <v>68</v>
      </c>
      <c r="AF18" s="31">
        <f t="shared" si="10"/>
        <v>121</v>
      </c>
    </row>
    <row r="19" spans="2:32" ht="23.1" customHeight="1" x14ac:dyDescent="0.25">
      <c r="B19" s="45" t="s">
        <v>46</v>
      </c>
      <c r="C19" s="50">
        <v>5</v>
      </c>
      <c r="D19" s="50">
        <v>1</v>
      </c>
      <c r="E19" s="50">
        <v>1</v>
      </c>
      <c r="F19" s="50">
        <v>4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22</v>
      </c>
      <c r="N19" s="50">
        <v>0</v>
      </c>
      <c r="O19" s="15">
        <f t="shared" si="0"/>
        <v>11</v>
      </c>
      <c r="P19" s="15">
        <f t="shared" si="1"/>
        <v>33</v>
      </c>
      <c r="R19" s="1" t="s">
        <v>15</v>
      </c>
      <c r="S19" s="17">
        <f t="shared" ref="S19:AF19" si="11">SUM(C46:C49)</f>
        <v>38</v>
      </c>
      <c r="T19" s="17">
        <f t="shared" si="11"/>
        <v>8</v>
      </c>
      <c r="U19" s="17">
        <f t="shared" si="11"/>
        <v>2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5</v>
      </c>
      <c r="AA19" s="17">
        <f t="shared" si="11"/>
        <v>0</v>
      </c>
      <c r="AB19" s="17">
        <f t="shared" si="11"/>
        <v>2</v>
      </c>
      <c r="AC19" s="17">
        <f t="shared" si="11"/>
        <v>65</v>
      </c>
      <c r="AD19" s="17">
        <f t="shared" si="11"/>
        <v>0</v>
      </c>
      <c r="AE19" s="31">
        <f t="shared" si="11"/>
        <v>68</v>
      </c>
      <c r="AF19" s="31">
        <f t="shared" si="11"/>
        <v>133</v>
      </c>
    </row>
    <row r="20" spans="2:32" ht="23.1" customHeight="1" x14ac:dyDescent="0.25">
      <c r="B20" s="45" t="s">
        <v>47</v>
      </c>
      <c r="C20" s="50">
        <v>9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13</v>
      </c>
      <c r="P20" s="15">
        <f t="shared" si="1"/>
        <v>21</v>
      </c>
      <c r="R20" s="1" t="s">
        <v>16</v>
      </c>
      <c r="S20" s="17">
        <f t="shared" ref="S20:AF20" si="12">SUM(C50:C53)</f>
        <v>24</v>
      </c>
      <c r="T20" s="17">
        <f t="shared" si="12"/>
        <v>8</v>
      </c>
      <c r="U20" s="17">
        <f t="shared" si="12"/>
        <v>4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6</v>
      </c>
      <c r="AA20" s="17">
        <f t="shared" si="12"/>
        <v>3</v>
      </c>
      <c r="AB20" s="17">
        <f t="shared" si="12"/>
        <v>0</v>
      </c>
      <c r="AC20" s="17">
        <f t="shared" si="12"/>
        <v>45</v>
      </c>
      <c r="AD20" s="17">
        <f t="shared" si="12"/>
        <v>0</v>
      </c>
      <c r="AE20" s="31">
        <f t="shared" si="12"/>
        <v>51</v>
      </c>
      <c r="AF20" s="31">
        <f t="shared" si="12"/>
        <v>96</v>
      </c>
    </row>
    <row r="21" spans="2:32" ht="23.1" customHeight="1" x14ac:dyDescent="0.25">
      <c r="B21" s="45" t="s">
        <v>48</v>
      </c>
      <c r="C21" s="50">
        <v>14</v>
      </c>
      <c r="D21" s="50">
        <v>0</v>
      </c>
      <c r="E21" s="50">
        <v>1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19</v>
      </c>
      <c r="P21" s="15">
        <f t="shared" si="1"/>
        <v>34</v>
      </c>
      <c r="R21" s="36" t="s">
        <v>20</v>
      </c>
      <c r="S21" s="34">
        <f t="shared" ref="S21:AF21" si="13">SUM(C54:C57)</f>
        <v>38</v>
      </c>
      <c r="T21" s="17">
        <f t="shared" si="13"/>
        <v>10</v>
      </c>
      <c r="U21" s="17">
        <f t="shared" si="13"/>
        <v>2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4</v>
      </c>
      <c r="AA21" s="17">
        <f t="shared" si="13"/>
        <v>1</v>
      </c>
      <c r="AB21" s="17">
        <f t="shared" si="13"/>
        <v>0</v>
      </c>
      <c r="AC21" s="17">
        <f t="shared" si="13"/>
        <v>47</v>
      </c>
      <c r="AD21" s="17">
        <f t="shared" si="13"/>
        <v>0</v>
      </c>
      <c r="AE21" s="31">
        <f t="shared" si="13"/>
        <v>62</v>
      </c>
      <c r="AF21" s="31">
        <f t="shared" si="13"/>
        <v>109</v>
      </c>
    </row>
    <row r="22" spans="2:32" ht="23.1" customHeight="1" x14ac:dyDescent="0.25">
      <c r="B22" s="45" t="s">
        <v>49</v>
      </c>
      <c r="C22" s="50">
        <v>8</v>
      </c>
      <c r="D22" s="50">
        <v>2</v>
      </c>
      <c r="E22" s="50">
        <v>1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13</v>
      </c>
      <c r="P22" s="15">
        <f t="shared" si="1"/>
        <v>26</v>
      </c>
      <c r="R22" s="36" t="s">
        <v>146</v>
      </c>
      <c r="S22" s="34">
        <f>SUM(C58:C61)</f>
        <v>25</v>
      </c>
      <c r="T22" s="34">
        <f t="shared" ref="T22:AF22" si="14">SUM(D58:D61)</f>
        <v>4</v>
      </c>
      <c r="U22" s="34">
        <f t="shared" si="14"/>
        <v>1</v>
      </c>
      <c r="V22" s="34">
        <f t="shared" si="14"/>
        <v>4</v>
      </c>
      <c r="W22" s="34">
        <f t="shared" si="14"/>
        <v>1</v>
      </c>
      <c r="X22" s="34">
        <f t="shared" si="14"/>
        <v>0</v>
      </c>
      <c r="Y22" s="34">
        <f t="shared" si="14"/>
        <v>2</v>
      </c>
      <c r="Z22" s="34">
        <f t="shared" si="14"/>
        <v>3</v>
      </c>
      <c r="AA22" s="34">
        <f t="shared" si="14"/>
        <v>0</v>
      </c>
      <c r="AB22" s="34">
        <f t="shared" si="14"/>
        <v>0</v>
      </c>
      <c r="AC22" s="34">
        <f t="shared" si="14"/>
        <v>33</v>
      </c>
      <c r="AD22" s="34">
        <f t="shared" si="14"/>
        <v>0</v>
      </c>
      <c r="AE22" s="31">
        <f t="shared" si="14"/>
        <v>40</v>
      </c>
      <c r="AF22" s="31">
        <f t="shared" si="14"/>
        <v>73</v>
      </c>
    </row>
    <row r="23" spans="2:32" ht="23.1" customHeight="1" x14ac:dyDescent="0.25">
      <c r="B23" s="45" t="s">
        <v>50</v>
      </c>
      <c r="C23" s="50">
        <v>8</v>
      </c>
      <c r="D23" s="50">
        <v>0</v>
      </c>
      <c r="E23" s="50">
        <v>0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11</v>
      </c>
      <c r="P23" s="15">
        <f t="shared" si="1"/>
        <v>25</v>
      </c>
      <c r="R23" s="36" t="s">
        <v>147</v>
      </c>
      <c r="S23" s="34">
        <f>SUM(C62:C65)</f>
        <v>43</v>
      </c>
      <c r="T23" s="34">
        <f t="shared" ref="T23:AF23" si="15">SUM(D62:D65)</f>
        <v>14</v>
      </c>
      <c r="U23" s="34">
        <f t="shared" si="15"/>
        <v>3</v>
      </c>
      <c r="V23" s="34">
        <f t="shared" si="15"/>
        <v>7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4</v>
      </c>
      <c r="AA23" s="34">
        <f t="shared" si="15"/>
        <v>1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31">
        <f t="shared" si="15"/>
        <v>73</v>
      </c>
      <c r="AF23" s="31">
        <f t="shared" si="15"/>
        <v>107</v>
      </c>
    </row>
    <row r="24" spans="2:32" ht="23.1" customHeight="1" x14ac:dyDescent="0.25">
      <c r="B24" s="45" t="s">
        <v>51</v>
      </c>
      <c r="C24" s="50">
        <v>11</v>
      </c>
      <c r="D24" s="50">
        <v>1</v>
      </c>
      <c r="E24" s="50">
        <v>0</v>
      </c>
      <c r="F24" s="50">
        <v>3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15</v>
      </c>
      <c r="P24" s="15">
        <f t="shared" si="1"/>
        <v>26</v>
      </c>
      <c r="R24" s="36" t="s">
        <v>148</v>
      </c>
      <c r="S24" s="34">
        <f>SUM(C66:C69)</f>
        <v>19</v>
      </c>
      <c r="T24" s="34">
        <f t="shared" ref="T24:AF24" si="16">SUM(D66:D69)</f>
        <v>6</v>
      </c>
      <c r="U24" s="34">
        <f t="shared" si="16"/>
        <v>3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4</v>
      </c>
      <c r="AA24" s="34">
        <f t="shared" si="16"/>
        <v>0</v>
      </c>
      <c r="AB24" s="34">
        <f t="shared" si="16"/>
        <v>0</v>
      </c>
      <c r="AC24" s="34">
        <f t="shared" si="16"/>
        <v>6</v>
      </c>
      <c r="AD24" s="34">
        <f t="shared" si="16"/>
        <v>0</v>
      </c>
      <c r="AE24" s="31">
        <f t="shared" si="16"/>
        <v>35</v>
      </c>
      <c r="AF24" s="31">
        <f t="shared" si="16"/>
        <v>41</v>
      </c>
    </row>
    <row r="25" spans="2:32" ht="23.1" customHeight="1" x14ac:dyDescent="0.25">
      <c r="B25" s="45" t="s">
        <v>52</v>
      </c>
      <c r="C25" s="50">
        <v>12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13</v>
      </c>
      <c r="N25" s="50">
        <v>0</v>
      </c>
      <c r="O25" s="15">
        <f t="shared" si="0"/>
        <v>15</v>
      </c>
      <c r="P25" s="15">
        <f t="shared" si="1"/>
        <v>28</v>
      </c>
      <c r="R25" s="36" t="s">
        <v>149</v>
      </c>
      <c r="S25" s="34">
        <f>SUM(C70:C73)</f>
        <v>12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6</v>
      </c>
      <c r="AA25" s="34">
        <f t="shared" si="17"/>
        <v>0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24</v>
      </c>
      <c r="AF25" s="31">
        <f t="shared" si="17"/>
        <v>31</v>
      </c>
    </row>
    <row r="26" spans="2:32" ht="23.1" customHeight="1" x14ac:dyDescent="0.25">
      <c r="B26" s="45" t="s">
        <v>53</v>
      </c>
      <c r="C26" s="50">
        <v>9</v>
      </c>
      <c r="D26" s="50">
        <v>1</v>
      </c>
      <c r="E26" s="50">
        <v>0</v>
      </c>
      <c r="F26" s="50">
        <v>5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15</v>
      </c>
      <c r="P26" s="15">
        <f t="shared" si="1"/>
        <v>26</v>
      </c>
      <c r="R26" s="36" t="s">
        <v>150</v>
      </c>
      <c r="S26" s="34">
        <f>SUM(C74:C77)</f>
        <v>8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2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13</v>
      </c>
      <c r="AF26" s="31">
        <f t="shared" si="18"/>
        <v>14</v>
      </c>
    </row>
    <row r="27" spans="2:32" ht="23.1" customHeight="1" x14ac:dyDescent="0.25">
      <c r="B27" s="45" t="s">
        <v>54</v>
      </c>
      <c r="C27" s="50">
        <v>10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12</v>
      </c>
      <c r="P27" s="15">
        <f t="shared" si="1"/>
        <v>24</v>
      </c>
      <c r="R27" s="36" t="s">
        <v>151</v>
      </c>
      <c r="S27" s="34">
        <f>SUM(C78:C81)</f>
        <v>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6</v>
      </c>
      <c r="AF27" s="31">
        <f t="shared" si="19"/>
        <v>6</v>
      </c>
    </row>
    <row r="28" spans="2:32" ht="23.1" customHeight="1" x14ac:dyDescent="0.25">
      <c r="B28" s="45" t="s">
        <v>55</v>
      </c>
      <c r="C28" s="50">
        <v>7</v>
      </c>
      <c r="D28" s="50">
        <v>0</v>
      </c>
      <c r="E28" s="50">
        <v>1</v>
      </c>
      <c r="F28" s="50">
        <v>5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14</v>
      </c>
      <c r="P28" s="15">
        <f t="shared" si="1"/>
        <v>22</v>
      </c>
      <c r="R28" s="36" t="s">
        <v>152</v>
      </c>
      <c r="S28" s="34">
        <f>SUM(C82:C85)</f>
        <v>5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2</v>
      </c>
      <c r="AA28" s="34">
        <f t="shared" si="20"/>
        <v>2</v>
      </c>
      <c r="AB28" s="34">
        <f t="shared" si="20"/>
        <v>2</v>
      </c>
      <c r="AC28" s="34">
        <f t="shared" si="20"/>
        <v>2</v>
      </c>
      <c r="AD28" s="34">
        <f t="shared" si="20"/>
        <v>0</v>
      </c>
      <c r="AE28" s="31">
        <f t="shared" si="20"/>
        <v>19</v>
      </c>
      <c r="AF28" s="31">
        <f t="shared" si="20"/>
        <v>21</v>
      </c>
    </row>
    <row r="29" spans="2:32" ht="23.1" customHeight="1" x14ac:dyDescent="0.25">
      <c r="B29" s="45" t="s">
        <v>56</v>
      </c>
      <c r="C29" s="50">
        <v>14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18</v>
      </c>
      <c r="P29" s="15">
        <f t="shared" si="1"/>
        <v>31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2</v>
      </c>
      <c r="AB29" s="34">
        <f t="shared" si="21"/>
        <v>0</v>
      </c>
      <c r="AC29" s="34">
        <f t="shared" si="21"/>
        <v>3</v>
      </c>
      <c r="AD29" s="34">
        <f t="shared" si="21"/>
        <v>0</v>
      </c>
      <c r="AE29" s="31">
        <f t="shared" si="21"/>
        <v>4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10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22</v>
      </c>
      <c r="N30" s="50">
        <v>0</v>
      </c>
      <c r="O30" s="15">
        <f t="shared" si="0"/>
        <v>12</v>
      </c>
      <c r="P30" s="15">
        <f t="shared" si="1"/>
        <v>34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2</v>
      </c>
      <c r="AB30" s="34">
        <f t="shared" si="22"/>
        <v>0</v>
      </c>
      <c r="AC30" s="34">
        <f t="shared" si="22"/>
        <v>12</v>
      </c>
      <c r="AD30" s="34">
        <f t="shared" si="22"/>
        <v>0</v>
      </c>
      <c r="AE30" s="31">
        <f t="shared" si="22"/>
        <v>8</v>
      </c>
      <c r="AF30" s="31">
        <f t="shared" si="22"/>
        <v>20</v>
      </c>
    </row>
    <row r="31" spans="2:32" ht="23.1" customHeight="1" x14ac:dyDescent="0.25">
      <c r="B31" s="46" t="s">
        <v>58</v>
      </c>
      <c r="C31" s="50">
        <v>14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18</v>
      </c>
      <c r="P31" s="15">
        <f t="shared" si="1"/>
        <v>28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2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7</v>
      </c>
      <c r="AF31" s="31">
        <f t="shared" si="23"/>
        <v>7</v>
      </c>
    </row>
    <row r="32" spans="2:32" ht="23.1" customHeight="1" x14ac:dyDescent="0.25">
      <c r="B32" s="46" t="s">
        <v>59</v>
      </c>
      <c r="C32" s="50">
        <v>14</v>
      </c>
      <c r="D32" s="50">
        <v>0</v>
      </c>
      <c r="E32" s="50">
        <v>2</v>
      </c>
      <c r="F32" s="50">
        <v>2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21</v>
      </c>
      <c r="P32" s="15">
        <f t="shared" si="1"/>
        <v>34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1</v>
      </c>
      <c r="AC32" s="34">
        <f t="shared" si="24"/>
        <v>1</v>
      </c>
      <c r="AD32" s="34">
        <f t="shared" si="24"/>
        <v>0</v>
      </c>
      <c r="AE32" s="31">
        <f t="shared" si="24"/>
        <v>6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13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18</v>
      </c>
      <c r="P33" s="15">
        <f t="shared" si="1"/>
        <v>33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1</v>
      </c>
      <c r="AA33" s="34">
        <f t="shared" si="25"/>
        <v>1</v>
      </c>
      <c r="AB33" s="34">
        <f t="shared" si="25"/>
        <v>0</v>
      </c>
      <c r="AC33" s="34">
        <f t="shared" si="25"/>
        <v>5</v>
      </c>
      <c r="AD33" s="34">
        <f t="shared" si="25"/>
        <v>0</v>
      </c>
      <c r="AE33" s="31">
        <f t="shared" si="25"/>
        <v>7</v>
      </c>
      <c r="AF33" s="31">
        <f t="shared" si="25"/>
        <v>12</v>
      </c>
    </row>
    <row r="34" spans="2:32" ht="23.1" customHeight="1" x14ac:dyDescent="0.25">
      <c r="B34" s="46" t="s">
        <v>61</v>
      </c>
      <c r="C34" s="50">
        <v>10</v>
      </c>
      <c r="D34" s="50">
        <v>1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12</v>
      </c>
      <c r="P34" s="15">
        <f t="shared" si="1"/>
        <v>27</v>
      </c>
      <c r="R34" s="38" t="s">
        <v>90</v>
      </c>
      <c r="S34" s="39">
        <f t="shared" ref="S34:AF34" si="26">MAX(S10:S12)</f>
        <v>29</v>
      </c>
      <c r="T34" s="39">
        <f t="shared" si="26"/>
        <v>3</v>
      </c>
      <c r="U34" s="39">
        <f t="shared" si="26"/>
        <v>3</v>
      </c>
      <c r="V34" s="39">
        <f t="shared" si="26"/>
        <v>13</v>
      </c>
      <c r="W34" s="39">
        <f t="shared" si="26"/>
        <v>0</v>
      </c>
      <c r="X34" s="39">
        <f t="shared" si="26"/>
        <v>1</v>
      </c>
      <c r="Y34" s="39">
        <f t="shared" si="26"/>
        <v>2</v>
      </c>
      <c r="Z34" s="39">
        <f t="shared" si="26"/>
        <v>1</v>
      </c>
      <c r="AA34" s="39">
        <f t="shared" si="26"/>
        <v>0</v>
      </c>
      <c r="AB34" s="39">
        <f t="shared" si="26"/>
        <v>0</v>
      </c>
      <c r="AC34" s="39">
        <f t="shared" si="26"/>
        <v>45</v>
      </c>
      <c r="AD34" s="39">
        <f t="shared" si="26"/>
        <v>0</v>
      </c>
      <c r="AE34" s="40">
        <f t="shared" si="26"/>
        <v>46</v>
      </c>
      <c r="AF34" s="40">
        <f t="shared" si="26"/>
        <v>91</v>
      </c>
    </row>
    <row r="35" spans="2:32" ht="23.1" customHeight="1" x14ac:dyDescent="0.25">
      <c r="B35" s="46" t="s">
        <v>62</v>
      </c>
      <c r="C35" s="50">
        <v>19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21</v>
      </c>
      <c r="P35" s="15">
        <f t="shared" si="1"/>
        <v>36</v>
      </c>
      <c r="R35" s="38" t="s">
        <v>91</v>
      </c>
      <c r="S35" s="39">
        <f t="shared" ref="S35:AF35" si="27">MAX(S13:S18)</f>
        <v>56</v>
      </c>
      <c r="T35" s="39">
        <f t="shared" si="27"/>
        <v>8</v>
      </c>
      <c r="U35" s="39">
        <f t="shared" si="27"/>
        <v>4</v>
      </c>
      <c r="V35" s="39">
        <f t="shared" si="27"/>
        <v>11</v>
      </c>
      <c r="W35" s="39">
        <f t="shared" si="27"/>
        <v>0</v>
      </c>
      <c r="X35" s="39">
        <f t="shared" si="27"/>
        <v>0</v>
      </c>
      <c r="Y35" s="39">
        <f t="shared" si="27"/>
        <v>4</v>
      </c>
      <c r="Z35" s="39">
        <f t="shared" si="27"/>
        <v>3</v>
      </c>
      <c r="AA35" s="39">
        <f t="shared" si="27"/>
        <v>2</v>
      </c>
      <c r="AB35" s="39">
        <f t="shared" si="27"/>
        <v>2</v>
      </c>
      <c r="AC35" s="39">
        <f t="shared" si="27"/>
        <v>60</v>
      </c>
      <c r="AD35" s="39">
        <f t="shared" si="27"/>
        <v>0</v>
      </c>
      <c r="AE35" s="40">
        <f t="shared" si="27"/>
        <v>75</v>
      </c>
      <c r="AF35" s="40">
        <f t="shared" si="27"/>
        <v>129</v>
      </c>
    </row>
    <row r="36" spans="2:32" ht="23.1" customHeight="1" x14ac:dyDescent="0.25">
      <c r="B36" s="46" t="s">
        <v>63</v>
      </c>
      <c r="C36" s="50">
        <v>8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10</v>
      </c>
      <c r="P36" s="15">
        <f t="shared" si="1"/>
        <v>19</v>
      </c>
      <c r="R36" s="38" t="s">
        <v>92</v>
      </c>
      <c r="S36" s="39">
        <f t="shared" ref="S36:AF36" si="28">MAX(S19:S21)</f>
        <v>38</v>
      </c>
      <c r="T36" s="39">
        <f t="shared" si="28"/>
        <v>10</v>
      </c>
      <c r="U36" s="39">
        <f t="shared" si="28"/>
        <v>4</v>
      </c>
      <c r="V36" s="39">
        <f t="shared" si="28"/>
        <v>10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6</v>
      </c>
      <c r="AA36" s="39">
        <f t="shared" si="28"/>
        <v>3</v>
      </c>
      <c r="AB36" s="39">
        <f t="shared" si="28"/>
        <v>2</v>
      </c>
      <c r="AC36" s="39">
        <f t="shared" si="28"/>
        <v>65</v>
      </c>
      <c r="AD36" s="39">
        <f t="shared" si="28"/>
        <v>0</v>
      </c>
      <c r="AE36" s="40">
        <f t="shared" si="28"/>
        <v>68</v>
      </c>
      <c r="AF36" s="40">
        <f t="shared" si="28"/>
        <v>133</v>
      </c>
    </row>
    <row r="37" spans="2:32" ht="23.1" customHeight="1" x14ac:dyDescent="0.25">
      <c r="B37" s="45" t="s">
        <v>64</v>
      </c>
      <c r="C37" s="50">
        <v>10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14</v>
      </c>
      <c r="P37" s="15">
        <f t="shared" si="1"/>
        <v>25</v>
      </c>
      <c r="R37" s="37" t="s">
        <v>85</v>
      </c>
      <c r="S37" s="35">
        <f t="shared" ref="S37:AF37" si="29">SUM(S10:S12)</f>
        <v>65</v>
      </c>
      <c r="T37" s="16">
        <f t="shared" si="29"/>
        <v>6</v>
      </c>
      <c r="U37" s="16">
        <f t="shared" si="29"/>
        <v>6</v>
      </c>
      <c r="V37" s="16">
        <f t="shared" si="29"/>
        <v>33</v>
      </c>
      <c r="W37" s="16">
        <f t="shared" si="29"/>
        <v>0</v>
      </c>
      <c r="X37" s="16">
        <f t="shared" si="29"/>
        <v>1</v>
      </c>
      <c r="Y37" s="16">
        <f t="shared" si="29"/>
        <v>3</v>
      </c>
      <c r="Z37" s="16">
        <f t="shared" si="29"/>
        <v>2</v>
      </c>
      <c r="AA37" s="16">
        <f t="shared" si="29"/>
        <v>0</v>
      </c>
      <c r="AB37" s="16">
        <f t="shared" si="29"/>
        <v>0</v>
      </c>
      <c r="AC37" s="16">
        <f t="shared" si="29"/>
        <v>79</v>
      </c>
      <c r="AD37" s="16">
        <f t="shared" si="29"/>
        <v>0</v>
      </c>
      <c r="AE37" s="32">
        <f t="shared" si="29"/>
        <v>116</v>
      </c>
      <c r="AF37" s="32">
        <f t="shared" si="29"/>
        <v>195</v>
      </c>
    </row>
    <row r="38" spans="2:32" ht="23.1" customHeight="1" x14ac:dyDescent="0.25">
      <c r="B38" s="46" t="s">
        <v>65</v>
      </c>
      <c r="C38" s="50">
        <v>18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14</v>
      </c>
      <c r="N38" s="50">
        <v>0</v>
      </c>
      <c r="O38" s="15">
        <f t="shared" si="0"/>
        <v>21</v>
      </c>
      <c r="P38" s="15">
        <f t="shared" si="1"/>
        <v>35</v>
      </c>
      <c r="R38" s="28" t="s">
        <v>86</v>
      </c>
      <c r="S38" s="16">
        <f t="shared" ref="S38:AF38" si="30">SUM(S13:S18)</f>
        <v>277</v>
      </c>
      <c r="T38" s="16">
        <f t="shared" si="30"/>
        <v>22</v>
      </c>
      <c r="U38" s="16">
        <f t="shared" si="30"/>
        <v>12</v>
      </c>
      <c r="V38" s="16">
        <f t="shared" si="30"/>
        <v>47</v>
      </c>
      <c r="W38" s="16">
        <f t="shared" si="30"/>
        <v>0</v>
      </c>
      <c r="X38" s="16">
        <f t="shared" si="30"/>
        <v>0</v>
      </c>
      <c r="Y38" s="16">
        <f t="shared" si="30"/>
        <v>12</v>
      </c>
      <c r="Z38" s="16">
        <f t="shared" si="30"/>
        <v>7</v>
      </c>
      <c r="AA38" s="16">
        <f t="shared" si="30"/>
        <v>3</v>
      </c>
      <c r="AB38" s="16">
        <f t="shared" si="30"/>
        <v>2</v>
      </c>
      <c r="AC38" s="16">
        <f t="shared" si="30"/>
        <v>300</v>
      </c>
      <c r="AD38" s="16">
        <f t="shared" si="30"/>
        <v>0</v>
      </c>
      <c r="AE38" s="32">
        <f t="shared" si="30"/>
        <v>382</v>
      </c>
      <c r="AF38" s="32">
        <f t="shared" si="30"/>
        <v>682</v>
      </c>
    </row>
    <row r="39" spans="2:32" ht="23.1" customHeight="1" x14ac:dyDescent="0.25">
      <c r="B39" s="46" t="s">
        <v>66</v>
      </c>
      <c r="C39" s="50">
        <v>15</v>
      </c>
      <c r="D39" s="50">
        <v>3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1</v>
      </c>
      <c r="K39" s="50">
        <v>1</v>
      </c>
      <c r="L39" s="50">
        <v>0</v>
      </c>
      <c r="M39" s="50">
        <v>12</v>
      </c>
      <c r="N39" s="50">
        <v>0</v>
      </c>
      <c r="O39" s="15">
        <f t="shared" si="0"/>
        <v>21</v>
      </c>
      <c r="P39" s="15">
        <f t="shared" si="1"/>
        <v>33</v>
      </c>
      <c r="R39" s="29" t="s">
        <v>87</v>
      </c>
      <c r="S39" s="16">
        <f t="shared" ref="S39:AF39" si="31">SUM(S19:S21)</f>
        <v>100</v>
      </c>
      <c r="T39" s="16">
        <f t="shared" si="31"/>
        <v>26</v>
      </c>
      <c r="U39" s="16">
        <f t="shared" si="31"/>
        <v>8</v>
      </c>
      <c r="V39" s="16">
        <f t="shared" si="31"/>
        <v>19</v>
      </c>
      <c r="W39" s="16">
        <f t="shared" si="31"/>
        <v>0</v>
      </c>
      <c r="X39" s="16">
        <f t="shared" si="31"/>
        <v>0</v>
      </c>
      <c r="Y39" s="16">
        <f t="shared" si="31"/>
        <v>7</v>
      </c>
      <c r="Z39" s="16">
        <f t="shared" si="31"/>
        <v>15</v>
      </c>
      <c r="AA39" s="16">
        <f t="shared" si="31"/>
        <v>4</v>
      </c>
      <c r="AB39" s="16">
        <f t="shared" si="31"/>
        <v>2</v>
      </c>
      <c r="AC39" s="16">
        <f t="shared" si="31"/>
        <v>157</v>
      </c>
      <c r="AD39" s="16">
        <f t="shared" si="31"/>
        <v>0</v>
      </c>
      <c r="AE39" s="32">
        <f t="shared" si="31"/>
        <v>181</v>
      </c>
      <c r="AF39" s="32">
        <f t="shared" si="31"/>
        <v>338</v>
      </c>
    </row>
    <row r="40" spans="2:32" ht="23.1" customHeight="1" x14ac:dyDescent="0.25">
      <c r="B40" s="46" t="s">
        <v>67</v>
      </c>
      <c r="C40" s="50">
        <v>11</v>
      </c>
      <c r="D40" s="50">
        <v>2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15</v>
      </c>
      <c r="P40" s="15">
        <f t="shared" si="1"/>
        <v>23</v>
      </c>
      <c r="R40" s="5" t="s">
        <v>17</v>
      </c>
      <c r="S40" s="16">
        <f t="shared" ref="S40:AF40" si="32">SUM(S10:S21)</f>
        <v>442</v>
      </c>
      <c r="T40" s="16">
        <f t="shared" si="32"/>
        <v>54</v>
      </c>
      <c r="U40" s="16">
        <f t="shared" si="32"/>
        <v>26</v>
      </c>
      <c r="V40" s="16">
        <f t="shared" si="32"/>
        <v>99</v>
      </c>
      <c r="W40" s="16">
        <f t="shared" si="32"/>
        <v>0</v>
      </c>
      <c r="X40" s="16">
        <f t="shared" si="32"/>
        <v>1</v>
      </c>
      <c r="Y40" s="16">
        <f t="shared" si="32"/>
        <v>22</v>
      </c>
      <c r="Z40" s="16">
        <f t="shared" si="32"/>
        <v>24</v>
      </c>
      <c r="AA40" s="16">
        <f t="shared" si="32"/>
        <v>7</v>
      </c>
      <c r="AB40" s="16">
        <f t="shared" si="32"/>
        <v>4</v>
      </c>
      <c r="AC40" s="16">
        <f t="shared" si="32"/>
        <v>536</v>
      </c>
      <c r="AD40" s="16">
        <f t="shared" si="32"/>
        <v>0</v>
      </c>
      <c r="AE40" s="32">
        <f t="shared" si="32"/>
        <v>679</v>
      </c>
      <c r="AF40" s="32">
        <f t="shared" si="32"/>
        <v>1215</v>
      </c>
    </row>
    <row r="41" spans="2:32" ht="23.1" customHeight="1" x14ac:dyDescent="0.25">
      <c r="B41" s="45" t="s">
        <v>68</v>
      </c>
      <c r="C41" s="50">
        <v>12</v>
      </c>
      <c r="D41" s="50">
        <v>2</v>
      </c>
      <c r="E41" s="50">
        <v>1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18</v>
      </c>
      <c r="P41" s="15">
        <f t="shared" si="1"/>
        <v>26</v>
      </c>
      <c r="R41" s="5" t="s">
        <v>159</v>
      </c>
      <c r="S41" s="16">
        <f>SUM(S10:S33)</f>
        <v>566</v>
      </c>
      <c r="T41" s="16">
        <f t="shared" ref="T41:AF41" si="33">SUM(T10:T33)</f>
        <v>85</v>
      </c>
      <c r="U41" s="16">
        <f t="shared" si="33"/>
        <v>35</v>
      </c>
      <c r="V41" s="16">
        <f t="shared" si="33"/>
        <v>125</v>
      </c>
      <c r="W41" s="16">
        <f t="shared" si="33"/>
        <v>1</v>
      </c>
      <c r="X41" s="16">
        <f t="shared" si="33"/>
        <v>3</v>
      </c>
      <c r="Y41" s="16">
        <f t="shared" si="33"/>
        <v>34</v>
      </c>
      <c r="Z41" s="16">
        <f t="shared" si="33"/>
        <v>47</v>
      </c>
      <c r="AA41" s="16">
        <f t="shared" si="33"/>
        <v>18</v>
      </c>
      <c r="AB41" s="16">
        <f t="shared" si="33"/>
        <v>7</v>
      </c>
      <c r="AC41" s="16">
        <f t="shared" si="33"/>
        <v>640</v>
      </c>
      <c r="AD41" s="16">
        <f t="shared" si="33"/>
        <v>0</v>
      </c>
      <c r="AE41" s="32">
        <f t="shared" si="33"/>
        <v>921</v>
      </c>
      <c r="AF41" s="32">
        <f t="shared" si="33"/>
        <v>1561</v>
      </c>
    </row>
    <row r="42" spans="2:32" ht="23.1" customHeight="1" x14ac:dyDescent="0.25">
      <c r="B42" s="46" t="s">
        <v>69</v>
      </c>
      <c r="C42" s="50">
        <v>13</v>
      </c>
      <c r="D42" s="50">
        <v>0</v>
      </c>
      <c r="E42" s="50">
        <v>1</v>
      </c>
      <c r="F42" s="50">
        <v>6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9</v>
      </c>
      <c r="N42" s="50">
        <v>0</v>
      </c>
      <c r="O42" s="15">
        <f t="shared" si="0"/>
        <v>21</v>
      </c>
      <c r="P42" s="15">
        <f t="shared" si="1"/>
        <v>30</v>
      </c>
      <c r="R42" s="5" t="s">
        <v>160</v>
      </c>
      <c r="S42" s="48">
        <f>S41/S40</f>
        <v>1.2805429864253393</v>
      </c>
      <c r="T42" s="48">
        <f t="shared" ref="T42:AF42" si="34">T41/T40</f>
        <v>1.5740740740740742</v>
      </c>
      <c r="U42" s="48">
        <f t="shared" si="34"/>
        <v>1.3461538461538463</v>
      </c>
      <c r="V42" s="48">
        <f t="shared" si="34"/>
        <v>1.2626262626262625</v>
      </c>
      <c r="W42" s="48" t="e">
        <f t="shared" si="34"/>
        <v>#DIV/0!</v>
      </c>
      <c r="X42" s="48">
        <f t="shared" si="34"/>
        <v>3</v>
      </c>
      <c r="Y42" s="48">
        <f t="shared" si="34"/>
        <v>1.5454545454545454</v>
      </c>
      <c r="Z42" s="48">
        <f t="shared" si="34"/>
        <v>1.9583333333333333</v>
      </c>
      <c r="AA42" s="48">
        <f t="shared" si="34"/>
        <v>2.5714285714285716</v>
      </c>
      <c r="AB42" s="48">
        <f t="shared" si="34"/>
        <v>1.75</v>
      </c>
      <c r="AC42" s="48">
        <f t="shared" si="34"/>
        <v>1.1940298507462686</v>
      </c>
      <c r="AD42" s="48" t="e">
        <f t="shared" si="34"/>
        <v>#DIV/0!</v>
      </c>
      <c r="AE42" s="48">
        <f t="shared" si="34"/>
        <v>1.3564064801178204</v>
      </c>
      <c r="AF42" s="48">
        <f t="shared" si="34"/>
        <v>1.2847736625514403</v>
      </c>
    </row>
    <row r="43" spans="2:32" ht="23.1" customHeight="1" x14ac:dyDescent="0.25">
      <c r="B43" s="45" t="s">
        <v>70</v>
      </c>
      <c r="C43" s="50">
        <v>10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12</v>
      </c>
      <c r="P43" s="15">
        <f t="shared" si="1"/>
        <v>17</v>
      </c>
    </row>
    <row r="44" spans="2:32" ht="23.1" customHeight="1" x14ac:dyDescent="0.25">
      <c r="B44" s="47" t="s">
        <v>71</v>
      </c>
      <c r="C44" s="50">
        <v>12</v>
      </c>
      <c r="D44" s="50">
        <v>2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21</v>
      </c>
      <c r="N44" s="50">
        <v>0</v>
      </c>
      <c r="O44" s="15">
        <f t="shared" si="0"/>
        <v>16</v>
      </c>
      <c r="P44" s="15">
        <f t="shared" si="1"/>
        <v>37</v>
      </c>
    </row>
    <row r="45" spans="2:32" ht="23.1" customHeight="1" x14ac:dyDescent="0.25">
      <c r="B45" s="45" t="s">
        <v>72</v>
      </c>
      <c r="C45" s="50">
        <v>9</v>
      </c>
      <c r="D45" s="50">
        <v>2</v>
      </c>
      <c r="E45" s="50">
        <v>1</v>
      </c>
      <c r="F45" s="50">
        <v>2</v>
      </c>
      <c r="G45" s="50">
        <v>0</v>
      </c>
      <c r="H45" s="50">
        <v>0</v>
      </c>
      <c r="I45" s="50">
        <v>2</v>
      </c>
      <c r="J45" s="50">
        <v>0</v>
      </c>
      <c r="K45" s="50">
        <v>1</v>
      </c>
      <c r="L45" s="50">
        <v>2</v>
      </c>
      <c r="M45" s="50">
        <v>18</v>
      </c>
      <c r="N45" s="50">
        <v>0</v>
      </c>
      <c r="O45" s="15">
        <f t="shared" si="0"/>
        <v>19</v>
      </c>
      <c r="P45" s="15">
        <f t="shared" si="1"/>
        <v>37</v>
      </c>
    </row>
    <row r="46" spans="2:32" ht="23.1" customHeight="1" x14ac:dyDescent="0.25">
      <c r="B46" s="46" t="s">
        <v>73</v>
      </c>
      <c r="C46" s="50">
        <v>6</v>
      </c>
      <c r="D46" s="50">
        <v>1</v>
      </c>
      <c r="E46" s="50">
        <v>0</v>
      </c>
      <c r="F46" s="50">
        <v>2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1</v>
      </c>
      <c r="M46" s="50">
        <v>17</v>
      </c>
      <c r="N46" s="50">
        <v>0</v>
      </c>
      <c r="O46" s="15">
        <f t="shared" si="0"/>
        <v>12</v>
      </c>
      <c r="P46" s="15">
        <f t="shared" si="1"/>
        <v>29</v>
      </c>
      <c r="R46" s="8"/>
      <c r="T46"/>
    </row>
    <row r="47" spans="2:32" ht="23.1" customHeight="1" x14ac:dyDescent="0.25">
      <c r="B47" s="46" t="s">
        <v>74</v>
      </c>
      <c r="C47" s="50">
        <v>10</v>
      </c>
      <c r="D47" s="50">
        <v>2</v>
      </c>
      <c r="E47" s="50">
        <v>0</v>
      </c>
      <c r="F47" s="50">
        <v>2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1</v>
      </c>
      <c r="M47" s="50">
        <v>17</v>
      </c>
      <c r="N47" s="50">
        <v>0</v>
      </c>
      <c r="O47" s="15">
        <f t="shared" si="0"/>
        <v>16</v>
      </c>
      <c r="P47" s="15">
        <f t="shared" si="1"/>
        <v>33</v>
      </c>
      <c r="R47" s="8"/>
      <c r="T47"/>
    </row>
    <row r="48" spans="2:32" ht="23.1" customHeight="1" x14ac:dyDescent="0.25">
      <c r="B48" s="46" t="s">
        <v>75</v>
      </c>
      <c r="C48" s="50">
        <v>9</v>
      </c>
      <c r="D48" s="50">
        <v>2</v>
      </c>
      <c r="E48" s="50">
        <v>1</v>
      </c>
      <c r="F48" s="50">
        <v>4</v>
      </c>
      <c r="G48" s="50">
        <v>0</v>
      </c>
      <c r="H48" s="50">
        <v>0</v>
      </c>
      <c r="I48" s="50">
        <v>2</v>
      </c>
      <c r="J48" s="50">
        <v>2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20</v>
      </c>
      <c r="P48" s="15">
        <f t="shared" si="1"/>
        <v>32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3</v>
      </c>
      <c r="E49" s="50">
        <v>1</v>
      </c>
      <c r="F49" s="50">
        <v>2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19</v>
      </c>
      <c r="N49" s="50">
        <v>0</v>
      </c>
      <c r="O49" s="15">
        <f t="shared" si="0"/>
        <v>20</v>
      </c>
      <c r="P49" s="15">
        <f t="shared" si="1"/>
        <v>39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1</v>
      </c>
      <c r="L50" s="50">
        <v>0</v>
      </c>
      <c r="M50" s="50">
        <v>14</v>
      </c>
      <c r="N50" s="50">
        <v>0</v>
      </c>
      <c r="O50" s="15">
        <f t="shared" si="0"/>
        <v>7</v>
      </c>
      <c r="P50" s="15">
        <f t="shared" si="1"/>
        <v>21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2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10</v>
      </c>
      <c r="P51" s="15">
        <f t="shared" si="1"/>
        <v>18</v>
      </c>
      <c r="R51" s="8"/>
      <c r="T51"/>
    </row>
    <row r="52" spans="2:20" ht="23.1" customHeight="1" x14ac:dyDescent="0.25">
      <c r="B52" s="46" t="s">
        <v>79</v>
      </c>
      <c r="C52" s="50">
        <v>10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1</v>
      </c>
      <c r="L52" s="50">
        <v>0</v>
      </c>
      <c r="M52" s="50">
        <v>7</v>
      </c>
      <c r="N52" s="50">
        <v>0</v>
      </c>
      <c r="O52" s="15">
        <f t="shared" si="0"/>
        <v>14</v>
      </c>
      <c r="P52" s="15">
        <f t="shared" si="1"/>
        <v>21</v>
      </c>
      <c r="R52" s="8"/>
      <c r="T52"/>
    </row>
    <row r="53" spans="2:20" ht="23.1" customHeight="1" x14ac:dyDescent="0.25">
      <c r="B53" s="45" t="s">
        <v>80</v>
      </c>
      <c r="C53" s="50">
        <v>6</v>
      </c>
      <c r="D53" s="50">
        <v>4</v>
      </c>
      <c r="E53" s="50">
        <v>2</v>
      </c>
      <c r="F53" s="50">
        <v>2</v>
      </c>
      <c r="G53" s="50">
        <v>0</v>
      </c>
      <c r="H53" s="50">
        <v>0</v>
      </c>
      <c r="I53" s="50">
        <v>1</v>
      </c>
      <c r="J53" s="50">
        <v>4</v>
      </c>
      <c r="K53" s="50">
        <v>1</v>
      </c>
      <c r="L53" s="50">
        <v>0</v>
      </c>
      <c r="M53" s="50">
        <v>16</v>
      </c>
      <c r="N53" s="50">
        <v>0</v>
      </c>
      <c r="O53" s="15">
        <f t="shared" si="0"/>
        <v>20</v>
      </c>
      <c r="P53" s="15">
        <f t="shared" si="1"/>
        <v>36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5</v>
      </c>
      <c r="E54" s="50">
        <v>1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14</v>
      </c>
      <c r="N54" s="50">
        <v>0</v>
      </c>
      <c r="O54" s="15">
        <f t="shared" si="0"/>
        <v>15</v>
      </c>
      <c r="P54" s="15">
        <f t="shared" si="1"/>
        <v>29</v>
      </c>
      <c r="R54" s="8"/>
      <c r="T54"/>
    </row>
    <row r="55" spans="2:20" ht="23.1" customHeight="1" x14ac:dyDescent="0.25">
      <c r="B55" s="45" t="s">
        <v>82</v>
      </c>
      <c r="C55" s="50">
        <v>8</v>
      </c>
      <c r="D55" s="50">
        <v>2</v>
      </c>
      <c r="E55" s="50">
        <v>1</v>
      </c>
      <c r="F55" s="50">
        <v>2</v>
      </c>
      <c r="G55" s="50">
        <v>0</v>
      </c>
      <c r="H55" s="50">
        <v>0</v>
      </c>
      <c r="I55" s="50">
        <v>0</v>
      </c>
      <c r="J55" s="50">
        <v>3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16</v>
      </c>
      <c r="P55" s="15">
        <f t="shared" si="1"/>
        <v>23</v>
      </c>
      <c r="R55" s="8"/>
      <c r="T55"/>
    </row>
    <row r="56" spans="2:20" ht="23.1" customHeight="1" x14ac:dyDescent="0.25">
      <c r="B56" s="45" t="s">
        <v>83</v>
      </c>
      <c r="C56" s="50">
        <v>15</v>
      </c>
      <c r="D56" s="50">
        <v>2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12</v>
      </c>
      <c r="N56" s="50">
        <v>0</v>
      </c>
      <c r="O56" s="15">
        <f t="shared" si="0"/>
        <v>20</v>
      </c>
      <c r="P56" s="15">
        <f t="shared" si="1"/>
        <v>32</v>
      </c>
      <c r="R56" s="8"/>
      <c r="T56"/>
    </row>
    <row r="57" spans="2:20" ht="23.1" customHeight="1" x14ac:dyDescent="0.25">
      <c r="B57" s="45" t="s">
        <v>84</v>
      </c>
      <c r="C57" s="50">
        <v>8</v>
      </c>
      <c r="D57" s="50">
        <v>1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11</v>
      </c>
      <c r="P57" s="15">
        <f t="shared" si="1"/>
        <v>25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0</v>
      </c>
      <c r="F58" s="50">
        <v>1</v>
      </c>
      <c r="G58" s="50">
        <v>1</v>
      </c>
      <c r="H58" s="50">
        <v>0</v>
      </c>
      <c r="I58" s="50">
        <v>0</v>
      </c>
      <c r="J58" s="50">
        <v>2</v>
      </c>
      <c r="K58" s="50">
        <v>0</v>
      </c>
      <c r="L58" s="50">
        <v>0</v>
      </c>
      <c r="M58" s="50">
        <v>5</v>
      </c>
      <c r="N58" s="50">
        <v>0</v>
      </c>
      <c r="O58" s="15">
        <f t="shared" ref="O58:O105" si="35">SUM(C58:L58,N58)</f>
        <v>7</v>
      </c>
      <c r="P58" s="15">
        <f t="shared" ref="P58:P105" si="36">SUM(C58:N58)</f>
        <v>12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13</v>
      </c>
      <c r="N59" s="50">
        <v>0</v>
      </c>
      <c r="O59" s="15">
        <f t="shared" si="35"/>
        <v>9</v>
      </c>
      <c r="P59" s="15">
        <f t="shared" si="36"/>
        <v>22</v>
      </c>
      <c r="R59" s="8"/>
      <c r="T59"/>
    </row>
    <row r="60" spans="2:20" ht="23.1" customHeight="1" x14ac:dyDescent="0.25">
      <c r="B60" s="45" t="s">
        <v>101</v>
      </c>
      <c r="C60" s="50">
        <v>13</v>
      </c>
      <c r="D60" s="50">
        <v>3</v>
      </c>
      <c r="E60" s="50">
        <v>0</v>
      </c>
      <c r="F60" s="50">
        <v>3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13</v>
      </c>
      <c r="N60" s="50">
        <v>0</v>
      </c>
      <c r="O60" s="15">
        <f t="shared" si="35"/>
        <v>21</v>
      </c>
      <c r="P60" s="15">
        <f t="shared" si="36"/>
        <v>34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</v>
      </c>
      <c r="N61" s="50">
        <v>0</v>
      </c>
      <c r="O61" s="15">
        <f t="shared" si="35"/>
        <v>3</v>
      </c>
      <c r="P61" s="15">
        <f t="shared" si="36"/>
        <v>5</v>
      </c>
      <c r="R61" s="8"/>
      <c r="T61"/>
    </row>
    <row r="62" spans="2:20" ht="23.1" customHeight="1" x14ac:dyDescent="0.25">
      <c r="B62" s="45" t="s">
        <v>107</v>
      </c>
      <c r="C62" s="50">
        <v>16</v>
      </c>
      <c r="D62" s="50">
        <v>3</v>
      </c>
      <c r="E62" s="50">
        <v>0</v>
      </c>
      <c r="F62" s="50">
        <v>1</v>
      </c>
      <c r="G62" s="50">
        <v>0</v>
      </c>
      <c r="H62" s="50">
        <v>0</v>
      </c>
      <c r="I62" s="50">
        <v>1</v>
      </c>
      <c r="J62" s="50">
        <v>2</v>
      </c>
      <c r="K62" s="50">
        <v>0</v>
      </c>
      <c r="L62" s="50">
        <v>0</v>
      </c>
      <c r="M62" s="50">
        <v>7</v>
      </c>
      <c r="N62" s="50">
        <v>0</v>
      </c>
      <c r="O62" s="15">
        <f t="shared" si="35"/>
        <v>23</v>
      </c>
      <c r="P62" s="15">
        <f t="shared" si="36"/>
        <v>30</v>
      </c>
      <c r="R62" s="8"/>
      <c r="T62"/>
    </row>
    <row r="63" spans="2:20" ht="23.1" customHeight="1" x14ac:dyDescent="0.25">
      <c r="B63" s="45" t="s">
        <v>108</v>
      </c>
      <c r="C63" s="50">
        <v>6</v>
      </c>
      <c r="D63" s="50">
        <v>2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0</v>
      </c>
      <c r="M63" s="50">
        <v>4</v>
      </c>
      <c r="N63" s="50">
        <v>0</v>
      </c>
      <c r="O63" s="15">
        <f t="shared" si="35"/>
        <v>9</v>
      </c>
      <c r="P63" s="15">
        <f t="shared" si="36"/>
        <v>13</v>
      </c>
      <c r="R63" s="8"/>
      <c r="T63"/>
    </row>
    <row r="64" spans="2:20" ht="23.1" customHeight="1" x14ac:dyDescent="0.25">
      <c r="B64" s="45" t="s">
        <v>109</v>
      </c>
      <c r="C64" s="50">
        <v>15</v>
      </c>
      <c r="D64" s="50">
        <v>4</v>
      </c>
      <c r="E64" s="50">
        <v>2</v>
      </c>
      <c r="F64" s="50">
        <v>1</v>
      </c>
      <c r="G64" s="50">
        <v>0</v>
      </c>
      <c r="H64" s="50">
        <v>0</v>
      </c>
      <c r="I64" s="50">
        <v>0</v>
      </c>
      <c r="J64" s="50">
        <v>0</v>
      </c>
      <c r="K64" s="50">
        <v>1</v>
      </c>
      <c r="L64" s="50">
        <v>0</v>
      </c>
      <c r="M64" s="50">
        <v>12</v>
      </c>
      <c r="N64" s="50">
        <v>0</v>
      </c>
      <c r="O64" s="15">
        <f t="shared" si="35"/>
        <v>23</v>
      </c>
      <c r="P64" s="15">
        <f t="shared" si="36"/>
        <v>35</v>
      </c>
      <c r="R64" s="8"/>
      <c r="T64"/>
    </row>
    <row r="65" spans="2:20" ht="23.1" customHeight="1" x14ac:dyDescent="0.25">
      <c r="B65" s="45" t="s">
        <v>158</v>
      </c>
      <c r="C65" s="50">
        <v>6</v>
      </c>
      <c r="D65" s="50">
        <v>5</v>
      </c>
      <c r="E65" s="50">
        <v>1</v>
      </c>
      <c r="F65" s="50">
        <v>5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11</v>
      </c>
      <c r="N65" s="50">
        <v>0</v>
      </c>
      <c r="O65" s="15">
        <f t="shared" si="35"/>
        <v>18</v>
      </c>
      <c r="P65" s="15">
        <f t="shared" si="36"/>
        <v>29</v>
      </c>
      <c r="R65" s="8"/>
      <c r="T65"/>
    </row>
    <row r="66" spans="2:20" ht="23.1" customHeight="1" x14ac:dyDescent="0.25">
      <c r="B66" s="45" t="s">
        <v>103</v>
      </c>
      <c r="C66" s="50">
        <v>5</v>
      </c>
      <c r="D66" s="50">
        <v>2</v>
      </c>
      <c r="E66" s="50">
        <v>1</v>
      </c>
      <c r="F66" s="50">
        <v>1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2</v>
      </c>
      <c r="N66" s="50">
        <v>0</v>
      </c>
      <c r="O66" s="15">
        <f t="shared" si="35"/>
        <v>10</v>
      </c>
      <c r="P66" s="15">
        <f t="shared" si="36"/>
        <v>12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3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35"/>
        <v>9</v>
      </c>
      <c r="P67" s="15">
        <f t="shared" si="36"/>
        <v>12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1</v>
      </c>
      <c r="E68" s="50">
        <v>2</v>
      </c>
      <c r="F68" s="50">
        <v>1</v>
      </c>
      <c r="G68" s="50">
        <v>0</v>
      </c>
      <c r="H68" s="50">
        <v>0</v>
      </c>
      <c r="I68" s="50">
        <v>1</v>
      </c>
      <c r="J68" s="50">
        <v>3</v>
      </c>
      <c r="K68" s="50">
        <v>0</v>
      </c>
      <c r="L68" s="50">
        <v>0</v>
      </c>
      <c r="M68" s="50">
        <v>1</v>
      </c>
      <c r="N68" s="50">
        <v>0</v>
      </c>
      <c r="O68" s="15">
        <f t="shared" si="35"/>
        <v>13</v>
      </c>
      <c r="P68" s="15">
        <f t="shared" si="36"/>
        <v>14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35"/>
        <v>3</v>
      </c>
      <c r="P69" s="15">
        <f t="shared" si="36"/>
        <v>3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35"/>
        <v>3</v>
      </c>
      <c r="P70" s="15">
        <f t="shared" si="36"/>
        <v>5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3</v>
      </c>
      <c r="N71" s="50">
        <v>0</v>
      </c>
      <c r="O71" s="15">
        <f t="shared" si="35"/>
        <v>6</v>
      </c>
      <c r="P71" s="15">
        <f t="shared" si="36"/>
        <v>9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3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6</v>
      </c>
      <c r="P72" s="15">
        <f t="shared" si="36"/>
        <v>6</v>
      </c>
      <c r="R72" s="8"/>
      <c r="T72"/>
    </row>
    <row r="73" spans="2:20" ht="23.1" customHeight="1" x14ac:dyDescent="0.25">
      <c r="B73" s="45" t="s">
        <v>113</v>
      </c>
      <c r="C73" s="50">
        <v>5</v>
      </c>
      <c r="D73" s="50">
        <v>2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2</v>
      </c>
      <c r="N73" s="50">
        <v>0</v>
      </c>
      <c r="O73" s="15">
        <f t="shared" si="35"/>
        <v>9</v>
      </c>
      <c r="P73" s="15">
        <f t="shared" si="36"/>
        <v>11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1</v>
      </c>
      <c r="E74" s="50">
        <v>0</v>
      </c>
      <c r="F74" s="50">
        <v>0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7</v>
      </c>
      <c r="P74" s="15">
        <f t="shared" si="36"/>
        <v>7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3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1</v>
      </c>
      <c r="I77" s="50">
        <v>0</v>
      </c>
      <c r="J77" s="50">
        <v>1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2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2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2</v>
      </c>
      <c r="E82" s="50">
        <v>0</v>
      </c>
      <c r="F82" s="50">
        <v>1</v>
      </c>
      <c r="G82" s="50">
        <v>0</v>
      </c>
      <c r="H82" s="50">
        <v>0</v>
      </c>
      <c r="I82" s="50">
        <v>3</v>
      </c>
      <c r="J82" s="50">
        <v>1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8</v>
      </c>
      <c r="P82" s="15">
        <f t="shared" si="36"/>
        <v>8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1</v>
      </c>
      <c r="L83" s="50">
        <v>2</v>
      </c>
      <c r="M83" s="50">
        <v>0</v>
      </c>
      <c r="N83" s="50"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1</v>
      </c>
      <c r="K84" s="50">
        <v>1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1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0</v>
      </c>
      <c r="M87" s="50">
        <v>2</v>
      </c>
      <c r="N87" s="50">
        <v>0</v>
      </c>
      <c r="O87" s="15">
        <f t="shared" si="35"/>
        <v>1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1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2</v>
      </c>
      <c r="G90" s="50">
        <v>0</v>
      </c>
      <c r="H90" s="50">
        <v>0</v>
      </c>
      <c r="I90" s="50">
        <v>1</v>
      </c>
      <c r="J90" s="50">
        <v>0</v>
      </c>
      <c r="K90" s="50">
        <v>1</v>
      </c>
      <c r="L90" s="50">
        <v>0</v>
      </c>
      <c r="M90" s="50">
        <v>2</v>
      </c>
      <c r="N90" s="50">
        <v>0</v>
      </c>
      <c r="O90" s="15">
        <f t="shared" si="35"/>
        <v>4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1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10</v>
      </c>
      <c r="N93" s="50">
        <v>0</v>
      </c>
      <c r="O93" s="15">
        <f t="shared" si="35"/>
        <v>1</v>
      </c>
      <c r="P93" s="15">
        <f t="shared" si="36"/>
        <v>11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1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1</v>
      </c>
      <c r="N101" s="50">
        <v>0</v>
      </c>
      <c r="O101" s="15">
        <f t="shared" si="35"/>
        <v>3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1</v>
      </c>
      <c r="P102" s="15">
        <f t="shared" si="36"/>
        <v>2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3</v>
      </c>
      <c r="P103" s="15">
        <f t="shared" si="36"/>
        <v>3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2</v>
      </c>
      <c r="N104" s="50">
        <v>0</v>
      </c>
      <c r="O104" s="15">
        <f t="shared" si="35"/>
        <v>2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1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1</v>
      </c>
      <c r="P105" s="15">
        <f t="shared" si="36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566</v>
      </c>
      <c r="D106" s="16">
        <f t="shared" ref="D106:P106" si="37">SUM(D10:D105)</f>
        <v>85</v>
      </c>
      <c r="E106" s="16">
        <f t="shared" si="37"/>
        <v>35</v>
      </c>
      <c r="F106" s="16">
        <f t="shared" si="37"/>
        <v>125</v>
      </c>
      <c r="G106" s="16">
        <f t="shared" si="37"/>
        <v>1</v>
      </c>
      <c r="H106" s="16">
        <f t="shared" si="37"/>
        <v>3</v>
      </c>
      <c r="I106" s="16">
        <f t="shared" si="37"/>
        <v>34</v>
      </c>
      <c r="J106" s="16">
        <f t="shared" si="37"/>
        <v>47</v>
      </c>
      <c r="K106" s="16">
        <f t="shared" si="37"/>
        <v>18</v>
      </c>
      <c r="L106" s="16">
        <f t="shared" si="37"/>
        <v>7</v>
      </c>
      <c r="M106" s="16">
        <f t="shared" si="37"/>
        <v>640</v>
      </c>
      <c r="N106" s="16">
        <f t="shared" si="37"/>
        <v>0</v>
      </c>
      <c r="O106" s="16">
        <f t="shared" si="37"/>
        <v>921</v>
      </c>
      <c r="P106" s="16">
        <f t="shared" si="37"/>
        <v>1561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0.36258808456117875</v>
      </c>
      <c r="D107" s="43">
        <f t="shared" si="38"/>
        <v>5.4452274183215889E-2</v>
      </c>
      <c r="E107" s="43">
        <f t="shared" si="38"/>
        <v>2.2421524663677129E-2</v>
      </c>
      <c r="F107" s="43">
        <f t="shared" si="38"/>
        <v>8.0076873798846898E-2</v>
      </c>
      <c r="G107" s="43">
        <f t="shared" si="38"/>
        <v>6.406149903907751E-4</v>
      </c>
      <c r="H107" s="43">
        <f t="shared" si="38"/>
        <v>1.9218449711723255E-3</v>
      </c>
      <c r="I107" s="43">
        <f t="shared" si="38"/>
        <v>2.1780909673286355E-2</v>
      </c>
      <c r="J107" s="43">
        <f t="shared" si="38"/>
        <v>3.0108904548366431E-2</v>
      </c>
      <c r="K107" s="43">
        <f t="shared" si="38"/>
        <v>1.1531069827033953E-2</v>
      </c>
      <c r="L107" s="43">
        <f t="shared" si="38"/>
        <v>4.4843049327354259E-3</v>
      </c>
      <c r="M107" s="43">
        <f t="shared" si="38"/>
        <v>0.40999359385009609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0.61454940282301851</v>
      </c>
      <c r="D108" s="44">
        <f t="shared" ref="D108:N108" si="39">D106/$O$106</f>
        <v>9.2290988056460369E-2</v>
      </c>
      <c r="E108" s="44">
        <f t="shared" si="39"/>
        <v>3.8002171552660155E-2</v>
      </c>
      <c r="F108" s="44">
        <f t="shared" si="39"/>
        <v>0.13572204125950055</v>
      </c>
      <c r="G108" s="44">
        <f t="shared" si="39"/>
        <v>1.0857763300760044E-3</v>
      </c>
      <c r="H108" s="44">
        <f t="shared" si="39"/>
        <v>3.2573289902280132E-3</v>
      </c>
      <c r="I108" s="44">
        <f t="shared" si="39"/>
        <v>3.691639522258415E-2</v>
      </c>
      <c r="J108" s="44">
        <f t="shared" si="39"/>
        <v>5.1031487513572206E-2</v>
      </c>
      <c r="K108" s="44">
        <f t="shared" si="39"/>
        <v>1.9543973941368076E-2</v>
      </c>
      <c r="L108" s="44">
        <f t="shared" si="39"/>
        <v>7.6004343105320303E-3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F174"/>
  <sheetViews>
    <sheetView view="pageBreakPreview" topLeftCell="A40" zoomScale="60" workbookViewId="0">
      <selection activeCell="C105" sqref="C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8.5" customHeight="1" x14ac:dyDescent="0.25">
      <c r="C5" s="4" t="s">
        <v>3</v>
      </c>
      <c r="D5" s="36" t="str">
        <f>'26.10 Ibanda-Mbarara-24hr'!D5</f>
        <v>26.10.2019</v>
      </c>
      <c r="E5" s="3"/>
      <c r="F5" s="41" t="s">
        <v>1</v>
      </c>
      <c r="G5" s="54" t="str">
        <f>'26.10 Ibanda-Mbarara-24hr'!G5:H5</f>
        <v>RUHUMBA</v>
      </c>
      <c r="H5" s="55"/>
      <c r="I5" s="14"/>
      <c r="J5" s="2" t="s">
        <v>5</v>
      </c>
      <c r="K5" s="54" t="str">
        <f>'26.10 Ibanda-Mbarara-24hr'!K5:L5</f>
        <v>TURYAHABWE NORMAN</v>
      </c>
      <c r="L5" s="55"/>
      <c r="M5" s="10"/>
      <c r="N5" s="10"/>
      <c r="O5" s="3"/>
      <c r="P5" s="3"/>
    </row>
    <row r="6" spans="2:32" ht="30.75" customHeight="1" x14ac:dyDescent="0.25">
      <c r="C6" s="2" t="s">
        <v>4</v>
      </c>
      <c r="D6" s="54" t="str">
        <f>'25.10 Mbarara-Ibanda'!D6:E6</f>
        <v>MBARARA</v>
      </c>
      <c r="E6" s="55"/>
      <c r="F6" s="2" t="s">
        <v>2</v>
      </c>
      <c r="G6" s="54" t="str">
        <f>'27.10 Mbarara-Ibanda'!G6:H6</f>
        <v>IBANDA</v>
      </c>
      <c r="H6" s="55"/>
      <c r="J6" s="2" t="s">
        <v>21</v>
      </c>
      <c r="K6" s="54" t="str">
        <f>'26.10 Ibanda-Mbarara-24hr'!K6:L6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3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10</v>
      </c>
      <c r="R10" s="1" t="s">
        <v>6</v>
      </c>
      <c r="S10" s="17">
        <f t="shared" ref="S10:AF10" si="2">SUM(C10:C13)</f>
        <v>7</v>
      </c>
      <c r="T10" s="17">
        <f t="shared" si="2"/>
        <v>2</v>
      </c>
      <c r="U10" s="17">
        <f t="shared" si="2"/>
        <v>3</v>
      </c>
      <c r="V10" s="17">
        <f t="shared" si="2"/>
        <v>6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20</v>
      </c>
      <c r="AD10" s="17">
        <f t="shared" si="2"/>
        <v>0</v>
      </c>
      <c r="AE10" s="31">
        <f t="shared" si="2"/>
        <v>22</v>
      </c>
      <c r="AF10" s="31">
        <f t="shared" si="2"/>
        <v>42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3</v>
      </c>
      <c r="P11" s="15">
        <f t="shared" si="1"/>
        <v>9</v>
      </c>
      <c r="R11" s="1" t="s">
        <v>7</v>
      </c>
      <c r="S11" s="17">
        <f t="shared" ref="S11:AF11" si="3">SUM(C14:C17)</f>
        <v>40</v>
      </c>
      <c r="T11" s="17">
        <f t="shared" si="3"/>
        <v>19</v>
      </c>
      <c r="U11" s="17">
        <f t="shared" si="3"/>
        <v>4</v>
      </c>
      <c r="V11" s="17">
        <f t="shared" si="3"/>
        <v>7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74</v>
      </c>
      <c r="AF11" s="31">
        <f t="shared" si="3"/>
        <v>88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2</v>
      </c>
      <c r="P12" s="15">
        <f t="shared" si="1"/>
        <v>10</v>
      </c>
      <c r="R12" s="1" t="s">
        <v>8</v>
      </c>
      <c r="S12" s="17">
        <f t="shared" ref="S12:AF12" si="4">SUM(C18:C21)</f>
        <v>24</v>
      </c>
      <c r="T12" s="17">
        <f t="shared" si="4"/>
        <v>2</v>
      </c>
      <c r="U12" s="17">
        <f t="shared" si="4"/>
        <v>0</v>
      </c>
      <c r="V12" s="17">
        <f t="shared" si="4"/>
        <v>7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40</v>
      </c>
      <c r="AD12" s="17">
        <f t="shared" si="4"/>
        <v>0</v>
      </c>
      <c r="AE12" s="31">
        <f t="shared" si="4"/>
        <v>38</v>
      </c>
      <c r="AF12" s="31">
        <f t="shared" si="4"/>
        <v>78</v>
      </c>
    </row>
    <row r="13" spans="2:32" ht="23.1" customHeight="1" x14ac:dyDescent="0.25">
      <c r="B13" s="45" t="s">
        <v>40</v>
      </c>
      <c r="C13" s="50">
        <v>5</v>
      </c>
      <c r="D13" s="50">
        <v>2</v>
      </c>
      <c r="E13" s="50">
        <v>0</v>
      </c>
      <c r="F13" s="50">
        <v>0</v>
      </c>
      <c r="G13" s="50">
        <v>0</v>
      </c>
      <c r="H13" s="50">
        <v>1</v>
      </c>
      <c r="I13" s="50">
        <v>0</v>
      </c>
      <c r="J13" s="50">
        <v>1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9</v>
      </c>
      <c r="P13" s="15">
        <f t="shared" si="1"/>
        <v>13</v>
      </c>
      <c r="R13" s="1" t="s">
        <v>9</v>
      </c>
      <c r="S13" s="17">
        <f t="shared" ref="S13:AF13" si="5">SUM(C22:C25)</f>
        <v>42</v>
      </c>
      <c r="T13" s="17">
        <f t="shared" si="5"/>
        <v>2</v>
      </c>
      <c r="U13" s="17">
        <f t="shared" si="5"/>
        <v>3</v>
      </c>
      <c r="V13" s="17">
        <f t="shared" si="5"/>
        <v>9</v>
      </c>
      <c r="W13" s="17">
        <f t="shared" si="5"/>
        <v>2</v>
      </c>
      <c r="X13" s="17">
        <f t="shared" si="5"/>
        <v>1</v>
      </c>
      <c r="Y13" s="17">
        <f t="shared" si="5"/>
        <v>1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28</v>
      </c>
      <c r="AD13" s="17">
        <f t="shared" si="5"/>
        <v>0</v>
      </c>
      <c r="AE13" s="31">
        <f t="shared" si="5"/>
        <v>64</v>
      </c>
      <c r="AF13" s="31">
        <f t="shared" si="5"/>
        <v>92</v>
      </c>
    </row>
    <row r="14" spans="2:32" ht="23.1" customHeight="1" x14ac:dyDescent="0.25">
      <c r="B14" s="45" t="s">
        <v>41</v>
      </c>
      <c r="C14" s="50">
        <v>5</v>
      </c>
      <c r="D14" s="50">
        <v>5</v>
      </c>
      <c r="E14" s="50">
        <v>1</v>
      </c>
      <c r="F14" s="50">
        <v>5</v>
      </c>
      <c r="G14" s="50">
        <v>0</v>
      </c>
      <c r="H14" s="50">
        <v>0</v>
      </c>
      <c r="I14" s="50">
        <v>0</v>
      </c>
      <c r="J14" s="50">
        <v>1</v>
      </c>
      <c r="K14" s="50">
        <v>2</v>
      </c>
      <c r="L14" s="50">
        <v>0</v>
      </c>
      <c r="M14" s="50">
        <v>10</v>
      </c>
      <c r="N14" s="50">
        <v>0</v>
      </c>
      <c r="O14" s="15">
        <f t="shared" si="0"/>
        <v>19</v>
      </c>
      <c r="P14" s="15">
        <f t="shared" si="1"/>
        <v>29</v>
      </c>
      <c r="R14" s="1" t="s">
        <v>10</v>
      </c>
      <c r="S14" s="17">
        <f t="shared" ref="S14:AF14" si="6">SUM(C26:C29)</f>
        <v>28</v>
      </c>
      <c r="T14" s="17">
        <f t="shared" si="6"/>
        <v>7</v>
      </c>
      <c r="U14" s="17">
        <f t="shared" si="6"/>
        <v>3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43</v>
      </c>
      <c r="AD14" s="17">
        <f t="shared" si="6"/>
        <v>0</v>
      </c>
      <c r="AE14" s="31">
        <f t="shared" si="6"/>
        <v>50</v>
      </c>
      <c r="AF14" s="31">
        <f t="shared" si="6"/>
        <v>93</v>
      </c>
    </row>
    <row r="15" spans="2:32" ht="23.1" customHeight="1" x14ac:dyDescent="0.25">
      <c r="B15" s="45" t="s">
        <v>42</v>
      </c>
      <c r="C15" s="50">
        <v>10</v>
      </c>
      <c r="D15" s="50">
        <v>7</v>
      </c>
      <c r="E15" s="50">
        <v>2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21</v>
      </c>
      <c r="P15" s="15">
        <f t="shared" si="1"/>
        <v>22</v>
      </c>
      <c r="R15" s="1" t="s">
        <v>11</v>
      </c>
      <c r="S15" s="17">
        <f t="shared" ref="S15:AF15" si="7">SUM(C30:C33)</f>
        <v>38</v>
      </c>
      <c r="T15" s="17">
        <f t="shared" si="7"/>
        <v>3</v>
      </c>
      <c r="U15" s="17">
        <f t="shared" si="7"/>
        <v>9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41</v>
      </c>
      <c r="AD15" s="17">
        <f t="shared" si="7"/>
        <v>0</v>
      </c>
      <c r="AE15" s="31">
        <f t="shared" si="7"/>
        <v>65</v>
      </c>
      <c r="AF15" s="31">
        <f t="shared" si="7"/>
        <v>106</v>
      </c>
    </row>
    <row r="16" spans="2:32" ht="23.1" customHeight="1" x14ac:dyDescent="0.25">
      <c r="B16" s="45" t="s">
        <v>43</v>
      </c>
      <c r="C16" s="50">
        <v>15</v>
      </c>
      <c r="D16" s="50">
        <v>7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24</v>
      </c>
      <c r="P16" s="15">
        <f t="shared" si="1"/>
        <v>27</v>
      </c>
      <c r="R16" s="1" t="s">
        <v>12</v>
      </c>
      <c r="S16" s="17">
        <f t="shared" ref="S16:AF16" si="8">SUM(C34:C37)</f>
        <v>41</v>
      </c>
      <c r="T16" s="17">
        <f t="shared" si="8"/>
        <v>1</v>
      </c>
      <c r="U16" s="17">
        <f t="shared" si="8"/>
        <v>6</v>
      </c>
      <c r="V16" s="17">
        <f t="shared" si="8"/>
        <v>12</v>
      </c>
      <c r="W16" s="17">
        <f t="shared" si="8"/>
        <v>0</v>
      </c>
      <c r="X16" s="17">
        <f t="shared" si="8"/>
        <v>1</v>
      </c>
      <c r="Y16" s="17">
        <f t="shared" si="8"/>
        <v>6</v>
      </c>
      <c r="Z16" s="17">
        <f t="shared" si="8"/>
        <v>0</v>
      </c>
      <c r="AA16" s="17">
        <f t="shared" si="8"/>
        <v>3</v>
      </c>
      <c r="AB16" s="17">
        <f t="shared" si="8"/>
        <v>0</v>
      </c>
      <c r="AC16" s="17">
        <f t="shared" si="8"/>
        <v>50</v>
      </c>
      <c r="AD16" s="17">
        <f t="shared" si="8"/>
        <v>0</v>
      </c>
      <c r="AE16" s="31">
        <f t="shared" si="8"/>
        <v>70</v>
      </c>
      <c r="AF16" s="31">
        <f t="shared" si="8"/>
        <v>120</v>
      </c>
    </row>
    <row r="17" spans="2:32" ht="23.1" customHeight="1" x14ac:dyDescent="0.25">
      <c r="B17" s="45" t="s">
        <v>44</v>
      </c>
      <c r="C17" s="50">
        <v>10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10</v>
      </c>
      <c r="P17" s="15">
        <f t="shared" si="1"/>
        <v>10</v>
      </c>
      <c r="R17" s="1" t="s">
        <v>13</v>
      </c>
      <c r="S17" s="17">
        <f t="shared" ref="S17:AF17" si="9">SUM(C38:C41)</f>
        <v>38</v>
      </c>
      <c r="T17" s="17">
        <f t="shared" si="9"/>
        <v>5</v>
      </c>
      <c r="U17" s="17">
        <f t="shared" si="9"/>
        <v>4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44</v>
      </c>
      <c r="AD17" s="17">
        <f t="shared" si="9"/>
        <v>0</v>
      </c>
      <c r="AE17" s="31">
        <f t="shared" si="9"/>
        <v>60</v>
      </c>
      <c r="AF17" s="31">
        <f t="shared" si="9"/>
        <v>104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1</v>
      </c>
      <c r="P18" s="15">
        <f t="shared" si="1"/>
        <v>11</v>
      </c>
      <c r="R18" s="1" t="s">
        <v>14</v>
      </c>
      <c r="S18" s="17">
        <f t="shared" ref="S18:AF18" si="10">SUM(C42:C45)</f>
        <v>52</v>
      </c>
      <c r="T18" s="17">
        <f t="shared" si="10"/>
        <v>6</v>
      </c>
      <c r="U18" s="17">
        <f t="shared" si="10"/>
        <v>5</v>
      </c>
      <c r="V18" s="17">
        <f t="shared" si="10"/>
        <v>11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54</v>
      </c>
      <c r="AD18" s="17">
        <f t="shared" si="10"/>
        <v>0</v>
      </c>
      <c r="AE18" s="31">
        <f t="shared" si="10"/>
        <v>82</v>
      </c>
      <c r="AF18" s="31">
        <f t="shared" si="10"/>
        <v>136</v>
      </c>
    </row>
    <row r="19" spans="2:32" ht="23.1" customHeight="1" x14ac:dyDescent="0.25">
      <c r="B19" s="45" t="s">
        <v>46</v>
      </c>
      <c r="C19" s="50">
        <v>6</v>
      </c>
      <c r="D19" s="50">
        <v>0</v>
      </c>
      <c r="E19" s="50">
        <v>0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10</v>
      </c>
      <c r="P19" s="15">
        <f t="shared" si="1"/>
        <v>21</v>
      </c>
      <c r="R19" s="1" t="s">
        <v>15</v>
      </c>
      <c r="S19" s="17">
        <f t="shared" ref="S19:AF19" si="11">SUM(C46:C49)</f>
        <v>56</v>
      </c>
      <c r="T19" s="17">
        <f t="shared" si="11"/>
        <v>9</v>
      </c>
      <c r="U19" s="17">
        <f t="shared" si="11"/>
        <v>12</v>
      </c>
      <c r="V19" s="17">
        <f t="shared" si="11"/>
        <v>16</v>
      </c>
      <c r="W19" s="17">
        <f t="shared" si="11"/>
        <v>0</v>
      </c>
      <c r="X19" s="17">
        <f t="shared" si="11"/>
        <v>1</v>
      </c>
      <c r="Y19" s="17">
        <f t="shared" si="11"/>
        <v>3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62</v>
      </c>
      <c r="AD19" s="17">
        <f t="shared" si="11"/>
        <v>0</v>
      </c>
      <c r="AE19" s="31">
        <f t="shared" si="11"/>
        <v>101</v>
      </c>
      <c r="AF19" s="31">
        <f t="shared" si="11"/>
        <v>163</v>
      </c>
    </row>
    <row r="20" spans="2:32" ht="23.1" customHeight="1" x14ac:dyDescent="0.25">
      <c r="B20" s="45" t="s">
        <v>47</v>
      </c>
      <c r="C20" s="50">
        <v>6</v>
      </c>
      <c r="D20" s="50">
        <v>2</v>
      </c>
      <c r="E20" s="50">
        <v>0</v>
      </c>
      <c r="F20" s="50">
        <v>3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</v>
      </c>
      <c r="N20" s="50">
        <v>0</v>
      </c>
      <c r="O20" s="15">
        <f t="shared" si="0"/>
        <v>11</v>
      </c>
      <c r="P20" s="15">
        <f t="shared" si="1"/>
        <v>17</v>
      </c>
      <c r="R20" s="1" t="s">
        <v>16</v>
      </c>
      <c r="S20" s="17">
        <f t="shared" ref="S20:AF20" si="12">SUM(C50:C53)</f>
        <v>46</v>
      </c>
      <c r="T20" s="17">
        <f t="shared" si="12"/>
        <v>16</v>
      </c>
      <c r="U20" s="17">
        <f t="shared" si="12"/>
        <v>9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52</v>
      </c>
      <c r="AD20" s="17">
        <f t="shared" si="12"/>
        <v>0</v>
      </c>
      <c r="AE20" s="31">
        <f t="shared" si="12"/>
        <v>81</v>
      </c>
      <c r="AF20" s="31">
        <f t="shared" si="12"/>
        <v>133</v>
      </c>
    </row>
    <row r="21" spans="2:32" ht="23.1" customHeight="1" x14ac:dyDescent="0.25">
      <c r="B21" s="45" t="s">
        <v>48</v>
      </c>
      <c r="C21" s="50">
        <v>11</v>
      </c>
      <c r="D21" s="50">
        <v>0</v>
      </c>
      <c r="E21" s="50">
        <v>0</v>
      </c>
      <c r="F21" s="50">
        <v>1</v>
      </c>
      <c r="G21" s="50">
        <v>0</v>
      </c>
      <c r="H21" s="50">
        <v>1</v>
      </c>
      <c r="I21" s="50">
        <v>0</v>
      </c>
      <c r="J21" s="50">
        <v>1</v>
      </c>
      <c r="K21" s="50">
        <v>2</v>
      </c>
      <c r="L21" s="50">
        <v>0</v>
      </c>
      <c r="M21" s="50">
        <v>13</v>
      </c>
      <c r="N21" s="50">
        <v>0</v>
      </c>
      <c r="O21" s="15">
        <f t="shared" si="0"/>
        <v>16</v>
      </c>
      <c r="P21" s="15">
        <f t="shared" si="1"/>
        <v>29</v>
      </c>
      <c r="R21" s="36" t="s">
        <v>20</v>
      </c>
      <c r="S21" s="34">
        <f t="shared" ref="S21:AF21" si="13">SUM(C54:C57)</f>
        <v>37</v>
      </c>
      <c r="T21" s="17">
        <f t="shared" si="13"/>
        <v>2</v>
      </c>
      <c r="U21" s="17">
        <f t="shared" si="13"/>
        <v>1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60</v>
      </c>
      <c r="AD21" s="17">
        <f t="shared" si="13"/>
        <v>0</v>
      </c>
      <c r="AE21" s="31">
        <f t="shared" si="13"/>
        <v>57</v>
      </c>
      <c r="AF21" s="31">
        <f t="shared" si="13"/>
        <v>117</v>
      </c>
    </row>
    <row r="22" spans="2:32" ht="23.1" customHeight="1" x14ac:dyDescent="0.25">
      <c r="B22" s="45" t="s">
        <v>49</v>
      </c>
      <c r="C22" s="50">
        <v>6</v>
      </c>
      <c r="D22" s="50">
        <v>1</v>
      </c>
      <c r="E22" s="50">
        <v>2</v>
      </c>
      <c r="F22" s="50">
        <v>2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13</v>
      </c>
      <c r="P22" s="15">
        <f t="shared" si="1"/>
        <v>20</v>
      </c>
      <c r="R22" s="36" t="s">
        <v>146</v>
      </c>
      <c r="S22" s="34">
        <f>SUM(C58:C61)</f>
        <v>22</v>
      </c>
      <c r="T22" s="34">
        <f t="shared" ref="T22:AF22" si="14">SUM(D58:D61)</f>
        <v>6</v>
      </c>
      <c r="U22" s="34">
        <f t="shared" si="14"/>
        <v>2</v>
      </c>
      <c r="V22" s="34">
        <f t="shared" si="14"/>
        <v>6</v>
      </c>
      <c r="W22" s="34">
        <f t="shared" si="14"/>
        <v>0</v>
      </c>
      <c r="X22" s="34">
        <f t="shared" si="14"/>
        <v>2</v>
      </c>
      <c r="Y22" s="34">
        <f t="shared" si="14"/>
        <v>3</v>
      </c>
      <c r="Z22" s="34">
        <f t="shared" si="14"/>
        <v>5</v>
      </c>
      <c r="AA22" s="34">
        <f t="shared" si="14"/>
        <v>1</v>
      </c>
      <c r="AB22" s="34">
        <f t="shared" si="14"/>
        <v>0</v>
      </c>
      <c r="AC22" s="34">
        <f t="shared" si="14"/>
        <v>42</v>
      </c>
      <c r="AD22" s="34">
        <f t="shared" si="14"/>
        <v>0</v>
      </c>
      <c r="AE22" s="31">
        <f t="shared" si="14"/>
        <v>47</v>
      </c>
      <c r="AF22" s="31">
        <f t="shared" si="14"/>
        <v>89</v>
      </c>
    </row>
    <row r="23" spans="2:32" ht="23.1" customHeight="1" x14ac:dyDescent="0.25">
      <c r="B23" s="45" t="s">
        <v>50</v>
      </c>
      <c r="C23" s="50">
        <v>10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14</v>
      </c>
      <c r="P23" s="15">
        <f t="shared" si="1"/>
        <v>18</v>
      </c>
      <c r="R23" s="36" t="s">
        <v>147</v>
      </c>
      <c r="S23" s="34">
        <f>SUM(C62:C65)</f>
        <v>29</v>
      </c>
      <c r="T23" s="34">
        <f t="shared" ref="T23:AF23" si="15">SUM(D62:D65)</f>
        <v>3</v>
      </c>
      <c r="U23" s="34">
        <f t="shared" si="15"/>
        <v>2</v>
      </c>
      <c r="V23" s="34">
        <f t="shared" si="15"/>
        <v>9</v>
      </c>
      <c r="W23" s="34">
        <f t="shared" si="15"/>
        <v>1</v>
      </c>
      <c r="X23" s="34">
        <f t="shared" si="15"/>
        <v>0</v>
      </c>
      <c r="Y23" s="34">
        <f t="shared" si="15"/>
        <v>6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32</v>
      </c>
      <c r="AD23" s="34">
        <f t="shared" si="15"/>
        <v>0</v>
      </c>
      <c r="AE23" s="31">
        <f t="shared" si="15"/>
        <v>53</v>
      </c>
      <c r="AF23" s="31">
        <f t="shared" si="15"/>
        <v>85</v>
      </c>
    </row>
    <row r="24" spans="2:32" ht="23.1" customHeight="1" x14ac:dyDescent="0.25">
      <c r="B24" s="45" t="s">
        <v>51</v>
      </c>
      <c r="C24" s="50">
        <v>12</v>
      </c>
      <c r="D24" s="50">
        <v>1</v>
      </c>
      <c r="E24" s="50">
        <v>0</v>
      </c>
      <c r="F24" s="50">
        <v>1</v>
      </c>
      <c r="G24" s="50">
        <v>1</v>
      </c>
      <c r="H24" s="50">
        <v>1</v>
      </c>
      <c r="I24" s="50">
        <v>0</v>
      </c>
      <c r="J24" s="50">
        <v>0</v>
      </c>
      <c r="K24" s="50">
        <v>1</v>
      </c>
      <c r="L24" s="50">
        <v>0</v>
      </c>
      <c r="M24" s="50">
        <v>9</v>
      </c>
      <c r="N24" s="50">
        <v>0</v>
      </c>
      <c r="O24" s="15">
        <f t="shared" si="0"/>
        <v>17</v>
      </c>
      <c r="P24" s="15">
        <f t="shared" si="1"/>
        <v>26</v>
      </c>
      <c r="R24" s="36" t="s">
        <v>148</v>
      </c>
      <c r="S24" s="34">
        <f>SUM(C66:C69)</f>
        <v>23</v>
      </c>
      <c r="T24" s="34">
        <f t="shared" ref="T24:AF24" si="16">SUM(D66:D69)</f>
        <v>4</v>
      </c>
      <c r="U24" s="34">
        <f t="shared" si="16"/>
        <v>1</v>
      </c>
      <c r="V24" s="34">
        <f t="shared" si="16"/>
        <v>3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0</v>
      </c>
      <c r="AA24" s="34">
        <f t="shared" si="16"/>
        <v>2</v>
      </c>
      <c r="AB24" s="34">
        <f t="shared" si="16"/>
        <v>1</v>
      </c>
      <c r="AC24" s="34">
        <f t="shared" si="16"/>
        <v>22</v>
      </c>
      <c r="AD24" s="34">
        <f t="shared" si="16"/>
        <v>0</v>
      </c>
      <c r="AE24" s="31">
        <f t="shared" si="16"/>
        <v>35</v>
      </c>
      <c r="AF24" s="31">
        <f t="shared" si="16"/>
        <v>57</v>
      </c>
    </row>
    <row r="25" spans="2:32" ht="23.1" customHeight="1" x14ac:dyDescent="0.25">
      <c r="B25" s="45" t="s">
        <v>52</v>
      </c>
      <c r="C25" s="50">
        <v>14</v>
      </c>
      <c r="D25" s="50">
        <v>0</v>
      </c>
      <c r="E25" s="50">
        <v>0</v>
      </c>
      <c r="F25" s="50">
        <v>3</v>
      </c>
      <c r="G25" s="50">
        <v>1</v>
      </c>
      <c r="H25" s="50">
        <v>0</v>
      </c>
      <c r="I25" s="50">
        <v>0</v>
      </c>
      <c r="J25" s="50">
        <v>1</v>
      </c>
      <c r="K25" s="50">
        <v>1</v>
      </c>
      <c r="L25" s="50">
        <v>0</v>
      </c>
      <c r="M25" s="50">
        <v>8</v>
      </c>
      <c r="N25" s="50">
        <v>0</v>
      </c>
      <c r="O25" s="15">
        <f t="shared" si="0"/>
        <v>20</v>
      </c>
      <c r="P25" s="15">
        <f t="shared" si="1"/>
        <v>28</v>
      </c>
      <c r="R25" s="36" t="s">
        <v>149</v>
      </c>
      <c r="S25" s="34">
        <f>SUM(C70:C73)</f>
        <v>13</v>
      </c>
      <c r="T25" s="34">
        <f t="shared" ref="T25:AF25" si="17">SUM(D70:D73)</f>
        <v>4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19</v>
      </c>
      <c r="AF25" s="31">
        <f t="shared" si="17"/>
        <v>26</v>
      </c>
    </row>
    <row r="26" spans="2:32" ht="23.1" customHeight="1" x14ac:dyDescent="0.25">
      <c r="B26" s="45" t="s">
        <v>53</v>
      </c>
      <c r="C26" s="50">
        <v>6</v>
      </c>
      <c r="D26" s="50">
        <v>2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9</v>
      </c>
      <c r="P26" s="15">
        <f t="shared" si="1"/>
        <v>20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</v>
      </c>
      <c r="AD26" s="34">
        <f t="shared" si="18"/>
        <v>0</v>
      </c>
      <c r="AE26" s="31">
        <f t="shared" si="18"/>
        <v>9</v>
      </c>
      <c r="AF26" s="31">
        <f t="shared" si="18"/>
        <v>14</v>
      </c>
    </row>
    <row r="27" spans="2:32" ht="23.1" customHeight="1" x14ac:dyDescent="0.25">
      <c r="B27" s="45" t="s">
        <v>54</v>
      </c>
      <c r="C27" s="50">
        <v>7</v>
      </c>
      <c r="D27" s="50">
        <v>3</v>
      </c>
      <c r="E27" s="50">
        <v>0</v>
      </c>
      <c r="F27" s="50">
        <v>4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16</v>
      </c>
      <c r="P27" s="15">
        <f t="shared" si="1"/>
        <v>26</v>
      </c>
      <c r="R27" s="36" t="s">
        <v>151</v>
      </c>
      <c r="S27" s="34">
        <f>SUM(C78:C81)</f>
        <v>4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2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9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9</v>
      </c>
      <c r="D28" s="50">
        <v>2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0"/>
        <v>17</v>
      </c>
      <c r="P28" s="15">
        <f t="shared" si="1"/>
        <v>28</v>
      </c>
      <c r="R28" s="36" t="s">
        <v>152</v>
      </c>
      <c r="S28" s="34">
        <f>SUM(C82:C85)</f>
        <v>6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5</v>
      </c>
      <c r="AB28" s="34">
        <f t="shared" si="20"/>
        <v>1</v>
      </c>
      <c r="AC28" s="34">
        <f t="shared" si="20"/>
        <v>1</v>
      </c>
      <c r="AD28" s="34">
        <f t="shared" si="20"/>
        <v>0</v>
      </c>
      <c r="AE28" s="31">
        <f t="shared" si="20"/>
        <v>18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6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8</v>
      </c>
      <c r="P29" s="15">
        <f t="shared" si="1"/>
        <v>19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5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13</v>
      </c>
      <c r="D30" s="50">
        <v>1</v>
      </c>
      <c r="E30" s="50">
        <v>5</v>
      </c>
      <c r="F30" s="50">
        <v>0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22</v>
      </c>
      <c r="P30" s="15">
        <f t="shared" si="1"/>
        <v>33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4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3</v>
      </c>
      <c r="AA30" s="34">
        <f t="shared" si="22"/>
        <v>0</v>
      </c>
      <c r="AB30" s="34">
        <f t="shared" si="22"/>
        <v>1</v>
      </c>
      <c r="AC30" s="34">
        <f t="shared" si="22"/>
        <v>1</v>
      </c>
      <c r="AD30" s="34">
        <f t="shared" si="22"/>
        <v>0</v>
      </c>
      <c r="AE30" s="31">
        <f t="shared" si="22"/>
        <v>19</v>
      </c>
      <c r="AF30" s="31">
        <f t="shared" si="22"/>
        <v>20</v>
      </c>
    </row>
    <row r="31" spans="2:32" ht="23.1" customHeight="1" x14ac:dyDescent="0.25">
      <c r="B31" s="46" t="s">
        <v>58</v>
      </c>
      <c r="C31" s="50">
        <v>7</v>
      </c>
      <c r="D31" s="50">
        <v>0</v>
      </c>
      <c r="E31" s="50">
        <v>0</v>
      </c>
      <c r="F31" s="50">
        <v>3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7</v>
      </c>
      <c r="N31" s="50">
        <v>0</v>
      </c>
      <c r="O31" s="15">
        <f t="shared" si="0"/>
        <v>12</v>
      </c>
      <c r="P31" s="15">
        <f t="shared" si="1"/>
        <v>19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2</v>
      </c>
      <c r="AA31" s="34">
        <f t="shared" si="23"/>
        <v>1</v>
      </c>
      <c r="AB31" s="34">
        <f t="shared" si="23"/>
        <v>0</v>
      </c>
      <c r="AC31" s="34">
        <f t="shared" si="23"/>
        <v>4</v>
      </c>
      <c r="AD31" s="34">
        <f t="shared" si="23"/>
        <v>0</v>
      </c>
      <c r="AE31" s="31">
        <f t="shared" si="23"/>
        <v>9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6</v>
      </c>
      <c r="D32" s="50">
        <v>0</v>
      </c>
      <c r="E32" s="50">
        <v>3</v>
      </c>
      <c r="F32" s="50">
        <v>1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12</v>
      </c>
      <c r="P32" s="15">
        <f t="shared" si="1"/>
        <v>29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2</v>
      </c>
      <c r="AA32" s="34">
        <f t="shared" si="24"/>
        <v>2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7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12</v>
      </c>
      <c r="D33" s="50">
        <v>2</v>
      </c>
      <c r="E33" s="50">
        <v>1</v>
      </c>
      <c r="F33" s="50">
        <v>2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19</v>
      </c>
      <c r="P33" s="15">
        <f t="shared" si="1"/>
        <v>25</v>
      </c>
      <c r="R33" s="33" t="s">
        <v>157</v>
      </c>
      <c r="S33" s="34">
        <f>SUM(C102:C105)</f>
        <v>11</v>
      </c>
      <c r="T33" s="34">
        <f t="shared" ref="T33:AF33" si="25">SUM(D102:D105)</f>
        <v>2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5</v>
      </c>
      <c r="AD33" s="34">
        <f t="shared" si="25"/>
        <v>0</v>
      </c>
      <c r="AE33" s="31">
        <f t="shared" si="25"/>
        <v>17</v>
      </c>
      <c r="AF33" s="31">
        <f t="shared" si="25"/>
        <v>22</v>
      </c>
    </row>
    <row r="34" spans="2:32" ht="23.1" customHeight="1" x14ac:dyDescent="0.25">
      <c r="B34" s="46" t="s">
        <v>61</v>
      </c>
      <c r="C34" s="50">
        <v>9</v>
      </c>
      <c r="D34" s="50">
        <v>1</v>
      </c>
      <c r="E34" s="50">
        <v>2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0</v>
      </c>
      <c r="M34" s="50">
        <v>9</v>
      </c>
      <c r="N34" s="50">
        <v>0</v>
      </c>
      <c r="O34" s="15">
        <f t="shared" si="0"/>
        <v>17</v>
      </c>
      <c r="P34" s="15">
        <f t="shared" si="1"/>
        <v>26</v>
      </c>
      <c r="R34" s="38" t="s">
        <v>90</v>
      </c>
      <c r="S34" s="39">
        <f t="shared" ref="S34:AF34" si="26">MAX(S10:S12)</f>
        <v>40</v>
      </c>
      <c r="T34" s="39">
        <f t="shared" si="26"/>
        <v>19</v>
      </c>
      <c r="U34" s="39">
        <f t="shared" si="26"/>
        <v>4</v>
      </c>
      <c r="V34" s="39">
        <f t="shared" si="26"/>
        <v>7</v>
      </c>
      <c r="W34" s="39">
        <f t="shared" si="26"/>
        <v>0</v>
      </c>
      <c r="X34" s="39">
        <f t="shared" si="26"/>
        <v>1</v>
      </c>
      <c r="Y34" s="39">
        <f t="shared" si="26"/>
        <v>1</v>
      </c>
      <c r="Z34" s="39">
        <f t="shared" si="26"/>
        <v>2</v>
      </c>
      <c r="AA34" s="39">
        <f t="shared" si="26"/>
        <v>2</v>
      </c>
      <c r="AB34" s="39">
        <f t="shared" si="26"/>
        <v>0</v>
      </c>
      <c r="AC34" s="39">
        <f t="shared" si="26"/>
        <v>40</v>
      </c>
      <c r="AD34" s="39">
        <f t="shared" si="26"/>
        <v>0</v>
      </c>
      <c r="AE34" s="40">
        <f t="shared" si="26"/>
        <v>74</v>
      </c>
      <c r="AF34" s="40">
        <f t="shared" si="26"/>
        <v>88</v>
      </c>
    </row>
    <row r="35" spans="2:32" ht="23.1" customHeight="1" x14ac:dyDescent="0.25">
      <c r="B35" s="46" t="s">
        <v>62</v>
      </c>
      <c r="C35" s="50">
        <v>9</v>
      </c>
      <c r="D35" s="50">
        <v>0</v>
      </c>
      <c r="E35" s="50">
        <v>0</v>
      </c>
      <c r="F35" s="50">
        <v>3</v>
      </c>
      <c r="G35" s="50">
        <v>0</v>
      </c>
      <c r="H35" s="50">
        <v>1</v>
      </c>
      <c r="I35" s="50">
        <v>1</v>
      </c>
      <c r="J35" s="50">
        <v>0</v>
      </c>
      <c r="K35" s="50">
        <v>1</v>
      </c>
      <c r="L35" s="50">
        <v>0</v>
      </c>
      <c r="M35" s="50">
        <v>16</v>
      </c>
      <c r="N35" s="50">
        <v>0</v>
      </c>
      <c r="O35" s="15">
        <f t="shared" si="0"/>
        <v>15</v>
      </c>
      <c r="P35" s="15">
        <f t="shared" si="1"/>
        <v>31</v>
      </c>
      <c r="R35" s="38" t="s">
        <v>91</v>
      </c>
      <c r="S35" s="39">
        <f t="shared" ref="S35:AF35" si="27">MAX(S13:S18)</f>
        <v>52</v>
      </c>
      <c r="T35" s="39">
        <f t="shared" si="27"/>
        <v>7</v>
      </c>
      <c r="U35" s="39">
        <f t="shared" si="27"/>
        <v>9</v>
      </c>
      <c r="V35" s="39">
        <f t="shared" si="27"/>
        <v>12</v>
      </c>
      <c r="W35" s="39">
        <f t="shared" si="27"/>
        <v>2</v>
      </c>
      <c r="X35" s="39">
        <f t="shared" si="27"/>
        <v>1</v>
      </c>
      <c r="Y35" s="39">
        <f t="shared" si="27"/>
        <v>6</v>
      </c>
      <c r="Z35" s="39">
        <f t="shared" si="27"/>
        <v>5</v>
      </c>
      <c r="AA35" s="39">
        <f t="shared" si="27"/>
        <v>3</v>
      </c>
      <c r="AB35" s="39">
        <f t="shared" si="27"/>
        <v>0</v>
      </c>
      <c r="AC35" s="39">
        <f t="shared" si="27"/>
        <v>54</v>
      </c>
      <c r="AD35" s="39">
        <f t="shared" si="27"/>
        <v>0</v>
      </c>
      <c r="AE35" s="40">
        <f t="shared" si="27"/>
        <v>82</v>
      </c>
      <c r="AF35" s="40">
        <f t="shared" si="27"/>
        <v>136</v>
      </c>
    </row>
    <row r="36" spans="2:32" ht="23.1" customHeight="1" x14ac:dyDescent="0.25">
      <c r="B36" s="46" t="s">
        <v>63</v>
      </c>
      <c r="C36" s="50">
        <v>9</v>
      </c>
      <c r="D36" s="50">
        <v>0</v>
      </c>
      <c r="E36" s="50">
        <v>2</v>
      </c>
      <c r="F36" s="50">
        <v>3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17</v>
      </c>
      <c r="P36" s="15">
        <f t="shared" si="1"/>
        <v>31</v>
      </c>
      <c r="R36" s="38" t="s">
        <v>92</v>
      </c>
      <c r="S36" s="39">
        <f t="shared" ref="S36:AF36" si="28">MAX(S19:S21)</f>
        <v>56</v>
      </c>
      <c r="T36" s="39">
        <f t="shared" si="28"/>
        <v>16</v>
      </c>
      <c r="U36" s="39">
        <f t="shared" si="28"/>
        <v>12</v>
      </c>
      <c r="V36" s="39">
        <f t="shared" si="28"/>
        <v>16</v>
      </c>
      <c r="W36" s="39">
        <f t="shared" si="28"/>
        <v>0</v>
      </c>
      <c r="X36" s="39">
        <f t="shared" si="28"/>
        <v>1</v>
      </c>
      <c r="Y36" s="39">
        <f t="shared" si="28"/>
        <v>3</v>
      </c>
      <c r="Z36" s="39">
        <f t="shared" si="28"/>
        <v>4</v>
      </c>
      <c r="AA36" s="39">
        <f t="shared" si="28"/>
        <v>0</v>
      </c>
      <c r="AB36" s="39">
        <f t="shared" si="28"/>
        <v>0</v>
      </c>
      <c r="AC36" s="39">
        <f t="shared" si="28"/>
        <v>62</v>
      </c>
      <c r="AD36" s="39">
        <f t="shared" si="28"/>
        <v>0</v>
      </c>
      <c r="AE36" s="40">
        <f t="shared" si="28"/>
        <v>101</v>
      </c>
      <c r="AF36" s="40">
        <f t="shared" si="28"/>
        <v>163</v>
      </c>
    </row>
    <row r="37" spans="2:32" ht="23.1" customHeight="1" x14ac:dyDescent="0.25">
      <c r="B37" s="45" t="s">
        <v>64</v>
      </c>
      <c r="C37" s="50">
        <v>14</v>
      </c>
      <c r="D37" s="50">
        <v>0</v>
      </c>
      <c r="E37" s="50">
        <v>2</v>
      </c>
      <c r="F37" s="50">
        <v>3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11</v>
      </c>
      <c r="N37" s="50">
        <v>0</v>
      </c>
      <c r="O37" s="15">
        <f t="shared" si="0"/>
        <v>21</v>
      </c>
      <c r="P37" s="15">
        <f t="shared" si="1"/>
        <v>32</v>
      </c>
      <c r="R37" s="37" t="s">
        <v>85</v>
      </c>
      <c r="S37" s="35">
        <f t="shared" ref="S37:AF37" si="29">SUM(S10:S12)</f>
        <v>71</v>
      </c>
      <c r="T37" s="16">
        <f t="shared" si="29"/>
        <v>23</v>
      </c>
      <c r="U37" s="16">
        <f t="shared" si="29"/>
        <v>7</v>
      </c>
      <c r="V37" s="16">
        <f t="shared" si="29"/>
        <v>20</v>
      </c>
      <c r="W37" s="16">
        <f t="shared" si="29"/>
        <v>0</v>
      </c>
      <c r="X37" s="16">
        <f t="shared" si="29"/>
        <v>2</v>
      </c>
      <c r="Y37" s="16">
        <f t="shared" si="29"/>
        <v>3</v>
      </c>
      <c r="Z37" s="16">
        <f t="shared" si="29"/>
        <v>4</v>
      </c>
      <c r="AA37" s="16">
        <f t="shared" si="29"/>
        <v>4</v>
      </c>
      <c r="AB37" s="16">
        <f t="shared" si="29"/>
        <v>0</v>
      </c>
      <c r="AC37" s="16">
        <f t="shared" si="29"/>
        <v>74</v>
      </c>
      <c r="AD37" s="16">
        <f t="shared" si="29"/>
        <v>0</v>
      </c>
      <c r="AE37" s="32">
        <f t="shared" si="29"/>
        <v>134</v>
      </c>
      <c r="AF37" s="32">
        <f t="shared" si="29"/>
        <v>208</v>
      </c>
    </row>
    <row r="38" spans="2:32" ht="23.1" customHeight="1" x14ac:dyDescent="0.25">
      <c r="B38" s="46" t="s">
        <v>65</v>
      </c>
      <c r="C38" s="50">
        <v>9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14</v>
      </c>
      <c r="N38" s="50">
        <v>0</v>
      </c>
      <c r="O38" s="15">
        <f t="shared" si="0"/>
        <v>10</v>
      </c>
      <c r="P38" s="15">
        <f t="shared" si="1"/>
        <v>24</v>
      </c>
      <c r="R38" s="28" t="s">
        <v>86</v>
      </c>
      <c r="S38" s="16">
        <f t="shared" ref="S38:AF38" si="30">SUM(S13:S18)</f>
        <v>239</v>
      </c>
      <c r="T38" s="16">
        <f t="shared" si="30"/>
        <v>24</v>
      </c>
      <c r="U38" s="16">
        <f t="shared" si="30"/>
        <v>30</v>
      </c>
      <c r="V38" s="16">
        <f t="shared" si="30"/>
        <v>53</v>
      </c>
      <c r="W38" s="16">
        <f t="shared" si="30"/>
        <v>2</v>
      </c>
      <c r="X38" s="16">
        <f t="shared" si="30"/>
        <v>2</v>
      </c>
      <c r="Y38" s="16">
        <f t="shared" si="30"/>
        <v>21</v>
      </c>
      <c r="Z38" s="16">
        <f t="shared" si="30"/>
        <v>15</v>
      </c>
      <c r="AA38" s="16">
        <f t="shared" si="30"/>
        <v>5</v>
      </c>
      <c r="AB38" s="16">
        <f t="shared" si="30"/>
        <v>0</v>
      </c>
      <c r="AC38" s="16">
        <f t="shared" si="30"/>
        <v>260</v>
      </c>
      <c r="AD38" s="16">
        <f t="shared" si="30"/>
        <v>0</v>
      </c>
      <c r="AE38" s="32">
        <f t="shared" si="30"/>
        <v>391</v>
      </c>
      <c r="AF38" s="32">
        <f t="shared" si="30"/>
        <v>651</v>
      </c>
    </row>
    <row r="39" spans="2:32" ht="23.1" customHeight="1" x14ac:dyDescent="0.25">
      <c r="B39" s="46" t="s">
        <v>66</v>
      </c>
      <c r="C39" s="50">
        <v>8</v>
      </c>
      <c r="D39" s="50">
        <v>3</v>
      </c>
      <c r="E39" s="50">
        <v>1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16</v>
      </c>
      <c r="P39" s="15">
        <f t="shared" si="1"/>
        <v>30</v>
      </c>
      <c r="R39" s="29" t="s">
        <v>87</v>
      </c>
      <c r="S39" s="16">
        <f t="shared" ref="S39:AF39" si="31">SUM(S19:S21)</f>
        <v>139</v>
      </c>
      <c r="T39" s="16">
        <f t="shared" si="31"/>
        <v>27</v>
      </c>
      <c r="U39" s="16">
        <f t="shared" si="31"/>
        <v>22</v>
      </c>
      <c r="V39" s="16">
        <f t="shared" si="31"/>
        <v>37</v>
      </c>
      <c r="W39" s="16">
        <f t="shared" si="31"/>
        <v>0</v>
      </c>
      <c r="X39" s="16">
        <f t="shared" si="31"/>
        <v>1</v>
      </c>
      <c r="Y39" s="16">
        <f t="shared" si="31"/>
        <v>4</v>
      </c>
      <c r="Z39" s="16">
        <f t="shared" si="31"/>
        <v>9</v>
      </c>
      <c r="AA39" s="16">
        <f t="shared" si="31"/>
        <v>0</v>
      </c>
      <c r="AB39" s="16">
        <f t="shared" si="31"/>
        <v>0</v>
      </c>
      <c r="AC39" s="16">
        <f t="shared" si="31"/>
        <v>174</v>
      </c>
      <c r="AD39" s="16">
        <f t="shared" si="31"/>
        <v>0</v>
      </c>
      <c r="AE39" s="32">
        <f t="shared" si="31"/>
        <v>239</v>
      </c>
      <c r="AF39" s="32">
        <f t="shared" si="31"/>
        <v>413</v>
      </c>
    </row>
    <row r="40" spans="2:32" ht="23.1" customHeight="1" x14ac:dyDescent="0.25">
      <c r="B40" s="46" t="s">
        <v>67</v>
      </c>
      <c r="C40" s="50">
        <v>16</v>
      </c>
      <c r="D40" s="50">
        <v>1</v>
      </c>
      <c r="E40" s="50">
        <v>2</v>
      </c>
      <c r="F40" s="50">
        <v>3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23</v>
      </c>
      <c r="P40" s="15">
        <f t="shared" si="1"/>
        <v>27</v>
      </c>
      <c r="R40" s="5" t="s">
        <v>17</v>
      </c>
      <c r="S40" s="16">
        <f t="shared" ref="S40:AF40" si="32">SUM(S10:S21)</f>
        <v>449</v>
      </c>
      <c r="T40" s="16">
        <f t="shared" si="32"/>
        <v>74</v>
      </c>
      <c r="U40" s="16">
        <f t="shared" si="32"/>
        <v>59</v>
      </c>
      <c r="V40" s="16">
        <f t="shared" si="32"/>
        <v>110</v>
      </c>
      <c r="W40" s="16">
        <f t="shared" si="32"/>
        <v>2</v>
      </c>
      <c r="X40" s="16">
        <f t="shared" si="32"/>
        <v>5</v>
      </c>
      <c r="Y40" s="16">
        <f t="shared" si="32"/>
        <v>28</v>
      </c>
      <c r="Z40" s="16">
        <f t="shared" si="32"/>
        <v>28</v>
      </c>
      <c r="AA40" s="16">
        <f t="shared" si="32"/>
        <v>9</v>
      </c>
      <c r="AB40" s="16">
        <f t="shared" si="32"/>
        <v>0</v>
      </c>
      <c r="AC40" s="16">
        <f t="shared" si="32"/>
        <v>508</v>
      </c>
      <c r="AD40" s="16">
        <f t="shared" si="32"/>
        <v>0</v>
      </c>
      <c r="AE40" s="32">
        <f t="shared" si="32"/>
        <v>764</v>
      </c>
      <c r="AF40" s="32">
        <f t="shared" si="32"/>
        <v>1272</v>
      </c>
    </row>
    <row r="41" spans="2:32" ht="23.1" customHeight="1" x14ac:dyDescent="0.25">
      <c r="B41" s="45" t="s">
        <v>68</v>
      </c>
      <c r="C41" s="50">
        <v>5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11</v>
      </c>
      <c r="P41" s="15">
        <f t="shared" si="1"/>
        <v>23</v>
      </c>
      <c r="R41" s="5" t="s">
        <v>159</v>
      </c>
      <c r="S41" s="16">
        <f>SUM(S10:S33)</f>
        <v>573</v>
      </c>
      <c r="T41" s="16">
        <f t="shared" ref="T41:AF41" si="33">SUM(T10:T33)</f>
        <v>95</v>
      </c>
      <c r="U41" s="16">
        <f t="shared" si="33"/>
        <v>76</v>
      </c>
      <c r="V41" s="16">
        <f t="shared" si="33"/>
        <v>139</v>
      </c>
      <c r="W41" s="16">
        <f t="shared" si="33"/>
        <v>3</v>
      </c>
      <c r="X41" s="16">
        <f t="shared" si="33"/>
        <v>8</v>
      </c>
      <c r="Y41" s="16">
        <f t="shared" si="33"/>
        <v>44</v>
      </c>
      <c r="Z41" s="16">
        <f t="shared" si="33"/>
        <v>45</v>
      </c>
      <c r="AA41" s="16">
        <f t="shared" si="33"/>
        <v>25</v>
      </c>
      <c r="AB41" s="16">
        <f t="shared" si="33"/>
        <v>3</v>
      </c>
      <c r="AC41" s="16">
        <f t="shared" si="33"/>
        <v>632</v>
      </c>
      <c r="AD41" s="16">
        <f t="shared" si="33"/>
        <v>0</v>
      </c>
      <c r="AE41" s="32">
        <f t="shared" si="33"/>
        <v>1011</v>
      </c>
      <c r="AF41" s="32">
        <f t="shared" si="33"/>
        <v>1643</v>
      </c>
    </row>
    <row r="42" spans="2:32" ht="23.1" customHeight="1" x14ac:dyDescent="0.25">
      <c r="B42" s="46" t="s">
        <v>69</v>
      </c>
      <c r="C42" s="50">
        <v>18</v>
      </c>
      <c r="D42" s="50">
        <v>2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22</v>
      </c>
      <c r="P42" s="15">
        <f t="shared" si="1"/>
        <v>35</v>
      </c>
      <c r="R42" s="5" t="s">
        <v>160</v>
      </c>
      <c r="S42" s="48">
        <f>S41/S40</f>
        <v>1.2761692650334076</v>
      </c>
      <c r="T42" s="48">
        <f t="shared" ref="T42:AF42" si="34">T41/T40</f>
        <v>1.2837837837837838</v>
      </c>
      <c r="U42" s="48">
        <f t="shared" si="34"/>
        <v>1.2881355932203389</v>
      </c>
      <c r="V42" s="48">
        <f t="shared" si="34"/>
        <v>1.2636363636363637</v>
      </c>
      <c r="W42" s="48">
        <f t="shared" si="34"/>
        <v>1.5</v>
      </c>
      <c r="X42" s="48">
        <f t="shared" si="34"/>
        <v>1.6</v>
      </c>
      <c r="Y42" s="48">
        <f t="shared" si="34"/>
        <v>1.5714285714285714</v>
      </c>
      <c r="Z42" s="48">
        <f t="shared" si="34"/>
        <v>1.6071428571428572</v>
      </c>
      <c r="AA42" s="48">
        <f t="shared" si="34"/>
        <v>2.7777777777777777</v>
      </c>
      <c r="AB42" s="48" t="e">
        <f t="shared" si="34"/>
        <v>#DIV/0!</v>
      </c>
      <c r="AC42" s="48">
        <f t="shared" si="34"/>
        <v>1.2440944881889764</v>
      </c>
      <c r="AD42" s="48" t="e">
        <f t="shared" si="34"/>
        <v>#DIV/0!</v>
      </c>
      <c r="AE42" s="48">
        <f t="shared" si="34"/>
        <v>1.3232984293193717</v>
      </c>
      <c r="AF42" s="48">
        <f t="shared" si="34"/>
        <v>1.2916666666666667</v>
      </c>
    </row>
    <row r="43" spans="2:32" ht="23.1" customHeight="1" x14ac:dyDescent="0.25">
      <c r="B43" s="45" t="s">
        <v>70</v>
      </c>
      <c r="C43" s="50">
        <v>15</v>
      </c>
      <c r="D43" s="50">
        <v>1</v>
      </c>
      <c r="E43" s="50">
        <v>1</v>
      </c>
      <c r="F43" s="50">
        <v>4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21</v>
      </c>
      <c r="P43" s="15">
        <f t="shared" si="1"/>
        <v>37</v>
      </c>
    </row>
    <row r="44" spans="2:32" ht="23.1" customHeight="1" x14ac:dyDescent="0.25">
      <c r="B44" s="47" t="s">
        <v>71</v>
      </c>
      <c r="C44" s="50">
        <v>12</v>
      </c>
      <c r="D44" s="50">
        <v>2</v>
      </c>
      <c r="E44" s="50">
        <v>4</v>
      </c>
      <c r="F44" s="50">
        <v>4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24</v>
      </c>
      <c r="P44" s="15">
        <f t="shared" si="1"/>
        <v>33</v>
      </c>
    </row>
    <row r="45" spans="2:32" ht="23.1" customHeight="1" x14ac:dyDescent="0.25">
      <c r="B45" s="45" t="s">
        <v>72</v>
      </c>
      <c r="C45" s="50">
        <v>7</v>
      </c>
      <c r="D45" s="50">
        <v>1</v>
      </c>
      <c r="E45" s="50">
        <v>0</v>
      </c>
      <c r="F45" s="50">
        <v>2</v>
      </c>
      <c r="G45" s="50">
        <v>0</v>
      </c>
      <c r="H45" s="50">
        <v>0</v>
      </c>
      <c r="I45" s="50">
        <v>3</v>
      </c>
      <c r="J45" s="50">
        <v>2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15</v>
      </c>
      <c r="P45" s="15">
        <f t="shared" si="1"/>
        <v>31</v>
      </c>
    </row>
    <row r="46" spans="2:32" ht="23.1" customHeight="1" x14ac:dyDescent="0.25">
      <c r="B46" s="46" t="s">
        <v>73</v>
      </c>
      <c r="C46" s="50">
        <v>15</v>
      </c>
      <c r="D46" s="50">
        <v>5</v>
      </c>
      <c r="E46" s="50">
        <v>6</v>
      </c>
      <c r="F46" s="50">
        <v>7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35</v>
      </c>
      <c r="P46" s="15">
        <f t="shared" si="1"/>
        <v>51</v>
      </c>
      <c r="R46" s="8"/>
      <c r="T46"/>
    </row>
    <row r="47" spans="2:32" ht="23.1" customHeight="1" x14ac:dyDescent="0.25">
      <c r="B47" s="46" t="s">
        <v>74</v>
      </c>
      <c r="C47" s="50">
        <v>7</v>
      </c>
      <c r="D47" s="50">
        <v>0</v>
      </c>
      <c r="E47" s="50">
        <v>1</v>
      </c>
      <c r="F47" s="50">
        <v>3</v>
      </c>
      <c r="G47" s="50">
        <v>0</v>
      </c>
      <c r="H47" s="50">
        <v>1</v>
      </c>
      <c r="I47" s="50">
        <v>0</v>
      </c>
      <c r="J47" s="50">
        <v>2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14</v>
      </c>
      <c r="P47" s="15">
        <f t="shared" si="1"/>
        <v>29</v>
      </c>
      <c r="R47" s="8"/>
      <c r="T47"/>
    </row>
    <row r="48" spans="2:32" ht="23.1" customHeight="1" x14ac:dyDescent="0.25">
      <c r="B48" s="46" t="s">
        <v>75</v>
      </c>
      <c r="C48" s="50">
        <v>15</v>
      </c>
      <c r="D48" s="50">
        <v>3</v>
      </c>
      <c r="E48" s="50">
        <v>4</v>
      </c>
      <c r="F48" s="50">
        <v>5</v>
      </c>
      <c r="G48" s="50">
        <v>0</v>
      </c>
      <c r="H48" s="50">
        <v>0</v>
      </c>
      <c r="I48" s="50">
        <v>1</v>
      </c>
      <c r="J48" s="50">
        <v>2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30</v>
      </c>
      <c r="P48" s="15">
        <f t="shared" si="1"/>
        <v>45</v>
      </c>
      <c r="R48" s="8"/>
      <c r="T48"/>
    </row>
    <row r="49" spans="2:20" ht="23.1" customHeight="1" x14ac:dyDescent="0.25">
      <c r="B49" s="45" t="s">
        <v>76</v>
      </c>
      <c r="C49" s="50">
        <v>19</v>
      </c>
      <c r="D49" s="50">
        <v>1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16</v>
      </c>
      <c r="N49" s="50">
        <v>0</v>
      </c>
      <c r="O49" s="15">
        <f t="shared" si="0"/>
        <v>22</v>
      </c>
      <c r="P49" s="15">
        <f t="shared" si="1"/>
        <v>38</v>
      </c>
      <c r="R49" s="8"/>
      <c r="T49"/>
    </row>
    <row r="50" spans="2:20" ht="23.1" customHeight="1" x14ac:dyDescent="0.25">
      <c r="B50" s="46" t="s">
        <v>77</v>
      </c>
      <c r="C50" s="50">
        <v>6</v>
      </c>
      <c r="D50" s="50">
        <v>2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5</v>
      </c>
      <c r="N50" s="50">
        <v>0</v>
      </c>
      <c r="O50" s="15">
        <f t="shared" si="0"/>
        <v>9</v>
      </c>
      <c r="P50" s="15">
        <f t="shared" si="1"/>
        <v>14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7</v>
      </c>
      <c r="E51" s="50">
        <v>5</v>
      </c>
      <c r="F51" s="50">
        <v>5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35</v>
      </c>
      <c r="P51" s="15">
        <f t="shared" si="1"/>
        <v>55</v>
      </c>
      <c r="R51" s="8"/>
      <c r="T51"/>
    </row>
    <row r="52" spans="2:20" ht="23.1" customHeight="1" x14ac:dyDescent="0.25">
      <c r="B52" s="46" t="s">
        <v>79</v>
      </c>
      <c r="C52" s="50">
        <v>13</v>
      </c>
      <c r="D52" s="50">
        <v>2</v>
      </c>
      <c r="E52" s="50">
        <v>3</v>
      </c>
      <c r="F52" s="50">
        <v>0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20</v>
      </c>
      <c r="P52" s="15">
        <f t="shared" si="1"/>
        <v>33</v>
      </c>
      <c r="R52" s="8"/>
      <c r="T52"/>
    </row>
    <row r="53" spans="2:20" ht="23.1" customHeight="1" x14ac:dyDescent="0.25">
      <c r="B53" s="45" t="s">
        <v>80</v>
      </c>
      <c r="C53" s="50">
        <v>9</v>
      </c>
      <c r="D53" s="50">
        <v>5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17</v>
      </c>
      <c r="P53" s="15">
        <f t="shared" si="1"/>
        <v>31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11</v>
      </c>
      <c r="N54" s="50">
        <v>0</v>
      </c>
      <c r="O54" s="15">
        <f t="shared" si="0"/>
        <v>7</v>
      </c>
      <c r="P54" s="15">
        <f t="shared" si="1"/>
        <v>18</v>
      </c>
      <c r="R54" s="8"/>
      <c r="T54"/>
    </row>
    <row r="55" spans="2:20" ht="23.1" customHeight="1" x14ac:dyDescent="0.25">
      <c r="B55" s="45" t="s">
        <v>82</v>
      </c>
      <c r="C55" s="50">
        <v>8</v>
      </c>
      <c r="D55" s="50">
        <v>1</v>
      </c>
      <c r="E55" s="50">
        <v>1</v>
      </c>
      <c r="F55" s="50">
        <v>6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14</v>
      </c>
      <c r="N55" s="50">
        <v>0</v>
      </c>
      <c r="O55" s="15">
        <f t="shared" si="0"/>
        <v>17</v>
      </c>
      <c r="P55" s="15">
        <f t="shared" si="1"/>
        <v>31</v>
      </c>
      <c r="R55" s="8"/>
      <c r="T55"/>
    </row>
    <row r="56" spans="2:20" ht="23.1" customHeight="1" x14ac:dyDescent="0.25">
      <c r="B56" s="45" t="s">
        <v>83</v>
      </c>
      <c r="C56" s="50">
        <v>8</v>
      </c>
      <c r="D56" s="50">
        <v>1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10</v>
      </c>
      <c r="P56" s="15">
        <f t="shared" si="1"/>
        <v>28</v>
      </c>
      <c r="R56" s="8"/>
      <c r="T56"/>
    </row>
    <row r="57" spans="2:20" ht="23.1" customHeight="1" x14ac:dyDescent="0.25">
      <c r="B57" s="45" t="s">
        <v>84</v>
      </c>
      <c r="C57" s="50">
        <v>15</v>
      </c>
      <c r="D57" s="50">
        <v>0</v>
      </c>
      <c r="E57" s="50">
        <v>0</v>
      </c>
      <c r="F57" s="50">
        <v>6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0</v>
      </c>
      <c r="M57" s="50">
        <v>17</v>
      </c>
      <c r="N57" s="50">
        <v>0</v>
      </c>
      <c r="O57" s="15">
        <f t="shared" si="0"/>
        <v>23</v>
      </c>
      <c r="P57" s="15">
        <f t="shared" si="1"/>
        <v>40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2</v>
      </c>
      <c r="E58" s="50">
        <v>1</v>
      </c>
      <c r="F58" s="50">
        <v>1</v>
      </c>
      <c r="G58" s="50">
        <v>0</v>
      </c>
      <c r="H58" s="50">
        <v>1</v>
      </c>
      <c r="I58" s="50">
        <v>0</v>
      </c>
      <c r="J58" s="50">
        <v>1</v>
      </c>
      <c r="K58" s="50">
        <v>0</v>
      </c>
      <c r="L58" s="50">
        <v>0</v>
      </c>
      <c r="M58" s="50">
        <v>5</v>
      </c>
      <c r="N58" s="50">
        <v>0</v>
      </c>
      <c r="O58" s="15">
        <f t="shared" si="0"/>
        <v>10</v>
      </c>
      <c r="P58" s="15">
        <f t="shared" si="1"/>
        <v>15</v>
      </c>
      <c r="R58" s="8"/>
      <c r="T58"/>
    </row>
    <row r="59" spans="2:20" ht="23.1" customHeight="1" x14ac:dyDescent="0.25">
      <c r="B59" s="45" t="s">
        <v>100</v>
      </c>
      <c r="C59" s="50">
        <v>10</v>
      </c>
      <c r="D59" s="50">
        <v>1</v>
      </c>
      <c r="E59" s="50">
        <v>1</v>
      </c>
      <c r="F59" s="50">
        <v>1</v>
      </c>
      <c r="G59" s="50">
        <v>0</v>
      </c>
      <c r="H59" s="50">
        <v>1</v>
      </c>
      <c r="I59" s="50">
        <v>1</v>
      </c>
      <c r="J59" s="50">
        <v>1</v>
      </c>
      <c r="K59" s="50">
        <v>0</v>
      </c>
      <c r="L59" s="50">
        <v>0</v>
      </c>
      <c r="M59" s="50">
        <v>15</v>
      </c>
      <c r="N59" s="50">
        <v>0</v>
      </c>
      <c r="O59" s="15">
        <f t="shared" si="0"/>
        <v>16</v>
      </c>
      <c r="P59" s="15">
        <f t="shared" si="1"/>
        <v>31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2</v>
      </c>
      <c r="E60" s="50">
        <v>0</v>
      </c>
      <c r="F60" s="50">
        <v>4</v>
      </c>
      <c r="G60" s="50">
        <v>0</v>
      </c>
      <c r="H60" s="50">
        <v>0</v>
      </c>
      <c r="I60" s="50">
        <v>2</v>
      </c>
      <c r="J60" s="50">
        <v>2</v>
      </c>
      <c r="K60" s="50">
        <v>1</v>
      </c>
      <c r="L60" s="50">
        <v>0</v>
      </c>
      <c r="M60" s="50">
        <v>11</v>
      </c>
      <c r="N60" s="50">
        <v>0</v>
      </c>
      <c r="O60" s="15">
        <f t="shared" si="0"/>
        <v>16</v>
      </c>
      <c r="P60" s="15">
        <f t="shared" si="1"/>
        <v>27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11</v>
      </c>
      <c r="N61" s="50">
        <v>0</v>
      </c>
      <c r="O61" s="15">
        <f t="shared" si="0"/>
        <v>5</v>
      </c>
      <c r="P61" s="15">
        <f t="shared" si="1"/>
        <v>16</v>
      </c>
      <c r="R61" s="8"/>
      <c r="T61"/>
    </row>
    <row r="62" spans="2:20" ht="23.1" customHeight="1" x14ac:dyDescent="0.25">
      <c r="B62" s="45" t="s">
        <v>107</v>
      </c>
      <c r="C62" s="50">
        <v>7</v>
      </c>
      <c r="D62" s="50">
        <v>0</v>
      </c>
      <c r="E62" s="50">
        <v>0</v>
      </c>
      <c r="F62" s="50">
        <v>1</v>
      </c>
      <c r="G62" s="50">
        <v>0</v>
      </c>
      <c r="H62" s="50">
        <v>0</v>
      </c>
      <c r="I62" s="50">
        <v>1</v>
      </c>
      <c r="J62" s="50">
        <v>0</v>
      </c>
      <c r="K62" s="50">
        <v>1</v>
      </c>
      <c r="L62" s="50">
        <v>0</v>
      </c>
      <c r="M62" s="50">
        <v>11</v>
      </c>
      <c r="N62" s="50">
        <v>0</v>
      </c>
      <c r="O62" s="15">
        <f t="shared" si="0"/>
        <v>10</v>
      </c>
      <c r="P62" s="15">
        <f t="shared" si="1"/>
        <v>21</v>
      </c>
      <c r="R62" s="8"/>
      <c r="T62"/>
    </row>
    <row r="63" spans="2:20" ht="23.1" customHeight="1" x14ac:dyDescent="0.25">
      <c r="B63" s="45" t="s">
        <v>108</v>
      </c>
      <c r="C63" s="50">
        <v>7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3</v>
      </c>
      <c r="J63" s="50">
        <v>1</v>
      </c>
      <c r="K63" s="50">
        <v>0</v>
      </c>
      <c r="L63" s="50">
        <v>0</v>
      </c>
      <c r="M63" s="50">
        <v>5</v>
      </c>
      <c r="N63" s="50">
        <v>0</v>
      </c>
      <c r="O63" s="15">
        <f t="shared" si="0"/>
        <v>12</v>
      </c>
      <c r="P63" s="15">
        <f t="shared" si="1"/>
        <v>17</v>
      </c>
      <c r="R63" s="8"/>
      <c r="T63"/>
    </row>
    <row r="64" spans="2:20" ht="23.1" customHeight="1" x14ac:dyDescent="0.25">
      <c r="B64" s="45" t="s">
        <v>109</v>
      </c>
      <c r="C64" s="50">
        <v>7</v>
      </c>
      <c r="D64" s="50">
        <v>0</v>
      </c>
      <c r="E64" s="50">
        <v>2</v>
      </c>
      <c r="F64" s="50">
        <v>5</v>
      </c>
      <c r="G64" s="50">
        <v>1</v>
      </c>
      <c r="H64" s="50">
        <v>0</v>
      </c>
      <c r="I64" s="50">
        <v>1</v>
      </c>
      <c r="J64" s="50">
        <v>1</v>
      </c>
      <c r="K64" s="50">
        <v>0</v>
      </c>
      <c r="L64" s="50">
        <v>0</v>
      </c>
      <c r="M64" s="50">
        <v>6</v>
      </c>
      <c r="N64" s="50">
        <v>0</v>
      </c>
      <c r="O64" s="15">
        <f t="shared" si="0"/>
        <v>17</v>
      </c>
      <c r="P64" s="15">
        <f t="shared" si="1"/>
        <v>23</v>
      </c>
      <c r="R64" s="8"/>
      <c r="T64"/>
    </row>
    <row r="65" spans="2:20" ht="23.1" customHeight="1" x14ac:dyDescent="0.25">
      <c r="B65" s="45" t="s">
        <v>158</v>
      </c>
      <c r="C65" s="50">
        <v>8</v>
      </c>
      <c r="D65" s="50">
        <v>2</v>
      </c>
      <c r="E65" s="50">
        <v>0</v>
      </c>
      <c r="F65" s="50">
        <v>3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10</v>
      </c>
      <c r="N65" s="50">
        <v>0</v>
      </c>
      <c r="O65" s="15">
        <f t="shared" si="0"/>
        <v>14</v>
      </c>
      <c r="P65" s="15">
        <f t="shared" si="1"/>
        <v>24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7</v>
      </c>
      <c r="N66" s="50">
        <v>0</v>
      </c>
      <c r="O66" s="15">
        <f t="shared" si="0"/>
        <v>6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10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1</v>
      </c>
      <c r="M67" s="50">
        <v>10</v>
      </c>
      <c r="N67" s="50">
        <v>0</v>
      </c>
      <c r="O67" s="15">
        <f t="shared" si="0"/>
        <v>12</v>
      </c>
      <c r="P67" s="15">
        <f t="shared" si="1"/>
        <v>22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1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3</v>
      </c>
      <c r="N68" s="50">
        <v>0</v>
      </c>
      <c r="O68" s="15">
        <f t="shared" si="0"/>
        <v>8</v>
      </c>
      <c r="P68" s="15">
        <f t="shared" si="1"/>
        <v>11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3</v>
      </c>
      <c r="E69" s="50">
        <v>0</v>
      </c>
      <c r="F69" s="50">
        <v>1</v>
      </c>
      <c r="G69" s="50">
        <v>0</v>
      </c>
      <c r="H69" s="50">
        <v>1</v>
      </c>
      <c r="I69" s="50">
        <v>0</v>
      </c>
      <c r="J69" s="50">
        <v>0</v>
      </c>
      <c r="K69" s="50">
        <v>1</v>
      </c>
      <c r="L69" s="50">
        <v>0</v>
      </c>
      <c r="M69" s="50">
        <v>2</v>
      </c>
      <c r="N69" s="50">
        <v>0</v>
      </c>
      <c r="O69" s="15">
        <f t="shared" si="0"/>
        <v>9</v>
      </c>
      <c r="P69" s="15">
        <f t="shared" si="1"/>
        <v>11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1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0"/>
        <v>4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4</v>
      </c>
      <c r="D71" s="50">
        <v>2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6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</v>
      </c>
      <c r="N72" s="50">
        <v>0</v>
      </c>
      <c r="O72" s="15">
        <f t="shared" si="0"/>
        <v>3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1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2</v>
      </c>
      <c r="N73" s="50">
        <v>0</v>
      </c>
      <c r="O73" s="15">
        <f t="shared" si="0"/>
        <v>6</v>
      </c>
      <c r="P73" s="15">
        <f t="shared" si="1"/>
        <v>8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1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5</v>
      </c>
      <c r="P75" s="15">
        <f t="shared" si="36"/>
        <v>9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2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0</v>
      </c>
      <c r="N79" s="50">
        <v>0</v>
      </c>
      <c r="O79" s="15">
        <f t="shared" si="35"/>
        <v>3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1</v>
      </c>
      <c r="E81" s="50">
        <v>0</v>
      </c>
      <c r="F81" s="50">
        <v>1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5</v>
      </c>
      <c r="P81" s="15">
        <f t="shared" si="36"/>
        <v>6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2</v>
      </c>
      <c r="L82" s="50">
        <v>0</v>
      </c>
      <c r="M82" s="50">
        <v>1</v>
      </c>
      <c r="N82" s="50">
        <v>0</v>
      </c>
      <c r="O82" s="15">
        <f t="shared" si="35"/>
        <v>6</v>
      </c>
      <c r="P82" s="15">
        <f t="shared" si="36"/>
        <v>7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1</v>
      </c>
      <c r="J83" s="50">
        <v>0</v>
      </c>
      <c r="K83" s="50">
        <v>1</v>
      </c>
      <c r="L83" s="50">
        <v>1</v>
      </c>
      <c r="M83" s="50">
        <v>0</v>
      </c>
      <c r="N83" s="50"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2</v>
      </c>
      <c r="L85" s="50">
        <v>0</v>
      </c>
      <c r="M85" s="50">
        <v>0</v>
      </c>
      <c r="N85" s="50"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1</v>
      </c>
      <c r="G87" s="50">
        <v>0</v>
      </c>
      <c r="H87" s="50">
        <v>0</v>
      </c>
      <c r="I87" s="50">
        <v>0</v>
      </c>
      <c r="J87" s="50">
        <v>2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2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1</v>
      </c>
      <c r="F91" s="50">
        <v>2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0</v>
      </c>
      <c r="N91" s="50">
        <v>0</v>
      </c>
      <c r="O91" s="15">
        <f t="shared" si="35"/>
        <v>7</v>
      </c>
      <c r="P91" s="15">
        <f t="shared" si="36"/>
        <v>7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2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1</v>
      </c>
      <c r="F93" s="50">
        <v>2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6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5"/>
        <v>1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2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5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2</v>
      </c>
      <c r="J97" s="50">
        <v>1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3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2</v>
      </c>
      <c r="L100" s="50">
        <v>0</v>
      </c>
      <c r="M100" s="50">
        <v>0</v>
      </c>
      <c r="N100" s="50">
        <v>0</v>
      </c>
      <c r="O100" s="15">
        <f t="shared" si="35"/>
        <v>4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0</v>
      </c>
      <c r="N102" s="50">
        <v>0</v>
      </c>
      <c r="O102" s="15">
        <f t="shared" si="35"/>
        <v>4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5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8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</v>
      </c>
      <c r="N104" s="50">
        <v>0</v>
      </c>
      <c r="O104" s="15">
        <f t="shared" si="35"/>
        <v>1</v>
      </c>
      <c r="P104" s="15">
        <f t="shared" si="36"/>
        <v>2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1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4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573</v>
      </c>
      <c r="D106" s="16">
        <f t="shared" ref="D106:P106" si="37">SUM(D10:D105)</f>
        <v>95</v>
      </c>
      <c r="E106" s="16">
        <f t="shared" si="37"/>
        <v>76</v>
      </c>
      <c r="F106" s="16">
        <f t="shared" si="37"/>
        <v>139</v>
      </c>
      <c r="G106" s="16">
        <f t="shared" si="37"/>
        <v>3</v>
      </c>
      <c r="H106" s="16">
        <f t="shared" si="37"/>
        <v>8</v>
      </c>
      <c r="I106" s="16">
        <f t="shared" si="37"/>
        <v>44</v>
      </c>
      <c r="J106" s="16">
        <f t="shared" si="37"/>
        <v>45</v>
      </c>
      <c r="K106" s="16">
        <f t="shared" si="37"/>
        <v>25</v>
      </c>
      <c r="L106" s="16">
        <f t="shared" si="37"/>
        <v>3</v>
      </c>
      <c r="M106" s="16">
        <f t="shared" si="37"/>
        <v>632</v>
      </c>
      <c r="N106" s="16">
        <f t="shared" si="37"/>
        <v>0</v>
      </c>
      <c r="O106" s="16">
        <f t="shared" si="37"/>
        <v>1011</v>
      </c>
      <c r="P106" s="16">
        <f t="shared" si="37"/>
        <v>1643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0.34875228241022521</v>
      </c>
      <c r="D107" s="43">
        <f t="shared" si="38"/>
        <v>5.7821059038344488E-2</v>
      </c>
      <c r="E107" s="43">
        <f t="shared" si="38"/>
        <v>4.6256847230675593E-2</v>
      </c>
      <c r="F107" s="43">
        <f t="shared" si="38"/>
        <v>8.4601339013998786E-2</v>
      </c>
      <c r="G107" s="43">
        <f t="shared" si="38"/>
        <v>1.8259281801582471E-3</v>
      </c>
      <c r="H107" s="43">
        <f t="shared" si="38"/>
        <v>4.8691418137553257E-3</v>
      </c>
      <c r="I107" s="43">
        <f t="shared" si="38"/>
        <v>2.6780279975654291E-2</v>
      </c>
      <c r="J107" s="43">
        <f t="shared" si="38"/>
        <v>2.7388922702373707E-2</v>
      </c>
      <c r="K107" s="43">
        <f t="shared" si="38"/>
        <v>1.5216068167985392E-2</v>
      </c>
      <c r="L107" s="43">
        <f t="shared" si="38"/>
        <v>1.8259281801582471E-3</v>
      </c>
      <c r="M107" s="43">
        <f t="shared" si="38"/>
        <v>0.38466220328667072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0.56676557863501487</v>
      </c>
      <c r="D108" s="44">
        <f t="shared" ref="D108:N108" si="39">D106/$O$106</f>
        <v>9.3966369930761628E-2</v>
      </c>
      <c r="E108" s="44">
        <f t="shared" si="39"/>
        <v>7.5173095944609303E-2</v>
      </c>
      <c r="F108" s="44">
        <f t="shared" si="39"/>
        <v>0.13748763600395647</v>
      </c>
      <c r="G108" s="44">
        <f t="shared" si="39"/>
        <v>2.967359050445104E-3</v>
      </c>
      <c r="H108" s="44">
        <f t="shared" si="39"/>
        <v>7.91295746785361E-3</v>
      </c>
      <c r="I108" s="44">
        <f t="shared" si="39"/>
        <v>4.3521266073194856E-2</v>
      </c>
      <c r="J108" s="44">
        <f t="shared" si="39"/>
        <v>4.4510385756676561E-2</v>
      </c>
      <c r="K108" s="44">
        <f t="shared" si="39"/>
        <v>2.4727992087042534E-2</v>
      </c>
      <c r="L108" s="44">
        <f t="shared" si="39"/>
        <v>2.967359050445104E-3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4.75" customHeight="1" x14ac:dyDescent="0.25">
      <c r="C5" s="4" t="s">
        <v>3</v>
      </c>
      <c r="D5" s="36" t="s">
        <v>170</v>
      </c>
      <c r="E5" s="3"/>
      <c r="F5" s="41" t="s">
        <v>1</v>
      </c>
      <c r="G5" s="54" t="str">
        <f>'25.10 Ibanada-Mbarara'!G5:H5</f>
        <v>RUHUMBA</v>
      </c>
      <c r="H5" s="55"/>
      <c r="I5" s="14"/>
      <c r="J5" s="2" t="s">
        <v>5</v>
      </c>
      <c r="K5" s="54" t="str">
        <f>'25.10 Ibanada-Mbarara'!K5:L5</f>
        <v>ATUKOL JOSHUA</v>
      </c>
      <c r="L5" s="55"/>
      <c r="M5" s="10"/>
      <c r="N5" s="10"/>
      <c r="O5" s="3"/>
      <c r="P5" s="3"/>
    </row>
    <row r="6" spans="2:32" ht="30.75" customHeight="1" x14ac:dyDescent="0.25">
      <c r="C6" s="2" t="s">
        <v>4</v>
      </c>
      <c r="D6" s="54" t="str">
        <f>'25.10 Ibanada-Mbarara'!D6:E6</f>
        <v>IBANDA</v>
      </c>
      <c r="E6" s="55"/>
      <c r="F6" s="2" t="s">
        <v>2</v>
      </c>
      <c r="G6" s="54" t="str">
        <f>'25.10 Ibanada-Mbarara'!G6:H6</f>
        <v>MBARARA</v>
      </c>
      <c r="H6" s="55"/>
      <c r="J6" s="2" t="s">
        <v>21</v>
      </c>
      <c r="K6" s="54" t="str">
        <f>'25.10 Ibanada-Mbarara'!K6:L6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15</v>
      </c>
      <c r="T10" s="17">
        <f t="shared" si="2"/>
        <v>2</v>
      </c>
      <c r="U10" s="17">
        <f t="shared" si="2"/>
        <v>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24</v>
      </c>
      <c r="AD10" s="17">
        <f t="shared" si="2"/>
        <v>0</v>
      </c>
      <c r="AE10" s="31">
        <f t="shared" si="2"/>
        <v>22</v>
      </c>
      <c r="AF10" s="31">
        <f t="shared" si="2"/>
        <v>46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6</v>
      </c>
      <c r="P11" s="15">
        <f t="shared" si="1"/>
        <v>12</v>
      </c>
      <c r="R11" s="1" t="s">
        <v>7</v>
      </c>
      <c r="S11" s="17">
        <f t="shared" ref="S11:AF11" si="3">SUM(C14:C17)</f>
        <v>17</v>
      </c>
      <c r="T11" s="17">
        <f t="shared" si="3"/>
        <v>2</v>
      </c>
      <c r="U11" s="17">
        <f t="shared" si="3"/>
        <v>5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34</v>
      </c>
      <c r="AD11" s="17">
        <f t="shared" si="3"/>
        <v>0</v>
      </c>
      <c r="AE11" s="31">
        <f t="shared" si="3"/>
        <v>31</v>
      </c>
      <c r="AF11" s="31">
        <f t="shared" si="3"/>
        <v>65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6</v>
      </c>
      <c r="P12" s="15">
        <f t="shared" si="1"/>
        <v>14</v>
      </c>
      <c r="R12" s="1" t="s">
        <v>8</v>
      </c>
      <c r="S12" s="17">
        <f t="shared" ref="S12:AF12" si="4">SUM(C18:C21)</f>
        <v>14</v>
      </c>
      <c r="T12" s="17">
        <f t="shared" si="4"/>
        <v>2</v>
      </c>
      <c r="U12" s="17">
        <f t="shared" si="4"/>
        <v>0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1">
        <f t="shared" si="4"/>
        <v>23</v>
      </c>
      <c r="AF12" s="31">
        <f t="shared" si="4"/>
        <v>67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5</v>
      </c>
      <c r="P13" s="15">
        <f t="shared" si="1"/>
        <v>11</v>
      </c>
      <c r="R13" s="1" t="s">
        <v>9</v>
      </c>
      <c r="S13" s="17">
        <f t="shared" ref="S13:AF13" si="5">SUM(C22:C25)</f>
        <v>32</v>
      </c>
      <c r="T13" s="17">
        <f t="shared" si="5"/>
        <v>3</v>
      </c>
      <c r="U13" s="17">
        <f t="shared" si="5"/>
        <v>2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44</v>
      </c>
      <c r="AD13" s="17">
        <f t="shared" si="5"/>
        <v>0</v>
      </c>
      <c r="AE13" s="31">
        <f t="shared" si="5"/>
        <v>47</v>
      </c>
      <c r="AF13" s="31">
        <f t="shared" si="5"/>
        <v>91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5</v>
      </c>
      <c r="P14" s="15">
        <f t="shared" si="1"/>
        <v>14</v>
      </c>
      <c r="R14" s="1" t="s">
        <v>10</v>
      </c>
      <c r="S14" s="17">
        <f t="shared" ref="S14:AF14" si="6">SUM(C26:C29)</f>
        <v>23</v>
      </c>
      <c r="T14" s="17">
        <f t="shared" si="6"/>
        <v>4</v>
      </c>
      <c r="U14" s="17">
        <f t="shared" si="6"/>
        <v>2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2</v>
      </c>
      <c r="AA14" s="17">
        <f t="shared" si="6"/>
        <v>1</v>
      </c>
      <c r="AB14" s="17">
        <f t="shared" si="6"/>
        <v>1</v>
      </c>
      <c r="AC14" s="17">
        <f t="shared" si="6"/>
        <v>58</v>
      </c>
      <c r="AD14" s="17">
        <f t="shared" si="6"/>
        <v>0</v>
      </c>
      <c r="AE14" s="31">
        <f t="shared" si="6"/>
        <v>42</v>
      </c>
      <c r="AF14" s="31">
        <f t="shared" si="6"/>
        <v>100</v>
      </c>
    </row>
    <row r="15" spans="2:32" ht="23.1" customHeight="1" x14ac:dyDescent="0.25">
      <c r="B15" s="23" t="s">
        <v>42</v>
      </c>
      <c r="C15" s="50">
        <v>5</v>
      </c>
      <c r="D15" s="50">
        <v>1</v>
      </c>
      <c r="E15" s="50">
        <v>1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9</v>
      </c>
      <c r="P15" s="15">
        <f t="shared" si="1"/>
        <v>20</v>
      </c>
      <c r="R15" s="1" t="s">
        <v>11</v>
      </c>
      <c r="S15" s="17">
        <f t="shared" ref="S15:AF15" si="7">SUM(C30:C33)</f>
        <v>28</v>
      </c>
      <c r="T15" s="17">
        <f t="shared" si="7"/>
        <v>2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50</v>
      </c>
      <c r="AD15" s="17">
        <f t="shared" si="7"/>
        <v>0</v>
      </c>
      <c r="AE15" s="31">
        <f t="shared" si="7"/>
        <v>42</v>
      </c>
      <c r="AF15" s="31">
        <f t="shared" si="7"/>
        <v>92</v>
      </c>
    </row>
    <row r="16" spans="2:32" ht="23.1" customHeight="1" x14ac:dyDescent="0.25">
      <c r="B16" s="23" t="s">
        <v>43</v>
      </c>
      <c r="C16" s="50">
        <v>7</v>
      </c>
      <c r="D16" s="50">
        <v>1</v>
      </c>
      <c r="E16" s="50">
        <v>0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10</v>
      </c>
      <c r="P16" s="15">
        <f t="shared" si="1"/>
        <v>18</v>
      </c>
      <c r="R16" s="1" t="s">
        <v>12</v>
      </c>
      <c r="S16" s="17">
        <f t="shared" ref="S16:AF16" si="8">SUM(C34:C37)</f>
        <v>23</v>
      </c>
      <c r="T16" s="17">
        <f t="shared" si="8"/>
        <v>2</v>
      </c>
      <c r="U16" s="17">
        <f t="shared" si="8"/>
        <v>1</v>
      </c>
      <c r="V16" s="17">
        <f t="shared" si="8"/>
        <v>4</v>
      </c>
      <c r="W16" s="17">
        <f t="shared" si="8"/>
        <v>1</v>
      </c>
      <c r="X16" s="17">
        <f t="shared" si="8"/>
        <v>0</v>
      </c>
      <c r="Y16" s="17">
        <f t="shared" si="8"/>
        <v>3</v>
      </c>
      <c r="Z16" s="17">
        <f t="shared" si="8"/>
        <v>5</v>
      </c>
      <c r="AA16" s="17">
        <f t="shared" si="8"/>
        <v>2</v>
      </c>
      <c r="AB16" s="17">
        <f t="shared" si="8"/>
        <v>0</v>
      </c>
      <c r="AC16" s="17">
        <f t="shared" si="8"/>
        <v>53</v>
      </c>
      <c r="AD16" s="17">
        <f t="shared" si="8"/>
        <v>0</v>
      </c>
      <c r="AE16" s="31">
        <f t="shared" si="8"/>
        <v>41</v>
      </c>
      <c r="AF16" s="31">
        <f t="shared" si="8"/>
        <v>94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7</v>
      </c>
      <c r="P17" s="15">
        <f t="shared" si="1"/>
        <v>13</v>
      </c>
      <c r="R17" s="1" t="s">
        <v>13</v>
      </c>
      <c r="S17" s="17">
        <f t="shared" ref="S17:AF17" si="9">SUM(C38:C41)</f>
        <v>24</v>
      </c>
      <c r="T17" s="17">
        <f t="shared" si="9"/>
        <v>2</v>
      </c>
      <c r="U17" s="17">
        <f t="shared" si="9"/>
        <v>1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56</v>
      </c>
      <c r="AD17" s="17">
        <f t="shared" si="9"/>
        <v>0</v>
      </c>
      <c r="AE17" s="31">
        <f t="shared" si="9"/>
        <v>39</v>
      </c>
      <c r="AF17" s="31">
        <f t="shared" si="9"/>
        <v>95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6</v>
      </c>
      <c r="P18" s="15">
        <f t="shared" si="1"/>
        <v>12</v>
      </c>
      <c r="R18" s="1" t="s">
        <v>14</v>
      </c>
      <c r="S18" s="17">
        <f t="shared" ref="S18:AF18" si="10">SUM(C42:C45)</f>
        <v>30</v>
      </c>
      <c r="T18" s="17">
        <f t="shared" si="10"/>
        <v>3</v>
      </c>
      <c r="U18" s="17">
        <f t="shared" si="10"/>
        <v>4</v>
      </c>
      <c r="V18" s="17">
        <f t="shared" si="10"/>
        <v>3</v>
      </c>
      <c r="W18" s="17">
        <f t="shared" si="10"/>
        <v>1</v>
      </c>
      <c r="X18" s="17">
        <f t="shared" si="10"/>
        <v>0</v>
      </c>
      <c r="Y18" s="17">
        <f t="shared" si="10"/>
        <v>4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61</v>
      </c>
      <c r="AD18" s="17">
        <f t="shared" si="10"/>
        <v>0</v>
      </c>
      <c r="AE18" s="31">
        <f t="shared" si="10"/>
        <v>49</v>
      </c>
      <c r="AF18" s="31">
        <f t="shared" si="10"/>
        <v>110</v>
      </c>
    </row>
    <row r="19" spans="2:32" ht="23.1" customHeight="1" x14ac:dyDescent="0.25">
      <c r="B19" s="23" t="s">
        <v>46</v>
      </c>
      <c r="C19" s="50">
        <v>4</v>
      </c>
      <c r="D19" s="50">
        <v>1</v>
      </c>
      <c r="E19" s="50">
        <v>0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7</v>
      </c>
      <c r="P19" s="15">
        <f t="shared" si="1"/>
        <v>18</v>
      </c>
      <c r="R19" s="1" t="s">
        <v>15</v>
      </c>
      <c r="S19" s="17">
        <f t="shared" ref="S19:AF19" si="11">SUM(C46:C49)</f>
        <v>23</v>
      </c>
      <c r="T19" s="17">
        <f t="shared" si="11"/>
        <v>6</v>
      </c>
      <c r="U19" s="17">
        <f t="shared" si="11"/>
        <v>1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4</v>
      </c>
      <c r="AA19" s="17">
        <f t="shared" si="11"/>
        <v>1</v>
      </c>
      <c r="AB19" s="17">
        <f t="shared" si="11"/>
        <v>2</v>
      </c>
      <c r="AC19" s="17">
        <f t="shared" si="11"/>
        <v>47</v>
      </c>
      <c r="AD19" s="17">
        <f t="shared" si="11"/>
        <v>0</v>
      </c>
      <c r="AE19" s="31">
        <f t="shared" si="11"/>
        <v>43</v>
      </c>
      <c r="AF19" s="31">
        <f t="shared" si="11"/>
        <v>90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3</v>
      </c>
      <c r="P20" s="15">
        <f t="shared" si="1"/>
        <v>15</v>
      </c>
      <c r="R20" s="1" t="s">
        <v>16</v>
      </c>
      <c r="S20" s="17">
        <f t="shared" ref="S20:AF20" si="12">SUM(C50:C53)</f>
        <v>36</v>
      </c>
      <c r="T20" s="17">
        <f t="shared" si="12"/>
        <v>2</v>
      </c>
      <c r="U20" s="17">
        <f t="shared" si="12"/>
        <v>4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58</v>
      </c>
      <c r="AD20" s="17">
        <f t="shared" si="12"/>
        <v>0</v>
      </c>
      <c r="AE20" s="31">
        <f t="shared" si="12"/>
        <v>52</v>
      </c>
      <c r="AF20" s="31">
        <f t="shared" si="12"/>
        <v>110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7</v>
      </c>
      <c r="P21" s="15">
        <f t="shared" si="1"/>
        <v>22</v>
      </c>
      <c r="R21" s="36" t="s">
        <v>20</v>
      </c>
      <c r="S21" s="34">
        <f t="shared" ref="S21:AF21" si="13">SUM(C54:C57)</f>
        <v>38</v>
      </c>
      <c r="T21" s="17">
        <f t="shared" si="13"/>
        <v>2</v>
      </c>
      <c r="U21" s="17">
        <f t="shared" si="13"/>
        <v>1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73</v>
      </c>
      <c r="AD21" s="17">
        <f t="shared" si="13"/>
        <v>0</v>
      </c>
      <c r="AE21" s="31">
        <f t="shared" si="13"/>
        <v>49</v>
      </c>
      <c r="AF21" s="31">
        <f t="shared" si="13"/>
        <v>122</v>
      </c>
    </row>
    <row r="22" spans="2:32" ht="23.1" customHeight="1" x14ac:dyDescent="0.25">
      <c r="B22" s="23" t="s">
        <v>49</v>
      </c>
      <c r="C22" s="50">
        <v>6</v>
      </c>
      <c r="D22" s="50">
        <v>1</v>
      </c>
      <c r="E22" s="50">
        <v>0</v>
      </c>
      <c r="F22" s="50">
        <v>2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10</v>
      </c>
      <c r="P22" s="15">
        <f t="shared" si="1"/>
        <v>25</v>
      </c>
      <c r="R22" s="38" t="s">
        <v>90</v>
      </c>
      <c r="S22" s="39">
        <f>MAX(S10:S12)</f>
        <v>17</v>
      </c>
      <c r="T22" s="39">
        <f t="shared" ref="T22:AF22" si="14">MAX(T10:T12)</f>
        <v>2</v>
      </c>
      <c r="U22" s="39">
        <f t="shared" si="14"/>
        <v>5</v>
      </c>
      <c r="V22" s="39">
        <f t="shared" si="14"/>
        <v>6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44</v>
      </c>
      <c r="AD22" s="39">
        <f t="shared" si="14"/>
        <v>0</v>
      </c>
      <c r="AE22" s="40">
        <f t="shared" si="14"/>
        <v>31</v>
      </c>
      <c r="AF22" s="40">
        <f t="shared" si="14"/>
        <v>67</v>
      </c>
    </row>
    <row r="23" spans="2:32" ht="23.1" customHeight="1" x14ac:dyDescent="0.25">
      <c r="B23" s="23" t="s">
        <v>50</v>
      </c>
      <c r="C23" s="50">
        <v>8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11</v>
      </c>
      <c r="P23" s="15">
        <f t="shared" si="1"/>
        <v>18</v>
      </c>
      <c r="R23" s="38" t="s">
        <v>91</v>
      </c>
      <c r="S23" s="39">
        <f>MAX(S13:S18)</f>
        <v>32</v>
      </c>
      <c r="T23" s="39">
        <f t="shared" ref="T23:AF23" si="15">MAX(T13:T18)</f>
        <v>4</v>
      </c>
      <c r="U23" s="39">
        <f t="shared" si="15"/>
        <v>5</v>
      </c>
      <c r="V23" s="39">
        <f t="shared" si="15"/>
        <v>8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5</v>
      </c>
      <c r="AA23" s="39">
        <f t="shared" si="15"/>
        <v>2</v>
      </c>
      <c r="AB23" s="39">
        <f t="shared" si="15"/>
        <v>1</v>
      </c>
      <c r="AC23" s="39">
        <f t="shared" si="15"/>
        <v>61</v>
      </c>
      <c r="AD23" s="39">
        <f t="shared" si="15"/>
        <v>0</v>
      </c>
      <c r="AE23" s="40">
        <f t="shared" si="15"/>
        <v>49</v>
      </c>
      <c r="AF23" s="40">
        <f t="shared" si="15"/>
        <v>110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1</v>
      </c>
      <c r="F24" s="50">
        <v>3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15</v>
      </c>
      <c r="P24" s="15">
        <f t="shared" si="1"/>
        <v>26</v>
      </c>
      <c r="R24" s="38" t="s">
        <v>92</v>
      </c>
      <c r="S24" s="39">
        <f>MAX(S19:S21)</f>
        <v>38</v>
      </c>
      <c r="T24" s="39">
        <f t="shared" ref="T24:AF24" si="16">MAX(T19:T21)</f>
        <v>6</v>
      </c>
      <c r="U24" s="39">
        <f t="shared" si="16"/>
        <v>4</v>
      </c>
      <c r="V24" s="39">
        <f t="shared" si="16"/>
        <v>6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4</v>
      </c>
      <c r="AA24" s="39">
        <f t="shared" si="16"/>
        <v>1</v>
      </c>
      <c r="AB24" s="39">
        <f t="shared" si="16"/>
        <v>2</v>
      </c>
      <c r="AC24" s="39">
        <f t="shared" si="16"/>
        <v>73</v>
      </c>
      <c r="AD24" s="39">
        <f t="shared" si="16"/>
        <v>0</v>
      </c>
      <c r="AE24" s="40">
        <f t="shared" si="16"/>
        <v>52</v>
      </c>
      <c r="AF24" s="40">
        <f t="shared" si="16"/>
        <v>122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11</v>
      </c>
      <c r="P25" s="15">
        <f t="shared" si="1"/>
        <v>22</v>
      </c>
      <c r="R25" s="37" t="s">
        <v>85</v>
      </c>
      <c r="S25" s="35">
        <f t="shared" ref="S25:AF25" si="17">SUM(S10:S12)</f>
        <v>46</v>
      </c>
      <c r="T25" s="16">
        <f t="shared" si="17"/>
        <v>6</v>
      </c>
      <c r="U25" s="16">
        <f t="shared" si="17"/>
        <v>6</v>
      </c>
      <c r="V25" s="16">
        <f t="shared" si="17"/>
        <v>14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102</v>
      </c>
      <c r="AD25" s="16">
        <f t="shared" si="17"/>
        <v>0</v>
      </c>
      <c r="AE25" s="32">
        <f t="shared" si="17"/>
        <v>76</v>
      </c>
      <c r="AF25" s="32">
        <f t="shared" si="17"/>
        <v>178</v>
      </c>
    </row>
    <row r="26" spans="2:32" ht="23.1" customHeight="1" x14ac:dyDescent="0.25">
      <c r="B26" s="23" t="s">
        <v>53</v>
      </c>
      <c r="C26" s="50">
        <v>7</v>
      </c>
      <c r="D26" s="50">
        <v>2</v>
      </c>
      <c r="E26" s="50">
        <v>2</v>
      </c>
      <c r="F26" s="50">
        <v>0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1</v>
      </c>
      <c r="M26" s="50">
        <v>18</v>
      </c>
      <c r="N26" s="50">
        <v>0</v>
      </c>
      <c r="O26" s="15">
        <f t="shared" si="0"/>
        <v>16</v>
      </c>
      <c r="P26" s="15">
        <f t="shared" si="1"/>
        <v>34</v>
      </c>
      <c r="R26" s="28" t="s">
        <v>86</v>
      </c>
      <c r="S26" s="16">
        <f t="shared" ref="S26:AF26" si="18">SUM(S13:S18)</f>
        <v>160</v>
      </c>
      <c r="T26" s="16">
        <f t="shared" si="18"/>
        <v>16</v>
      </c>
      <c r="U26" s="16">
        <f t="shared" si="18"/>
        <v>15</v>
      </c>
      <c r="V26" s="16">
        <f t="shared" si="18"/>
        <v>26</v>
      </c>
      <c r="W26" s="16">
        <f t="shared" si="18"/>
        <v>2</v>
      </c>
      <c r="X26" s="16">
        <f t="shared" si="18"/>
        <v>0</v>
      </c>
      <c r="Y26" s="16">
        <f t="shared" si="18"/>
        <v>18</v>
      </c>
      <c r="Z26" s="16">
        <f t="shared" si="18"/>
        <v>18</v>
      </c>
      <c r="AA26" s="16">
        <f t="shared" si="18"/>
        <v>4</v>
      </c>
      <c r="AB26" s="16">
        <f t="shared" si="18"/>
        <v>1</v>
      </c>
      <c r="AC26" s="16">
        <f t="shared" si="18"/>
        <v>322</v>
      </c>
      <c r="AD26" s="16">
        <f t="shared" si="18"/>
        <v>0</v>
      </c>
      <c r="AE26" s="32">
        <f t="shared" si="18"/>
        <v>260</v>
      </c>
      <c r="AF26" s="32">
        <f t="shared" si="18"/>
        <v>582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0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9</v>
      </c>
      <c r="P27" s="15">
        <f t="shared" si="1"/>
        <v>23</v>
      </c>
      <c r="R27" s="29" t="s">
        <v>87</v>
      </c>
      <c r="S27" s="16">
        <f t="shared" ref="S27:AF27" si="19">SUM(S19:S21)</f>
        <v>97</v>
      </c>
      <c r="T27" s="16">
        <f t="shared" si="19"/>
        <v>10</v>
      </c>
      <c r="U27" s="16">
        <f t="shared" si="19"/>
        <v>6</v>
      </c>
      <c r="V27" s="16">
        <f t="shared" si="19"/>
        <v>11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11</v>
      </c>
      <c r="AA27" s="16">
        <f t="shared" si="19"/>
        <v>1</v>
      </c>
      <c r="AB27" s="16">
        <f t="shared" si="19"/>
        <v>4</v>
      </c>
      <c r="AC27" s="16">
        <f t="shared" si="19"/>
        <v>178</v>
      </c>
      <c r="AD27" s="16">
        <f t="shared" si="19"/>
        <v>0</v>
      </c>
      <c r="AE27" s="32">
        <f t="shared" si="19"/>
        <v>144</v>
      </c>
      <c r="AF27" s="32">
        <f t="shared" si="19"/>
        <v>322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15</v>
      </c>
      <c r="N28" s="50">
        <v>0</v>
      </c>
      <c r="O28" s="15">
        <f t="shared" si="0"/>
        <v>9</v>
      </c>
      <c r="P28" s="15">
        <f t="shared" si="1"/>
        <v>24</v>
      </c>
      <c r="R28" s="5" t="s">
        <v>17</v>
      </c>
      <c r="S28" s="16">
        <f t="shared" ref="S28:AF28" si="20">SUM(S10:S21)</f>
        <v>303</v>
      </c>
      <c r="T28" s="16">
        <f t="shared" si="20"/>
        <v>32</v>
      </c>
      <c r="U28" s="16">
        <f t="shared" si="20"/>
        <v>27</v>
      </c>
      <c r="V28" s="16">
        <f t="shared" si="20"/>
        <v>51</v>
      </c>
      <c r="W28" s="16">
        <f t="shared" si="20"/>
        <v>2</v>
      </c>
      <c r="X28" s="16">
        <f t="shared" si="20"/>
        <v>0</v>
      </c>
      <c r="Y28" s="16">
        <f t="shared" si="20"/>
        <v>23</v>
      </c>
      <c r="Z28" s="16">
        <f t="shared" si="20"/>
        <v>32</v>
      </c>
      <c r="AA28" s="16">
        <f t="shared" si="20"/>
        <v>5</v>
      </c>
      <c r="AB28" s="16">
        <f t="shared" si="20"/>
        <v>5</v>
      </c>
      <c r="AC28" s="16">
        <f t="shared" si="20"/>
        <v>602</v>
      </c>
      <c r="AD28" s="16">
        <f t="shared" si="20"/>
        <v>0</v>
      </c>
      <c r="AE28" s="32">
        <f t="shared" si="20"/>
        <v>480</v>
      </c>
      <c r="AF28" s="32">
        <f t="shared" si="20"/>
        <v>1082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8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9</v>
      </c>
      <c r="P30" s="15">
        <f t="shared" si="1"/>
        <v>24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7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8</v>
      </c>
      <c r="D32" s="50">
        <v>1</v>
      </c>
      <c r="E32" s="50">
        <v>2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13</v>
      </c>
      <c r="P32" s="15">
        <f t="shared" si="1"/>
        <v>26</v>
      </c>
    </row>
    <row r="33" spans="2:20" ht="23.1" customHeight="1" x14ac:dyDescent="0.25">
      <c r="B33" s="23" t="s">
        <v>60</v>
      </c>
      <c r="C33" s="50">
        <v>9</v>
      </c>
      <c r="D33" s="50">
        <v>1</v>
      </c>
      <c r="E33" s="50">
        <v>2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13</v>
      </c>
      <c r="P33" s="15">
        <f t="shared" si="1"/>
        <v>22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0</v>
      </c>
      <c r="F34" s="50">
        <v>1</v>
      </c>
      <c r="G34" s="50">
        <v>1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8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0</v>
      </c>
      <c r="F35" s="50">
        <v>2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12</v>
      </c>
      <c r="P35" s="15">
        <f t="shared" si="1"/>
        <v>22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1</v>
      </c>
      <c r="L36" s="50">
        <v>0</v>
      </c>
      <c r="M36" s="50">
        <v>14</v>
      </c>
      <c r="N36" s="50">
        <v>0</v>
      </c>
      <c r="O36" s="15">
        <f t="shared" si="0"/>
        <v>8</v>
      </c>
      <c r="P36" s="15">
        <f t="shared" si="1"/>
        <v>22</v>
      </c>
    </row>
    <row r="37" spans="2:20" ht="23.1" customHeight="1" x14ac:dyDescent="0.25">
      <c r="B37" s="23" t="s">
        <v>64</v>
      </c>
      <c r="C37" s="50">
        <v>8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1</v>
      </c>
      <c r="K37" s="50">
        <v>1</v>
      </c>
      <c r="L37" s="50">
        <v>0</v>
      </c>
      <c r="M37" s="50">
        <v>15</v>
      </c>
      <c r="N37" s="50">
        <v>0</v>
      </c>
      <c r="O37" s="15">
        <f t="shared" si="0"/>
        <v>13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7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2</v>
      </c>
      <c r="J38" s="50">
        <v>2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14</v>
      </c>
      <c r="P38" s="15">
        <f t="shared" si="1"/>
        <v>25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0"/>
        <v>6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8</v>
      </c>
      <c r="P40" s="15">
        <f t="shared" si="1"/>
        <v>23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11</v>
      </c>
      <c r="P41" s="15">
        <f t="shared" si="1"/>
        <v>22</v>
      </c>
    </row>
    <row r="42" spans="2:20" ht="23.1" customHeight="1" x14ac:dyDescent="0.25">
      <c r="B42" s="24" t="s">
        <v>69</v>
      </c>
      <c r="C42" s="50">
        <v>12</v>
      </c>
      <c r="D42" s="50">
        <v>0</v>
      </c>
      <c r="E42" s="50">
        <v>2</v>
      </c>
      <c r="F42" s="50">
        <v>0</v>
      </c>
      <c r="G42" s="50">
        <v>1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16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5</v>
      </c>
      <c r="D43" s="50">
        <v>3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13</v>
      </c>
      <c r="N43" s="50">
        <v>0</v>
      </c>
      <c r="O43" s="15">
        <f t="shared" si="0"/>
        <v>11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8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15</v>
      </c>
      <c r="P44" s="15">
        <f t="shared" si="1"/>
        <v>35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7</v>
      </c>
      <c r="P45" s="15">
        <f t="shared" si="1"/>
        <v>27</v>
      </c>
    </row>
    <row r="46" spans="2:20" ht="23.1" customHeight="1" x14ac:dyDescent="0.25">
      <c r="B46" s="24" t="s">
        <v>73</v>
      </c>
      <c r="C46" s="50">
        <v>7</v>
      </c>
      <c r="D46" s="50">
        <v>1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1</v>
      </c>
      <c r="M46" s="50">
        <v>8</v>
      </c>
      <c r="N46" s="50">
        <v>0</v>
      </c>
      <c r="O46" s="15">
        <f t="shared" si="0"/>
        <v>13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2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10</v>
      </c>
      <c r="P47" s="15">
        <f t="shared" si="1"/>
        <v>26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9</v>
      </c>
      <c r="P48" s="15">
        <f t="shared" si="1"/>
        <v>17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2</v>
      </c>
      <c r="E49" s="50">
        <v>1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1</v>
      </c>
      <c r="M49" s="50">
        <v>15</v>
      </c>
      <c r="N49" s="50">
        <v>0</v>
      </c>
      <c r="O49" s="15">
        <f t="shared" si="0"/>
        <v>11</v>
      </c>
      <c r="P49" s="15">
        <f t="shared" si="1"/>
        <v>26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1</v>
      </c>
      <c r="E50" s="50">
        <v>2</v>
      </c>
      <c r="F50" s="50">
        <v>3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14</v>
      </c>
      <c r="P50" s="15">
        <f t="shared" si="1"/>
        <v>27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12</v>
      </c>
      <c r="N51" s="50">
        <v>0</v>
      </c>
      <c r="O51" s="15">
        <f t="shared" si="0"/>
        <v>7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15</v>
      </c>
      <c r="N52" s="50">
        <v>0</v>
      </c>
      <c r="O52" s="15">
        <f t="shared" si="0"/>
        <v>17</v>
      </c>
      <c r="P52" s="15">
        <f t="shared" si="1"/>
        <v>32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3</v>
      </c>
      <c r="K53" s="50">
        <v>0</v>
      </c>
      <c r="L53" s="50">
        <v>0</v>
      </c>
      <c r="M53" s="50">
        <v>18</v>
      </c>
      <c r="N53" s="50">
        <v>0</v>
      </c>
      <c r="O53" s="15">
        <f t="shared" si="0"/>
        <v>14</v>
      </c>
      <c r="P53" s="15">
        <f t="shared" si="1"/>
        <v>32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21</v>
      </c>
      <c r="N54" s="50">
        <v>0</v>
      </c>
      <c r="O54" s="15">
        <f t="shared" si="0"/>
        <v>9</v>
      </c>
      <c r="P54" s="15">
        <f t="shared" si="1"/>
        <v>30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17</v>
      </c>
      <c r="N55" s="50">
        <v>0</v>
      </c>
      <c r="O55" s="15">
        <f t="shared" si="0"/>
        <v>12</v>
      </c>
      <c r="P55" s="15">
        <f t="shared" si="1"/>
        <v>29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2</v>
      </c>
      <c r="M56" s="50">
        <v>19</v>
      </c>
      <c r="N56" s="50">
        <v>0</v>
      </c>
      <c r="O56" s="15">
        <f t="shared" si="0"/>
        <v>10</v>
      </c>
      <c r="P56" s="15">
        <f t="shared" si="1"/>
        <v>29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1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18</v>
      </c>
      <c r="P57" s="15">
        <f t="shared" si="1"/>
        <v>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303</v>
      </c>
      <c r="D58" s="16">
        <f t="shared" si="21"/>
        <v>32</v>
      </c>
      <c r="E58" s="16">
        <f t="shared" si="21"/>
        <v>27</v>
      </c>
      <c r="F58" s="16">
        <f t="shared" si="21"/>
        <v>51</v>
      </c>
      <c r="G58" s="16">
        <f t="shared" si="21"/>
        <v>2</v>
      </c>
      <c r="H58" s="16">
        <f t="shared" si="21"/>
        <v>0</v>
      </c>
      <c r="I58" s="16">
        <f t="shared" si="21"/>
        <v>23</v>
      </c>
      <c r="J58" s="16">
        <f t="shared" si="21"/>
        <v>32</v>
      </c>
      <c r="K58" s="16">
        <f t="shared" si="21"/>
        <v>5</v>
      </c>
      <c r="L58" s="16">
        <f t="shared" si="21"/>
        <v>5</v>
      </c>
      <c r="M58" s="16">
        <f t="shared" si="21"/>
        <v>602</v>
      </c>
      <c r="N58" s="16">
        <f t="shared" si="21"/>
        <v>0</v>
      </c>
      <c r="O58" s="16">
        <f t="shared" si="21"/>
        <v>480</v>
      </c>
      <c r="P58" s="16">
        <f t="shared" si="21"/>
        <v>1082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0.28003696857670979</v>
      </c>
      <c r="D59" s="43">
        <f t="shared" si="22"/>
        <v>2.9574861367837338E-2</v>
      </c>
      <c r="E59" s="43">
        <f t="shared" si="22"/>
        <v>2.4953789279112754E-2</v>
      </c>
      <c r="F59" s="43">
        <f t="shared" si="22"/>
        <v>4.7134935304990758E-2</v>
      </c>
      <c r="G59" s="43">
        <f t="shared" si="22"/>
        <v>1.8484288354898336E-3</v>
      </c>
      <c r="H59" s="43">
        <f t="shared" si="22"/>
        <v>0</v>
      </c>
      <c r="I59" s="43">
        <f t="shared" si="22"/>
        <v>2.1256931608133085E-2</v>
      </c>
      <c r="J59" s="43">
        <f t="shared" si="22"/>
        <v>2.9574861367837338E-2</v>
      </c>
      <c r="K59" s="43">
        <f t="shared" si="22"/>
        <v>4.6210720887245845E-3</v>
      </c>
      <c r="L59" s="43">
        <f t="shared" si="22"/>
        <v>4.6210720887245845E-3</v>
      </c>
      <c r="M59" s="43">
        <f t="shared" si="22"/>
        <v>0.55637707948243997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0.63124999999999998</v>
      </c>
      <c r="D60" s="44">
        <f t="shared" ref="D60:N60" si="23">D58/$O$58</f>
        <v>6.6666666666666666E-2</v>
      </c>
      <c r="E60" s="44">
        <f t="shared" si="23"/>
        <v>5.6250000000000001E-2</v>
      </c>
      <c r="F60" s="44">
        <f t="shared" si="23"/>
        <v>0.10625</v>
      </c>
      <c r="G60" s="44">
        <f t="shared" si="23"/>
        <v>4.1666666666666666E-3</v>
      </c>
      <c r="H60" s="44">
        <f t="shared" si="23"/>
        <v>0</v>
      </c>
      <c r="I60" s="44">
        <f t="shared" si="23"/>
        <v>4.791666666666667E-2</v>
      </c>
      <c r="J60" s="44">
        <f t="shared" si="23"/>
        <v>6.6666666666666666E-2</v>
      </c>
      <c r="K60" s="44">
        <f t="shared" si="23"/>
        <v>1.0416666666666666E-2</v>
      </c>
      <c r="L60" s="44">
        <f t="shared" si="23"/>
        <v>1.0416666666666666E-2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Mbarara-Ibanda'!C3:G3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7" customHeight="1" x14ac:dyDescent="0.25">
      <c r="C5" s="4" t="s">
        <v>3</v>
      </c>
      <c r="D5" s="36" t="str">
        <f>'27.10 Ibanda-Mbarara'!D5</f>
        <v>27.10.2019</v>
      </c>
      <c r="E5" s="3"/>
      <c r="F5" s="41" t="s">
        <v>1</v>
      </c>
      <c r="G5" s="54" t="str">
        <f>'25.10 Ibanada-Mbarara'!G5:H5</f>
        <v>RUHUMBA</v>
      </c>
      <c r="H5" s="55"/>
      <c r="I5" s="14"/>
      <c r="J5" s="2" t="s">
        <v>5</v>
      </c>
      <c r="K5" s="54" t="s">
        <v>167</v>
      </c>
      <c r="L5" s="55"/>
      <c r="M5" s="10"/>
      <c r="N5" s="10"/>
      <c r="O5" s="3"/>
      <c r="P5" s="3"/>
    </row>
    <row r="6" spans="2:32" ht="27" customHeight="1" x14ac:dyDescent="0.25">
      <c r="C6" s="2" t="s">
        <v>4</v>
      </c>
      <c r="D6" s="54" t="str">
        <f>'25.10 Mbarara-Ibanda'!D6:E6</f>
        <v>MBARARA</v>
      </c>
      <c r="E6" s="55"/>
      <c r="F6" s="2" t="s">
        <v>2</v>
      </c>
      <c r="G6" s="54" t="str">
        <f>'25.10 Mbarara-Ibanda'!G6:H6</f>
        <v>IBANDA</v>
      </c>
      <c r="H6" s="55"/>
      <c r="J6" s="2" t="s">
        <v>21</v>
      </c>
      <c r="K6" s="54" t="str">
        <f>'25.10 Ibanada-Mbarara'!K6:L6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12</v>
      </c>
      <c r="T10" s="17">
        <f t="shared" si="2"/>
        <v>4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14</v>
      </c>
      <c r="AD10" s="17">
        <f t="shared" si="2"/>
        <v>0</v>
      </c>
      <c r="AE10" s="31">
        <f t="shared" si="2"/>
        <v>18</v>
      </c>
      <c r="AF10" s="31">
        <f t="shared" si="2"/>
        <v>32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5</v>
      </c>
      <c r="P11" s="15">
        <f t="shared" si="1"/>
        <v>10</v>
      </c>
      <c r="R11" s="1" t="s">
        <v>7</v>
      </c>
      <c r="S11" s="17">
        <f t="shared" ref="S11:AF11" si="3">SUM(C14:C17)</f>
        <v>14</v>
      </c>
      <c r="T11" s="17">
        <f t="shared" si="3"/>
        <v>2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28</v>
      </c>
      <c r="AD11" s="17">
        <f t="shared" si="3"/>
        <v>0</v>
      </c>
      <c r="AE11" s="31">
        <f t="shared" si="3"/>
        <v>22</v>
      </c>
      <c r="AF11" s="31">
        <f t="shared" si="3"/>
        <v>50</v>
      </c>
    </row>
    <row r="12" spans="2:32" ht="23.1" customHeight="1" x14ac:dyDescent="0.25">
      <c r="B12" s="23" t="s">
        <v>39</v>
      </c>
      <c r="C12" s="50">
        <v>6</v>
      </c>
      <c r="D12" s="50">
        <v>2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8</v>
      </c>
      <c r="P12" s="15">
        <f t="shared" si="1"/>
        <v>11</v>
      </c>
      <c r="R12" s="1" t="s">
        <v>8</v>
      </c>
      <c r="S12" s="17">
        <f t="shared" ref="S12:AF12" si="4">SUM(C18:C21)</f>
        <v>14</v>
      </c>
      <c r="T12" s="17">
        <f t="shared" si="4"/>
        <v>2</v>
      </c>
      <c r="U12" s="17">
        <f t="shared" si="4"/>
        <v>1</v>
      </c>
      <c r="V12" s="17">
        <f t="shared" si="4"/>
        <v>8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2</v>
      </c>
      <c r="AA12" s="17">
        <f t="shared" si="4"/>
        <v>2</v>
      </c>
      <c r="AB12" s="17">
        <f t="shared" si="4"/>
        <v>0</v>
      </c>
      <c r="AC12" s="17">
        <f t="shared" si="4"/>
        <v>36</v>
      </c>
      <c r="AD12" s="17">
        <f t="shared" si="4"/>
        <v>0</v>
      </c>
      <c r="AE12" s="31">
        <f t="shared" si="4"/>
        <v>29</v>
      </c>
      <c r="AF12" s="31">
        <f t="shared" si="4"/>
        <v>65</v>
      </c>
    </row>
    <row r="13" spans="2:32" ht="23.1" customHeight="1" x14ac:dyDescent="0.25">
      <c r="B13" s="23" t="s">
        <v>40</v>
      </c>
      <c r="C13" s="50">
        <v>1</v>
      </c>
      <c r="D13" s="50">
        <v>2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3</v>
      </c>
      <c r="P13" s="15">
        <f t="shared" si="1"/>
        <v>6</v>
      </c>
      <c r="R13" s="1" t="s">
        <v>9</v>
      </c>
      <c r="S13" s="17">
        <f t="shared" ref="S13:AF13" si="5">SUM(C22:C25)</f>
        <v>29</v>
      </c>
      <c r="T13" s="17">
        <f t="shared" si="5"/>
        <v>8</v>
      </c>
      <c r="U13" s="17">
        <f t="shared" si="5"/>
        <v>5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6</v>
      </c>
      <c r="AA13" s="17">
        <f t="shared" si="5"/>
        <v>2</v>
      </c>
      <c r="AB13" s="17">
        <f t="shared" si="5"/>
        <v>1</v>
      </c>
      <c r="AC13" s="17">
        <f t="shared" si="5"/>
        <v>43</v>
      </c>
      <c r="AD13" s="17">
        <f t="shared" si="5"/>
        <v>0</v>
      </c>
      <c r="AE13" s="31">
        <f t="shared" si="5"/>
        <v>57</v>
      </c>
      <c r="AF13" s="31">
        <f t="shared" si="5"/>
        <v>100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3</v>
      </c>
      <c r="P14" s="15">
        <f t="shared" si="1"/>
        <v>7</v>
      </c>
      <c r="R14" s="1" t="s">
        <v>10</v>
      </c>
      <c r="S14" s="17">
        <f t="shared" ref="S14:AF14" si="6">SUM(C26:C29)</f>
        <v>33</v>
      </c>
      <c r="T14" s="17">
        <f t="shared" si="6"/>
        <v>3</v>
      </c>
      <c r="U14" s="17">
        <f t="shared" si="6"/>
        <v>2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1</v>
      </c>
      <c r="AB14" s="17">
        <f t="shared" si="6"/>
        <v>1</v>
      </c>
      <c r="AC14" s="17">
        <f t="shared" si="6"/>
        <v>46</v>
      </c>
      <c r="AD14" s="17">
        <f t="shared" si="6"/>
        <v>0</v>
      </c>
      <c r="AE14" s="31">
        <f t="shared" si="6"/>
        <v>50</v>
      </c>
      <c r="AF14" s="31">
        <f t="shared" si="6"/>
        <v>96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3</v>
      </c>
      <c r="P15" s="15">
        <f t="shared" si="1"/>
        <v>10</v>
      </c>
      <c r="R15" s="1" t="s">
        <v>11</v>
      </c>
      <c r="S15" s="17">
        <f t="shared" ref="S15:AF15" si="7">SUM(C30:C33)</f>
        <v>29</v>
      </c>
      <c r="T15" s="17">
        <f t="shared" si="7"/>
        <v>1</v>
      </c>
      <c r="U15" s="17">
        <f t="shared" si="7"/>
        <v>0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1</v>
      </c>
      <c r="AC15" s="17">
        <f t="shared" si="7"/>
        <v>45</v>
      </c>
      <c r="AD15" s="17">
        <f t="shared" si="7"/>
        <v>0</v>
      </c>
      <c r="AE15" s="31">
        <f t="shared" si="7"/>
        <v>44</v>
      </c>
      <c r="AF15" s="31">
        <f t="shared" si="7"/>
        <v>89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2</v>
      </c>
      <c r="K16" s="50">
        <v>1</v>
      </c>
      <c r="L16" s="50">
        <v>0</v>
      </c>
      <c r="M16" s="50">
        <v>8</v>
      </c>
      <c r="N16" s="50">
        <v>0</v>
      </c>
      <c r="O16" s="15">
        <f t="shared" si="0"/>
        <v>9</v>
      </c>
      <c r="P16" s="15">
        <f t="shared" si="1"/>
        <v>17</v>
      </c>
      <c r="R16" s="1" t="s">
        <v>12</v>
      </c>
      <c r="S16" s="17">
        <f t="shared" ref="S16:AF16" si="8">SUM(C34:C37)</f>
        <v>32</v>
      </c>
      <c r="T16" s="17">
        <f t="shared" si="8"/>
        <v>2</v>
      </c>
      <c r="U16" s="17">
        <f t="shared" si="8"/>
        <v>7</v>
      </c>
      <c r="V16" s="17">
        <f t="shared" si="8"/>
        <v>6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1</v>
      </c>
      <c r="AC16" s="17">
        <f t="shared" si="8"/>
        <v>50</v>
      </c>
      <c r="AD16" s="17">
        <f t="shared" si="8"/>
        <v>0</v>
      </c>
      <c r="AE16" s="31">
        <f t="shared" si="8"/>
        <v>52</v>
      </c>
      <c r="AF16" s="31">
        <f t="shared" si="8"/>
        <v>102</v>
      </c>
    </row>
    <row r="17" spans="2:32" ht="23.1" customHeight="1" x14ac:dyDescent="0.25">
      <c r="B17" s="23" t="s">
        <v>44</v>
      </c>
      <c r="C17" s="50">
        <v>3</v>
      </c>
      <c r="D17" s="50">
        <v>2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9</v>
      </c>
      <c r="N17" s="50">
        <v>0</v>
      </c>
      <c r="O17" s="15">
        <f t="shared" si="0"/>
        <v>7</v>
      </c>
      <c r="P17" s="15">
        <f t="shared" si="1"/>
        <v>16</v>
      </c>
      <c r="R17" s="1" t="s">
        <v>13</v>
      </c>
      <c r="S17" s="17">
        <f t="shared" ref="S17:AF17" si="9">SUM(C38:C41)</f>
        <v>18</v>
      </c>
      <c r="T17" s="17">
        <f t="shared" si="9"/>
        <v>3</v>
      </c>
      <c r="U17" s="17">
        <f t="shared" si="9"/>
        <v>0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59</v>
      </c>
      <c r="AD17" s="17">
        <f t="shared" si="9"/>
        <v>0</v>
      </c>
      <c r="AE17" s="31">
        <f t="shared" si="9"/>
        <v>30</v>
      </c>
      <c r="AF17" s="31">
        <f t="shared" si="9"/>
        <v>89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0</v>
      </c>
      <c r="F18" s="50">
        <v>3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8</v>
      </c>
      <c r="P18" s="15">
        <f t="shared" si="1"/>
        <v>17</v>
      </c>
      <c r="R18" s="1" t="s">
        <v>14</v>
      </c>
      <c r="S18" s="17">
        <f t="shared" ref="S18:AF18" si="10">SUM(C42:C45)</f>
        <v>22</v>
      </c>
      <c r="T18" s="17">
        <f t="shared" si="10"/>
        <v>10</v>
      </c>
      <c r="U18" s="17">
        <f t="shared" si="10"/>
        <v>3</v>
      </c>
      <c r="V18" s="17">
        <f t="shared" si="10"/>
        <v>5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6</v>
      </c>
      <c r="AA18" s="17">
        <f t="shared" si="10"/>
        <v>0</v>
      </c>
      <c r="AB18" s="17">
        <f t="shared" si="10"/>
        <v>1</v>
      </c>
      <c r="AC18" s="17">
        <f t="shared" si="10"/>
        <v>41</v>
      </c>
      <c r="AD18" s="17">
        <f t="shared" si="10"/>
        <v>0</v>
      </c>
      <c r="AE18" s="31">
        <f t="shared" si="10"/>
        <v>53</v>
      </c>
      <c r="AF18" s="31">
        <f t="shared" si="10"/>
        <v>94</v>
      </c>
    </row>
    <row r="19" spans="2:32" ht="23.1" customHeight="1" x14ac:dyDescent="0.25">
      <c r="B19" s="23" t="s">
        <v>46</v>
      </c>
      <c r="C19" s="50">
        <v>2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10</v>
      </c>
      <c r="N19" s="50">
        <v>0</v>
      </c>
      <c r="O19" s="15">
        <f t="shared" si="0"/>
        <v>5</v>
      </c>
      <c r="P19" s="15">
        <f t="shared" si="1"/>
        <v>15</v>
      </c>
      <c r="R19" s="1" t="s">
        <v>15</v>
      </c>
      <c r="S19" s="17">
        <f t="shared" ref="S19:AF19" si="11">SUM(C46:C49)</f>
        <v>25</v>
      </c>
      <c r="T19" s="17">
        <f t="shared" si="11"/>
        <v>5</v>
      </c>
      <c r="U19" s="17">
        <f t="shared" si="11"/>
        <v>0</v>
      </c>
      <c r="V19" s="17">
        <f t="shared" si="11"/>
        <v>6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33</v>
      </c>
      <c r="AD19" s="17">
        <f t="shared" si="11"/>
        <v>0</v>
      </c>
      <c r="AE19" s="31">
        <f t="shared" si="11"/>
        <v>41</v>
      </c>
      <c r="AF19" s="31">
        <f t="shared" si="11"/>
        <v>74</v>
      </c>
    </row>
    <row r="20" spans="2:32" ht="23.1" customHeight="1" x14ac:dyDescent="0.25">
      <c r="B20" s="23" t="s">
        <v>47</v>
      </c>
      <c r="C20" s="50">
        <v>5</v>
      </c>
      <c r="D20" s="50">
        <v>1</v>
      </c>
      <c r="E20" s="50">
        <v>0</v>
      </c>
      <c r="F20" s="50">
        <v>3</v>
      </c>
      <c r="G20" s="50">
        <v>0</v>
      </c>
      <c r="H20" s="50">
        <v>0</v>
      </c>
      <c r="I20" s="50">
        <v>0</v>
      </c>
      <c r="J20" s="50">
        <v>1</v>
      </c>
      <c r="K20" s="50">
        <v>1</v>
      </c>
      <c r="L20" s="50">
        <v>0</v>
      </c>
      <c r="M20" s="50">
        <v>11</v>
      </c>
      <c r="N20" s="50">
        <v>0</v>
      </c>
      <c r="O20" s="15">
        <f t="shared" si="0"/>
        <v>11</v>
      </c>
      <c r="P20" s="15">
        <f t="shared" si="1"/>
        <v>22</v>
      </c>
      <c r="R20" s="1" t="s">
        <v>16</v>
      </c>
      <c r="S20" s="17">
        <f t="shared" ref="S20:AF20" si="12">SUM(C50:C53)</f>
        <v>33</v>
      </c>
      <c r="T20" s="17">
        <f t="shared" si="12"/>
        <v>2</v>
      </c>
      <c r="U20" s="17">
        <f t="shared" si="12"/>
        <v>2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53</v>
      </c>
      <c r="AD20" s="17">
        <f t="shared" si="12"/>
        <v>0</v>
      </c>
      <c r="AE20" s="31">
        <f t="shared" si="12"/>
        <v>43</v>
      </c>
      <c r="AF20" s="31">
        <f t="shared" si="12"/>
        <v>96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6</v>
      </c>
      <c r="N21" s="50">
        <v>0</v>
      </c>
      <c r="O21" s="15">
        <f t="shared" si="0"/>
        <v>5</v>
      </c>
      <c r="P21" s="15">
        <f t="shared" si="1"/>
        <v>11</v>
      </c>
      <c r="R21" s="36" t="s">
        <v>20</v>
      </c>
      <c r="S21" s="34">
        <f t="shared" ref="S21:AF21" si="13">SUM(C54:C57)</f>
        <v>36</v>
      </c>
      <c r="T21" s="17">
        <f t="shared" si="13"/>
        <v>3</v>
      </c>
      <c r="U21" s="17">
        <f t="shared" si="13"/>
        <v>4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73</v>
      </c>
      <c r="AD21" s="17">
        <f t="shared" si="13"/>
        <v>0</v>
      </c>
      <c r="AE21" s="31">
        <f t="shared" si="13"/>
        <v>52</v>
      </c>
      <c r="AF21" s="31">
        <f t="shared" si="13"/>
        <v>125</v>
      </c>
    </row>
    <row r="22" spans="2:32" ht="23.1" customHeight="1" x14ac:dyDescent="0.25">
      <c r="B22" s="23" t="s">
        <v>49</v>
      </c>
      <c r="C22" s="50">
        <v>5</v>
      </c>
      <c r="D22" s="50">
        <v>3</v>
      </c>
      <c r="E22" s="50">
        <v>2</v>
      </c>
      <c r="F22" s="50">
        <v>1</v>
      </c>
      <c r="G22" s="50">
        <v>0</v>
      </c>
      <c r="H22" s="50">
        <v>0</v>
      </c>
      <c r="I22" s="50">
        <v>2</v>
      </c>
      <c r="J22" s="50">
        <v>4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17</v>
      </c>
      <c r="P22" s="15">
        <f t="shared" si="1"/>
        <v>30</v>
      </c>
      <c r="R22" s="38" t="s">
        <v>90</v>
      </c>
      <c r="S22" s="39">
        <f>MAX(S10:S12)</f>
        <v>14</v>
      </c>
      <c r="T22" s="39">
        <f t="shared" ref="T22:AF22" si="14">MAX(T10:T12)</f>
        <v>4</v>
      </c>
      <c r="U22" s="39">
        <f t="shared" si="14"/>
        <v>1</v>
      </c>
      <c r="V22" s="39">
        <f t="shared" si="14"/>
        <v>8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2</v>
      </c>
      <c r="AA22" s="39">
        <f t="shared" si="14"/>
        <v>2</v>
      </c>
      <c r="AB22" s="39">
        <f t="shared" si="14"/>
        <v>0</v>
      </c>
      <c r="AC22" s="39">
        <f t="shared" si="14"/>
        <v>36</v>
      </c>
      <c r="AD22" s="39">
        <f t="shared" si="14"/>
        <v>0</v>
      </c>
      <c r="AE22" s="40">
        <f t="shared" si="14"/>
        <v>29</v>
      </c>
      <c r="AF22" s="40">
        <f t="shared" si="14"/>
        <v>65</v>
      </c>
    </row>
    <row r="23" spans="2:32" ht="23.1" customHeight="1" x14ac:dyDescent="0.25">
      <c r="B23" s="23" t="s">
        <v>50</v>
      </c>
      <c r="C23" s="50">
        <v>6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7</v>
      </c>
      <c r="P23" s="15">
        <f t="shared" si="1"/>
        <v>12</v>
      </c>
      <c r="R23" s="38" t="s">
        <v>91</v>
      </c>
      <c r="S23" s="39">
        <f>MAX(S13:S18)</f>
        <v>33</v>
      </c>
      <c r="T23" s="39">
        <f t="shared" ref="T23:AF23" si="15">MAX(T13:T18)</f>
        <v>10</v>
      </c>
      <c r="U23" s="39">
        <f t="shared" si="15"/>
        <v>7</v>
      </c>
      <c r="V23" s="39">
        <f t="shared" si="15"/>
        <v>6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6</v>
      </c>
      <c r="AA23" s="39">
        <f t="shared" si="15"/>
        <v>2</v>
      </c>
      <c r="AB23" s="39">
        <f t="shared" si="15"/>
        <v>1</v>
      </c>
      <c r="AC23" s="39">
        <f t="shared" si="15"/>
        <v>59</v>
      </c>
      <c r="AD23" s="39">
        <f t="shared" si="15"/>
        <v>0</v>
      </c>
      <c r="AE23" s="40">
        <f t="shared" si="15"/>
        <v>57</v>
      </c>
      <c r="AF23" s="40">
        <f t="shared" si="15"/>
        <v>102</v>
      </c>
    </row>
    <row r="24" spans="2:32" ht="23.1" customHeight="1" x14ac:dyDescent="0.25">
      <c r="B24" s="23" t="s">
        <v>51</v>
      </c>
      <c r="C24" s="50">
        <v>9</v>
      </c>
      <c r="D24" s="50">
        <v>3</v>
      </c>
      <c r="E24" s="50">
        <v>3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2</v>
      </c>
      <c r="L24" s="50">
        <v>1</v>
      </c>
      <c r="M24" s="50">
        <v>12</v>
      </c>
      <c r="N24" s="50">
        <v>0</v>
      </c>
      <c r="O24" s="15">
        <f t="shared" si="0"/>
        <v>20</v>
      </c>
      <c r="P24" s="15">
        <f t="shared" si="1"/>
        <v>32</v>
      </c>
      <c r="R24" s="38" t="s">
        <v>92</v>
      </c>
      <c r="S24" s="39">
        <f>MAX(S19:S21)</f>
        <v>36</v>
      </c>
      <c r="T24" s="39">
        <f t="shared" ref="T24:AF24" si="16">MAX(T19:T21)</f>
        <v>5</v>
      </c>
      <c r="U24" s="39">
        <f t="shared" si="16"/>
        <v>4</v>
      </c>
      <c r="V24" s="39">
        <f t="shared" si="16"/>
        <v>8</v>
      </c>
      <c r="W24" s="39">
        <f t="shared" si="16"/>
        <v>0</v>
      </c>
      <c r="X24" s="39">
        <f t="shared" si="16"/>
        <v>1</v>
      </c>
      <c r="Y24" s="39">
        <f t="shared" si="16"/>
        <v>2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73</v>
      </c>
      <c r="AD24" s="39">
        <f t="shared" si="16"/>
        <v>0</v>
      </c>
      <c r="AE24" s="40">
        <f t="shared" si="16"/>
        <v>52</v>
      </c>
      <c r="AF24" s="40">
        <f t="shared" si="16"/>
        <v>125</v>
      </c>
    </row>
    <row r="25" spans="2:32" ht="23.1" customHeight="1" x14ac:dyDescent="0.25">
      <c r="B25" s="23" t="s">
        <v>52</v>
      </c>
      <c r="C25" s="50">
        <v>9</v>
      </c>
      <c r="D25" s="50">
        <v>1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13</v>
      </c>
      <c r="N25" s="50">
        <v>0</v>
      </c>
      <c r="O25" s="15">
        <f t="shared" si="0"/>
        <v>13</v>
      </c>
      <c r="P25" s="15">
        <f t="shared" si="1"/>
        <v>26</v>
      </c>
      <c r="R25" s="37" t="s">
        <v>85</v>
      </c>
      <c r="S25" s="35">
        <f t="shared" ref="S25:AF25" si="17">SUM(S10:S12)</f>
        <v>40</v>
      </c>
      <c r="T25" s="16">
        <f t="shared" si="17"/>
        <v>8</v>
      </c>
      <c r="U25" s="16">
        <f t="shared" si="17"/>
        <v>1</v>
      </c>
      <c r="V25" s="16">
        <f t="shared" si="17"/>
        <v>10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6</v>
      </c>
      <c r="AA25" s="16">
        <f t="shared" si="17"/>
        <v>4</v>
      </c>
      <c r="AB25" s="16">
        <f t="shared" si="17"/>
        <v>0</v>
      </c>
      <c r="AC25" s="16">
        <f t="shared" si="17"/>
        <v>78</v>
      </c>
      <c r="AD25" s="16">
        <f t="shared" si="17"/>
        <v>0</v>
      </c>
      <c r="AE25" s="32">
        <f t="shared" si="17"/>
        <v>69</v>
      </c>
      <c r="AF25" s="32">
        <f t="shared" si="17"/>
        <v>147</v>
      </c>
    </row>
    <row r="26" spans="2:32" ht="23.1" customHeight="1" x14ac:dyDescent="0.25">
      <c r="B26" s="23" t="s">
        <v>53</v>
      </c>
      <c r="C26" s="50">
        <v>7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17</v>
      </c>
      <c r="N26" s="50">
        <v>0</v>
      </c>
      <c r="O26" s="15">
        <f t="shared" si="0"/>
        <v>11</v>
      </c>
      <c r="P26" s="15">
        <f t="shared" si="1"/>
        <v>28</v>
      </c>
      <c r="R26" s="28" t="s">
        <v>86</v>
      </c>
      <c r="S26" s="16">
        <f t="shared" ref="S26:AF26" si="18">SUM(S13:S18)</f>
        <v>163</v>
      </c>
      <c r="T26" s="16">
        <f t="shared" si="18"/>
        <v>27</v>
      </c>
      <c r="U26" s="16">
        <f t="shared" si="18"/>
        <v>17</v>
      </c>
      <c r="V26" s="16">
        <f t="shared" si="18"/>
        <v>30</v>
      </c>
      <c r="W26" s="16">
        <f t="shared" si="18"/>
        <v>0</v>
      </c>
      <c r="X26" s="16">
        <f t="shared" si="18"/>
        <v>2</v>
      </c>
      <c r="Y26" s="16">
        <f t="shared" si="18"/>
        <v>18</v>
      </c>
      <c r="Z26" s="16">
        <f t="shared" si="18"/>
        <v>19</v>
      </c>
      <c r="AA26" s="16">
        <f t="shared" si="18"/>
        <v>5</v>
      </c>
      <c r="AB26" s="16">
        <f t="shared" si="18"/>
        <v>5</v>
      </c>
      <c r="AC26" s="16">
        <f t="shared" si="18"/>
        <v>284</v>
      </c>
      <c r="AD26" s="16">
        <f t="shared" si="18"/>
        <v>0</v>
      </c>
      <c r="AE26" s="32">
        <f t="shared" si="18"/>
        <v>286</v>
      </c>
      <c r="AF26" s="32">
        <f t="shared" si="18"/>
        <v>570</v>
      </c>
    </row>
    <row r="27" spans="2:32" ht="23.1" customHeight="1" x14ac:dyDescent="0.25">
      <c r="B27" s="23" t="s">
        <v>54</v>
      </c>
      <c r="C27" s="50">
        <v>7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9</v>
      </c>
      <c r="P27" s="15">
        <f t="shared" si="1"/>
        <v>17</v>
      </c>
      <c r="R27" s="29" t="s">
        <v>87</v>
      </c>
      <c r="S27" s="16">
        <f t="shared" ref="S27:AF27" si="19">SUM(S19:S21)</f>
        <v>94</v>
      </c>
      <c r="T27" s="16">
        <f t="shared" si="19"/>
        <v>10</v>
      </c>
      <c r="U27" s="16">
        <f t="shared" si="19"/>
        <v>6</v>
      </c>
      <c r="V27" s="16">
        <f t="shared" si="19"/>
        <v>17</v>
      </c>
      <c r="W27" s="16">
        <f t="shared" si="19"/>
        <v>0</v>
      </c>
      <c r="X27" s="16">
        <f t="shared" si="19"/>
        <v>1</v>
      </c>
      <c r="Y27" s="16">
        <f t="shared" si="19"/>
        <v>4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159</v>
      </c>
      <c r="AD27" s="16">
        <f t="shared" si="19"/>
        <v>0</v>
      </c>
      <c r="AE27" s="32">
        <f t="shared" si="19"/>
        <v>136</v>
      </c>
      <c r="AF27" s="32">
        <f t="shared" si="19"/>
        <v>295</v>
      </c>
    </row>
    <row r="28" spans="2:32" ht="23.1" customHeight="1" x14ac:dyDescent="0.25">
      <c r="B28" s="23" t="s">
        <v>55</v>
      </c>
      <c r="C28" s="50">
        <v>8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11</v>
      </c>
      <c r="P28" s="15">
        <f t="shared" si="1"/>
        <v>19</v>
      </c>
      <c r="R28" s="5" t="s">
        <v>17</v>
      </c>
      <c r="S28" s="16">
        <f t="shared" ref="S28:AF28" si="20">SUM(S10:S21)</f>
        <v>297</v>
      </c>
      <c r="T28" s="16">
        <f t="shared" si="20"/>
        <v>45</v>
      </c>
      <c r="U28" s="16">
        <f t="shared" si="20"/>
        <v>24</v>
      </c>
      <c r="V28" s="16">
        <f t="shared" si="20"/>
        <v>57</v>
      </c>
      <c r="W28" s="16">
        <f t="shared" si="20"/>
        <v>0</v>
      </c>
      <c r="X28" s="16">
        <f t="shared" si="20"/>
        <v>3</v>
      </c>
      <c r="Y28" s="16">
        <f t="shared" si="20"/>
        <v>22</v>
      </c>
      <c r="Z28" s="16">
        <f t="shared" si="20"/>
        <v>29</v>
      </c>
      <c r="AA28" s="16">
        <f t="shared" si="20"/>
        <v>9</v>
      </c>
      <c r="AB28" s="16">
        <f t="shared" si="20"/>
        <v>5</v>
      </c>
      <c r="AC28" s="16">
        <f t="shared" si="20"/>
        <v>521</v>
      </c>
      <c r="AD28" s="16">
        <f t="shared" si="20"/>
        <v>0</v>
      </c>
      <c r="AE28" s="32">
        <f t="shared" si="20"/>
        <v>491</v>
      </c>
      <c r="AF28" s="32">
        <f t="shared" si="20"/>
        <v>1012</v>
      </c>
    </row>
    <row r="29" spans="2:32" ht="23.1" customHeight="1" x14ac:dyDescent="0.25">
      <c r="B29" s="23" t="s">
        <v>56</v>
      </c>
      <c r="C29" s="50">
        <v>11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4</v>
      </c>
      <c r="J29" s="50">
        <v>1</v>
      </c>
      <c r="K29" s="50">
        <v>0</v>
      </c>
      <c r="L29" s="50">
        <v>1</v>
      </c>
      <c r="M29" s="50">
        <v>13</v>
      </c>
      <c r="N29" s="50">
        <v>0</v>
      </c>
      <c r="O29" s="15">
        <f t="shared" si="0"/>
        <v>19</v>
      </c>
      <c r="P29" s="15">
        <f t="shared" si="1"/>
        <v>32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6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10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1</v>
      </c>
      <c r="J31" s="50">
        <v>2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15</v>
      </c>
      <c r="P31" s="15">
        <f t="shared" si="1"/>
        <v>28</v>
      </c>
    </row>
    <row r="32" spans="2:32" ht="23.1" customHeight="1" x14ac:dyDescent="0.25">
      <c r="B32" s="24" t="s">
        <v>59</v>
      </c>
      <c r="C32" s="50">
        <v>9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1</v>
      </c>
      <c r="M32" s="50">
        <v>10</v>
      </c>
      <c r="N32" s="50">
        <v>0</v>
      </c>
      <c r="O32" s="15">
        <f t="shared" si="0"/>
        <v>14</v>
      </c>
      <c r="P32" s="15">
        <f t="shared" si="1"/>
        <v>24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9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1</v>
      </c>
      <c r="M34" s="50">
        <v>18</v>
      </c>
      <c r="N34" s="50">
        <v>0</v>
      </c>
      <c r="O34" s="15">
        <f t="shared" si="0"/>
        <v>14</v>
      </c>
      <c r="P34" s="15">
        <f t="shared" si="1"/>
        <v>32</v>
      </c>
    </row>
    <row r="35" spans="2:20" ht="23.1" customHeight="1" x14ac:dyDescent="0.25">
      <c r="B35" s="24" t="s">
        <v>62</v>
      </c>
      <c r="C35" s="50">
        <v>9</v>
      </c>
      <c r="D35" s="50">
        <v>1</v>
      </c>
      <c r="E35" s="50">
        <v>2</v>
      </c>
      <c r="F35" s="50">
        <v>5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17</v>
      </c>
      <c r="P35" s="15">
        <f t="shared" si="1"/>
        <v>37</v>
      </c>
    </row>
    <row r="36" spans="2:20" ht="23.1" customHeight="1" x14ac:dyDescent="0.25">
      <c r="B36" s="24" t="s">
        <v>63</v>
      </c>
      <c r="C36" s="50">
        <v>5</v>
      </c>
      <c r="D36" s="50">
        <v>1</v>
      </c>
      <c r="E36" s="50">
        <v>2</v>
      </c>
      <c r="F36" s="50">
        <v>0</v>
      </c>
      <c r="G36" s="50">
        <v>0</v>
      </c>
      <c r="H36" s="50">
        <v>1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9</v>
      </c>
      <c r="P36" s="15">
        <f t="shared" si="1"/>
        <v>11</v>
      </c>
    </row>
    <row r="37" spans="2:20" ht="23.1" customHeight="1" x14ac:dyDescent="0.25">
      <c r="B37" s="23" t="s">
        <v>64</v>
      </c>
      <c r="C37" s="50">
        <v>10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12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7</v>
      </c>
      <c r="D38" s="50">
        <v>1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2</v>
      </c>
      <c r="L38" s="50">
        <v>0</v>
      </c>
      <c r="M38" s="50">
        <v>14</v>
      </c>
      <c r="N38" s="50">
        <v>0</v>
      </c>
      <c r="O38" s="15">
        <f t="shared" si="0"/>
        <v>12</v>
      </c>
      <c r="P38" s="15">
        <f t="shared" si="1"/>
        <v>26</v>
      </c>
    </row>
    <row r="39" spans="2:20" ht="23.1" customHeight="1" x14ac:dyDescent="0.25">
      <c r="B39" s="24" t="s">
        <v>66</v>
      </c>
      <c r="C39" s="50">
        <v>4</v>
      </c>
      <c r="D39" s="50">
        <v>1</v>
      </c>
      <c r="E39" s="50">
        <v>0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16</v>
      </c>
      <c r="N39" s="50">
        <v>0</v>
      </c>
      <c r="O39" s="15">
        <f t="shared" si="0"/>
        <v>9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5</v>
      </c>
      <c r="P40" s="15">
        <f t="shared" si="1"/>
        <v>26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4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6</v>
      </c>
      <c r="D42" s="50">
        <v>1</v>
      </c>
      <c r="E42" s="50">
        <v>1</v>
      </c>
      <c r="F42" s="50">
        <v>1</v>
      </c>
      <c r="G42" s="50">
        <v>0</v>
      </c>
      <c r="H42" s="50">
        <v>1</v>
      </c>
      <c r="I42" s="50">
        <v>2</v>
      </c>
      <c r="J42" s="50">
        <v>2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14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5</v>
      </c>
      <c r="D43" s="50">
        <v>2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13</v>
      </c>
      <c r="N43" s="50">
        <v>0</v>
      </c>
      <c r="O43" s="15">
        <f t="shared" si="0"/>
        <v>10</v>
      </c>
      <c r="P43" s="15">
        <f t="shared" si="1"/>
        <v>23</v>
      </c>
    </row>
    <row r="44" spans="2:20" ht="23.1" customHeight="1" x14ac:dyDescent="0.25">
      <c r="B44" s="25" t="s">
        <v>71</v>
      </c>
      <c r="C44" s="50">
        <v>7</v>
      </c>
      <c r="D44" s="50">
        <v>2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16</v>
      </c>
      <c r="P44" s="15">
        <f t="shared" si="1"/>
        <v>24</v>
      </c>
    </row>
    <row r="45" spans="2:20" ht="23.1" customHeight="1" x14ac:dyDescent="0.25">
      <c r="B45" s="23" t="s">
        <v>72</v>
      </c>
      <c r="C45" s="50">
        <v>4</v>
      </c>
      <c r="D45" s="50">
        <v>5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1</v>
      </c>
      <c r="M45" s="50">
        <v>15</v>
      </c>
      <c r="N45" s="50">
        <v>0</v>
      </c>
      <c r="O45" s="15">
        <f t="shared" si="0"/>
        <v>13</v>
      </c>
      <c r="P45" s="15">
        <f t="shared" si="1"/>
        <v>28</v>
      </c>
    </row>
    <row r="46" spans="2:20" ht="23.1" customHeight="1" x14ac:dyDescent="0.25">
      <c r="B46" s="24" t="s">
        <v>73</v>
      </c>
      <c r="C46" s="50">
        <v>5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4</v>
      </c>
      <c r="N46" s="50">
        <v>0</v>
      </c>
      <c r="O46" s="15">
        <f t="shared" si="0"/>
        <v>8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0</v>
      </c>
      <c r="E47" s="50">
        <v>0</v>
      </c>
      <c r="F47" s="50">
        <v>2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11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4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6</v>
      </c>
      <c r="N48" s="50">
        <v>0</v>
      </c>
      <c r="O48" s="15">
        <f t="shared" si="0"/>
        <v>16</v>
      </c>
      <c r="P48" s="15">
        <f t="shared" si="1"/>
        <v>22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2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6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10</v>
      </c>
      <c r="P50" s="15">
        <f t="shared" si="1"/>
        <v>23</v>
      </c>
      <c r="R50" s="8"/>
      <c r="T50"/>
    </row>
    <row r="51" spans="2:20" ht="23.1" customHeight="1" x14ac:dyDescent="0.25">
      <c r="B51" s="24" t="s">
        <v>78</v>
      </c>
      <c r="C51" s="50">
        <v>11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12</v>
      </c>
      <c r="N51" s="50">
        <v>0</v>
      </c>
      <c r="O51" s="15">
        <f t="shared" si="0"/>
        <v>14</v>
      </c>
      <c r="P51" s="15">
        <f t="shared" si="1"/>
        <v>26</v>
      </c>
      <c r="R51" s="8"/>
      <c r="T51"/>
    </row>
    <row r="52" spans="2:20" ht="23.1" customHeight="1" x14ac:dyDescent="0.25">
      <c r="B52" s="24" t="s">
        <v>79</v>
      </c>
      <c r="C52" s="50">
        <v>9</v>
      </c>
      <c r="D52" s="50">
        <v>0</v>
      </c>
      <c r="E52" s="50">
        <v>0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17</v>
      </c>
      <c r="N52" s="50">
        <v>0</v>
      </c>
      <c r="O52" s="15">
        <f t="shared" si="0"/>
        <v>12</v>
      </c>
      <c r="P52" s="15">
        <f t="shared" si="1"/>
        <v>29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7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2</v>
      </c>
      <c r="E54" s="50">
        <v>2</v>
      </c>
      <c r="F54" s="50">
        <v>5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5">
        <f t="shared" si="0"/>
        <v>17</v>
      </c>
      <c r="P54" s="15">
        <f t="shared" si="1"/>
        <v>34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0</v>
      </c>
      <c r="E55" s="50">
        <v>1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5">
        <f t="shared" si="0"/>
        <v>13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1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5">
        <f t="shared" si="0"/>
        <v>16</v>
      </c>
      <c r="P56" s="15">
        <f t="shared" si="1"/>
        <v>37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6</v>
      </c>
      <c r="P57" s="15">
        <f t="shared" si="1"/>
        <v>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297</v>
      </c>
      <c r="D58" s="16">
        <f t="shared" si="21"/>
        <v>45</v>
      </c>
      <c r="E58" s="16">
        <f t="shared" si="21"/>
        <v>24</v>
      </c>
      <c r="F58" s="16">
        <f t="shared" si="21"/>
        <v>57</v>
      </c>
      <c r="G58" s="16">
        <f t="shared" si="21"/>
        <v>0</v>
      </c>
      <c r="H58" s="16">
        <f t="shared" si="21"/>
        <v>3</v>
      </c>
      <c r="I58" s="16">
        <f t="shared" si="21"/>
        <v>22</v>
      </c>
      <c r="J58" s="16">
        <f t="shared" si="21"/>
        <v>29</v>
      </c>
      <c r="K58" s="16">
        <f t="shared" si="21"/>
        <v>9</v>
      </c>
      <c r="L58" s="16">
        <f t="shared" si="21"/>
        <v>5</v>
      </c>
      <c r="M58" s="16">
        <f t="shared" si="21"/>
        <v>521</v>
      </c>
      <c r="N58" s="16">
        <f t="shared" si="21"/>
        <v>0</v>
      </c>
      <c r="O58" s="16">
        <f t="shared" si="21"/>
        <v>491</v>
      </c>
      <c r="P58" s="16">
        <f t="shared" si="21"/>
        <v>1012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0.29347826086956524</v>
      </c>
      <c r="D59" s="43">
        <f t="shared" si="22"/>
        <v>4.4466403162055336E-2</v>
      </c>
      <c r="E59" s="43">
        <f t="shared" si="22"/>
        <v>2.3715415019762844E-2</v>
      </c>
      <c r="F59" s="43">
        <f t="shared" si="22"/>
        <v>5.632411067193676E-2</v>
      </c>
      <c r="G59" s="43">
        <f t="shared" si="22"/>
        <v>0</v>
      </c>
      <c r="H59" s="43">
        <f t="shared" si="22"/>
        <v>2.9644268774703555E-3</v>
      </c>
      <c r="I59" s="43">
        <f t="shared" si="22"/>
        <v>2.1739130434782608E-2</v>
      </c>
      <c r="J59" s="43">
        <f t="shared" si="22"/>
        <v>2.865612648221344E-2</v>
      </c>
      <c r="K59" s="43">
        <f t="shared" si="22"/>
        <v>8.8932806324110679E-3</v>
      </c>
      <c r="L59" s="43">
        <f t="shared" si="22"/>
        <v>4.940711462450593E-3</v>
      </c>
      <c r="M59" s="43">
        <f t="shared" si="22"/>
        <v>0.5148221343873518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0.60488798370672103</v>
      </c>
      <c r="D60" s="44">
        <f t="shared" ref="D60:N60" si="23">D58/$O$58</f>
        <v>9.1649694501018328E-2</v>
      </c>
      <c r="E60" s="44">
        <f t="shared" si="23"/>
        <v>4.8879837067209775E-2</v>
      </c>
      <c r="F60" s="44">
        <f t="shared" si="23"/>
        <v>0.11608961303462322</v>
      </c>
      <c r="G60" s="44">
        <f t="shared" si="23"/>
        <v>0</v>
      </c>
      <c r="H60" s="44">
        <f t="shared" si="23"/>
        <v>6.1099796334012219E-3</v>
      </c>
      <c r="I60" s="44">
        <f t="shared" si="23"/>
        <v>4.4806517311608958E-2</v>
      </c>
      <c r="J60" s="44">
        <f t="shared" si="23"/>
        <v>5.9063136456211814E-2</v>
      </c>
      <c r="K60" s="44">
        <f t="shared" si="23"/>
        <v>1.8329938900203666E-2</v>
      </c>
      <c r="L60" s="44">
        <f t="shared" si="23"/>
        <v>1.0183299389002037E-2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37" zoomScale="60" workbookViewId="0">
      <selection activeCell="G18" sqref="G1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5.5" customHeight="1" x14ac:dyDescent="0.25">
      <c r="C5" s="4" t="s">
        <v>3</v>
      </c>
      <c r="D5" s="36" t="s">
        <v>171</v>
      </c>
      <c r="E5" s="3"/>
      <c r="F5" s="41" t="s">
        <v>1</v>
      </c>
      <c r="G5" s="54" t="str">
        <f>'26.10 Mbarara-Ibanda-24hr'!G5:H5</f>
        <v>RUHUMBA</v>
      </c>
      <c r="H5" s="55"/>
      <c r="I5" s="14"/>
      <c r="J5" s="2" t="s">
        <v>5</v>
      </c>
      <c r="K5" s="54" t="str">
        <f>'26.10 Mbarara-Ibanda-24hr'!K5:L5</f>
        <v>TURYAHABWE NORMAN</v>
      </c>
      <c r="L5" s="55"/>
      <c r="M5" s="10"/>
      <c r="N5" s="10"/>
      <c r="O5" s="3"/>
      <c r="P5" s="3"/>
    </row>
    <row r="6" spans="2:32" ht="32.25" customHeight="1" x14ac:dyDescent="0.25">
      <c r="C6" s="2" t="s">
        <v>4</v>
      </c>
      <c r="D6" s="54" t="str">
        <f>'25.10 Ibanada-Mbarara'!D6:E6</f>
        <v>IBANDA</v>
      </c>
      <c r="E6" s="55"/>
      <c r="F6" s="2" t="s">
        <v>2</v>
      </c>
      <c r="G6" s="54" t="str">
        <f>'25.10 Ibanada-Mbarara'!G6:H6</f>
        <v>MBARARA</v>
      </c>
      <c r="H6" s="55"/>
      <c r="J6" s="2" t="s">
        <v>21</v>
      </c>
      <c r="K6" s="54" t="str">
        <f>'26.10 Mbarara-Ibanda-24hr'!K6:L6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1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18</v>
      </c>
      <c r="T10" s="17">
        <f t="shared" si="2"/>
        <v>1</v>
      </c>
      <c r="U10" s="17">
        <f t="shared" si="2"/>
        <v>1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29</v>
      </c>
      <c r="AD10" s="17">
        <f t="shared" si="2"/>
        <v>0</v>
      </c>
      <c r="AE10" s="31">
        <f t="shared" si="2"/>
        <v>29</v>
      </c>
      <c r="AF10" s="31">
        <f t="shared" si="2"/>
        <v>58</v>
      </c>
    </row>
    <row r="11" spans="2:32" s="6" customFormat="1" ht="23.1" customHeight="1" x14ac:dyDescent="0.25">
      <c r="B11" s="45" t="s">
        <v>38</v>
      </c>
      <c r="C11" s="50">
        <v>4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24</v>
      </c>
      <c r="T11" s="17">
        <f t="shared" si="3"/>
        <v>1</v>
      </c>
      <c r="U11" s="17">
        <f t="shared" si="3"/>
        <v>4</v>
      </c>
      <c r="V11" s="17">
        <f t="shared" si="3"/>
        <v>16</v>
      </c>
      <c r="W11" s="17">
        <f t="shared" si="3"/>
        <v>0</v>
      </c>
      <c r="X11" s="17">
        <f t="shared" si="3"/>
        <v>2</v>
      </c>
      <c r="Y11" s="17">
        <f t="shared" si="3"/>
        <v>1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56</v>
      </c>
      <c r="AD11" s="17">
        <f t="shared" si="3"/>
        <v>0</v>
      </c>
      <c r="AE11" s="31">
        <f t="shared" si="3"/>
        <v>50</v>
      </c>
      <c r="AF11" s="31">
        <f t="shared" si="3"/>
        <v>106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1</v>
      </c>
      <c r="F12" s="50">
        <v>4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8</v>
      </c>
      <c r="P12" s="15">
        <f t="shared" si="1"/>
        <v>19</v>
      </c>
      <c r="R12" s="1" t="s">
        <v>8</v>
      </c>
      <c r="S12" s="17">
        <f t="shared" ref="S12:AF12" si="4">SUM(C18:C21)</f>
        <v>28</v>
      </c>
      <c r="T12" s="17">
        <f t="shared" si="4"/>
        <v>2</v>
      </c>
      <c r="U12" s="17">
        <f t="shared" si="4"/>
        <v>3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50</v>
      </c>
      <c r="AD12" s="17">
        <f t="shared" si="4"/>
        <v>0</v>
      </c>
      <c r="AE12" s="31">
        <f t="shared" si="4"/>
        <v>45</v>
      </c>
      <c r="AF12" s="31">
        <f t="shared" si="4"/>
        <v>95</v>
      </c>
    </row>
    <row r="13" spans="2:32" ht="23.1" customHeight="1" x14ac:dyDescent="0.25">
      <c r="B13" s="45" t="s">
        <v>40</v>
      </c>
      <c r="C13" s="50">
        <v>9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11</v>
      </c>
      <c r="N13" s="50">
        <v>0</v>
      </c>
      <c r="O13" s="15">
        <f t="shared" si="0"/>
        <v>11</v>
      </c>
      <c r="P13" s="15">
        <f t="shared" si="1"/>
        <v>22</v>
      </c>
      <c r="R13" s="1" t="s">
        <v>9</v>
      </c>
      <c r="S13" s="17">
        <f t="shared" ref="S13:AF13" si="5">SUM(C22:C25)</f>
        <v>33</v>
      </c>
      <c r="T13" s="17">
        <f t="shared" si="5"/>
        <v>2</v>
      </c>
      <c r="U13" s="17">
        <f t="shared" si="5"/>
        <v>4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44</v>
      </c>
      <c r="AD13" s="17">
        <f t="shared" si="5"/>
        <v>0</v>
      </c>
      <c r="AE13" s="31">
        <f t="shared" si="5"/>
        <v>52</v>
      </c>
      <c r="AF13" s="31">
        <f t="shared" si="5"/>
        <v>96</v>
      </c>
    </row>
    <row r="14" spans="2:32" ht="23.1" customHeight="1" x14ac:dyDescent="0.25">
      <c r="B14" s="45" t="s">
        <v>41</v>
      </c>
      <c r="C14" s="50">
        <v>9</v>
      </c>
      <c r="D14" s="50">
        <v>0</v>
      </c>
      <c r="E14" s="50">
        <v>0</v>
      </c>
      <c r="F14" s="50">
        <v>6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11</v>
      </c>
      <c r="N14" s="50">
        <v>0</v>
      </c>
      <c r="O14" s="15">
        <f t="shared" si="0"/>
        <v>16</v>
      </c>
      <c r="P14" s="15">
        <f t="shared" si="1"/>
        <v>27</v>
      </c>
      <c r="R14" s="1" t="s">
        <v>10</v>
      </c>
      <c r="S14" s="17">
        <f t="shared" ref="S14:AF14" si="6">SUM(C26:C29)</f>
        <v>20</v>
      </c>
      <c r="T14" s="17">
        <f t="shared" si="6"/>
        <v>1</v>
      </c>
      <c r="U14" s="17">
        <f t="shared" si="6"/>
        <v>0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0</v>
      </c>
      <c r="AB14" s="17">
        <f t="shared" si="6"/>
        <v>1</v>
      </c>
      <c r="AC14" s="17">
        <f t="shared" si="6"/>
        <v>38</v>
      </c>
      <c r="AD14" s="17">
        <f t="shared" si="6"/>
        <v>0</v>
      </c>
      <c r="AE14" s="31">
        <f t="shared" si="6"/>
        <v>35</v>
      </c>
      <c r="AF14" s="31">
        <f t="shared" si="6"/>
        <v>73</v>
      </c>
    </row>
    <row r="15" spans="2:32" ht="23.1" customHeight="1" x14ac:dyDescent="0.25">
      <c r="B15" s="45" t="s">
        <v>42</v>
      </c>
      <c r="C15" s="50">
        <v>7</v>
      </c>
      <c r="D15" s="50">
        <v>0</v>
      </c>
      <c r="E15" s="50">
        <v>1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11</v>
      </c>
      <c r="P15" s="15">
        <f t="shared" si="1"/>
        <v>26</v>
      </c>
      <c r="R15" s="1" t="s">
        <v>11</v>
      </c>
      <c r="S15" s="17">
        <f t="shared" ref="S15:AF15" si="7">SUM(C30:C33)</f>
        <v>26</v>
      </c>
      <c r="T15" s="17">
        <f t="shared" si="7"/>
        <v>1</v>
      </c>
      <c r="U15" s="17">
        <f t="shared" si="7"/>
        <v>2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46</v>
      </c>
      <c r="AD15" s="17">
        <f t="shared" si="7"/>
        <v>0</v>
      </c>
      <c r="AE15" s="31">
        <f t="shared" si="7"/>
        <v>48</v>
      </c>
      <c r="AF15" s="31">
        <f t="shared" si="7"/>
        <v>94</v>
      </c>
    </row>
    <row r="16" spans="2:32" ht="23.1" customHeight="1" x14ac:dyDescent="0.25">
      <c r="B16" s="45" t="s">
        <v>43</v>
      </c>
      <c r="C16" s="50">
        <v>6</v>
      </c>
      <c r="D16" s="50">
        <v>0</v>
      </c>
      <c r="E16" s="50">
        <v>0</v>
      </c>
      <c r="F16" s="50">
        <v>5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12</v>
      </c>
      <c r="P16" s="15">
        <f t="shared" si="1"/>
        <v>27</v>
      </c>
      <c r="R16" s="1" t="s">
        <v>12</v>
      </c>
      <c r="S16" s="17">
        <f t="shared" ref="S16:AF16" si="8">SUM(C34:C37)</f>
        <v>25</v>
      </c>
      <c r="T16" s="17">
        <f t="shared" si="8"/>
        <v>2</v>
      </c>
      <c r="U16" s="17">
        <f t="shared" si="8"/>
        <v>1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55</v>
      </c>
      <c r="AD16" s="17">
        <f t="shared" si="8"/>
        <v>0</v>
      </c>
      <c r="AE16" s="31">
        <f t="shared" si="8"/>
        <v>38</v>
      </c>
      <c r="AF16" s="31">
        <f t="shared" si="8"/>
        <v>93</v>
      </c>
    </row>
    <row r="17" spans="2:32" ht="23.1" customHeight="1" x14ac:dyDescent="0.25">
      <c r="B17" s="45" t="s">
        <v>44</v>
      </c>
      <c r="C17" s="50">
        <v>2</v>
      </c>
      <c r="D17" s="50">
        <v>1</v>
      </c>
      <c r="E17" s="50">
        <v>3</v>
      </c>
      <c r="F17" s="50">
        <v>2</v>
      </c>
      <c r="G17" s="50">
        <v>0</v>
      </c>
      <c r="H17" s="50">
        <v>1</v>
      </c>
      <c r="I17" s="50">
        <v>1</v>
      </c>
      <c r="J17" s="50">
        <v>1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11</v>
      </c>
      <c r="P17" s="15">
        <f t="shared" si="1"/>
        <v>26</v>
      </c>
      <c r="R17" s="1" t="s">
        <v>13</v>
      </c>
      <c r="S17" s="17">
        <f t="shared" ref="S17:AF17" si="9">SUM(C38:C41)</f>
        <v>23</v>
      </c>
      <c r="T17" s="17">
        <f t="shared" si="9"/>
        <v>3</v>
      </c>
      <c r="U17" s="17">
        <f t="shared" si="9"/>
        <v>4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7</v>
      </c>
      <c r="AA17" s="17">
        <f t="shared" si="9"/>
        <v>2</v>
      </c>
      <c r="AB17" s="17">
        <f t="shared" si="9"/>
        <v>0</v>
      </c>
      <c r="AC17" s="17">
        <f t="shared" si="9"/>
        <v>32</v>
      </c>
      <c r="AD17" s="17">
        <f t="shared" si="9"/>
        <v>0</v>
      </c>
      <c r="AE17" s="31">
        <f t="shared" si="9"/>
        <v>46</v>
      </c>
      <c r="AF17" s="31">
        <f t="shared" si="9"/>
        <v>78</v>
      </c>
    </row>
    <row r="18" spans="2:32" ht="23.1" customHeight="1" x14ac:dyDescent="0.25">
      <c r="B18" s="45" t="s">
        <v>45</v>
      </c>
      <c r="C18" s="50">
        <v>7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8</v>
      </c>
      <c r="P18" s="15">
        <f t="shared" si="1"/>
        <v>22</v>
      </c>
      <c r="R18" s="1" t="s">
        <v>14</v>
      </c>
      <c r="S18" s="17">
        <f t="shared" ref="S18:AF18" si="10">SUM(C42:C45)</f>
        <v>20</v>
      </c>
      <c r="T18" s="17">
        <f t="shared" si="10"/>
        <v>4</v>
      </c>
      <c r="U18" s="17">
        <f t="shared" si="10"/>
        <v>0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1">
        <f t="shared" si="10"/>
        <v>37</v>
      </c>
      <c r="AF18" s="31">
        <f t="shared" si="10"/>
        <v>89</v>
      </c>
    </row>
    <row r="19" spans="2:32" ht="23.1" customHeight="1" x14ac:dyDescent="0.25">
      <c r="B19" s="45" t="s">
        <v>46</v>
      </c>
      <c r="C19" s="50">
        <v>6</v>
      </c>
      <c r="D19" s="50">
        <v>0</v>
      </c>
      <c r="E19" s="50">
        <v>2</v>
      </c>
      <c r="F19" s="50">
        <v>2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11</v>
      </c>
      <c r="P19" s="15">
        <f t="shared" si="1"/>
        <v>21</v>
      </c>
      <c r="R19" s="1" t="s">
        <v>15</v>
      </c>
      <c r="S19" s="17">
        <f t="shared" ref="S19:AF19" si="11">SUM(C46:C49)</f>
        <v>26</v>
      </c>
      <c r="T19" s="17">
        <f t="shared" si="11"/>
        <v>3</v>
      </c>
      <c r="U19" s="17">
        <f t="shared" si="11"/>
        <v>6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5</v>
      </c>
      <c r="AA19" s="17">
        <f t="shared" si="11"/>
        <v>2</v>
      </c>
      <c r="AB19" s="17">
        <f t="shared" si="11"/>
        <v>0</v>
      </c>
      <c r="AC19" s="17">
        <f t="shared" si="11"/>
        <v>37</v>
      </c>
      <c r="AD19" s="17">
        <f t="shared" si="11"/>
        <v>0</v>
      </c>
      <c r="AE19" s="31">
        <f t="shared" si="11"/>
        <v>49</v>
      </c>
      <c r="AF19" s="31">
        <f t="shared" si="11"/>
        <v>86</v>
      </c>
    </row>
    <row r="20" spans="2:32" ht="23.1" customHeight="1" x14ac:dyDescent="0.25">
      <c r="B20" s="45" t="s">
        <v>47</v>
      </c>
      <c r="C20" s="50">
        <v>7</v>
      </c>
      <c r="D20" s="50">
        <v>0</v>
      </c>
      <c r="E20" s="50">
        <v>1</v>
      </c>
      <c r="F20" s="50">
        <v>5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13</v>
      </c>
      <c r="P20" s="15">
        <f t="shared" si="1"/>
        <v>27</v>
      </c>
      <c r="R20" s="1" t="s">
        <v>16</v>
      </c>
      <c r="S20" s="17">
        <f t="shared" ref="S20:AF20" si="12">SUM(C50:C53)</f>
        <v>20</v>
      </c>
      <c r="T20" s="17">
        <f t="shared" si="12"/>
        <v>0</v>
      </c>
      <c r="U20" s="17">
        <f t="shared" si="12"/>
        <v>3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43</v>
      </c>
      <c r="AD20" s="17">
        <f t="shared" si="12"/>
        <v>0</v>
      </c>
      <c r="AE20" s="31">
        <f t="shared" si="12"/>
        <v>31</v>
      </c>
      <c r="AF20" s="31">
        <f t="shared" si="12"/>
        <v>74</v>
      </c>
    </row>
    <row r="21" spans="2:32" ht="23.1" customHeight="1" x14ac:dyDescent="0.25">
      <c r="B21" s="45" t="s">
        <v>48</v>
      </c>
      <c r="C21" s="50">
        <v>8</v>
      </c>
      <c r="D21" s="50">
        <v>1</v>
      </c>
      <c r="E21" s="50">
        <v>0</v>
      </c>
      <c r="F21" s="50">
        <v>4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12</v>
      </c>
      <c r="N21" s="50">
        <v>0</v>
      </c>
      <c r="O21" s="15">
        <f t="shared" si="0"/>
        <v>13</v>
      </c>
      <c r="P21" s="15">
        <f t="shared" si="1"/>
        <v>25</v>
      </c>
      <c r="R21" s="36" t="s">
        <v>20</v>
      </c>
      <c r="S21" s="34">
        <f t="shared" ref="S21:AF21" si="13">SUM(C54:C57)</f>
        <v>22</v>
      </c>
      <c r="T21" s="17">
        <f t="shared" si="13"/>
        <v>1</v>
      </c>
      <c r="U21" s="17">
        <f t="shared" si="13"/>
        <v>3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1</v>
      </c>
      <c r="AB21" s="17">
        <f t="shared" si="13"/>
        <v>1</v>
      </c>
      <c r="AC21" s="17">
        <f t="shared" si="13"/>
        <v>48</v>
      </c>
      <c r="AD21" s="17">
        <f t="shared" si="13"/>
        <v>0</v>
      </c>
      <c r="AE21" s="31">
        <f t="shared" si="13"/>
        <v>38</v>
      </c>
      <c r="AF21" s="31">
        <f t="shared" si="13"/>
        <v>86</v>
      </c>
    </row>
    <row r="22" spans="2:32" ht="23.1" customHeight="1" x14ac:dyDescent="0.25">
      <c r="B22" s="45" t="s">
        <v>49</v>
      </c>
      <c r="C22" s="50">
        <v>7</v>
      </c>
      <c r="D22" s="50">
        <v>2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14</v>
      </c>
      <c r="P22" s="15">
        <f t="shared" si="1"/>
        <v>25</v>
      </c>
      <c r="R22" s="36" t="s">
        <v>146</v>
      </c>
      <c r="S22" s="34">
        <f>SUM(C58:C61)</f>
        <v>23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12</v>
      </c>
      <c r="W22" s="34">
        <f t="shared" si="14"/>
        <v>1</v>
      </c>
      <c r="X22" s="34">
        <f t="shared" si="14"/>
        <v>0</v>
      </c>
      <c r="Y22" s="34">
        <f t="shared" si="14"/>
        <v>2</v>
      </c>
      <c r="Z22" s="34">
        <f t="shared" si="14"/>
        <v>4</v>
      </c>
      <c r="AA22" s="34">
        <f t="shared" si="14"/>
        <v>3</v>
      </c>
      <c r="AB22" s="34">
        <f t="shared" si="14"/>
        <v>0</v>
      </c>
      <c r="AC22" s="34">
        <f t="shared" si="14"/>
        <v>14</v>
      </c>
      <c r="AD22" s="34">
        <f t="shared" si="14"/>
        <v>0</v>
      </c>
      <c r="AE22" s="31">
        <f t="shared" si="14"/>
        <v>46</v>
      </c>
      <c r="AF22" s="31">
        <f t="shared" si="14"/>
        <v>60</v>
      </c>
    </row>
    <row r="23" spans="2:32" ht="23.1" customHeight="1" x14ac:dyDescent="0.25">
      <c r="B23" s="45" t="s">
        <v>50</v>
      </c>
      <c r="C23" s="50">
        <v>12</v>
      </c>
      <c r="D23" s="50">
        <v>0</v>
      </c>
      <c r="E23" s="50">
        <v>2</v>
      </c>
      <c r="F23" s="50">
        <v>3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18</v>
      </c>
      <c r="P23" s="15">
        <f t="shared" si="1"/>
        <v>28</v>
      </c>
      <c r="R23" s="36" t="s">
        <v>147</v>
      </c>
      <c r="S23" s="34">
        <f>SUM(C62:C65)</f>
        <v>9</v>
      </c>
      <c r="T23" s="34">
        <f t="shared" ref="T23:AF23" si="15">SUM(D62:D65)</f>
        <v>6</v>
      </c>
      <c r="U23" s="34">
        <f t="shared" si="15"/>
        <v>1</v>
      </c>
      <c r="V23" s="34">
        <f t="shared" si="15"/>
        <v>0</v>
      </c>
      <c r="W23" s="34">
        <f t="shared" si="15"/>
        <v>1</v>
      </c>
      <c r="X23" s="34">
        <f t="shared" si="15"/>
        <v>0</v>
      </c>
      <c r="Y23" s="34">
        <f t="shared" si="15"/>
        <v>2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19</v>
      </c>
      <c r="AD23" s="34">
        <f t="shared" si="15"/>
        <v>0</v>
      </c>
      <c r="AE23" s="31">
        <f t="shared" si="15"/>
        <v>21</v>
      </c>
      <c r="AF23" s="31">
        <f t="shared" si="15"/>
        <v>40</v>
      </c>
    </row>
    <row r="24" spans="2:32" ht="23.1" customHeight="1" x14ac:dyDescent="0.25">
      <c r="B24" s="45" t="s">
        <v>51</v>
      </c>
      <c r="C24" s="50">
        <v>8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11</v>
      </c>
      <c r="P24" s="15">
        <f t="shared" si="1"/>
        <v>21</v>
      </c>
      <c r="R24" s="36" t="s">
        <v>148</v>
      </c>
      <c r="S24" s="34">
        <f>SUM(C66:C69)</f>
        <v>5</v>
      </c>
      <c r="T24" s="34">
        <f t="shared" ref="T24:AF24" si="16">SUM(D66:D69)</f>
        <v>9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9</v>
      </c>
      <c r="AD24" s="34">
        <f t="shared" si="16"/>
        <v>0</v>
      </c>
      <c r="AE24" s="31">
        <f t="shared" si="16"/>
        <v>20</v>
      </c>
      <c r="AF24" s="31">
        <f t="shared" si="16"/>
        <v>29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0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13</v>
      </c>
      <c r="N25" s="50">
        <v>0</v>
      </c>
      <c r="O25" s="15">
        <f t="shared" si="0"/>
        <v>9</v>
      </c>
      <c r="P25" s="15">
        <f t="shared" si="1"/>
        <v>22</v>
      </c>
      <c r="R25" s="36" t="s">
        <v>149</v>
      </c>
      <c r="S25" s="34">
        <f>SUM(C70:C73)</f>
        <v>2</v>
      </c>
      <c r="T25" s="34">
        <f t="shared" ref="T25:AF25" si="17">SUM(D70:D73)</f>
        <v>2</v>
      </c>
      <c r="U25" s="34">
        <f t="shared" si="17"/>
        <v>2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9</v>
      </c>
      <c r="AD25" s="34">
        <f t="shared" si="17"/>
        <v>0</v>
      </c>
      <c r="AE25" s="31">
        <f t="shared" si="17"/>
        <v>15</v>
      </c>
      <c r="AF25" s="31">
        <f t="shared" si="17"/>
        <v>24</v>
      </c>
    </row>
    <row r="26" spans="2:32" ht="23.1" customHeight="1" x14ac:dyDescent="0.25">
      <c r="B26" s="45" t="s">
        <v>53</v>
      </c>
      <c r="C26" s="50">
        <v>2</v>
      </c>
      <c r="D26" s="50">
        <v>1</v>
      </c>
      <c r="E26" s="50">
        <v>0</v>
      </c>
      <c r="F26" s="50">
        <v>4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7</v>
      </c>
      <c r="P26" s="15">
        <f t="shared" si="1"/>
        <v>18</v>
      </c>
      <c r="R26" s="36" t="s">
        <v>150</v>
      </c>
      <c r="S26" s="34">
        <f>SUM(C74:C77)</f>
        <v>2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8</v>
      </c>
      <c r="AF26" s="31">
        <f t="shared" si="18"/>
        <v>11</v>
      </c>
    </row>
    <row r="27" spans="2:32" ht="23.1" customHeight="1" x14ac:dyDescent="0.25">
      <c r="B27" s="45" t="s">
        <v>54</v>
      </c>
      <c r="C27" s="50">
        <v>6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7</v>
      </c>
      <c r="P27" s="15">
        <f t="shared" si="1"/>
        <v>15</v>
      </c>
      <c r="R27" s="36" t="s">
        <v>151</v>
      </c>
      <c r="S27" s="34">
        <f>SUM(C78:C81)</f>
        <v>2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0</v>
      </c>
      <c r="W27" s="34">
        <f t="shared" si="19"/>
        <v>1</v>
      </c>
      <c r="X27" s="34">
        <f t="shared" si="19"/>
        <v>5</v>
      </c>
      <c r="Y27" s="34">
        <f t="shared" si="19"/>
        <v>3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14</v>
      </c>
      <c r="AF27" s="31">
        <f t="shared" si="19"/>
        <v>18</v>
      </c>
    </row>
    <row r="28" spans="2:32" ht="23.1" customHeight="1" x14ac:dyDescent="0.25">
      <c r="B28" s="45" t="s">
        <v>55</v>
      </c>
      <c r="C28" s="50">
        <v>6</v>
      </c>
      <c r="D28" s="50">
        <v>0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1</v>
      </c>
      <c r="M28" s="50">
        <v>7</v>
      </c>
      <c r="N28" s="50">
        <v>0</v>
      </c>
      <c r="O28" s="15">
        <f t="shared" si="0"/>
        <v>11</v>
      </c>
      <c r="P28" s="15">
        <f t="shared" si="1"/>
        <v>18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7</v>
      </c>
      <c r="AD28" s="34">
        <f t="shared" si="20"/>
        <v>0</v>
      </c>
      <c r="AE28" s="31">
        <f t="shared" si="20"/>
        <v>5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6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12</v>
      </c>
      <c r="N29" s="50">
        <v>0</v>
      </c>
      <c r="O29" s="15">
        <f t="shared" si="0"/>
        <v>10</v>
      </c>
      <c r="P29" s="15">
        <f t="shared" si="1"/>
        <v>22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3</v>
      </c>
      <c r="D30" s="50">
        <v>1</v>
      </c>
      <c r="E30" s="50">
        <v>0</v>
      </c>
      <c r="F30" s="50">
        <v>3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9</v>
      </c>
      <c r="P30" s="15">
        <f t="shared" si="1"/>
        <v>21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8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2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11</v>
      </c>
      <c r="P31" s="15">
        <f t="shared" si="1"/>
        <v>22</v>
      </c>
      <c r="R31" s="36" t="s">
        <v>155</v>
      </c>
      <c r="S31" s="34">
        <f>SUM(C94:C97)</f>
        <v>1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9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4</v>
      </c>
      <c r="J32" s="50">
        <v>3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19</v>
      </c>
      <c r="P32" s="15">
        <f t="shared" si="1"/>
        <v>31</v>
      </c>
      <c r="R32" s="33" t="s">
        <v>156</v>
      </c>
      <c r="S32" s="34">
        <f>SUM(C98:C101)</f>
        <v>2</v>
      </c>
      <c r="T32" s="34">
        <f t="shared" ref="T32:AF32" si="24">SUM(D98:D101)</f>
        <v>3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1</v>
      </c>
      <c r="AB32" s="34">
        <f t="shared" si="24"/>
        <v>1</v>
      </c>
      <c r="AC32" s="34">
        <f t="shared" si="24"/>
        <v>7</v>
      </c>
      <c r="AD32" s="34">
        <f t="shared" si="24"/>
        <v>0</v>
      </c>
      <c r="AE32" s="31">
        <f t="shared" si="24"/>
        <v>10</v>
      </c>
      <c r="AF32" s="31">
        <f t="shared" si="24"/>
        <v>17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9</v>
      </c>
      <c r="P33" s="15">
        <f t="shared" si="1"/>
        <v>20</v>
      </c>
      <c r="R33" s="33" t="s">
        <v>157</v>
      </c>
      <c r="S33" s="34">
        <f>SUM(C102:C105)</f>
        <v>6</v>
      </c>
      <c r="T33" s="34">
        <f t="shared" ref="T33:AF33" si="25">SUM(D102:D105)</f>
        <v>2</v>
      </c>
      <c r="U33" s="34">
        <f t="shared" si="25"/>
        <v>0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9</v>
      </c>
      <c r="AD33" s="34">
        <f t="shared" si="25"/>
        <v>0</v>
      </c>
      <c r="AE33" s="31">
        <f t="shared" si="25"/>
        <v>12</v>
      </c>
      <c r="AF33" s="31">
        <f t="shared" si="25"/>
        <v>21</v>
      </c>
    </row>
    <row r="34" spans="2:32" ht="23.1" customHeight="1" x14ac:dyDescent="0.25">
      <c r="B34" s="46" t="s">
        <v>61</v>
      </c>
      <c r="C34" s="50">
        <v>5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11</v>
      </c>
      <c r="N34" s="50">
        <v>0</v>
      </c>
      <c r="O34" s="15">
        <f t="shared" si="0"/>
        <v>10</v>
      </c>
      <c r="P34" s="15">
        <f t="shared" si="1"/>
        <v>21</v>
      </c>
      <c r="R34" s="38" t="s">
        <v>90</v>
      </c>
      <c r="S34" s="39">
        <f t="shared" ref="S34:AF34" si="26">MAX(S10:S12)</f>
        <v>28</v>
      </c>
      <c r="T34" s="39">
        <f t="shared" si="26"/>
        <v>2</v>
      </c>
      <c r="U34" s="39">
        <f t="shared" si="26"/>
        <v>4</v>
      </c>
      <c r="V34" s="39">
        <f t="shared" si="26"/>
        <v>16</v>
      </c>
      <c r="W34" s="39">
        <f t="shared" si="26"/>
        <v>0</v>
      </c>
      <c r="X34" s="39">
        <f t="shared" si="26"/>
        <v>2</v>
      </c>
      <c r="Y34" s="39">
        <f t="shared" si="26"/>
        <v>1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56</v>
      </c>
      <c r="AD34" s="39">
        <f t="shared" si="26"/>
        <v>0</v>
      </c>
      <c r="AE34" s="40">
        <f t="shared" si="26"/>
        <v>50</v>
      </c>
      <c r="AF34" s="40">
        <f t="shared" si="26"/>
        <v>106</v>
      </c>
    </row>
    <row r="35" spans="2:32" ht="23.1" customHeight="1" x14ac:dyDescent="0.25">
      <c r="B35" s="46" t="s">
        <v>62</v>
      </c>
      <c r="C35" s="50">
        <v>7</v>
      </c>
      <c r="D35" s="50">
        <v>1</v>
      </c>
      <c r="E35" s="50">
        <v>0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10</v>
      </c>
      <c r="P35" s="15">
        <f t="shared" si="1"/>
        <v>28</v>
      </c>
      <c r="R35" s="38" t="s">
        <v>91</v>
      </c>
      <c r="S35" s="39">
        <f t="shared" ref="S35:AF35" si="27">MAX(S13:S18)</f>
        <v>33</v>
      </c>
      <c r="T35" s="39">
        <f t="shared" si="27"/>
        <v>4</v>
      </c>
      <c r="U35" s="39">
        <f t="shared" si="27"/>
        <v>4</v>
      </c>
      <c r="V35" s="39">
        <f t="shared" si="27"/>
        <v>10</v>
      </c>
      <c r="W35" s="39">
        <f t="shared" si="27"/>
        <v>0</v>
      </c>
      <c r="X35" s="39">
        <f t="shared" si="27"/>
        <v>0</v>
      </c>
      <c r="Y35" s="39">
        <f t="shared" si="27"/>
        <v>8</v>
      </c>
      <c r="Z35" s="39">
        <f t="shared" si="27"/>
        <v>7</v>
      </c>
      <c r="AA35" s="39">
        <f t="shared" si="27"/>
        <v>2</v>
      </c>
      <c r="AB35" s="39">
        <f t="shared" si="27"/>
        <v>1</v>
      </c>
      <c r="AC35" s="39">
        <f t="shared" si="27"/>
        <v>55</v>
      </c>
      <c r="AD35" s="39">
        <f t="shared" si="27"/>
        <v>0</v>
      </c>
      <c r="AE35" s="40">
        <f t="shared" si="27"/>
        <v>52</v>
      </c>
      <c r="AF35" s="40">
        <f t="shared" si="27"/>
        <v>96</v>
      </c>
    </row>
    <row r="36" spans="2:32" ht="23.1" customHeight="1" x14ac:dyDescent="0.25">
      <c r="B36" s="46" t="s">
        <v>63</v>
      </c>
      <c r="C36" s="50">
        <v>8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9</v>
      </c>
      <c r="P36" s="15">
        <f t="shared" si="1"/>
        <v>22</v>
      </c>
      <c r="R36" s="38" t="s">
        <v>92</v>
      </c>
      <c r="S36" s="39">
        <f t="shared" ref="S36:AF36" si="28">MAX(S19:S21)</f>
        <v>26</v>
      </c>
      <c r="T36" s="39">
        <f t="shared" si="28"/>
        <v>3</v>
      </c>
      <c r="U36" s="39">
        <f t="shared" si="28"/>
        <v>6</v>
      </c>
      <c r="V36" s="39">
        <f t="shared" si="28"/>
        <v>5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5</v>
      </c>
      <c r="AA36" s="39">
        <f t="shared" si="28"/>
        <v>2</v>
      </c>
      <c r="AB36" s="39">
        <f t="shared" si="28"/>
        <v>1</v>
      </c>
      <c r="AC36" s="39">
        <f t="shared" si="28"/>
        <v>48</v>
      </c>
      <c r="AD36" s="39">
        <f t="shared" si="28"/>
        <v>0</v>
      </c>
      <c r="AE36" s="40">
        <f t="shared" si="28"/>
        <v>49</v>
      </c>
      <c r="AF36" s="40">
        <f t="shared" si="28"/>
        <v>86</v>
      </c>
    </row>
    <row r="37" spans="2:32" ht="23.1" customHeight="1" x14ac:dyDescent="0.25">
      <c r="B37" s="45" t="s">
        <v>64</v>
      </c>
      <c r="C37" s="50">
        <v>5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9</v>
      </c>
      <c r="P37" s="15">
        <f t="shared" si="1"/>
        <v>22</v>
      </c>
      <c r="R37" s="37" t="s">
        <v>85</v>
      </c>
      <c r="S37" s="35">
        <f t="shared" ref="S37:AF37" si="29">SUM(S10:S12)</f>
        <v>70</v>
      </c>
      <c r="T37" s="16">
        <f t="shared" si="29"/>
        <v>4</v>
      </c>
      <c r="U37" s="16">
        <f t="shared" si="29"/>
        <v>8</v>
      </c>
      <c r="V37" s="16">
        <f t="shared" si="29"/>
        <v>34</v>
      </c>
      <c r="W37" s="16">
        <f t="shared" si="29"/>
        <v>0</v>
      </c>
      <c r="X37" s="16">
        <f t="shared" si="29"/>
        <v>2</v>
      </c>
      <c r="Y37" s="16">
        <f t="shared" si="29"/>
        <v>1</v>
      </c>
      <c r="Z37" s="16">
        <f t="shared" si="29"/>
        <v>3</v>
      </c>
      <c r="AA37" s="16">
        <f t="shared" si="29"/>
        <v>2</v>
      </c>
      <c r="AB37" s="16">
        <f t="shared" si="29"/>
        <v>0</v>
      </c>
      <c r="AC37" s="16">
        <f t="shared" si="29"/>
        <v>135</v>
      </c>
      <c r="AD37" s="16">
        <f t="shared" si="29"/>
        <v>0</v>
      </c>
      <c r="AE37" s="32">
        <f t="shared" si="29"/>
        <v>124</v>
      </c>
      <c r="AF37" s="32">
        <f t="shared" si="29"/>
        <v>259</v>
      </c>
    </row>
    <row r="38" spans="2:32" ht="23.1" customHeight="1" x14ac:dyDescent="0.25">
      <c r="B38" s="46" t="s">
        <v>65</v>
      </c>
      <c r="C38" s="50">
        <v>5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2</v>
      </c>
      <c r="J38" s="50">
        <v>3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13</v>
      </c>
      <c r="P38" s="15">
        <f t="shared" si="1"/>
        <v>19</v>
      </c>
      <c r="R38" s="28" t="s">
        <v>86</v>
      </c>
      <c r="S38" s="16">
        <f t="shared" ref="S38:AF38" si="30">SUM(S13:S18)</f>
        <v>147</v>
      </c>
      <c r="T38" s="16">
        <f t="shared" si="30"/>
        <v>13</v>
      </c>
      <c r="U38" s="16">
        <f t="shared" si="30"/>
        <v>11</v>
      </c>
      <c r="V38" s="16">
        <f t="shared" si="30"/>
        <v>42</v>
      </c>
      <c r="W38" s="16">
        <f t="shared" si="30"/>
        <v>0</v>
      </c>
      <c r="X38" s="16">
        <f t="shared" si="30"/>
        <v>0</v>
      </c>
      <c r="Y38" s="16">
        <f t="shared" si="30"/>
        <v>19</v>
      </c>
      <c r="Z38" s="16">
        <f t="shared" si="30"/>
        <v>21</v>
      </c>
      <c r="AA38" s="16">
        <f t="shared" si="30"/>
        <v>2</v>
      </c>
      <c r="AB38" s="16">
        <f t="shared" si="30"/>
        <v>1</v>
      </c>
      <c r="AC38" s="16">
        <f t="shared" si="30"/>
        <v>267</v>
      </c>
      <c r="AD38" s="16">
        <f t="shared" si="30"/>
        <v>0</v>
      </c>
      <c r="AE38" s="32">
        <f t="shared" si="30"/>
        <v>256</v>
      </c>
      <c r="AF38" s="32">
        <f t="shared" si="30"/>
        <v>523</v>
      </c>
    </row>
    <row r="39" spans="2:32" ht="23.1" customHeight="1" x14ac:dyDescent="0.25">
      <c r="B39" s="46" t="s">
        <v>66</v>
      </c>
      <c r="C39" s="50">
        <v>6</v>
      </c>
      <c r="D39" s="50">
        <v>2</v>
      </c>
      <c r="E39" s="50">
        <v>2</v>
      </c>
      <c r="F39" s="50">
        <v>2</v>
      </c>
      <c r="G39" s="50">
        <v>0</v>
      </c>
      <c r="H39" s="50">
        <v>0</v>
      </c>
      <c r="I39" s="50">
        <v>0</v>
      </c>
      <c r="J39" s="50">
        <v>1</v>
      </c>
      <c r="K39" s="50">
        <v>2</v>
      </c>
      <c r="L39" s="50">
        <v>0</v>
      </c>
      <c r="M39" s="50">
        <v>6</v>
      </c>
      <c r="N39" s="50">
        <v>0</v>
      </c>
      <c r="O39" s="15">
        <f t="shared" si="0"/>
        <v>15</v>
      </c>
      <c r="P39" s="15">
        <f t="shared" si="1"/>
        <v>21</v>
      </c>
      <c r="R39" s="29" t="s">
        <v>87</v>
      </c>
      <c r="S39" s="16">
        <f t="shared" ref="S39:AF39" si="31">SUM(S19:S21)</f>
        <v>68</v>
      </c>
      <c r="T39" s="16">
        <f t="shared" si="31"/>
        <v>4</v>
      </c>
      <c r="U39" s="16">
        <f t="shared" si="31"/>
        <v>12</v>
      </c>
      <c r="V39" s="16">
        <f t="shared" si="31"/>
        <v>13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8</v>
      </c>
      <c r="AA39" s="16">
        <f t="shared" si="31"/>
        <v>4</v>
      </c>
      <c r="AB39" s="16">
        <f t="shared" si="31"/>
        <v>1</v>
      </c>
      <c r="AC39" s="16">
        <f t="shared" si="31"/>
        <v>128</v>
      </c>
      <c r="AD39" s="16">
        <f t="shared" si="31"/>
        <v>0</v>
      </c>
      <c r="AE39" s="32">
        <f t="shared" si="31"/>
        <v>118</v>
      </c>
      <c r="AF39" s="32">
        <f t="shared" si="31"/>
        <v>246</v>
      </c>
    </row>
    <row r="40" spans="2:32" ht="23.1" customHeight="1" x14ac:dyDescent="0.25">
      <c r="B40" s="46" t="s">
        <v>67</v>
      </c>
      <c r="C40" s="50">
        <v>6</v>
      </c>
      <c r="D40" s="50">
        <v>1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8</v>
      </c>
      <c r="P40" s="15">
        <f t="shared" si="1"/>
        <v>15</v>
      </c>
      <c r="R40" s="5" t="s">
        <v>17</v>
      </c>
      <c r="S40" s="16">
        <f t="shared" ref="S40:AF40" si="32">SUM(S10:S21)</f>
        <v>285</v>
      </c>
      <c r="T40" s="16">
        <f t="shared" si="32"/>
        <v>21</v>
      </c>
      <c r="U40" s="16">
        <f t="shared" si="32"/>
        <v>31</v>
      </c>
      <c r="V40" s="16">
        <f t="shared" si="32"/>
        <v>89</v>
      </c>
      <c r="W40" s="16">
        <f t="shared" si="32"/>
        <v>0</v>
      </c>
      <c r="X40" s="16">
        <f t="shared" si="32"/>
        <v>2</v>
      </c>
      <c r="Y40" s="16">
        <f t="shared" si="32"/>
        <v>28</v>
      </c>
      <c r="Z40" s="16">
        <f t="shared" si="32"/>
        <v>32</v>
      </c>
      <c r="AA40" s="16">
        <f t="shared" si="32"/>
        <v>8</v>
      </c>
      <c r="AB40" s="16">
        <f t="shared" si="32"/>
        <v>2</v>
      </c>
      <c r="AC40" s="16">
        <f t="shared" si="32"/>
        <v>530</v>
      </c>
      <c r="AD40" s="16">
        <f t="shared" si="32"/>
        <v>0</v>
      </c>
      <c r="AE40" s="32">
        <f t="shared" si="32"/>
        <v>498</v>
      </c>
      <c r="AF40" s="32">
        <f t="shared" si="32"/>
        <v>1028</v>
      </c>
    </row>
    <row r="41" spans="2:32" ht="23.1" customHeight="1" x14ac:dyDescent="0.25">
      <c r="B41" s="45" t="s">
        <v>68</v>
      </c>
      <c r="C41" s="50">
        <v>6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3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10</v>
      </c>
      <c r="P41" s="15">
        <f t="shared" si="1"/>
        <v>23</v>
      </c>
      <c r="R41" s="5" t="s">
        <v>159</v>
      </c>
      <c r="S41" s="16">
        <f>SUM(S10:S33)</f>
        <v>340</v>
      </c>
      <c r="T41" s="16">
        <f t="shared" ref="T41:AF41" si="33">SUM(T10:T33)</f>
        <v>47</v>
      </c>
      <c r="U41" s="16">
        <f t="shared" si="33"/>
        <v>38</v>
      </c>
      <c r="V41" s="16">
        <f t="shared" si="33"/>
        <v>111</v>
      </c>
      <c r="W41" s="16">
        <f t="shared" si="33"/>
        <v>3</v>
      </c>
      <c r="X41" s="16">
        <f t="shared" si="33"/>
        <v>7</v>
      </c>
      <c r="Y41" s="16">
        <f t="shared" si="33"/>
        <v>47</v>
      </c>
      <c r="Z41" s="16">
        <f t="shared" si="33"/>
        <v>45</v>
      </c>
      <c r="AA41" s="16">
        <f t="shared" si="33"/>
        <v>13</v>
      </c>
      <c r="AB41" s="16">
        <f t="shared" si="33"/>
        <v>3</v>
      </c>
      <c r="AC41" s="16">
        <f t="shared" si="33"/>
        <v>612</v>
      </c>
      <c r="AD41" s="16">
        <f t="shared" si="33"/>
        <v>0</v>
      </c>
      <c r="AE41" s="32">
        <f t="shared" si="33"/>
        <v>654</v>
      </c>
      <c r="AF41" s="32">
        <f t="shared" si="33"/>
        <v>1266</v>
      </c>
    </row>
    <row r="42" spans="2:32" ht="23.1" customHeight="1" x14ac:dyDescent="0.25">
      <c r="B42" s="46" t="s">
        <v>69</v>
      </c>
      <c r="C42" s="50">
        <v>5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8</v>
      </c>
      <c r="P42" s="15">
        <f t="shared" si="1"/>
        <v>19</v>
      </c>
      <c r="R42" s="5" t="s">
        <v>160</v>
      </c>
      <c r="S42" s="48">
        <f>S41/S40</f>
        <v>1.1929824561403508</v>
      </c>
      <c r="T42" s="48">
        <f t="shared" ref="T42:AF42" si="34">T41/T40</f>
        <v>2.2380952380952381</v>
      </c>
      <c r="U42" s="48">
        <f t="shared" si="34"/>
        <v>1.2258064516129032</v>
      </c>
      <c r="V42" s="48">
        <f t="shared" si="34"/>
        <v>1.247191011235955</v>
      </c>
      <c r="W42" s="48" t="e">
        <f t="shared" si="34"/>
        <v>#DIV/0!</v>
      </c>
      <c r="X42" s="48">
        <f t="shared" si="34"/>
        <v>3.5</v>
      </c>
      <c r="Y42" s="48">
        <f t="shared" si="34"/>
        <v>1.6785714285714286</v>
      </c>
      <c r="Z42" s="48">
        <f t="shared" si="34"/>
        <v>1.40625</v>
      </c>
      <c r="AA42" s="48">
        <f t="shared" si="34"/>
        <v>1.625</v>
      </c>
      <c r="AB42" s="48">
        <f t="shared" si="34"/>
        <v>1.5</v>
      </c>
      <c r="AC42" s="48">
        <f t="shared" si="34"/>
        <v>1.1547169811320754</v>
      </c>
      <c r="AD42" s="48" t="e">
        <f t="shared" si="34"/>
        <v>#DIV/0!</v>
      </c>
      <c r="AE42" s="48">
        <f t="shared" si="34"/>
        <v>1.3132530120481927</v>
      </c>
      <c r="AF42" s="48">
        <f t="shared" si="34"/>
        <v>1.2315175097276265</v>
      </c>
    </row>
    <row r="43" spans="2:32" ht="23.1" customHeight="1" x14ac:dyDescent="0.25">
      <c r="B43" s="45" t="s">
        <v>70</v>
      </c>
      <c r="C43" s="50">
        <v>7</v>
      </c>
      <c r="D43" s="50">
        <v>1</v>
      </c>
      <c r="E43" s="50">
        <v>0</v>
      </c>
      <c r="F43" s="50">
        <v>2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13</v>
      </c>
      <c r="N43" s="50">
        <v>0</v>
      </c>
      <c r="O43" s="15">
        <f t="shared" si="0"/>
        <v>11</v>
      </c>
      <c r="P43" s="15">
        <f t="shared" si="1"/>
        <v>24</v>
      </c>
    </row>
    <row r="44" spans="2:32" ht="23.1" customHeight="1" x14ac:dyDescent="0.25">
      <c r="B44" s="47" t="s">
        <v>71</v>
      </c>
      <c r="C44" s="50">
        <v>6</v>
      </c>
      <c r="D44" s="50">
        <v>2</v>
      </c>
      <c r="E44" s="50">
        <v>0</v>
      </c>
      <c r="F44" s="50">
        <v>3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14</v>
      </c>
      <c r="P44" s="15">
        <f t="shared" si="1"/>
        <v>29</v>
      </c>
    </row>
    <row r="45" spans="2:32" ht="23.1" customHeight="1" x14ac:dyDescent="0.25">
      <c r="B45" s="45" t="s">
        <v>72</v>
      </c>
      <c r="C45" s="50">
        <v>2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4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7</v>
      </c>
      <c r="D46" s="50">
        <v>0</v>
      </c>
      <c r="E46" s="50">
        <v>2</v>
      </c>
      <c r="F46" s="50">
        <v>2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12</v>
      </c>
      <c r="P46" s="15">
        <f t="shared" si="1"/>
        <v>24</v>
      </c>
      <c r="R46" s="8"/>
      <c r="T46"/>
    </row>
    <row r="47" spans="2:32" ht="23.1" customHeight="1" x14ac:dyDescent="0.25">
      <c r="B47" s="46" t="s">
        <v>74</v>
      </c>
      <c r="C47" s="50">
        <v>8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10</v>
      </c>
      <c r="P47" s="15">
        <f t="shared" si="1"/>
        <v>21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2</v>
      </c>
      <c r="K48" s="50">
        <v>1</v>
      </c>
      <c r="L48" s="50">
        <v>0</v>
      </c>
      <c r="M48" s="50">
        <v>7</v>
      </c>
      <c r="N48" s="50">
        <v>0</v>
      </c>
      <c r="O48" s="15">
        <f t="shared" si="0"/>
        <v>15</v>
      </c>
      <c r="P48" s="15">
        <f t="shared" si="1"/>
        <v>22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1</v>
      </c>
      <c r="E49" s="50">
        <v>2</v>
      </c>
      <c r="F49" s="50">
        <v>2</v>
      </c>
      <c r="G49" s="50">
        <v>0</v>
      </c>
      <c r="H49" s="50">
        <v>0</v>
      </c>
      <c r="I49" s="50">
        <v>1</v>
      </c>
      <c r="J49" s="50">
        <v>1</v>
      </c>
      <c r="K49" s="50">
        <v>1</v>
      </c>
      <c r="L49" s="50">
        <v>0</v>
      </c>
      <c r="M49" s="50">
        <v>7</v>
      </c>
      <c r="N49" s="50">
        <v>0</v>
      </c>
      <c r="O49" s="15">
        <f t="shared" si="0"/>
        <v>12</v>
      </c>
      <c r="P49" s="15">
        <f t="shared" si="1"/>
        <v>19</v>
      </c>
      <c r="R49" s="8"/>
      <c r="T49"/>
    </row>
    <row r="50" spans="2:20" ht="23.1" customHeight="1" x14ac:dyDescent="0.25">
      <c r="B50" s="46" t="s">
        <v>77</v>
      </c>
      <c r="C50" s="50">
        <v>8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1</v>
      </c>
      <c r="L50" s="50">
        <v>0</v>
      </c>
      <c r="M50" s="50">
        <v>17</v>
      </c>
      <c r="N50" s="50">
        <v>0</v>
      </c>
      <c r="O50" s="15">
        <f t="shared" si="0"/>
        <v>11</v>
      </c>
      <c r="P50" s="15">
        <f t="shared" si="1"/>
        <v>28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6</v>
      </c>
      <c r="N51" s="50">
        <v>0</v>
      </c>
      <c r="O51" s="15">
        <f t="shared" si="0"/>
        <v>4</v>
      </c>
      <c r="P51" s="15">
        <f t="shared" si="1"/>
        <v>10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0</v>
      </c>
      <c r="E52" s="50">
        <v>2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9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15</v>
      </c>
      <c r="N53" s="50">
        <v>0</v>
      </c>
      <c r="O53" s="15">
        <f t="shared" si="0"/>
        <v>7</v>
      </c>
      <c r="P53" s="15">
        <f t="shared" si="1"/>
        <v>22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1</v>
      </c>
      <c r="M54" s="50">
        <v>15</v>
      </c>
      <c r="N54" s="50">
        <v>0</v>
      </c>
      <c r="O54" s="15">
        <f t="shared" si="0"/>
        <v>11</v>
      </c>
      <c r="P54" s="15">
        <f t="shared" si="1"/>
        <v>26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1</v>
      </c>
      <c r="K55" s="50">
        <v>1</v>
      </c>
      <c r="L55" s="50">
        <v>0</v>
      </c>
      <c r="M55" s="50">
        <v>9</v>
      </c>
      <c r="N55" s="50">
        <v>0</v>
      </c>
      <c r="O55" s="15">
        <f t="shared" si="0"/>
        <v>9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6</v>
      </c>
      <c r="D56" s="50">
        <v>1</v>
      </c>
      <c r="E56" s="50">
        <v>1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11</v>
      </c>
      <c r="P56" s="15">
        <f t="shared" si="1"/>
        <v>28</v>
      </c>
      <c r="R56" s="8"/>
      <c r="T56"/>
    </row>
    <row r="57" spans="2:20" ht="23.1" customHeight="1" x14ac:dyDescent="0.25">
      <c r="B57" s="45" t="s">
        <v>84</v>
      </c>
      <c r="C57" s="50">
        <v>4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7</v>
      </c>
      <c r="P57" s="15">
        <f t="shared" si="1"/>
        <v>14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1</v>
      </c>
      <c r="F58" s="50">
        <v>3</v>
      </c>
      <c r="G58" s="50">
        <v>0</v>
      </c>
      <c r="H58" s="50">
        <v>0</v>
      </c>
      <c r="I58" s="50">
        <v>0</v>
      </c>
      <c r="J58" s="50">
        <v>0</v>
      </c>
      <c r="K58" s="50">
        <v>2</v>
      </c>
      <c r="L58" s="50">
        <v>0</v>
      </c>
      <c r="M58" s="50">
        <v>1</v>
      </c>
      <c r="N58" s="50">
        <v>0</v>
      </c>
      <c r="O58" s="15">
        <f t="shared" si="0"/>
        <v>10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0</v>
      </c>
      <c r="E59" s="50">
        <v>0</v>
      </c>
      <c r="F59" s="50">
        <v>1</v>
      </c>
      <c r="G59" s="50">
        <v>1</v>
      </c>
      <c r="H59" s="50">
        <v>0</v>
      </c>
      <c r="I59" s="50">
        <v>2</v>
      </c>
      <c r="J59" s="50">
        <v>1</v>
      </c>
      <c r="K59" s="50">
        <v>0</v>
      </c>
      <c r="L59" s="50">
        <v>0</v>
      </c>
      <c r="M59" s="50">
        <v>4</v>
      </c>
      <c r="N59" s="50">
        <v>0</v>
      </c>
      <c r="O59" s="15">
        <f t="shared" si="0"/>
        <v>14</v>
      </c>
      <c r="P59" s="15">
        <f t="shared" si="1"/>
        <v>18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2</v>
      </c>
      <c r="G60" s="50">
        <v>0</v>
      </c>
      <c r="H60" s="50">
        <v>0</v>
      </c>
      <c r="I60" s="50">
        <v>0</v>
      </c>
      <c r="J60" s="50">
        <v>0</v>
      </c>
      <c r="K60" s="50">
        <v>1</v>
      </c>
      <c r="L60" s="50">
        <v>0</v>
      </c>
      <c r="M60" s="50">
        <v>3</v>
      </c>
      <c r="N60" s="50">
        <v>0</v>
      </c>
      <c r="O60" s="15">
        <f t="shared" si="0"/>
        <v>5</v>
      </c>
      <c r="P60" s="15">
        <f t="shared" si="1"/>
        <v>8</v>
      </c>
      <c r="R60" s="8"/>
      <c r="T60"/>
    </row>
    <row r="61" spans="2:20" ht="23.1" customHeight="1" x14ac:dyDescent="0.25">
      <c r="B61" s="45" t="s">
        <v>102</v>
      </c>
      <c r="C61" s="50">
        <v>8</v>
      </c>
      <c r="D61" s="50">
        <v>0</v>
      </c>
      <c r="E61" s="50">
        <v>0</v>
      </c>
      <c r="F61" s="50">
        <v>6</v>
      </c>
      <c r="G61" s="50">
        <v>0</v>
      </c>
      <c r="H61" s="50">
        <v>0</v>
      </c>
      <c r="I61" s="50">
        <v>0</v>
      </c>
      <c r="J61" s="50">
        <v>3</v>
      </c>
      <c r="K61" s="50">
        <v>0</v>
      </c>
      <c r="L61" s="50">
        <v>0</v>
      </c>
      <c r="M61" s="50">
        <v>6</v>
      </c>
      <c r="N61" s="50">
        <v>0</v>
      </c>
      <c r="O61" s="15">
        <f t="shared" si="0"/>
        <v>17</v>
      </c>
      <c r="P61" s="15">
        <f t="shared" si="1"/>
        <v>23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1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8</v>
      </c>
      <c r="N62" s="50">
        <v>0</v>
      </c>
      <c r="O62" s="15">
        <f t="shared" si="0"/>
        <v>3</v>
      </c>
      <c r="P62" s="15">
        <f t="shared" si="1"/>
        <v>11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</v>
      </c>
      <c r="N63" s="50">
        <v>0</v>
      </c>
      <c r="O63" s="15">
        <f t="shared" si="0"/>
        <v>1</v>
      </c>
      <c r="P63" s="15">
        <f t="shared" si="1"/>
        <v>2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2</v>
      </c>
      <c r="E64" s="50">
        <v>1</v>
      </c>
      <c r="F64" s="50">
        <v>0</v>
      </c>
      <c r="G64" s="50">
        <v>0</v>
      </c>
      <c r="H64" s="50">
        <v>0</v>
      </c>
      <c r="I64" s="50">
        <v>1</v>
      </c>
      <c r="J64" s="50">
        <v>2</v>
      </c>
      <c r="K64" s="50">
        <v>0</v>
      </c>
      <c r="L64" s="50">
        <v>0</v>
      </c>
      <c r="M64" s="50">
        <v>4</v>
      </c>
      <c r="N64" s="50">
        <v>0</v>
      </c>
      <c r="O64" s="15">
        <f t="shared" si="0"/>
        <v>8</v>
      </c>
      <c r="P64" s="15">
        <f t="shared" si="1"/>
        <v>12</v>
      </c>
      <c r="R64" s="8"/>
      <c r="T64"/>
    </row>
    <row r="65" spans="2:20" ht="23.1" customHeight="1" x14ac:dyDescent="0.25">
      <c r="B65" s="45" t="s">
        <v>158</v>
      </c>
      <c r="C65" s="50">
        <v>6</v>
      </c>
      <c r="D65" s="50">
        <v>3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6</v>
      </c>
      <c r="N65" s="50">
        <v>0</v>
      </c>
      <c r="O65" s="15">
        <f t="shared" si="0"/>
        <v>9</v>
      </c>
      <c r="P65" s="15">
        <f t="shared" si="1"/>
        <v>15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2</v>
      </c>
      <c r="N66" s="50">
        <v>0</v>
      </c>
      <c r="O66" s="15">
        <f t="shared" si="0"/>
        <v>2</v>
      </c>
      <c r="P66" s="15">
        <f t="shared" si="1"/>
        <v>4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3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2</v>
      </c>
      <c r="K67" s="50">
        <v>0</v>
      </c>
      <c r="L67" s="50">
        <v>0</v>
      </c>
      <c r="M67" s="50">
        <v>2</v>
      </c>
      <c r="N67" s="50">
        <v>0</v>
      </c>
      <c r="O67" s="15">
        <f t="shared" si="0"/>
        <v>7</v>
      </c>
      <c r="P67" s="15">
        <f t="shared" si="1"/>
        <v>9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4</v>
      </c>
      <c r="E68" s="50">
        <v>0</v>
      </c>
      <c r="F68" s="50">
        <v>1</v>
      </c>
      <c r="G68" s="50">
        <v>0</v>
      </c>
      <c r="H68" s="50">
        <v>0</v>
      </c>
      <c r="I68" s="50">
        <v>2</v>
      </c>
      <c r="J68" s="50">
        <v>1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10</v>
      </c>
      <c r="P68" s="15">
        <f t="shared" si="1"/>
        <v>14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1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1</v>
      </c>
      <c r="P69" s="15">
        <f t="shared" si="1"/>
        <v>2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0</v>
      </c>
      <c r="M70" s="50">
        <v>3</v>
      </c>
      <c r="N70" s="50">
        <v>0</v>
      </c>
      <c r="O70" s="15">
        <f t="shared" si="0"/>
        <v>4</v>
      </c>
      <c r="P70" s="15">
        <f t="shared" si="1"/>
        <v>7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2</v>
      </c>
      <c r="P71" s="15">
        <f t="shared" si="1"/>
        <v>3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2</v>
      </c>
      <c r="E72" s="50">
        <v>0</v>
      </c>
      <c r="F72" s="50">
        <v>1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5</v>
      </c>
      <c r="N72" s="50">
        <v>0</v>
      </c>
      <c r="O72" s="15">
        <f t="shared" si="0"/>
        <v>6</v>
      </c>
      <c r="P72" s="15">
        <f t="shared" si="1"/>
        <v>11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3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2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2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4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2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2</v>
      </c>
      <c r="I79" s="50">
        <v>2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5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3</v>
      </c>
      <c r="I80" s="50">
        <v>1</v>
      </c>
      <c r="J80" s="50">
        <v>1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6</v>
      </c>
      <c r="P80" s="15">
        <f t="shared" si="36"/>
        <v>9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1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1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5">
        <f t="shared" si="35"/>
        <v>1</v>
      </c>
      <c r="P84" s="15">
        <f t="shared" si="36"/>
        <v>7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3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1</v>
      </c>
      <c r="K98" s="50">
        <v>1</v>
      </c>
      <c r="L98" s="50">
        <v>1</v>
      </c>
      <c r="M98" s="50">
        <v>2</v>
      </c>
      <c r="N98" s="50">
        <v>0</v>
      </c>
      <c r="O98" s="15">
        <f t="shared" si="35"/>
        <v>3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3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5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1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2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2</v>
      </c>
      <c r="N102" s="50">
        <v>0</v>
      </c>
      <c r="O102" s="15">
        <f t="shared" si="35"/>
        <v>4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1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1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3</v>
      </c>
      <c r="N105" s="50">
        <v>0</v>
      </c>
      <c r="O105" s="15">
        <f t="shared" si="35"/>
        <v>6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340</v>
      </c>
      <c r="D106" s="16">
        <f t="shared" ref="D106:P106" si="37">SUM(D10:D105)</f>
        <v>47</v>
      </c>
      <c r="E106" s="16">
        <f t="shared" si="37"/>
        <v>38</v>
      </c>
      <c r="F106" s="16">
        <f t="shared" si="37"/>
        <v>111</v>
      </c>
      <c r="G106" s="16">
        <f t="shared" si="37"/>
        <v>3</v>
      </c>
      <c r="H106" s="16">
        <f t="shared" si="37"/>
        <v>7</v>
      </c>
      <c r="I106" s="16">
        <f t="shared" si="37"/>
        <v>47</v>
      </c>
      <c r="J106" s="16">
        <f t="shared" si="37"/>
        <v>45</v>
      </c>
      <c r="K106" s="16">
        <f t="shared" si="37"/>
        <v>13</v>
      </c>
      <c r="L106" s="16">
        <f t="shared" si="37"/>
        <v>3</v>
      </c>
      <c r="M106" s="16">
        <f t="shared" si="37"/>
        <v>612</v>
      </c>
      <c r="N106" s="16">
        <f t="shared" si="37"/>
        <v>0</v>
      </c>
      <c r="O106" s="16">
        <f t="shared" si="37"/>
        <v>654</v>
      </c>
      <c r="P106" s="16">
        <f t="shared" si="37"/>
        <v>1266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0.26856240126382308</v>
      </c>
      <c r="D107" s="43">
        <f t="shared" si="38"/>
        <v>3.7124802527646127E-2</v>
      </c>
      <c r="E107" s="43">
        <f t="shared" si="38"/>
        <v>3.0015797788309637E-2</v>
      </c>
      <c r="F107" s="43">
        <f t="shared" si="38"/>
        <v>8.7677725118483416E-2</v>
      </c>
      <c r="G107" s="43">
        <f t="shared" si="38"/>
        <v>2.3696682464454978E-3</v>
      </c>
      <c r="H107" s="43">
        <f t="shared" si="38"/>
        <v>5.5292259083728279E-3</v>
      </c>
      <c r="I107" s="43">
        <f t="shared" si="38"/>
        <v>3.7124802527646127E-2</v>
      </c>
      <c r="J107" s="43">
        <f t="shared" si="38"/>
        <v>3.5545023696682464E-2</v>
      </c>
      <c r="K107" s="43">
        <f t="shared" si="38"/>
        <v>1.0268562401263823E-2</v>
      </c>
      <c r="L107" s="43">
        <f t="shared" si="38"/>
        <v>2.3696682464454978E-3</v>
      </c>
      <c r="M107" s="43">
        <f t="shared" si="38"/>
        <v>0.48341232227488151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0.51987767584097855</v>
      </c>
      <c r="D108" s="44">
        <f t="shared" ref="D108:N108" si="39">D106/$O$106</f>
        <v>7.1865443425076447E-2</v>
      </c>
      <c r="E108" s="44">
        <f t="shared" si="39"/>
        <v>5.8103975535168197E-2</v>
      </c>
      <c r="F108" s="44">
        <f t="shared" si="39"/>
        <v>0.16972477064220184</v>
      </c>
      <c r="G108" s="44">
        <f t="shared" si="39"/>
        <v>4.5871559633027525E-3</v>
      </c>
      <c r="H108" s="44">
        <f t="shared" si="39"/>
        <v>1.0703363914373088E-2</v>
      </c>
      <c r="I108" s="44">
        <f t="shared" si="39"/>
        <v>7.1865443425076447E-2</v>
      </c>
      <c r="J108" s="44">
        <f t="shared" si="39"/>
        <v>6.8807339449541288E-2</v>
      </c>
      <c r="K108" s="44">
        <f t="shared" si="39"/>
        <v>1.9877675840978593E-2</v>
      </c>
      <c r="L108" s="44">
        <f t="shared" si="39"/>
        <v>4.5871559633027525E-3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0" zoomScale="60" workbookViewId="0">
      <selection activeCell="K16" sqref="K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4.75" customHeight="1" x14ac:dyDescent="0.25">
      <c r="C5" s="4" t="s">
        <v>3</v>
      </c>
      <c r="D5" s="36" t="str">
        <f>'28.10 Ibanda-Mbarara-24hr'!D5</f>
        <v>28.10.2019</v>
      </c>
      <c r="E5" s="3"/>
      <c r="F5" s="41" t="s">
        <v>1</v>
      </c>
      <c r="G5" s="54" t="str">
        <f>'28.10 Ibanda-Mbarara-24hr'!G5:H5</f>
        <v>RUHUMBA</v>
      </c>
      <c r="H5" s="55"/>
      <c r="I5" s="14"/>
      <c r="J5" s="2" t="s">
        <v>5</v>
      </c>
      <c r="K5" s="54" t="s">
        <v>172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tr">
        <f>'25.10 Mbarara-Ibanda'!D6:E6</f>
        <v>MBARARA</v>
      </c>
      <c r="E6" s="55"/>
      <c r="F6" s="2" t="s">
        <v>2</v>
      </c>
      <c r="G6" s="54" t="str">
        <f>'25.10 Mbarara-Ibanda'!G6:H6</f>
        <v>IBANDA</v>
      </c>
      <c r="H6" s="55"/>
      <c r="J6" s="2" t="s">
        <v>21</v>
      </c>
      <c r="K6" s="54" t="s">
        <v>167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15</v>
      </c>
      <c r="T10" s="17">
        <f t="shared" si="2"/>
        <v>0</v>
      </c>
      <c r="U10" s="17">
        <f t="shared" si="2"/>
        <v>1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19</v>
      </c>
      <c r="AD10" s="17">
        <f t="shared" si="2"/>
        <v>0</v>
      </c>
      <c r="AE10" s="31">
        <f t="shared" si="2"/>
        <v>20</v>
      </c>
      <c r="AF10" s="31">
        <f t="shared" si="2"/>
        <v>39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2</v>
      </c>
      <c r="P11" s="15">
        <f t="shared" si="1"/>
        <v>5</v>
      </c>
      <c r="R11" s="1" t="s">
        <v>7</v>
      </c>
      <c r="S11" s="17">
        <f t="shared" ref="S11:AF11" si="3">SUM(C14:C17)</f>
        <v>23</v>
      </c>
      <c r="T11" s="17">
        <f t="shared" si="3"/>
        <v>2</v>
      </c>
      <c r="U11" s="17">
        <f t="shared" si="3"/>
        <v>0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3</v>
      </c>
      <c r="AA11" s="17">
        <f t="shared" si="3"/>
        <v>2</v>
      </c>
      <c r="AB11" s="17">
        <f t="shared" si="3"/>
        <v>2</v>
      </c>
      <c r="AC11" s="17">
        <f t="shared" si="3"/>
        <v>45</v>
      </c>
      <c r="AD11" s="17">
        <f t="shared" si="3"/>
        <v>0</v>
      </c>
      <c r="AE11" s="31">
        <f t="shared" si="3"/>
        <v>37</v>
      </c>
      <c r="AF11" s="31">
        <f t="shared" si="3"/>
        <v>82</v>
      </c>
    </row>
    <row r="12" spans="2:32" ht="23.1" customHeight="1" x14ac:dyDescent="0.25">
      <c r="B12" s="45" t="s">
        <v>39</v>
      </c>
      <c r="C12" s="50">
        <v>5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1</v>
      </c>
      <c r="M12" s="50">
        <v>7</v>
      </c>
      <c r="N12" s="50">
        <v>0</v>
      </c>
      <c r="O12" s="15">
        <f t="shared" si="0"/>
        <v>9</v>
      </c>
      <c r="P12" s="15">
        <f t="shared" si="1"/>
        <v>16</v>
      </c>
      <c r="R12" s="1" t="s">
        <v>8</v>
      </c>
      <c r="S12" s="17">
        <f t="shared" ref="S12:AF12" si="4">SUM(C18:C21)</f>
        <v>29</v>
      </c>
      <c r="T12" s="17">
        <f t="shared" si="4"/>
        <v>1</v>
      </c>
      <c r="U12" s="17">
        <f t="shared" si="4"/>
        <v>3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3</v>
      </c>
      <c r="AA12" s="17">
        <f t="shared" si="4"/>
        <v>1</v>
      </c>
      <c r="AB12" s="17">
        <f t="shared" si="4"/>
        <v>1</v>
      </c>
      <c r="AC12" s="17">
        <f t="shared" si="4"/>
        <v>42</v>
      </c>
      <c r="AD12" s="17">
        <f t="shared" si="4"/>
        <v>0</v>
      </c>
      <c r="AE12" s="31">
        <f t="shared" si="4"/>
        <v>46</v>
      </c>
      <c r="AF12" s="31">
        <f t="shared" si="4"/>
        <v>88</v>
      </c>
    </row>
    <row r="13" spans="2:32" ht="23.1" customHeight="1" x14ac:dyDescent="0.25">
      <c r="B13" s="45" t="s">
        <v>40</v>
      </c>
      <c r="C13" s="50">
        <v>7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7</v>
      </c>
      <c r="P13" s="15">
        <f t="shared" si="1"/>
        <v>14</v>
      </c>
      <c r="R13" s="1" t="s">
        <v>9</v>
      </c>
      <c r="S13" s="17">
        <f t="shared" ref="S13:AF13" si="5">SUM(C22:C25)</f>
        <v>22</v>
      </c>
      <c r="T13" s="17">
        <f t="shared" si="5"/>
        <v>0</v>
      </c>
      <c r="U13" s="17">
        <f t="shared" si="5"/>
        <v>10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3</v>
      </c>
      <c r="AA13" s="17">
        <f t="shared" si="5"/>
        <v>1</v>
      </c>
      <c r="AB13" s="17">
        <f t="shared" si="5"/>
        <v>1</v>
      </c>
      <c r="AC13" s="17">
        <f t="shared" si="5"/>
        <v>50</v>
      </c>
      <c r="AD13" s="17">
        <f t="shared" si="5"/>
        <v>0</v>
      </c>
      <c r="AE13" s="31">
        <f t="shared" si="5"/>
        <v>43</v>
      </c>
      <c r="AF13" s="31">
        <f t="shared" si="5"/>
        <v>93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2</v>
      </c>
      <c r="M14" s="50">
        <v>9</v>
      </c>
      <c r="N14" s="50">
        <v>0</v>
      </c>
      <c r="O14" s="15">
        <f t="shared" si="0"/>
        <v>7</v>
      </c>
      <c r="P14" s="15">
        <f t="shared" si="1"/>
        <v>16</v>
      </c>
      <c r="R14" s="1" t="s">
        <v>10</v>
      </c>
      <c r="S14" s="17">
        <f t="shared" ref="S14:AF14" si="6">SUM(C26:C29)</f>
        <v>21</v>
      </c>
      <c r="T14" s="17">
        <f t="shared" si="6"/>
        <v>2</v>
      </c>
      <c r="U14" s="17">
        <f t="shared" si="6"/>
        <v>8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2</v>
      </c>
      <c r="AA14" s="17">
        <f t="shared" si="6"/>
        <v>2</v>
      </c>
      <c r="AB14" s="17">
        <f t="shared" si="6"/>
        <v>1</v>
      </c>
      <c r="AC14" s="17">
        <f t="shared" si="6"/>
        <v>23</v>
      </c>
      <c r="AD14" s="17">
        <f t="shared" si="6"/>
        <v>10</v>
      </c>
      <c r="AE14" s="31">
        <f t="shared" si="6"/>
        <v>55</v>
      </c>
      <c r="AF14" s="31">
        <f t="shared" si="6"/>
        <v>78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5</v>
      </c>
      <c r="P15" s="15">
        <f t="shared" si="1"/>
        <v>16</v>
      </c>
      <c r="R15" s="1" t="s">
        <v>11</v>
      </c>
      <c r="S15" s="17">
        <f t="shared" ref="S15:AF15" si="7">SUM(C30:C33)</f>
        <v>22</v>
      </c>
      <c r="T15" s="17">
        <f t="shared" si="7"/>
        <v>1</v>
      </c>
      <c r="U15" s="17">
        <f t="shared" si="7"/>
        <v>1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1</v>
      </c>
      <c r="AB15" s="17">
        <f t="shared" si="7"/>
        <v>0</v>
      </c>
      <c r="AC15" s="17">
        <f t="shared" si="7"/>
        <v>43</v>
      </c>
      <c r="AD15" s="17">
        <f t="shared" si="7"/>
        <v>0</v>
      </c>
      <c r="AE15" s="31">
        <f t="shared" si="7"/>
        <v>43</v>
      </c>
      <c r="AF15" s="31">
        <f t="shared" si="7"/>
        <v>86</v>
      </c>
    </row>
    <row r="16" spans="2:32" ht="23.1" customHeight="1" x14ac:dyDescent="0.25">
      <c r="B16" s="45" t="s">
        <v>43</v>
      </c>
      <c r="C16" s="50">
        <v>9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11</v>
      </c>
      <c r="P16" s="15">
        <f t="shared" si="1"/>
        <v>27</v>
      </c>
      <c r="R16" s="1" t="s">
        <v>12</v>
      </c>
      <c r="S16" s="17">
        <f t="shared" ref="S16:AF16" si="8">SUM(C34:C37)</f>
        <v>39</v>
      </c>
      <c r="T16" s="17">
        <f t="shared" si="8"/>
        <v>2</v>
      </c>
      <c r="U16" s="17">
        <f t="shared" si="8"/>
        <v>1</v>
      </c>
      <c r="V16" s="17">
        <f t="shared" si="8"/>
        <v>8</v>
      </c>
      <c r="W16" s="17">
        <f t="shared" si="8"/>
        <v>0</v>
      </c>
      <c r="X16" s="17">
        <f t="shared" si="8"/>
        <v>1</v>
      </c>
      <c r="Y16" s="17">
        <f t="shared" si="8"/>
        <v>7</v>
      </c>
      <c r="Z16" s="17">
        <f t="shared" si="8"/>
        <v>7</v>
      </c>
      <c r="AA16" s="17">
        <f t="shared" si="8"/>
        <v>1</v>
      </c>
      <c r="AB16" s="17">
        <f t="shared" si="8"/>
        <v>1</v>
      </c>
      <c r="AC16" s="17">
        <f t="shared" si="8"/>
        <v>41</v>
      </c>
      <c r="AD16" s="17">
        <f t="shared" si="8"/>
        <v>0</v>
      </c>
      <c r="AE16" s="31">
        <f t="shared" si="8"/>
        <v>67</v>
      </c>
      <c r="AF16" s="31">
        <f t="shared" si="8"/>
        <v>108</v>
      </c>
    </row>
    <row r="17" spans="2:32" ht="23.1" customHeight="1" x14ac:dyDescent="0.25">
      <c r="B17" s="45" t="s">
        <v>44</v>
      </c>
      <c r="C17" s="50">
        <v>6</v>
      </c>
      <c r="D17" s="50">
        <v>1</v>
      </c>
      <c r="E17" s="50">
        <v>0</v>
      </c>
      <c r="F17" s="50">
        <v>4</v>
      </c>
      <c r="G17" s="50">
        <v>0</v>
      </c>
      <c r="H17" s="50">
        <v>0</v>
      </c>
      <c r="I17" s="50">
        <v>0</v>
      </c>
      <c r="J17" s="50">
        <v>2</v>
      </c>
      <c r="K17" s="50">
        <v>1</v>
      </c>
      <c r="L17" s="50">
        <v>0</v>
      </c>
      <c r="M17" s="50">
        <v>9</v>
      </c>
      <c r="N17" s="50">
        <v>0</v>
      </c>
      <c r="O17" s="15">
        <f t="shared" si="0"/>
        <v>14</v>
      </c>
      <c r="P17" s="15">
        <f t="shared" si="1"/>
        <v>23</v>
      </c>
      <c r="R17" s="1" t="s">
        <v>13</v>
      </c>
      <c r="S17" s="17">
        <f t="shared" ref="S17:AF17" si="9">SUM(C38:C41)</f>
        <v>26</v>
      </c>
      <c r="T17" s="17">
        <f t="shared" si="9"/>
        <v>4</v>
      </c>
      <c r="U17" s="17">
        <f t="shared" si="9"/>
        <v>3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42</v>
      </c>
      <c r="AD17" s="17">
        <f t="shared" si="9"/>
        <v>0</v>
      </c>
      <c r="AE17" s="31">
        <f t="shared" si="9"/>
        <v>49</v>
      </c>
      <c r="AF17" s="31">
        <f t="shared" si="9"/>
        <v>91</v>
      </c>
    </row>
    <row r="18" spans="2:32" ht="23.1" customHeight="1" x14ac:dyDescent="0.25">
      <c r="B18" s="45" t="s">
        <v>45</v>
      </c>
      <c r="C18" s="50">
        <v>7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14</v>
      </c>
      <c r="N18" s="50">
        <v>0</v>
      </c>
      <c r="O18" s="15">
        <f t="shared" si="0"/>
        <v>11</v>
      </c>
      <c r="P18" s="15">
        <f t="shared" si="1"/>
        <v>25</v>
      </c>
      <c r="R18" s="1" t="s">
        <v>14</v>
      </c>
      <c r="S18" s="17">
        <f t="shared" ref="S18:AF18" si="10">SUM(C42:C45)</f>
        <v>22</v>
      </c>
      <c r="T18" s="17">
        <f t="shared" si="10"/>
        <v>3</v>
      </c>
      <c r="U18" s="17">
        <f t="shared" si="10"/>
        <v>7</v>
      </c>
      <c r="V18" s="17">
        <f t="shared" si="10"/>
        <v>13</v>
      </c>
      <c r="W18" s="17">
        <f t="shared" si="10"/>
        <v>1</v>
      </c>
      <c r="X18" s="17">
        <f t="shared" si="10"/>
        <v>0</v>
      </c>
      <c r="Y18" s="17">
        <f t="shared" si="10"/>
        <v>2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60</v>
      </c>
      <c r="AD18" s="17">
        <f t="shared" si="10"/>
        <v>0</v>
      </c>
      <c r="AE18" s="31">
        <f t="shared" si="10"/>
        <v>53</v>
      </c>
      <c r="AF18" s="31">
        <f t="shared" si="10"/>
        <v>113</v>
      </c>
    </row>
    <row r="19" spans="2:32" ht="23.1" customHeight="1" x14ac:dyDescent="0.25">
      <c r="B19" s="45" t="s">
        <v>46</v>
      </c>
      <c r="C19" s="50">
        <v>12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17</v>
      </c>
      <c r="P19" s="15">
        <f t="shared" si="1"/>
        <v>26</v>
      </c>
      <c r="R19" s="1" t="s">
        <v>15</v>
      </c>
      <c r="S19" s="17">
        <f t="shared" ref="S19:AF19" si="11">SUM(C46:C49)</f>
        <v>20</v>
      </c>
      <c r="T19" s="17">
        <f t="shared" si="11"/>
        <v>0</v>
      </c>
      <c r="U19" s="17">
        <f t="shared" si="11"/>
        <v>0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39</v>
      </c>
      <c r="AD19" s="17">
        <f t="shared" si="11"/>
        <v>0</v>
      </c>
      <c r="AE19" s="31">
        <f t="shared" si="11"/>
        <v>32</v>
      </c>
      <c r="AF19" s="31">
        <f t="shared" si="11"/>
        <v>71</v>
      </c>
    </row>
    <row r="20" spans="2:32" ht="23.1" customHeight="1" x14ac:dyDescent="0.25">
      <c r="B20" s="45" t="s">
        <v>47</v>
      </c>
      <c r="C20" s="50">
        <v>4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8</v>
      </c>
      <c r="P20" s="15">
        <f t="shared" si="1"/>
        <v>17</v>
      </c>
      <c r="R20" s="1" t="s">
        <v>16</v>
      </c>
      <c r="S20" s="17">
        <f t="shared" ref="S20:AF20" si="12">SUM(C50:C53)</f>
        <v>32</v>
      </c>
      <c r="T20" s="17">
        <f t="shared" si="12"/>
        <v>7</v>
      </c>
      <c r="U20" s="17">
        <f t="shared" si="12"/>
        <v>4</v>
      </c>
      <c r="V20" s="17">
        <f t="shared" si="12"/>
        <v>10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43</v>
      </c>
      <c r="AD20" s="17">
        <f t="shared" si="12"/>
        <v>0</v>
      </c>
      <c r="AE20" s="31">
        <f t="shared" si="12"/>
        <v>60</v>
      </c>
      <c r="AF20" s="31">
        <f t="shared" si="12"/>
        <v>103</v>
      </c>
    </row>
    <row r="21" spans="2:32" ht="23.1" customHeight="1" x14ac:dyDescent="0.25">
      <c r="B21" s="45" t="s">
        <v>48</v>
      </c>
      <c r="C21" s="50">
        <v>6</v>
      </c>
      <c r="D21" s="50">
        <v>1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10</v>
      </c>
      <c r="N21" s="50">
        <v>0</v>
      </c>
      <c r="O21" s="15">
        <f t="shared" si="0"/>
        <v>10</v>
      </c>
      <c r="P21" s="15">
        <f t="shared" si="1"/>
        <v>20</v>
      </c>
      <c r="R21" s="36" t="s">
        <v>20</v>
      </c>
      <c r="S21" s="34">
        <f t="shared" ref="S21:AF21" si="13">SUM(C54:C57)</f>
        <v>28</v>
      </c>
      <c r="T21" s="17">
        <f t="shared" si="13"/>
        <v>5</v>
      </c>
      <c r="U21" s="17">
        <f t="shared" si="13"/>
        <v>4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39</v>
      </c>
      <c r="AD21" s="17">
        <f t="shared" si="13"/>
        <v>0</v>
      </c>
      <c r="AE21" s="31">
        <f t="shared" si="13"/>
        <v>50</v>
      </c>
      <c r="AF21" s="31">
        <f t="shared" si="13"/>
        <v>89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6</v>
      </c>
      <c r="P22" s="15">
        <f t="shared" si="1"/>
        <v>16</v>
      </c>
      <c r="R22" s="36" t="s">
        <v>146</v>
      </c>
      <c r="S22" s="34">
        <f>SUM(C58:C61)</f>
        <v>13</v>
      </c>
      <c r="T22" s="34">
        <f t="shared" ref="T22:AF22" si="14">SUM(D58:D61)</f>
        <v>3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1</v>
      </c>
      <c r="Y22" s="34">
        <f t="shared" si="14"/>
        <v>2</v>
      </c>
      <c r="Z22" s="34">
        <f t="shared" si="14"/>
        <v>1</v>
      </c>
      <c r="AA22" s="34">
        <f t="shared" si="14"/>
        <v>2</v>
      </c>
      <c r="AB22" s="34">
        <f t="shared" si="14"/>
        <v>0</v>
      </c>
      <c r="AC22" s="34">
        <f t="shared" si="14"/>
        <v>26</v>
      </c>
      <c r="AD22" s="34">
        <f t="shared" si="14"/>
        <v>0</v>
      </c>
      <c r="AE22" s="31">
        <f t="shared" si="14"/>
        <v>22</v>
      </c>
      <c r="AF22" s="31">
        <f t="shared" si="14"/>
        <v>48</v>
      </c>
    </row>
    <row r="23" spans="2:32" ht="23.1" customHeight="1" x14ac:dyDescent="0.25">
      <c r="B23" s="45" t="s">
        <v>50</v>
      </c>
      <c r="C23" s="50">
        <v>5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6</v>
      </c>
      <c r="P23" s="15">
        <f t="shared" si="1"/>
        <v>16</v>
      </c>
      <c r="R23" s="36" t="s">
        <v>147</v>
      </c>
      <c r="S23" s="34">
        <f>SUM(C62:C65)</f>
        <v>14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9</v>
      </c>
      <c r="AD23" s="34">
        <f t="shared" si="15"/>
        <v>0</v>
      </c>
      <c r="AE23" s="31">
        <f t="shared" si="15"/>
        <v>21</v>
      </c>
      <c r="AF23" s="31">
        <f t="shared" si="15"/>
        <v>30</v>
      </c>
    </row>
    <row r="24" spans="2:32" ht="23.1" customHeight="1" x14ac:dyDescent="0.25">
      <c r="B24" s="45" t="s">
        <v>51</v>
      </c>
      <c r="C24" s="50">
        <v>7</v>
      </c>
      <c r="D24" s="50">
        <v>0</v>
      </c>
      <c r="E24" s="50">
        <v>7</v>
      </c>
      <c r="F24" s="50">
        <v>2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20</v>
      </c>
      <c r="N24" s="50">
        <v>0</v>
      </c>
      <c r="O24" s="15">
        <f t="shared" si="0"/>
        <v>17</v>
      </c>
      <c r="P24" s="15">
        <f t="shared" si="1"/>
        <v>37</v>
      </c>
      <c r="R24" s="36" t="s">
        <v>148</v>
      </c>
      <c r="S24" s="34">
        <f>SUM(C66:C69)</f>
        <v>11</v>
      </c>
      <c r="T24" s="34">
        <f t="shared" ref="T24:AF24" si="16">SUM(D66:D69)</f>
        <v>1</v>
      </c>
      <c r="U24" s="34">
        <f t="shared" si="16"/>
        <v>1</v>
      </c>
      <c r="V24" s="34">
        <f t="shared" si="16"/>
        <v>0</v>
      </c>
      <c r="W24" s="34">
        <f t="shared" si="16"/>
        <v>1</v>
      </c>
      <c r="X24" s="34">
        <f t="shared" si="16"/>
        <v>0</v>
      </c>
      <c r="Y24" s="34">
        <f t="shared" si="16"/>
        <v>3</v>
      </c>
      <c r="Z24" s="34">
        <f t="shared" si="16"/>
        <v>2</v>
      </c>
      <c r="AA24" s="34">
        <f t="shared" si="16"/>
        <v>1</v>
      </c>
      <c r="AB24" s="34">
        <f t="shared" si="16"/>
        <v>1</v>
      </c>
      <c r="AC24" s="34">
        <f t="shared" si="16"/>
        <v>3</v>
      </c>
      <c r="AD24" s="34">
        <f t="shared" si="16"/>
        <v>0</v>
      </c>
      <c r="AE24" s="31">
        <f t="shared" si="16"/>
        <v>21</v>
      </c>
      <c r="AF24" s="31">
        <f t="shared" si="16"/>
        <v>24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2</v>
      </c>
      <c r="K25" s="50">
        <v>1</v>
      </c>
      <c r="L25" s="50">
        <v>1</v>
      </c>
      <c r="M25" s="50">
        <v>10</v>
      </c>
      <c r="N25" s="50">
        <v>0</v>
      </c>
      <c r="O25" s="15">
        <f t="shared" si="0"/>
        <v>14</v>
      </c>
      <c r="P25" s="15">
        <f t="shared" si="1"/>
        <v>24</v>
      </c>
      <c r="R25" s="36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4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12</v>
      </c>
      <c r="AF25" s="31">
        <f t="shared" si="17"/>
        <v>19</v>
      </c>
    </row>
    <row r="26" spans="2:32" ht="23.1" customHeight="1" x14ac:dyDescent="0.25">
      <c r="B26" s="45" t="s">
        <v>53</v>
      </c>
      <c r="C26" s="50">
        <v>4</v>
      </c>
      <c r="D26" s="50">
        <v>2</v>
      </c>
      <c r="E26" s="50">
        <v>1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9</v>
      </c>
      <c r="N26" s="50">
        <v>0</v>
      </c>
      <c r="O26" s="15">
        <f t="shared" si="0"/>
        <v>9</v>
      </c>
      <c r="P26" s="15">
        <f t="shared" si="1"/>
        <v>18</v>
      </c>
      <c r="R26" s="36" t="s">
        <v>150</v>
      </c>
      <c r="S26" s="34">
        <f>SUM(C74:C77)</f>
        <v>2</v>
      </c>
      <c r="T26" s="34">
        <f t="shared" ref="T26:AF26" si="18">SUM(D74:D77)</f>
        <v>1</v>
      </c>
      <c r="U26" s="34">
        <f t="shared" si="18"/>
        <v>0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7</v>
      </c>
      <c r="AF26" s="31">
        <f t="shared" si="18"/>
        <v>7</v>
      </c>
    </row>
    <row r="27" spans="2:32" ht="23.1" customHeight="1" x14ac:dyDescent="0.25">
      <c r="B27" s="45" t="s">
        <v>54</v>
      </c>
      <c r="C27" s="50">
        <v>5</v>
      </c>
      <c r="D27" s="50">
        <v>0</v>
      </c>
      <c r="E27" s="50">
        <v>3</v>
      </c>
      <c r="F27" s="50">
        <v>2</v>
      </c>
      <c r="G27" s="50">
        <v>0</v>
      </c>
      <c r="H27" s="50">
        <v>0</v>
      </c>
      <c r="I27" s="50">
        <v>0</v>
      </c>
      <c r="J27" s="50">
        <v>1</v>
      </c>
      <c r="K27" s="50">
        <v>2</v>
      </c>
      <c r="L27" s="50">
        <v>1</v>
      </c>
      <c r="M27" s="50">
        <v>7</v>
      </c>
      <c r="N27" s="50">
        <v>0</v>
      </c>
      <c r="O27" s="15">
        <f t="shared" si="0"/>
        <v>14</v>
      </c>
      <c r="P27" s="15">
        <f t="shared" si="1"/>
        <v>21</v>
      </c>
      <c r="R27" s="36" t="s">
        <v>151</v>
      </c>
      <c r="S27" s="34">
        <f>SUM(C78:C81)</f>
        <v>1</v>
      </c>
      <c r="T27" s="34">
        <f t="shared" ref="T27:AF27" si="19">SUM(D78:D81)</f>
        <v>2</v>
      </c>
      <c r="U27" s="34">
        <f t="shared" si="19"/>
        <v>2</v>
      </c>
      <c r="V27" s="34">
        <f t="shared" si="19"/>
        <v>1</v>
      </c>
      <c r="W27" s="34">
        <f t="shared" si="19"/>
        <v>4</v>
      </c>
      <c r="X27" s="34">
        <f t="shared" si="19"/>
        <v>1</v>
      </c>
      <c r="Y27" s="34">
        <f t="shared" si="19"/>
        <v>1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13</v>
      </c>
      <c r="AF27" s="31">
        <f t="shared" si="19"/>
        <v>17</v>
      </c>
    </row>
    <row r="28" spans="2:32" ht="23.1" customHeight="1" x14ac:dyDescent="0.25">
      <c r="B28" s="45" t="s">
        <v>55</v>
      </c>
      <c r="C28" s="50">
        <v>5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10</v>
      </c>
      <c r="P28" s="15">
        <f t="shared" si="1"/>
        <v>16</v>
      </c>
      <c r="R28" s="36" t="s">
        <v>152</v>
      </c>
      <c r="S28" s="34">
        <f>SUM(C82:C85)</f>
        <v>1</v>
      </c>
      <c r="T28" s="34">
        <f t="shared" ref="T28:AF28" si="20">SUM(D82:D85)</f>
        <v>3</v>
      </c>
      <c r="U28" s="34">
        <f t="shared" si="20"/>
        <v>1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6</v>
      </c>
      <c r="AD28" s="34">
        <f t="shared" si="20"/>
        <v>0</v>
      </c>
      <c r="AE28" s="31">
        <f t="shared" si="20"/>
        <v>8</v>
      </c>
      <c r="AF28" s="31">
        <f t="shared" si="20"/>
        <v>14</v>
      </c>
    </row>
    <row r="29" spans="2:32" ht="23.1" customHeight="1" x14ac:dyDescent="0.25">
      <c r="B29" s="45" t="s">
        <v>56</v>
      </c>
      <c r="C29" s="50">
        <v>7</v>
      </c>
      <c r="D29" s="50">
        <v>0</v>
      </c>
      <c r="E29" s="50">
        <v>2</v>
      </c>
      <c r="F29" s="50">
        <v>3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</v>
      </c>
      <c r="N29" s="50">
        <v>10</v>
      </c>
      <c r="O29" s="15">
        <f t="shared" si="0"/>
        <v>22</v>
      </c>
      <c r="P29" s="15">
        <f t="shared" si="1"/>
        <v>23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3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6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12</v>
      </c>
      <c r="N30" s="50">
        <v>0</v>
      </c>
      <c r="O30" s="15">
        <f t="shared" si="0"/>
        <v>10</v>
      </c>
      <c r="P30" s="15">
        <f t="shared" si="1"/>
        <v>22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4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5</v>
      </c>
      <c r="D31" s="50">
        <v>1</v>
      </c>
      <c r="E31" s="50">
        <v>1</v>
      </c>
      <c r="F31" s="50">
        <v>2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11</v>
      </c>
      <c r="P31" s="15">
        <f t="shared" si="1"/>
        <v>17</v>
      </c>
      <c r="R31" s="36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1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5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8</v>
      </c>
      <c r="P32" s="15">
        <f t="shared" si="1"/>
        <v>21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4</v>
      </c>
      <c r="AD32" s="34">
        <f t="shared" si="24"/>
        <v>0</v>
      </c>
      <c r="AE32" s="31">
        <f t="shared" si="24"/>
        <v>9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0</v>
      </c>
      <c r="F33" s="50">
        <v>4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12</v>
      </c>
      <c r="N33" s="50">
        <v>0</v>
      </c>
      <c r="O33" s="15">
        <f t="shared" si="0"/>
        <v>14</v>
      </c>
      <c r="P33" s="15">
        <f t="shared" si="1"/>
        <v>26</v>
      </c>
      <c r="R33" s="33" t="s">
        <v>157</v>
      </c>
      <c r="S33" s="34">
        <f>SUM(C102:C105)</f>
        <v>9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8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16</v>
      </c>
      <c r="AD33" s="34">
        <f t="shared" si="25"/>
        <v>0</v>
      </c>
      <c r="AE33" s="31">
        <f t="shared" si="25"/>
        <v>22</v>
      </c>
      <c r="AF33" s="31">
        <f t="shared" si="25"/>
        <v>38</v>
      </c>
    </row>
    <row r="34" spans="2:32" ht="23.1" customHeight="1" x14ac:dyDescent="0.25">
      <c r="B34" s="46" t="s">
        <v>61</v>
      </c>
      <c r="C34" s="50">
        <v>8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3</v>
      </c>
      <c r="K34" s="50">
        <v>1</v>
      </c>
      <c r="L34" s="50">
        <v>1</v>
      </c>
      <c r="M34" s="50">
        <v>12</v>
      </c>
      <c r="N34" s="50">
        <v>0</v>
      </c>
      <c r="O34" s="15">
        <f t="shared" si="0"/>
        <v>15</v>
      </c>
      <c r="P34" s="15">
        <f t="shared" si="1"/>
        <v>27</v>
      </c>
      <c r="R34" s="38" t="s">
        <v>90</v>
      </c>
      <c r="S34" s="39">
        <f t="shared" ref="S34:AF34" si="26">MAX(S10:S12)</f>
        <v>29</v>
      </c>
      <c r="T34" s="39">
        <f t="shared" si="26"/>
        <v>2</v>
      </c>
      <c r="U34" s="39">
        <f t="shared" si="26"/>
        <v>3</v>
      </c>
      <c r="V34" s="39">
        <f t="shared" si="26"/>
        <v>5</v>
      </c>
      <c r="W34" s="39">
        <f t="shared" si="26"/>
        <v>0</v>
      </c>
      <c r="X34" s="39">
        <f t="shared" si="26"/>
        <v>0</v>
      </c>
      <c r="Y34" s="39">
        <f t="shared" si="26"/>
        <v>4</v>
      </c>
      <c r="Z34" s="39">
        <f t="shared" si="26"/>
        <v>3</v>
      </c>
      <c r="AA34" s="39">
        <f t="shared" si="26"/>
        <v>2</v>
      </c>
      <c r="AB34" s="39">
        <f t="shared" si="26"/>
        <v>2</v>
      </c>
      <c r="AC34" s="39">
        <f t="shared" si="26"/>
        <v>45</v>
      </c>
      <c r="AD34" s="39">
        <f t="shared" si="26"/>
        <v>0</v>
      </c>
      <c r="AE34" s="40">
        <f t="shared" si="26"/>
        <v>46</v>
      </c>
      <c r="AF34" s="40">
        <f t="shared" si="26"/>
        <v>88</v>
      </c>
    </row>
    <row r="35" spans="2:32" ht="23.1" customHeight="1" x14ac:dyDescent="0.25">
      <c r="B35" s="46" t="s">
        <v>62</v>
      </c>
      <c r="C35" s="50">
        <v>22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25</v>
      </c>
      <c r="P35" s="15">
        <f t="shared" si="1"/>
        <v>35</v>
      </c>
      <c r="R35" s="38" t="s">
        <v>91</v>
      </c>
      <c r="S35" s="39">
        <f t="shared" ref="S35:AF35" si="27">MAX(S13:S18)</f>
        <v>39</v>
      </c>
      <c r="T35" s="39">
        <f t="shared" si="27"/>
        <v>4</v>
      </c>
      <c r="U35" s="39">
        <f t="shared" si="27"/>
        <v>10</v>
      </c>
      <c r="V35" s="39">
        <f t="shared" si="27"/>
        <v>13</v>
      </c>
      <c r="W35" s="39">
        <f t="shared" si="27"/>
        <v>1</v>
      </c>
      <c r="X35" s="39">
        <f t="shared" si="27"/>
        <v>1</v>
      </c>
      <c r="Y35" s="39">
        <f t="shared" si="27"/>
        <v>7</v>
      </c>
      <c r="Z35" s="39">
        <f t="shared" si="27"/>
        <v>7</v>
      </c>
      <c r="AA35" s="39">
        <f t="shared" si="27"/>
        <v>3</v>
      </c>
      <c r="AB35" s="39">
        <f t="shared" si="27"/>
        <v>1</v>
      </c>
      <c r="AC35" s="39">
        <f t="shared" si="27"/>
        <v>60</v>
      </c>
      <c r="AD35" s="39">
        <f t="shared" si="27"/>
        <v>10</v>
      </c>
      <c r="AE35" s="40">
        <f t="shared" si="27"/>
        <v>67</v>
      </c>
      <c r="AF35" s="40">
        <f t="shared" si="27"/>
        <v>113</v>
      </c>
    </row>
    <row r="36" spans="2:32" ht="23.1" customHeight="1" x14ac:dyDescent="0.25">
      <c r="B36" s="46" t="s">
        <v>63</v>
      </c>
      <c r="C36" s="50">
        <v>7</v>
      </c>
      <c r="D36" s="50">
        <v>2</v>
      </c>
      <c r="E36" s="50">
        <v>1</v>
      </c>
      <c r="F36" s="50">
        <v>6</v>
      </c>
      <c r="G36" s="50">
        <v>0</v>
      </c>
      <c r="H36" s="50">
        <v>1</v>
      </c>
      <c r="I36" s="50">
        <v>2</v>
      </c>
      <c r="J36" s="50">
        <v>1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20</v>
      </c>
      <c r="P36" s="15">
        <f t="shared" si="1"/>
        <v>29</v>
      </c>
      <c r="R36" s="38" t="s">
        <v>92</v>
      </c>
      <c r="S36" s="39">
        <f t="shared" ref="S36:AF36" si="28">MAX(S19:S21)</f>
        <v>32</v>
      </c>
      <c r="T36" s="39">
        <f t="shared" si="28"/>
        <v>7</v>
      </c>
      <c r="U36" s="39">
        <f t="shared" si="28"/>
        <v>4</v>
      </c>
      <c r="V36" s="39">
        <f t="shared" si="28"/>
        <v>10</v>
      </c>
      <c r="W36" s="39">
        <f t="shared" si="28"/>
        <v>0</v>
      </c>
      <c r="X36" s="39">
        <f t="shared" si="28"/>
        <v>2</v>
      </c>
      <c r="Y36" s="39">
        <f t="shared" si="28"/>
        <v>5</v>
      </c>
      <c r="Z36" s="39">
        <f t="shared" si="28"/>
        <v>5</v>
      </c>
      <c r="AA36" s="39">
        <f t="shared" si="28"/>
        <v>1</v>
      </c>
      <c r="AB36" s="39">
        <f t="shared" si="28"/>
        <v>1</v>
      </c>
      <c r="AC36" s="39">
        <f t="shared" si="28"/>
        <v>43</v>
      </c>
      <c r="AD36" s="39">
        <f t="shared" si="28"/>
        <v>0</v>
      </c>
      <c r="AE36" s="40">
        <f t="shared" si="28"/>
        <v>60</v>
      </c>
      <c r="AF36" s="40">
        <f t="shared" si="28"/>
        <v>103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7</v>
      </c>
      <c r="P37" s="15">
        <f t="shared" si="1"/>
        <v>17</v>
      </c>
      <c r="R37" s="37" t="s">
        <v>85</v>
      </c>
      <c r="S37" s="35">
        <f t="shared" ref="S37:AF37" si="29">SUM(S10:S12)</f>
        <v>67</v>
      </c>
      <c r="T37" s="16">
        <f t="shared" si="29"/>
        <v>3</v>
      </c>
      <c r="U37" s="16">
        <f t="shared" si="29"/>
        <v>4</v>
      </c>
      <c r="V37" s="16">
        <f t="shared" si="29"/>
        <v>11</v>
      </c>
      <c r="W37" s="16">
        <f t="shared" si="29"/>
        <v>0</v>
      </c>
      <c r="X37" s="16">
        <f t="shared" si="29"/>
        <v>0</v>
      </c>
      <c r="Y37" s="16">
        <f t="shared" si="29"/>
        <v>4</v>
      </c>
      <c r="Z37" s="16">
        <f t="shared" si="29"/>
        <v>6</v>
      </c>
      <c r="AA37" s="16">
        <f t="shared" si="29"/>
        <v>4</v>
      </c>
      <c r="AB37" s="16">
        <f t="shared" si="29"/>
        <v>4</v>
      </c>
      <c r="AC37" s="16">
        <f t="shared" si="29"/>
        <v>106</v>
      </c>
      <c r="AD37" s="16">
        <f t="shared" si="29"/>
        <v>0</v>
      </c>
      <c r="AE37" s="32">
        <f t="shared" si="29"/>
        <v>103</v>
      </c>
      <c r="AF37" s="32">
        <f t="shared" si="29"/>
        <v>209</v>
      </c>
    </row>
    <row r="38" spans="2:32" ht="23.1" customHeight="1" x14ac:dyDescent="0.25">
      <c r="B38" s="46" t="s">
        <v>65</v>
      </c>
      <c r="C38" s="50">
        <v>10</v>
      </c>
      <c r="D38" s="50">
        <v>0</v>
      </c>
      <c r="E38" s="50">
        <v>1</v>
      </c>
      <c r="F38" s="50">
        <v>5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18</v>
      </c>
      <c r="P38" s="15">
        <f t="shared" si="1"/>
        <v>28</v>
      </c>
      <c r="R38" s="28" t="s">
        <v>86</v>
      </c>
      <c r="S38" s="16">
        <f t="shared" ref="S38:AF38" si="30">SUM(S13:S18)</f>
        <v>152</v>
      </c>
      <c r="T38" s="16">
        <f t="shared" si="30"/>
        <v>12</v>
      </c>
      <c r="U38" s="16">
        <f t="shared" si="30"/>
        <v>30</v>
      </c>
      <c r="V38" s="16">
        <f t="shared" si="30"/>
        <v>53</v>
      </c>
      <c r="W38" s="16">
        <f t="shared" si="30"/>
        <v>1</v>
      </c>
      <c r="X38" s="16">
        <f t="shared" si="30"/>
        <v>1</v>
      </c>
      <c r="Y38" s="16">
        <f t="shared" si="30"/>
        <v>19</v>
      </c>
      <c r="Z38" s="16">
        <f t="shared" si="30"/>
        <v>20</v>
      </c>
      <c r="AA38" s="16">
        <f t="shared" si="30"/>
        <v>9</v>
      </c>
      <c r="AB38" s="16">
        <f t="shared" si="30"/>
        <v>3</v>
      </c>
      <c r="AC38" s="16">
        <f t="shared" si="30"/>
        <v>259</v>
      </c>
      <c r="AD38" s="16">
        <f t="shared" si="30"/>
        <v>10</v>
      </c>
      <c r="AE38" s="32">
        <f t="shared" si="30"/>
        <v>310</v>
      </c>
      <c r="AF38" s="32">
        <f t="shared" si="30"/>
        <v>569</v>
      </c>
    </row>
    <row r="39" spans="2:32" ht="23.1" customHeight="1" x14ac:dyDescent="0.25">
      <c r="B39" s="46" t="s">
        <v>66</v>
      </c>
      <c r="C39" s="50">
        <v>5</v>
      </c>
      <c r="D39" s="50">
        <v>3</v>
      </c>
      <c r="E39" s="50">
        <v>1</v>
      </c>
      <c r="F39" s="50">
        <v>2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14</v>
      </c>
      <c r="P39" s="15">
        <f t="shared" si="1"/>
        <v>24</v>
      </c>
      <c r="R39" s="29" t="s">
        <v>87</v>
      </c>
      <c r="S39" s="16">
        <f t="shared" ref="S39:AF39" si="31">SUM(S19:S21)</f>
        <v>80</v>
      </c>
      <c r="T39" s="16">
        <f t="shared" si="31"/>
        <v>12</v>
      </c>
      <c r="U39" s="16">
        <f t="shared" si="31"/>
        <v>8</v>
      </c>
      <c r="V39" s="16">
        <f t="shared" si="31"/>
        <v>20</v>
      </c>
      <c r="W39" s="16">
        <f t="shared" si="31"/>
        <v>0</v>
      </c>
      <c r="X39" s="16">
        <f t="shared" si="31"/>
        <v>2</v>
      </c>
      <c r="Y39" s="16">
        <f t="shared" si="31"/>
        <v>12</v>
      </c>
      <c r="Z39" s="16">
        <f t="shared" si="31"/>
        <v>6</v>
      </c>
      <c r="AA39" s="16">
        <f t="shared" si="31"/>
        <v>1</v>
      </c>
      <c r="AB39" s="16">
        <f t="shared" si="31"/>
        <v>1</v>
      </c>
      <c r="AC39" s="16">
        <f t="shared" si="31"/>
        <v>121</v>
      </c>
      <c r="AD39" s="16">
        <f t="shared" si="31"/>
        <v>0</v>
      </c>
      <c r="AE39" s="32">
        <f t="shared" si="31"/>
        <v>142</v>
      </c>
      <c r="AF39" s="32">
        <f t="shared" si="31"/>
        <v>263</v>
      </c>
    </row>
    <row r="40" spans="2:32" ht="23.1" customHeight="1" x14ac:dyDescent="0.25">
      <c r="B40" s="46" t="s">
        <v>67</v>
      </c>
      <c r="C40" s="50">
        <v>6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12</v>
      </c>
      <c r="N40" s="50">
        <v>0</v>
      </c>
      <c r="O40" s="15">
        <f t="shared" si="0"/>
        <v>8</v>
      </c>
      <c r="P40" s="15">
        <f t="shared" si="1"/>
        <v>20</v>
      </c>
      <c r="R40" s="5" t="s">
        <v>17</v>
      </c>
      <c r="S40" s="16">
        <f t="shared" ref="S40:AF40" si="32">SUM(S10:S21)</f>
        <v>299</v>
      </c>
      <c r="T40" s="16">
        <f t="shared" si="32"/>
        <v>27</v>
      </c>
      <c r="U40" s="16">
        <f t="shared" si="32"/>
        <v>42</v>
      </c>
      <c r="V40" s="16">
        <f t="shared" si="32"/>
        <v>84</v>
      </c>
      <c r="W40" s="16">
        <f t="shared" si="32"/>
        <v>1</v>
      </c>
      <c r="X40" s="16">
        <f t="shared" si="32"/>
        <v>3</v>
      </c>
      <c r="Y40" s="16">
        <f t="shared" si="32"/>
        <v>35</v>
      </c>
      <c r="Z40" s="16">
        <f t="shared" si="32"/>
        <v>32</v>
      </c>
      <c r="AA40" s="16">
        <f t="shared" si="32"/>
        <v>14</v>
      </c>
      <c r="AB40" s="16">
        <f t="shared" si="32"/>
        <v>8</v>
      </c>
      <c r="AC40" s="16">
        <f t="shared" si="32"/>
        <v>486</v>
      </c>
      <c r="AD40" s="16">
        <f t="shared" si="32"/>
        <v>10</v>
      </c>
      <c r="AE40" s="32">
        <f t="shared" si="32"/>
        <v>555</v>
      </c>
      <c r="AF40" s="32">
        <f t="shared" si="32"/>
        <v>1041</v>
      </c>
    </row>
    <row r="41" spans="2:32" ht="23.1" customHeight="1" x14ac:dyDescent="0.25">
      <c r="B41" s="45" t="s">
        <v>68</v>
      </c>
      <c r="C41" s="50">
        <v>5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9</v>
      </c>
      <c r="P41" s="15">
        <f t="shared" si="1"/>
        <v>19</v>
      </c>
      <c r="R41" s="5" t="s">
        <v>159</v>
      </c>
      <c r="S41" s="16">
        <f>SUM(S10:S33)</f>
        <v>359</v>
      </c>
      <c r="T41" s="16">
        <f t="shared" ref="T41:AF41" si="33">SUM(T10:T33)</f>
        <v>41</v>
      </c>
      <c r="U41" s="16">
        <f t="shared" si="33"/>
        <v>54</v>
      </c>
      <c r="V41" s="16">
        <f t="shared" si="33"/>
        <v>93</v>
      </c>
      <c r="W41" s="16">
        <f t="shared" si="33"/>
        <v>6</v>
      </c>
      <c r="X41" s="16">
        <f t="shared" si="33"/>
        <v>5</v>
      </c>
      <c r="Y41" s="16">
        <f t="shared" si="33"/>
        <v>61</v>
      </c>
      <c r="Z41" s="16">
        <f t="shared" si="33"/>
        <v>39</v>
      </c>
      <c r="AA41" s="16">
        <f t="shared" si="33"/>
        <v>21</v>
      </c>
      <c r="AB41" s="16">
        <f t="shared" si="33"/>
        <v>9</v>
      </c>
      <c r="AC41" s="16">
        <f t="shared" si="33"/>
        <v>565</v>
      </c>
      <c r="AD41" s="16">
        <f t="shared" si="33"/>
        <v>10</v>
      </c>
      <c r="AE41" s="32">
        <f t="shared" si="33"/>
        <v>698</v>
      </c>
      <c r="AF41" s="32">
        <f t="shared" si="33"/>
        <v>1263</v>
      </c>
    </row>
    <row r="42" spans="2:32" ht="23.1" customHeight="1" x14ac:dyDescent="0.25">
      <c r="B42" s="46" t="s">
        <v>69</v>
      </c>
      <c r="C42" s="50">
        <v>5</v>
      </c>
      <c r="D42" s="50">
        <v>1</v>
      </c>
      <c r="E42" s="50">
        <v>1</v>
      </c>
      <c r="F42" s="50">
        <v>9</v>
      </c>
      <c r="G42" s="50">
        <v>1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19</v>
      </c>
      <c r="P42" s="15">
        <f t="shared" si="1"/>
        <v>26</v>
      </c>
      <c r="R42" s="5" t="s">
        <v>160</v>
      </c>
      <c r="S42" s="48">
        <f>S41/S40</f>
        <v>1.2006688963210703</v>
      </c>
      <c r="T42" s="48">
        <f t="shared" ref="T42:AF42" si="34">T41/T40</f>
        <v>1.5185185185185186</v>
      </c>
      <c r="U42" s="48">
        <f t="shared" si="34"/>
        <v>1.2857142857142858</v>
      </c>
      <c r="V42" s="48">
        <f t="shared" si="34"/>
        <v>1.1071428571428572</v>
      </c>
      <c r="W42" s="48">
        <f t="shared" si="34"/>
        <v>6</v>
      </c>
      <c r="X42" s="48">
        <f t="shared" si="34"/>
        <v>1.6666666666666667</v>
      </c>
      <c r="Y42" s="48">
        <f t="shared" si="34"/>
        <v>1.7428571428571429</v>
      </c>
      <c r="Z42" s="48">
        <f t="shared" si="34"/>
        <v>1.21875</v>
      </c>
      <c r="AA42" s="48">
        <f t="shared" si="34"/>
        <v>1.5</v>
      </c>
      <c r="AB42" s="48">
        <f t="shared" si="34"/>
        <v>1.125</v>
      </c>
      <c r="AC42" s="48">
        <f t="shared" si="34"/>
        <v>1.1625514403292181</v>
      </c>
      <c r="AD42" s="48">
        <f t="shared" si="34"/>
        <v>1</v>
      </c>
      <c r="AE42" s="48">
        <f t="shared" si="34"/>
        <v>1.2576576576576577</v>
      </c>
      <c r="AF42" s="48">
        <f t="shared" si="34"/>
        <v>1.2132564841498559</v>
      </c>
    </row>
    <row r="43" spans="2:32" ht="23.1" customHeight="1" x14ac:dyDescent="0.25">
      <c r="B43" s="45" t="s">
        <v>70</v>
      </c>
      <c r="C43" s="50">
        <v>7</v>
      </c>
      <c r="D43" s="50">
        <v>2</v>
      </c>
      <c r="E43" s="50">
        <v>2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17</v>
      </c>
      <c r="N43" s="50">
        <v>0</v>
      </c>
      <c r="O43" s="15">
        <f t="shared" si="0"/>
        <v>14</v>
      </c>
      <c r="P43" s="15">
        <f t="shared" si="1"/>
        <v>31</v>
      </c>
    </row>
    <row r="44" spans="2:32" ht="23.1" customHeight="1" x14ac:dyDescent="0.25">
      <c r="B44" s="47" t="s">
        <v>71</v>
      </c>
      <c r="C44" s="50">
        <v>9</v>
      </c>
      <c r="D44" s="50">
        <v>0</v>
      </c>
      <c r="E44" s="50">
        <v>3</v>
      </c>
      <c r="F44" s="50">
        <v>2</v>
      </c>
      <c r="G44" s="50">
        <v>0</v>
      </c>
      <c r="H44" s="50">
        <v>0</v>
      </c>
      <c r="I44" s="50">
        <v>1</v>
      </c>
      <c r="J44" s="50">
        <v>1</v>
      </c>
      <c r="K44" s="50">
        <v>1</v>
      </c>
      <c r="L44" s="50">
        <v>0</v>
      </c>
      <c r="M44" s="50">
        <v>17</v>
      </c>
      <c r="N44" s="50">
        <v>0</v>
      </c>
      <c r="O44" s="15">
        <f t="shared" si="0"/>
        <v>17</v>
      </c>
      <c r="P44" s="15">
        <f t="shared" si="1"/>
        <v>34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19</v>
      </c>
      <c r="N45" s="50">
        <v>0</v>
      </c>
      <c r="O45" s="15">
        <f t="shared" si="0"/>
        <v>3</v>
      </c>
      <c r="P45" s="15">
        <f t="shared" si="1"/>
        <v>22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1</v>
      </c>
      <c r="M46" s="50">
        <v>8</v>
      </c>
      <c r="N46" s="50">
        <v>0</v>
      </c>
      <c r="O46" s="15">
        <f t="shared" si="0"/>
        <v>8</v>
      </c>
      <c r="P46" s="15">
        <f t="shared" si="1"/>
        <v>16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6</v>
      </c>
      <c r="P47" s="15">
        <f t="shared" si="1"/>
        <v>18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10</v>
      </c>
      <c r="P48" s="15">
        <f t="shared" si="1"/>
        <v>24</v>
      </c>
      <c r="R48" s="8"/>
      <c r="T48"/>
    </row>
    <row r="49" spans="2:20" ht="23.1" customHeight="1" x14ac:dyDescent="0.25">
      <c r="B49" s="45" t="s">
        <v>76</v>
      </c>
      <c r="C49" s="50">
        <v>5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8</v>
      </c>
      <c r="P49" s="15">
        <f t="shared" si="1"/>
        <v>13</v>
      </c>
      <c r="R49" s="8"/>
      <c r="T49"/>
    </row>
    <row r="50" spans="2:20" ht="23.1" customHeight="1" x14ac:dyDescent="0.25">
      <c r="B50" s="46" t="s">
        <v>77</v>
      </c>
      <c r="C50" s="50">
        <v>12</v>
      </c>
      <c r="D50" s="50">
        <v>2</v>
      </c>
      <c r="E50" s="50">
        <v>4</v>
      </c>
      <c r="F50" s="50">
        <v>7</v>
      </c>
      <c r="G50" s="50">
        <v>0</v>
      </c>
      <c r="H50" s="50">
        <v>1</v>
      </c>
      <c r="I50" s="50">
        <v>2</v>
      </c>
      <c r="J50" s="50">
        <v>0</v>
      </c>
      <c r="K50" s="50">
        <v>1</v>
      </c>
      <c r="L50" s="50">
        <v>0</v>
      </c>
      <c r="M50" s="50">
        <v>17</v>
      </c>
      <c r="N50" s="50">
        <v>0</v>
      </c>
      <c r="O50" s="15">
        <f t="shared" si="0"/>
        <v>29</v>
      </c>
      <c r="P50" s="15">
        <f t="shared" si="1"/>
        <v>46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2</v>
      </c>
      <c r="E51" s="50">
        <v>0</v>
      </c>
      <c r="F51" s="50">
        <v>1</v>
      </c>
      <c r="G51" s="50">
        <v>0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9</v>
      </c>
      <c r="P51" s="15">
        <f t="shared" si="1"/>
        <v>14</v>
      </c>
      <c r="R51" s="8"/>
      <c r="T51"/>
    </row>
    <row r="52" spans="2:20" ht="23.1" customHeight="1" x14ac:dyDescent="0.25">
      <c r="B52" s="46" t="s">
        <v>79</v>
      </c>
      <c r="C52" s="50">
        <v>5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6</v>
      </c>
      <c r="P52" s="15">
        <f t="shared" si="1"/>
        <v>17</v>
      </c>
      <c r="R52" s="8"/>
      <c r="T52"/>
    </row>
    <row r="53" spans="2:20" ht="23.1" customHeight="1" x14ac:dyDescent="0.25">
      <c r="B53" s="45" t="s">
        <v>80</v>
      </c>
      <c r="C53" s="50">
        <v>10</v>
      </c>
      <c r="D53" s="50">
        <v>2</v>
      </c>
      <c r="E53" s="50">
        <v>0</v>
      </c>
      <c r="F53" s="50">
        <v>2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16</v>
      </c>
      <c r="P53" s="15">
        <f t="shared" si="1"/>
        <v>26</v>
      </c>
      <c r="R53" s="8"/>
      <c r="T53"/>
    </row>
    <row r="54" spans="2:20" ht="23.1" customHeight="1" x14ac:dyDescent="0.25">
      <c r="B54" s="45" t="s">
        <v>81</v>
      </c>
      <c r="C54" s="50">
        <v>11</v>
      </c>
      <c r="D54" s="50">
        <v>2</v>
      </c>
      <c r="E54" s="50">
        <v>1</v>
      </c>
      <c r="F54" s="50">
        <v>3</v>
      </c>
      <c r="G54" s="50">
        <v>0</v>
      </c>
      <c r="H54" s="50">
        <v>0</v>
      </c>
      <c r="I54" s="50">
        <v>0</v>
      </c>
      <c r="J54" s="50">
        <v>3</v>
      </c>
      <c r="K54" s="50">
        <v>0</v>
      </c>
      <c r="L54" s="50">
        <v>0</v>
      </c>
      <c r="M54" s="50">
        <v>22</v>
      </c>
      <c r="N54" s="50">
        <v>0</v>
      </c>
      <c r="O54" s="15">
        <f t="shared" si="0"/>
        <v>20</v>
      </c>
      <c r="P54" s="15">
        <f t="shared" si="1"/>
        <v>42</v>
      </c>
      <c r="R54" s="8"/>
      <c r="T54"/>
    </row>
    <row r="55" spans="2:20" ht="23.1" customHeight="1" x14ac:dyDescent="0.25">
      <c r="B55" s="45" t="s">
        <v>82</v>
      </c>
      <c r="C55" s="50">
        <v>6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11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1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9</v>
      </c>
      <c r="P56" s="15">
        <f t="shared" si="1"/>
        <v>13</v>
      </c>
      <c r="R56" s="8"/>
      <c r="T56"/>
    </row>
    <row r="57" spans="2:20" ht="23.1" customHeight="1" x14ac:dyDescent="0.25">
      <c r="B57" s="45" t="s">
        <v>84</v>
      </c>
      <c r="C57" s="50">
        <v>6</v>
      </c>
      <c r="D57" s="50">
        <v>1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10</v>
      </c>
      <c r="P57" s="15">
        <f t="shared" si="1"/>
        <v>16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7</v>
      </c>
      <c r="N58" s="50">
        <v>0</v>
      </c>
      <c r="O58" s="15">
        <f t="shared" si="0"/>
        <v>4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4</v>
      </c>
      <c r="N59" s="50">
        <v>0</v>
      </c>
      <c r="O59" s="15">
        <f t="shared" si="0"/>
        <v>1</v>
      </c>
      <c r="P59" s="15">
        <f t="shared" si="1"/>
        <v>5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1</v>
      </c>
      <c r="E60" s="50">
        <v>0</v>
      </c>
      <c r="F60" s="50">
        <v>0</v>
      </c>
      <c r="G60" s="50">
        <v>0</v>
      </c>
      <c r="H60" s="50">
        <v>1</v>
      </c>
      <c r="I60" s="50">
        <v>0</v>
      </c>
      <c r="J60" s="50">
        <v>1</v>
      </c>
      <c r="K60" s="50">
        <v>2</v>
      </c>
      <c r="L60" s="50">
        <v>0</v>
      </c>
      <c r="M60" s="50">
        <v>8</v>
      </c>
      <c r="N60" s="50">
        <v>0</v>
      </c>
      <c r="O60" s="15">
        <f t="shared" si="0"/>
        <v>7</v>
      </c>
      <c r="P60" s="15">
        <f t="shared" si="1"/>
        <v>15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2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7</v>
      </c>
      <c r="N61" s="50">
        <v>0</v>
      </c>
      <c r="O61" s="15">
        <f t="shared" si="0"/>
        <v>10</v>
      </c>
      <c r="P61" s="15">
        <f t="shared" si="1"/>
        <v>17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2</v>
      </c>
      <c r="P62" s="15">
        <f t="shared" si="1"/>
        <v>2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5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2</v>
      </c>
      <c r="J64" s="50">
        <v>2</v>
      </c>
      <c r="K64" s="50">
        <v>0</v>
      </c>
      <c r="L64" s="50">
        <v>0</v>
      </c>
      <c r="M64" s="50">
        <v>4</v>
      </c>
      <c r="N64" s="50">
        <v>0</v>
      </c>
      <c r="O64" s="15">
        <f t="shared" si="0"/>
        <v>9</v>
      </c>
      <c r="P64" s="15">
        <f t="shared" si="1"/>
        <v>13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15">
        <f t="shared" si="0"/>
        <v>5</v>
      </c>
      <c r="P65" s="15">
        <f t="shared" si="1"/>
        <v>7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2</v>
      </c>
      <c r="K66" s="50">
        <v>1</v>
      </c>
      <c r="L66" s="50">
        <v>0</v>
      </c>
      <c r="M66" s="50">
        <v>0</v>
      </c>
      <c r="N66" s="50">
        <v>0</v>
      </c>
      <c r="O66" s="15">
        <f t="shared" si="0"/>
        <v>7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1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1</v>
      </c>
      <c r="M67" s="50">
        <v>1</v>
      </c>
      <c r="N67" s="50">
        <v>0</v>
      </c>
      <c r="O67" s="15">
        <f t="shared" si="0"/>
        <v>6</v>
      </c>
      <c r="P67" s="15">
        <f t="shared" si="1"/>
        <v>7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0</v>
      </c>
      <c r="F68" s="50">
        <v>0</v>
      </c>
      <c r="G68" s="50">
        <v>1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15">
        <f t="shared" si="0"/>
        <v>6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2</v>
      </c>
      <c r="P69" s="15">
        <f t="shared" si="1"/>
        <v>2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1</v>
      </c>
      <c r="L70" s="50">
        <v>0</v>
      </c>
      <c r="M70" s="50">
        <v>0</v>
      </c>
      <c r="N70" s="50">
        <v>0</v>
      </c>
      <c r="O70" s="15">
        <f t="shared" si="0"/>
        <v>5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4</v>
      </c>
      <c r="N71" s="50">
        <v>0</v>
      </c>
      <c r="O71" s="15">
        <f t="shared" si="0"/>
        <v>0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3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5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3</v>
      </c>
      <c r="N73" s="50">
        <v>0</v>
      </c>
      <c r="O73" s="15">
        <f t="shared" si="0"/>
        <v>2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0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2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1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2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2</v>
      </c>
      <c r="E79" s="50">
        <v>1</v>
      </c>
      <c r="F79" s="50">
        <v>0</v>
      </c>
      <c r="G79" s="50">
        <v>2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5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1</v>
      </c>
      <c r="G80" s="50">
        <v>1</v>
      </c>
      <c r="H80" s="50">
        <v>1</v>
      </c>
      <c r="I80" s="50">
        <v>1</v>
      </c>
      <c r="J80" s="50">
        <v>0</v>
      </c>
      <c r="K80" s="50">
        <v>1</v>
      </c>
      <c r="L80" s="50">
        <v>0</v>
      </c>
      <c r="M80" s="50">
        <v>2</v>
      </c>
      <c r="N80" s="50">
        <v>0</v>
      </c>
      <c r="O80" s="15">
        <f t="shared" si="35"/>
        <v>6</v>
      </c>
      <c r="P80" s="15">
        <f t="shared" si="36"/>
        <v>8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0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1</v>
      </c>
      <c r="F82" s="50">
        <v>2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3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3</v>
      </c>
      <c r="N83" s="50">
        <v>0</v>
      </c>
      <c r="O83" s="15">
        <f t="shared" si="35"/>
        <v>1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2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1</v>
      </c>
      <c r="E85" s="50">
        <v>0</v>
      </c>
      <c r="F85" s="50">
        <v>1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2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1</v>
      </c>
      <c r="L90" s="50">
        <v>0</v>
      </c>
      <c r="M90" s="50">
        <v>1</v>
      </c>
      <c r="N90" s="50">
        <v>0</v>
      </c>
      <c r="O90" s="15">
        <f t="shared" si="35"/>
        <v>3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0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1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2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1</v>
      </c>
      <c r="P100" s="15">
        <f t="shared" si="36"/>
        <v>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2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4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1</v>
      </c>
      <c r="E102" s="50">
        <v>0</v>
      </c>
      <c r="F102" s="50">
        <v>0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6</v>
      </c>
      <c r="P102" s="15">
        <f t="shared" si="36"/>
        <v>7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1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3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4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7</v>
      </c>
      <c r="P104" s="15">
        <f t="shared" si="36"/>
        <v>12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1</v>
      </c>
      <c r="E105" s="50">
        <v>0</v>
      </c>
      <c r="F105" s="50">
        <v>2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8</v>
      </c>
      <c r="N105" s="50">
        <v>0</v>
      </c>
      <c r="O105" s="15">
        <f t="shared" si="35"/>
        <v>6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359</v>
      </c>
      <c r="D106" s="16">
        <f t="shared" ref="D106:P106" si="37">SUM(D10:D105)</f>
        <v>41</v>
      </c>
      <c r="E106" s="16">
        <f t="shared" si="37"/>
        <v>54</v>
      </c>
      <c r="F106" s="16">
        <f t="shared" si="37"/>
        <v>93</v>
      </c>
      <c r="G106" s="16">
        <f t="shared" si="37"/>
        <v>6</v>
      </c>
      <c r="H106" s="16">
        <f t="shared" si="37"/>
        <v>5</v>
      </c>
      <c r="I106" s="16">
        <f t="shared" si="37"/>
        <v>61</v>
      </c>
      <c r="J106" s="16">
        <f t="shared" si="37"/>
        <v>39</v>
      </c>
      <c r="K106" s="16">
        <f t="shared" si="37"/>
        <v>21</v>
      </c>
      <c r="L106" s="16">
        <f t="shared" si="37"/>
        <v>9</v>
      </c>
      <c r="M106" s="16">
        <f t="shared" si="37"/>
        <v>565</v>
      </c>
      <c r="N106" s="16">
        <f t="shared" si="37"/>
        <v>10</v>
      </c>
      <c r="O106" s="16">
        <f t="shared" si="37"/>
        <v>698</v>
      </c>
      <c r="P106" s="16">
        <f t="shared" si="37"/>
        <v>1263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0.28424386381631039</v>
      </c>
      <c r="D107" s="43">
        <f t="shared" si="38"/>
        <v>3.2462391132224863E-2</v>
      </c>
      <c r="E107" s="43">
        <f t="shared" si="38"/>
        <v>4.2755344418052253E-2</v>
      </c>
      <c r="F107" s="43">
        <f t="shared" si="38"/>
        <v>7.3634204275534437E-2</v>
      </c>
      <c r="G107" s="43">
        <f t="shared" si="38"/>
        <v>4.7505938242280287E-3</v>
      </c>
      <c r="H107" s="43">
        <f t="shared" si="38"/>
        <v>3.95882818685669E-3</v>
      </c>
      <c r="I107" s="43">
        <f t="shared" si="38"/>
        <v>4.829770387965162E-2</v>
      </c>
      <c r="J107" s="43">
        <f t="shared" si="38"/>
        <v>3.0878859857482184E-2</v>
      </c>
      <c r="K107" s="43">
        <f t="shared" si="38"/>
        <v>1.66270783847981E-2</v>
      </c>
      <c r="L107" s="43">
        <f t="shared" si="38"/>
        <v>7.1258907363420431E-3</v>
      </c>
      <c r="M107" s="43">
        <f t="shared" si="38"/>
        <v>0.44734758511480599</v>
      </c>
      <c r="N107" s="43">
        <f t="shared" si="38"/>
        <v>7.91765637371338E-3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0.51432664756446989</v>
      </c>
      <c r="D108" s="44">
        <f t="shared" ref="D108:N108" si="39">D106/$O$106</f>
        <v>5.8739255014326648E-2</v>
      </c>
      <c r="E108" s="44">
        <f t="shared" si="39"/>
        <v>7.7363896848137534E-2</v>
      </c>
      <c r="F108" s="44">
        <f t="shared" si="39"/>
        <v>0.13323782234957021</v>
      </c>
      <c r="G108" s="44">
        <f t="shared" si="39"/>
        <v>8.5959885386819486E-3</v>
      </c>
      <c r="H108" s="44">
        <f t="shared" si="39"/>
        <v>7.1633237822349575E-3</v>
      </c>
      <c r="I108" s="44">
        <f t="shared" si="39"/>
        <v>8.7392550143266481E-2</v>
      </c>
      <c r="J108" s="44">
        <f t="shared" si="39"/>
        <v>5.5873925501432664E-2</v>
      </c>
      <c r="K108" s="44">
        <f t="shared" si="39"/>
        <v>3.0085959885386818E-2</v>
      </c>
      <c r="L108" s="44">
        <f t="shared" si="39"/>
        <v>1.2893982808022923E-2</v>
      </c>
      <c r="M108" s="44"/>
      <c r="N108" s="44">
        <f t="shared" si="39"/>
        <v>1.4326647564469915E-2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topLeftCell="A4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8.5" customHeight="1" x14ac:dyDescent="0.25">
      <c r="C5" s="4" t="s">
        <v>3</v>
      </c>
      <c r="D5" s="36" t="s">
        <v>173</v>
      </c>
      <c r="E5" s="3"/>
      <c r="F5" s="41" t="s">
        <v>1</v>
      </c>
      <c r="G5" s="54" t="str">
        <f>'25.10 Ibanada-Mbarara'!G5:H5</f>
        <v>RUHUMBA</v>
      </c>
      <c r="H5" s="55"/>
      <c r="I5" s="14"/>
      <c r="J5" s="2" t="s">
        <v>5</v>
      </c>
      <c r="K5" s="54" t="str">
        <f>'25.10 Ibanada-Mbarara'!K5:L5</f>
        <v>ATUKOL JOSHUA</v>
      </c>
      <c r="L5" s="55"/>
      <c r="M5" s="10"/>
      <c r="N5" s="10"/>
      <c r="O5" s="3"/>
      <c r="P5" s="3"/>
    </row>
    <row r="6" spans="2:32" ht="30.75" customHeight="1" x14ac:dyDescent="0.25">
      <c r="C6" s="2" t="s">
        <v>4</v>
      </c>
      <c r="D6" s="54" t="str">
        <f>'25.10 Ibanada-Mbarara'!D6:E6</f>
        <v>IBANDA</v>
      </c>
      <c r="E6" s="55"/>
      <c r="F6" s="2" t="s">
        <v>2</v>
      </c>
      <c r="G6" s="54" t="str">
        <f>'25.10 Ibanada-Mbarara'!G6:H6</f>
        <v>MBARARA</v>
      </c>
      <c r="H6" s="55"/>
      <c r="J6" s="2" t="s">
        <v>21</v>
      </c>
      <c r="K6" s="54" t="str">
        <f>'25.10 Ibanada-Mbarara'!K6:L6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17</v>
      </c>
      <c r="T10" s="17">
        <f t="shared" si="2"/>
        <v>4</v>
      </c>
      <c r="U10" s="17">
        <f t="shared" si="2"/>
        <v>4</v>
      </c>
      <c r="V10" s="17">
        <f t="shared" si="2"/>
        <v>7</v>
      </c>
      <c r="W10" s="17">
        <f t="shared" si="2"/>
        <v>1</v>
      </c>
      <c r="X10" s="17">
        <f t="shared" si="2"/>
        <v>2</v>
      </c>
      <c r="Y10" s="17">
        <f t="shared" si="2"/>
        <v>0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37</v>
      </c>
      <c r="AF10" s="31">
        <f t="shared" si="2"/>
        <v>60</v>
      </c>
    </row>
    <row r="11" spans="2:32" s="6" customFormat="1" ht="23.1" customHeight="1" x14ac:dyDescent="0.25">
      <c r="B11" s="23" t="s">
        <v>38</v>
      </c>
      <c r="C11" s="50">
        <v>5</v>
      </c>
      <c r="D11" s="50">
        <v>1</v>
      </c>
      <c r="E11" s="50">
        <v>1</v>
      </c>
      <c r="F11" s="50">
        <v>0</v>
      </c>
      <c r="G11" s="50">
        <v>1</v>
      </c>
      <c r="H11" s="50">
        <v>0</v>
      </c>
      <c r="I11" s="50">
        <v>0</v>
      </c>
      <c r="J11" s="50">
        <v>1</v>
      </c>
      <c r="K11" s="50">
        <v>1</v>
      </c>
      <c r="L11" s="50">
        <v>0</v>
      </c>
      <c r="M11" s="50">
        <v>4</v>
      </c>
      <c r="N11" s="50">
        <v>0</v>
      </c>
      <c r="O11" s="15">
        <f t="shared" si="0"/>
        <v>10</v>
      </c>
      <c r="P11" s="15">
        <f t="shared" si="1"/>
        <v>14</v>
      </c>
      <c r="R11" s="1" t="s">
        <v>7</v>
      </c>
      <c r="S11" s="17">
        <f t="shared" ref="S11:AF11" si="3">SUM(C14:C17)</f>
        <v>15</v>
      </c>
      <c r="T11" s="17">
        <f t="shared" si="3"/>
        <v>1</v>
      </c>
      <c r="U11" s="17">
        <f t="shared" si="3"/>
        <v>0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30</v>
      </c>
      <c r="AD11" s="17">
        <f t="shared" si="3"/>
        <v>0</v>
      </c>
      <c r="AE11" s="31">
        <f t="shared" si="3"/>
        <v>25</v>
      </c>
      <c r="AF11" s="31">
        <f t="shared" si="3"/>
        <v>55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2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7</v>
      </c>
      <c r="P12" s="15">
        <f t="shared" si="1"/>
        <v>13</v>
      </c>
      <c r="R12" s="1" t="s">
        <v>8</v>
      </c>
      <c r="S12" s="17">
        <f t="shared" ref="S12:AF12" si="4">SUM(C18:C21)</f>
        <v>19</v>
      </c>
      <c r="T12" s="17">
        <f t="shared" si="4"/>
        <v>1</v>
      </c>
      <c r="U12" s="17">
        <f t="shared" si="4"/>
        <v>6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39</v>
      </c>
      <c r="AD12" s="17">
        <f t="shared" si="4"/>
        <v>0</v>
      </c>
      <c r="AE12" s="31">
        <f t="shared" si="4"/>
        <v>28</v>
      </c>
      <c r="AF12" s="31">
        <f t="shared" si="4"/>
        <v>67</v>
      </c>
    </row>
    <row r="13" spans="2:32" ht="23.1" customHeight="1" x14ac:dyDescent="0.25">
      <c r="B13" s="23" t="s">
        <v>40</v>
      </c>
      <c r="C13" s="50">
        <v>6</v>
      </c>
      <c r="D13" s="50">
        <v>2</v>
      </c>
      <c r="E13" s="50">
        <v>2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14</v>
      </c>
      <c r="P13" s="15">
        <f t="shared" si="1"/>
        <v>22</v>
      </c>
      <c r="R13" s="1" t="s">
        <v>9</v>
      </c>
      <c r="S13" s="17">
        <f t="shared" ref="S13:AF13" si="5">SUM(C22:C25)</f>
        <v>18</v>
      </c>
      <c r="T13" s="17">
        <f t="shared" si="5"/>
        <v>1</v>
      </c>
      <c r="U13" s="17">
        <f t="shared" si="5"/>
        <v>0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22</v>
      </c>
      <c r="AD13" s="17">
        <f t="shared" si="5"/>
        <v>0</v>
      </c>
      <c r="AE13" s="31">
        <f t="shared" si="5"/>
        <v>28</v>
      </c>
      <c r="AF13" s="31">
        <f t="shared" si="5"/>
        <v>50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2</v>
      </c>
      <c r="P14" s="15">
        <f t="shared" si="1"/>
        <v>6</v>
      </c>
      <c r="R14" s="1" t="s">
        <v>10</v>
      </c>
      <c r="S14" s="17">
        <f t="shared" ref="S14:AF14" si="6">SUM(C26:C29)</f>
        <v>18</v>
      </c>
      <c r="T14" s="17">
        <f t="shared" si="6"/>
        <v>1</v>
      </c>
      <c r="U14" s="17">
        <f t="shared" si="6"/>
        <v>1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37</v>
      </c>
      <c r="AD14" s="17">
        <f t="shared" si="6"/>
        <v>0</v>
      </c>
      <c r="AE14" s="31">
        <f t="shared" si="6"/>
        <v>29</v>
      </c>
      <c r="AF14" s="31">
        <f t="shared" si="6"/>
        <v>66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7</v>
      </c>
      <c r="P15" s="15">
        <f t="shared" si="1"/>
        <v>17</v>
      </c>
      <c r="R15" s="1" t="s">
        <v>11</v>
      </c>
      <c r="S15" s="17">
        <f t="shared" ref="S15:AF15" si="7">SUM(C30:C33)</f>
        <v>25</v>
      </c>
      <c r="T15" s="17">
        <f t="shared" si="7"/>
        <v>7</v>
      </c>
      <c r="U15" s="17">
        <f t="shared" si="7"/>
        <v>3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48</v>
      </c>
      <c r="AD15" s="17">
        <f t="shared" si="7"/>
        <v>0</v>
      </c>
      <c r="AE15" s="31">
        <f t="shared" si="7"/>
        <v>43</v>
      </c>
      <c r="AF15" s="31">
        <f t="shared" si="7"/>
        <v>91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8</v>
      </c>
      <c r="P16" s="15">
        <f t="shared" si="1"/>
        <v>18</v>
      </c>
      <c r="R16" s="1" t="s">
        <v>12</v>
      </c>
      <c r="S16" s="17">
        <f t="shared" ref="S16:AF16" si="8">SUM(C34:C37)</f>
        <v>9</v>
      </c>
      <c r="T16" s="17">
        <f t="shared" si="8"/>
        <v>1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6</v>
      </c>
      <c r="AA16" s="17">
        <f t="shared" si="8"/>
        <v>1</v>
      </c>
      <c r="AB16" s="17">
        <f t="shared" si="8"/>
        <v>1</v>
      </c>
      <c r="AC16" s="17">
        <f t="shared" si="8"/>
        <v>37</v>
      </c>
      <c r="AD16" s="17">
        <f t="shared" si="8"/>
        <v>0</v>
      </c>
      <c r="AE16" s="31">
        <f t="shared" si="8"/>
        <v>30</v>
      </c>
      <c r="AF16" s="31">
        <f t="shared" si="8"/>
        <v>67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6</v>
      </c>
      <c r="N17" s="50">
        <v>0</v>
      </c>
      <c r="O17" s="15">
        <f t="shared" si="0"/>
        <v>8</v>
      </c>
      <c r="P17" s="15">
        <f t="shared" si="1"/>
        <v>14</v>
      </c>
      <c r="R17" s="1" t="s">
        <v>13</v>
      </c>
      <c r="S17" s="17">
        <f t="shared" ref="S17:AF17" si="9">SUM(C38:C41)</f>
        <v>16</v>
      </c>
      <c r="T17" s="17">
        <f t="shared" si="9"/>
        <v>2</v>
      </c>
      <c r="U17" s="17">
        <f t="shared" si="9"/>
        <v>5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55</v>
      </c>
      <c r="AD17" s="17">
        <f t="shared" si="9"/>
        <v>1</v>
      </c>
      <c r="AE17" s="31">
        <f t="shared" si="9"/>
        <v>35</v>
      </c>
      <c r="AF17" s="31">
        <f t="shared" si="9"/>
        <v>90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6</v>
      </c>
      <c r="P18" s="15">
        <f t="shared" si="1"/>
        <v>16</v>
      </c>
      <c r="R18" s="1" t="s">
        <v>14</v>
      </c>
      <c r="S18" s="17">
        <f t="shared" ref="S18:AF18" si="10">SUM(C42:C45)</f>
        <v>18</v>
      </c>
      <c r="T18" s="17">
        <f t="shared" si="10"/>
        <v>6</v>
      </c>
      <c r="U18" s="17">
        <f t="shared" si="10"/>
        <v>6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25</v>
      </c>
      <c r="AD18" s="17">
        <f t="shared" si="10"/>
        <v>0</v>
      </c>
      <c r="AE18" s="31">
        <f t="shared" si="10"/>
        <v>41</v>
      </c>
      <c r="AF18" s="31">
        <f t="shared" si="10"/>
        <v>66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2</v>
      </c>
      <c r="P19" s="15">
        <f t="shared" si="1"/>
        <v>17</v>
      </c>
      <c r="R19" s="1" t="s">
        <v>15</v>
      </c>
      <c r="S19" s="17">
        <f t="shared" ref="S19:AF19" si="11">SUM(C46:C49)</f>
        <v>24</v>
      </c>
      <c r="T19" s="17">
        <f t="shared" si="11"/>
        <v>4</v>
      </c>
      <c r="U19" s="17">
        <f t="shared" si="11"/>
        <v>3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36</v>
      </c>
      <c r="AD19" s="17">
        <f t="shared" si="11"/>
        <v>0</v>
      </c>
      <c r="AE19" s="31">
        <f t="shared" si="11"/>
        <v>40</v>
      </c>
      <c r="AF19" s="31">
        <f t="shared" si="11"/>
        <v>76</v>
      </c>
    </row>
    <row r="20" spans="2:32" ht="23.1" customHeight="1" x14ac:dyDescent="0.25">
      <c r="B20" s="23" t="s">
        <v>47</v>
      </c>
      <c r="C20" s="50">
        <v>9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9</v>
      </c>
      <c r="P20" s="15">
        <f t="shared" si="1"/>
        <v>14</v>
      </c>
      <c r="R20" s="1" t="s">
        <v>16</v>
      </c>
      <c r="S20" s="17">
        <f t="shared" ref="S20:AF20" si="12">SUM(C50:C53)</f>
        <v>15</v>
      </c>
      <c r="T20" s="17">
        <f t="shared" si="12"/>
        <v>3</v>
      </c>
      <c r="U20" s="17">
        <f t="shared" si="12"/>
        <v>5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3</v>
      </c>
      <c r="AA20" s="17">
        <f t="shared" si="12"/>
        <v>2</v>
      </c>
      <c r="AB20" s="17">
        <f t="shared" si="12"/>
        <v>0</v>
      </c>
      <c r="AC20" s="17">
        <f t="shared" si="12"/>
        <v>59</v>
      </c>
      <c r="AD20" s="17">
        <f t="shared" si="12"/>
        <v>0</v>
      </c>
      <c r="AE20" s="31">
        <f t="shared" si="12"/>
        <v>36</v>
      </c>
      <c r="AF20" s="31">
        <f t="shared" si="12"/>
        <v>95</v>
      </c>
    </row>
    <row r="21" spans="2:32" ht="23.1" customHeight="1" x14ac:dyDescent="0.25">
      <c r="B21" s="23" t="s">
        <v>48</v>
      </c>
      <c r="C21" s="50">
        <v>4</v>
      </c>
      <c r="D21" s="50">
        <v>1</v>
      </c>
      <c r="E21" s="50">
        <v>5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9</v>
      </c>
      <c r="N21" s="50">
        <v>0</v>
      </c>
      <c r="O21" s="15">
        <f t="shared" si="0"/>
        <v>11</v>
      </c>
      <c r="P21" s="15">
        <f t="shared" si="1"/>
        <v>20</v>
      </c>
      <c r="R21" s="36" t="s">
        <v>20</v>
      </c>
      <c r="S21" s="34">
        <f t="shared" ref="S21:AF21" si="13">SUM(C54:C57)</f>
        <v>17</v>
      </c>
      <c r="T21" s="17">
        <f t="shared" si="13"/>
        <v>3</v>
      </c>
      <c r="U21" s="17">
        <f t="shared" si="13"/>
        <v>6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3</v>
      </c>
      <c r="AA21" s="17">
        <f t="shared" si="13"/>
        <v>3</v>
      </c>
      <c r="AB21" s="17">
        <f t="shared" si="13"/>
        <v>0</v>
      </c>
      <c r="AC21" s="17">
        <f t="shared" si="13"/>
        <v>39</v>
      </c>
      <c r="AD21" s="17">
        <f t="shared" si="13"/>
        <v>0</v>
      </c>
      <c r="AE21" s="31">
        <f t="shared" si="13"/>
        <v>34</v>
      </c>
      <c r="AF21" s="31">
        <f t="shared" si="13"/>
        <v>73</v>
      </c>
    </row>
    <row r="22" spans="2:32" ht="23.1" customHeight="1" x14ac:dyDescent="0.25">
      <c r="B22" s="23" t="s">
        <v>49</v>
      </c>
      <c r="C22" s="50">
        <v>6</v>
      </c>
      <c r="D22" s="50">
        <v>1</v>
      </c>
      <c r="E22" s="50">
        <v>0</v>
      </c>
      <c r="F22" s="50">
        <v>3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10</v>
      </c>
      <c r="P22" s="15">
        <f t="shared" si="1"/>
        <v>12</v>
      </c>
      <c r="R22" s="38" t="s">
        <v>90</v>
      </c>
      <c r="S22" s="39">
        <f>MAX(S10:S12)</f>
        <v>19</v>
      </c>
      <c r="T22" s="39">
        <f t="shared" ref="T22:AF22" si="14">MAX(T10:T12)</f>
        <v>4</v>
      </c>
      <c r="U22" s="39">
        <f t="shared" si="14"/>
        <v>6</v>
      </c>
      <c r="V22" s="39">
        <f t="shared" si="14"/>
        <v>8</v>
      </c>
      <c r="W22" s="39">
        <f t="shared" si="14"/>
        <v>1</v>
      </c>
      <c r="X22" s="39">
        <f t="shared" si="14"/>
        <v>2</v>
      </c>
      <c r="Y22" s="39">
        <f t="shared" si="14"/>
        <v>0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39</v>
      </c>
      <c r="AD22" s="39">
        <f t="shared" si="14"/>
        <v>0</v>
      </c>
      <c r="AE22" s="40">
        <f t="shared" si="14"/>
        <v>37</v>
      </c>
      <c r="AF22" s="40">
        <f t="shared" si="14"/>
        <v>67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3</v>
      </c>
      <c r="P23" s="15">
        <f t="shared" si="1"/>
        <v>13</v>
      </c>
      <c r="R23" s="38" t="s">
        <v>91</v>
      </c>
      <c r="S23" s="39">
        <f>MAX(S13:S18)</f>
        <v>25</v>
      </c>
      <c r="T23" s="39">
        <f t="shared" ref="T23:AF23" si="15">MAX(T13:T18)</f>
        <v>7</v>
      </c>
      <c r="U23" s="39">
        <f t="shared" si="15"/>
        <v>6</v>
      </c>
      <c r="V23" s="39">
        <f t="shared" si="15"/>
        <v>6</v>
      </c>
      <c r="W23" s="39">
        <f t="shared" si="15"/>
        <v>0</v>
      </c>
      <c r="X23" s="39">
        <f t="shared" si="15"/>
        <v>0</v>
      </c>
      <c r="Y23" s="39">
        <f t="shared" si="15"/>
        <v>6</v>
      </c>
      <c r="Z23" s="39">
        <f t="shared" si="15"/>
        <v>6</v>
      </c>
      <c r="AA23" s="39">
        <f t="shared" si="15"/>
        <v>1</v>
      </c>
      <c r="AB23" s="39">
        <f t="shared" si="15"/>
        <v>1</v>
      </c>
      <c r="AC23" s="39">
        <f t="shared" si="15"/>
        <v>55</v>
      </c>
      <c r="AD23" s="39">
        <f t="shared" si="15"/>
        <v>1</v>
      </c>
      <c r="AE23" s="40">
        <f t="shared" si="15"/>
        <v>43</v>
      </c>
      <c r="AF23" s="40">
        <f t="shared" si="15"/>
        <v>91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7</v>
      </c>
      <c r="P24" s="15">
        <f t="shared" si="1"/>
        <v>12</v>
      </c>
      <c r="R24" s="38" t="s">
        <v>92</v>
      </c>
      <c r="S24" s="39">
        <f>MAX(S19:S21)</f>
        <v>24</v>
      </c>
      <c r="T24" s="39">
        <f t="shared" ref="T24:AF24" si="16">MAX(T19:T21)</f>
        <v>4</v>
      </c>
      <c r="U24" s="39">
        <f t="shared" si="16"/>
        <v>6</v>
      </c>
      <c r="V24" s="39">
        <f t="shared" si="16"/>
        <v>4</v>
      </c>
      <c r="W24" s="39">
        <f t="shared" si="16"/>
        <v>0</v>
      </c>
      <c r="X24" s="39">
        <f t="shared" si="16"/>
        <v>0</v>
      </c>
      <c r="Y24" s="39">
        <f t="shared" si="16"/>
        <v>4</v>
      </c>
      <c r="Z24" s="39">
        <f t="shared" si="16"/>
        <v>3</v>
      </c>
      <c r="AA24" s="39">
        <f t="shared" si="16"/>
        <v>3</v>
      </c>
      <c r="AB24" s="39">
        <f t="shared" si="16"/>
        <v>0</v>
      </c>
      <c r="AC24" s="39">
        <f t="shared" si="16"/>
        <v>59</v>
      </c>
      <c r="AD24" s="39">
        <f t="shared" si="16"/>
        <v>0</v>
      </c>
      <c r="AE24" s="40">
        <f t="shared" si="16"/>
        <v>40</v>
      </c>
      <c r="AF24" s="40">
        <f t="shared" si="16"/>
        <v>95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0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8</v>
      </c>
      <c r="P25" s="15">
        <f t="shared" si="1"/>
        <v>13</v>
      </c>
      <c r="R25" s="37" t="s">
        <v>85</v>
      </c>
      <c r="S25" s="35">
        <f t="shared" ref="S25:AF25" si="17">SUM(S10:S12)</f>
        <v>51</v>
      </c>
      <c r="T25" s="16">
        <f t="shared" si="17"/>
        <v>6</v>
      </c>
      <c r="U25" s="16">
        <f t="shared" si="17"/>
        <v>10</v>
      </c>
      <c r="V25" s="16">
        <f t="shared" si="17"/>
        <v>16</v>
      </c>
      <c r="W25" s="16">
        <f t="shared" si="17"/>
        <v>1</v>
      </c>
      <c r="X25" s="16">
        <f t="shared" si="17"/>
        <v>2</v>
      </c>
      <c r="Y25" s="16">
        <f t="shared" si="17"/>
        <v>0</v>
      </c>
      <c r="Z25" s="16">
        <f t="shared" si="17"/>
        <v>1</v>
      </c>
      <c r="AA25" s="16">
        <f t="shared" si="17"/>
        <v>1</v>
      </c>
      <c r="AB25" s="16">
        <f t="shared" si="17"/>
        <v>2</v>
      </c>
      <c r="AC25" s="16">
        <f t="shared" si="17"/>
        <v>92</v>
      </c>
      <c r="AD25" s="16">
        <f t="shared" si="17"/>
        <v>0</v>
      </c>
      <c r="AE25" s="32">
        <f t="shared" si="17"/>
        <v>90</v>
      </c>
      <c r="AF25" s="32">
        <f t="shared" si="17"/>
        <v>182</v>
      </c>
    </row>
    <row r="26" spans="2:32" ht="23.1" customHeight="1" x14ac:dyDescent="0.25">
      <c r="B26" s="23" t="s">
        <v>53</v>
      </c>
      <c r="C26" s="50">
        <v>9</v>
      </c>
      <c r="D26" s="50">
        <v>1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1</v>
      </c>
      <c r="M26" s="50">
        <v>15</v>
      </c>
      <c r="N26" s="50">
        <v>0</v>
      </c>
      <c r="O26" s="15">
        <f t="shared" si="0"/>
        <v>15</v>
      </c>
      <c r="P26" s="15">
        <f t="shared" si="1"/>
        <v>30</v>
      </c>
      <c r="R26" s="28" t="s">
        <v>86</v>
      </c>
      <c r="S26" s="16">
        <f t="shared" ref="S26:AF26" si="18">SUM(S13:S18)</f>
        <v>104</v>
      </c>
      <c r="T26" s="16">
        <f t="shared" si="18"/>
        <v>18</v>
      </c>
      <c r="U26" s="16">
        <f t="shared" si="18"/>
        <v>19</v>
      </c>
      <c r="V26" s="16">
        <f t="shared" si="18"/>
        <v>27</v>
      </c>
      <c r="W26" s="16">
        <f t="shared" si="18"/>
        <v>0</v>
      </c>
      <c r="X26" s="16">
        <f t="shared" si="18"/>
        <v>0</v>
      </c>
      <c r="Y26" s="16">
        <f t="shared" si="18"/>
        <v>14</v>
      </c>
      <c r="Z26" s="16">
        <f t="shared" si="18"/>
        <v>19</v>
      </c>
      <c r="AA26" s="16">
        <f t="shared" si="18"/>
        <v>2</v>
      </c>
      <c r="AB26" s="16">
        <f t="shared" si="18"/>
        <v>2</v>
      </c>
      <c r="AC26" s="16">
        <f t="shared" si="18"/>
        <v>224</v>
      </c>
      <c r="AD26" s="16">
        <f t="shared" si="18"/>
        <v>1</v>
      </c>
      <c r="AE26" s="32">
        <f t="shared" si="18"/>
        <v>206</v>
      </c>
      <c r="AF26" s="32">
        <f t="shared" si="18"/>
        <v>430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7</v>
      </c>
      <c r="P27" s="15">
        <f t="shared" si="1"/>
        <v>16</v>
      </c>
      <c r="R27" s="29" t="s">
        <v>87</v>
      </c>
      <c r="S27" s="16">
        <f t="shared" ref="S27:AF27" si="19">SUM(S19:S21)</f>
        <v>56</v>
      </c>
      <c r="T27" s="16">
        <f t="shared" si="19"/>
        <v>10</v>
      </c>
      <c r="U27" s="16">
        <f t="shared" si="19"/>
        <v>14</v>
      </c>
      <c r="V27" s="16">
        <f t="shared" si="19"/>
        <v>9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8</v>
      </c>
      <c r="AA27" s="16">
        <f t="shared" si="19"/>
        <v>6</v>
      </c>
      <c r="AB27" s="16">
        <f t="shared" si="19"/>
        <v>0</v>
      </c>
      <c r="AC27" s="16">
        <f t="shared" si="19"/>
        <v>134</v>
      </c>
      <c r="AD27" s="16">
        <f t="shared" si="19"/>
        <v>0</v>
      </c>
      <c r="AE27" s="32">
        <f t="shared" si="19"/>
        <v>110</v>
      </c>
      <c r="AF27" s="32">
        <f t="shared" si="19"/>
        <v>244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3</v>
      </c>
      <c r="P28" s="15">
        <f t="shared" si="1"/>
        <v>9</v>
      </c>
      <c r="R28" s="5" t="s">
        <v>17</v>
      </c>
      <c r="S28" s="16">
        <f t="shared" ref="S28:AF28" si="20">SUM(S10:S21)</f>
        <v>211</v>
      </c>
      <c r="T28" s="16">
        <f t="shared" si="20"/>
        <v>34</v>
      </c>
      <c r="U28" s="16">
        <f t="shared" si="20"/>
        <v>43</v>
      </c>
      <c r="V28" s="16">
        <f t="shared" si="20"/>
        <v>52</v>
      </c>
      <c r="W28" s="16">
        <f t="shared" si="20"/>
        <v>1</v>
      </c>
      <c r="X28" s="16">
        <f t="shared" si="20"/>
        <v>2</v>
      </c>
      <c r="Y28" s="16">
        <f t="shared" si="20"/>
        <v>21</v>
      </c>
      <c r="Z28" s="16">
        <f t="shared" si="20"/>
        <v>28</v>
      </c>
      <c r="AA28" s="16">
        <f t="shared" si="20"/>
        <v>9</v>
      </c>
      <c r="AB28" s="16">
        <f t="shared" si="20"/>
        <v>4</v>
      </c>
      <c r="AC28" s="16">
        <f t="shared" si="20"/>
        <v>450</v>
      </c>
      <c r="AD28" s="16">
        <f t="shared" si="20"/>
        <v>1</v>
      </c>
      <c r="AE28" s="32">
        <f t="shared" si="20"/>
        <v>406</v>
      </c>
      <c r="AF28" s="32">
        <f t="shared" si="20"/>
        <v>856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4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10</v>
      </c>
      <c r="P30" s="15">
        <f t="shared" si="1"/>
        <v>23</v>
      </c>
    </row>
    <row r="31" spans="2:32" ht="23.1" customHeight="1" x14ac:dyDescent="0.25">
      <c r="B31" s="24" t="s">
        <v>58</v>
      </c>
      <c r="C31" s="50">
        <v>9</v>
      </c>
      <c r="D31" s="50">
        <v>3</v>
      </c>
      <c r="E31" s="50">
        <v>1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15</v>
      </c>
      <c r="P31" s="15">
        <f t="shared" si="1"/>
        <v>23</v>
      </c>
    </row>
    <row r="32" spans="2:32" ht="23.1" customHeight="1" x14ac:dyDescent="0.25">
      <c r="B32" s="24" t="s">
        <v>59</v>
      </c>
      <c r="C32" s="50">
        <v>10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14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4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3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1</v>
      </c>
      <c r="L34" s="50">
        <v>0</v>
      </c>
      <c r="M34" s="50">
        <v>9</v>
      </c>
      <c r="N34" s="50">
        <v>0</v>
      </c>
      <c r="O34" s="15">
        <f t="shared" si="0"/>
        <v>9</v>
      </c>
      <c r="P34" s="15">
        <f t="shared" si="1"/>
        <v>18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1</v>
      </c>
      <c r="M35" s="50">
        <v>17</v>
      </c>
      <c r="N35" s="50">
        <v>0</v>
      </c>
      <c r="O35" s="15">
        <f t="shared" si="0"/>
        <v>9</v>
      </c>
      <c r="P35" s="15">
        <f t="shared" si="1"/>
        <v>26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6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6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3</v>
      </c>
      <c r="K38" s="50">
        <v>0</v>
      </c>
      <c r="L38" s="50">
        <v>0</v>
      </c>
      <c r="M38" s="50">
        <v>13</v>
      </c>
      <c r="N38" s="50">
        <v>1</v>
      </c>
      <c r="O38" s="15">
        <f t="shared" si="0"/>
        <v>11</v>
      </c>
      <c r="P38" s="15">
        <f t="shared" si="1"/>
        <v>24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5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5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9</v>
      </c>
      <c r="P40" s="15">
        <f t="shared" si="1"/>
        <v>30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3</v>
      </c>
      <c r="F41" s="50">
        <v>3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10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5</v>
      </c>
      <c r="D42" s="50">
        <v>2</v>
      </c>
      <c r="E42" s="50">
        <v>1</v>
      </c>
      <c r="F42" s="50">
        <v>1</v>
      </c>
      <c r="G42" s="50">
        <v>0</v>
      </c>
      <c r="H42" s="50">
        <v>0</v>
      </c>
      <c r="I42" s="50">
        <v>0</v>
      </c>
      <c r="J42" s="50">
        <v>4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13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6</v>
      </c>
      <c r="D43" s="50">
        <v>2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10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2</v>
      </c>
      <c r="F44" s="50">
        <v>3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11</v>
      </c>
      <c r="P44" s="15">
        <f t="shared" si="1"/>
        <v>16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2</v>
      </c>
      <c r="N45" s="50">
        <v>0</v>
      </c>
      <c r="O45" s="15">
        <f t="shared" si="0"/>
        <v>7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7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4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3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6</v>
      </c>
      <c r="N48" s="50">
        <v>0</v>
      </c>
      <c r="O48" s="15">
        <f t="shared" si="0"/>
        <v>13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1</v>
      </c>
      <c r="E49" s="50">
        <v>3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1</v>
      </c>
      <c r="L49" s="50">
        <v>0</v>
      </c>
      <c r="M49" s="50">
        <v>17</v>
      </c>
      <c r="N49" s="50">
        <v>0</v>
      </c>
      <c r="O49" s="15">
        <f t="shared" si="0"/>
        <v>16</v>
      </c>
      <c r="P49" s="15">
        <f t="shared" si="1"/>
        <v>33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16</v>
      </c>
      <c r="N50" s="50">
        <v>0</v>
      </c>
      <c r="O50" s="15">
        <f t="shared" si="0"/>
        <v>11</v>
      </c>
      <c r="P50" s="15">
        <f t="shared" si="1"/>
        <v>27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1</v>
      </c>
      <c r="L51" s="50">
        <v>0</v>
      </c>
      <c r="M51" s="50">
        <v>15</v>
      </c>
      <c r="N51" s="50">
        <v>0</v>
      </c>
      <c r="O51" s="15">
        <f t="shared" si="0"/>
        <v>8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2</v>
      </c>
      <c r="E52" s="50">
        <v>2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22</v>
      </c>
      <c r="N52" s="50">
        <v>0</v>
      </c>
      <c r="O52" s="15">
        <f t="shared" si="0"/>
        <v>8</v>
      </c>
      <c r="P52" s="15">
        <f t="shared" si="1"/>
        <v>30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3</v>
      </c>
      <c r="K53" s="50">
        <v>1</v>
      </c>
      <c r="L53" s="50">
        <v>0</v>
      </c>
      <c r="M53" s="50">
        <v>6</v>
      </c>
      <c r="N53" s="50">
        <v>0</v>
      </c>
      <c r="O53" s="15">
        <f t="shared" si="0"/>
        <v>9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7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2</v>
      </c>
      <c r="K55" s="50">
        <v>1</v>
      </c>
      <c r="L55" s="50">
        <v>0</v>
      </c>
      <c r="M55" s="50">
        <v>11</v>
      </c>
      <c r="N55" s="50">
        <v>0</v>
      </c>
      <c r="O55" s="15">
        <f t="shared" si="0"/>
        <v>9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3</v>
      </c>
      <c r="E56" s="50">
        <v>3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2</v>
      </c>
      <c r="L56" s="50">
        <v>0</v>
      </c>
      <c r="M56" s="50">
        <v>7</v>
      </c>
      <c r="N56" s="50">
        <v>0</v>
      </c>
      <c r="O56" s="15">
        <f t="shared" si="0"/>
        <v>16</v>
      </c>
      <c r="P56" s="15">
        <f t="shared" si="1"/>
        <v>23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2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211</v>
      </c>
      <c r="D58" s="16">
        <f t="shared" si="21"/>
        <v>34</v>
      </c>
      <c r="E58" s="16">
        <f t="shared" si="21"/>
        <v>43</v>
      </c>
      <c r="F58" s="16">
        <f t="shared" si="21"/>
        <v>52</v>
      </c>
      <c r="G58" s="16">
        <f t="shared" si="21"/>
        <v>1</v>
      </c>
      <c r="H58" s="16">
        <f t="shared" si="21"/>
        <v>2</v>
      </c>
      <c r="I58" s="16">
        <f t="shared" si="21"/>
        <v>21</v>
      </c>
      <c r="J58" s="16">
        <f t="shared" si="21"/>
        <v>28</v>
      </c>
      <c r="K58" s="16">
        <f t="shared" si="21"/>
        <v>9</v>
      </c>
      <c r="L58" s="16">
        <f t="shared" si="21"/>
        <v>4</v>
      </c>
      <c r="M58" s="16">
        <f t="shared" si="21"/>
        <v>450</v>
      </c>
      <c r="N58" s="16">
        <f t="shared" si="21"/>
        <v>1</v>
      </c>
      <c r="O58" s="16">
        <f t="shared" si="21"/>
        <v>406</v>
      </c>
      <c r="P58" s="16">
        <f t="shared" si="21"/>
        <v>856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0.24649532710280375</v>
      </c>
      <c r="D59" s="43">
        <f t="shared" si="22"/>
        <v>3.9719626168224297E-2</v>
      </c>
      <c r="E59" s="43">
        <f t="shared" si="22"/>
        <v>5.0233644859813083E-2</v>
      </c>
      <c r="F59" s="43">
        <f t="shared" si="22"/>
        <v>6.0747663551401869E-2</v>
      </c>
      <c r="G59" s="43">
        <f t="shared" si="22"/>
        <v>1.1682242990654205E-3</v>
      </c>
      <c r="H59" s="43">
        <f t="shared" si="22"/>
        <v>2.3364485981308409E-3</v>
      </c>
      <c r="I59" s="43">
        <f t="shared" si="22"/>
        <v>2.4532710280373831E-2</v>
      </c>
      <c r="J59" s="43">
        <f t="shared" si="22"/>
        <v>3.2710280373831772E-2</v>
      </c>
      <c r="K59" s="43">
        <f t="shared" si="22"/>
        <v>1.0514018691588784E-2</v>
      </c>
      <c r="L59" s="43">
        <f t="shared" si="22"/>
        <v>4.6728971962616819E-3</v>
      </c>
      <c r="M59" s="43">
        <f t="shared" si="22"/>
        <v>0.52570093457943923</v>
      </c>
      <c r="N59" s="43">
        <f t="shared" si="22"/>
        <v>1.1682242990654205E-3</v>
      </c>
      <c r="R59" s="8"/>
      <c r="T59"/>
    </row>
    <row r="60" spans="2:20" ht="23.1" customHeight="1" x14ac:dyDescent="0.25">
      <c r="B60" s="42" t="s">
        <v>94</v>
      </c>
      <c r="C60" s="44">
        <f>C58/$O$58</f>
        <v>0.51970443349753692</v>
      </c>
      <c r="D60" s="44">
        <f t="shared" ref="D60:N60" si="23">D58/$O$58</f>
        <v>8.3743842364532015E-2</v>
      </c>
      <c r="E60" s="44">
        <f t="shared" si="23"/>
        <v>0.10591133004926108</v>
      </c>
      <c r="F60" s="44">
        <f t="shared" si="23"/>
        <v>0.12807881773399016</v>
      </c>
      <c r="G60" s="44">
        <f t="shared" si="23"/>
        <v>2.4630541871921183E-3</v>
      </c>
      <c r="H60" s="44">
        <f t="shared" si="23"/>
        <v>4.9261083743842365E-3</v>
      </c>
      <c r="I60" s="44">
        <f t="shared" si="23"/>
        <v>5.1724137931034482E-2</v>
      </c>
      <c r="J60" s="44">
        <f t="shared" si="23"/>
        <v>6.8965517241379309E-2</v>
      </c>
      <c r="K60" s="44">
        <f t="shared" si="23"/>
        <v>2.2167487684729065E-2</v>
      </c>
      <c r="L60" s="44">
        <f t="shared" si="23"/>
        <v>9.852216748768473E-3</v>
      </c>
      <c r="M60" s="44"/>
      <c r="N60" s="44">
        <f t="shared" si="23"/>
        <v>2.4630541871921183E-3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Mbarara-Ibanda'!C3:G3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'29.10 Ibanda-Mbarara'!D5</f>
        <v>29.10.2019</v>
      </c>
      <c r="E5" s="3"/>
      <c r="F5" s="41" t="s">
        <v>1</v>
      </c>
      <c r="G5" s="54" t="str">
        <f>'25.10 Ibanada-Mbarara'!G5:H5</f>
        <v>RUHUMBA</v>
      </c>
      <c r="H5" s="55"/>
      <c r="I5" s="14"/>
      <c r="J5" s="2" t="s">
        <v>5</v>
      </c>
      <c r="K5" s="54" t="s">
        <v>174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tr">
        <f>'25.10 Mbarara-Ibanda'!D6:E6</f>
        <v>MBARARA</v>
      </c>
      <c r="E6" s="55"/>
      <c r="F6" s="2" t="s">
        <v>2</v>
      </c>
      <c r="G6" s="54" t="str">
        <f>'25.10 Mbarara-Ibanda'!G6:H6</f>
        <v>IBANDA</v>
      </c>
      <c r="H6" s="55"/>
      <c r="J6" s="2" t="s">
        <v>21</v>
      </c>
      <c r="K6" s="54" t="str">
        <f>'25.10 Ibanada-Mbarara'!K6:L6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15</v>
      </c>
      <c r="T10" s="17">
        <f t="shared" si="2"/>
        <v>5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17</v>
      </c>
      <c r="AD10" s="17">
        <f t="shared" si="2"/>
        <v>0</v>
      </c>
      <c r="AE10" s="31">
        <f t="shared" si="2"/>
        <v>26</v>
      </c>
      <c r="AF10" s="31">
        <f t="shared" si="2"/>
        <v>43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7</v>
      </c>
      <c r="P11" s="15">
        <f t="shared" si="1"/>
        <v>13</v>
      </c>
      <c r="R11" s="1" t="s">
        <v>7</v>
      </c>
      <c r="S11" s="17">
        <f t="shared" ref="S11:AF11" si="3">SUM(C14:C17)</f>
        <v>26</v>
      </c>
      <c r="T11" s="17">
        <f t="shared" si="3"/>
        <v>0</v>
      </c>
      <c r="U11" s="17">
        <f t="shared" si="3"/>
        <v>2</v>
      </c>
      <c r="V11" s="17">
        <f t="shared" si="3"/>
        <v>9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62</v>
      </c>
      <c r="AD11" s="17">
        <f t="shared" si="3"/>
        <v>0</v>
      </c>
      <c r="AE11" s="31">
        <f t="shared" si="3"/>
        <v>41</v>
      </c>
      <c r="AF11" s="31">
        <f t="shared" si="3"/>
        <v>103</v>
      </c>
    </row>
    <row r="12" spans="2:32" ht="23.1" customHeight="1" x14ac:dyDescent="0.25">
      <c r="B12" s="23" t="s">
        <v>39</v>
      </c>
      <c r="C12" s="50">
        <v>7</v>
      </c>
      <c r="D12" s="50">
        <v>2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2</v>
      </c>
      <c r="N12" s="50">
        <v>0</v>
      </c>
      <c r="O12" s="15">
        <f t="shared" si="0"/>
        <v>10</v>
      </c>
      <c r="P12" s="15">
        <f t="shared" si="1"/>
        <v>12</v>
      </c>
      <c r="R12" s="1" t="s">
        <v>8</v>
      </c>
      <c r="S12" s="17">
        <f t="shared" ref="S12:AF12" si="4">SUM(C18:C21)</f>
        <v>25</v>
      </c>
      <c r="T12" s="17">
        <f t="shared" si="4"/>
        <v>0</v>
      </c>
      <c r="U12" s="17">
        <f t="shared" si="4"/>
        <v>5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54</v>
      </c>
      <c r="AD12" s="17">
        <f t="shared" si="4"/>
        <v>0</v>
      </c>
      <c r="AE12" s="31">
        <f t="shared" si="4"/>
        <v>37</v>
      </c>
      <c r="AF12" s="31">
        <f t="shared" si="4"/>
        <v>91</v>
      </c>
    </row>
    <row r="13" spans="2:32" ht="23.1" customHeight="1" x14ac:dyDescent="0.25">
      <c r="B13" s="23" t="s">
        <v>40</v>
      </c>
      <c r="C13" s="50">
        <v>2</v>
      </c>
      <c r="D13" s="50">
        <v>3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6</v>
      </c>
      <c r="P13" s="15">
        <f t="shared" si="1"/>
        <v>11</v>
      </c>
      <c r="R13" s="1" t="s">
        <v>9</v>
      </c>
      <c r="S13" s="17">
        <f t="shared" ref="S13:AF13" si="5">SUM(C22:C25)</f>
        <v>32</v>
      </c>
      <c r="T13" s="17">
        <f t="shared" si="5"/>
        <v>0</v>
      </c>
      <c r="U13" s="17">
        <f t="shared" si="5"/>
        <v>5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1</v>
      </c>
      <c r="AB13" s="17">
        <f t="shared" si="5"/>
        <v>2</v>
      </c>
      <c r="AC13" s="17">
        <f t="shared" si="5"/>
        <v>61</v>
      </c>
      <c r="AD13" s="17">
        <f t="shared" si="5"/>
        <v>0</v>
      </c>
      <c r="AE13" s="31">
        <f t="shared" si="5"/>
        <v>50</v>
      </c>
      <c r="AF13" s="31">
        <f t="shared" si="5"/>
        <v>111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19</v>
      </c>
      <c r="N14" s="50">
        <v>0</v>
      </c>
      <c r="O14" s="15">
        <f t="shared" si="0"/>
        <v>6</v>
      </c>
      <c r="P14" s="15">
        <f t="shared" si="1"/>
        <v>25</v>
      </c>
      <c r="R14" s="1" t="s">
        <v>10</v>
      </c>
      <c r="S14" s="17">
        <f t="shared" ref="S14:AF14" si="6">SUM(C26:C29)</f>
        <v>31</v>
      </c>
      <c r="T14" s="17">
        <f t="shared" si="6"/>
        <v>0</v>
      </c>
      <c r="U14" s="17">
        <f t="shared" si="6"/>
        <v>7</v>
      </c>
      <c r="V14" s="17">
        <f t="shared" si="6"/>
        <v>7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4</v>
      </c>
      <c r="AA14" s="17">
        <f t="shared" si="6"/>
        <v>2</v>
      </c>
      <c r="AB14" s="17">
        <f t="shared" si="6"/>
        <v>4</v>
      </c>
      <c r="AC14" s="17">
        <f t="shared" si="6"/>
        <v>38</v>
      </c>
      <c r="AD14" s="17">
        <f t="shared" si="6"/>
        <v>0</v>
      </c>
      <c r="AE14" s="31">
        <f t="shared" si="6"/>
        <v>58</v>
      </c>
      <c r="AF14" s="31">
        <f t="shared" si="6"/>
        <v>96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0</v>
      </c>
      <c r="F15" s="50">
        <v>2</v>
      </c>
      <c r="G15" s="50">
        <v>1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15</v>
      </c>
      <c r="N15" s="50">
        <v>0</v>
      </c>
      <c r="O15" s="15">
        <f t="shared" si="0"/>
        <v>9</v>
      </c>
      <c r="P15" s="15">
        <f t="shared" si="1"/>
        <v>24</v>
      </c>
      <c r="R15" s="1" t="s">
        <v>11</v>
      </c>
      <c r="S15" s="17">
        <f t="shared" ref="S15:AF15" si="7">SUM(C30:C33)</f>
        <v>13</v>
      </c>
      <c r="T15" s="17">
        <f t="shared" si="7"/>
        <v>3</v>
      </c>
      <c r="U15" s="17">
        <f t="shared" si="7"/>
        <v>3</v>
      </c>
      <c r="V15" s="17">
        <f t="shared" si="7"/>
        <v>4</v>
      </c>
      <c r="W15" s="17">
        <f t="shared" si="7"/>
        <v>0</v>
      </c>
      <c r="X15" s="17">
        <f t="shared" si="7"/>
        <v>6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38</v>
      </c>
      <c r="AD15" s="17">
        <f t="shared" si="7"/>
        <v>0</v>
      </c>
      <c r="AE15" s="31">
        <f t="shared" si="7"/>
        <v>33</v>
      </c>
      <c r="AF15" s="31">
        <f t="shared" si="7"/>
        <v>71</v>
      </c>
    </row>
    <row r="16" spans="2:32" ht="23.1" customHeight="1" x14ac:dyDescent="0.25">
      <c r="B16" s="23" t="s">
        <v>43</v>
      </c>
      <c r="C16" s="50">
        <v>14</v>
      </c>
      <c r="D16" s="50">
        <v>0</v>
      </c>
      <c r="E16" s="50">
        <v>2</v>
      </c>
      <c r="F16" s="50">
        <v>4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22</v>
      </c>
      <c r="P16" s="15">
        <f t="shared" si="1"/>
        <v>37</v>
      </c>
      <c r="R16" s="1" t="s">
        <v>12</v>
      </c>
      <c r="S16" s="17">
        <f t="shared" ref="S16:AF16" si="8">SUM(C34:C37)</f>
        <v>30</v>
      </c>
      <c r="T16" s="17">
        <f t="shared" si="8"/>
        <v>5</v>
      </c>
      <c r="U16" s="17">
        <f t="shared" si="8"/>
        <v>6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28</v>
      </c>
      <c r="AD16" s="17">
        <f t="shared" si="8"/>
        <v>0</v>
      </c>
      <c r="AE16" s="31">
        <f t="shared" si="8"/>
        <v>57</v>
      </c>
      <c r="AF16" s="31">
        <f t="shared" si="8"/>
        <v>85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4</v>
      </c>
      <c r="P17" s="15">
        <f t="shared" si="1"/>
        <v>17</v>
      </c>
      <c r="R17" s="1" t="s">
        <v>13</v>
      </c>
      <c r="S17" s="17">
        <f t="shared" ref="S17:AF17" si="9">SUM(C38:C41)</f>
        <v>18</v>
      </c>
      <c r="T17" s="17">
        <f t="shared" si="9"/>
        <v>2</v>
      </c>
      <c r="U17" s="17">
        <f t="shared" si="9"/>
        <v>3</v>
      </c>
      <c r="V17" s="17">
        <f t="shared" si="9"/>
        <v>8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3</v>
      </c>
      <c r="AA17" s="17">
        <f t="shared" si="9"/>
        <v>1</v>
      </c>
      <c r="AB17" s="17">
        <f t="shared" si="9"/>
        <v>2</v>
      </c>
      <c r="AC17" s="17">
        <f t="shared" si="9"/>
        <v>40</v>
      </c>
      <c r="AD17" s="17">
        <f t="shared" si="9"/>
        <v>0</v>
      </c>
      <c r="AE17" s="31">
        <f t="shared" si="9"/>
        <v>41</v>
      </c>
      <c r="AF17" s="31">
        <f t="shared" si="9"/>
        <v>81</v>
      </c>
    </row>
    <row r="18" spans="2:32" ht="23.1" customHeight="1" x14ac:dyDescent="0.25">
      <c r="B18" s="23" t="s">
        <v>45</v>
      </c>
      <c r="C18" s="50">
        <v>7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9</v>
      </c>
      <c r="P18" s="15">
        <f t="shared" si="1"/>
        <v>19</v>
      </c>
      <c r="R18" s="1" t="s">
        <v>14</v>
      </c>
      <c r="S18" s="17">
        <f t="shared" ref="S18:AF18" si="10">SUM(C42:C45)</f>
        <v>14</v>
      </c>
      <c r="T18" s="17">
        <f t="shared" si="10"/>
        <v>3</v>
      </c>
      <c r="U18" s="17">
        <f t="shared" si="10"/>
        <v>2</v>
      </c>
      <c r="V18" s="17">
        <f t="shared" si="10"/>
        <v>16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15</v>
      </c>
      <c r="AD18" s="17">
        <f t="shared" si="10"/>
        <v>0</v>
      </c>
      <c r="AE18" s="31">
        <f t="shared" si="10"/>
        <v>42</v>
      </c>
      <c r="AF18" s="31">
        <f t="shared" si="10"/>
        <v>57</v>
      </c>
    </row>
    <row r="19" spans="2:32" ht="23.1" customHeight="1" x14ac:dyDescent="0.25">
      <c r="B19" s="23" t="s">
        <v>46</v>
      </c>
      <c r="C19" s="50">
        <v>11</v>
      </c>
      <c r="D19" s="50">
        <v>0</v>
      </c>
      <c r="E19" s="50">
        <v>2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15</v>
      </c>
      <c r="N19" s="50">
        <v>0</v>
      </c>
      <c r="O19" s="15">
        <f t="shared" si="0"/>
        <v>16</v>
      </c>
      <c r="P19" s="15">
        <f t="shared" si="1"/>
        <v>31</v>
      </c>
      <c r="R19" s="1" t="s">
        <v>15</v>
      </c>
      <c r="S19" s="17">
        <f t="shared" ref="S19:AF19" si="11">SUM(C46:C49)</f>
        <v>24</v>
      </c>
      <c r="T19" s="17">
        <f t="shared" si="11"/>
        <v>0</v>
      </c>
      <c r="U19" s="17">
        <f t="shared" si="11"/>
        <v>1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44</v>
      </c>
      <c r="AD19" s="17">
        <f t="shared" si="11"/>
        <v>0</v>
      </c>
      <c r="AE19" s="31">
        <f t="shared" si="11"/>
        <v>37</v>
      </c>
      <c r="AF19" s="31">
        <f t="shared" si="11"/>
        <v>81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2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8</v>
      </c>
      <c r="P20" s="15">
        <f t="shared" si="1"/>
        <v>18</v>
      </c>
      <c r="R20" s="1" t="s">
        <v>16</v>
      </c>
      <c r="S20" s="17">
        <f t="shared" ref="S20:AF20" si="12">SUM(C50:C53)</f>
        <v>24</v>
      </c>
      <c r="T20" s="17">
        <f t="shared" si="12"/>
        <v>1</v>
      </c>
      <c r="U20" s="17">
        <f t="shared" si="12"/>
        <v>1</v>
      </c>
      <c r="V20" s="17">
        <f t="shared" si="12"/>
        <v>9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47</v>
      </c>
      <c r="AD20" s="17">
        <f t="shared" si="12"/>
        <v>0</v>
      </c>
      <c r="AE20" s="31">
        <f t="shared" si="12"/>
        <v>42</v>
      </c>
      <c r="AF20" s="31">
        <f t="shared" si="12"/>
        <v>89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19</v>
      </c>
      <c r="N21" s="50">
        <v>0</v>
      </c>
      <c r="O21" s="15">
        <f t="shared" si="0"/>
        <v>4</v>
      </c>
      <c r="P21" s="15">
        <f t="shared" si="1"/>
        <v>23</v>
      </c>
      <c r="R21" s="36" t="s">
        <v>20</v>
      </c>
      <c r="S21" s="34">
        <f t="shared" ref="S21:AF21" si="13">SUM(C54:C57)</f>
        <v>22</v>
      </c>
      <c r="T21" s="17">
        <f t="shared" si="13"/>
        <v>0</v>
      </c>
      <c r="U21" s="17">
        <f t="shared" si="13"/>
        <v>1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57</v>
      </c>
      <c r="AD21" s="17">
        <f t="shared" si="13"/>
        <v>0</v>
      </c>
      <c r="AE21" s="31">
        <f t="shared" si="13"/>
        <v>32</v>
      </c>
      <c r="AF21" s="31">
        <f t="shared" si="13"/>
        <v>89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2</v>
      </c>
      <c r="M22" s="50">
        <v>18</v>
      </c>
      <c r="N22" s="50">
        <v>0</v>
      </c>
      <c r="O22" s="15">
        <f t="shared" si="0"/>
        <v>15</v>
      </c>
      <c r="P22" s="15">
        <f t="shared" si="1"/>
        <v>33</v>
      </c>
      <c r="R22" s="38" t="s">
        <v>90</v>
      </c>
      <c r="S22" s="39">
        <f>MAX(S10:S12)</f>
        <v>26</v>
      </c>
      <c r="T22" s="39">
        <f t="shared" ref="T22:AF22" si="14">MAX(T10:T12)</f>
        <v>5</v>
      </c>
      <c r="U22" s="39">
        <f t="shared" si="14"/>
        <v>5</v>
      </c>
      <c r="V22" s="39">
        <f t="shared" si="14"/>
        <v>9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62</v>
      </c>
      <c r="AD22" s="39">
        <f t="shared" si="14"/>
        <v>0</v>
      </c>
      <c r="AE22" s="40">
        <f t="shared" si="14"/>
        <v>41</v>
      </c>
      <c r="AF22" s="40">
        <f t="shared" si="14"/>
        <v>103</v>
      </c>
    </row>
    <row r="23" spans="2:32" ht="23.1" customHeight="1" x14ac:dyDescent="0.25">
      <c r="B23" s="23" t="s">
        <v>50</v>
      </c>
      <c r="C23" s="50">
        <v>9</v>
      </c>
      <c r="D23" s="50">
        <v>0</v>
      </c>
      <c r="E23" s="50">
        <v>2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1</v>
      </c>
      <c r="L23" s="50">
        <v>0</v>
      </c>
      <c r="M23" s="50">
        <v>10</v>
      </c>
      <c r="N23" s="50">
        <v>0</v>
      </c>
      <c r="O23" s="15">
        <f t="shared" si="0"/>
        <v>15</v>
      </c>
      <c r="P23" s="15">
        <f t="shared" si="1"/>
        <v>25</v>
      </c>
      <c r="R23" s="38" t="s">
        <v>91</v>
      </c>
      <c r="S23" s="39">
        <f>MAX(S13:S18)</f>
        <v>32</v>
      </c>
      <c r="T23" s="39">
        <f t="shared" ref="T23:AF23" si="15">MAX(T13:T18)</f>
        <v>5</v>
      </c>
      <c r="U23" s="39">
        <f t="shared" si="15"/>
        <v>7</v>
      </c>
      <c r="V23" s="39">
        <f t="shared" si="15"/>
        <v>16</v>
      </c>
      <c r="W23" s="39">
        <f t="shared" si="15"/>
        <v>1</v>
      </c>
      <c r="X23" s="39">
        <f t="shared" si="15"/>
        <v>6</v>
      </c>
      <c r="Y23" s="39">
        <f t="shared" si="15"/>
        <v>4</v>
      </c>
      <c r="Z23" s="39">
        <f t="shared" si="15"/>
        <v>4</v>
      </c>
      <c r="AA23" s="39">
        <f t="shared" si="15"/>
        <v>2</v>
      </c>
      <c r="AB23" s="39">
        <f t="shared" si="15"/>
        <v>4</v>
      </c>
      <c r="AC23" s="39">
        <f t="shared" si="15"/>
        <v>61</v>
      </c>
      <c r="AD23" s="39">
        <f t="shared" si="15"/>
        <v>0</v>
      </c>
      <c r="AE23" s="40">
        <f t="shared" si="15"/>
        <v>58</v>
      </c>
      <c r="AF23" s="40">
        <f t="shared" si="15"/>
        <v>111</v>
      </c>
    </row>
    <row r="24" spans="2:32" ht="23.1" customHeight="1" x14ac:dyDescent="0.25">
      <c r="B24" s="23" t="s">
        <v>51</v>
      </c>
      <c r="C24" s="50">
        <v>6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19</v>
      </c>
      <c r="N24" s="50">
        <v>0</v>
      </c>
      <c r="O24" s="15">
        <f t="shared" si="0"/>
        <v>7</v>
      </c>
      <c r="P24" s="15">
        <f t="shared" si="1"/>
        <v>26</v>
      </c>
      <c r="R24" s="38" t="s">
        <v>92</v>
      </c>
      <c r="S24" s="39">
        <f>MAX(S19:S21)</f>
        <v>24</v>
      </c>
      <c r="T24" s="39">
        <f t="shared" ref="T24:AF24" si="16">MAX(T19:T21)</f>
        <v>1</v>
      </c>
      <c r="U24" s="39">
        <f t="shared" si="16"/>
        <v>1</v>
      </c>
      <c r="V24" s="39">
        <f t="shared" si="16"/>
        <v>9</v>
      </c>
      <c r="W24" s="39">
        <f t="shared" si="16"/>
        <v>0</v>
      </c>
      <c r="X24" s="39">
        <f t="shared" si="16"/>
        <v>2</v>
      </c>
      <c r="Y24" s="39">
        <f t="shared" si="16"/>
        <v>6</v>
      </c>
      <c r="Z24" s="39">
        <f t="shared" si="16"/>
        <v>0</v>
      </c>
      <c r="AA24" s="39">
        <f t="shared" si="16"/>
        <v>1</v>
      </c>
      <c r="AB24" s="39">
        <f t="shared" si="16"/>
        <v>1</v>
      </c>
      <c r="AC24" s="39">
        <f t="shared" si="16"/>
        <v>57</v>
      </c>
      <c r="AD24" s="39">
        <f t="shared" si="16"/>
        <v>0</v>
      </c>
      <c r="AE24" s="40">
        <f t="shared" si="16"/>
        <v>42</v>
      </c>
      <c r="AF24" s="40">
        <f t="shared" si="16"/>
        <v>89</v>
      </c>
    </row>
    <row r="25" spans="2:32" ht="23.1" customHeight="1" x14ac:dyDescent="0.25">
      <c r="B25" s="23" t="s">
        <v>52</v>
      </c>
      <c r="C25" s="50">
        <v>9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13</v>
      </c>
      <c r="P25" s="15">
        <f t="shared" si="1"/>
        <v>27</v>
      </c>
      <c r="R25" s="37" t="s">
        <v>85</v>
      </c>
      <c r="S25" s="35">
        <f t="shared" ref="S25:AF25" si="17">SUM(S10:S12)</f>
        <v>66</v>
      </c>
      <c r="T25" s="16">
        <f t="shared" si="17"/>
        <v>5</v>
      </c>
      <c r="U25" s="16">
        <f t="shared" si="17"/>
        <v>7</v>
      </c>
      <c r="V25" s="16">
        <f t="shared" si="17"/>
        <v>14</v>
      </c>
      <c r="W25" s="16">
        <f t="shared" si="17"/>
        <v>1</v>
      </c>
      <c r="X25" s="16">
        <f t="shared" si="17"/>
        <v>0</v>
      </c>
      <c r="Y25" s="16">
        <f t="shared" si="17"/>
        <v>6</v>
      </c>
      <c r="Z25" s="16">
        <f t="shared" si="17"/>
        <v>2</v>
      </c>
      <c r="AA25" s="16">
        <f t="shared" si="17"/>
        <v>2</v>
      </c>
      <c r="AB25" s="16">
        <f t="shared" si="17"/>
        <v>1</v>
      </c>
      <c r="AC25" s="16">
        <f t="shared" si="17"/>
        <v>133</v>
      </c>
      <c r="AD25" s="16">
        <f t="shared" si="17"/>
        <v>0</v>
      </c>
      <c r="AE25" s="32">
        <f t="shared" si="17"/>
        <v>104</v>
      </c>
      <c r="AF25" s="32">
        <f t="shared" si="17"/>
        <v>237</v>
      </c>
    </row>
    <row r="26" spans="2:32" ht="23.1" customHeight="1" x14ac:dyDescent="0.25">
      <c r="B26" s="23" t="s">
        <v>53</v>
      </c>
      <c r="C26" s="50">
        <v>7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14</v>
      </c>
      <c r="N26" s="50">
        <v>0</v>
      </c>
      <c r="O26" s="15">
        <f t="shared" si="0"/>
        <v>11</v>
      </c>
      <c r="P26" s="15">
        <f t="shared" si="1"/>
        <v>25</v>
      </c>
      <c r="R26" s="28" t="s">
        <v>86</v>
      </c>
      <c r="S26" s="16">
        <f t="shared" ref="S26:AF26" si="18">SUM(S13:S18)</f>
        <v>138</v>
      </c>
      <c r="T26" s="16">
        <f t="shared" si="18"/>
        <v>13</v>
      </c>
      <c r="U26" s="16">
        <f t="shared" si="18"/>
        <v>26</v>
      </c>
      <c r="V26" s="16">
        <f t="shared" si="18"/>
        <v>54</v>
      </c>
      <c r="W26" s="16">
        <f t="shared" si="18"/>
        <v>1</v>
      </c>
      <c r="X26" s="16">
        <f t="shared" si="18"/>
        <v>8</v>
      </c>
      <c r="Y26" s="16">
        <f t="shared" si="18"/>
        <v>14</v>
      </c>
      <c r="Z26" s="16">
        <f t="shared" si="18"/>
        <v>13</v>
      </c>
      <c r="AA26" s="16">
        <f t="shared" si="18"/>
        <v>4</v>
      </c>
      <c r="AB26" s="16">
        <f t="shared" si="18"/>
        <v>10</v>
      </c>
      <c r="AC26" s="16">
        <f t="shared" si="18"/>
        <v>220</v>
      </c>
      <c r="AD26" s="16">
        <f t="shared" si="18"/>
        <v>0</v>
      </c>
      <c r="AE26" s="32">
        <f t="shared" si="18"/>
        <v>281</v>
      </c>
      <c r="AF26" s="32">
        <f t="shared" si="18"/>
        <v>501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7</v>
      </c>
      <c r="N27" s="50">
        <v>0</v>
      </c>
      <c r="O27" s="15">
        <f t="shared" si="0"/>
        <v>11</v>
      </c>
      <c r="P27" s="15">
        <f t="shared" si="1"/>
        <v>18</v>
      </c>
      <c r="R27" s="29" t="s">
        <v>87</v>
      </c>
      <c r="S27" s="16">
        <f t="shared" ref="S27:AF27" si="19">SUM(S19:S21)</f>
        <v>70</v>
      </c>
      <c r="T27" s="16">
        <f t="shared" si="19"/>
        <v>1</v>
      </c>
      <c r="U27" s="16">
        <f t="shared" si="19"/>
        <v>3</v>
      </c>
      <c r="V27" s="16">
        <f t="shared" si="19"/>
        <v>20</v>
      </c>
      <c r="W27" s="16">
        <f t="shared" si="19"/>
        <v>0</v>
      </c>
      <c r="X27" s="16">
        <f t="shared" si="19"/>
        <v>2</v>
      </c>
      <c r="Y27" s="16">
        <f t="shared" si="19"/>
        <v>12</v>
      </c>
      <c r="Z27" s="16">
        <f t="shared" si="19"/>
        <v>0</v>
      </c>
      <c r="AA27" s="16">
        <f t="shared" si="19"/>
        <v>1</v>
      </c>
      <c r="AB27" s="16">
        <f t="shared" si="19"/>
        <v>2</v>
      </c>
      <c r="AC27" s="16">
        <f t="shared" si="19"/>
        <v>148</v>
      </c>
      <c r="AD27" s="16">
        <f t="shared" si="19"/>
        <v>0</v>
      </c>
      <c r="AE27" s="32">
        <f t="shared" si="19"/>
        <v>111</v>
      </c>
      <c r="AF27" s="32">
        <f t="shared" si="19"/>
        <v>259</v>
      </c>
    </row>
    <row r="28" spans="2:32" ht="23.1" customHeight="1" x14ac:dyDescent="0.25">
      <c r="B28" s="23" t="s">
        <v>55</v>
      </c>
      <c r="C28" s="50">
        <v>11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1</v>
      </c>
      <c r="J28" s="50">
        <v>4</v>
      </c>
      <c r="K28" s="50">
        <v>0</v>
      </c>
      <c r="L28" s="50">
        <v>2</v>
      </c>
      <c r="M28" s="50">
        <v>16</v>
      </c>
      <c r="N28" s="50">
        <v>0</v>
      </c>
      <c r="O28" s="15">
        <f t="shared" si="0"/>
        <v>22</v>
      </c>
      <c r="P28" s="15">
        <f t="shared" si="1"/>
        <v>38</v>
      </c>
      <c r="R28" s="5" t="s">
        <v>17</v>
      </c>
      <c r="S28" s="16">
        <f t="shared" ref="S28:AF28" si="20">SUM(S10:S21)</f>
        <v>274</v>
      </c>
      <c r="T28" s="16">
        <f t="shared" si="20"/>
        <v>19</v>
      </c>
      <c r="U28" s="16">
        <f t="shared" si="20"/>
        <v>36</v>
      </c>
      <c r="V28" s="16">
        <f t="shared" si="20"/>
        <v>88</v>
      </c>
      <c r="W28" s="16">
        <f t="shared" si="20"/>
        <v>2</v>
      </c>
      <c r="X28" s="16">
        <f t="shared" si="20"/>
        <v>10</v>
      </c>
      <c r="Y28" s="16">
        <f t="shared" si="20"/>
        <v>32</v>
      </c>
      <c r="Z28" s="16">
        <f t="shared" si="20"/>
        <v>15</v>
      </c>
      <c r="AA28" s="16">
        <f t="shared" si="20"/>
        <v>7</v>
      </c>
      <c r="AB28" s="16">
        <f t="shared" si="20"/>
        <v>13</v>
      </c>
      <c r="AC28" s="16">
        <f t="shared" si="20"/>
        <v>501</v>
      </c>
      <c r="AD28" s="16">
        <f t="shared" si="20"/>
        <v>0</v>
      </c>
      <c r="AE28" s="32">
        <f t="shared" si="20"/>
        <v>496</v>
      </c>
      <c r="AF28" s="32">
        <f t="shared" si="20"/>
        <v>997</v>
      </c>
    </row>
    <row r="29" spans="2:32" ht="23.1" customHeight="1" x14ac:dyDescent="0.25">
      <c r="B29" s="23" t="s">
        <v>56</v>
      </c>
      <c r="C29" s="50">
        <v>7</v>
      </c>
      <c r="D29" s="50">
        <v>0</v>
      </c>
      <c r="E29" s="50">
        <v>3</v>
      </c>
      <c r="F29" s="50">
        <v>1</v>
      </c>
      <c r="G29" s="50">
        <v>1</v>
      </c>
      <c r="H29" s="50">
        <v>0</v>
      </c>
      <c r="I29" s="50">
        <v>0</v>
      </c>
      <c r="J29" s="50">
        <v>0</v>
      </c>
      <c r="K29" s="50">
        <v>2</v>
      </c>
      <c r="L29" s="50">
        <v>0</v>
      </c>
      <c r="M29" s="50">
        <v>1</v>
      </c>
      <c r="N29" s="50">
        <v>0</v>
      </c>
      <c r="O29" s="15">
        <f t="shared" si="0"/>
        <v>14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1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8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4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2</v>
      </c>
      <c r="M32" s="50">
        <v>12</v>
      </c>
      <c r="N32" s="50">
        <v>0</v>
      </c>
      <c r="O32" s="15">
        <f t="shared" si="0"/>
        <v>9</v>
      </c>
      <c r="P32" s="15">
        <f t="shared" si="1"/>
        <v>21</v>
      </c>
    </row>
    <row r="33" spans="2:20" ht="23.1" customHeight="1" x14ac:dyDescent="0.25">
      <c r="B33" s="23" t="s">
        <v>60</v>
      </c>
      <c r="C33" s="50">
        <v>3</v>
      </c>
      <c r="D33" s="50">
        <v>2</v>
      </c>
      <c r="E33" s="50">
        <v>1</v>
      </c>
      <c r="F33" s="50">
        <v>0</v>
      </c>
      <c r="G33" s="50">
        <v>0</v>
      </c>
      <c r="H33" s="50">
        <v>6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12</v>
      </c>
      <c r="P33" s="15">
        <f t="shared" si="1"/>
        <v>25</v>
      </c>
    </row>
    <row r="34" spans="2:20" ht="23.1" customHeight="1" x14ac:dyDescent="0.25">
      <c r="B34" s="24" t="s">
        <v>61</v>
      </c>
      <c r="C34" s="50">
        <v>5</v>
      </c>
      <c r="D34" s="50">
        <v>2</v>
      </c>
      <c r="E34" s="50">
        <v>3</v>
      </c>
      <c r="F34" s="50">
        <v>6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17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0</v>
      </c>
      <c r="F35" s="50">
        <v>3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12</v>
      </c>
      <c r="P35" s="15">
        <f t="shared" si="1"/>
        <v>18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2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8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14</v>
      </c>
      <c r="D37" s="50">
        <v>1</v>
      </c>
      <c r="E37" s="50">
        <v>1</v>
      </c>
      <c r="F37" s="50">
        <v>3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20</v>
      </c>
      <c r="P37" s="15">
        <f t="shared" si="1"/>
        <v>32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1</v>
      </c>
      <c r="M38" s="50">
        <v>14</v>
      </c>
      <c r="N38" s="50">
        <v>0</v>
      </c>
      <c r="O38" s="15">
        <f t="shared" si="0"/>
        <v>8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3</v>
      </c>
      <c r="G39" s="50">
        <v>0</v>
      </c>
      <c r="H39" s="50">
        <v>1</v>
      </c>
      <c r="I39" s="50">
        <v>1</v>
      </c>
      <c r="J39" s="50">
        <v>0</v>
      </c>
      <c r="K39" s="50">
        <v>0</v>
      </c>
      <c r="L39" s="50">
        <v>1</v>
      </c>
      <c r="M39" s="50">
        <v>4</v>
      </c>
      <c r="N39" s="50">
        <v>0</v>
      </c>
      <c r="O39" s="15">
        <f t="shared" si="0"/>
        <v>9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7</v>
      </c>
      <c r="D40" s="50">
        <v>1</v>
      </c>
      <c r="E40" s="50">
        <v>1</v>
      </c>
      <c r="F40" s="50">
        <v>3</v>
      </c>
      <c r="G40" s="50">
        <v>0</v>
      </c>
      <c r="H40" s="50">
        <v>0</v>
      </c>
      <c r="I40" s="50">
        <v>1</v>
      </c>
      <c r="J40" s="50">
        <v>3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16</v>
      </c>
      <c r="P40" s="15">
        <f t="shared" si="1"/>
        <v>27</v>
      </c>
    </row>
    <row r="41" spans="2:20" ht="23.1" customHeight="1" x14ac:dyDescent="0.25">
      <c r="B41" s="23" t="s">
        <v>68</v>
      </c>
      <c r="C41" s="50">
        <v>5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11</v>
      </c>
      <c r="N41" s="50">
        <v>0</v>
      </c>
      <c r="O41" s="15">
        <f t="shared" si="0"/>
        <v>8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3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7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0</v>
      </c>
      <c r="F43" s="50">
        <v>8</v>
      </c>
      <c r="G43" s="50">
        <v>0</v>
      </c>
      <c r="H43" s="50">
        <v>1</v>
      </c>
      <c r="I43" s="50">
        <v>2</v>
      </c>
      <c r="J43" s="50">
        <v>2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19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0</v>
      </c>
      <c r="F44" s="50">
        <v>3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8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8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9</v>
      </c>
      <c r="N46" s="50">
        <v>0</v>
      </c>
      <c r="O46" s="15">
        <f t="shared" si="0"/>
        <v>8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11</v>
      </c>
      <c r="N47" s="50">
        <v>0</v>
      </c>
      <c r="O47" s="15">
        <f t="shared" si="0"/>
        <v>12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12</v>
      </c>
      <c r="P48" s="15">
        <f t="shared" si="1"/>
        <v>24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5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6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0</v>
      </c>
      <c r="E51" s="50">
        <v>1</v>
      </c>
      <c r="F51" s="50">
        <v>2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14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7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1</v>
      </c>
      <c r="E53" s="50">
        <v>0</v>
      </c>
      <c r="F53" s="50">
        <v>5</v>
      </c>
      <c r="G53" s="50">
        <v>0</v>
      </c>
      <c r="H53" s="50">
        <v>1</v>
      </c>
      <c r="I53" s="50">
        <v>2</v>
      </c>
      <c r="J53" s="50">
        <v>0</v>
      </c>
      <c r="K53" s="50">
        <v>0</v>
      </c>
      <c r="L53" s="50">
        <v>1</v>
      </c>
      <c r="M53" s="50">
        <v>15</v>
      </c>
      <c r="N53" s="50">
        <v>0</v>
      </c>
      <c r="O53" s="15">
        <f t="shared" si="0"/>
        <v>15</v>
      </c>
      <c r="P53" s="15">
        <f t="shared" si="1"/>
        <v>30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10</v>
      </c>
      <c r="P54" s="15">
        <f t="shared" si="1"/>
        <v>28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5">
        <f t="shared" si="0"/>
        <v>2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0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8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13</v>
      </c>
      <c r="N57" s="50">
        <v>0</v>
      </c>
      <c r="O57" s="15">
        <f t="shared" si="0"/>
        <v>12</v>
      </c>
      <c r="P57" s="15">
        <f t="shared" si="1"/>
        <v>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274</v>
      </c>
      <c r="D58" s="16">
        <f t="shared" si="21"/>
        <v>19</v>
      </c>
      <c r="E58" s="16">
        <f t="shared" si="21"/>
        <v>36</v>
      </c>
      <c r="F58" s="16">
        <f t="shared" si="21"/>
        <v>88</v>
      </c>
      <c r="G58" s="16">
        <f t="shared" si="21"/>
        <v>2</v>
      </c>
      <c r="H58" s="16">
        <f t="shared" si="21"/>
        <v>10</v>
      </c>
      <c r="I58" s="16">
        <f t="shared" si="21"/>
        <v>32</v>
      </c>
      <c r="J58" s="16">
        <f t="shared" si="21"/>
        <v>15</v>
      </c>
      <c r="K58" s="16">
        <f t="shared" si="21"/>
        <v>7</v>
      </c>
      <c r="L58" s="16">
        <f t="shared" si="21"/>
        <v>13</v>
      </c>
      <c r="M58" s="16">
        <f t="shared" si="21"/>
        <v>501</v>
      </c>
      <c r="N58" s="16">
        <f t="shared" si="21"/>
        <v>0</v>
      </c>
      <c r="O58" s="16">
        <f t="shared" si="21"/>
        <v>496</v>
      </c>
      <c r="P58" s="16">
        <f t="shared" si="21"/>
        <v>997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0.27482447342026078</v>
      </c>
      <c r="D59" s="43">
        <f t="shared" si="22"/>
        <v>1.9057171514543631E-2</v>
      </c>
      <c r="E59" s="43">
        <f t="shared" si="22"/>
        <v>3.6108324974924777E-2</v>
      </c>
      <c r="F59" s="43">
        <f t="shared" si="22"/>
        <v>8.826479438314945E-2</v>
      </c>
      <c r="G59" s="43">
        <f t="shared" si="22"/>
        <v>2.0060180541624875E-3</v>
      </c>
      <c r="H59" s="43">
        <f t="shared" si="22"/>
        <v>1.0030090270812437E-2</v>
      </c>
      <c r="I59" s="43">
        <f t="shared" si="22"/>
        <v>3.2096288866599799E-2</v>
      </c>
      <c r="J59" s="43">
        <f t="shared" si="22"/>
        <v>1.5045135406218655E-2</v>
      </c>
      <c r="K59" s="43">
        <f t="shared" si="22"/>
        <v>7.0210631895687063E-3</v>
      </c>
      <c r="L59" s="43">
        <f t="shared" si="22"/>
        <v>1.3039117352056168E-2</v>
      </c>
      <c r="M59" s="43">
        <f t="shared" si="22"/>
        <v>0.50250752256770315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0.55241935483870963</v>
      </c>
      <c r="D60" s="44">
        <f t="shared" ref="D60:N60" si="23">D58/$O$58</f>
        <v>3.8306451612903226E-2</v>
      </c>
      <c r="E60" s="44">
        <f t="shared" si="23"/>
        <v>7.2580645161290328E-2</v>
      </c>
      <c r="F60" s="44">
        <f t="shared" si="23"/>
        <v>0.17741935483870969</v>
      </c>
      <c r="G60" s="44">
        <f t="shared" si="23"/>
        <v>4.0322580645161289E-3</v>
      </c>
      <c r="H60" s="44">
        <f t="shared" si="23"/>
        <v>2.0161290322580645E-2</v>
      </c>
      <c r="I60" s="44">
        <f t="shared" si="23"/>
        <v>6.4516129032258063E-2</v>
      </c>
      <c r="J60" s="44">
        <f t="shared" si="23"/>
        <v>3.0241935483870969E-2</v>
      </c>
      <c r="K60" s="44">
        <f t="shared" si="23"/>
        <v>1.4112903225806451E-2</v>
      </c>
      <c r="L60" s="44">
        <f t="shared" si="23"/>
        <v>2.620967741935484E-2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topLeftCell="A4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5.5" customHeight="1" x14ac:dyDescent="0.25">
      <c r="C5" s="4" t="s">
        <v>3</v>
      </c>
      <c r="D5" s="36" t="s">
        <v>175</v>
      </c>
      <c r="E5" s="3"/>
      <c r="F5" s="41" t="s">
        <v>1</v>
      </c>
      <c r="G5" s="54" t="str">
        <f>'29.10 Mbarara-Ibanda'!G5:H5</f>
        <v>RUHUMBA</v>
      </c>
      <c r="H5" s="55"/>
      <c r="I5" s="14"/>
      <c r="J5" s="2" t="s">
        <v>5</v>
      </c>
      <c r="K5" s="54" t="s">
        <v>166</v>
      </c>
      <c r="L5" s="55"/>
      <c r="M5" s="10"/>
      <c r="N5" s="10"/>
      <c r="O5" s="3"/>
      <c r="P5" s="3"/>
    </row>
    <row r="6" spans="2:32" ht="28.5" customHeight="1" x14ac:dyDescent="0.25">
      <c r="C6" s="2" t="s">
        <v>4</v>
      </c>
      <c r="D6" s="54" t="str">
        <f>'25.10 Ibanada-Mbarara'!D6:E6</f>
        <v>IBANDA</v>
      </c>
      <c r="E6" s="55"/>
      <c r="F6" s="2" t="s">
        <v>2</v>
      </c>
      <c r="G6" s="54" t="str">
        <f>'25.10 Ibanada-Mbarara'!G6:H6</f>
        <v>MBARARA</v>
      </c>
      <c r="H6" s="55"/>
      <c r="J6" s="2" t="s">
        <v>21</v>
      </c>
      <c r="K6" s="54" t="str">
        <f>'29.10 Mbarara-Ibanda'!K6:L6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0</v>
      </c>
      <c r="M10" s="50">
        <v>4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16</v>
      </c>
      <c r="T10" s="17">
        <f t="shared" si="2"/>
        <v>1</v>
      </c>
      <c r="U10" s="17">
        <f t="shared" si="2"/>
        <v>0</v>
      </c>
      <c r="V10" s="17">
        <f t="shared" si="2"/>
        <v>8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26</v>
      </c>
      <c r="AD10" s="17">
        <f t="shared" si="2"/>
        <v>0</v>
      </c>
      <c r="AE10" s="31">
        <f t="shared" si="2"/>
        <v>29</v>
      </c>
      <c r="AF10" s="31">
        <f t="shared" si="2"/>
        <v>55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9</v>
      </c>
      <c r="P11" s="15">
        <f t="shared" si="1"/>
        <v>17</v>
      </c>
      <c r="R11" s="1" t="s">
        <v>7</v>
      </c>
      <c r="S11" s="17">
        <f t="shared" ref="S11:AF11" si="3">SUM(C14:C17)</f>
        <v>19</v>
      </c>
      <c r="T11" s="17">
        <f t="shared" si="3"/>
        <v>6</v>
      </c>
      <c r="U11" s="17">
        <f t="shared" si="3"/>
        <v>1</v>
      </c>
      <c r="V11" s="17">
        <f t="shared" si="3"/>
        <v>10</v>
      </c>
      <c r="W11" s="17">
        <f t="shared" si="3"/>
        <v>0</v>
      </c>
      <c r="X11" s="17">
        <f t="shared" si="3"/>
        <v>2</v>
      </c>
      <c r="Y11" s="17">
        <f t="shared" si="3"/>
        <v>2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29</v>
      </c>
      <c r="AD11" s="17">
        <f t="shared" si="3"/>
        <v>0</v>
      </c>
      <c r="AE11" s="31">
        <f t="shared" si="3"/>
        <v>43</v>
      </c>
      <c r="AF11" s="31">
        <f t="shared" si="3"/>
        <v>72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9</v>
      </c>
      <c r="P12" s="15">
        <f t="shared" si="1"/>
        <v>16</v>
      </c>
      <c r="R12" s="1" t="s">
        <v>8</v>
      </c>
      <c r="S12" s="17">
        <f t="shared" ref="S12:AF12" si="4">SUM(C18:C21)</f>
        <v>11</v>
      </c>
      <c r="T12" s="17">
        <f t="shared" si="4"/>
        <v>1</v>
      </c>
      <c r="U12" s="17">
        <f t="shared" si="4"/>
        <v>4</v>
      </c>
      <c r="V12" s="17">
        <f t="shared" si="4"/>
        <v>10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4</v>
      </c>
      <c r="AA12" s="17">
        <f t="shared" si="4"/>
        <v>0</v>
      </c>
      <c r="AB12" s="17">
        <f t="shared" si="4"/>
        <v>1</v>
      </c>
      <c r="AC12" s="17">
        <f t="shared" si="4"/>
        <v>32</v>
      </c>
      <c r="AD12" s="17">
        <f t="shared" si="4"/>
        <v>0</v>
      </c>
      <c r="AE12" s="31">
        <f t="shared" si="4"/>
        <v>34</v>
      </c>
      <c r="AF12" s="31">
        <f t="shared" si="4"/>
        <v>66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5</v>
      </c>
      <c r="P13" s="15">
        <f t="shared" si="1"/>
        <v>12</v>
      </c>
      <c r="R13" s="1" t="s">
        <v>9</v>
      </c>
      <c r="S13" s="17">
        <f t="shared" ref="S13:AF13" si="5">SUM(C22:C25)</f>
        <v>16</v>
      </c>
      <c r="T13" s="17">
        <f t="shared" si="5"/>
        <v>0</v>
      </c>
      <c r="U13" s="17">
        <f t="shared" si="5"/>
        <v>2</v>
      </c>
      <c r="V13" s="17">
        <f t="shared" si="5"/>
        <v>8</v>
      </c>
      <c r="W13" s="17">
        <f t="shared" si="5"/>
        <v>0</v>
      </c>
      <c r="X13" s="17">
        <f t="shared" si="5"/>
        <v>3</v>
      </c>
      <c r="Y13" s="17">
        <f t="shared" si="5"/>
        <v>2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33</v>
      </c>
      <c r="AD13" s="17">
        <f t="shared" si="5"/>
        <v>0</v>
      </c>
      <c r="AE13" s="31">
        <f t="shared" si="5"/>
        <v>35</v>
      </c>
      <c r="AF13" s="31">
        <f t="shared" si="5"/>
        <v>68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3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7</v>
      </c>
      <c r="P14" s="15">
        <f t="shared" si="1"/>
        <v>16</v>
      </c>
      <c r="R14" s="1" t="s">
        <v>10</v>
      </c>
      <c r="S14" s="17">
        <f t="shared" ref="S14:AF14" si="6">SUM(C26:C29)</f>
        <v>20</v>
      </c>
      <c r="T14" s="17">
        <f t="shared" si="6"/>
        <v>1</v>
      </c>
      <c r="U14" s="17">
        <f t="shared" si="6"/>
        <v>4</v>
      </c>
      <c r="V14" s="17">
        <f t="shared" si="6"/>
        <v>3</v>
      </c>
      <c r="W14" s="17">
        <f t="shared" si="6"/>
        <v>2</v>
      </c>
      <c r="X14" s="17">
        <f t="shared" si="6"/>
        <v>1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29</v>
      </c>
      <c r="AD14" s="17">
        <f t="shared" si="6"/>
        <v>0</v>
      </c>
      <c r="AE14" s="31">
        <f t="shared" si="6"/>
        <v>36</v>
      </c>
      <c r="AF14" s="31">
        <f t="shared" si="6"/>
        <v>65</v>
      </c>
    </row>
    <row r="15" spans="2:32" ht="23.1" customHeight="1" x14ac:dyDescent="0.25">
      <c r="B15" s="23" t="s">
        <v>42</v>
      </c>
      <c r="C15" s="50">
        <v>4</v>
      </c>
      <c r="D15" s="50">
        <v>1</v>
      </c>
      <c r="E15" s="50">
        <v>0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9</v>
      </c>
      <c r="P15" s="15">
        <f t="shared" si="1"/>
        <v>15</v>
      </c>
      <c r="R15" s="1" t="s">
        <v>11</v>
      </c>
      <c r="S15" s="17">
        <f t="shared" ref="S15:AF15" si="7">SUM(C30:C33)</f>
        <v>23</v>
      </c>
      <c r="T15" s="17">
        <f t="shared" si="7"/>
        <v>2</v>
      </c>
      <c r="U15" s="17">
        <f t="shared" si="7"/>
        <v>2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28</v>
      </c>
      <c r="AD15" s="17">
        <f t="shared" si="7"/>
        <v>0</v>
      </c>
      <c r="AE15" s="31">
        <f t="shared" si="7"/>
        <v>40</v>
      </c>
      <c r="AF15" s="31">
        <f t="shared" si="7"/>
        <v>68</v>
      </c>
    </row>
    <row r="16" spans="2:32" ht="23.1" customHeight="1" x14ac:dyDescent="0.25">
      <c r="B16" s="23" t="s">
        <v>43</v>
      </c>
      <c r="C16" s="50">
        <v>7</v>
      </c>
      <c r="D16" s="50">
        <v>4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16</v>
      </c>
      <c r="P16" s="15">
        <f t="shared" si="1"/>
        <v>25</v>
      </c>
      <c r="R16" s="1" t="s">
        <v>12</v>
      </c>
      <c r="S16" s="17">
        <f t="shared" ref="S16:AF16" si="8">SUM(C34:C37)</f>
        <v>18</v>
      </c>
      <c r="T16" s="17">
        <f t="shared" si="8"/>
        <v>2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33</v>
      </c>
      <c r="AD16" s="17">
        <f t="shared" si="8"/>
        <v>0</v>
      </c>
      <c r="AE16" s="31">
        <f t="shared" si="8"/>
        <v>30</v>
      </c>
      <c r="AF16" s="31">
        <f t="shared" si="8"/>
        <v>63</v>
      </c>
    </row>
    <row r="17" spans="2:32" ht="23.1" customHeight="1" x14ac:dyDescent="0.25">
      <c r="B17" s="23" t="s">
        <v>44</v>
      </c>
      <c r="C17" s="50">
        <v>5</v>
      </c>
      <c r="D17" s="50">
        <v>1</v>
      </c>
      <c r="E17" s="50">
        <v>1</v>
      </c>
      <c r="F17" s="50">
        <v>2</v>
      </c>
      <c r="G17" s="50">
        <v>0</v>
      </c>
      <c r="H17" s="50">
        <v>2</v>
      </c>
      <c r="I17" s="50">
        <v>0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11</v>
      </c>
      <c r="P17" s="15">
        <f t="shared" si="1"/>
        <v>16</v>
      </c>
      <c r="R17" s="1" t="s">
        <v>13</v>
      </c>
      <c r="S17" s="17">
        <f t="shared" ref="S17:AF17" si="9">SUM(C38:C41)</f>
        <v>15</v>
      </c>
      <c r="T17" s="17">
        <f t="shared" si="9"/>
        <v>7</v>
      </c>
      <c r="U17" s="17">
        <f t="shared" si="9"/>
        <v>0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34</v>
      </c>
      <c r="AD17" s="17">
        <f t="shared" si="9"/>
        <v>0</v>
      </c>
      <c r="AE17" s="31">
        <f t="shared" si="9"/>
        <v>30</v>
      </c>
      <c r="AF17" s="31">
        <f t="shared" si="9"/>
        <v>64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1</v>
      </c>
      <c r="I18" s="50">
        <v>1</v>
      </c>
      <c r="J18" s="50">
        <v>1</v>
      </c>
      <c r="K18" s="50">
        <v>0</v>
      </c>
      <c r="L18" s="50">
        <v>1</v>
      </c>
      <c r="M18" s="50">
        <v>7</v>
      </c>
      <c r="N18" s="50">
        <v>0</v>
      </c>
      <c r="O18" s="15">
        <f t="shared" si="0"/>
        <v>7</v>
      </c>
      <c r="P18" s="15">
        <f t="shared" si="1"/>
        <v>14</v>
      </c>
      <c r="R18" s="1" t="s">
        <v>14</v>
      </c>
      <c r="S18" s="17">
        <f t="shared" ref="S18:AF18" si="10">SUM(C42:C45)</f>
        <v>22</v>
      </c>
      <c r="T18" s="17">
        <f t="shared" si="10"/>
        <v>3</v>
      </c>
      <c r="U18" s="17">
        <f t="shared" si="10"/>
        <v>6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26</v>
      </c>
      <c r="AD18" s="17">
        <f t="shared" si="10"/>
        <v>0</v>
      </c>
      <c r="AE18" s="31">
        <f t="shared" si="10"/>
        <v>50</v>
      </c>
      <c r="AF18" s="31">
        <f t="shared" si="10"/>
        <v>76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1</v>
      </c>
      <c r="F19" s="50">
        <v>3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10</v>
      </c>
      <c r="P19" s="15">
        <f t="shared" si="1"/>
        <v>21</v>
      </c>
      <c r="R19" s="1" t="s">
        <v>15</v>
      </c>
      <c r="S19" s="17">
        <f t="shared" ref="S19:AF19" si="11">SUM(C46:C49)</f>
        <v>28</v>
      </c>
      <c r="T19" s="17">
        <f t="shared" si="11"/>
        <v>7</v>
      </c>
      <c r="U19" s="17">
        <f t="shared" si="11"/>
        <v>0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2</v>
      </c>
      <c r="AA19" s="17">
        <f t="shared" si="11"/>
        <v>0</v>
      </c>
      <c r="AB19" s="17">
        <f t="shared" si="11"/>
        <v>1</v>
      </c>
      <c r="AC19" s="17">
        <f t="shared" si="11"/>
        <v>35</v>
      </c>
      <c r="AD19" s="17">
        <f t="shared" si="11"/>
        <v>0</v>
      </c>
      <c r="AE19" s="31">
        <f t="shared" si="11"/>
        <v>44</v>
      </c>
      <c r="AF19" s="31">
        <f t="shared" si="11"/>
        <v>79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6</v>
      </c>
      <c r="P20" s="15">
        <f t="shared" si="1"/>
        <v>13</v>
      </c>
      <c r="R20" s="1" t="s">
        <v>16</v>
      </c>
      <c r="S20" s="17">
        <f t="shared" ref="S20:AF20" si="12">SUM(C50:C53)</f>
        <v>23</v>
      </c>
      <c r="T20" s="17">
        <f t="shared" si="12"/>
        <v>2</v>
      </c>
      <c r="U20" s="17">
        <f t="shared" si="12"/>
        <v>3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4</v>
      </c>
      <c r="AA20" s="17">
        <f t="shared" si="12"/>
        <v>1</v>
      </c>
      <c r="AB20" s="17">
        <f t="shared" si="12"/>
        <v>1</v>
      </c>
      <c r="AC20" s="17">
        <f t="shared" si="12"/>
        <v>38</v>
      </c>
      <c r="AD20" s="17">
        <f t="shared" si="12"/>
        <v>0</v>
      </c>
      <c r="AE20" s="31">
        <f t="shared" si="12"/>
        <v>42</v>
      </c>
      <c r="AF20" s="31">
        <f t="shared" si="12"/>
        <v>80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3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11</v>
      </c>
      <c r="P21" s="15">
        <f t="shared" si="1"/>
        <v>18</v>
      </c>
      <c r="R21" s="36" t="s">
        <v>20</v>
      </c>
      <c r="S21" s="34">
        <f t="shared" ref="S21:AF21" si="13">SUM(C54:C57)</f>
        <v>22</v>
      </c>
      <c r="T21" s="17">
        <f t="shared" si="13"/>
        <v>5</v>
      </c>
      <c r="U21" s="17">
        <f t="shared" si="13"/>
        <v>4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40</v>
      </c>
      <c r="AD21" s="17">
        <f t="shared" si="13"/>
        <v>0</v>
      </c>
      <c r="AE21" s="31">
        <f t="shared" si="13"/>
        <v>49</v>
      </c>
      <c r="AF21" s="31">
        <f t="shared" si="13"/>
        <v>89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0</v>
      </c>
      <c r="F22" s="50">
        <v>0</v>
      </c>
      <c r="G22" s="50">
        <v>0</v>
      </c>
      <c r="H22" s="50">
        <v>1</v>
      </c>
      <c r="I22" s="50">
        <v>0</v>
      </c>
      <c r="J22" s="50">
        <v>1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7</v>
      </c>
      <c r="P22" s="15">
        <f t="shared" si="1"/>
        <v>10</v>
      </c>
      <c r="R22" s="38" t="s">
        <v>90</v>
      </c>
      <c r="S22" s="39">
        <f>MAX(S10:S12)</f>
        <v>19</v>
      </c>
      <c r="T22" s="39">
        <f t="shared" ref="T22:AF22" si="14">MAX(T10:T12)</f>
        <v>6</v>
      </c>
      <c r="U22" s="39">
        <f t="shared" si="14"/>
        <v>4</v>
      </c>
      <c r="V22" s="39">
        <f t="shared" si="14"/>
        <v>10</v>
      </c>
      <c r="W22" s="39">
        <f t="shared" si="14"/>
        <v>0</v>
      </c>
      <c r="X22" s="39">
        <f t="shared" si="14"/>
        <v>2</v>
      </c>
      <c r="Y22" s="39">
        <f t="shared" si="14"/>
        <v>2</v>
      </c>
      <c r="Z22" s="39">
        <f t="shared" si="14"/>
        <v>4</v>
      </c>
      <c r="AA22" s="39">
        <f t="shared" si="14"/>
        <v>1</v>
      </c>
      <c r="AB22" s="39">
        <f t="shared" si="14"/>
        <v>1</v>
      </c>
      <c r="AC22" s="39">
        <f t="shared" si="14"/>
        <v>32</v>
      </c>
      <c r="AD22" s="39">
        <f t="shared" si="14"/>
        <v>0</v>
      </c>
      <c r="AE22" s="40">
        <f t="shared" si="14"/>
        <v>43</v>
      </c>
      <c r="AF22" s="40">
        <f t="shared" si="14"/>
        <v>72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3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9</v>
      </c>
      <c r="P23" s="15">
        <f t="shared" si="1"/>
        <v>21</v>
      </c>
      <c r="R23" s="38" t="s">
        <v>91</v>
      </c>
      <c r="S23" s="39">
        <f>MAX(S13:S18)</f>
        <v>23</v>
      </c>
      <c r="T23" s="39">
        <f t="shared" ref="T23:AF23" si="15">MAX(T13:T18)</f>
        <v>7</v>
      </c>
      <c r="U23" s="39">
        <f t="shared" si="15"/>
        <v>6</v>
      </c>
      <c r="V23" s="39">
        <f t="shared" si="15"/>
        <v>8</v>
      </c>
      <c r="W23" s="39">
        <f t="shared" si="15"/>
        <v>2</v>
      </c>
      <c r="X23" s="39">
        <f t="shared" si="15"/>
        <v>3</v>
      </c>
      <c r="Y23" s="39">
        <f t="shared" si="15"/>
        <v>6</v>
      </c>
      <c r="Z23" s="39">
        <f t="shared" si="15"/>
        <v>4</v>
      </c>
      <c r="AA23" s="39">
        <f t="shared" si="15"/>
        <v>1</v>
      </c>
      <c r="AB23" s="39">
        <f t="shared" si="15"/>
        <v>0</v>
      </c>
      <c r="AC23" s="39">
        <f t="shared" si="15"/>
        <v>34</v>
      </c>
      <c r="AD23" s="39">
        <f t="shared" si="15"/>
        <v>0</v>
      </c>
      <c r="AE23" s="40">
        <f t="shared" si="15"/>
        <v>50</v>
      </c>
      <c r="AF23" s="40">
        <f t="shared" si="15"/>
        <v>76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3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5</v>
      </c>
      <c r="P24" s="15">
        <f t="shared" si="1"/>
        <v>13</v>
      </c>
      <c r="R24" s="38" t="s">
        <v>92</v>
      </c>
      <c r="S24" s="39">
        <f>MAX(S19:S21)</f>
        <v>28</v>
      </c>
      <c r="T24" s="39">
        <f t="shared" ref="T24:AF24" si="16">MAX(T19:T21)</f>
        <v>7</v>
      </c>
      <c r="U24" s="39">
        <f t="shared" si="16"/>
        <v>4</v>
      </c>
      <c r="V24" s="39">
        <f t="shared" si="16"/>
        <v>7</v>
      </c>
      <c r="W24" s="39">
        <f t="shared" si="16"/>
        <v>0</v>
      </c>
      <c r="X24" s="39">
        <f t="shared" si="16"/>
        <v>0</v>
      </c>
      <c r="Y24" s="39">
        <f t="shared" si="16"/>
        <v>7</v>
      </c>
      <c r="Z24" s="39">
        <f t="shared" si="16"/>
        <v>4</v>
      </c>
      <c r="AA24" s="39">
        <f t="shared" si="16"/>
        <v>1</v>
      </c>
      <c r="AB24" s="39">
        <f t="shared" si="16"/>
        <v>1</v>
      </c>
      <c r="AC24" s="39">
        <f t="shared" si="16"/>
        <v>40</v>
      </c>
      <c r="AD24" s="39">
        <f t="shared" si="16"/>
        <v>0</v>
      </c>
      <c r="AE24" s="40">
        <f t="shared" si="16"/>
        <v>49</v>
      </c>
      <c r="AF24" s="40">
        <f t="shared" si="16"/>
        <v>89</v>
      </c>
    </row>
    <row r="25" spans="2:32" ht="23.1" customHeight="1" x14ac:dyDescent="0.25">
      <c r="B25" s="23" t="s">
        <v>52</v>
      </c>
      <c r="C25" s="50">
        <v>7</v>
      </c>
      <c r="D25" s="50">
        <v>0</v>
      </c>
      <c r="E25" s="50">
        <v>2</v>
      </c>
      <c r="F25" s="50">
        <v>2</v>
      </c>
      <c r="G25" s="50">
        <v>0</v>
      </c>
      <c r="H25" s="50">
        <v>1</v>
      </c>
      <c r="I25" s="50">
        <v>1</v>
      </c>
      <c r="J25" s="50">
        <v>1</v>
      </c>
      <c r="K25" s="50">
        <v>0</v>
      </c>
      <c r="L25" s="50">
        <v>0</v>
      </c>
      <c r="M25" s="50">
        <v>10</v>
      </c>
      <c r="N25" s="50">
        <v>0</v>
      </c>
      <c r="O25" s="15">
        <f t="shared" si="0"/>
        <v>14</v>
      </c>
      <c r="P25" s="15">
        <f t="shared" si="1"/>
        <v>24</v>
      </c>
      <c r="R25" s="37" t="s">
        <v>85</v>
      </c>
      <c r="S25" s="35">
        <f t="shared" ref="S25:AF25" si="17">SUM(S10:S12)</f>
        <v>46</v>
      </c>
      <c r="T25" s="16">
        <f t="shared" si="17"/>
        <v>8</v>
      </c>
      <c r="U25" s="16">
        <f t="shared" si="17"/>
        <v>5</v>
      </c>
      <c r="V25" s="16">
        <f t="shared" si="17"/>
        <v>28</v>
      </c>
      <c r="W25" s="16">
        <f t="shared" si="17"/>
        <v>0</v>
      </c>
      <c r="X25" s="16">
        <f t="shared" si="17"/>
        <v>3</v>
      </c>
      <c r="Y25" s="16">
        <f t="shared" si="17"/>
        <v>6</v>
      </c>
      <c r="Z25" s="16">
        <f t="shared" si="17"/>
        <v>8</v>
      </c>
      <c r="AA25" s="16">
        <f t="shared" si="17"/>
        <v>1</v>
      </c>
      <c r="AB25" s="16">
        <f t="shared" si="17"/>
        <v>1</v>
      </c>
      <c r="AC25" s="16">
        <f t="shared" si="17"/>
        <v>87</v>
      </c>
      <c r="AD25" s="16">
        <f t="shared" si="17"/>
        <v>0</v>
      </c>
      <c r="AE25" s="32">
        <f t="shared" si="17"/>
        <v>106</v>
      </c>
      <c r="AF25" s="32">
        <f t="shared" si="17"/>
        <v>193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2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7</v>
      </c>
      <c r="P26" s="15">
        <f t="shared" si="1"/>
        <v>11</v>
      </c>
      <c r="R26" s="28" t="s">
        <v>86</v>
      </c>
      <c r="S26" s="16">
        <f t="shared" ref="S26:AF26" si="18">SUM(S13:S18)</f>
        <v>114</v>
      </c>
      <c r="T26" s="16">
        <f t="shared" si="18"/>
        <v>15</v>
      </c>
      <c r="U26" s="16">
        <f t="shared" si="18"/>
        <v>17</v>
      </c>
      <c r="V26" s="16">
        <f t="shared" si="18"/>
        <v>30</v>
      </c>
      <c r="W26" s="16">
        <f t="shared" si="18"/>
        <v>2</v>
      </c>
      <c r="X26" s="16">
        <f t="shared" si="18"/>
        <v>4</v>
      </c>
      <c r="Y26" s="16">
        <f t="shared" si="18"/>
        <v>18</v>
      </c>
      <c r="Z26" s="16">
        <f t="shared" si="18"/>
        <v>20</v>
      </c>
      <c r="AA26" s="16">
        <f t="shared" si="18"/>
        <v>1</v>
      </c>
      <c r="AB26" s="16">
        <f t="shared" si="18"/>
        <v>0</v>
      </c>
      <c r="AC26" s="16">
        <f t="shared" si="18"/>
        <v>183</v>
      </c>
      <c r="AD26" s="16">
        <f t="shared" si="18"/>
        <v>0</v>
      </c>
      <c r="AE26" s="32">
        <f t="shared" si="18"/>
        <v>221</v>
      </c>
      <c r="AF26" s="32">
        <f t="shared" si="18"/>
        <v>404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1</v>
      </c>
      <c r="F27" s="50">
        <v>1</v>
      </c>
      <c r="G27" s="50">
        <v>0</v>
      </c>
      <c r="H27" s="50">
        <v>1</v>
      </c>
      <c r="I27" s="50">
        <v>1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6</v>
      </c>
      <c r="P27" s="15">
        <f t="shared" si="1"/>
        <v>10</v>
      </c>
      <c r="R27" s="29" t="s">
        <v>87</v>
      </c>
      <c r="S27" s="16">
        <f t="shared" ref="S27:AF27" si="19">SUM(S19:S21)</f>
        <v>73</v>
      </c>
      <c r="T27" s="16">
        <f t="shared" si="19"/>
        <v>14</v>
      </c>
      <c r="U27" s="16">
        <f t="shared" si="19"/>
        <v>7</v>
      </c>
      <c r="V27" s="16">
        <f t="shared" si="19"/>
        <v>17</v>
      </c>
      <c r="W27" s="16">
        <f t="shared" si="19"/>
        <v>0</v>
      </c>
      <c r="X27" s="16">
        <f t="shared" si="19"/>
        <v>0</v>
      </c>
      <c r="Y27" s="16">
        <f t="shared" si="19"/>
        <v>11</v>
      </c>
      <c r="Z27" s="16">
        <f t="shared" si="19"/>
        <v>10</v>
      </c>
      <c r="AA27" s="16">
        <f t="shared" si="19"/>
        <v>1</v>
      </c>
      <c r="AB27" s="16">
        <f t="shared" si="19"/>
        <v>2</v>
      </c>
      <c r="AC27" s="16">
        <f t="shared" si="19"/>
        <v>113</v>
      </c>
      <c r="AD27" s="16">
        <f t="shared" si="19"/>
        <v>0</v>
      </c>
      <c r="AE27" s="32">
        <f t="shared" si="19"/>
        <v>135</v>
      </c>
      <c r="AF27" s="32">
        <f t="shared" si="19"/>
        <v>248</v>
      </c>
    </row>
    <row r="28" spans="2:32" ht="23.1" customHeight="1" x14ac:dyDescent="0.25">
      <c r="B28" s="23" t="s">
        <v>55</v>
      </c>
      <c r="C28" s="50">
        <v>7</v>
      </c>
      <c r="D28" s="50">
        <v>1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11</v>
      </c>
      <c r="P28" s="15">
        <f t="shared" si="1"/>
        <v>21</v>
      </c>
      <c r="R28" s="5" t="s">
        <v>17</v>
      </c>
      <c r="S28" s="16">
        <f t="shared" ref="S28:AF28" si="20">SUM(S10:S21)</f>
        <v>233</v>
      </c>
      <c r="T28" s="16">
        <f t="shared" si="20"/>
        <v>37</v>
      </c>
      <c r="U28" s="16">
        <f t="shared" si="20"/>
        <v>29</v>
      </c>
      <c r="V28" s="16">
        <f t="shared" si="20"/>
        <v>75</v>
      </c>
      <c r="W28" s="16">
        <f t="shared" si="20"/>
        <v>2</v>
      </c>
      <c r="X28" s="16">
        <f t="shared" si="20"/>
        <v>7</v>
      </c>
      <c r="Y28" s="16">
        <f t="shared" si="20"/>
        <v>35</v>
      </c>
      <c r="Z28" s="16">
        <f t="shared" si="20"/>
        <v>38</v>
      </c>
      <c r="AA28" s="16">
        <f t="shared" si="20"/>
        <v>3</v>
      </c>
      <c r="AB28" s="16">
        <f t="shared" si="20"/>
        <v>3</v>
      </c>
      <c r="AC28" s="16">
        <f t="shared" si="20"/>
        <v>383</v>
      </c>
      <c r="AD28" s="16">
        <f t="shared" si="20"/>
        <v>0</v>
      </c>
      <c r="AE28" s="32">
        <f t="shared" si="20"/>
        <v>462</v>
      </c>
      <c r="AF28" s="32">
        <f t="shared" si="20"/>
        <v>845</v>
      </c>
    </row>
    <row r="29" spans="2:32" ht="23.1" customHeight="1" x14ac:dyDescent="0.25">
      <c r="B29" s="23" t="s">
        <v>56</v>
      </c>
      <c r="C29" s="50">
        <v>8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12</v>
      </c>
      <c r="P29" s="15">
        <f t="shared" si="1"/>
        <v>23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7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12</v>
      </c>
      <c r="D31" s="50">
        <v>0</v>
      </c>
      <c r="E31" s="50">
        <v>1</v>
      </c>
      <c r="F31" s="50">
        <v>5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20</v>
      </c>
      <c r="P31" s="15">
        <f t="shared" si="1"/>
        <v>30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6</v>
      </c>
      <c r="P32" s="15">
        <f t="shared" si="1"/>
        <v>13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7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6</v>
      </c>
      <c r="P34" s="15">
        <f t="shared" si="1"/>
        <v>16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6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2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8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6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10</v>
      </c>
      <c r="P37" s="15">
        <f t="shared" si="1"/>
        <v>16</v>
      </c>
    </row>
    <row r="38" spans="2:20" ht="23.1" customHeight="1" x14ac:dyDescent="0.25">
      <c r="B38" s="24" t="s">
        <v>65</v>
      </c>
      <c r="C38" s="50">
        <v>0</v>
      </c>
      <c r="D38" s="50">
        <v>2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4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5</v>
      </c>
      <c r="D39" s="50">
        <v>2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9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6</v>
      </c>
      <c r="D40" s="50">
        <v>2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10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4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7</v>
      </c>
      <c r="N41" s="50">
        <v>0</v>
      </c>
      <c r="O41" s="15">
        <f t="shared" si="0"/>
        <v>7</v>
      </c>
      <c r="P41" s="15">
        <f t="shared" si="1"/>
        <v>14</v>
      </c>
    </row>
    <row r="42" spans="2:20" ht="23.1" customHeight="1" x14ac:dyDescent="0.25">
      <c r="B42" s="24" t="s">
        <v>69</v>
      </c>
      <c r="C42" s="50">
        <v>4</v>
      </c>
      <c r="D42" s="50">
        <v>2</v>
      </c>
      <c r="E42" s="50">
        <v>0</v>
      </c>
      <c r="F42" s="50">
        <v>4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14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5</v>
      </c>
      <c r="D43" s="50">
        <v>1</v>
      </c>
      <c r="E43" s="50">
        <v>3</v>
      </c>
      <c r="F43" s="50">
        <v>0</v>
      </c>
      <c r="G43" s="50">
        <v>0</v>
      </c>
      <c r="H43" s="50">
        <v>0</v>
      </c>
      <c r="I43" s="50">
        <v>0</v>
      </c>
      <c r="J43" s="50">
        <v>2</v>
      </c>
      <c r="K43" s="50">
        <v>1</v>
      </c>
      <c r="L43" s="50">
        <v>0</v>
      </c>
      <c r="M43" s="50">
        <v>7</v>
      </c>
      <c r="N43" s="50">
        <v>0</v>
      </c>
      <c r="O43" s="15">
        <f t="shared" si="0"/>
        <v>12</v>
      </c>
      <c r="P43" s="15">
        <f t="shared" si="1"/>
        <v>19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3</v>
      </c>
      <c r="F44" s="50">
        <v>2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13</v>
      </c>
      <c r="P44" s="15">
        <f t="shared" si="1"/>
        <v>20</v>
      </c>
    </row>
    <row r="45" spans="2:20" ht="23.1" customHeight="1" x14ac:dyDescent="0.25">
      <c r="B45" s="23" t="s">
        <v>72</v>
      </c>
      <c r="C45" s="50">
        <v>8</v>
      </c>
      <c r="D45" s="50">
        <v>0</v>
      </c>
      <c r="E45" s="50">
        <v>0</v>
      </c>
      <c r="F45" s="50">
        <v>2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11</v>
      </c>
      <c r="P45" s="15">
        <f t="shared" si="1"/>
        <v>18</v>
      </c>
    </row>
    <row r="46" spans="2:20" ht="23.1" customHeight="1" x14ac:dyDescent="0.25">
      <c r="B46" s="24" t="s">
        <v>73</v>
      </c>
      <c r="C46" s="50">
        <v>7</v>
      </c>
      <c r="D46" s="50">
        <v>2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1</v>
      </c>
      <c r="M46" s="50">
        <v>4</v>
      </c>
      <c r="N46" s="50">
        <v>0</v>
      </c>
      <c r="O46" s="15">
        <f t="shared" si="0"/>
        <v>13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11</v>
      </c>
      <c r="P47" s="15">
        <f t="shared" si="1"/>
        <v>22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2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10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2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10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0</v>
      </c>
      <c r="E50" s="50">
        <v>2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11</v>
      </c>
      <c r="P50" s="15">
        <f t="shared" si="1"/>
        <v>21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0</v>
      </c>
      <c r="E51" s="50">
        <v>0</v>
      </c>
      <c r="F51" s="50">
        <v>4</v>
      </c>
      <c r="G51" s="50">
        <v>0</v>
      </c>
      <c r="H51" s="50">
        <v>0</v>
      </c>
      <c r="I51" s="50">
        <v>0</v>
      </c>
      <c r="J51" s="50">
        <v>2</v>
      </c>
      <c r="K51" s="50">
        <v>1</v>
      </c>
      <c r="L51" s="50">
        <v>0</v>
      </c>
      <c r="M51" s="50">
        <v>8</v>
      </c>
      <c r="N51" s="50">
        <v>0</v>
      </c>
      <c r="O51" s="15">
        <f t="shared" si="0"/>
        <v>14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1</v>
      </c>
      <c r="M52" s="50">
        <v>12</v>
      </c>
      <c r="N52" s="50">
        <v>0</v>
      </c>
      <c r="O52" s="15">
        <f t="shared" si="0"/>
        <v>7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10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3</v>
      </c>
      <c r="E54" s="50">
        <v>2</v>
      </c>
      <c r="F54" s="50">
        <v>3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17</v>
      </c>
      <c r="P54" s="15">
        <f t="shared" si="1"/>
        <v>25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1</v>
      </c>
      <c r="E55" s="50">
        <v>1</v>
      </c>
      <c r="F55" s="50">
        <v>1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13</v>
      </c>
      <c r="P55" s="15">
        <f t="shared" si="1"/>
        <v>24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10</v>
      </c>
      <c r="N56" s="50">
        <v>0</v>
      </c>
      <c r="O56" s="15">
        <f t="shared" si="0"/>
        <v>9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10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233</v>
      </c>
      <c r="D58" s="16">
        <f t="shared" si="21"/>
        <v>37</v>
      </c>
      <c r="E58" s="16">
        <f t="shared" si="21"/>
        <v>29</v>
      </c>
      <c r="F58" s="16">
        <f t="shared" si="21"/>
        <v>75</v>
      </c>
      <c r="G58" s="16">
        <f t="shared" si="21"/>
        <v>2</v>
      </c>
      <c r="H58" s="16">
        <f t="shared" si="21"/>
        <v>7</v>
      </c>
      <c r="I58" s="16">
        <f t="shared" si="21"/>
        <v>35</v>
      </c>
      <c r="J58" s="16">
        <f t="shared" si="21"/>
        <v>38</v>
      </c>
      <c r="K58" s="16">
        <f t="shared" si="21"/>
        <v>3</v>
      </c>
      <c r="L58" s="16">
        <f t="shared" si="21"/>
        <v>3</v>
      </c>
      <c r="M58" s="16">
        <f t="shared" si="21"/>
        <v>383</v>
      </c>
      <c r="N58" s="16">
        <f t="shared" si="21"/>
        <v>0</v>
      </c>
      <c r="O58" s="16">
        <f t="shared" si="21"/>
        <v>462</v>
      </c>
      <c r="P58" s="16">
        <f t="shared" si="21"/>
        <v>845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0.2757396449704142</v>
      </c>
      <c r="D59" s="43">
        <f t="shared" si="22"/>
        <v>4.3786982248520713E-2</v>
      </c>
      <c r="E59" s="43">
        <f t="shared" si="22"/>
        <v>3.4319526627218933E-2</v>
      </c>
      <c r="F59" s="43">
        <f t="shared" si="22"/>
        <v>8.8757396449704137E-2</v>
      </c>
      <c r="G59" s="43">
        <f t="shared" si="22"/>
        <v>2.3668639053254438E-3</v>
      </c>
      <c r="H59" s="43">
        <f t="shared" si="22"/>
        <v>8.2840236686390536E-3</v>
      </c>
      <c r="I59" s="43">
        <f t="shared" si="22"/>
        <v>4.142011834319527E-2</v>
      </c>
      <c r="J59" s="43">
        <f t="shared" si="22"/>
        <v>4.4970414201183431E-2</v>
      </c>
      <c r="K59" s="43">
        <f t="shared" si="22"/>
        <v>3.5502958579881655E-3</v>
      </c>
      <c r="L59" s="43">
        <f t="shared" si="22"/>
        <v>3.5502958579881655E-3</v>
      </c>
      <c r="M59" s="43">
        <f t="shared" si="22"/>
        <v>0.4532544378698225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0.50432900432900429</v>
      </c>
      <c r="D60" s="44">
        <f t="shared" ref="D60:N60" si="23">D58/$O$58</f>
        <v>8.0086580086580081E-2</v>
      </c>
      <c r="E60" s="44">
        <f t="shared" si="23"/>
        <v>6.2770562770562768E-2</v>
      </c>
      <c r="F60" s="44">
        <f t="shared" si="23"/>
        <v>0.16233766233766234</v>
      </c>
      <c r="G60" s="44">
        <f t="shared" si="23"/>
        <v>4.329004329004329E-3</v>
      </c>
      <c r="H60" s="44">
        <f t="shared" si="23"/>
        <v>1.5151515151515152E-2</v>
      </c>
      <c r="I60" s="44">
        <f t="shared" si="23"/>
        <v>7.575757575757576E-2</v>
      </c>
      <c r="J60" s="44">
        <f t="shared" si="23"/>
        <v>8.2251082251082255E-2</v>
      </c>
      <c r="K60" s="44">
        <f t="shared" si="23"/>
        <v>6.4935064935064939E-3</v>
      </c>
      <c r="L60" s="44">
        <f t="shared" si="23"/>
        <v>6.4935064935064939E-3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A4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Mbarara-Ibanda'!C3:G3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3.25" customHeight="1" x14ac:dyDescent="0.25">
      <c r="C5" s="4" t="s">
        <v>3</v>
      </c>
      <c r="D5" s="36" t="str">
        <f>'30.10 Ibanda-Mbarara'!D5</f>
        <v>30.10.2019</v>
      </c>
      <c r="E5" s="3"/>
      <c r="F5" s="41" t="s">
        <v>1</v>
      </c>
      <c r="G5" s="54" t="str">
        <f>'30.10 Ibanda-Mbarara'!G5:H5</f>
        <v>RUHUMBA</v>
      </c>
      <c r="H5" s="55"/>
      <c r="I5" s="14"/>
      <c r="J5" s="2" t="s">
        <v>5</v>
      </c>
      <c r="K5" s="54" t="s">
        <v>167</v>
      </c>
      <c r="L5" s="55"/>
      <c r="M5" s="10"/>
      <c r="N5" s="10"/>
      <c r="O5" s="3"/>
      <c r="P5" s="3"/>
    </row>
    <row r="6" spans="2:32" ht="30.75" customHeight="1" x14ac:dyDescent="0.25">
      <c r="C6" s="2" t="s">
        <v>4</v>
      </c>
      <c r="D6" s="54" t="str">
        <f>'25.10 Mbarara-Ibanda'!D6:E6</f>
        <v>MBARARA</v>
      </c>
      <c r="E6" s="55"/>
      <c r="F6" s="2" t="s">
        <v>2</v>
      </c>
      <c r="G6" s="54" t="str">
        <f>'25.10 Mbarara-Ibanda'!G6:H6</f>
        <v>IBANDA</v>
      </c>
      <c r="H6" s="55"/>
      <c r="J6" s="2" t="s">
        <v>21</v>
      </c>
      <c r="K6" s="54" t="str">
        <f>'30.10 Ibanda-Mbarara'!K6:L6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19</v>
      </c>
      <c r="T10" s="17">
        <f t="shared" si="2"/>
        <v>1</v>
      </c>
      <c r="U10" s="17">
        <f t="shared" si="2"/>
        <v>0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28</v>
      </c>
      <c r="AF10" s="31">
        <f t="shared" si="2"/>
        <v>51</v>
      </c>
    </row>
    <row r="11" spans="2:32" s="6" customFormat="1" ht="23.1" customHeight="1" x14ac:dyDescent="0.25">
      <c r="B11" s="23" t="s">
        <v>38</v>
      </c>
      <c r="C11" s="50">
        <v>3</v>
      </c>
      <c r="D11" s="50">
        <v>1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3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9</v>
      </c>
      <c r="P11" s="15">
        <f t="shared" si="1"/>
        <v>15</v>
      </c>
      <c r="R11" s="1" t="s">
        <v>7</v>
      </c>
      <c r="S11" s="17">
        <f t="shared" ref="S11:AF11" si="3">SUM(C14:C17)</f>
        <v>11</v>
      </c>
      <c r="T11" s="17">
        <f t="shared" si="3"/>
        <v>2</v>
      </c>
      <c r="U11" s="17">
        <f t="shared" si="3"/>
        <v>1</v>
      </c>
      <c r="V11" s="17">
        <f t="shared" si="3"/>
        <v>4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23</v>
      </c>
      <c r="AD11" s="17">
        <f t="shared" si="3"/>
        <v>0</v>
      </c>
      <c r="AE11" s="31">
        <f t="shared" si="3"/>
        <v>24</v>
      </c>
      <c r="AF11" s="31">
        <f t="shared" si="3"/>
        <v>47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8</v>
      </c>
      <c r="P12" s="15">
        <f t="shared" si="1"/>
        <v>13</v>
      </c>
      <c r="R12" s="1" t="s">
        <v>8</v>
      </c>
      <c r="S12" s="17">
        <f t="shared" ref="S12:AF12" si="4">SUM(C18:C21)</f>
        <v>19</v>
      </c>
      <c r="T12" s="17">
        <f t="shared" si="4"/>
        <v>3</v>
      </c>
      <c r="U12" s="17">
        <f t="shared" si="4"/>
        <v>2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1</v>
      </c>
      <c r="AB12" s="17">
        <f t="shared" si="4"/>
        <v>3</v>
      </c>
      <c r="AC12" s="17">
        <f t="shared" si="4"/>
        <v>36</v>
      </c>
      <c r="AD12" s="17">
        <f t="shared" si="4"/>
        <v>0</v>
      </c>
      <c r="AE12" s="31">
        <f t="shared" si="4"/>
        <v>36</v>
      </c>
      <c r="AF12" s="31">
        <f t="shared" si="4"/>
        <v>72</v>
      </c>
    </row>
    <row r="13" spans="2:32" ht="23.1" customHeight="1" x14ac:dyDescent="0.25">
      <c r="B13" s="23" t="s">
        <v>40</v>
      </c>
      <c r="C13" s="50">
        <v>7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8</v>
      </c>
      <c r="P13" s="15">
        <f t="shared" si="1"/>
        <v>14</v>
      </c>
      <c r="R13" s="1" t="s">
        <v>9</v>
      </c>
      <c r="S13" s="17">
        <f t="shared" ref="S13:AF13" si="5">SUM(C22:C25)</f>
        <v>26</v>
      </c>
      <c r="T13" s="17">
        <f t="shared" si="5"/>
        <v>1</v>
      </c>
      <c r="U13" s="17">
        <f t="shared" si="5"/>
        <v>3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30</v>
      </c>
      <c r="AD13" s="17">
        <f t="shared" si="5"/>
        <v>0</v>
      </c>
      <c r="AE13" s="31">
        <f t="shared" si="5"/>
        <v>40</v>
      </c>
      <c r="AF13" s="31">
        <f t="shared" si="5"/>
        <v>70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5</v>
      </c>
      <c r="P14" s="15">
        <f t="shared" si="1"/>
        <v>12</v>
      </c>
      <c r="R14" s="1" t="s">
        <v>10</v>
      </c>
      <c r="S14" s="17">
        <f t="shared" ref="S14:AF14" si="6">SUM(C26:C29)</f>
        <v>23</v>
      </c>
      <c r="T14" s="17">
        <f t="shared" si="6"/>
        <v>1</v>
      </c>
      <c r="U14" s="17">
        <f t="shared" si="6"/>
        <v>6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25</v>
      </c>
      <c r="AD14" s="17">
        <f t="shared" si="6"/>
        <v>0</v>
      </c>
      <c r="AE14" s="31">
        <f t="shared" si="6"/>
        <v>39</v>
      </c>
      <c r="AF14" s="31">
        <f t="shared" si="6"/>
        <v>64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0</v>
      </c>
      <c r="F15" s="50">
        <v>0</v>
      </c>
      <c r="G15" s="50">
        <v>1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4</v>
      </c>
      <c r="P15" s="15">
        <f t="shared" si="1"/>
        <v>8</v>
      </c>
      <c r="R15" s="1" t="s">
        <v>11</v>
      </c>
      <c r="S15" s="17">
        <f t="shared" ref="S15:AF15" si="7">SUM(C30:C33)</f>
        <v>18</v>
      </c>
      <c r="T15" s="17">
        <f t="shared" si="7"/>
        <v>1</v>
      </c>
      <c r="U15" s="17">
        <f t="shared" si="7"/>
        <v>3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4</v>
      </c>
      <c r="AA15" s="17">
        <f t="shared" si="7"/>
        <v>3</v>
      </c>
      <c r="AB15" s="17">
        <f t="shared" si="7"/>
        <v>1</v>
      </c>
      <c r="AC15" s="17">
        <f t="shared" si="7"/>
        <v>25</v>
      </c>
      <c r="AD15" s="17">
        <f t="shared" si="7"/>
        <v>0</v>
      </c>
      <c r="AE15" s="31">
        <f t="shared" si="7"/>
        <v>42</v>
      </c>
      <c r="AF15" s="31">
        <f t="shared" si="7"/>
        <v>67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9</v>
      </c>
      <c r="P16" s="15">
        <f t="shared" si="1"/>
        <v>16</v>
      </c>
      <c r="R16" s="1" t="s">
        <v>12</v>
      </c>
      <c r="S16" s="17">
        <f t="shared" ref="S16:AF16" si="8">SUM(C34:C37)</f>
        <v>14</v>
      </c>
      <c r="T16" s="17">
        <f t="shared" si="8"/>
        <v>2</v>
      </c>
      <c r="U16" s="17">
        <f t="shared" si="8"/>
        <v>0</v>
      </c>
      <c r="V16" s="17">
        <f t="shared" si="8"/>
        <v>4</v>
      </c>
      <c r="W16" s="17">
        <f t="shared" si="8"/>
        <v>0</v>
      </c>
      <c r="X16" s="17">
        <f t="shared" si="8"/>
        <v>1</v>
      </c>
      <c r="Y16" s="17">
        <f t="shared" si="8"/>
        <v>8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17</v>
      </c>
      <c r="AD16" s="17">
        <f t="shared" si="8"/>
        <v>0</v>
      </c>
      <c r="AE16" s="31">
        <f t="shared" si="8"/>
        <v>31</v>
      </c>
      <c r="AF16" s="31">
        <f t="shared" si="8"/>
        <v>48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6</v>
      </c>
      <c r="P17" s="15">
        <f t="shared" si="1"/>
        <v>11</v>
      </c>
      <c r="R17" s="1" t="s">
        <v>13</v>
      </c>
      <c r="S17" s="17">
        <f t="shared" ref="S17:AF17" si="9">SUM(C38:C41)</f>
        <v>26</v>
      </c>
      <c r="T17" s="17">
        <f t="shared" si="9"/>
        <v>3</v>
      </c>
      <c r="U17" s="17">
        <f t="shared" si="9"/>
        <v>2</v>
      </c>
      <c r="V17" s="17">
        <f t="shared" si="9"/>
        <v>14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31</v>
      </c>
      <c r="AD17" s="17">
        <f t="shared" si="9"/>
        <v>0</v>
      </c>
      <c r="AE17" s="31">
        <f t="shared" si="9"/>
        <v>52</v>
      </c>
      <c r="AF17" s="31">
        <f t="shared" si="9"/>
        <v>83</v>
      </c>
    </row>
    <row r="18" spans="2:32" ht="23.1" customHeight="1" x14ac:dyDescent="0.25">
      <c r="B18" s="23" t="s">
        <v>45</v>
      </c>
      <c r="C18" s="50">
        <v>9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0</v>
      </c>
      <c r="M18" s="50">
        <v>12</v>
      </c>
      <c r="N18" s="50">
        <v>0</v>
      </c>
      <c r="O18" s="15">
        <f t="shared" si="0"/>
        <v>15</v>
      </c>
      <c r="P18" s="15">
        <f t="shared" si="1"/>
        <v>27</v>
      </c>
      <c r="R18" s="1" t="s">
        <v>14</v>
      </c>
      <c r="S18" s="17">
        <f t="shared" ref="S18:AF18" si="10">SUM(C42:C45)</f>
        <v>26</v>
      </c>
      <c r="T18" s="17">
        <f t="shared" si="10"/>
        <v>5</v>
      </c>
      <c r="U18" s="17">
        <f t="shared" si="10"/>
        <v>4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29</v>
      </c>
      <c r="AD18" s="17">
        <f t="shared" si="10"/>
        <v>0</v>
      </c>
      <c r="AE18" s="31">
        <f t="shared" si="10"/>
        <v>47</v>
      </c>
      <c r="AF18" s="31">
        <f t="shared" si="10"/>
        <v>76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6</v>
      </c>
      <c r="P19" s="15">
        <f t="shared" si="1"/>
        <v>15</v>
      </c>
      <c r="R19" s="1" t="s">
        <v>15</v>
      </c>
      <c r="S19" s="17">
        <f t="shared" ref="S19:AF19" si="11">SUM(C46:C49)</f>
        <v>16</v>
      </c>
      <c r="T19" s="17">
        <f t="shared" si="11"/>
        <v>4</v>
      </c>
      <c r="U19" s="17">
        <f t="shared" si="11"/>
        <v>1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38</v>
      </c>
      <c r="AD19" s="17">
        <f t="shared" si="11"/>
        <v>0</v>
      </c>
      <c r="AE19" s="31">
        <f t="shared" si="11"/>
        <v>30</v>
      </c>
      <c r="AF19" s="31">
        <f t="shared" si="11"/>
        <v>68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2</v>
      </c>
      <c r="M20" s="50">
        <v>7</v>
      </c>
      <c r="N20" s="50">
        <v>0</v>
      </c>
      <c r="O20" s="15">
        <f t="shared" si="0"/>
        <v>7</v>
      </c>
      <c r="P20" s="15">
        <f t="shared" si="1"/>
        <v>14</v>
      </c>
      <c r="R20" s="1" t="s">
        <v>16</v>
      </c>
      <c r="S20" s="17">
        <f t="shared" ref="S20:AF20" si="12">SUM(C50:C53)</f>
        <v>18</v>
      </c>
      <c r="T20" s="17">
        <f t="shared" si="12"/>
        <v>1</v>
      </c>
      <c r="U20" s="17">
        <f t="shared" si="12"/>
        <v>1</v>
      </c>
      <c r="V20" s="17">
        <f t="shared" si="12"/>
        <v>6</v>
      </c>
      <c r="W20" s="17">
        <f t="shared" si="12"/>
        <v>0</v>
      </c>
      <c r="X20" s="17">
        <f t="shared" si="12"/>
        <v>1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34</v>
      </c>
      <c r="AD20" s="17">
        <f t="shared" si="12"/>
        <v>0</v>
      </c>
      <c r="AE20" s="31">
        <f t="shared" si="12"/>
        <v>28</v>
      </c>
      <c r="AF20" s="31">
        <f t="shared" si="12"/>
        <v>62</v>
      </c>
    </row>
    <row r="21" spans="2:32" ht="23.1" customHeight="1" x14ac:dyDescent="0.25">
      <c r="B21" s="23" t="s">
        <v>48</v>
      </c>
      <c r="C21" s="50">
        <v>3</v>
      </c>
      <c r="D21" s="50">
        <v>2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8</v>
      </c>
      <c r="N21" s="50">
        <v>0</v>
      </c>
      <c r="O21" s="15">
        <f t="shared" si="0"/>
        <v>8</v>
      </c>
      <c r="P21" s="15">
        <f t="shared" si="1"/>
        <v>16</v>
      </c>
      <c r="R21" s="36" t="s">
        <v>20</v>
      </c>
      <c r="S21" s="34">
        <f t="shared" ref="S21:AF21" si="13">SUM(C54:C57)</f>
        <v>21</v>
      </c>
      <c r="T21" s="17">
        <f t="shared" si="13"/>
        <v>1</v>
      </c>
      <c r="U21" s="17">
        <f t="shared" si="13"/>
        <v>0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37</v>
      </c>
      <c r="AD21" s="17">
        <f t="shared" si="13"/>
        <v>0</v>
      </c>
      <c r="AE21" s="31">
        <f t="shared" si="13"/>
        <v>31</v>
      </c>
      <c r="AF21" s="31">
        <f t="shared" si="13"/>
        <v>68</v>
      </c>
    </row>
    <row r="22" spans="2:32" ht="23.1" customHeight="1" x14ac:dyDescent="0.25">
      <c r="B22" s="23" t="s">
        <v>49</v>
      </c>
      <c r="C22" s="50">
        <v>9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1</v>
      </c>
      <c r="L22" s="50">
        <v>0</v>
      </c>
      <c r="M22" s="50">
        <v>4</v>
      </c>
      <c r="N22" s="50">
        <v>0</v>
      </c>
      <c r="O22" s="15">
        <f t="shared" si="0"/>
        <v>15</v>
      </c>
      <c r="P22" s="15">
        <f t="shared" si="1"/>
        <v>19</v>
      </c>
      <c r="R22" s="38" t="s">
        <v>90</v>
      </c>
      <c r="S22" s="39">
        <f>MAX(S10:S12)</f>
        <v>19</v>
      </c>
      <c r="T22" s="39">
        <f t="shared" ref="T22:AF22" si="14">MAX(T10:T12)</f>
        <v>3</v>
      </c>
      <c r="U22" s="39">
        <f t="shared" si="14"/>
        <v>2</v>
      </c>
      <c r="V22" s="39">
        <f t="shared" si="14"/>
        <v>4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5</v>
      </c>
      <c r="AA22" s="39">
        <f t="shared" si="14"/>
        <v>1</v>
      </c>
      <c r="AB22" s="39">
        <f t="shared" si="14"/>
        <v>3</v>
      </c>
      <c r="AC22" s="39">
        <f t="shared" si="14"/>
        <v>36</v>
      </c>
      <c r="AD22" s="39">
        <f t="shared" si="14"/>
        <v>0</v>
      </c>
      <c r="AE22" s="40">
        <f t="shared" si="14"/>
        <v>36</v>
      </c>
      <c r="AF22" s="40">
        <f t="shared" si="14"/>
        <v>72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9</v>
      </c>
      <c r="P23" s="15">
        <f t="shared" si="1"/>
        <v>16</v>
      </c>
      <c r="R23" s="38" t="s">
        <v>91</v>
      </c>
      <c r="S23" s="39">
        <f>MAX(S13:S18)</f>
        <v>26</v>
      </c>
      <c r="T23" s="39">
        <f t="shared" ref="T23:AF23" si="15">MAX(T13:T18)</f>
        <v>5</v>
      </c>
      <c r="U23" s="39">
        <f t="shared" si="15"/>
        <v>6</v>
      </c>
      <c r="V23" s="39">
        <f t="shared" si="15"/>
        <v>14</v>
      </c>
      <c r="W23" s="39">
        <f t="shared" si="15"/>
        <v>0</v>
      </c>
      <c r="X23" s="39">
        <f t="shared" si="15"/>
        <v>1</v>
      </c>
      <c r="Y23" s="39">
        <f t="shared" si="15"/>
        <v>8</v>
      </c>
      <c r="Z23" s="39">
        <f t="shared" si="15"/>
        <v>4</v>
      </c>
      <c r="AA23" s="39">
        <f t="shared" si="15"/>
        <v>3</v>
      </c>
      <c r="AB23" s="39">
        <f t="shared" si="15"/>
        <v>1</v>
      </c>
      <c r="AC23" s="39">
        <f t="shared" si="15"/>
        <v>31</v>
      </c>
      <c r="AD23" s="39">
        <f t="shared" si="15"/>
        <v>0</v>
      </c>
      <c r="AE23" s="40">
        <f t="shared" si="15"/>
        <v>52</v>
      </c>
      <c r="AF23" s="40">
        <f t="shared" si="15"/>
        <v>83</v>
      </c>
    </row>
    <row r="24" spans="2:32" ht="23.1" customHeight="1" x14ac:dyDescent="0.25">
      <c r="B24" s="23" t="s">
        <v>51</v>
      </c>
      <c r="C24" s="50">
        <v>6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9</v>
      </c>
      <c r="P24" s="15">
        <f t="shared" si="1"/>
        <v>20</v>
      </c>
      <c r="R24" s="38" t="s">
        <v>92</v>
      </c>
      <c r="S24" s="39">
        <f>MAX(S19:S21)</f>
        <v>21</v>
      </c>
      <c r="T24" s="39">
        <f t="shared" ref="T24:AF24" si="16">MAX(T19:T21)</f>
        <v>4</v>
      </c>
      <c r="U24" s="39">
        <f t="shared" si="16"/>
        <v>1</v>
      </c>
      <c r="V24" s="39">
        <f t="shared" si="16"/>
        <v>6</v>
      </c>
      <c r="W24" s="39">
        <f t="shared" si="16"/>
        <v>0</v>
      </c>
      <c r="X24" s="39">
        <f t="shared" si="16"/>
        <v>1</v>
      </c>
      <c r="Y24" s="39">
        <f t="shared" si="16"/>
        <v>2</v>
      </c>
      <c r="Z24" s="39">
        <f t="shared" si="16"/>
        <v>2</v>
      </c>
      <c r="AA24" s="39">
        <f t="shared" si="16"/>
        <v>2</v>
      </c>
      <c r="AB24" s="39">
        <f t="shared" si="16"/>
        <v>0</v>
      </c>
      <c r="AC24" s="39">
        <f t="shared" si="16"/>
        <v>38</v>
      </c>
      <c r="AD24" s="39">
        <f t="shared" si="16"/>
        <v>0</v>
      </c>
      <c r="AE24" s="40">
        <f t="shared" si="16"/>
        <v>31</v>
      </c>
      <c r="AF24" s="40">
        <f t="shared" si="16"/>
        <v>68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7</v>
      </c>
      <c r="P25" s="15">
        <f t="shared" si="1"/>
        <v>15</v>
      </c>
      <c r="R25" s="37" t="s">
        <v>85</v>
      </c>
      <c r="S25" s="35">
        <f t="shared" ref="S25:AF25" si="17">SUM(S10:S12)</f>
        <v>49</v>
      </c>
      <c r="T25" s="16">
        <f t="shared" si="17"/>
        <v>6</v>
      </c>
      <c r="U25" s="16">
        <f t="shared" si="17"/>
        <v>3</v>
      </c>
      <c r="V25" s="16">
        <f t="shared" si="17"/>
        <v>12</v>
      </c>
      <c r="W25" s="16">
        <f t="shared" si="17"/>
        <v>1</v>
      </c>
      <c r="X25" s="16">
        <f t="shared" si="17"/>
        <v>0</v>
      </c>
      <c r="Y25" s="16">
        <f t="shared" si="17"/>
        <v>4</v>
      </c>
      <c r="Z25" s="16">
        <f t="shared" si="17"/>
        <v>9</v>
      </c>
      <c r="AA25" s="16">
        <f t="shared" si="17"/>
        <v>1</v>
      </c>
      <c r="AB25" s="16">
        <f t="shared" si="17"/>
        <v>3</v>
      </c>
      <c r="AC25" s="16">
        <f t="shared" si="17"/>
        <v>82</v>
      </c>
      <c r="AD25" s="16">
        <f t="shared" si="17"/>
        <v>0</v>
      </c>
      <c r="AE25" s="32">
        <f t="shared" si="17"/>
        <v>88</v>
      </c>
      <c r="AF25" s="32">
        <f t="shared" si="17"/>
        <v>170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7</v>
      </c>
      <c r="P26" s="15">
        <f t="shared" si="1"/>
        <v>9</v>
      </c>
      <c r="R26" s="28" t="s">
        <v>86</v>
      </c>
      <c r="S26" s="16">
        <f t="shared" ref="S26:AF26" si="18">SUM(S13:S18)</f>
        <v>133</v>
      </c>
      <c r="T26" s="16">
        <f t="shared" si="18"/>
        <v>13</v>
      </c>
      <c r="U26" s="16">
        <f t="shared" si="18"/>
        <v>18</v>
      </c>
      <c r="V26" s="16">
        <f t="shared" si="18"/>
        <v>39</v>
      </c>
      <c r="W26" s="16">
        <f t="shared" si="18"/>
        <v>0</v>
      </c>
      <c r="X26" s="16">
        <f t="shared" si="18"/>
        <v>1</v>
      </c>
      <c r="Y26" s="16">
        <f t="shared" si="18"/>
        <v>24</v>
      </c>
      <c r="Z26" s="16">
        <f t="shared" si="18"/>
        <v>14</v>
      </c>
      <c r="AA26" s="16">
        <f t="shared" si="18"/>
        <v>8</v>
      </c>
      <c r="AB26" s="16">
        <f t="shared" si="18"/>
        <v>1</v>
      </c>
      <c r="AC26" s="16">
        <f t="shared" si="18"/>
        <v>157</v>
      </c>
      <c r="AD26" s="16">
        <f t="shared" si="18"/>
        <v>0</v>
      </c>
      <c r="AE26" s="32">
        <f t="shared" si="18"/>
        <v>251</v>
      </c>
      <c r="AF26" s="32">
        <f t="shared" si="18"/>
        <v>408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11</v>
      </c>
      <c r="P27" s="15">
        <f t="shared" si="1"/>
        <v>19</v>
      </c>
      <c r="R27" s="29" t="s">
        <v>87</v>
      </c>
      <c r="S27" s="16">
        <f t="shared" ref="S27:AF27" si="19">SUM(S19:S21)</f>
        <v>55</v>
      </c>
      <c r="T27" s="16">
        <f t="shared" si="19"/>
        <v>6</v>
      </c>
      <c r="U27" s="16">
        <f t="shared" si="19"/>
        <v>2</v>
      </c>
      <c r="V27" s="16">
        <f t="shared" si="19"/>
        <v>14</v>
      </c>
      <c r="W27" s="16">
        <f t="shared" si="19"/>
        <v>0</v>
      </c>
      <c r="X27" s="16">
        <f t="shared" si="19"/>
        <v>1</v>
      </c>
      <c r="Y27" s="16">
        <f t="shared" si="19"/>
        <v>4</v>
      </c>
      <c r="Z27" s="16">
        <f t="shared" si="19"/>
        <v>4</v>
      </c>
      <c r="AA27" s="16">
        <f t="shared" si="19"/>
        <v>3</v>
      </c>
      <c r="AB27" s="16">
        <f t="shared" si="19"/>
        <v>0</v>
      </c>
      <c r="AC27" s="16">
        <f t="shared" si="19"/>
        <v>109</v>
      </c>
      <c r="AD27" s="16">
        <f t="shared" si="19"/>
        <v>0</v>
      </c>
      <c r="AE27" s="32">
        <f t="shared" si="19"/>
        <v>89</v>
      </c>
      <c r="AF27" s="32">
        <f t="shared" si="19"/>
        <v>198</v>
      </c>
    </row>
    <row r="28" spans="2:32" ht="23.1" customHeight="1" x14ac:dyDescent="0.25">
      <c r="B28" s="23" t="s">
        <v>55</v>
      </c>
      <c r="C28" s="50">
        <v>6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9</v>
      </c>
      <c r="P28" s="15">
        <f t="shared" si="1"/>
        <v>18</v>
      </c>
      <c r="R28" s="5" t="s">
        <v>17</v>
      </c>
      <c r="S28" s="16">
        <f t="shared" ref="S28:AF28" si="20">SUM(S10:S21)</f>
        <v>237</v>
      </c>
      <c r="T28" s="16">
        <f t="shared" si="20"/>
        <v>25</v>
      </c>
      <c r="U28" s="16">
        <f t="shared" si="20"/>
        <v>23</v>
      </c>
      <c r="V28" s="16">
        <f t="shared" si="20"/>
        <v>65</v>
      </c>
      <c r="W28" s="16">
        <f t="shared" si="20"/>
        <v>1</v>
      </c>
      <c r="X28" s="16">
        <f t="shared" si="20"/>
        <v>2</v>
      </c>
      <c r="Y28" s="16">
        <f t="shared" si="20"/>
        <v>32</v>
      </c>
      <c r="Z28" s="16">
        <f t="shared" si="20"/>
        <v>27</v>
      </c>
      <c r="AA28" s="16">
        <f t="shared" si="20"/>
        <v>12</v>
      </c>
      <c r="AB28" s="16">
        <f t="shared" si="20"/>
        <v>4</v>
      </c>
      <c r="AC28" s="16">
        <f t="shared" si="20"/>
        <v>348</v>
      </c>
      <c r="AD28" s="16">
        <f t="shared" si="20"/>
        <v>0</v>
      </c>
      <c r="AE28" s="32">
        <f t="shared" si="20"/>
        <v>428</v>
      </c>
      <c r="AF28" s="32">
        <f t="shared" si="20"/>
        <v>776</v>
      </c>
    </row>
    <row r="29" spans="2:32" ht="23.1" customHeight="1" x14ac:dyDescent="0.25">
      <c r="B29" s="23" t="s">
        <v>56</v>
      </c>
      <c r="C29" s="50">
        <v>5</v>
      </c>
      <c r="D29" s="50">
        <v>1</v>
      </c>
      <c r="E29" s="50">
        <v>1</v>
      </c>
      <c r="F29" s="50">
        <v>3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6</v>
      </c>
      <c r="N29" s="50">
        <v>0</v>
      </c>
      <c r="O29" s="15">
        <f t="shared" si="0"/>
        <v>12</v>
      </c>
      <c r="P29" s="15">
        <f t="shared" si="1"/>
        <v>18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2</v>
      </c>
      <c r="F30" s="50">
        <v>3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13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7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2</v>
      </c>
      <c r="L31" s="50">
        <v>0</v>
      </c>
      <c r="M31" s="50">
        <v>5</v>
      </c>
      <c r="N31" s="50">
        <v>0</v>
      </c>
      <c r="O31" s="15">
        <f t="shared" si="0"/>
        <v>11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3</v>
      </c>
      <c r="K32" s="50">
        <v>1</v>
      </c>
      <c r="L32" s="50">
        <v>1</v>
      </c>
      <c r="M32" s="50">
        <v>8</v>
      </c>
      <c r="N32" s="50">
        <v>0</v>
      </c>
      <c r="O32" s="15">
        <f t="shared" si="0"/>
        <v>10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0</v>
      </c>
      <c r="F33" s="50">
        <v>3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8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8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1</v>
      </c>
      <c r="L35" s="50">
        <v>0</v>
      </c>
      <c r="M35" s="50">
        <v>3</v>
      </c>
      <c r="N35" s="50">
        <v>0</v>
      </c>
      <c r="O35" s="15">
        <f t="shared" si="0"/>
        <v>4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4</v>
      </c>
      <c r="D36" s="50">
        <v>1</v>
      </c>
      <c r="E36" s="50">
        <v>0</v>
      </c>
      <c r="F36" s="50">
        <v>0</v>
      </c>
      <c r="G36" s="50">
        <v>0</v>
      </c>
      <c r="H36" s="50">
        <v>1</v>
      </c>
      <c r="I36" s="50">
        <v>5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11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8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9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8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7</v>
      </c>
      <c r="D40" s="50">
        <v>3</v>
      </c>
      <c r="E40" s="50">
        <v>2</v>
      </c>
      <c r="F40" s="50">
        <v>5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9</v>
      </c>
      <c r="N40" s="50">
        <v>0</v>
      </c>
      <c r="O40" s="15">
        <f t="shared" si="0"/>
        <v>18</v>
      </c>
      <c r="P40" s="15">
        <f t="shared" si="1"/>
        <v>27</v>
      </c>
    </row>
    <row r="41" spans="2:20" ht="23.1" customHeight="1" x14ac:dyDescent="0.25">
      <c r="B41" s="23" t="s">
        <v>68</v>
      </c>
      <c r="C41" s="50">
        <v>9</v>
      </c>
      <c r="D41" s="50">
        <v>0</v>
      </c>
      <c r="E41" s="50">
        <v>0</v>
      </c>
      <c r="F41" s="50">
        <v>6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17</v>
      </c>
      <c r="P41" s="15">
        <f t="shared" si="1"/>
        <v>27</v>
      </c>
    </row>
    <row r="42" spans="2:20" ht="23.1" customHeight="1" x14ac:dyDescent="0.25">
      <c r="B42" s="24" t="s">
        <v>69</v>
      </c>
      <c r="C42" s="50">
        <v>9</v>
      </c>
      <c r="D42" s="50">
        <v>1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13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6</v>
      </c>
      <c r="D43" s="50">
        <v>2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1</v>
      </c>
      <c r="K43" s="50">
        <v>2</v>
      </c>
      <c r="L43" s="50">
        <v>0</v>
      </c>
      <c r="M43" s="50">
        <v>10</v>
      </c>
      <c r="N43" s="50">
        <v>0</v>
      </c>
      <c r="O43" s="15">
        <f t="shared" si="0"/>
        <v>13</v>
      </c>
      <c r="P43" s="15">
        <f t="shared" si="1"/>
        <v>23</v>
      </c>
    </row>
    <row r="44" spans="2:20" ht="23.1" customHeight="1" x14ac:dyDescent="0.25">
      <c r="B44" s="25" t="s">
        <v>71</v>
      </c>
      <c r="C44" s="50">
        <v>7</v>
      </c>
      <c r="D44" s="50">
        <v>1</v>
      </c>
      <c r="E44" s="50">
        <v>1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7</v>
      </c>
      <c r="N44" s="50">
        <v>0</v>
      </c>
      <c r="O44" s="15">
        <f t="shared" si="0"/>
        <v>15</v>
      </c>
      <c r="P44" s="15">
        <f t="shared" si="1"/>
        <v>22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6</v>
      </c>
      <c r="P45" s="15">
        <f t="shared" si="1"/>
        <v>11</v>
      </c>
    </row>
    <row r="46" spans="2:20" ht="23.1" customHeight="1" x14ac:dyDescent="0.25">
      <c r="B46" s="24" t="s">
        <v>73</v>
      </c>
      <c r="C46" s="50">
        <v>6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2</v>
      </c>
      <c r="L46" s="50">
        <v>0</v>
      </c>
      <c r="M46" s="50">
        <v>9</v>
      </c>
      <c r="N46" s="50">
        <v>0</v>
      </c>
      <c r="O46" s="15">
        <f t="shared" si="0"/>
        <v>10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3</v>
      </c>
      <c r="E47" s="50">
        <v>0</v>
      </c>
      <c r="F47" s="50">
        <v>2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7</v>
      </c>
      <c r="P47" s="15">
        <f t="shared" si="1"/>
        <v>20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2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5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8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3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6</v>
      </c>
      <c r="N51" s="50">
        <v>0</v>
      </c>
      <c r="O51" s="15">
        <f t="shared" si="0"/>
        <v>8</v>
      </c>
      <c r="P51" s="15">
        <f t="shared" si="1"/>
        <v>14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1</v>
      </c>
      <c r="E52" s="50">
        <v>1</v>
      </c>
      <c r="F52" s="50">
        <v>2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11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6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1</v>
      </c>
      <c r="E54" s="50">
        <v>0</v>
      </c>
      <c r="F54" s="50">
        <v>1</v>
      </c>
      <c r="G54" s="50">
        <v>0</v>
      </c>
      <c r="H54" s="50">
        <v>0</v>
      </c>
      <c r="I54" s="50">
        <v>1</v>
      </c>
      <c r="J54" s="50">
        <v>2</v>
      </c>
      <c r="K54" s="50">
        <v>1</v>
      </c>
      <c r="L54" s="50">
        <v>0</v>
      </c>
      <c r="M54" s="50">
        <v>10</v>
      </c>
      <c r="N54" s="50">
        <v>0</v>
      </c>
      <c r="O54" s="15">
        <f t="shared" si="0"/>
        <v>13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8</v>
      </c>
      <c r="N55" s="50">
        <v>0</v>
      </c>
      <c r="O55" s="15">
        <f t="shared" si="0"/>
        <v>8</v>
      </c>
      <c r="P55" s="15">
        <f t="shared" si="1"/>
        <v>16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4</v>
      </c>
      <c r="P56" s="15">
        <f t="shared" si="1"/>
        <v>15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6</v>
      </c>
      <c r="P57" s="15">
        <f t="shared" si="1"/>
        <v>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237</v>
      </c>
      <c r="D58" s="16">
        <f t="shared" si="21"/>
        <v>25</v>
      </c>
      <c r="E58" s="16">
        <f t="shared" si="21"/>
        <v>23</v>
      </c>
      <c r="F58" s="16">
        <f t="shared" si="21"/>
        <v>65</v>
      </c>
      <c r="G58" s="16">
        <f t="shared" si="21"/>
        <v>1</v>
      </c>
      <c r="H58" s="16">
        <f t="shared" si="21"/>
        <v>2</v>
      </c>
      <c r="I58" s="16">
        <f t="shared" si="21"/>
        <v>32</v>
      </c>
      <c r="J58" s="16">
        <f t="shared" si="21"/>
        <v>27</v>
      </c>
      <c r="K58" s="16">
        <f t="shared" si="21"/>
        <v>12</v>
      </c>
      <c r="L58" s="16">
        <f t="shared" si="21"/>
        <v>4</v>
      </c>
      <c r="M58" s="16">
        <f t="shared" si="21"/>
        <v>348</v>
      </c>
      <c r="N58" s="16">
        <f t="shared" si="21"/>
        <v>0</v>
      </c>
      <c r="O58" s="16">
        <f t="shared" si="21"/>
        <v>428</v>
      </c>
      <c r="P58" s="16">
        <f t="shared" si="21"/>
        <v>776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0.30541237113402064</v>
      </c>
      <c r="D59" s="43">
        <f t="shared" si="22"/>
        <v>3.2216494845360821E-2</v>
      </c>
      <c r="E59" s="43">
        <f t="shared" si="22"/>
        <v>2.9639175257731958E-2</v>
      </c>
      <c r="F59" s="43">
        <f t="shared" si="22"/>
        <v>8.3762886597938138E-2</v>
      </c>
      <c r="G59" s="43">
        <f t="shared" si="22"/>
        <v>1.288659793814433E-3</v>
      </c>
      <c r="H59" s="43">
        <f t="shared" si="22"/>
        <v>2.5773195876288659E-3</v>
      </c>
      <c r="I59" s="43">
        <f t="shared" si="22"/>
        <v>4.1237113402061855E-2</v>
      </c>
      <c r="J59" s="43">
        <f t="shared" si="22"/>
        <v>3.4793814432989692E-2</v>
      </c>
      <c r="K59" s="43">
        <f t="shared" si="22"/>
        <v>1.5463917525773196E-2</v>
      </c>
      <c r="L59" s="43">
        <f t="shared" si="22"/>
        <v>5.1546391752577319E-3</v>
      </c>
      <c r="M59" s="43">
        <f t="shared" si="22"/>
        <v>0.4484536082474227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0.55373831775700932</v>
      </c>
      <c r="D60" s="44">
        <f t="shared" ref="D60:N60" si="23">D58/$O$58</f>
        <v>5.8411214953271028E-2</v>
      </c>
      <c r="E60" s="44">
        <f t="shared" si="23"/>
        <v>5.3738317757009345E-2</v>
      </c>
      <c r="F60" s="44">
        <f t="shared" si="23"/>
        <v>0.15186915887850466</v>
      </c>
      <c r="G60" s="44">
        <f t="shared" si="23"/>
        <v>2.3364485981308409E-3</v>
      </c>
      <c r="H60" s="44">
        <f t="shared" si="23"/>
        <v>4.6728971962616819E-3</v>
      </c>
      <c r="I60" s="44">
        <f t="shared" si="23"/>
        <v>7.476635514018691E-2</v>
      </c>
      <c r="J60" s="44">
        <f t="shared" si="23"/>
        <v>6.3084112149532703E-2</v>
      </c>
      <c r="K60" s="44">
        <f t="shared" si="23"/>
        <v>2.8037383177570093E-2</v>
      </c>
      <c r="L60" s="44">
        <f t="shared" si="23"/>
        <v>9.3457943925233638E-3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4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Ibanada-Mbarara'!C3:G3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5.5" customHeight="1" x14ac:dyDescent="0.25">
      <c r="C5" s="4" t="s">
        <v>3</v>
      </c>
      <c r="D5" s="36" t="s">
        <v>176</v>
      </c>
      <c r="E5" s="3"/>
      <c r="F5" s="41" t="s">
        <v>1</v>
      </c>
      <c r="G5" s="54" t="str">
        <f>'28.10 Mbarara-Ibanda-24hr'!G5:H5</f>
        <v>RUHUMBA</v>
      </c>
      <c r="H5" s="55"/>
      <c r="I5" s="14"/>
      <c r="J5" s="2" t="s">
        <v>5</v>
      </c>
      <c r="K5" s="54" t="s">
        <v>166</v>
      </c>
      <c r="L5" s="55"/>
      <c r="M5" s="10"/>
      <c r="N5" s="10"/>
      <c r="O5" s="3"/>
      <c r="P5" s="3"/>
    </row>
    <row r="6" spans="2:32" ht="36" customHeight="1" x14ac:dyDescent="0.25">
      <c r="C6" s="2" t="s">
        <v>4</v>
      </c>
      <c r="D6" s="54" t="str">
        <f>'25.10 Ibanada-Mbarara'!D6:E6</f>
        <v>IBANDA</v>
      </c>
      <c r="E6" s="55"/>
      <c r="F6" s="2" t="s">
        <v>2</v>
      </c>
      <c r="G6" s="54" t="str">
        <f>'25.10 Ibanada-Mbarara'!G6:H6</f>
        <v>MBARARA</v>
      </c>
      <c r="H6" s="55"/>
      <c r="J6" s="2" t="s">
        <v>21</v>
      </c>
      <c r="K6" s="54" t="str">
        <f>'28.10 Mbarara-Ibanda-24hr'!K6:L6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2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14</v>
      </c>
      <c r="T10" s="17">
        <f t="shared" si="2"/>
        <v>2</v>
      </c>
      <c r="U10" s="17">
        <f t="shared" si="2"/>
        <v>2</v>
      </c>
      <c r="V10" s="17">
        <f t="shared" si="2"/>
        <v>13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1</v>
      </c>
      <c r="AB10" s="17">
        <f t="shared" si="2"/>
        <v>1</v>
      </c>
      <c r="AC10" s="17">
        <f t="shared" si="2"/>
        <v>34</v>
      </c>
      <c r="AD10" s="17">
        <f t="shared" si="2"/>
        <v>0</v>
      </c>
      <c r="AE10" s="31">
        <f t="shared" si="2"/>
        <v>34</v>
      </c>
      <c r="AF10" s="31">
        <f t="shared" si="2"/>
        <v>68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8</v>
      </c>
      <c r="P11" s="15">
        <f t="shared" si="1"/>
        <v>14</v>
      </c>
      <c r="R11" s="1" t="s">
        <v>7</v>
      </c>
      <c r="S11" s="17">
        <f t="shared" ref="S11:AF11" si="3">SUM(C14:C17)</f>
        <v>22</v>
      </c>
      <c r="T11" s="17">
        <f t="shared" si="3"/>
        <v>1</v>
      </c>
      <c r="U11" s="17">
        <f t="shared" si="3"/>
        <v>1</v>
      </c>
      <c r="V11" s="17">
        <f t="shared" si="3"/>
        <v>11</v>
      </c>
      <c r="W11" s="17">
        <f t="shared" si="3"/>
        <v>0</v>
      </c>
      <c r="X11" s="17">
        <f t="shared" si="3"/>
        <v>2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53</v>
      </c>
      <c r="AD11" s="17">
        <f t="shared" si="3"/>
        <v>0</v>
      </c>
      <c r="AE11" s="31">
        <f t="shared" si="3"/>
        <v>38</v>
      </c>
      <c r="AF11" s="31">
        <f t="shared" si="3"/>
        <v>91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4</v>
      </c>
      <c r="P12" s="15">
        <f t="shared" si="1"/>
        <v>12</v>
      </c>
      <c r="R12" s="1" t="s">
        <v>8</v>
      </c>
      <c r="S12" s="17">
        <f t="shared" ref="S12:AF12" si="4">SUM(C18:C21)</f>
        <v>20</v>
      </c>
      <c r="T12" s="17">
        <f t="shared" si="4"/>
        <v>4</v>
      </c>
      <c r="U12" s="17">
        <f t="shared" si="4"/>
        <v>4</v>
      </c>
      <c r="V12" s="17">
        <f t="shared" si="4"/>
        <v>11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40</v>
      </c>
      <c r="AD12" s="17">
        <f t="shared" si="4"/>
        <v>0</v>
      </c>
      <c r="AE12" s="31">
        <f t="shared" si="4"/>
        <v>46</v>
      </c>
      <c r="AF12" s="31">
        <f t="shared" si="4"/>
        <v>86</v>
      </c>
    </row>
    <row r="13" spans="2:32" ht="23.1" customHeight="1" x14ac:dyDescent="0.25">
      <c r="B13" s="23" t="s">
        <v>40</v>
      </c>
      <c r="C13" s="50">
        <v>7</v>
      </c>
      <c r="D13" s="50">
        <v>0</v>
      </c>
      <c r="E13" s="50">
        <v>2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1</v>
      </c>
      <c r="M13" s="50">
        <v>14</v>
      </c>
      <c r="N13" s="50">
        <v>0</v>
      </c>
      <c r="O13" s="15">
        <f t="shared" si="0"/>
        <v>15</v>
      </c>
      <c r="P13" s="15">
        <f t="shared" si="1"/>
        <v>29</v>
      </c>
      <c r="R13" s="1" t="s">
        <v>9</v>
      </c>
      <c r="S13" s="17">
        <f t="shared" ref="S13:AF13" si="5">SUM(C22:C25)</f>
        <v>19</v>
      </c>
      <c r="T13" s="17">
        <f t="shared" si="5"/>
        <v>2</v>
      </c>
      <c r="U13" s="17">
        <f t="shared" si="5"/>
        <v>4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36</v>
      </c>
      <c r="AD13" s="17">
        <f t="shared" si="5"/>
        <v>0</v>
      </c>
      <c r="AE13" s="31">
        <f t="shared" si="5"/>
        <v>37</v>
      </c>
      <c r="AF13" s="31">
        <f t="shared" si="5"/>
        <v>73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6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9</v>
      </c>
      <c r="P14" s="15">
        <f t="shared" si="1"/>
        <v>22</v>
      </c>
      <c r="R14" s="1" t="s">
        <v>10</v>
      </c>
      <c r="S14" s="17">
        <f t="shared" ref="S14:AF14" si="6">SUM(C26:C29)</f>
        <v>21</v>
      </c>
      <c r="T14" s="17">
        <f t="shared" si="6"/>
        <v>0</v>
      </c>
      <c r="U14" s="17">
        <f t="shared" si="6"/>
        <v>6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4</v>
      </c>
      <c r="AA14" s="17">
        <f t="shared" si="6"/>
        <v>0</v>
      </c>
      <c r="AB14" s="17">
        <f t="shared" si="6"/>
        <v>1</v>
      </c>
      <c r="AC14" s="17">
        <f t="shared" si="6"/>
        <v>33</v>
      </c>
      <c r="AD14" s="17">
        <f t="shared" si="6"/>
        <v>0</v>
      </c>
      <c r="AE14" s="31">
        <f t="shared" si="6"/>
        <v>50</v>
      </c>
      <c r="AF14" s="31">
        <f t="shared" si="6"/>
        <v>83</v>
      </c>
    </row>
    <row r="15" spans="2:32" ht="23.1" customHeight="1" x14ac:dyDescent="0.25">
      <c r="B15" s="23" t="s">
        <v>42</v>
      </c>
      <c r="C15" s="50">
        <v>4</v>
      </c>
      <c r="D15" s="50">
        <v>1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6</v>
      </c>
      <c r="P15" s="15">
        <f t="shared" si="1"/>
        <v>15</v>
      </c>
      <c r="R15" s="1" t="s">
        <v>11</v>
      </c>
      <c r="S15" s="17">
        <f t="shared" ref="S15:AF15" si="7">SUM(C30:C33)</f>
        <v>30</v>
      </c>
      <c r="T15" s="17">
        <f t="shared" si="7"/>
        <v>1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3</v>
      </c>
      <c r="AA15" s="17">
        <f t="shared" si="7"/>
        <v>0</v>
      </c>
      <c r="AB15" s="17">
        <f t="shared" si="7"/>
        <v>1</v>
      </c>
      <c r="AC15" s="17">
        <f t="shared" si="7"/>
        <v>26</v>
      </c>
      <c r="AD15" s="17">
        <f t="shared" si="7"/>
        <v>0</v>
      </c>
      <c r="AE15" s="31">
        <f t="shared" si="7"/>
        <v>47</v>
      </c>
      <c r="AF15" s="31">
        <f t="shared" si="7"/>
        <v>73</v>
      </c>
    </row>
    <row r="16" spans="2:32" ht="23.1" customHeight="1" x14ac:dyDescent="0.25">
      <c r="B16" s="23" t="s">
        <v>43</v>
      </c>
      <c r="C16" s="50">
        <v>10</v>
      </c>
      <c r="D16" s="50">
        <v>0</v>
      </c>
      <c r="E16" s="50">
        <v>1</v>
      </c>
      <c r="F16" s="50">
        <v>1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21</v>
      </c>
      <c r="N16" s="50">
        <v>0</v>
      </c>
      <c r="O16" s="15">
        <f t="shared" si="0"/>
        <v>13</v>
      </c>
      <c r="P16" s="15">
        <f t="shared" si="1"/>
        <v>34</v>
      </c>
      <c r="R16" s="1" t="s">
        <v>12</v>
      </c>
      <c r="S16" s="17">
        <f t="shared" ref="S16:AF16" si="8">SUM(C34:C37)</f>
        <v>33</v>
      </c>
      <c r="T16" s="17">
        <f t="shared" si="8"/>
        <v>3</v>
      </c>
      <c r="U16" s="17">
        <f t="shared" si="8"/>
        <v>4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3</v>
      </c>
      <c r="AA16" s="17">
        <f t="shared" si="8"/>
        <v>0</v>
      </c>
      <c r="AB16" s="17">
        <f t="shared" si="8"/>
        <v>1</v>
      </c>
      <c r="AC16" s="17">
        <f t="shared" si="8"/>
        <v>36</v>
      </c>
      <c r="AD16" s="17">
        <f t="shared" si="8"/>
        <v>0</v>
      </c>
      <c r="AE16" s="31">
        <f t="shared" si="8"/>
        <v>54</v>
      </c>
      <c r="AF16" s="31">
        <f t="shared" si="8"/>
        <v>90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0</v>
      </c>
      <c r="F17" s="50">
        <v>3</v>
      </c>
      <c r="G17" s="50">
        <v>0</v>
      </c>
      <c r="H17" s="50">
        <v>1</v>
      </c>
      <c r="I17" s="50">
        <v>0</v>
      </c>
      <c r="J17" s="50">
        <v>1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10</v>
      </c>
      <c r="P17" s="15">
        <f t="shared" si="1"/>
        <v>20</v>
      </c>
      <c r="R17" s="1" t="s">
        <v>13</v>
      </c>
      <c r="S17" s="17">
        <f t="shared" ref="S17:AF17" si="9">SUM(C38:C41)</f>
        <v>17</v>
      </c>
      <c r="T17" s="17">
        <f t="shared" si="9"/>
        <v>7</v>
      </c>
      <c r="U17" s="17">
        <f t="shared" si="9"/>
        <v>3</v>
      </c>
      <c r="V17" s="17">
        <f t="shared" si="9"/>
        <v>6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29</v>
      </c>
      <c r="AD17" s="17">
        <f t="shared" si="9"/>
        <v>0</v>
      </c>
      <c r="AE17" s="31">
        <f t="shared" si="9"/>
        <v>40</v>
      </c>
      <c r="AF17" s="31">
        <f t="shared" si="9"/>
        <v>69</v>
      </c>
    </row>
    <row r="18" spans="2:32" ht="23.1" customHeight="1" x14ac:dyDescent="0.25">
      <c r="B18" s="23" t="s">
        <v>45</v>
      </c>
      <c r="C18" s="50">
        <v>6</v>
      </c>
      <c r="D18" s="50">
        <v>1</v>
      </c>
      <c r="E18" s="50">
        <v>1</v>
      </c>
      <c r="F18" s="50">
        <v>1</v>
      </c>
      <c r="G18" s="50">
        <v>1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10</v>
      </c>
      <c r="P18" s="15">
        <f t="shared" si="1"/>
        <v>21</v>
      </c>
      <c r="R18" s="1" t="s">
        <v>14</v>
      </c>
      <c r="S18" s="17">
        <f t="shared" ref="S18:AF18" si="10">SUM(C42:C45)</f>
        <v>28</v>
      </c>
      <c r="T18" s="17">
        <f t="shared" si="10"/>
        <v>4</v>
      </c>
      <c r="U18" s="17">
        <f t="shared" si="10"/>
        <v>6</v>
      </c>
      <c r="V18" s="17">
        <f t="shared" si="10"/>
        <v>5</v>
      </c>
      <c r="W18" s="17">
        <f t="shared" si="10"/>
        <v>1</v>
      </c>
      <c r="X18" s="17">
        <f t="shared" si="10"/>
        <v>0</v>
      </c>
      <c r="Y18" s="17">
        <f t="shared" si="10"/>
        <v>1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45</v>
      </c>
      <c r="AD18" s="17">
        <f t="shared" si="10"/>
        <v>0</v>
      </c>
      <c r="AE18" s="31">
        <f t="shared" si="10"/>
        <v>48</v>
      </c>
      <c r="AF18" s="31">
        <f t="shared" si="10"/>
        <v>93</v>
      </c>
    </row>
    <row r="19" spans="2:32" ht="23.1" customHeight="1" x14ac:dyDescent="0.25">
      <c r="B19" s="23" t="s">
        <v>46</v>
      </c>
      <c r="C19" s="50">
        <v>3</v>
      </c>
      <c r="D19" s="50">
        <v>3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9</v>
      </c>
      <c r="P19" s="15">
        <f t="shared" si="1"/>
        <v>17</v>
      </c>
      <c r="R19" s="1" t="s">
        <v>15</v>
      </c>
      <c r="S19" s="17">
        <f t="shared" ref="S19:AF19" si="11">SUM(C46:C49)</f>
        <v>29</v>
      </c>
      <c r="T19" s="17">
        <f t="shared" si="11"/>
        <v>2</v>
      </c>
      <c r="U19" s="17">
        <f t="shared" si="11"/>
        <v>1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6</v>
      </c>
      <c r="AA19" s="17">
        <f t="shared" si="11"/>
        <v>0</v>
      </c>
      <c r="AB19" s="17">
        <f t="shared" si="11"/>
        <v>1</v>
      </c>
      <c r="AC19" s="17">
        <f t="shared" si="11"/>
        <v>49</v>
      </c>
      <c r="AD19" s="17">
        <f t="shared" si="11"/>
        <v>0</v>
      </c>
      <c r="AE19" s="31">
        <f t="shared" si="11"/>
        <v>47</v>
      </c>
      <c r="AF19" s="31">
        <f t="shared" si="11"/>
        <v>96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1</v>
      </c>
      <c r="F20" s="50">
        <v>5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12</v>
      </c>
      <c r="P20" s="15">
        <f t="shared" si="1"/>
        <v>22</v>
      </c>
      <c r="R20" s="1" t="s">
        <v>16</v>
      </c>
      <c r="S20" s="17">
        <f t="shared" ref="S20:AF20" si="12">SUM(C50:C53)</f>
        <v>36</v>
      </c>
      <c r="T20" s="17">
        <f t="shared" si="12"/>
        <v>3</v>
      </c>
      <c r="U20" s="17">
        <f t="shared" si="12"/>
        <v>2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9</v>
      </c>
      <c r="AA20" s="17">
        <f t="shared" si="12"/>
        <v>0</v>
      </c>
      <c r="AB20" s="17">
        <f t="shared" si="12"/>
        <v>1</v>
      </c>
      <c r="AC20" s="17">
        <f t="shared" si="12"/>
        <v>60</v>
      </c>
      <c r="AD20" s="17">
        <f t="shared" si="12"/>
        <v>0</v>
      </c>
      <c r="AE20" s="31">
        <f t="shared" si="12"/>
        <v>57</v>
      </c>
      <c r="AF20" s="31">
        <f t="shared" si="12"/>
        <v>117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1</v>
      </c>
      <c r="F21" s="50">
        <v>4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1</v>
      </c>
      <c r="M21" s="50">
        <v>11</v>
      </c>
      <c r="N21" s="50">
        <v>0</v>
      </c>
      <c r="O21" s="15">
        <f t="shared" si="0"/>
        <v>15</v>
      </c>
      <c r="P21" s="15">
        <f t="shared" si="1"/>
        <v>26</v>
      </c>
      <c r="R21" s="36" t="s">
        <v>20</v>
      </c>
      <c r="S21" s="34">
        <f t="shared" ref="S21:AF21" si="13">SUM(C54:C57)</f>
        <v>29</v>
      </c>
      <c r="T21" s="17">
        <f t="shared" si="13"/>
        <v>2</v>
      </c>
      <c r="U21" s="17">
        <f t="shared" si="13"/>
        <v>6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3</v>
      </c>
      <c r="AA21" s="17">
        <f t="shared" si="13"/>
        <v>1</v>
      </c>
      <c r="AB21" s="17">
        <f t="shared" si="13"/>
        <v>3</v>
      </c>
      <c r="AC21" s="17">
        <f t="shared" si="13"/>
        <v>32</v>
      </c>
      <c r="AD21" s="17">
        <f t="shared" si="13"/>
        <v>0</v>
      </c>
      <c r="AE21" s="31">
        <f t="shared" si="13"/>
        <v>52</v>
      </c>
      <c r="AF21" s="31">
        <f t="shared" si="13"/>
        <v>84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3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9</v>
      </c>
      <c r="P22" s="15">
        <f t="shared" si="1"/>
        <v>14</v>
      </c>
      <c r="R22" s="38" t="s">
        <v>90</v>
      </c>
      <c r="S22" s="39">
        <f>MAX(S10:S12)</f>
        <v>22</v>
      </c>
      <c r="T22" s="39">
        <f t="shared" ref="T22:AF22" si="14">MAX(T10:T12)</f>
        <v>4</v>
      </c>
      <c r="U22" s="39">
        <f t="shared" si="14"/>
        <v>4</v>
      </c>
      <c r="V22" s="39">
        <f t="shared" si="14"/>
        <v>13</v>
      </c>
      <c r="W22" s="39">
        <f t="shared" si="14"/>
        <v>1</v>
      </c>
      <c r="X22" s="39">
        <f t="shared" si="14"/>
        <v>2</v>
      </c>
      <c r="Y22" s="39">
        <f t="shared" si="14"/>
        <v>3</v>
      </c>
      <c r="Z22" s="39">
        <f t="shared" si="14"/>
        <v>2</v>
      </c>
      <c r="AA22" s="39">
        <f t="shared" si="14"/>
        <v>1</v>
      </c>
      <c r="AB22" s="39">
        <f t="shared" si="14"/>
        <v>1</v>
      </c>
      <c r="AC22" s="39">
        <f t="shared" si="14"/>
        <v>53</v>
      </c>
      <c r="AD22" s="39">
        <f t="shared" si="14"/>
        <v>0</v>
      </c>
      <c r="AE22" s="40">
        <f t="shared" si="14"/>
        <v>46</v>
      </c>
      <c r="AF22" s="40">
        <f t="shared" si="14"/>
        <v>91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1</v>
      </c>
      <c r="F23" s="50">
        <v>4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8</v>
      </c>
      <c r="N23" s="50">
        <v>0</v>
      </c>
      <c r="O23" s="15">
        <f t="shared" si="0"/>
        <v>11</v>
      </c>
      <c r="P23" s="15">
        <f t="shared" si="1"/>
        <v>19</v>
      </c>
      <c r="R23" s="38" t="s">
        <v>91</v>
      </c>
      <c r="S23" s="39">
        <f>MAX(S13:S18)</f>
        <v>33</v>
      </c>
      <c r="T23" s="39">
        <f t="shared" ref="T23:AF23" si="15">MAX(T13:T18)</f>
        <v>7</v>
      </c>
      <c r="U23" s="39">
        <f t="shared" si="15"/>
        <v>6</v>
      </c>
      <c r="V23" s="39">
        <f t="shared" si="15"/>
        <v>11</v>
      </c>
      <c r="W23" s="39">
        <f t="shared" si="15"/>
        <v>1</v>
      </c>
      <c r="X23" s="39">
        <f t="shared" si="15"/>
        <v>1</v>
      </c>
      <c r="Y23" s="39">
        <f t="shared" si="15"/>
        <v>7</v>
      </c>
      <c r="Z23" s="39">
        <f t="shared" si="15"/>
        <v>4</v>
      </c>
      <c r="AA23" s="39">
        <f t="shared" si="15"/>
        <v>1</v>
      </c>
      <c r="AB23" s="39">
        <f t="shared" si="15"/>
        <v>1</v>
      </c>
      <c r="AC23" s="39">
        <f t="shared" si="15"/>
        <v>45</v>
      </c>
      <c r="AD23" s="39">
        <f t="shared" si="15"/>
        <v>0</v>
      </c>
      <c r="AE23" s="40">
        <f t="shared" si="15"/>
        <v>54</v>
      </c>
      <c r="AF23" s="40">
        <f t="shared" si="15"/>
        <v>93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6</v>
      </c>
      <c r="P24" s="15">
        <f t="shared" si="1"/>
        <v>18</v>
      </c>
      <c r="R24" s="38" t="s">
        <v>92</v>
      </c>
      <c r="S24" s="39">
        <f>MAX(S19:S21)</f>
        <v>36</v>
      </c>
      <c r="T24" s="39">
        <f t="shared" ref="T24:AF24" si="16">MAX(T19:T21)</f>
        <v>3</v>
      </c>
      <c r="U24" s="39">
        <f t="shared" si="16"/>
        <v>6</v>
      </c>
      <c r="V24" s="39">
        <f t="shared" si="16"/>
        <v>6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9</v>
      </c>
      <c r="AA24" s="39">
        <f t="shared" si="16"/>
        <v>1</v>
      </c>
      <c r="AB24" s="39">
        <f t="shared" si="16"/>
        <v>3</v>
      </c>
      <c r="AC24" s="39">
        <f t="shared" si="16"/>
        <v>60</v>
      </c>
      <c r="AD24" s="39">
        <f t="shared" si="16"/>
        <v>0</v>
      </c>
      <c r="AE24" s="40">
        <f t="shared" si="16"/>
        <v>57</v>
      </c>
      <c r="AF24" s="40">
        <f t="shared" si="16"/>
        <v>117</v>
      </c>
    </row>
    <row r="25" spans="2:32" ht="23.1" customHeight="1" x14ac:dyDescent="0.25">
      <c r="B25" s="23" t="s">
        <v>52</v>
      </c>
      <c r="C25" s="50">
        <v>6</v>
      </c>
      <c r="D25" s="50">
        <v>1</v>
      </c>
      <c r="E25" s="50">
        <v>0</v>
      </c>
      <c r="F25" s="50">
        <v>4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11</v>
      </c>
      <c r="P25" s="15">
        <f t="shared" si="1"/>
        <v>22</v>
      </c>
      <c r="R25" s="37" t="s">
        <v>85</v>
      </c>
      <c r="S25" s="35">
        <f t="shared" ref="S25:AF25" si="17">SUM(S10:S12)</f>
        <v>56</v>
      </c>
      <c r="T25" s="16">
        <f t="shared" si="17"/>
        <v>7</v>
      </c>
      <c r="U25" s="16">
        <f t="shared" si="17"/>
        <v>7</v>
      </c>
      <c r="V25" s="16">
        <f t="shared" si="17"/>
        <v>35</v>
      </c>
      <c r="W25" s="16">
        <f t="shared" si="17"/>
        <v>1</v>
      </c>
      <c r="X25" s="16">
        <f t="shared" si="17"/>
        <v>2</v>
      </c>
      <c r="Y25" s="16">
        <f t="shared" si="17"/>
        <v>3</v>
      </c>
      <c r="Z25" s="16">
        <f t="shared" si="17"/>
        <v>4</v>
      </c>
      <c r="AA25" s="16">
        <f t="shared" si="17"/>
        <v>1</v>
      </c>
      <c r="AB25" s="16">
        <f t="shared" si="17"/>
        <v>2</v>
      </c>
      <c r="AC25" s="16">
        <f t="shared" si="17"/>
        <v>127</v>
      </c>
      <c r="AD25" s="16">
        <f t="shared" si="17"/>
        <v>0</v>
      </c>
      <c r="AE25" s="32">
        <f t="shared" si="17"/>
        <v>118</v>
      </c>
      <c r="AF25" s="32">
        <f t="shared" si="17"/>
        <v>245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5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12</v>
      </c>
      <c r="P26" s="15">
        <f t="shared" si="1"/>
        <v>19</v>
      </c>
      <c r="R26" s="28" t="s">
        <v>86</v>
      </c>
      <c r="S26" s="16">
        <f t="shared" ref="S26:AF26" si="18">SUM(S13:S18)</f>
        <v>148</v>
      </c>
      <c r="T26" s="16">
        <f t="shared" si="18"/>
        <v>17</v>
      </c>
      <c r="U26" s="16">
        <f t="shared" si="18"/>
        <v>29</v>
      </c>
      <c r="V26" s="16">
        <f t="shared" si="18"/>
        <v>39</v>
      </c>
      <c r="W26" s="16">
        <f t="shared" si="18"/>
        <v>1</v>
      </c>
      <c r="X26" s="16">
        <f t="shared" si="18"/>
        <v>1</v>
      </c>
      <c r="Y26" s="16">
        <f t="shared" si="18"/>
        <v>20</v>
      </c>
      <c r="Z26" s="16">
        <f t="shared" si="18"/>
        <v>16</v>
      </c>
      <c r="AA26" s="16">
        <f t="shared" si="18"/>
        <v>2</v>
      </c>
      <c r="AB26" s="16">
        <f t="shared" si="18"/>
        <v>3</v>
      </c>
      <c r="AC26" s="16">
        <f t="shared" si="18"/>
        <v>205</v>
      </c>
      <c r="AD26" s="16">
        <f t="shared" si="18"/>
        <v>0</v>
      </c>
      <c r="AE26" s="32">
        <f t="shared" si="18"/>
        <v>276</v>
      </c>
      <c r="AF26" s="32">
        <f t="shared" si="18"/>
        <v>481</v>
      </c>
    </row>
    <row r="27" spans="2:32" ht="23.1" customHeight="1" x14ac:dyDescent="0.25">
      <c r="B27" s="23" t="s">
        <v>54</v>
      </c>
      <c r="C27" s="50">
        <v>9</v>
      </c>
      <c r="D27" s="50">
        <v>0</v>
      </c>
      <c r="E27" s="50">
        <v>2</v>
      </c>
      <c r="F27" s="50">
        <v>3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8</v>
      </c>
      <c r="N27" s="50">
        <v>0</v>
      </c>
      <c r="O27" s="15">
        <f t="shared" si="0"/>
        <v>17</v>
      </c>
      <c r="P27" s="15">
        <f t="shared" si="1"/>
        <v>25</v>
      </c>
      <c r="R27" s="29" t="s">
        <v>87</v>
      </c>
      <c r="S27" s="16">
        <f t="shared" ref="S27:AF27" si="19">SUM(S19:S21)</f>
        <v>94</v>
      </c>
      <c r="T27" s="16">
        <f t="shared" si="19"/>
        <v>7</v>
      </c>
      <c r="U27" s="16">
        <f t="shared" si="19"/>
        <v>9</v>
      </c>
      <c r="V27" s="16">
        <f t="shared" si="19"/>
        <v>15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18</v>
      </c>
      <c r="AA27" s="16">
        <f t="shared" si="19"/>
        <v>1</v>
      </c>
      <c r="AB27" s="16">
        <f t="shared" si="19"/>
        <v>5</v>
      </c>
      <c r="AC27" s="16">
        <f t="shared" si="19"/>
        <v>141</v>
      </c>
      <c r="AD27" s="16">
        <f t="shared" si="19"/>
        <v>0</v>
      </c>
      <c r="AE27" s="32">
        <f t="shared" si="19"/>
        <v>156</v>
      </c>
      <c r="AF27" s="32">
        <f t="shared" si="19"/>
        <v>297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2</v>
      </c>
      <c r="F28" s="50">
        <v>1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11</v>
      </c>
      <c r="P28" s="15">
        <f t="shared" si="1"/>
        <v>20</v>
      </c>
      <c r="R28" s="5" t="s">
        <v>17</v>
      </c>
      <c r="S28" s="16">
        <f t="shared" ref="S28:AF28" si="20">SUM(S10:S21)</f>
        <v>298</v>
      </c>
      <c r="T28" s="16">
        <f t="shared" si="20"/>
        <v>31</v>
      </c>
      <c r="U28" s="16">
        <f t="shared" si="20"/>
        <v>45</v>
      </c>
      <c r="V28" s="16">
        <f t="shared" si="20"/>
        <v>89</v>
      </c>
      <c r="W28" s="16">
        <f t="shared" si="20"/>
        <v>2</v>
      </c>
      <c r="X28" s="16">
        <f t="shared" si="20"/>
        <v>3</v>
      </c>
      <c r="Y28" s="16">
        <f t="shared" si="20"/>
        <v>30</v>
      </c>
      <c r="Z28" s="16">
        <f t="shared" si="20"/>
        <v>38</v>
      </c>
      <c r="AA28" s="16">
        <f t="shared" si="20"/>
        <v>4</v>
      </c>
      <c r="AB28" s="16">
        <f t="shared" si="20"/>
        <v>10</v>
      </c>
      <c r="AC28" s="16">
        <f t="shared" si="20"/>
        <v>473</v>
      </c>
      <c r="AD28" s="16">
        <f t="shared" si="20"/>
        <v>0</v>
      </c>
      <c r="AE28" s="32">
        <f t="shared" si="20"/>
        <v>550</v>
      </c>
      <c r="AF28" s="32">
        <f t="shared" si="20"/>
        <v>1023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10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14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9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11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3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8</v>
      </c>
      <c r="N32" s="50">
        <v>0</v>
      </c>
      <c r="O32" s="15">
        <f t="shared" si="0"/>
        <v>10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3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12</v>
      </c>
      <c r="P33" s="15">
        <f t="shared" si="1"/>
        <v>15</v>
      </c>
    </row>
    <row r="34" spans="2:20" ht="23.1" customHeight="1" x14ac:dyDescent="0.25">
      <c r="B34" s="24" t="s">
        <v>61</v>
      </c>
      <c r="C34" s="50">
        <v>10</v>
      </c>
      <c r="D34" s="50">
        <v>1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15</v>
      </c>
      <c r="P34" s="15">
        <f t="shared" si="1"/>
        <v>21</v>
      </c>
    </row>
    <row r="35" spans="2:20" ht="23.1" customHeight="1" x14ac:dyDescent="0.25">
      <c r="B35" s="24" t="s">
        <v>62</v>
      </c>
      <c r="C35" s="50">
        <v>7</v>
      </c>
      <c r="D35" s="50">
        <v>1</v>
      </c>
      <c r="E35" s="50">
        <v>1</v>
      </c>
      <c r="F35" s="50">
        <v>3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13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6</v>
      </c>
      <c r="D36" s="50">
        <v>1</v>
      </c>
      <c r="E36" s="50">
        <v>2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10</v>
      </c>
      <c r="N36" s="50">
        <v>0</v>
      </c>
      <c r="O36" s="15">
        <f t="shared" si="0"/>
        <v>11</v>
      </c>
      <c r="P36" s="15">
        <f t="shared" si="1"/>
        <v>21</v>
      </c>
    </row>
    <row r="37" spans="2:20" ht="23.1" customHeight="1" x14ac:dyDescent="0.25">
      <c r="B37" s="23" t="s">
        <v>64</v>
      </c>
      <c r="C37" s="50">
        <v>10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14</v>
      </c>
      <c r="N37" s="50">
        <v>0</v>
      </c>
      <c r="O37" s="15">
        <f t="shared" si="0"/>
        <v>15</v>
      </c>
      <c r="P37" s="15">
        <f t="shared" si="1"/>
        <v>29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7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6</v>
      </c>
      <c r="D39" s="50">
        <v>4</v>
      </c>
      <c r="E39" s="50">
        <v>2</v>
      </c>
      <c r="F39" s="50">
        <v>2</v>
      </c>
      <c r="G39" s="50">
        <v>0</v>
      </c>
      <c r="H39" s="50">
        <v>0</v>
      </c>
      <c r="I39" s="50">
        <v>0</v>
      </c>
      <c r="J39" s="50">
        <v>1</v>
      </c>
      <c r="K39" s="50">
        <v>1</v>
      </c>
      <c r="L39" s="50">
        <v>0</v>
      </c>
      <c r="M39" s="50">
        <v>3</v>
      </c>
      <c r="N39" s="50">
        <v>0</v>
      </c>
      <c r="O39" s="15">
        <f t="shared" si="0"/>
        <v>16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3</v>
      </c>
      <c r="D40" s="50">
        <v>1</v>
      </c>
      <c r="E40" s="50">
        <v>1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6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4</v>
      </c>
      <c r="D41" s="50">
        <v>2</v>
      </c>
      <c r="E41" s="50">
        <v>0</v>
      </c>
      <c r="F41" s="50">
        <v>3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11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9</v>
      </c>
      <c r="N42" s="50">
        <v>0</v>
      </c>
      <c r="O42" s="15">
        <f t="shared" si="0"/>
        <v>13</v>
      </c>
      <c r="P42" s="15">
        <f t="shared" si="1"/>
        <v>22</v>
      </c>
    </row>
    <row r="43" spans="2:20" ht="23.1" customHeight="1" x14ac:dyDescent="0.25">
      <c r="B43" s="23" t="s">
        <v>70</v>
      </c>
      <c r="C43" s="50">
        <v>6</v>
      </c>
      <c r="D43" s="50">
        <v>0</v>
      </c>
      <c r="E43" s="50">
        <v>3</v>
      </c>
      <c r="F43" s="50">
        <v>1</v>
      </c>
      <c r="G43" s="50">
        <v>1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11</v>
      </c>
      <c r="P43" s="15">
        <f t="shared" si="1"/>
        <v>21</v>
      </c>
    </row>
    <row r="44" spans="2:20" ht="23.1" customHeight="1" x14ac:dyDescent="0.25">
      <c r="B44" s="25" t="s">
        <v>71</v>
      </c>
      <c r="C44" s="50">
        <v>8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10</v>
      </c>
      <c r="P44" s="15">
        <f t="shared" si="1"/>
        <v>26</v>
      </c>
    </row>
    <row r="45" spans="2:20" ht="23.1" customHeight="1" x14ac:dyDescent="0.25">
      <c r="B45" s="23" t="s">
        <v>72</v>
      </c>
      <c r="C45" s="50">
        <v>6</v>
      </c>
      <c r="D45" s="50">
        <v>2</v>
      </c>
      <c r="E45" s="50">
        <v>1</v>
      </c>
      <c r="F45" s="50">
        <v>2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14</v>
      </c>
      <c r="P45" s="15">
        <f t="shared" si="1"/>
        <v>24</v>
      </c>
    </row>
    <row r="46" spans="2:20" ht="23.1" customHeight="1" x14ac:dyDescent="0.25">
      <c r="B46" s="24" t="s">
        <v>73</v>
      </c>
      <c r="C46" s="50">
        <v>9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1</v>
      </c>
      <c r="M46" s="50">
        <v>11</v>
      </c>
      <c r="N46" s="50">
        <v>0</v>
      </c>
      <c r="O46" s="15">
        <f t="shared" si="0"/>
        <v>16</v>
      </c>
      <c r="P46" s="15">
        <f t="shared" si="1"/>
        <v>27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2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0</v>
      </c>
      <c r="M47" s="50">
        <v>6</v>
      </c>
      <c r="N47" s="50">
        <v>0</v>
      </c>
      <c r="O47" s="15">
        <f t="shared" si="0"/>
        <v>9</v>
      </c>
      <c r="P47" s="15">
        <f t="shared" si="1"/>
        <v>15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11</v>
      </c>
      <c r="P48" s="15">
        <f t="shared" si="1"/>
        <v>26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17</v>
      </c>
      <c r="N49" s="50">
        <v>0</v>
      </c>
      <c r="O49" s="15">
        <f t="shared" si="0"/>
        <v>11</v>
      </c>
      <c r="P49" s="15">
        <f t="shared" si="1"/>
        <v>28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1</v>
      </c>
      <c r="E50" s="50">
        <v>0</v>
      </c>
      <c r="F50" s="50">
        <v>2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0</v>
      </c>
      <c r="M50" s="50">
        <v>16</v>
      </c>
      <c r="N50" s="50">
        <v>0</v>
      </c>
      <c r="O50" s="15">
        <f t="shared" si="0"/>
        <v>10</v>
      </c>
      <c r="P50" s="15">
        <f t="shared" si="1"/>
        <v>26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16</v>
      </c>
      <c r="N51" s="50">
        <v>0</v>
      </c>
      <c r="O51" s="15">
        <f t="shared" si="0"/>
        <v>9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2</v>
      </c>
      <c r="J52" s="50">
        <v>3</v>
      </c>
      <c r="K52" s="50">
        <v>0</v>
      </c>
      <c r="L52" s="50">
        <v>1</v>
      </c>
      <c r="M52" s="50">
        <v>17</v>
      </c>
      <c r="N52" s="50">
        <v>0</v>
      </c>
      <c r="O52" s="15">
        <f t="shared" si="0"/>
        <v>17</v>
      </c>
      <c r="P52" s="15">
        <f t="shared" si="1"/>
        <v>34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3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21</v>
      </c>
      <c r="P53" s="15">
        <f t="shared" si="1"/>
        <v>32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0</v>
      </c>
      <c r="E54" s="50">
        <v>2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19</v>
      </c>
      <c r="P54" s="15">
        <f t="shared" si="1"/>
        <v>26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2</v>
      </c>
      <c r="M55" s="50">
        <v>8</v>
      </c>
      <c r="N55" s="50">
        <v>0</v>
      </c>
      <c r="O55" s="15">
        <f t="shared" si="0"/>
        <v>9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3</v>
      </c>
      <c r="F56" s="50">
        <v>1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10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0</v>
      </c>
      <c r="K57" s="50">
        <v>1</v>
      </c>
      <c r="L57" s="50">
        <v>1</v>
      </c>
      <c r="M57" s="50">
        <v>10</v>
      </c>
      <c r="N57" s="50">
        <v>0</v>
      </c>
      <c r="O57" s="15">
        <f t="shared" si="0"/>
        <v>14</v>
      </c>
      <c r="P57" s="15">
        <f t="shared" si="1"/>
        <v>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298</v>
      </c>
      <c r="D58" s="16">
        <f t="shared" si="21"/>
        <v>31</v>
      </c>
      <c r="E58" s="16">
        <f t="shared" si="21"/>
        <v>45</v>
      </c>
      <c r="F58" s="16">
        <f t="shared" si="21"/>
        <v>89</v>
      </c>
      <c r="G58" s="16">
        <f t="shared" si="21"/>
        <v>2</v>
      </c>
      <c r="H58" s="16">
        <f t="shared" si="21"/>
        <v>3</v>
      </c>
      <c r="I58" s="16">
        <f t="shared" si="21"/>
        <v>30</v>
      </c>
      <c r="J58" s="16">
        <f t="shared" si="21"/>
        <v>38</v>
      </c>
      <c r="K58" s="16">
        <f t="shared" si="21"/>
        <v>4</v>
      </c>
      <c r="L58" s="16">
        <f t="shared" si="21"/>
        <v>10</v>
      </c>
      <c r="M58" s="16">
        <f t="shared" si="21"/>
        <v>473</v>
      </c>
      <c r="N58" s="16">
        <f t="shared" si="21"/>
        <v>0</v>
      </c>
      <c r="O58" s="16">
        <f t="shared" si="21"/>
        <v>550</v>
      </c>
      <c r="P58" s="16">
        <f t="shared" si="21"/>
        <v>1023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0.29130009775171067</v>
      </c>
      <c r="D59" s="43">
        <f t="shared" si="22"/>
        <v>3.0303030303030304E-2</v>
      </c>
      <c r="E59" s="43">
        <f t="shared" si="22"/>
        <v>4.398826979472141E-2</v>
      </c>
      <c r="F59" s="43">
        <f t="shared" si="22"/>
        <v>8.6999022482893457E-2</v>
      </c>
      <c r="G59" s="43">
        <f t="shared" si="22"/>
        <v>1.9550342130987292E-3</v>
      </c>
      <c r="H59" s="43">
        <f t="shared" si="22"/>
        <v>2.9325513196480938E-3</v>
      </c>
      <c r="I59" s="43">
        <f t="shared" si="22"/>
        <v>2.932551319648094E-2</v>
      </c>
      <c r="J59" s="43">
        <f t="shared" si="22"/>
        <v>3.7145650048875857E-2</v>
      </c>
      <c r="K59" s="43">
        <f t="shared" si="22"/>
        <v>3.9100684261974585E-3</v>
      </c>
      <c r="L59" s="43">
        <f t="shared" si="22"/>
        <v>9.7751710654936461E-3</v>
      </c>
      <c r="M59" s="43">
        <f t="shared" si="22"/>
        <v>0.46236559139784944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0.54181818181818187</v>
      </c>
      <c r="D60" s="44">
        <f t="shared" ref="D60:N60" si="23">D58/$O$58</f>
        <v>5.6363636363636366E-2</v>
      </c>
      <c r="E60" s="44">
        <f t="shared" si="23"/>
        <v>8.1818181818181818E-2</v>
      </c>
      <c r="F60" s="44">
        <f t="shared" si="23"/>
        <v>0.16181818181818181</v>
      </c>
      <c r="G60" s="44">
        <f t="shared" si="23"/>
        <v>3.6363636363636364E-3</v>
      </c>
      <c r="H60" s="44">
        <f t="shared" si="23"/>
        <v>5.454545454545455E-3</v>
      </c>
      <c r="I60" s="44">
        <f t="shared" si="23"/>
        <v>5.4545454545454543E-2</v>
      </c>
      <c r="J60" s="44">
        <f t="shared" si="23"/>
        <v>6.9090909090909092E-2</v>
      </c>
      <c r="K60" s="44">
        <f t="shared" si="23"/>
        <v>7.2727272727272727E-3</v>
      </c>
      <c r="L60" s="44">
        <f t="shared" si="23"/>
        <v>1.8181818181818181E-2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4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tr">
        <f>'25.10 Mbarara-Ibanda'!C3:G3</f>
        <v>MCC - C4 - STN102 - IBANDA-MBARARA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8.5" customHeight="1" x14ac:dyDescent="0.25">
      <c r="C5" s="4" t="s">
        <v>3</v>
      </c>
      <c r="D5" s="36" t="str">
        <f>'31.10 Ibanda-Mbarara'!D5</f>
        <v>31.10.2019</v>
      </c>
      <c r="E5" s="3"/>
      <c r="F5" s="41" t="s">
        <v>1</v>
      </c>
      <c r="G5" s="54" t="str">
        <f>'31.10 Ibanda-Mbarara'!G5:H5</f>
        <v>RUHUMBA</v>
      </c>
      <c r="H5" s="55"/>
      <c r="I5" s="14"/>
      <c r="J5" s="2" t="s">
        <v>5</v>
      </c>
      <c r="K5" s="54" t="s">
        <v>167</v>
      </c>
      <c r="L5" s="55"/>
      <c r="M5" s="10"/>
      <c r="N5" s="10"/>
      <c r="O5" s="3"/>
      <c r="P5" s="3"/>
    </row>
    <row r="6" spans="2:32" ht="39.75" customHeight="1" x14ac:dyDescent="0.25">
      <c r="C6" s="2" t="s">
        <v>4</v>
      </c>
      <c r="D6" s="54" t="str">
        <f>'25.10 Mbarara-Ibanda'!D6:E6</f>
        <v>MBARARA</v>
      </c>
      <c r="E6" s="55"/>
      <c r="F6" s="2" t="s">
        <v>2</v>
      </c>
      <c r="G6" s="54" t="str">
        <f>'25.10 Mbarara-Ibanda'!G6:H6</f>
        <v>IBANDA</v>
      </c>
      <c r="H6" s="55"/>
      <c r="J6" s="2" t="s">
        <v>21</v>
      </c>
      <c r="K6" s="54" t="str">
        <f>'31.10 Ibanda-Mbarara'!K6:L6</f>
        <v>TURYAHABWE NORMAN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4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16</v>
      </c>
      <c r="T10" s="17">
        <f t="shared" si="2"/>
        <v>0</v>
      </c>
      <c r="U10" s="17">
        <f t="shared" si="2"/>
        <v>4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19</v>
      </c>
      <c r="AD10" s="17">
        <f t="shared" si="2"/>
        <v>0</v>
      </c>
      <c r="AE10" s="31">
        <f t="shared" si="2"/>
        <v>28</v>
      </c>
      <c r="AF10" s="31">
        <f t="shared" si="2"/>
        <v>47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7</v>
      </c>
      <c r="P11" s="15">
        <f t="shared" si="1"/>
        <v>14</v>
      </c>
      <c r="R11" s="1" t="s">
        <v>7</v>
      </c>
      <c r="S11" s="17">
        <f t="shared" ref="S11:AF11" si="3">SUM(C14:C17)</f>
        <v>19</v>
      </c>
      <c r="T11" s="17">
        <f t="shared" si="3"/>
        <v>1</v>
      </c>
      <c r="U11" s="17">
        <f t="shared" si="3"/>
        <v>1</v>
      </c>
      <c r="V11" s="17">
        <f t="shared" si="3"/>
        <v>4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36</v>
      </c>
      <c r="AD11" s="17">
        <f t="shared" si="3"/>
        <v>0</v>
      </c>
      <c r="AE11" s="31">
        <f t="shared" si="3"/>
        <v>28</v>
      </c>
      <c r="AF11" s="31">
        <f t="shared" si="3"/>
        <v>64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7</v>
      </c>
      <c r="P12" s="15">
        <f t="shared" si="1"/>
        <v>11</v>
      </c>
      <c r="R12" s="1" t="s">
        <v>8</v>
      </c>
      <c r="S12" s="17">
        <f t="shared" ref="S12:AF12" si="4">SUM(C18:C21)</f>
        <v>22</v>
      </c>
      <c r="T12" s="17">
        <f t="shared" si="4"/>
        <v>1</v>
      </c>
      <c r="U12" s="17">
        <f t="shared" si="4"/>
        <v>3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39</v>
      </c>
      <c r="AD12" s="17">
        <f t="shared" si="4"/>
        <v>0</v>
      </c>
      <c r="AE12" s="31">
        <f t="shared" si="4"/>
        <v>31</v>
      </c>
      <c r="AF12" s="31">
        <f t="shared" si="4"/>
        <v>70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8</v>
      </c>
      <c r="P13" s="15">
        <f t="shared" si="1"/>
        <v>13</v>
      </c>
      <c r="R13" s="1" t="s">
        <v>9</v>
      </c>
      <c r="S13" s="17">
        <f t="shared" ref="S13:AF13" si="5">SUM(C22:C25)</f>
        <v>18</v>
      </c>
      <c r="T13" s="17">
        <f t="shared" si="5"/>
        <v>3</v>
      </c>
      <c r="U13" s="17">
        <f t="shared" si="5"/>
        <v>4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24</v>
      </c>
      <c r="AD13" s="17">
        <f t="shared" si="5"/>
        <v>0</v>
      </c>
      <c r="AE13" s="31">
        <f t="shared" si="5"/>
        <v>34</v>
      </c>
      <c r="AF13" s="31">
        <f t="shared" si="5"/>
        <v>58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5</v>
      </c>
      <c r="P14" s="15">
        <f t="shared" si="1"/>
        <v>18</v>
      </c>
      <c r="R14" s="1" t="s">
        <v>10</v>
      </c>
      <c r="S14" s="17">
        <f t="shared" ref="S14:AF14" si="6">SUM(C26:C29)</f>
        <v>32</v>
      </c>
      <c r="T14" s="17">
        <f t="shared" si="6"/>
        <v>4</v>
      </c>
      <c r="U14" s="17">
        <f t="shared" si="6"/>
        <v>1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27</v>
      </c>
      <c r="AD14" s="17">
        <f t="shared" si="6"/>
        <v>0</v>
      </c>
      <c r="AE14" s="31">
        <f t="shared" si="6"/>
        <v>50</v>
      </c>
      <c r="AF14" s="31">
        <f t="shared" si="6"/>
        <v>77</v>
      </c>
    </row>
    <row r="15" spans="2:32" ht="23.1" customHeight="1" x14ac:dyDescent="0.25">
      <c r="B15" s="23" t="s">
        <v>42</v>
      </c>
      <c r="C15" s="50">
        <v>3</v>
      </c>
      <c r="D15" s="50">
        <v>1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5</v>
      </c>
      <c r="P15" s="15">
        <f t="shared" si="1"/>
        <v>13</v>
      </c>
      <c r="R15" s="1" t="s">
        <v>11</v>
      </c>
      <c r="S15" s="17">
        <f t="shared" ref="S15:AF15" si="7">SUM(C30:C33)</f>
        <v>18</v>
      </c>
      <c r="T15" s="17">
        <f t="shared" si="7"/>
        <v>2</v>
      </c>
      <c r="U15" s="17">
        <f t="shared" si="7"/>
        <v>3</v>
      </c>
      <c r="V15" s="17">
        <f t="shared" si="7"/>
        <v>6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3</v>
      </c>
      <c r="AA15" s="17">
        <f t="shared" si="7"/>
        <v>0</v>
      </c>
      <c r="AB15" s="17">
        <f t="shared" si="7"/>
        <v>1</v>
      </c>
      <c r="AC15" s="17">
        <f t="shared" si="7"/>
        <v>34</v>
      </c>
      <c r="AD15" s="17">
        <f t="shared" si="7"/>
        <v>0</v>
      </c>
      <c r="AE15" s="31">
        <f t="shared" si="7"/>
        <v>35</v>
      </c>
      <c r="AF15" s="31">
        <f t="shared" si="7"/>
        <v>69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0</v>
      </c>
      <c r="F16" s="50">
        <v>1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8</v>
      </c>
      <c r="P16" s="15">
        <f t="shared" si="1"/>
        <v>14</v>
      </c>
      <c r="R16" s="1" t="s">
        <v>12</v>
      </c>
      <c r="S16" s="17">
        <f t="shared" ref="S16:AF16" si="8">SUM(C34:C37)</f>
        <v>25</v>
      </c>
      <c r="T16" s="17">
        <f t="shared" si="8"/>
        <v>3</v>
      </c>
      <c r="U16" s="17">
        <f t="shared" si="8"/>
        <v>1</v>
      </c>
      <c r="V16" s="17">
        <f t="shared" si="8"/>
        <v>10</v>
      </c>
      <c r="W16" s="17">
        <f t="shared" si="8"/>
        <v>0</v>
      </c>
      <c r="X16" s="17">
        <f t="shared" si="8"/>
        <v>6</v>
      </c>
      <c r="Y16" s="17">
        <f t="shared" si="8"/>
        <v>3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32</v>
      </c>
      <c r="AD16" s="17">
        <f t="shared" si="8"/>
        <v>0</v>
      </c>
      <c r="AE16" s="31">
        <f t="shared" si="8"/>
        <v>51</v>
      </c>
      <c r="AF16" s="31">
        <f t="shared" si="8"/>
        <v>83</v>
      </c>
    </row>
    <row r="17" spans="2:32" ht="23.1" customHeight="1" x14ac:dyDescent="0.25">
      <c r="B17" s="23" t="s">
        <v>44</v>
      </c>
      <c r="C17" s="50">
        <v>7</v>
      </c>
      <c r="D17" s="50">
        <v>0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10</v>
      </c>
      <c r="P17" s="15">
        <f t="shared" si="1"/>
        <v>19</v>
      </c>
      <c r="R17" s="1" t="s">
        <v>13</v>
      </c>
      <c r="S17" s="17">
        <f t="shared" ref="S17:AF17" si="9">SUM(C38:C41)</f>
        <v>28</v>
      </c>
      <c r="T17" s="17">
        <f t="shared" si="9"/>
        <v>5</v>
      </c>
      <c r="U17" s="17">
        <f t="shared" si="9"/>
        <v>2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6</v>
      </c>
      <c r="AA17" s="17">
        <f t="shared" si="9"/>
        <v>0</v>
      </c>
      <c r="AB17" s="17">
        <f t="shared" si="9"/>
        <v>0</v>
      </c>
      <c r="AC17" s="17">
        <f t="shared" si="9"/>
        <v>28</v>
      </c>
      <c r="AD17" s="17">
        <f t="shared" si="9"/>
        <v>0</v>
      </c>
      <c r="AE17" s="31">
        <f t="shared" si="9"/>
        <v>60</v>
      </c>
      <c r="AF17" s="31">
        <f t="shared" si="9"/>
        <v>88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7</v>
      </c>
      <c r="P18" s="15">
        <f t="shared" si="1"/>
        <v>18</v>
      </c>
      <c r="R18" s="1" t="s">
        <v>14</v>
      </c>
      <c r="S18" s="17">
        <f t="shared" ref="S18:AF18" si="10">SUM(C42:C45)</f>
        <v>27</v>
      </c>
      <c r="T18" s="17">
        <f t="shared" si="10"/>
        <v>6</v>
      </c>
      <c r="U18" s="17">
        <f t="shared" si="10"/>
        <v>1</v>
      </c>
      <c r="V18" s="17">
        <f t="shared" si="10"/>
        <v>4</v>
      </c>
      <c r="W18" s="17">
        <f t="shared" si="10"/>
        <v>1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42</v>
      </c>
      <c r="AD18" s="17">
        <f t="shared" si="10"/>
        <v>0</v>
      </c>
      <c r="AE18" s="31">
        <f t="shared" si="10"/>
        <v>49</v>
      </c>
      <c r="AF18" s="31">
        <f t="shared" si="10"/>
        <v>91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8</v>
      </c>
      <c r="N19" s="50">
        <v>0</v>
      </c>
      <c r="O19" s="15">
        <f t="shared" si="0"/>
        <v>9</v>
      </c>
      <c r="P19" s="15">
        <f t="shared" si="1"/>
        <v>17</v>
      </c>
      <c r="R19" s="1" t="s">
        <v>15</v>
      </c>
      <c r="S19" s="17">
        <f t="shared" ref="S19:AF19" si="11">SUM(C46:C49)</f>
        <v>20</v>
      </c>
      <c r="T19" s="17">
        <f t="shared" si="11"/>
        <v>2</v>
      </c>
      <c r="U19" s="17">
        <f t="shared" si="11"/>
        <v>2</v>
      </c>
      <c r="V19" s="17">
        <f t="shared" si="11"/>
        <v>3</v>
      </c>
      <c r="W19" s="17">
        <f t="shared" si="11"/>
        <v>1</v>
      </c>
      <c r="X19" s="17">
        <f t="shared" si="11"/>
        <v>0</v>
      </c>
      <c r="Y19" s="17">
        <f t="shared" si="11"/>
        <v>5</v>
      </c>
      <c r="Z19" s="17">
        <f t="shared" si="11"/>
        <v>6</v>
      </c>
      <c r="AA19" s="17">
        <f t="shared" si="11"/>
        <v>0</v>
      </c>
      <c r="AB19" s="17">
        <f t="shared" si="11"/>
        <v>0</v>
      </c>
      <c r="AC19" s="17">
        <f t="shared" si="11"/>
        <v>48</v>
      </c>
      <c r="AD19" s="17">
        <f t="shared" si="11"/>
        <v>0</v>
      </c>
      <c r="AE19" s="31">
        <f t="shared" si="11"/>
        <v>39</v>
      </c>
      <c r="AF19" s="31">
        <f t="shared" si="11"/>
        <v>87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7</v>
      </c>
      <c r="P20" s="15">
        <f t="shared" si="1"/>
        <v>16</v>
      </c>
      <c r="R20" s="1" t="s">
        <v>16</v>
      </c>
      <c r="S20" s="17">
        <f t="shared" ref="S20:AF20" si="12">SUM(C50:C53)</f>
        <v>23</v>
      </c>
      <c r="T20" s="17">
        <f t="shared" si="12"/>
        <v>1</v>
      </c>
      <c r="U20" s="17">
        <f t="shared" si="12"/>
        <v>2</v>
      </c>
      <c r="V20" s="17">
        <f t="shared" si="12"/>
        <v>13</v>
      </c>
      <c r="W20" s="17">
        <f t="shared" si="12"/>
        <v>1</v>
      </c>
      <c r="X20" s="17">
        <f t="shared" si="12"/>
        <v>2</v>
      </c>
      <c r="Y20" s="17">
        <f t="shared" si="12"/>
        <v>4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34</v>
      </c>
      <c r="AD20" s="17">
        <f t="shared" si="12"/>
        <v>0</v>
      </c>
      <c r="AE20" s="31">
        <f t="shared" si="12"/>
        <v>48</v>
      </c>
      <c r="AF20" s="31">
        <f t="shared" si="12"/>
        <v>82</v>
      </c>
    </row>
    <row r="21" spans="2:32" ht="23.1" customHeight="1" x14ac:dyDescent="0.25">
      <c r="B21" s="23" t="s">
        <v>48</v>
      </c>
      <c r="C21" s="50">
        <v>6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8</v>
      </c>
      <c r="P21" s="15">
        <f t="shared" si="1"/>
        <v>19</v>
      </c>
      <c r="R21" s="36" t="s">
        <v>20</v>
      </c>
      <c r="S21" s="34">
        <f t="shared" ref="S21:AF21" si="13">SUM(C54:C57)</f>
        <v>23</v>
      </c>
      <c r="T21" s="17">
        <f t="shared" si="13"/>
        <v>4</v>
      </c>
      <c r="U21" s="17">
        <f t="shared" si="13"/>
        <v>0</v>
      </c>
      <c r="V21" s="17">
        <f t="shared" si="13"/>
        <v>5</v>
      </c>
      <c r="W21" s="17">
        <f t="shared" si="13"/>
        <v>0</v>
      </c>
      <c r="X21" s="17">
        <f t="shared" si="13"/>
        <v>2</v>
      </c>
      <c r="Y21" s="17">
        <f t="shared" si="13"/>
        <v>4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43</v>
      </c>
      <c r="AD21" s="17">
        <f t="shared" si="13"/>
        <v>0</v>
      </c>
      <c r="AE21" s="31">
        <f t="shared" si="13"/>
        <v>40</v>
      </c>
      <c r="AF21" s="31">
        <f t="shared" si="13"/>
        <v>83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8</v>
      </c>
      <c r="P22" s="15">
        <f t="shared" si="1"/>
        <v>12</v>
      </c>
      <c r="R22" s="38" t="s">
        <v>90</v>
      </c>
      <c r="S22" s="39">
        <f>MAX(S10:S12)</f>
        <v>22</v>
      </c>
      <c r="T22" s="39">
        <f t="shared" ref="T22:AF22" si="14">MAX(T10:T12)</f>
        <v>1</v>
      </c>
      <c r="U22" s="39">
        <f t="shared" si="14"/>
        <v>4</v>
      </c>
      <c r="V22" s="39">
        <f t="shared" si="14"/>
        <v>7</v>
      </c>
      <c r="W22" s="39">
        <f t="shared" si="14"/>
        <v>1</v>
      </c>
      <c r="X22" s="39">
        <f t="shared" si="14"/>
        <v>0</v>
      </c>
      <c r="Y22" s="39">
        <f t="shared" si="14"/>
        <v>1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39</v>
      </c>
      <c r="AD22" s="39">
        <f t="shared" si="14"/>
        <v>0</v>
      </c>
      <c r="AE22" s="40">
        <f t="shared" si="14"/>
        <v>31</v>
      </c>
      <c r="AF22" s="40">
        <f t="shared" si="14"/>
        <v>70</v>
      </c>
    </row>
    <row r="23" spans="2:32" ht="23.1" customHeight="1" x14ac:dyDescent="0.25">
      <c r="B23" s="23" t="s">
        <v>50</v>
      </c>
      <c r="C23" s="50">
        <v>8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14</v>
      </c>
      <c r="P23" s="15">
        <f t="shared" si="1"/>
        <v>20</v>
      </c>
      <c r="R23" s="38" t="s">
        <v>91</v>
      </c>
      <c r="S23" s="39">
        <f>MAX(S13:S18)</f>
        <v>32</v>
      </c>
      <c r="T23" s="39">
        <f t="shared" ref="T23:AF23" si="15">MAX(T13:T18)</f>
        <v>6</v>
      </c>
      <c r="U23" s="39">
        <f t="shared" si="15"/>
        <v>4</v>
      </c>
      <c r="V23" s="39">
        <f t="shared" si="15"/>
        <v>10</v>
      </c>
      <c r="W23" s="39">
        <f t="shared" si="15"/>
        <v>1</v>
      </c>
      <c r="X23" s="39">
        <f t="shared" si="15"/>
        <v>6</v>
      </c>
      <c r="Y23" s="39">
        <f t="shared" si="15"/>
        <v>12</v>
      </c>
      <c r="Z23" s="39">
        <f t="shared" si="15"/>
        <v>6</v>
      </c>
      <c r="AA23" s="39">
        <f t="shared" si="15"/>
        <v>1</v>
      </c>
      <c r="AB23" s="39">
        <f t="shared" si="15"/>
        <v>1</v>
      </c>
      <c r="AC23" s="39">
        <f t="shared" si="15"/>
        <v>42</v>
      </c>
      <c r="AD23" s="39">
        <f t="shared" si="15"/>
        <v>0</v>
      </c>
      <c r="AE23" s="40">
        <f t="shared" si="15"/>
        <v>60</v>
      </c>
      <c r="AF23" s="40">
        <f t="shared" si="15"/>
        <v>91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7</v>
      </c>
      <c r="P24" s="15">
        <f t="shared" si="1"/>
        <v>14</v>
      </c>
      <c r="R24" s="38" t="s">
        <v>92</v>
      </c>
      <c r="S24" s="39">
        <f>MAX(S19:S21)</f>
        <v>23</v>
      </c>
      <c r="T24" s="39">
        <f t="shared" ref="T24:AF24" si="16">MAX(T19:T21)</f>
        <v>4</v>
      </c>
      <c r="U24" s="39">
        <f t="shared" si="16"/>
        <v>2</v>
      </c>
      <c r="V24" s="39">
        <f t="shared" si="16"/>
        <v>13</v>
      </c>
      <c r="W24" s="39">
        <f t="shared" si="16"/>
        <v>1</v>
      </c>
      <c r="X24" s="39">
        <f t="shared" si="16"/>
        <v>2</v>
      </c>
      <c r="Y24" s="39">
        <f t="shared" si="16"/>
        <v>5</v>
      </c>
      <c r="Z24" s="39">
        <f t="shared" si="16"/>
        <v>6</v>
      </c>
      <c r="AA24" s="39">
        <f t="shared" si="16"/>
        <v>1</v>
      </c>
      <c r="AB24" s="39">
        <f t="shared" si="16"/>
        <v>0</v>
      </c>
      <c r="AC24" s="39">
        <f t="shared" si="16"/>
        <v>48</v>
      </c>
      <c r="AD24" s="39">
        <f t="shared" si="16"/>
        <v>0</v>
      </c>
      <c r="AE24" s="40">
        <f t="shared" si="16"/>
        <v>48</v>
      </c>
      <c r="AF24" s="40">
        <f t="shared" si="16"/>
        <v>87</v>
      </c>
    </row>
    <row r="25" spans="2:32" ht="23.1" customHeight="1" x14ac:dyDescent="0.25">
      <c r="B25" s="23" t="s">
        <v>52</v>
      </c>
      <c r="C25" s="50">
        <v>1</v>
      </c>
      <c r="D25" s="50">
        <v>2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5</v>
      </c>
      <c r="P25" s="15">
        <f t="shared" si="1"/>
        <v>12</v>
      </c>
      <c r="R25" s="37" t="s">
        <v>85</v>
      </c>
      <c r="S25" s="35">
        <f t="shared" ref="S25:AF25" si="17">SUM(S10:S12)</f>
        <v>57</v>
      </c>
      <c r="T25" s="16">
        <f t="shared" si="17"/>
        <v>2</v>
      </c>
      <c r="U25" s="16">
        <f t="shared" si="17"/>
        <v>8</v>
      </c>
      <c r="V25" s="16">
        <f t="shared" si="17"/>
        <v>13</v>
      </c>
      <c r="W25" s="16">
        <f t="shared" si="17"/>
        <v>1</v>
      </c>
      <c r="X25" s="16">
        <f t="shared" si="17"/>
        <v>0</v>
      </c>
      <c r="Y25" s="16">
        <f t="shared" si="17"/>
        <v>2</v>
      </c>
      <c r="Z25" s="16">
        <f t="shared" si="17"/>
        <v>3</v>
      </c>
      <c r="AA25" s="16">
        <f t="shared" si="17"/>
        <v>0</v>
      </c>
      <c r="AB25" s="16">
        <f t="shared" si="17"/>
        <v>1</v>
      </c>
      <c r="AC25" s="16">
        <f t="shared" si="17"/>
        <v>94</v>
      </c>
      <c r="AD25" s="16">
        <f t="shared" si="17"/>
        <v>0</v>
      </c>
      <c r="AE25" s="32">
        <f t="shared" si="17"/>
        <v>87</v>
      </c>
      <c r="AF25" s="32">
        <f t="shared" si="17"/>
        <v>181</v>
      </c>
    </row>
    <row r="26" spans="2:32" ht="23.1" customHeight="1" x14ac:dyDescent="0.25">
      <c r="B26" s="23" t="s">
        <v>53</v>
      </c>
      <c r="C26" s="50">
        <v>8</v>
      </c>
      <c r="D26" s="50">
        <v>2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12</v>
      </c>
      <c r="P26" s="15">
        <f t="shared" si="1"/>
        <v>20</v>
      </c>
      <c r="R26" s="28" t="s">
        <v>86</v>
      </c>
      <c r="S26" s="16">
        <f t="shared" ref="S26:AF26" si="18">SUM(S13:S18)</f>
        <v>148</v>
      </c>
      <c r="T26" s="16">
        <f t="shared" si="18"/>
        <v>23</v>
      </c>
      <c r="U26" s="16">
        <f t="shared" si="18"/>
        <v>12</v>
      </c>
      <c r="V26" s="16">
        <f t="shared" si="18"/>
        <v>37</v>
      </c>
      <c r="W26" s="16">
        <f t="shared" si="18"/>
        <v>2</v>
      </c>
      <c r="X26" s="16">
        <f t="shared" si="18"/>
        <v>6</v>
      </c>
      <c r="Y26" s="16">
        <f t="shared" si="18"/>
        <v>30</v>
      </c>
      <c r="Z26" s="16">
        <f t="shared" si="18"/>
        <v>18</v>
      </c>
      <c r="AA26" s="16">
        <f t="shared" si="18"/>
        <v>2</v>
      </c>
      <c r="AB26" s="16">
        <f t="shared" si="18"/>
        <v>1</v>
      </c>
      <c r="AC26" s="16">
        <f t="shared" si="18"/>
        <v>187</v>
      </c>
      <c r="AD26" s="16">
        <f t="shared" si="18"/>
        <v>0</v>
      </c>
      <c r="AE26" s="32">
        <f t="shared" si="18"/>
        <v>279</v>
      </c>
      <c r="AF26" s="32">
        <f t="shared" si="18"/>
        <v>466</v>
      </c>
    </row>
    <row r="27" spans="2:32" ht="23.1" customHeight="1" x14ac:dyDescent="0.25">
      <c r="B27" s="23" t="s">
        <v>54</v>
      </c>
      <c r="C27" s="50">
        <v>8</v>
      </c>
      <c r="D27" s="50">
        <v>2</v>
      </c>
      <c r="E27" s="50">
        <v>0</v>
      </c>
      <c r="F27" s="50">
        <v>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13</v>
      </c>
      <c r="P27" s="15">
        <f t="shared" si="1"/>
        <v>16</v>
      </c>
      <c r="R27" s="29" t="s">
        <v>87</v>
      </c>
      <c r="S27" s="16">
        <f t="shared" ref="S27:AF27" si="19">SUM(S19:S21)</f>
        <v>66</v>
      </c>
      <c r="T27" s="16">
        <f t="shared" si="19"/>
        <v>7</v>
      </c>
      <c r="U27" s="16">
        <f t="shared" si="19"/>
        <v>4</v>
      </c>
      <c r="V27" s="16">
        <f t="shared" si="19"/>
        <v>21</v>
      </c>
      <c r="W27" s="16">
        <f t="shared" si="19"/>
        <v>2</v>
      </c>
      <c r="X27" s="16">
        <f t="shared" si="19"/>
        <v>4</v>
      </c>
      <c r="Y27" s="16">
        <f t="shared" si="19"/>
        <v>13</v>
      </c>
      <c r="Z27" s="16">
        <f t="shared" si="19"/>
        <v>9</v>
      </c>
      <c r="AA27" s="16">
        <f t="shared" si="19"/>
        <v>1</v>
      </c>
      <c r="AB27" s="16">
        <f t="shared" si="19"/>
        <v>0</v>
      </c>
      <c r="AC27" s="16">
        <f t="shared" si="19"/>
        <v>125</v>
      </c>
      <c r="AD27" s="16">
        <f t="shared" si="19"/>
        <v>0</v>
      </c>
      <c r="AE27" s="32">
        <f t="shared" si="19"/>
        <v>127</v>
      </c>
      <c r="AF27" s="32">
        <f t="shared" si="19"/>
        <v>252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0</v>
      </c>
      <c r="F28" s="50">
        <v>3</v>
      </c>
      <c r="G28" s="50">
        <v>0</v>
      </c>
      <c r="H28" s="50">
        <v>0</v>
      </c>
      <c r="I28" s="50">
        <v>1</v>
      </c>
      <c r="J28" s="50">
        <v>2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13</v>
      </c>
      <c r="P28" s="15">
        <f t="shared" si="1"/>
        <v>22</v>
      </c>
      <c r="R28" s="5" t="s">
        <v>17</v>
      </c>
      <c r="S28" s="16">
        <f t="shared" ref="S28:AF28" si="20">SUM(S10:S21)</f>
        <v>271</v>
      </c>
      <c r="T28" s="16">
        <f t="shared" si="20"/>
        <v>32</v>
      </c>
      <c r="U28" s="16">
        <f t="shared" si="20"/>
        <v>24</v>
      </c>
      <c r="V28" s="16">
        <f t="shared" si="20"/>
        <v>71</v>
      </c>
      <c r="W28" s="16">
        <f t="shared" si="20"/>
        <v>5</v>
      </c>
      <c r="X28" s="16">
        <f t="shared" si="20"/>
        <v>10</v>
      </c>
      <c r="Y28" s="16">
        <f t="shared" si="20"/>
        <v>45</v>
      </c>
      <c r="Z28" s="16">
        <f t="shared" si="20"/>
        <v>30</v>
      </c>
      <c r="AA28" s="16">
        <f t="shared" si="20"/>
        <v>3</v>
      </c>
      <c r="AB28" s="16">
        <f t="shared" si="20"/>
        <v>2</v>
      </c>
      <c r="AC28" s="16">
        <f t="shared" si="20"/>
        <v>406</v>
      </c>
      <c r="AD28" s="16">
        <f t="shared" si="20"/>
        <v>0</v>
      </c>
      <c r="AE28" s="32">
        <f t="shared" si="20"/>
        <v>493</v>
      </c>
      <c r="AF28" s="32">
        <f t="shared" si="20"/>
        <v>899</v>
      </c>
    </row>
    <row r="29" spans="2:32" ht="23.1" customHeight="1" x14ac:dyDescent="0.25">
      <c r="B29" s="23" t="s">
        <v>56</v>
      </c>
      <c r="C29" s="50">
        <v>9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1</v>
      </c>
      <c r="L29" s="50">
        <v>0</v>
      </c>
      <c r="M29" s="50">
        <v>7</v>
      </c>
      <c r="N29" s="50">
        <v>0</v>
      </c>
      <c r="O29" s="15">
        <f t="shared" si="0"/>
        <v>12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9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0</v>
      </c>
      <c r="F31" s="50">
        <v>0</v>
      </c>
      <c r="G31" s="50">
        <v>1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6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3</v>
      </c>
      <c r="K32" s="50">
        <v>0</v>
      </c>
      <c r="L32" s="50">
        <v>1</v>
      </c>
      <c r="M32" s="50">
        <v>9</v>
      </c>
      <c r="N32" s="50">
        <v>0</v>
      </c>
      <c r="O32" s="15">
        <f t="shared" si="0"/>
        <v>10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1</v>
      </c>
      <c r="F33" s="50">
        <v>4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10</v>
      </c>
      <c r="P33" s="15">
        <f t="shared" si="1"/>
        <v>24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12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8</v>
      </c>
      <c r="D35" s="50">
        <v>3</v>
      </c>
      <c r="E35" s="50">
        <v>0</v>
      </c>
      <c r="F35" s="50">
        <v>5</v>
      </c>
      <c r="G35" s="50">
        <v>0</v>
      </c>
      <c r="H35" s="50">
        <v>6</v>
      </c>
      <c r="I35" s="50">
        <v>2</v>
      </c>
      <c r="J35" s="50">
        <v>0</v>
      </c>
      <c r="K35" s="50">
        <v>1</v>
      </c>
      <c r="L35" s="50">
        <v>0</v>
      </c>
      <c r="M35" s="50">
        <v>9</v>
      </c>
      <c r="N35" s="50">
        <v>0</v>
      </c>
      <c r="O35" s="15">
        <f t="shared" si="0"/>
        <v>25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8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6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11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0</v>
      </c>
      <c r="F39" s="50">
        <v>5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13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5</v>
      </c>
      <c r="D40" s="50">
        <v>2</v>
      </c>
      <c r="E40" s="50">
        <v>0</v>
      </c>
      <c r="F40" s="50">
        <v>1</v>
      </c>
      <c r="G40" s="50">
        <v>0</v>
      </c>
      <c r="H40" s="50">
        <v>0</v>
      </c>
      <c r="I40" s="50">
        <v>5</v>
      </c>
      <c r="J40" s="50">
        <v>2</v>
      </c>
      <c r="K40" s="50">
        <v>0</v>
      </c>
      <c r="L40" s="50">
        <v>0</v>
      </c>
      <c r="M40" s="50">
        <v>9</v>
      </c>
      <c r="N40" s="50">
        <v>0</v>
      </c>
      <c r="O40" s="15">
        <f t="shared" si="0"/>
        <v>15</v>
      </c>
      <c r="P40" s="15">
        <f t="shared" si="1"/>
        <v>24</v>
      </c>
    </row>
    <row r="41" spans="2:20" ht="23.1" customHeight="1" x14ac:dyDescent="0.25">
      <c r="B41" s="23" t="s">
        <v>68</v>
      </c>
      <c r="C41" s="50">
        <v>11</v>
      </c>
      <c r="D41" s="50">
        <v>2</v>
      </c>
      <c r="E41" s="50">
        <v>0</v>
      </c>
      <c r="F41" s="50">
        <v>1</v>
      </c>
      <c r="G41" s="50">
        <v>0</v>
      </c>
      <c r="H41" s="50">
        <v>0</v>
      </c>
      <c r="I41" s="50">
        <v>5</v>
      </c>
      <c r="J41" s="50">
        <v>2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21</v>
      </c>
      <c r="P41" s="15">
        <f t="shared" si="1"/>
        <v>30</v>
      </c>
    </row>
    <row r="42" spans="2:20" ht="23.1" customHeight="1" x14ac:dyDescent="0.25">
      <c r="B42" s="24" t="s">
        <v>69</v>
      </c>
      <c r="C42" s="50">
        <v>5</v>
      </c>
      <c r="D42" s="50">
        <v>3</v>
      </c>
      <c r="E42" s="50">
        <v>0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12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7</v>
      </c>
      <c r="D43" s="50">
        <v>1</v>
      </c>
      <c r="E43" s="50">
        <v>0</v>
      </c>
      <c r="F43" s="50">
        <v>2</v>
      </c>
      <c r="G43" s="50">
        <v>1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12</v>
      </c>
      <c r="P43" s="15">
        <f t="shared" si="1"/>
        <v>21</v>
      </c>
    </row>
    <row r="44" spans="2:20" ht="23.1" customHeight="1" x14ac:dyDescent="0.25">
      <c r="B44" s="25" t="s">
        <v>71</v>
      </c>
      <c r="C44" s="50">
        <v>8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14</v>
      </c>
      <c r="P44" s="15">
        <f t="shared" si="1"/>
        <v>22</v>
      </c>
    </row>
    <row r="45" spans="2:20" ht="23.1" customHeight="1" x14ac:dyDescent="0.25">
      <c r="B45" s="23" t="s">
        <v>72</v>
      </c>
      <c r="C45" s="50">
        <v>7</v>
      </c>
      <c r="D45" s="50">
        <v>1</v>
      </c>
      <c r="E45" s="50">
        <v>1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11</v>
      </c>
      <c r="P45" s="15">
        <f t="shared" si="1"/>
        <v>24</v>
      </c>
    </row>
    <row r="46" spans="2:20" ht="23.1" customHeight="1" x14ac:dyDescent="0.25">
      <c r="B46" s="24" t="s">
        <v>73</v>
      </c>
      <c r="C46" s="50">
        <v>6</v>
      </c>
      <c r="D46" s="50">
        <v>2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10</v>
      </c>
      <c r="P46" s="15">
        <f t="shared" si="1"/>
        <v>23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0</v>
      </c>
      <c r="E47" s="50">
        <v>1</v>
      </c>
      <c r="F47" s="50">
        <v>2</v>
      </c>
      <c r="G47" s="50">
        <v>1</v>
      </c>
      <c r="H47" s="50">
        <v>0</v>
      </c>
      <c r="I47" s="50">
        <v>2</v>
      </c>
      <c r="J47" s="50">
        <v>3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15</v>
      </c>
      <c r="P47" s="15">
        <f t="shared" si="1"/>
        <v>30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2</v>
      </c>
      <c r="K48" s="50">
        <v>0</v>
      </c>
      <c r="L48" s="50">
        <v>0</v>
      </c>
      <c r="M48" s="50">
        <v>6</v>
      </c>
      <c r="N48" s="50">
        <v>0</v>
      </c>
      <c r="O48" s="15">
        <f t="shared" si="0"/>
        <v>9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5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1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7</v>
      </c>
      <c r="N50" s="50">
        <v>0</v>
      </c>
      <c r="O50" s="15">
        <f t="shared" si="0"/>
        <v>7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0</v>
      </c>
      <c r="E51" s="50">
        <v>0</v>
      </c>
      <c r="F51" s="50">
        <v>7</v>
      </c>
      <c r="G51" s="50">
        <v>0</v>
      </c>
      <c r="H51" s="50">
        <v>1</v>
      </c>
      <c r="I51" s="50">
        <v>2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17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1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1</v>
      </c>
      <c r="L52" s="50">
        <v>0</v>
      </c>
      <c r="M52" s="50">
        <v>13</v>
      </c>
      <c r="N52" s="50">
        <v>0</v>
      </c>
      <c r="O52" s="15">
        <f t="shared" si="0"/>
        <v>11</v>
      </c>
      <c r="P52" s="15">
        <f t="shared" si="1"/>
        <v>24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1</v>
      </c>
      <c r="F53" s="50">
        <v>3</v>
      </c>
      <c r="G53" s="50">
        <v>1</v>
      </c>
      <c r="H53" s="50">
        <v>1</v>
      </c>
      <c r="I53" s="50">
        <v>1</v>
      </c>
      <c r="J53" s="50">
        <v>0</v>
      </c>
      <c r="K53" s="50">
        <v>0</v>
      </c>
      <c r="L53" s="50">
        <v>0</v>
      </c>
      <c r="M53" s="50">
        <v>9</v>
      </c>
      <c r="N53" s="50">
        <v>0</v>
      </c>
      <c r="O53" s="15">
        <f t="shared" si="0"/>
        <v>13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0</v>
      </c>
      <c r="E54" s="50">
        <v>0</v>
      </c>
      <c r="F54" s="50">
        <v>1</v>
      </c>
      <c r="G54" s="50">
        <v>0</v>
      </c>
      <c r="H54" s="50">
        <v>1</v>
      </c>
      <c r="I54" s="50">
        <v>1</v>
      </c>
      <c r="J54" s="50">
        <v>1</v>
      </c>
      <c r="K54" s="50">
        <v>0</v>
      </c>
      <c r="L54" s="50">
        <v>0</v>
      </c>
      <c r="M54" s="50">
        <v>16</v>
      </c>
      <c r="N54" s="50">
        <v>0</v>
      </c>
      <c r="O54" s="15">
        <f t="shared" si="0"/>
        <v>12</v>
      </c>
      <c r="P54" s="15">
        <f t="shared" si="1"/>
        <v>28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0</v>
      </c>
      <c r="F55" s="50">
        <v>3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9</v>
      </c>
      <c r="P55" s="15">
        <f t="shared" si="1"/>
        <v>18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7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2</v>
      </c>
      <c r="E57" s="50">
        <v>0</v>
      </c>
      <c r="F57" s="50">
        <v>1</v>
      </c>
      <c r="G57" s="50">
        <v>0</v>
      </c>
      <c r="H57" s="50">
        <v>1</v>
      </c>
      <c r="I57" s="50">
        <v>1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12</v>
      </c>
      <c r="P57" s="15">
        <f t="shared" si="1"/>
        <v>23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271</v>
      </c>
      <c r="D58" s="16">
        <f t="shared" si="21"/>
        <v>32</v>
      </c>
      <c r="E58" s="16">
        <f t="shared" si="21"/>
        <v>24</v>
      </c>
      <c r="F58" s="16">
        <f t="shared" si="21"/>
        <v>71</v>
      </c>
      <c r="G58" s="16">
        <f t="shared" si="21"/>
        <v>5</v>
      </c>
      <c r="H58" s="16">
        <f t="shared" si="21"/>
        <v>10</v>
      </c>
      <c r="I58" s="16">
        <f t="shared" si="21"/>
        <v>45</v>
      </c>
      <c r="J58" s="16">
        <f t="shared" si="21"/>
        <v>30</v>
      </c>
      <c r="K58" s="16">
        <f t="shared" si="21"/>
        <v>3</v>
      </c>
      <c r="L58" s="16">
        <f t="shared" si="21"/>
        <v>2</v>
      </c>
      <c r="M58" s="16">
        <f t="shared" si="21"/>
        <v>406</v>
      </c>
      <c r="N58" s="16">
        <f t="shared" si="21"/>
        <v>0</v>
      </c>
      <c r="O58" s="16">
        <f t="shared" si="21"/>
        <v>493</v>
      </c>
      <c r="P58" s="16">
        <f t="shared" si="21"/>
        <v>899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0.30144605116796441</v>
      </c>
      <c r="D59" s="43">
        <f t="shared" si="22"/>
        <v>3.5595105672969966E-2</v>
      </c>
      <c r="E59" s="43">
        <f t="shared" si="22"/>
        <v>2.6696329254727477E-2</v>
      </c>
      <c r="F59" s="43">
        <f t="shared" si="22"/>
        <v>7.8976640711902107E-2</v>
      </c>
      <c r="G59" s="43">
        <f t="shared" si="22"/>
        <v>5.5617352614015575E-3</v>
      </c>
      <c r="H59" s="43">
        <f t="shared" si="22"/>
        <v>1.1123470522803115E-2</v>
      </c>
      <c r="I59" s="43">
        <f t="shared" si="22"/>
        <v>5.0055617352614018E-2</v>
      </c>
      <c r="J59" s="43">
        <f t="shared" si="22"/>
        <v>3.3370411568409343E-2</v>
      </c>
      <c r="K59" s="43">
        <f t="shared" si="22"/>
        <v>3.3370411568409346E-3</v>
      </c>
      <c r="L59" s="43">
        <f t="shared" si="22"/>
        <v>2.2246941045606229E-3</v>
      </c>
      <c r="M59" s="43">
        <f t="shared" si="22"/>
        <v>0.45161290322580644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0.5496957403651116</v>
      </c>
      <c r="D60" s="44">
        <f t="shared" ref="D60:N60" si="23">D58/$O$58</f>
        <v>6.4908722109533468E-2</v>
      </c>
      <c r="E60" s="44">
        <f t="shared" si="23"/>
        <v>4.8681541582150101E-2</v>
      </c>
      <c r="F60" s="44">
        <f t="shared" si="23"/>
        <v>0.1440162271805274</v>
      </c>
      <c r="G60" s="44">
        <f t="shared" si="23"/>
        <v>1.0141987829614604E-2</v>
      </c>
      <c r="H60" s="44">
        <f t="shared" si="23"/>
        <v>2.0283975659229209E-2</v>
      </c>
      <c r="I60" s="44">
        <f t="shared" si="23"/>
        <v>9.1277890466531439E-2</v>
      </c>
      <c r="J60" s="44">
        <f t="shared" si="23"/>
        <v>6.0851926977687626E-2</v>
      </c>
      <c r="K60" s="44">
        <f t="shared" si="23"/>
        <v>6.0851926977687626E-3</v>
      </c>
      <c r="L60" s="44">
        <f t="shared" si="23"/>
        <v>4.0567951318458417E-3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N61" zoomScale="60" workbookViewId="0">
      <selection activeCell="AF49" sqref="AF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'31.10 Mbarara-Ibanda'!C3:G3</f>
        <v>MCC - C4 - STN102 - IBANDA-MBARARA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162</v>
      </c>
      <c r="E5" s="63"/>
      <c r="F5" s="41" t="s">
        <v>1</v>
      </c>
      <c r="G5" s="60" t="str">
        <f>'31.10 Ibanda-Mbarara'!G5:H5</f>
        <v>RUHUMBA</v>
      </c>
      <c r="H5" s="61"/>
      <c r="I5" s="14"/>
      <c r="J5" s="2" t="s">
        <v>5</v>
      </c>
      <c r="K5" s="60" t="s">
        <v>178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'31.10 Ibanda-Mbarara'!D6:E6</f>
        <v>IBANDA</v>
      </c>
      <c r="E6" s="61"/>
      <c r="F6" s="2" t="s">
        <v>2</v>
      </c>
      <c r="G6" s="60" t="str">
        <f>'31.10 Ibanda-Mbarara'!G6:H6</f>
        <v>MBARARA</v>
      </c>
      <c r="H6" s="61"/>
      <c r="J6" s="2" t="s">
        <v>21</v>
      </c>
      <c r="K6" s="60" t="str">
        <f>'31.10 Ibanda-Mbarara'!K6:L6</f>
        <v>TURYAHABWE NORMAN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Ibanada-Mbarara'!C10,'26.10 Ibanda-Mbarara-24hr'!C10,'27.10 Ibanda-Mbarara'!C10,'28.10 Ibanda-Mbarara-24hr'!C10,'29.10 Ibanda-Mbarara'!C10,'30.10 Ibanda-Mbarara'!C10,'31.10 Ibanda-Mbarara'!C10)</f>
        <v>2.5714285714285716</v>
      </c>
      <c r="D10" s="49">
        <f>AVERAGE('25.10 Ibanada-Mbarara'!D10,'26.10 Ibanda-Mbarara-24hr'!D10,'27.10 Ibanda-Mbarara'!D10,'28.10 Ibanda-Mbarara-24hr'!D10,'29.10 Ibanda-Mbarara'!D10,'30.10 Ibanda-Mbarara'!D10,'31.10 Ibanda-Mbarara'!D10)</f>
        <v>0.8571428571428571</v>
      </c>
      <c r="E10" s="49">
        <f>AVERAGE('25.10 Ibanada-Mbarara'!E10,'26.10 Ibanda-Mbarara-24hr'!E10,'27.10 Ibanda-Mbarara'!E10,'28.10 Ibanda-Mbarara-24hr'!E10,'29.10 Ibanda-Mbarara'!E10,'30.10 Ibanda-Mbarara'!E10,'31.10 Ibanda-Mbarara'!E10)</f>
        <v>0.14285714285714285</v>
      </c>
      <c r="F10" s="49">
        <f>AVERAGE('25.10 Ibanada-Mbarara'!F10,'26.10 Ibanda-Mbarara-24hr'!F10,'27.10 Ibanda-Mbarara'!F10,'28.10 Ibanda-Mbarara-24hr'!F10,'29.10 Ibanda-Mbarara'!F10,'30.10 Ibanda-Mbarara'!F10,'31.10 Ibanda-Mbarara'!F10)</f>
        <v>1.8571428571428572</v>
      </c>
      <c r="G10" s="49">
        <f>AVERAGE('25.10 Ibanada-Mbarara'!G10,'26.10 Ibanda-Mbarara-24hr'!G10,'27.10 Ibanda-Mbarara'!G10,'28.10 Ibanda-Mbarara-24hr'!G10,'29.10 Ibanda-Mbarara'!G10,'30.10 Ibanda-Mbarara'!G10,'31.10 Ibanda-Mbarara'!G10)</f>
        <v>0</v>
      </c>
      <c r="H10" s="49">
        <f>AVERAGE('25.10 Ibanada-Mbarara'!H10,'26.10 Ibanda-Mbarara-24hr'!H10,'27.10 Ibanda-Mbarara'!H10,'28.10 Ibanda-Mbarara-24hr'!H10,'29.10 Ibanda-Mbarara'!H10,'30.10 Ibanda-Mbarara'!H10,'31.10 Ibanda-Mbarara'!H10)</f>
        <v>0.14285714285714285</v>
      </c>
      <c r="I10" s="49">
        <f>AVERAGE('25.10 Ibanada-Mbarara'!I10,'26.10 Ibanda-Mbarara-24hr'!I10,'27.10 Ibanda-Mbarara'!I10,'28.10 Ibanda-Mbarara-24hr'!I10,'29.10 Ibanda-Mbarara'!I10,'30.10 Ibanda-Mbarara'!I10,'31.10 Ibanda-Mbarara'!I10)</f>
        <v>0.14285714285714285</v>
      </c>
      <c r="J10" s="49">
        <f>AVERAGE('25.10 Ibanada-Mbarara'!J10,'26.10 Ibanda-Mbarara-24hr'!J10,'27.10 Ibanda-Mbarara'!J10,'28.10 Ibanda-Mbarara-24hr'!J10,'29.10 Ibanda-Mbarara'!J10,'30.10 Ibanda-Mbarara'!J10,'31.10 Ibanda-Mbarara'!J10)</f>
        <v>0.14285714285714285</v>
      </c>
      <c r="K10" s="49">
        <f>AVERAGE('25.10 Ibanada-Mbarara'!K10,'26.10 Ibanda-Mbarara-24hr'!K10,'27.10 Ibanda-Mbarara'!K10,'28.10 Ibanda-Mbarara-24hr'!K10,'29.10 Ibanda-Mbarara'!K10,'30.10 Ibanda-Mbarara'!K10,'31.10 Ibanda-Mbarara'!K10)</f>
        <v>0.14285714285714285</v>
      </c>
      <c r="L10" s="49">
        <f>AVERAGE('25.10 Ibanada-Mbarara'!L10,'26.10 Ibanda-Mbarara-24hr'!L10,'27.10 Ibanda-Mbarara'!L10,'28.10 Ibanda-Mbarara-24hr'!L10,'29.10 Ibanda-Mbarara'!L10,'30.10 Ibanda-Mbarara'!L10,'31.10 Ibanda-Mbarara'!L10)</f>
        <v>0</v>
      </c>
      <c r="M10" s="49">
        <f>AVERAGE('25.10 Ibanada-Mbarara'!M10,'26.10 Ibanda-Mbarara-24hr'!M10,'27.10 Ibanda-Mbarara'!M10,'28.10 Ibanda-Mbarara-24hr'!M10,'29.10 Ibanda-Mbarara'!M10,'30.10 Ibanda-Mbarara'!M10,'31.10 Ibanda-Mbarara'!M10)</f>
        <v>5</v>
      </c>
      <c r="N10" s="49">
        <f>AVERAGE('25.10 Ibanada-Mbarara'!N10,'26.10 Ibanda-Mbarara-24hr'!N10,'27.10 Ibanda-Mbarara'!N10,'28.10 Ibanda-Mbarara-24hr'!N10,'29.10 Ibanda-Mbarara'!N10,'30.10 Ibanda-Mbarara'!N10,'31.10 Ibanda-Mbarara'!N10)</f>
        <v>0</v>
      </c>
      <c r="O10" s="15">
        <f t="shared" ref="O10:O73" si="0">SUM(C10:L10,N10)</f>
        <v>6.0000000000000018</v>
      </c>
      <c r="P10" s="15">
        <f t="shared" ref="P10:P73" si="1">SUM(C10:N10)</f>
        <v>11.000000000000002</v>
      </c>
      <c r="R10" s="1" t="s">
        <v>6</v>
      </c>
      <c r="S10" s="17">
        <f t="shared" ref="S10:AF10" si="2">SUM(C10:C13)</f>
        <v>15.857142857142858</v>
      </c>
      <c r="T10" s="17">
        <f t="shared" si="2"/>
        <v>2.4285714285714284</v>
      </c>
      <c r="U10" s="17">
        <f t="shared" si="2"/>
        <v>1.4285714285714284</v>
      </c>
      <c r="V10" s="17">
        <f t="shared" si="2"/>
        <v>8.1428571428571423</v>
      </c>
      <c r="W10" s="17">
        <f t="shared" si="2"/>
        <v>0.14285714285714285</v>
      </c>
      <c r="X10" s="17">
        <f t="shared" si="2"/>
        <v>0.2857142857142857</v>
      </c>
      <c r="Y10" s="17">
        <f t="shared" si="2"/>
        <v>0.5714285714285714</v>
      </c>
      <c r="Z10" s="17">
        <f t="shared" si="2"/>
        <v>0.85714285714285698</v>
      </c>
      <c r="AA10" s="17">
        <f t="shared" si="2"/>
        <v>0.5714285714285714</v>
      </c>
      <c r="AB10" s="17">
        <f t="shared" si="2"/>
        <v>0.14285714285714285</v>
      </c>
      <c r="AC10" s="17">
        <f t="shared" si="2"/>
        <v>25.571428571428569</v>
      </c>
      <c r="AD10" s="17">
        <f t="shared" si="2"/>
        <v>0</v>
      </c>
      <c r="AE10" s="31">
        <f t="shared" si="2"/>
        <v>30.428571428571431</v>
      </c>
      <c r="AF10" s="31">
        <f t="shared" si="2"/>
        <v>56</v>
      </c>
    </row>
    <row r="11" spans="2:32" s="6" customFormat="1" ht="23.1" customHeight="1" x14ac:dyDescent="0.25">
      <c r="B11" s="23" t="s">
        <v>38</v>
      </c>
      <c r="C11" s="49">
        <f>AVERAGE('25.10 Ibanada-Mbarara'!C11,'26.10 Ibanda-Mbarara-24hr'!C11,'27.10 Ibanda-Mbarara'!C11,'28.10 Ibanda-Mbarara-24hr'!C11,'29.10 Ibanda-Mbarara'!C11,'30.10 Ibanda-Mbarara'!C11,'31.10 Ibanda-Mbarara'!C11)</f>
        <v>4</v>
      </c>
      <c r="D11" s="49">
        <f>AVERAGE('25.10 Ibanada-Mbarara'!D11,'26.10 Ibanda-Mbarara-24hr'!D11,'27.10 Ibanda-Mbarara'!D11,'28.10 Ibanda-Mbarara-24hr'!D11,'29.10 Ibanda-Mbarara'!D11,'30.10 Ibanda-Mbarara'!D11,'31.10 Ibanda-Mbarara'!D11)</f>
        <v>0.42857142857142855</v>
      </c>
      <c r="E11" s="49">
        <f>AVERAGE('25.10 Ibanada-Mbarara'!E11,'26.10 Ibanda-Mbarara-24hr'!E11,'27.10 Ibanda-Mbarara'!E11,'28.10 Ibanda-Mbarara-24hr'!E11,'29.10 Ibanda-Mbarara'!E11,'30.10 Ibanda-Mbarara'!E11,'31.10 Ibanda-Mbarara'!E11)</f>
        <v>0.2857142857142857</v>
      </c>
      <c r="F11" s="49">
        <f>AVERAGE('25.10 Ibanada-Mbarara'!F11,'26.10 Ibanda-Mbarara-24hr'!F11,'27.10 Ibanda-Mbarara'!F11,'28.10 Ibanda-Mbarara-24hr'!F11,'29.10 Ibanda-Mbarara'!F11,'30.10 Ibanda-Mbarara'!F11,'31.10 Ibanda-Mbarara'!F11)</f>
        <v>1.8571428571428572</v>
      </c>
      <c r="G11" s="49">
        <f>AVERAGE('25.10 Ibanada-Mbarara'!G11,'26.10 Ibanda-Mbarara-24hr'!G11,'27.10 Ibanda-Mbarara'!G11,'28.10 Ibanda-Mbarara-24hr'!G11,'29.10 Ibanda-Mbarara'!G11,'30.10 Ibanda-Mbarara'!G11,'31.10 Ibanda-Mbarara'!G11)</f>
        <v>0.14285714285714285</v>
      </c>
      <c r="H11" s="49">
        <f>AVERAGE('25.10 Ibanada-Mbarara'!H11,'26.10 Ibanda-Mbarara-24hr'!H11,'27.10 Ibanda-Mbarara'!H11,'28.10 Ibanda-Mbarara-24hr'!H11,'29.10 Ibanda-Mbarara'!H11,'30.10 Ibanda-Mbarara'!H11,'31.10 Ibanda-Mbarara'!H11)</f>
        <v>0</v>
      </c>
      <c r="I11" s="49">
        <f>AVERAGE('25.10 Ibanada-Mbarara'!I11,'26.10 Ibanda-Mbarara-24hr'!I11,'27.10 Ibanda-Mbarara'!I11,'28.10 Ibanda-Mbarara-24hr'!I11,'29.10 Ibanda-Mbarara'!I11,'30.10 Ibanda-Mbarara'!I11,'31.10 Ibanda-Mbarara'!I11)</f>
        <v>0.14285714285714285</v>
      </c>
      <c r="J11" s="49">
        <f>AVERAGE('25.10 Ibanada-Mbarara'!J11,'26.10 Ibanda-Mbarara-24hr'!J11,'27.10 Ibanda-Mbarara'!J11,'28.10 Ibanda-Mbarara-24hr'!J11,'29.10 Ibanda-Mbarara'!J11,'30.10 Ibanda-Mbarara'!J11,'31.10 Ibanda-Mbarara'!J11)</f>
        <v>0.42857142857142855</v>
      </c>
      <c r="K11" s="49">
        <f>AVERAGE('25.10 Ibanada-Mbarara'!K11,'26.10 Ibanda-Mbarara-24hr'!K11,'27.10 Ibanda-Mbarara'!K11,'28.10 Ibanda-Mbarara-24hr'!K11,'29.10 Ibanda-Mbarara'!K11,'30.10 Ibanda-Mbarara'!K11,'31.10 Ibanda-Mbarara'!K11)</f>
        <v>0.14285714285714285</v>
      </c>
      <c r="L11" s="49">
        <f>AVERAGE('25.10 Ibanada-Mbarara'!L11,'26.10 Ibanda-Mbarara-24hr'!L11,'27.10 Ibanda-Mbarara'!L11,'28.10 Ibanda-Mbarara-24hr'!L11,'29.10 Ibanda-Mbarara'!L11,'30.10 Ibanda-Mbarara'!L11,'31.10 Ibanda-Mbarara'!L11)</f>
        <v>0</v>
      </c>
      <c r="M11" s="49">
        <f>AVERAGE('25.10 Ibanada-Mbarara'!M11,'26.10 Ibanda-Mbarara-24hr'!M11,'27.10 Ibanda-Mbarara'!M11,'28.10 Ibanda-Mbarara-24hr'!M11,'29.10 Ibanda-Mbarara'!M11,'30.10 Ibanda-Mbarara'!M11,'31.10 Ibanda-Mbarara'!M11)</f>
        <v>5.2857142857142856</v>
      </c>
      <c r="N11" s="49">
        <f>AVERAGE('25.10 Ibanada-Mbarara'!N11,'26.10 Ibanda-Mbarara-24hr'!N11,'27.10 Ibanda-Mbarara'!N11,'28.10 Ibanda-Mbarara-24hr'!N11,'29.10 Ibanda-Mbarara'!N11,'30.10 Ibanda-Mbarara'!N11,'31.10 Ibanda-Mbarara'!N11)</f>
        <v>0</v>
      </c>
      <c r="O11" s="15">
        <f t="shared" si="0"/>
        <v>7.4285714285714297</v>
      </c>
      <c r="P11" s="15">
        <f t="shared" si="1"/>
        <v>12.714285714285715</v>
      </c>
      <c r="R11" s="1" t="s">
        <v>7</v>
      </c>
      <c r="S11" s="17">
        <f t="shared" ref="S11:AF11" si="3">SUM(C14:C17)</f>
        <v>21.714285714285715</v>
      </c>
      <c r="T11" s="17">
        <f t="shared" si="3"/>
        <v>2</v>
      </c>
      <c r="U11" s="17">
        <f t="shared" si="3"/>
        <v>1.714285714285714</v>
      </c>
      <c r="V11" s="17">
        <f t="shared" si="3"/>
        <v>10.714285714285715</v>
      </c>
      <c r="W11" s="17">
        <f t="shared" si="3"/>
        <v>0.14285714285714285</v>
      </c>
      <c r="X11" s="17">
        <f t="shared" si="3"/>
        <v>1.1428571428571428</v>
      </c>
      <c r="Y11" s="17">
        <f t="shared" si="3"/>
        <v>0.85714285714285698</v>
      </c>
      <c r="Z11" s="17">
        <f t="shared" si="3"/>
        <v>1</v>
      </c>
      <c r="AA11" s="17">
        <f t="shared" si="3"/>
        <v>0.14285714285714285</v>
      </c>
      <c r="AB11" s="17">
        <f t="shared" si="3"/>
        <v>0.2857142857142857</v>
      </c>
      <c r="AC11" s="17">
        <f t="shared" si="3"/>
        <v>37.571428571428569</v>
      </c>
      <c r="AD11" s="17">
        <f t="shared" si="3"/>
        <v>0</v>
      </c>
      <c r="AE11" s="31">
        <f t="shared" si="3"/>
        <v>39.714285714285715</v>
      </c>
      <c r="AF11" s="31">
        <f t="shared" si="3"/>
        <v>77.285714285714278</v>
      </c>
    </row>
    <row r="12" spans="2:32" ht="23.1" customHeight="1" x14ac:dyDescent="0.25">
      <c r="B12" s="23" t="s">
        <v>39</v>
      </c>
      <c r="C12" s="49">
        <f>AVERAGE('25.10 Ibanada-Mbarara'!C12,'26.10 Ibanda-Mbarara-24hr'!C12,'27.10 Ibanda-Mbarara'!C12,'28.10 Ibanda-Mbarara-24hr'!C12,'29.10 Ibanda-Mbarara'!C12,'30.10 Ibanda-Mbarara'!C12,'31.10 Ibanda-Mbarara'!C12)</f>
        <v>3.4285714285714284</v>
      </c>
      <c r="D12" s="49">
        <f>AVERAGE('25.10 Ibanada-Mbarara'!D12,'26.10 Ibanda-Mbarara-24hr'!D12,'27.10 Ibanda-Mbarara'!D12,'28.10 Ibanda-Mbarara-24hr'!D12,'29.10 Ibanda-Mbarara'!D12,'30.10 Ibanda-Mbarara'!D12,'31.10 Ibanda-Mbarara'!D12)</f>
        <v>0.5714285714285714</v>
      </c>
      <c r="E12" s="49">
        <f>AVERAGE('25.10 Ibanada-Mbarara'!E12,'26.10 Ibanda-Mbarara-24hr'!E12,'27.10 Ibanda-Mbarara'!E12,'28.10 Ibanda-Mbarara-24hr'!E12,'29.10 Ibanda-Mbarara'!E12,'30.10 Ibanda-Mbarara'!E12,'31.10 Ibanda-Mbarara'!E12)</f>
        <v>0.14285714285714285</v>
      </c>
      <c r="F12" s="49">
        <f>AVERAGE('25.10 Ibanada-Mbarara'!F12,'26.10 Ibanda-Mbarara-24hr'!F12,'27.10 Ibanda-Mbarara'!F12,'28.10 Ibanda-Mbarara-24hr'!F12,'29.10 Ibanda-Mbarara'!F12,'30.10 Ibanda-Mbarara'!F12,'31.10 Ibanda-Mbarara'!F12)</f>
        <v>2.4285714285714284</v>
      </c>
      <c r="G12" s="49">
        <f>AVERAGE('25.10 Ibanada-Mbarara'!G12,'26.10 Ibanda-Mbarara-24hr'!G12,'27.10 Ibanda-Mbarara'!G12,'28.10 Ibanda-Mbarara-24hr'!G12,'29.10 Ibanda-Mbarara'!G12,'30.10 Ibanda-Mbarara'!G12,'31.10 Ibanda-Mbarara'!G12)</f>
        <v>0</v>
      </c>
      <c r="H12" s="49">
        <f>AVERAGE('25.10 Ibanada-Mbarara'!H12,'26.10 Ibanda-Mbarara-24hr'!H12,'27.10 Ibanda-Mbarara'!H12,'28.10 Ibanda-Mbarara-24hr'!H12,'29.10 Ibanda-Mbarara'!H12,'30.10 Ibanda-Mbarara'!H12,'31.10 Ibanda-Mbarara'!H12)</f>
        <v>0.14285714285714285</v>
      </c>
      <c r="I12" s="49">
        <f>AVERAGE('25.10 Ibanada-Mbarara'!I12,'26.10 Ibanda-Mbarara-24hr'!I12,'27.10 Ibanda-Mbarara'!I12,'28.10 Ibanda-Mbarara-24hr'!I12,'29.10 Ibanda-Mbarara'!I12,'30.10 Ibanda-Mbarara'!I12,'31.10 Ibanda-Mbarara'!I12)</f>
        <v>0.14285714285714285</v>
      </c>
      <c r="J12" s="49">
        <f>AVERAGE('25.10 Ibanada-Mbarara'!J12,'26.10 Ibanda-Mbarara-24hr'!J12,'27.10 Ibanda-Mbarara'!J12,'28.10 Ibanda-Mbarara-24hr'!J12,'29.10 Ibanda-Mbarara'!J12,'30.10 Ibanda-Mbarara'!J12,'31.10 Ibanda-Mbarara'!J12)</f>
        <v>0.14285714285714285</v>
      </c>
      <c r="K12" s="49">
        <f>AVERAGE('25.10 Ibanada-Mbarara'!K12,'26.10 Ibanda-Mbarara-24hr'!K12,'27.10 Ibanda-Mbarara'!K12,'28.10 Ibanda-Mbarara-24hr'!K12,'29.10 Ibanda-Mbarara'!K12,'30.10 Ibanda-Mbarara'!K12,'31.10 Ibanda-Mbarara'!K12)</f>
        <v>0</v>
      </c>
      <c r="L12" s="49">
        <f>AVERAGE('25.10 Ibanada-Mbarara'!L12,'26.10 Ibanda-Mbarara-24hr'!L12,'27.10 Ibanda-Mbarara'!L12,'28.10 Ibanda-Mbarara-24hr'!L12,'29.10 Ibanda-Mbarara'!L12,'30.10 Ibanda-Mbarara'!L12,'31.10 Ibanda-Mbarara'!L12)</f>
        <v>0</v>
      </c>
      <c r="M12" s="49">
        <f>AVERAGE('25.10 Ibanada-Mbarara'!M12,'26.10 Ibanda-Mbarara-24hr'!M12,'27.10 Ibanda-Mbarara'!M12,'28.10 Ibanda-Mbarara-24hr'!M12,'29.10 Ibanda-Mbarara'!M12,'30.10 Ibanda-Mbarara'!M12,'31.10 Ibanda-Mbarara'!M12)</f>
        <v>7</v>
      </c>
      <c r="N12" s="49">
        <f>AVERAGE('25.10 Ibanada-Mbarara'!N12,'26.10 Ibanda-Mbarara-24hr'!N12,'27.10 Ibanda-Mbarara'!N12,'28.10 Ibanda-Mbarara-24hr'!N12,'29.10 Ibanda-Mbarara'!N12,'30.10 Ibanda-Mbarara'!N12,'31.10 Ibanda-Mbarara'!N12)</f>
        <v>0</v>
      </c>
      <c r="O12" s="15">
        <f t="shared" si="0"/>
        <v>7.0000000000000009</v>
      </c>
      <c r="P12" s="15">
        <f t="shared" si="1"/>
        <v>14</v>
      </c>
      <c r="R12" s="1" t="s">
        <v>8</v>
      </c>
      <c r="S12" s="17">
        <f t="shared" ref="S12:AF12" si="4">SUM(C18:C21)</f>
        <v>20.571428571428573</v>
      </c>
      <c r="T12" s="17">
        <f t="shared" si="4"/>
        <v>1.857142857142857</v>
      </c>
      <c r="U12" s="17">
        <f t="shared" si="4"/>
        <v>3.5714285714285712</v>
      </c>
      <c r="V12" s="17">
        <f t="shared" si="4"/>
        <v>8.8571428571428577</v>
      </c>
      <c r="W12" s="17">
        <f t="shared" si="4"/>
        <v>0.14285714285714285</v>
      </c>
      <c r="X12" s="17">
        <f t="shared" si="4"/>
        <v>0.14285714285714285</v>
      </c>
      <c r="Y12" s="17">
        <f t="shared" si="4"/>
        <v>1.4285714285714284</v>
      </c>
      <c r="Z12" s="17">
        <f t="shared" si="4"/>
        <v>1.2857142857142856</v>
      </c>
      <c r="AA12" s="17">
        <f t="shared" si="4"/>
        <v>0</v>
      </c>
      <c r="AB12" s="17">
        <f t="shared" si="4"/>
        <v>0.5714285714285714</v>
      </c>
      <c r="AC12" s="17">
        <f t="shared" si="4"/>
        <v>41</v>
      </c>
      <c r="AD12" s="17">
        <f t="shared" si="4"/>
        <v>0</v>
      </c>
      <c r="AE12" s="31">
        <f t="shared" si="4"/>
        <v>38.428571428571431</v>
      </c>
      <c r="AF12" s="31">
        <f t="shared" si="4"/>
        <v>79.428571428571445</v>
      </c>
    </row>
    <row r="13" spans="2:32" ht="23.1" customHeight="1" x14ac:dyDescent="0.25">
      <c r="B13" s="23" t="s">
        <v>40</v>
      </c>
      <c r="C13" s="49">
        <f>AVERAGE('25.10 Ibanada-Mbarara'!C13,'26.10 Ibanda-Mbarara-24hr'!C13,'27.10 Ibanda-Mbarara'!C13,'28.10 Ibanda-Mbarara-24hr'!C13,'29.10 Ibanda-Mbarara'!C13,'30.10 Ibanda-Mbarara'!C13,'31.10 Ibanda-Mbarara'!C13)</f>
        <v>5.8571428571428568</v>
      </c>
      <c r="D13" s="49">
        <f>AVERAGE('25.10 Ibanada-Mbarara'!D13,'26.10 Ibanda-Mbarara-24hr'!D13,'27.10 Ibanda-Mbarara'!D13,'28.10 Ibanda-Mbarara-24hr'!D13,'29.10 Ibanda-Mbarara'!D13,'30.10 Ibanda-Mbarara'!D13,'31.10 Ibanda-Mbarara'!D13)</f>
        <v>0.5714285714285714</v>
      </c>
      <c r="E13" s="49">
        <f>AVERAGE('25.10 Ibanada-Mbarara'!E13,'26.10 Ibanda-Mbarara-24hr'!E13,'27.10 Ibanda-Mbarara'!E13,'28.10 Ibanda-Mbarara-24hr'!E13,'29.10 Ibanda-Mbarara'!E13,'30.10 Ibanda-Mbarara'!E13,'31.10 Ibanda-Mbarara'!E13)</f>
        <v>0.8571428571428571</v>
      </c>
      <c r="F13" s="49">
        <f>AVERAGE('25.10 Ibanada-Mbarara'!F13,'26.10 Ibanda-Mbarara-24hr'!F13,'27.10 Ibanda-Mbarara'!F13,'28.10 Ibanda-Mbarara-24hr'!F13,'29.10 Ibanda-Mbarara'!F13,'30.10 Ibanda-Mbarara'!F13,'31.10 Ibanda-Mbarara'!F13)</f>
        <v>2</v>
      </c>
      <c r="G13" s="49">
        <f>AVERAGE('25.10 Ibanada-Mbarara'!G13,'26.10 Ibanda-Mbarara-24hr'!G13,'27.10 Ibanda-Mbarara'!G13,'28.10 Ibanda-Mbarara-24hr'!G13,'29.10 Ibanda-Mbarara'!G13,'30.10 Ibanda-Mbarara'!G13,'31.10 Ibanda-Mbarara'!G13)</f>
        <v>0</v>
      </c>
      <c r="H13" s="49">
        <f>AVERAGE('25.10 Ibanada-Mbarara'!H13,'26.10 Ibanda-Mbarara-24hr'!H13,'27.10 Ibanda-Mbarara'!H13,'28.10 Ibanda-Mbarara-24hr'!H13,'29.10 Ibanda-Mbarara'!H13,'30.10 Ibanda-Mbarara'!H13,'31.10 Ibanda-Mbarara'!H13)</f>
        <v>0</v>
      </c>
      <c r="I13" s="49">
        <f>AVERAGE('25.10 Ibanada-Mbarara'!I13,'26.10 Ibanda-Mbarara-24hr'!I13,'27.10 Ibanda-Mbarara'!I13,'28.10 Ibanda-Mbarara-24hr'!I13,'29.10 Ibanda-Mbarara'!I13,'30.10 Ibanda-Mbarara'!I13,'31.10 Ibanda-Mbarara'!I13)</f>
        <v>0.14285714285714285</v>
      </c>
      <c r="J13" s="49">
        <f>AVERAGE('25.10 Ibanada-Mbarara'!J13,'26.10 Ibanda-Mbarara-24hr'!J13,'27.10 Ibanda-Mbarara'!J13,'28.10 Ibanda-Mbarara-24hr'!J13,'29.10 Ibanda-Mbarara'!J13,'30.10 Ibanda-Mbarara'!J13,'31.10 Ibanda-Mbarara'!J13)</f>
        <v>0.14285714285714285</v>
      </c>
      <c r="K13" s="49">
        <f>AVERAGE('25.10 Ibanada-Mbarara'!K13,'26.10 Ibanda-Mbarara-24hr'!K13,'27.10 Ibanda-Mbarara'!K13,'28.10 Ibanda-Mbarara-24hr'!K13,'29.10 Ibanda-Mbarara'!K13,'30.10 Ibanda-Mbarara'!K13,'31.10 Ibanda-Mbarara'!K13)</f>
        <v>0.2857142857142857</v>
      </c>
      <c r="L13" s="49">
        <f>AVERAGE('25.10 Ibanada-Mbarara'!L13,'26.10 Ibanda-Mbarara-24hr'!L13,'27.10 Ibanda-Mbarara'!L13,'28.10 Ibanda-Mbarara-24hr'!L13,'29.10 Ibanda-Mbarara'!L13,'30.10 Ibanda-Mbarara'!L13,'31.10 Ibanda-Mbarara'!L13)</f>
        <v>0.14285714285714285</v>
      </c>
      <c r="M13" s="49">
        <f>AVERAGE('25.10 Ibanada-Mbarara'!M13,'26.10 Ibanda-Mbarara-24hr'!M13,'27.10 Ibanda-Mbarara'!M13,'28.10 Ibanda-Mbarara-24hr'!M13,'29.10 Ibanda-Mbarara'!M13,'30.10 Ibanda-Mbarara'!M13,'31.10 Ibanda-Mbarara'!M13)</f>
        <v>8.2857142857142865</v>
      </c>
      <c r="N13" s="49">
        <f>AVERAGE('25.10 Ibanada-Mbarara'!N13,'26.10 Ibanda-Mbarara-24hr'!N13,'27.10 Ibanda-Mbarara'!N13,'28.10 Ibanda-Mbarara-24hr'!N13,'29.10 Ibanda-Mbarara'!N13,'30.10 Ibanda-Mbarara'!N13,'31.10 Ibanda-Mbarara'!N13)</f>
        <v>0</v>
      </c>
      <c r="O13" s="15">
        <f t="shared" si="0"/>
        <v>9.9999999999999982</v>
      </c>
      <c r="P13" s="15">
        <f t="shared" si="1"/>
        <v>18.285714285714285</v>
      </c>
      <c r="R13" s="1" t="s">
        <v>9</v>
      </c>
      <c r="S13" s="17">
        <f t="shared" ref="S13:AF13" si="5">SUM(C22:C25)</f>
        <v>25.714285714285712</v>
      </c>
      <c r="T13" s="17">
        <f t="shared" si="5"/>
        <v>1.7142857142857144</v>
      </c>
      <c r="U13" s="17">
        <f t="shared" si="5"/>
        <v>2.714285714285714</v>
      </c>
      <c r="V13" s="17">
        <f t="shared" si="5"/>
        <v>8.8571428571428577</v>
      </c>
      <c r="W13" s="17">
        <f t="shared" si="5"/>
        <v>0.14285714285714285</v>
      </c>
      <c r="X13" s="17">
        <f t="shared" si="5"/>
        <v>0.71428571428571419</v>
      </c>
      <c r="Y13" s="17">
        <f t="shared" si="5"/>
        <v>1.5714285714285714</v>
      </c>
      <c r="Z13" s="17">
        <f t="shared" si="5"/>
        <v>1.857142857142857</v>
      </c>
      <c r="AA13" s="17">
        <f t="shared" si="5"/>
        <v>0.14285714285714285</v>
      </c>
      <c r="AB13" s="17">
        <f t="shared" si="5"/>
        <v>0</v>
      </c>
      <c r="AC13" s="17">
        <f t="shared" si="5"/>
        <v>37.857142857142854</v>
      </c>
      <c r="AD13" s="17">
        <f t="shared" si="5"/>
        <v>0</v>
      </c>
      <c r="AE13" s="31">
        <f t="shared" si="5"/>
        <v>43.428571428571423</v>
      </c>
      <c r="AF13" s="31">
        <f t="shared" si="5"/>
        <v>81.285714285714278</v>
      </c>
    </row>
    <row r="14" spans="2:32" ht="23.1" customHeight="1" x14ac:dyDescent="0.25">
      <c r="B14" s="23" t="s">
        <v>41</v>
      </c>
      <c r="C14" s="49">
        <f>AVERAGE('25.10 Ibanada-Mbarara'!C14,'26.10 Ibanda-Mbarara-24hr'!C14,'27.10 Ibanda-Mbarara'!C14,'28.10 Ibanda-Mbarara-24hr'!C14,'29.10 Ibanda-Mbarara'!C14,'30.10 Ibanda-Mbarara'!C14,'31.10 Ibanda-Mbarara'!C14)</f>
        <v>3.8571428571428572</v>
      </c>
      <c r="D14" s="49">
        <f>AVERAGE('25.10 Ibanada-Mbarara'!D14,'26.10 Ibanda-Mbarara-24hr'!D14,'27.10 Ibanda-Mbarara'!D14,'28.10 Ibanda-Mbarara-24hr'!D14,'29.10 Ibanda-Mbarara'!D14,'30.10 Ibanda-Mbarara'!D14,'31.10 Ibanda-Mbarara'!D14)</f>
        <v>0.14285714285714285</v>
      </c>
      <c r="E14" s="49">
        <f>AVERAGE('25.10 Ibanada-Mbarara'!E14,'26.10 Ibanda-Mbarara-24hr'!E14,'27.10 Ibanda-Mbarara'!E14,'28.10 Ibanda-Mbarara-24hr'!E14,'29.10 Ibanda-Mbarara'!E14,'30.10 Ibanda-Mbarara'!E14,'31.10 Ibanda-Mbarara'!E14)</f>
        <v>0.42857142857142855</v>
      </c>
      <c r="F14" s="49">
        <f>AVERAGE('25.10 Ibanada-Mbarara'!F14,'26.10 Ibanda-Mbarara-24hr'!F14,'27.10 Ibanda-Mbarara'!F14,'28.10 Ibanda-Mbarara-24hr'!F14,'29.10 Ibanda-Mbarara'!F14,'30.10 Ibanda-Mbarara'!F14,'31.10 Ibanda-Mbarara'!F14)</f>
        <v>3.2857142857142856</v>
      </c>
      <c r="G14" s="49">
        <f>AVERAGE('25.10 Ibanada-Mbarara'!G14,'26.10 Ibanda-Mbarara-24hr'!G14,'27.10 Ibanda-Mbarara'!G14,'28.10 Ibanda-Mbarara-24hr'!G14,'29.10 Ibanda-Mbarara'!G14,'30.10 Ibanda-Mbarara'!G14,'31.10 Ibanda-Mbarara'!G14)</f>
        <v>0</v>
      </c>
      <c r="H14" s="49">
        <f>AVERAGE('25.10 Ibanada-Mbarara'!H14,'26.10 Ibanda-Mbarara-24hr'!H14,'27.10 Ibanda-Mbarara'!H14,'28.10 Ibanda-Mbarara-24hr'!H14,'29.10 Ibanda-Mbarara'!H14,'30.10 Ibanda-Mbarara'!H14,'31.10 Ibanda-Mbarara'!H14)</f>
        <v>0</v>
      </c>
      <c r="I14" s="49">
        <f>AVERAGE('25.10 Ibanada-Mbarara'!I14,'26.10 Ibanda-Mbarara-24hr'!I14,'27.10 Ibanda-Mbarara'!I14,'28.10 Ibanda-Mbarara-24hr'!I14,'29.10 Ibanda-Mbarara'!I14,'30.10 Ibanda-Mbarara'!I14,'31.10 Ibanda-Mbarara'!I14)</f>
        <v>0.14285714285714285</v>
      </c>
      <c r="J14" s="49">
        <f>AVERAGE('25.10 Ibanada-Mbarara'!J14,'26.10 Ibanda-Mbarara-24hr'!J14,'27.10 Ibanda-Mbarara'!J14,'28.10 Ibanda-Mbarara-24hr'!J14,'29.10 Ibanda-Mbarara'!J14,'30.10 Ibanda-Mbarara'!J14,'31.10 Ibanda-Mbarara'!J14)</f>
        <v>0.2857142857142857</v>
      </c>
      <c r="K14" s="49">
        <f>AVERAGE('25.10 Ibanada-Mbarara'!K14,'26.10 Ibanda-Mbarara-24hr'!K14,'27.10 Ibanda-Mbarara'!K14,'28.10 Ibanda-Mbarara-24hr'!K14,'29.10 Ibanda-Mbarara'!K14,'30.10 Ibanda-Mbarara'!K14,'31.10 Ibanda-Mbarara'!K14)</f>
        <v>0.14285714285714285</v>
      </c>
      <c r="L14" s="49">
        <f>AVERAGE('25.10 Ibanada-Mbarara'!L14,'26.10 Ibanda-Mbarara-24hr'!L14,'27.10 Ibanda-Mbarara'!L14,'28.10 Ibanda-Mbarara-24hr'!L14,'29.10 Ibanda-Mbarara'!L14,'30.10 Ibanda-Mbarara'!L14,'31.10 Ibanda-Mbarara'!L14)</f>
        <v>0</v>
      </c>
      <c r="M14" s="49">
        <f>AVERAGE('25.10 Ibanada-Mbarara'!M14,'26.10 Ibanda-Mbarara-24hr'!M14,'27.10 Ibanda-Mbarara'!M14,'28.10 Ibanda-Mbarara-24hr'!M14,'29.10 Ibanda-Mbarara'!M14,'30.10 Ibanda-Mbarara'!M14,'31.10 Ibanda-Mbarara'!M14)</f>
        <v>7.5714285714285712</v>
      </c>
      <c r="N14" s="49">
        <f>AVERAGE('25.10 Ibanada-Mbarara'!N14,'26.10 Ibanda-Mbarara-24hr'!N14,'27.10 Ibanda-Mbarara'!N14,'28.10 Ibanda-Mbarara-24hr'!N14,'29.10 Ibanda-Mbarara'!N14,'30.10 Ibanda-Mbarara'!N14,'31.10 Ibanda-Mbarara'!N14)</f>
        <v>0</v>
      </c>
      <c r="O14" s="15">
        <f t="shared" si="0"/>
        <v>8.2857142857142865</v>
      </c>
      <c r="P14" s="15">
        <f t="shared" si="1"/>
        <v>15.857142857142858</v>
      </c>
      <c r="R14" s="1" t="s">
        <v>10</v>
      </c>
      <c r="S14" s="17">
        <f t="shared" ref="S14:AF14" si="6">SUM(C26:C29)</f>
        <v>24.285714285714288</v>
      </c>
      <c r="T14" s="17">
        <f t="shared" si="6"/>
        <v>1.4285714285714284</v>
      </c>
      <c r="U14" s="17">
        <f t="shared" si="6"/>
        <v>2.2857142857142856</v>
      </c>
      <c r="V14" s="17">
        <f t="shared" si="6"/>
        <v>7.2857142857142865</v>
      </c>
      <c r="W14" s="17">
        <f t="shared" si="6"/>
        <v>0.5714285714285714</v>
      </c>
      <c r="X14" s="17">
        <f t="shared" si="6"/>
        <v>0.2857142857142857</v>
      </c>
      <c r="Y14" s="17">
        <f t="shared" si="6"/>
        <v>3.285714285714286</v>
      </c>
      <c r="Z14" s="17">
        <f t="shared" si="6"/>
        <v>2.1428571428571428</v>
      </c>
      <c r="AA14" s="17">
        <f t="shared" si="6"/>
        <v>0.14285714285714285</v>
      </c>
      <c r="AB14" s="17">
        <f t="shared" si="6"/>
        <v>0.5714285714285714</v>
      </c>
      <c r="AC14" s="17">
        <f t="shared" si="6"/>
        <v>39.571428571428569</v>
      </c>
      <c r="AD14" s="17">
        <f t="shared" si="6"/>
        <v>0</v>
      </c>
      <c r="AE14" s="31">
        <f t="shared" si="6"/>
        <v>42.285714285714278</v>
      </c>
      <c r="AF14" s="31">
        <f t="shared" si="6"/>
        <v>81.857142857142861</v>
      </c>
    </row>
    <row r="15" spans="2:32" ht="23.1" customHeight="1" x14ac:dyDescent="0.25">
      <c r="B15" s="23" t="s">
        <v>42</v>
      </c>
      <c r="C15" s="49">
        <f>AVERAGE('25.10 Ibanada-Mbarara'!C15,'26.10 Ibanda-Mbarara-24hr'!C15,'27.10 Ibanda-Mbarara'!C15,'28.10 Ibanda-Mbarara-24hr'!C15,'29.10 Ibanda-Mbarara'!C15,'30.10 Ibanda-Mbarara'!C15,'31.10 Ibanda-Mbarara'!C15)</f>
        <v>7.4285714285714288</v>
      </c>
      <c r="D15" s="49">
        <f>AVERAGE('25.10 Ibanada-Mbarara'!D15,'26.10 Ibanda-Mbarara-24hr'!D15,'27.10 Ibanda-Mbarara'!D15,'28.10 Ibanda-Mbarara-24hr'!D15,'29.10 Ibanda-Mbarara'!D15,'30.10 Ibanda-Mbarara'!D15,'31.10 Ibanda-Mbarara'!D15)</f>
        <v>0.7142857142857143</v>
      </c>
      <c r="E15" s="49">
        <f>AVERAGE('25.10 Ibanada-Mbarara'!E15,'26.10 Ibanda-Mbarara-24hr'!E15,'27.10 Ibanda-Mbarara'!E15,'28.10 Ibanda-Mbarara-24hr'!E15,'29.10 Ibanda-Mbarara'!E15,'30.10 Ibanda-Mbarara'!E15,'31.10 Ibanda-Mbarara'!E15)</f>
        <v>0.2857142857142857</v>
      </c>
      <c r="F15" s="49">
        <f>AVERAGE('25.10 Ibanada-Mbarara'!F15,'26.10 Ibanda-Mbarara-24hr'!F15,'27.10 Ibanda-Mbarara'!F15,'28.10 Ibanda-Mbarara-24hr'!F15,'29.10 Ibanda-Mbarara'!F15,'30.10 Ibanda-Mbarara'!F15,'31.10 Ibanda-Mbarara'!F15)</f>
        <v>2.5714285714285716</v>
      </c>
      <c r="G15" s="49">
        <f>AVERAGE('25.10 Ibanada-Mbarara'!G15,'26.10 Ibanda-Mbarara-24hr'!G15,'27.10 Ibanda-Mbarara'!G15,'28.10 Ibanda-Mbarara-24hr'!G15,'29.10 Ibanda-Mbarara'!G15,'30.10 Ibanda-Mbarara'!G15,'31.10 Ibanda-Mbarara'!G15)</f>
        <v>0</v>
      </c>
      <c r="H15" s="49">
        <f>AVERAGE('25.10 Ibanada-Mbarara'!H15,'26.10 Ibanda-Mbarara-24hr'!H15,'27.10 Ibanda-Mbarara'!H15,'28.10 Ibanda-Mbarara-24hr'!H15,'29.10 Ibanda-Mbarara'!H15,'30.10 Ibanda-Mbarara'!H15,'31.10 Ibanda-Mbarara'!H15)</f>
        <v>0.14285714285714285</v>
      </c>
      <c r="I15" s="49">
        <f>AVERAGE('25.10 Ibanada-Mbarara'!I15,'26.10 Ibanda-Mbarara-24hr'!I15,'27.10 Ibanda-Mbarara'!I15,'28.10 Ibanda-Mbarara-24hr'!I15,'29.10 Ibanda-Mbarara'!I15,'30.10 Ibanda-Mbarara'!I15,'31.10 Ibanda-Mbarara'!I15)</f>
        <v>0.2857142857142857</v>
      </c>
      <c r="J15" s="49">
        <f>AVERAGE('25.10 Ibanada-Mbarara'!J15,'26.10 Ibanda-Mbarara-24hr'!J15,'27.10 Ibanda-Mbarara'!J15,'28.10 Ibanda-Mbarara-24hr'!J15,'29.10 Ibanda-Mbarara'!J15,'30.10 Ibanda-Mbarara'!J15,'31.10 Ibanda-Mbarara'!J15)</f>
        <v>0</v>
      </c>
      <c r="K15" s="49">
        <f>AVERAGE('25.10 Ibanada-Mbarara'!K15,'26.10 Ibanda-Mbarara-24hr'!K15,'27.10 Ibanda-Mbarara'!K15,'28.10 Ibanda-Mbarara-24hr'!K15,'29.10 Ibanda-Mbarara'!K15,'30.10 Ibanda-Mbarara'!K15,'31.10 Ibanda-Mbarara'!K15)</f>
        <v>0</v>
      </c>
      <c r="L15" s="49">
        <f>AVERAGE('25.10 Ibanada-Mbarara'!L15,'26.10 Ibanda-Mbarara-24hr'!L15,'27.10 Ibanda-Mbarara'!L15,'28.10 Ibanda-Mbarara-24hr'!L15,'29.10 Ibanda-Mbarara'!L15,'30.10 Ibanda-Mbarara'!L15,'31.10 Ibanda-Mbarara'!L15)</f>
        <v>0.14285714285714285</v>
      </c>
      <c r="M15" s="49">
        <f>AVERAGE('25.10 Ibanada-Mbarara'!M15,'26.10 Ibanda-Mbarara-24hr'!M15,'27.10 Ibanda-Mbarara'!M15,'28.10 Ibanda-Mbarara-24hr'!M15,'29.10 Ibanda-Mbarara'!M15,'30.10 Ibanda-Mbarara'!M15,'31.10 Ibanda-Mbarara'!M15)</f>
        <v>9.7142857142857135</v>
      </c>
      <c r="N15" s="49">
        <f>AVERAGE('25.10 Ibanada-Mbarara'!N15,'26.10 Ibanda-Mbarara-24hr'!N15,'27.10 Ibanda-Mbarara'!N15,'28.10 Ibanda-Mbarara-24hr'!N15,'29.10 Ibanda-Mbarara'!N15,'30.10 Ibanda-Mbarara'!N15,'31.10 Ibanda-Mbarara'!N15)</f>
        <v>0</v>
      </c>
      <c r="O15" s="15">
        <f t="shared" si="0"/>
        <v>11.571428571428571</v>
      </c>
      <c r="P15" s="15">
        <f t="shared" si="1"/>
        <v>21.285714285714285</v>
      </c>
      <c r="R15" s="1" t="s">
        <v>11</v>
      </c>
      <c r="S15" s="17">
        <f t="shared" ref="S15:AF15" si="7">SUM(C30:C33)</f>
        <v>29.142857142857146</v>
      </c>
      <c r="T15" s="17">
        <f t="shared" si="7"/>
        <v>3.7142857142857144</v>
      </c>
      <c r="U15" s="17">
        <f t="shared" si="7"/>
        <v>3.7142857142857144</v>
      </c>
      <c r="V15" s="17">
        <f t="shared" si="7"/>
        <v>4.8571428571428568</v>
      </c>
      <c r="W15" s="17">
        <f t="shared" si="7"/>
        <v>0</v>
      </c>
      <c r="X15" s="17">
        <f t="shared" si="7"/>
        <v>0.2857142857142857</v>
      </c>
      <c r="Y15" s="17">
        <f t="shared" si="7"/>
        <v>3.8571428571428572</v>
      </c>
      <c r="Z15" s="17">
        <f t="shared" si="7"/>
        <v>2.4285714285714284</v>
      </c>
      <c r="AA15" s="17">
        <f t="shared" si="7"/>
        <v>0</v>
      </c>
      <c r="AB15" s="17">
        <f t="shared" si="7"/>
        <v>0.14285714285714285</v>
      </c>
      <c r="AC15" s="17">
        <f t="shared" si="7"/>
        <v>40.571428571428569</v>
      </c>
      <c r="AD15" s="17">
        <f t="shared" si="7"/>
        <v>0</v>
      </c>
      <c r="AE15" s="31">
        <f t="shared" si="7"/>
        <v>48.142857142857146</v>
      </c>
      <c r="AF15" s="31">
        <f t="shared" si="7"/>
        <v>88.714285714285722</v>
      </c>
    </row>
    <row r="16" spans="2:32" ht="23.1" customHeight="1" x14ac:dyDescent="0.25">
      <c r="B16" s="23" t="s">
        <v>43</v>
      </c>
      <c r="C16" s="49">
        <f>AVERAGE('25.10 Ibanada-Mbarara'!C16,'26.10 Ibanda-Mbarara-24hr'!C16,'27.10 Ibanda-Mbarara'!C16,'28.10 Ibanda-Mbarara-24hr'!C16,'29.10 Ibanda-Mbarara'!C16,'30.10 Ibanda-Mbarara'!C16,'31.10 Ibanda-Mbarara'!C16)</f>
        <v>6.5714285714285712</v>
      </c>
      <c r="D16" s="49">
        <f>AVERAGE('25.10 Ibanada-Mbarara'!D16,'26.10 Ibanda-Mbarara-24hr'!D16,'27.10 Ibanda-Mbarara'!D16,'28.10 Ibanda-Mbarara-24hr'!D16,'29.10 Ibanda-Mbarara'!D16,'30.10 Ibanda-Mbarara'!D16,'31.10 Ibanda-Mbarara'!D16)</f>
        <v>0.8571428571428571</v>
      </c>
      <c r="E16" s="49">
        <f>AVERAGE('25.10 Ibanada-Mbarara'!E16,'26.10 Ibanda-Mbarara-24hr'!E16,'27.10 Ibanda-Mbarara'!E16,'28.10 Ibanda-Mbarara-24hr'!E16,'29.10 Ibanda-Mbarara'!E16,'30.10 Ibanda-Mbarara'!E16,'31.10 Ibanda-Mbarara'!E16)</f>
        <v>0.14285714285714285</v>
      </c>
      <c r="F16" s="49">
        <f>AVERAGE('25.10 Ibanada-Mbarara'!F16,'26.10 Ibanda-Mbarara-24hr'!F16,'27.10 Ibanda-Mbarara'!F16,'28.10 Ibanda-Mbarara-24hr'!F16,'29.10 Ibanda-Mbarara'!F16,'30.10 Ibanda-Mbarara'!F16,'31.10 Ibanda-Mbarara'!F16)</f>
        <v>2.7142857142857144</v>
      </c>
      <c r="G16" s="49">
        <f>AVERAGE('25.10 Ibanada-Mbarara'!G16,'26.10 Ibanda-Mbarara-24hr'!G16,'27.10 Ibanda-Mbarara'!G16,'28.10 Ibanda-Mbarara-24hr'!G16,'29.10 Ibanda-Mbarara'!G16,'30.10 Ibanda-Mbarara'!G16,'31.10 Ibanda-Mbarara'!G16)</f>
        <v>0</v>
      </c>
      <c r="H16" s="49">
        <f>AVERAGE('25.10 Ibanada-Mbarara'!H16,'26.10 Ibanda-Mbarara-24hr'!H16,'27.10 Ibanda-Mbarara'!H16,'28.10 Ibanda-Mbarara-24hr'!H16,'29.10 Ibanda-Mbarara'!H16,'30.10 Ibanda-Mbarara'!H16,'31.10 Ibanda-Mbarara'!H16)</f>
        <v>0.2857142857142857</v>
      </c>
      <c r="I16" s="49">
        <f>AVERAGE('25.10 Ibanada-Mbarara'!I16,'26.10 Ibanda-Mbarara-24hr'!I16,'27.10 Ibanda-Mbarara'!I16,'28.10 Ibanda-Mbarara-24hr'!I16,'29.10 Ibanda-Mbarara'!I16,'30.10 Ibanda-Mbarara'!I16,'31.10 Ibanda-Mbarara'!I16)</f>
        <v>0.2857142857142857</v>
      </c>
      <c r="J16" s="49">
        <f>AVERAGE('25.10 Ibanada-Mbarara'!J16,'26.10 Ibanda-Mbarara-24hr'!J16,'27.10 Ibanda-Mbarara'!J16,'28.10 Ibanda-Mbarara-24hr'!J16,'29.10 Ibanda-Mbarara'!J16,'30.10 Ibanda-Mbarara'!J16,'31.10 Ibanda-Mbarara'!J16)</f>
        <v>0.2857142857142857</v>
      </c>
      <c r="K16" s="49">
        <f>AVERAGE('25.10 Ibanada-Mbarara'!K16,'26.10 Ibanda-Mbarara-24hr'!K16,'27.10 Ibanda-Mbarara'!K16,'28.10 Ibanda-Mbarara-24hr'!K16,'29.10 Ibanda-Mbarara'!K16,'30.10 Ibanda-Mbarara'!K16,'31.10 Ibanda-Mbarara'!K16)</f>
        <v>0</v>
      </c>
      <c r="L16" s="49">
        <f>AVERAGE('25.10 Ibanada-Mbarara'!L16,'26.10 Ibanda-Mbarara-24hr'!L16,'27.10 Ibanda-Mbarara'!L16,'28.10 Ibanda-Mbarara-24hr'!L16,'29.10 Ibanda-Mbarara'!L16,'30.10 Ibanda-Mbarara'!L16,'31.10 Ibanda-Mbarara'!L16)</f>
        <v>0</v>
      </c>
      <c r="M16" s="49">
        <f>AVERAGE('25.10 Ibanada-Mbarara'!M16,'26.10 Ibanda-Mbarara-24hr'!M16,'27.10 Ibanda-Mbarara'!M16,'28.10 Ibanda-Mbarara-24hr'!M16,'29.10 Ibanda-Mbarara'!M16,'30.10 Ibanda-Mbarara'!M16,'31.10 Ibanda-Mbarara'!M16)</f>
        <v>11</v>
      </c>
      <c r="N16" s="49">
        <f>AVERAGE('25.10 Ibanada-Mbarara'!N16,'26.10 Ibanda-Mbarara-24hr'!N16,'27.10 Ibanda-Mbarara'!N16,'28.10 Ibanda-Mbarara-24hr'!N16,'29.10 Ibanda-Mbarara'!N16,'30.10 Ibanda-Mbarara'!N16,'31.10 Ibanda-Mbarara'!N16)</f>
        <v>0</v>
      </c>
      <c r="O16" s="15">
        <f t="shared" si="0"/>
        <v>11.142857142857144</v>
      </c>
      <c r="P16" s="15">
        <f t="shared" si="1"/>
        <v>22.142857142857146</v>
      </c>
      <c r="R16" s="1" t="s">
        <v>12</v>
      </c>
      <c r="S16" s="17">
        <f t="shared" ref="S16:AF16" si="8">SUM(C34:C37)</f>
        <v>27.285714285714285</v>
      </c>
      <c r="T16" s="17">
        <f t="shared" si="8"/>
        <v>2.5714285714285716</v>
      </c>
      <c r="U16" s="17">
        <f t="shared" si="8"/>
        <v>2.5714285714285712</v>
      </c>
      <c r="V16" s="17">
        <f t="shared" si="8"/>
        <v>4.5714285714285721</v>
      </c>
      <c r="W16" s="17">
        <f t="shared" si="8"/>
        <v>0.14285714285714285</v>
      </c>
      <c r="X16" s="17">
        <f t="shared" si="8"/>
        <v>0</v>
      </c>
      <c r="Y16" s="17">
        <f t="shared" si="8"/>
        <v>2.8571428571428572</v>
      </c>
      <c r="Z16" s="17">
        <f t="shared" si="8"/>
        <v>3.4285714285714288</v>
      </c>
      <c r="AA16" s="17">
        <f t="shared" si="8"/>
        <v>0.42857142857142855</v>
      </c>
      <c r="AB16" s="17">
        <f t="shared" si="8"/>
        <v>0.2857142857142857</v>
      </c>
      <c r="AC16" s="17">
        <f t="shared" si="8"/>
        <v>43.142857142857146</v>
      </c>
      <c r="AD16" s="17">
        <f t="shared" si="8"/>
        <v>0</v>
      </c>
      <c r="AE16" s="31">
        <f t="shared" si="8"/>
        <v>44.142857142857139</v>
      </c>
      <c r="AF16" s="31">
        <f t="shared" si="8"/>
        <v>87.285714285714278</v>
      </c>
    </row>
    <row r="17" spans="2:32" ht="23.1" customHeight="1" x14ac:dyDescent="0.25">
      <c r="B17" s="23" t="s">
        <v>44</v>
      </c>
      <c r="C17" s="49">
        <f>AVERAGE('25.10 Ibanada-Mbarara'!C17,'26.10 Ibanda-Mbarara-24hr'!C17,'27.10 Ibanda-Mbarara'!C17,'28.10 Ibanda-Mbarara-24hr'!C17,'29.10 Ibanda-Mbarara'!C17,'30.10 Ibanda-Mbarara'!C17,'31.10 Ibanda-Mbarara'!C17)</f>
        <v>3.8571428571428572</v>
      </c>
      <c r="D17" s="49">
        <f>AVERAGE('25.10 Ibanada-Mbarara'!D17,'26.10 Ibanda-Mbarara-24hr'!D17,'27.10 Ibanda-Mbarara'!D17,'28.10 Ibanda-Mbarara-24hr'!D17,'29.10 Ibanda-Mbarara'!D17,'30.10 Ibanda-Mbarara'!D17,'31.10 Ibanda-Mbarara'!D17)</f>
        <v>0.2857142857142857</v>
      </c>
      <c r="E17" s="49">
        <f>AVERAGE('25.10 Ibanada-Mbarara'!E17,'26.10 Ibanda-Mbarara-24hr'!E17,'27.10 Ibanda-Mbarara'!E17,'28.10 Ibanda-Mbarara-24hr'!E17,'29.10 Ibanda-Mbarara'!E17,'30.10 Ibanda-Mbarara'!E17,'31.10 Ibanda-Mbarara'!E17)</f>
        <v>0.8571428571428571</v>
      </c>
      <c r="F17" s="49">
        <f>AVERAGE('25.10 Ibanada-Mbarara'!F17,'26.10 Ibanda-Mbarara-24hr'!F17,'27.10 Ibanda-Mbarara'!F17,'28.10 Ibanda-Mbarara-24hr'!F17,'29.10 Ibanda-Mbarara'!F17,'30.10 Ibanda-Mbarara'!F17,'31.10 Ibanda-Mbarara'!F17)</f>
        <v>2.1428571428571428</v>
      </c>
      <c r="G17" s="49">
        <f>AVERAGE('25.10 Ibanada-Mbarara'!G17,'26.10 Ibanda-Mbarara-24hr'!G17,'27.10 Ibanda-Mbarara'!G17,'28.10 Ibanda-Mbarara-24hr'!G17,'29.10 Ibanda-Mbarara'!G17,'30.10 Ibanda-Mbarara'!G17,'31.10 Ibanda-Mbarara'!G17)</f>
        <v>0.14285714285714285</v>
      </c>
      <c r="H17" s="49">
        <f>AVERAGE('25.10 Ibanada-Mbarara'!H17,'26.10 Ibanda-Mbarara-24hr'!H17,'27.10 Ibanda-Mbarara'!H17,'28.10 Ibanda-Mbarara-24hr'!H17,'29.10 Ibanda-Mbarara'!H17,'30.10 Ibanda-Mbarara'!H17,'31.10 Ibanda-Mbarara'!H17)</f>
        <v>0.7142857142857143</v>
      </c>
      <c r="I17" s="49">
        <f>AVERAGE('25.10 Ibanada-Mbarara'!I17,'26.10 Ibanda-Mbarara-24hr'!I17,'27.10 Ibanda-Mbarara'!I17,'28.10 Ibanda-Mbarara-24hr'!I17,'29.10 Ibanda-Mbarara'!I17,'30.10 Ibanda-Mbarara'!I17,'31.10 Ibanda-Mbarara'!I17)</f>
        <v>0.14285714285714285</v>
      </c>
      <c r="J17" s="49">
        <f>AVERAGE('25.10 Ibanada-Mbarara'!J17,'26.10 Ibanda-Mbarara-24hr'!J17,'27.10 Ibanda-Mbarara'!J17,'28.10 Ibanda-Mbarara-24hr'!J17,'29.10 Ibanda-Mbarara'!J17,'30.10 Ibanda-Mbarara'!J17,'31.10 Ibanda-Mbarara'!J17)</f>
        <v>0.42857142857142855</v>
      </c>
      <c r="K17" s="49">
        <f>AVERAGE('25.10 Ibanada-Mbarara'!K17,'26.10 Ibanda-Mbarara-24hr'!K17,'27.10 Ibanda-Mbarara'!K17,'28.10 Ibanda-Mbarara-24hr'!K17,'29.10 Ibanda-Mbarara'!K17,'30.10 Ibanda-Mbarara'!K17,'31.10 Ibanda-Mbarara'!K17)</f>
        <v>0</v>
      </c>
      <c r="L17" s="49">
        <f>AVERAGE('25.10 Ibanada-Mbarara'!L17,'26.10 Ibanda-Mbarara-24hr'!L17,'27.10 Ibanda-Mbarara'!L17,'28.10 Ibanda-Mbarara-24hr'!L17,'29.10 Ibanda-Mbarara'!L17,'30.10 Ibanda-Mbarara'!L17,'31.10 Ibanda-Mbarara'!L17)</f>
        <v>0.14285714285714285</v>
      </c>
      <c r="M17" s="49">
        <f>AVERAGE('25.10 Ibanada-Mbarara'!M17,'26.10 Ibanda-Mbarara-24hr'!M17,'27.10 Ibanda-Mbarara'!M17,'28.10 Ibanda-Mbarara-24hr'!M17,'29.10 Ibanda-Mbarara'!M17,'30.10 Ibanda-Mbarara'!M17,'31.10 Ibanda-Mbarara'!M17)</f>
        <v>9.2857142857142865</v>
      </c>
      <c r="N17" s="49">
        <f>AVERAGE('25.10 Ibanada-Mbarara'!N17,'26.10 Ibanda-Mbarara-24hr'!N17,'27.10 Ibanda-Mbarara'!N17,'28.10 Ibanda-Mbarara-24hr'!N17,'29.10 Ibanda-Mbarara'!N17,'30.10 Ibanda-Mbarara'!N17,'31.10 Ibanda-Mbarara'!N17)</f>
        <v>0</v>
      </c>
      <c r="O17" s="15">
        <f t="shared" si="0"/>
        <v>8.7142857142857135</v>
      </c>
      <c r="P17" s="15">
        <f t="shared" si="1"/>
        <v>18</v>
      </c>
      <c r="R17" s="1" t="s">
        <v>13</v>
      </c>
      <c r="S17" s="17">
        <f t="shared" ref="S17:AF17" si="9">SUM(C38:C41)</f>
        <v>25.142857142857142</v>
      </c>
      <c r="T17" s="17">
        <f t="shared" si="9"/>
        <v>4.8571428571428568</v>
      </c>
      <c r="U17" s="17">
        <f t="shared" si="9"/>
        <v>2.1428571428571428</v>
      </c>
      <c r="V17" s="17">
        <f t="shared" si="9"/>
        <v>4.2857142857142856</v>
      </c>
      <c r="W17" s="17">
        <f t="shared" si="9"/>
        <v>0</v>
      </c>
      <c r="X17" s="17">
        <f t="shared" si="9"/>
        <v>0.14285714285714285</v>
      </c>
      <c r="Y17" s="17">
        <f t="shared" si="9"/>
        <v>2.2857142857142856</v>
      </c>
      <c r="Z17" s="17">
        <f t="shared" si="9"/>
        <v>3.5714285714285712</v>
      </c>
      <c r="AA17" s="17">
        <f t="shared" si="9"/>
        <v>0.85714285714285698</v>
      </c>
      <c r="AB17" s="17">
        <f t="shared" si="9"/>
        <v>0.14285714285714285</v>
      </c>
      <c r="AC17" s="17">
        <f t="shared" si="9"/>
        <v>40.285714285714285</v>
      </c>
      <c r="AD17" s="17">
        <f t="shared" si="9"/>
        <v>0.14285714285714285</v>
      </c>
      <c r="AE17" s="31">
        <f t="shared" si="9"/>
        <v>43.571428571428569</v>
      </c>
      <c r="AF17" s="31">
        <f t="shared" si="9"/>
        <v>83.857142857142861</v>
      </c>
    </row>
    <row r="18" spans="2:32" ht="23.1" customHeight="1" x14ac:dyDescent="0.25">
      <c r="B18" s="23" t="s">
        <v>45</v>
      </c>
      <c r="C18" s="49">
        <f>AVERAGE('25.10 Ibanada-Mbarara'!C18,'26.10 Ibanda-Mbarara-24hr'!C18,'27.10 Ibanda-Mbarara'!C18,'28.10 Ibanda-Mbarara-24hr'!C18,'29.10 Ibanda-Mbarara'!C18,'30.10 Ibanda-Mbarara'!C18,'31.10 Ibanda-Mbarara'!C18)</f>
        <v>4.2857142857142856</v>
      </c>
      <c r="D18" s="49">
        <f>AVERAGE('25.10 Ibanada-Mbarara'!D18,'26.10 Ibanda-Mbarara-24hr'!D18,'27.10 Ibanda-Mbarara'!D18,'28.10 Ibanda-Mbarara-24hr'!D18,'29.10 Ibanda-Mbarara'!D18,'30.10 Ibanda-Mbarara'!D18,'31.10 Ibanda-Mbarara'!D18)</f>
        <v>0.42857142857142855</v>
      </c>
      <c r="E18" s="49">
        <f>AVERAGE('25.10 Ibanada-Mbarara'!E18,'26.10 Ibanda-Mbarara-24hr'!E18,'27.10 Ibanda-Mbarara'!E18,'28.10 Ibanda-Mbarara-24hr'!E18,'29.10 Ibanda-Mbarara'!E18,'30.10 Ibanda-Mbarara'!E18,'31.10 Ibanda-Mbarara'!E18)</f>
        <v>0.42857142857142855</v>
      </c>
      <c r="F18" s="49">
        <f>AVERAGE('25.10 Ibanada-Mbarara'!F18,'26.10 Ibanda-Mbarara-24hr'!F18,'27.10 Ibanda-Mbarara'!F18,'28.10 Ibanda-Mbarara-24hr'!F18,'29.10 Ibanda-Mbarara'!F18,'30.10 Ibanda-Mbarara'!F18,'31.10 Ibanda-Mbarara'!F18)</f>
        <v>1.1428571428571428</v>
      </c>
      <c r="G18" s="49">
        <f>AVERAGE('25.10 Ibanada-Mbarara'!G18,'26.10 Ibanda-Mbarara-24hr'!G18,'27.10 Ibanda-Mbarara'!G18,'28.10 Ibanda-Mbarara-24hr'!G18,'29.10 Ibanda-Mbarara'!G18,'30.10 Ibanda-Mbarara'!G18,'31.10 Ibanda-Mbarara'!G18)</f>
        <v>0.14285714285714285</v>
      </c>
      <c r="H18" s="49">
        <f>AVERAGE('25.10 Ibanada-Mbarara'!H18,'26.10 Ibanda-Mbarara-24hr'!H18,'27.10 Ibanda-Mbarara'!H18,'28.10 Ibanda-Mbarara-24hr'!H18,'29.10 Ibanda-Mbarara'!H18,'30.10 Ibanda-Mbarara'!H18,'31.10 Ibanda-Mbarara'!H18)</f>
        <v>0.14285714285714285</v>
      </c>
      <c r="I18" s="49">
        <f>AVERAGE('25.10 Ibanada-Mbarara'!I18,'26.10 Ibanda-Mbarara-24hr'!I18,'27.10 Ibanda-Mbarara'!I18,'28.10 Ibanda-Mbarara-24hr'!I18,'29.10 Ibanda-Mbarara'!I18,'30.10 Ibanda-Mbarara'!I18,'31.10 Ibanda-Mbarara'!I18)</f>
        <v>0.42857142857142855</v>
      </c>
      <c r="J18" s="49">
        <f>AVERAGE('25.10 Ibanada-Mbarara'!J18,'26.10 Ibanda-Mbarara-24hr'!J18,'27.10 Ibanda-Mbarara'!J18,'28.10 Ibanda-Mbarara-24hr'!J18,'29.10 Ibanda-Mbarara'!J18,'30.10 Ibanda-Mbarara'!J18,'31.10 Ibanda-Mbarara'!J18)</f>
        <v>0.2857142857142857</v>
      </c>
      <c r="K18" s="49">
        <f>AVERAGE('25.10 Ibanada-Mbarara'!K18,'26.10 Ibanda-Mbarara-24hr'!K18,'27.10 Ibanda-Mbarara'!K18,'28.10 Ibanda-Mbarara-24hr'!K18,'29.10 Ibanda-Mbarara'!K18,'30.10 Ibanda-Mbarara'!K18,'31.10 Ibanda-Mbarara'!K18)</f>
        <v>0</v>
      </c>
      <c r="L18" s="49">
        <f>AVERAGE('25.10 Ibanada-Mbarara'!L18,'26.10 Ibanda-Mbarara-24hr'!L18,'27.10 Ibanda-Mbarara'!L18,'28.10 Ibanda-Mbarara-24hr'!L18,'29.10 Ibanda-Mbarara'!L18,'30.10 Ibanda-Mbarara'!L18,'31.10 Ibanda-Mbarara'!L18)</f>
        <v>0.2857142857142857</v>
      </c>
      <c r="M18" s="49">
        <f>AVERAGE('25.10 Ibanada-Mbarara'!M18,'26.10 Ibanda-Mbarara-24hr'!M18,'27.10 Ibanda-Mbarara'!M18,'28.10 Ibanda-Mbarara-24hr'!M18,'29.10 Ibanda-Mbarara'!M18,'30.10 Ibanda-Mbarara'!M18,'31.10 Ibanda-Mbarara'!M18)</f>
        <v>8.2857142857142865</v>
      </c>
      <c r="N18" s="49">
        <f>AVERAGE('25.10 Ibanada-Mbarara'!N18,'26.10 Ibanda-Mbarara-24hr'!N18,'27.10 Ibanda-Mbarara'!N18,'28.10 Ibanda-Mbarara-24hr'!N18,'29.10 Ibanda-Mbarara'!N18,'30.10 Ibanda-Mbarara'!N18,'31.10 Ibanda-Mbarara'!N18)</f>
        <v>0</v>
      </c>
      <c r="O18" s="15">
        <f t="shared" si="0"/>
        <v>7.571428571428573</v>
      </c>
      <c r="P18" s="15">
        <f t="shared" si="1"/>
        <v>15.857142857142859</v>
      </c>
      <c r="R18" s="1" t="s">
        <v>14</v>
      </c>
      <c r="S18" s="17">
        <f t="shared" ref="S18:AF18" si="10">SUM(C42:C45)</f>
        <v>27.571428571428573</v>
      </c>
      <c r="T18" s="17">
        <f t="shared" si="10"/>
        <v>4.1428571428571423</v>
      </c>
      <c r="U18" s="17">
        <f t="shared" si="10"/>
        <v>4.1428571428571423</v>
      </c>
      <c r="V18" s="17">
        <f t="shared" si="10"/>
        <v>5.7142857142857144</v>
      </c>
      <c r="W18" s="17">
        <f t="shared" si="10"/>
        <v>0.2857142857142857</v>
      </c>
      <c r="X18" s="17">
        <f t="shared" si="10"/>
        <v>0</v>
      </c>
      <c r="Y18" s="17">
        <f t="shared" si="10"/>
        <v>3.1428571428571428</v>
      </c>
      <c r="Z18" s="17">
        <f t="shared" si="10"/>
        <v>3.5714285714285716</v>
      </c>
      <c r="AA18" s="17">
        <f t="shared" si="10"/>
        <v>0.5714285714285714</v>
      </c>
      <c r="AB18" s="17">
        <f t="shared" si="10"/>
        <v>0.2857142857142857</v>
      </c>
      <c r="AC18" s="17">
        <f t="shared" si="10"/>
        <v>41.285714285714278</v>
      </c>
      <c r="AD18" s="17">
        <f t="shared" si="10"/>
        <v>0</v>
      </c>
      <c r="AE18" s="31">
        <f t="shared" si="10"/>
        <v>49.428571428571431</v>
      </c>
      <c r="AF18" s="31">
        <f t="shared" si="10"/>
        <v>90.714285714285694</v>
      </c>
    </row>
    <row r="19" spans="2:32" ht="23.1" customHeight="1" x14ac:dyDescent="0.25">
      <c r="B19" s="23" t="s">
        <v>46</v>
      </c>
      <c r="C19" s="49">
        <f>AVERAGE('25.10 Ibanada-Mbarara'!C19,'26.10 Ibanda-Mbarara-24hr'!C19,'27.10 Ibanda-Mbarara'!C19,'28.10 Ibanda-Mbarara-24hr'!C19,'29.10 Ibanda-Mbarara'!C19,'30.10 Ibanda-Mbarara'!C19,'31.10 Ibanda-Mbarara'!C19)</f>
        <v>4.1428571428571432</v>
      </c>
      <c r="D19" s="49">
        <f>AVERAGE('25.10 Ibanada-Mbarara'!D19,'26.10 Ibanda-Mbarara-24hr'!D19,'27.10 Ibanda-Mbarara'!D19,'28.10 Ibanda-Mbarara-24hr'!D19,'29.10 Ibanda-Mbarara'!D19,'30.10 Ibanda-Mbarara'!D19,'31.10 Ibanda-Mbarara'!D19)</f>
        <v>0.7142857142857143</v>
      </c>
      <c r="E19" s="49">
        <f>AVERAGE('25.10 Ibanada-Mbarara'!E19,'26.10 Ibanda-Mbarara-24hr'!E19,'27.10 Ibanda-Mbarara'!E19,'28.10 Ibanda-Mbarara-24hr'!E19,'29.10 Ibanda-Mbarara'!E19,'30.10 Ibanda-Mbarara'!E19,'31.10 Ibanda-Mbarara'!E19)</f>
        <v>1</v>
      </c>
      <c r="F19" s="49">
        <f>AVERAGE('25.10 Ibanada-Mbarara'!F19,'26.10 Ibanda-Mbarara-24hr'!F19,'27.10 Ibanda-Mbarara'!F19,'28.10 Ibanda-Mbarara-24hr'!F19,'29.10 Ibanda-Mbarara'!F19,'30.10 Ibanda-Mbarara'!F19,'31.10 Ibanda-Mbarara'!F19)</f>
        <v>2.1428571428571428</v>
      </c>
      <c r="G19" s="49">
        <f>AVERAGE('25.10 Ibanada-Mbarara'!G19,'26.10 Ibanda-Mbarara-24hr'!G19,'27.10 Ibanda-Mbarara'!G19,'28.10 Ibanda-Mbarara-24hr'!G19,'29.10 Ibanda-Mbarara'!G19,'30.10 Ibanda-Mbarara'!G19,'31.10 Ibanda-Mbarara'!G19)</f>
        <v>0</v>
      </c>
      <c r="H19" s="49">
        <f>AVERAGE('25.10 Ibanada-Mbarara'!H19,'26.10 Ibanda-Mbarara-24hr'!H19,'27.10 Ibanda-Mbarara'!H19,'28.10 Ibanda-Mbarara-24hr'!H19,'29.10 Ibanda-Mbarara'!H19,'30.10 Ibanda-Mbarara'!H19,'31.10 Ibanda-Mbarara'!H19)</f>
        <v>0</v>
      </c>
      <c r="I19" s="49">
        <f>AVERAGE('25.10 Ibanada-Mbarara'!I19,'26.10 Ibanda-Mbarara-24hr'!I19,'27.10 Ibanda-Mbarara'!I19,'28.10 Ibanda-Mbarara-24hr'!I19,'29.10 Ibanda-Mbarara'!I19,'30.10 Ibanda-Mbarara'!I19,'31.10 Ibanda-Mbarara'!I19)</f>
        <v>0.14285714285714285</v>
      </c>
      <c r="J19" s="49">
        <f>AVERAGE('25.10 Ibanada-Mbarara'!J19,'26.10 Ibanda-Mbarara-24hr'!J19,'27.10 Ibanda-Mbarara'!J19,'28.10 Ibanda-Mbarara-24hr'!J19,'29.10 Ibanda-Mbarara'!J19,'30.10 Ibanda-Mbarara'!J19,'31.10 Ibanda-Mbarara'!J19)</f>
        <v>0.42857142857142855</v>
      </c>
      <c r="K19" s="49">
        <f>AVERAGE('25.10 Ibanada-Mbarara'!K19,'26.10 Ibanda-Mbarara-24hr'!K19,'27.10 Ibanda-Mbarara'!K19,'28.10 Ibanda-Mbarara-24hr'!K19,'29.10 Ibanda-Mbarara'!K19,'30.10 Ibanda-Mbarara'!K19,'31.10 Ibanda-Mbarara'!K19)</f>
        <v>0</v>
      </c>
      <c r="L19" s="49">
        <f>AVERAGE('25.10 Ibanada-Mbarara'!L19,'26.10 Ibanda-Mbarara-24hr'!L19,'27.10 Ibanda-Mbarara'!L19,'28.10 Ibanda-Mbarara-24hr'!L19,'29.10 Ibanda-Mbarara'!L19,'30.10 Ibanda-Mbarara'!L19,'31.10 Ibanda-Mbarara'!L19)</f>
        <v>0</v>
      </c>
      <c r="M19" s="49">
        <f>AVERAGE('25.10 Ibanada-Mbarara'!M19,'26.10 Ibanda-Mbarara-24hr'!M19,'27.10 Ibanda-Mbarara'!M19,'28.10 Ibanda-Mbarara-24hr'!M19,'29.10 Ibanda-Mbarara'!M19,'30.10 Ibanda-Mbarara'!M19,'31.10 Ibanda-Mbarara'!M19)</f>
        <v>11.714285714285714</v>
      </c>
      <c r="N19" s="49">
        <f>AVERAGE('25.10 Ibanada-Mbarara'!N19,'26.10 Ibanda-Mbarara-24hr'!N19,'27.10 Ibanda-Mbarara'!N19,'28.10 Ibanda-Mbarara-24hr'!N19,'29.10 Ibanda-Mbarara'!N19,'30.10 Ibanda-Mbarara'!N19,'31.10 Ibanda-Mbarara'!N19)</f>
        <v>0</v>
      </c>
      <c r="O19" s="15">
        <f t="shared" si="0"/>
        <v>8.5714285714285712</v>
      </c>
      <c r="P19" s="15">
        <f t="shared" si="1"/>
        <v>20.285714285714285</v>
      </c>
      <c r="R19" s="1" t="s">
        <v>15</v>
      </c>
      <c r="S19" s="17">
        <f t="shared" ref="S19:AF19" si="11">SUM(C46:C49)</f>
        <v>29.142857142857146</v>
      </c>
      <c r="T19" s="17">
        <f t="shared" si="11"/>
        <v>5.1428571428571423</v>
      </c>
      <c r="U19" s="17">
        <f t="shared" si="11"/>
        <v>3.1428571428571428</v>
      </c>
      <c r="V19" s="17">
        <f t="shared" si="11"/>
        <v>5.2857142857142856</v>
      </c>
      <c r="W19" s="17">
        <f t="shared" si="11"/>
        <v>0</v>
      </c>
      <c r="X19" s="17">
        <f t="shared" si="11"/>
        <v>0</v>
      </c>
      <c r="Y19" s="17">
        <f t="shared" si="11"/>
        <v>2.2857142857142856</v>
      </c>
      <c r="Z19" s="17">
        <f t="shared" si="11"/>
        <v>3.7142857142857144</v>
      </c>
      <c r="AA19" s="17">
        <f t="shared" si="11"/>
        <v>0.5714285714285714</v>
      </c>
      <c r="AB19" s="17">
        <f t="shared" si="11"/>
        <v>0.85714285714285698</v>
      </c>
      <c r="AC19" s="17">
        <f t="shared" si="11"/>
        <v>46.571428571428569</v>
      </c>
      <c r="AD19" s="17">
        <f t="shared" si="11"/>
        <v>0</v>
      </c>
      <c r="AE19" s="31">
        <f t="shared" si="11"/>
        <v>50.142857142857139</v>
      </c>
      <c r="AF19" s="31">
        <f t="shared" si="11"/>
        <v>96.714285714285708</v>
      </c>
    </row>
    <row r="20" spans="2:32" ht="23.1" customHeight="1" x14ac:dyDescent="0.25">
      <c r="B20" s="23" t="s">
        <v>47</v>
      </c>
      <c r="C20" s="49">
        <f>AVERAGE('25.10 Ibanada-Mbarara'!C20,'26.10 Ibanda-Mbarara-24hr'!C20,'27.10 Ibanda-Mbarara'!C20,'28.10 Ibanda-Mbarara-24hr'!C20,'29.10 Ibanda-Mbarara'!C20,'30.10 Ibanda-Mbarara'!C20,'31.10 Ibanda-Mbarara'!C20)</f>
        <v>5.1428571428571432</v>
      </c>
      <c r="D20" s="49">
        <f>AVERAGE('25.10 Ibanada-Mbarara'!D20,'26.10 Ibanda-Mbarara-24hr'!D20,'27.10 Ibanda-Mbarara'!D20,'28.10 Ibanda-Mbarara-24hr'!D20,'29.10 Ibanda-Mbarara'!D20,'30.10 Ibanda-Mbarara'!D20,'31.10 Ibanda-Mbarara'!D20)</f>
        <v>0.14285714285714285</v>
      </c>
      <c r="E20" s="49">
        <f>AVERAGE('25.10 Ibanada-Mbarara'!E20,'26.10 Ibanda-Mbarara-24hr'!E20,'27.10 Ibanda-Mbarara'!E20,'28.10 Ibanda-Mbarara-24hr'!E20,'29.10 Ibanda-Mbarara'!E20,'30.10 Ibanda-Mbarara'!E20,'31.10 Ibanda-Mbarara'!E20)</f>
        <v>0.7142857142857143</v>
      </c>
      <c r="F20" s="49">
        <f>AVERAGE('25.10 Ibanada-Mbarara'!F20,'26.10 Ibanda-Mbarara-24hr'!F20,'27.10 Ibanda-Mbarara'!F20,'28.10 Ibanda-Mbarara-24hr'!F20,'29.10 Ibanda-Mbarara'!F20,'30.10 Ibanda-Mbarara'!F20,'31.10 Ibanda-Mbarara'!F20)</f>
        <v>2.8571428571428572</v>
      </c>
      <c r="G20" s="49">
        <f>AVERAGE('25.10 Ibanada-Mbarara'!G20,'26.10 Ibanda-Mbarara-24hr'!G20,'27.10 Ibanda-Mbarara'!G20,'28.10 Ibanda-Mbarara-24hr'!G20,'29.10 Ibanda-Mbarara'!G20,'30.10 Ibanda-Mbarara'!G20,'31.10 Ibanda-Mbarara'!G20)</f>
        <v>0</v>
      </c>
      <c r="H20" s="49">
        <f>AVERAGE('25.10 Ibanada-Mbarara'!H20,'26.10 Ibanda-Mbarara-24hr'!H20,'27.10 Ibanda-Mbarara'!H20,'28.10 Ibanda-Mbarara-24hr'!H20,'29.10 Ibanda-Mbarara'!H20,'30.10 Ibanda-Mbarara'!H20,'31.10 Ibanda-Mbarara'!H20)</f>
        <v>0</v>
      </c>
      <c r="I20" s="49">
        <f>AVERAGE('25.10 Ibanada-Mbarara'!I20,'26.10 Ibanda-Mbarara-24hr'!I20,'27.10 Ibanda-Mbarara'!I20,'28.10 Ibanda-Mbarara-24hr'!I20,'29.10 Ibanda-Mbarara'!I20,'30.10 Ibanda-Mbarara'!I20,'31.10 Ibanda-Mbarara'!I20)</f>
        <v>0.2857142857142857</v>
      </c>
      <c r="J20" s="49">
        <f>AVERAGE('25.10 Ibanada-Mbarara'!J20,'26.10 Ibanda-Mbarara-24hr'!J20,'27.10 Ibanda-Mbarara'!J20,'28.10 Ibanda-Mbarara-24hr'!J20,'29.10 Ibanda-Mbarara'!J20,'30.10 Ibanda-Mbarara'!J20,'31.10 Ibanda-Mbarara'!J20)</f>
        <v>0.42857142857142855</v>
      </c>
      <c r="K20" s="49">
        <f>AVERAGE('25.10 Ibanada-Mbarara'!K20,'26.10 Ibanda-Mbarara-24hr'!K20,'27.10 Ibanda-Mbarara'!K20,'28.10 Ibanda-Mbarara-24hr'!K20,'29.10 Ibanda-Mbarara'!K20,'30.10 Ibanda-Mbarara'!K20,'31.10 Ibanda-Mbarara'!K20)</f>
        <v>0</v>
      </c>
      <c r="L20" s="49">
        <f>AVERAGE('25.10 Ibanada-Mbarara'!L20,'26.10 Ibanda-Mbarara-24hr'!L20,'27.10 Ibanda-Mbarara'!L20,'28.10 Ibanda-Mbarara-24hr'!L20,'29.10 Ibanda-Mbarara'!L20,'30.10 Ibanda-Mbarara'!L20,'31.10 Ibanda-Mbarara'!L20)</f>
        <v>0</v>
      </c>
      <c r="M20" s="49">
        <f>AVERAGE('25.10 Ibanada-Mbarara'!M20,'26.10 Ibanda-Mbarara-24hr'!M20,'27.10 Ibanda-Mbarara'!M20,'28.10 Ibanda-Mbarara-24hr'!M20,'29.10 Ibanda-Mbarara'!M20,'30.10 Ibanda-Mbarara'!M20,'31.10 Ibanda-Mbarara'!M20)</f>
        <v>9.5714285714285712</v>
      </c>
      <c r="N20" s="49">
        <f>AVERAGE('25.10 Ibanada-Mbarara'!N20,'26.10 Ibanda-Mbarara-24hr'!N20,'27.10 Ibanda-Mbarara'!N20,'28.10 Ibanda-Mbarara-24hr'!N20,'29.10 Ibanda-Mbarara'!N20,'30.10 Ibanda-Mbarara'!N20,'31.10 Ibanda-Mbarara'!N20)</f>
        <v>0</v>
      </c>
      <c r="O20" s="15">
        <f t="shared" si="0"/>
        <v>9.571428571428573</v>
      </c>
      <c r="P20" s="15">
        <f t="shared" si="1"/>
        <v>19.142857142857146</v>
      </c>
      <c r="R20" s="1" t="s">
        <v>16</v>
      </c>
      <c r="S20" s="17">
        <f t="shared" ref="S20:AF20" si="12">SUM(C50:C53)</f>
        <v>27.142857142857146</v>
      </c>
      <c r="T20" s="17">
        <f t="shared" si="12"/>
        <v>3.5714285714285712</v>
      </c>
      <c r="U20" s="17">
        <f t="shared" si="12"/>
        <v>3.4285714285714288</v>
      </c>
      <c r="V20" s="17">
        <f t="shared" si="12"/>
        <v>5</v>
      </c>
      <c r="W20" s="17">
        <f t="shared" si="12"/>
        <v>0</v>
      </c>
      <c r="X20" s="17">
        <f t="shared" si="12"/>
        <v>0</v>
      </c>
      <c r="Y20" s="17">
        <f t="shared" si="12"/>
        <v>2.2857142857142856</v>
      </c>
      <c r="Z20" s="17">
        <f t="shared" si="12"/>
        <v>4</v>
      </c>
      <c r="AA20" s="17">
        <f t="shared" si="12"/>
        <v>1.1428571428571428</v>
      </c>
      <c r="AB20" s="17">
        <f t="shared" si="12"/>
        <v>0.2857142857142857</v>
      </c>
      <c r="AC20" s="17">
        <f t="shared" si="12"/>
        <v>51.285714285714278</v>
      </c>
      <c r="AD20" s="17">
        <f t="shared" si="12"/>
        <v>0</v>
      </c>
      <c r="AE20" s="31">
        <f t="shared" si="12"/>
        <v>46.857142857142861</v>
      </c>
      <c r="AF20" s="31">
        <f t="shared" si="12"/>
        <v>98.142857142857139</v>
      </c>
    </row>
    <row r="21" spans="2:32" ht="23.1" customHeight="1" x14ac:dyDescent="0.25">
      <c r="B21" s="23" t="s">
        <v>48</v>
      </c>
      <c r="C21" s="49">
        <f>AVERAGE('25.10 Ibanada-Mbarara'!C21,'26.10 Ibanda-Mbarara-24hr'!C21,'27.10 Ibanda-Mbarara'!C21,'28.10 Ibanda-Mbarara-24hr'!C21,'29.10 Ibanda-Mbarara'!C21,'30.10 Ibanda-Mbarara'!C21,'31.10 Ibanda-Mbarara'!C21)</f>
        <v>7</v>
      </c>
      <c r="D21" s="49">
        <f>AVERAGE('25.10 Ibanada-Mbarara'!D21,'26.10 Ibanda-Mbarara-24hr'!D21,'27.10 Ibanda-Mbarara'!D21,'28.10 Ibanda-Mbarara-24hr'!D21,'29.10 Ibanda-Mbarara'!D21,'30.10 Ibanda-Mbarara'!D21,'31.10 Ibanda-Mbarara'!D21)</f>
        <v>0.5714285714285714</v>
      </c>
      <c r="E21" s="49">
        <f>AVERAGE('25.10 Ibanada-Mbarara'!E21,'26.10 Ibanda-Mbarara-24hr'!E21,'27.10 Ibanda-Mbarara'!E21,'28.10 Ibanda-Mbarara-24hr'!E21,'29.10 Ibanda-Mbarara'!E21,'30.10 Ibanda-Mbarara'!E21,'31.10 Ibanda-Mbarara'!E21)</f>
        <v>1.4285714285714286</v>
      </c>
      <c r="F21" s="49">
        <f>AVERAGE('25.10 Ibanada-Mbarara'!F21,'26.10 Ibanda-Mbarara-24hr'!F21,'27.10 Ibanda-Mbarara'!F21,'28.10 Ibanda-Mbarara-24hr'!F21,'29.10 Ibanda-Mbarara'!F21,'30.10 Ibanda-Mbarara'!F21,'31.10 Ibanda-Mbarara'!F21)</f>
        <v>2.7142857142857144</v>
      </c>
      <c r="G21" s="49">
        <f>AVERAGE('25.10 Ibanada-Mbarara'!G21,'26.10 Ibanda-Mbarara-24hr'!G21,'27.10 Ibanda-Mbarara'!G21,'28.10 Ibanda-Mbarara-24hr'!G21,'29.10 Ibanda-Mbarara'!G21,'30.10 Ibanda-Mbarara'!G21,'31.10 Ibanda-Mbarara'!G21)</f>
        <v>0</v>
      </c>
      <c r="H21" s="49">
        <f>AVERAGE('25.10 Ibanada-Mbarara'!H21,'26.10 Ibanda-Mbarara-24hr'!H21,'27.10 Ibanda-Mbarara'!H21,'28.10 Ibanda-Mbarara-24hr'!H21,'29.10 Ibanda-Mbarara'!H21,'30.10 Ibanda-Mbarara'!H21,'31.10 Ibanda-Mbarara'!H21)</f>
        <v>0</v>
      </c>
      <c r="I21" s="49">
        <f>AVERAGE('25.10 Ibanada-Mbarara'!I21,'26.10 Ibanda-Mbarara-24hr'!I21,'27.10 Ibanda-Mbarara'!I21,'28.10 Ibanda-Mbarara-24hr'!I21,'29.10 Ibanda-Mbarara'!I21,'30.10 Ibanda-Mbarara'!I21,'31.10 Ibanda-Mbarara'!I21)</f>
        <v>0.5714285714285714</v>
      </c>
      <c r="J21" s="49">
        <f>AVERAGE('25.10 Ibanada-Mbarara'!J21,'26.10 Ibanda-Mbarara-24hr'!J21,'27.10 Ibanda-Mbarara'!J21,'28.10 Ibanda-Mbarara-24hr'!J21,'29.10 Ibanda-Mbarara'!J21,'30.10 Ibanda-Mbarara'!J21,'31.10 Ibanda-Mbarara'!J21)</f>
        <v>0.14285714285714285</v>
      </c>
      <c r="K21" s="49">
        <f>AVERAGE('25.10 Ibanada-Mbarara'!K21,'26.10 Ibanda-Mbarara-24hr'!K21,'27.10 Ibanda-Mbarara'!K21,'28.10 Ibanda-Mbarara-24hr'!K21,'29.10 Ibanda-Mbarara'!K21,'30.10 Ibanda-Mbarara'!K21,'31.10 Ibanda-Mbarara'!K21)</f>
        <v>0</v>
      </c>
      <c r="L21" s="49">
        <f>AVERAGE('25.10 Ibanada-Mbarara'!L21,'26.10 Ibanda-Mbarara-24hr'!L21,'27.10 Ibanda-Mbarara'!L21,'28.10 Ibanda-Mbarara-24hr'!L21,'29.10 Ibanda-Mbarara'!L21,'30.10 Ibanda-Mbarara'!L21,'31.10 Ibanda-Mbarara'!L21)</f>
        <v>0.2857142857142857</v>
      </c>
      <c r="M21" s="49">
        <f>AVERAGE('25.10 Ibanada-Mbarara'!M21,'26.10 Ibanda-Mbarara-24hr'!M21,'27.10 Ibanda-Mbarara'!M21,'28.10 Ibanda-Mbarara-24hr'!M21,'29.10 Ibanda-Mbarara'!M21,'30.10 Ibanda-Mbarara'!M21,'31.10 Ibanda-Mbarara'!M21)</f>
        <v>11.428571428571429</v>
      </c>
      <c r="N21" s="49">
        <f>AVERAGE('25.10 Ibanada-Mbarara'!N21,'26.10 Ibanda-Mbarara-24hr'!N21,'27.10 Ibanda-Mbarara'!N21,'28.10 Ibanda-Mbarara-24hr'!N21,'29.10 Ibanda-Mbarara'!N21,'30.10 Ibanda-Mbarara'!N21,'31.10 Ibanda-Mbarara'!N21)</f>
        <v>0</v>
      </c>
      <c r="O21" s="15">
        <f t="shared" si="0"/>
        <v>12.714285714285715</v>
      </c>
      <c r="P21" s="15">
        <f t="shared" si="1"/>
        <v>24.142857142857146</v>
      </c>
      <c r="R21" s="36" t="s">
        <v>20</v>
      </c>
      <c r="S21" s="34">
        <f t="shared" ref="S21:AF21" si="13">SUM(C54:C57)</f>
        <v>30.285714285714285</v>
      </c>
      <c r="T21" s="17">
        <f t="shared" si="13"/>
        <v>3.5714285714285716</v>
      </c>
      <c r="U21" s="17">
        <f t="shared" si="13"/>
        <v>3.8571428571428572</v>
      </c>
      <c r="V21" s="17">
        <f t="shared" si="13"/>
        <v>4.5714285714285712</v>
      </c>
      <c r="W21" s="17">
        <f t="shared" si="13"/>
        <v>0</v>
      </c>
      <c r="X21" s="17">
        <f t="shared" si="13"/>
        <v>0</v>
      </c>
      <c r="Y21" s="17">
        <f t="shared" si="13"/>
        <v>2.5714285714285716</v>
      </c>
      <c r="Z21" s="17">
        <f t="shared" si="13"/>
        <v>3.1428571428571432</v>
      </c>
      <c r="AA21" s="17">
        <f t="shared" si="13"/>
        <v>1.1428571428571428</v>
      </c>
      <c r="AB21" s="17">
        <f t="shared" si="13"/>
        <v>0.85714285714285698</v>
      </c>
      <c r="AC21" s="17">
        <f t="shared" si="13"/>
        <v>47.714285714285715</v>
      </c>
      <c r="AD21" s="17">
        <f t="shared" si="13"/>
        <v>0</v>
      </c>
      <c r="AE21" s="31">
        <f t="shared" si="13"/>
        <v>50</v>
      </c>
      <c r="AF21" s="31">
        <f t="shared" si="13"/>
        <v>97.714285714285722</v>
      </c>
    </row>
    <row r="22" spans="2:32" ht="23.1" customHeight="1" x14ac:dyDescent="0.25">
      <c r="B22" s="23" t="s">
        <v>49</v>
      </c>
      <c r="C22" s="49">
        <f>AVERAGE('25.10 Ibanada-Mbarara'!C22,'26.10 Ibanda-Mbarara-24hr'!C22,'27.10 Ibanda-Mbarara'!C22,'28.10 Ibanda-Mbarara-24hr'!C22,'29.10 Ibanda-Mbarara'!C22,'30.10 Ibanda-Mbarara'!C22,'31.10 Ibanda-Mbarara'!C22)</f>
        <v>6</v>
      </c>
      <c r="D22" s="49">
        <f>AVERAGE('25.10 Ibanada-Mbarara'!D22,'26.10 Ibanda-Mbarara-24hr'!D22,'27.10 Ibanda-Mbarara'!D22,'28.10 Ibanda-Mbarara-24hr'!D22,'29.10 Ibanda-Mbarara'!D22,'30.10 Ibanda-Mbarara'!D22,'31.10 Ibanda-Mbarara'!D22)</f>
        <v>0.8571428571428571</v>
      </c>
      <c r="E22" s="49">
        <f>AVERAGE('25.10 Ibanada-Mbarara'!E22,'26.10 Ibanda-Mbarara-24hr'!E22,'27.10 Ibanda-Mbarara'!E22,'28.10 Ibanda-Mbarara-24hr'!E22,'29.10 Ibanda-Mbarara'!E22,'30.10 Ibanda-Mbarara'!E22,'31.10 Ibanda-Mbarara'!E22)</f>
        <v>1</v>
      </c>
      <c r="F22" s="49">
        <f>AVERAGE('25.10 Ibanada-Mbarara'!F22,'26.10 Ibanda-Mbarara-24hr'!F22,'27.10 Ibanda-Mbarara'!F22,'28.10 Ibanda-Mbarara-24hr'!F22,'29.10 Ibanda-Mbarara'!F22,'30.10 Ibanda-Mbarara'!F22,'31.10 Ibanda-Mbarara'!F22)</f>
        <v>2.1428571428571428</v>
      </c>
      <c r="G22" s="49">
        <f>AVERAGE('25.10 Ibanada-Mbarara'!G22,'26.10 Ibanda-Mbarara-24hr'!G22,'27.10 Ibanda-Mbarara'!G22,'28.10 Ibanda-Mbarara-24hr'!G22,'29.10 Ibanda-Mbarara'!G22,'30.10 Ibanda-Mbarara'!G22,'31.10 Ibanda-Mbarara'!G22)</f>
        <v>0</v>
      </c>
      <c r="H22" s="49">
        <f>AVERAGE('25.10 Ibanada-Mbarara'!H22,'26.10 Ibanda-Mbarara-24hr'!H22,'27.10 Ibanda-Mbarara'!H22,'28.10 Ibanda-Mbarara-24hr'!H22,'29.10 Ibanda-Mbarara'!H22,'30.10 Ibanda-Mbarara'!H22,'31.10 Ibanda-Mbarara'!H22)</f>
        <v>0.42857142857142855</v>
      </c>
      <c r="I22" s="49">
        <f>AVERAGE('25.10 Ibanada-Mbarara'!I22,'26.10 Ibanda-Mbarara-24hr'!I22,'27.10 Ibanda-Mbarara'!I22,'28.10 Ibanda-Mbarara-24hr'!I22,'29.10 Ibanda-Mbarara'!I22,'30.10 Ibanda-Mbarara'!I22,'31.10 Ibanda-Mbarara'!I22)</f>
        <v>0.14285714285714285</v>
      </c>
      <c r="J22" s="49">
        <f>AVERAGE('25.10 Ibanada-Mbarara'!J22,'26.10 Ibanda-Mbarara-24hr'!J22,'27.10 Ibanda-Mbarara'!J22,'28.10 Ibanda-Mbarara-24hr'!J22,'29.10 Ibanda-Mbarara'!J22,'30.10 Ibanda-Mbarara'!J22,'31.10 Ibanda-Mbarara'!J22)</f>
        <v>0.42857142857142855</v>
      </c>
      <c r="K22" s="49">
        <f>AVERAGE('25.10 Ibanada-Mbarara'!K22,'26.10 Ibanda-Mbarara-24hr'!K22,'27.10 Ibanda-Mbarara'!K22,'28.10 Ibanda-Mbarara-24hr'!K22,'29.10 Ibanda-Mbarara'!K22,'30.10 Ibanda-Mbarara'!K22,'31.10 Ibanda-Mbarara'!K22)</f>
        <v>0</v>
      </c>
      <c r="L22" s="49">
        <f>AVERAGE('25.10 Ibanada-Mbarara'!L22,'26.10 Ibanda-Mbarara-24hr'!L22,'27.10 Ibanda-Mbarara'!L22,'28.10 Ibanda-Mbarara-24hr'!L22,'29.10 Ibanda-Mbarara'!L22,'30.10 Ibanda-Mbarara'!L22,'31.10 Ibanda-Mbarara'!L22)</f>
        <v>0</v>
      </c>
      <c r="M22" s="49">
        <f>AVERAGE('25.10 Ibanada-Mbarara'!M22,'26.10 Ibanda-Mbarara-24hr'!M22,'27.10 Ibanda-Mbarara'!M22,'28.10 Ibanda-Mbarara-24hr'!M22,'29.10 Ibanda-Mbarara'!M22,'30.10 Ibanda-Mbarara'!M22,'31.10 Ibanda-Mbarara'!M22)</f>
        <v>8.2857142857142865</v>
      </c>
      <c r="N22" s="49">
        <f>AVERAGE('25.10 Ibanada-Mbarara'!N22,'26.10 Ibanda-Mbarara-24hr'!N22,'27.10 Ibanda-Mbarara'!N22,'28.10 Ibanda-Mbarara-24hr'!N22,'29.10 Ibanda-Mbarara'!N22,'30.10 Ibanda-Mbarara'!N22,'31.10 Ibanda-Mbarara'!N22)</f>
        <v>0</v>
      </c>
      <c r="O22" s="15">
        <f t="shared" si="0"/>
        <v>11</v>
      </c>
      <c r="P22" s="15">
        <f t="shared" si="1"/>
        <v>19.285714285714285</v>
      </c>
      <c r="R22" s="1" t="s">
        <v>146</v>
      </c>
      <c r="S22" s="34">
        <f>SUM(C58:C61)</f>
        <v>24</v>
      </c>
      <c r="T22" s="34">
        <f t="shared" ref="T22:AF22" si="14">SUM(D58:D61)</f>
        <v>2</v>
      </c>
      <c r="U22" s="34">
        <f t="shared" si="14"/>
        <v>1</v>
      </c>
      <c r="V22" s="34">
        <f t="shared" si="14"/>
        <v>8</v>
      </c>
      <c r="W22" s="34">
        <f t="shared" si="14"/>
        <v>1</v>
      </c>
      <c r="X22" s="34">
        <f t="shared" si="14"/>
        <v>0</v>
      </c>
      <c r="Y22" s="34">
        <f t="shared" si="14"/>
        <v>2</v>
      </c>
      <c r="Z22" s="34">
        <f t="shared" si="14"/>
        <v>3.5</v>
      </c>
      <c r="AA22" s="34">
        <f t="shared" si="14"/>
        <v>1.5</v>
      </c>
      <c r="AB22" s="34">
        <f t="shared" si="14"/>
        <v>0</v>
      </c>
      <c r="AC22" s="34">
        <f t="shared" si="14"/>
        <v>23.5</v>
      </c>
      <c r="AD22" s="34">
        <f t="shared" si="14"/>
        <v>0</v>
      </c>
      <c r="AE22" s="31">
        <f t="shared" si="14"/>
        <v>43</v>
      </c>
      <c r="AF22" s="31">
        <f t="shared" si="14"/>
        <v>66.5</v>
      </c>
    </row>
    <row r="23" spans="2:32" ht="23.1" customHeight="1" x14ac:dyDescent="0.25">
      <c r="B23" s="23" t="s">
        <v>50</v>
      </c>
      <c r="C23" s="49">
        <f>AVERAGE('25.10 Ibanada-Mbarara'!C23,'26.10 Ibanda-Mbarara-24hr'!C23,'27.10 Ibanda-Mbarara'!C23,'28.10 Ibanda-Mbarara-24hr'!C23,'29.10 Ibanda-Mbarara'!C23,'30.10 Ibanda-Mbarara'!C23,'31.10 Ibanda-Mbarara'!C23)</f>
        <v>6.1428571428571432</v>
      </c>
      <c r="D23" s="49">
        <f>AVERAGE('25.10 Ibanada-Mbarara'!D23,'26.10 Ibanda-Mbarara-24hr'!D23,'27.10 Ibanda-Mbarara'!D23,'28.10 Ibanda-Mbarara-24hr'!D23,'29.10 Ibanda-Mbarara'!D23,'30.10 Ibanda-Mbarara'!D23,'31.10 Ibanda-Mbarara'!D23)</f>
        <v>0.14285714285714285</v>
      </c>
      <c r="E23" s="49">
        <f>AVERAGE('25.10 Ibanada-Mbarara'!E23,'26.10 Ibanda-Mbarara-24hr'!E23,'27.10 Ibanda-Mbarara'!E23,'28.10 Ibanda-Mbarara-24hr'!E23,'29.10 Ibanda-Mbarara'!E23,'30.10 Ibanda-Mbarara'!E23,'31.10 Ibanda-Mbarara'!E23)</f>
        <v>0.8571428571428571</v>
      </c>
      <c r="F23" s="49">
        <f>AVERAGE('25.10 Ibanada-Mbarara'!F23,'26.10 Ibanda-Mbarara-24hr'!F23,'27.10 Ibanda-Mbarara'!F23,'28.10 Ibanda-Mbarara-24hr'!F23,'29.10 Ibanda-Mbarara'!F23,'30.10 Ibanda-Mbarara'!F23,'31.10 Ibanda-Mbarara'!F23)</f>
        <v>2.4285714285714284</v>
      </c>
      <c r="G23" s="49">
        <f>AVERAGE('25.10 Ibanada-Mbarara'!G23,'26.10 Ibanda-Mbarara-24hr'!G23,'27.10 Ibanda-Mbarara'!G23,'28.10 Ibanda-Mbarara-24hr'!G23,'29.10 Ibanda-Mbarara'!G23,'30.10 Ibanda-Mbarara'!G23,'31.10 Ibanda-Mbarara'!G23)</f>
        <v>0</v>
      </c>
      <c r="H23" s="49">
        <f>AVERAGE('25.10 Ibanada-Mbarara'!H23,'26.10 Ibanda-Mbarara-24hr'!H23,'27.10 Ibanda-Mbarara'!H23,'28.10 Ibanda-Mbarara-24hr'!H23,'29.10 Ibanda-Mbarara'!H23,'30.10 Ibanda-Mbarara'!H23,'31.10 Ibanda-Mbarara'!H23)</f>
        <v>0.14285714285714285</v>
      </c>
      <c r="I23" s="49">
        <f>AVERAGE('25.10 Ibanada-Mbarara'!I23,'26.10 Ibanda-Mbarara-24hr'!I23,'27.10 Ibanda-Mbarara'!I23,'28.10 Ibanda-Mbarara-24hr'!I23,'29.10 Ibanda-Mbarara'!I23,'30.10 Ibanda-Mbarara'!I23,'31.10 Ibanda-Mbarara'!I23)</f>
        <v>0.2857142857142857</v>
      </c>
      <c r="J23" s="49">
        <f>AVERAGE('25.10 Ibanada-Mbarara'!J23,'26.10 Ibanda-Mbarara-24hr'!J23,'27.10 Ibanda-Mbarara'!J23,'28.10 Ibanda-Mbarara-24hr'!J23,'29.10 Ibanda-Mbarara'!J23,'30.10 Ibanda-Mbarara'!J23,'31.10 Ibanda-Mbarara'!J23)</f>
        <v>0.14285714285714285</v>
      </c>
      <c r="K23" s="49">
        <f>AVERAGE('25.10 Ibanada-Mbarara'!K23,'26.10 Ibanda-Mbarara-24hr'!K23,'27.10 Ibanda-Mbarara'!K23,'28.10 Ibanda-Mbarara-24hr'!K23,'29.10 Ibanda-Mbarara'!K23,'30.10 Ibanda-Mbarara'!K23,'31.10 Ibanda-Mbarara'!K23)</f>
        <v>0.14285714285714285</v>
      </c>
      <c r="L23" s="49">
        <f>AVERAGE('25.10 Ibanada-Mbarara'!L23,'26.10 Ibanda-Mbarara-24hr'!L23,'27.10 Ibanda-Mbarara'!L23,'28.10 Ibanda-Mbarara-24hr'!L23,'29.10 Ibanda-Mbarara'!L23,'30.10 Ibanda-Mbarara'!L23,'31.10 Ibanda-Mbarara'!L23)</f>
        <v>0</v>
      </c>
      <c r="M23" s="49">
        <f>AVERAGE('25.10 Ibanada-Mbarara'!M23,'26.10 Ibanda-Mbarara-24hr'!M23,'27.10 Ibanda-Mbarara'!M23,'28.10 Ibanda-Mbarara-24hr'!M23,'29.10 Ibanda-Mbarara'!M23,'30.10 Ibanda-Mbarara'!M23,'31.10 Ibanda-Mbarara'!M23)</f>
        <v>9.7142857142857135</v>
      </c>
      <c r="N23" s="49">
        <f>AVERAGE('25.10 Ibanada-Mbarara'!N23,'26.10 Ibanda-Mbarara-24hr'!N23,'27.10 Ibanda-Mbarara'!N23,'28.10 Ibanda-Mbarara-24hr'!N23,'29.10 Ibanda-Mbarara'!N23,'30.10 Ibanda-Mbarara'!N23,'31.10 Ibanda-Mbarara'!N23)</f>
        <v>0</v>
      </c>
      <c r="O23" s="15">
        <f t="shared" si="0"/>
        <v>10.285714285714285</v>
      </c>
      <c r="P23" s="15">
        <f t="shared" si="1"/>
        <v>20</v>
      </c>
      <c r="R23" s="1" t="s">
        <v>147</v>
      </c>
      <c r="S23" s="34">
        <f>SUM(C62:C65)</f>
        <v>26</v>
      </c>
      <c r="T23" s="34">
        <f t="shared" ref="T23:AF23" si="15">SUM(D62:D65)</f>
        <v>10</v>
      </c>
      <c r="U23" s="34">
        <f t="shared" si="15"/>
        <v>2</v>
      </c>
      <c r="V23" s="34">
        <f t="shared" si="15"/>
        <v>3.5</v>
      </c>
      <c r="W23" s="34">
        <f t="shared" si="15"/>
        <v>0.5</v>
      </c>
      <c r="X23" s="34">
        <f t="shared" si="15"/>
        <v>0</v>
      </c>
      <c r="Y23" s="34">
        <f t="shared" si="15"/>
        <v>1.5</v>
      </c>
      <c r="Z23" s="34">
        <f t="shared" si="15"/>
        <v>3</v>
      </c>
      <c r="AA23" s="34">
        <f t="shared" si="15"/>
        <v>0.5</v>
      </c>
      <c r="AB23" s="34">
        <f t="shared" si="15"/>
        <v>0</v>
      </c>
      <c r="AC23" s="34">
        <f t="shared" si="15"/>
        <v>26.5</v>
      </c>
      <c r="AD23" s="34">
        <f t="shared" si="15"/>
        <v>0</v>
      </c>
      <c r="AE23" s="31">
        <f t="shared" si="15"/>
        <v>47</v>
      </c>
      <c r="AF23" s="31">
        <f t="shared" si="15"/>
        <v>73.5</v>
      </c>
    </row>
    <row r="24" spans="2:32" ht="23.1" customHeight="1" x14ac:dyDescent="0.25">
      <c r="B24" s="23" t="s">
        <v>51</v>
      </c>
      <c r="C24" s="49">
        <f>AVERAGE('25.10 Ibanada-Mbarara'!C24,'26.10 Ibanda-Mbarara-24hr'!C24,'27.10 Ibanda-Mbarara'!C24,'28.10 Ibanda-Mbarara-24hr'!C24,'29.10 Ibanda-Mbarara'!C24,'30.10 Ibanda-Mbarara'!C24,'31.10 Ibanda-Mbarara'!C24)</f>
        <v>6.4285714285714288</v>
      </c>
      <c r="D24" s="49">
        <f>AVERAGE('25.10 Ibanada-Mbarara'!D24,'26.10 Ibanda-Mbarara-24hr'!D24,'27.10 Ibanda-Mbarara'!D24,'28.10 Ibanda-Mbarara-24hr'!D24,'29.10 Ibanda-Mbarara'!D24,'30.10 Ibanda-Mbarara'!D24,'31.10 Ibanda-Mbarara'!D24)</f>
        <v>0.42857142857142855</v>
      </c>
      <c r="E24" s="49">
        <f>AVERAGE('25.10 Ibanada-Mbarara'!E24,'26.10 Ibanda-Mbarara-24hr'!E24,'27.10 Ibanda-Mbarara'!E24,'28.10 Ibanda-Mbarara-24hr'!E24,'29.10 Ibanda-Mbarara'!E24,'30.10 Ibanda-Mbarara'!E24,'31.10 Ibanda-Mbarara'!E24)</f>
        <v>0.42857142857142855</v>
      </c>
      <c r="F24" s="49">
        <f>AVERAGE('25.10 Ibanada-Mbarara'!F24,'26.10 Ibanda-Mbarara-24hr'!F24,'27.10 Ibanda-Mbarara'!F24,'28.10 Ibanda-Mbarara-24hr'!F24,'29.10 Ibanda-Mbarara'!F24,'30.10 Ibanda-Mbarara'!F24,'31.10 Ibanda-Mbarara'!F24)</f>
        <v>1.7142857142857142</v>
      </c>
      <c r="G24" s="49">
        <f>AVERAGE('25.10 Ibanada-Mbarara'!G24,'26.10 Ibanda-Mbarara-24hr'!G24,'27.10 Ibanda-Mbarara'!G24,'28.10 Ibanda-Mbarara-24hr'!G24,'29.10 Ibanda-Mbarara'!G24,'30.10 Ibanda-Mbarara'!G24,'31.10 Ibanda-Mbarara'!G24)</f>
        <v>0</v>
      </c>
      <c r="H24" s="49">
        <f>AVERAGE('25.10 Ibanada-Mbarara'!H24,'26.10 Ibanda-Mbarara-24hr'!H24,'27.10 Ibanda-Mbarara'!H24,'28.10 Ibanda-Mbarara-24hr'!H24,'29.10 Ibanda-Mbarara'!H24,'30.10 Ibanda-Mbarara'!H24,'31.10 Ibanda-Mbarara'!H24)</f>
        <v>0</v>
      </c>
      <c r="I24" s="49">
        <f>AVERAGE('25.10 Ibanada-Mbarara'!I24,'26.10 Ibanda-Mbarara-24hr'!I24,'27.10 Ibanda-Mbarara'!I24,'28.10 Ibanda-Mbarara-24hr'!I24,'29.10 Ibanda-Mbarara'!I24,'30.10 Ibanda-Mbarara'!I24,'31.10 Ibanda-Mbarara'!I24)</f>
        <v>0.7142857142857143</v>
      </c>
      <c r="J24" s="49">
        <f>AVERAGE('25.10 Ibanada-Mbarara'!J24,'26.10 Ibanda-Mbarara-24hr'!J24,'27.10 Ibanda-Mbarara'!J24,'28.10 Ibanda-Mbarara-24hr'!J24,'29.10 Ibanda-Mbarara'!J24,'30.10 Ibanda-Mbarara'!J24,'31.10 Ibanda-Mbarara'!J24)</f>
        <v>0.7142857142857143</v>
      </c>
      <c r="K24" s="49">
        <f>AVERAGE('25.10 Ibanada-Mbarara'!K24,'26.10 Ibanda-Mbarara-24hr'!K24,'27.10 Ibanda-Mbarara'!K24,'28.10 Ibanda-Mbarara-24hr'!K24,'29.10 Ibanda-Mbarara'!K24,'30.10 Ibanda-Mbarara'!K24,'31.10 Ibanda-Mbarara'!K24)</f>
        <v>0</v>
      </c>
      <c r="L24" s="49">
        <f>AVERAGE('25.10 Ibanada-Mbarara'!L24,'26.10 Ibanda-Mbarara-24hr'!L24,'27.10 Ibanda-Mbarara'!L24,'28.10 Ibanda-Mbarara-24hr'!L24,'29.10 Ibanda-Mbarara'!L24,'30.10 Ibanda-Mbarara'!L24,'31.10 Ibanda-Mbarara'!L24)</f>
        <v>0</v>
      </c>
      <c r="M24" s="49">
        <f>AVERAGE('25.10 Ibanada-Mbarara'!M24,'26.10 Ibanda-Mbarara-24hr'!M24,'27.10 Ibanda-Mbarara'!M24,'28.10 Ibanda-Mbarara-24hr'!M24,'29.10 Ibanda-Mbarara'!M24,'30.10 Ibanda-Mbarara'!M24,'31.10 Ibanda-Mbarara'!M24)</f>
        <v>9.5714285714285712</v>
      </c>
      <c r="N24" s="49">
        <f>AVERAGE('25.10 Ibanada-Mbarara'!N24,'26.10 Ibanda-Mbarara-24hr'!N24,'27.10 Ibanda-Mbarara'!N24,'28.10 Ibanda-Mbarara-24hr'!N24,'29.10 Ibanda-Mbarara'!N24,'30.10 Ibanda-Mbarara'!N24,'31.10 Ibanda-Mbarara'!N24)</f>
        <v>0</v>
      </c>
      <c r="O24" s="15">
        <f t="shared" si="0"/>
        <v>10.428571428571427</v>
      </c>
      <c r="P24" s="15">
        <f t="shared" si="1"/>
        <v>20</v>
      </c>
      <c r="R24" s="1" t="s">
        <v>148</v>
      </c>
      <c r="S24" s="34">
        <f>SUM(C66:C69)</f>
        <v>12</v>
      </c>
      <c r="T24" s="34">
        <f t="shared" ref="T24:AF24" si="16">SUM(D66:D69)</f>
        <v>7.5</v>
      </c>
      <c r="U24" s="34">
        <f t="shared" si="16"/>
        <v>1.5</v>
      </c>
      <c r="V24" s="34">
        <f t="shared" si="16"/>
        <v>1.5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3.5</v>
      </c>
      <c r="AA24" s="34">
        <f t="shared" si="16"/>
        <v>0</v>
      </c>
      <c r="AB24" s="34">
        <f t="shared" si="16"/>
        <v>0</v>
      </c>
      <c r="AC24" s="34">
        <f t="shared" si="16"/>
        <v>7.5</v>
      </c>
      <c r="AD24" s="34">
        <f t="shared" si="16"/>
        <v>0</v>
      </c>
      <c r="AE24" s="31">
        <f t="shared" si="16"/>
        <v>27.5</v>
      </c>
      <c r="AF24" s="31">
        <f t="shared" si="16"/>
        <v>35</v>
      </c>
    </row>
    <row r="25" spans="2:32" ht="23.1" customHeight="1" x14ac:dyDescent="0.25">
      <c r="B25" s="23" t="s">
        <v>52</v>
      </c>
      <c r="C25" s="49">
        <f>AVERAGE('25.10 Ibanada-Mbarara'!C25,'26.10 Ibanda-Mbarara-24hr'!C25,'27.10 Ibanda-Mbarara'!C25,'28.10 Ibanda-Mbarara-24hr'!C25,'29.10 Ibanda-Mbarara'!C25,'30.10 Ibanda-Mbarara'!C25,'31.10 Ibanda-Mbarara'!C25)</f>
        <v>7.1428571428571432</v>
      </c>
      <c r="D25" s="49">
        <f>AVERAGE('25.10 Ibanada-Mbarara'!D25,'26.10 Ibanda-Mbarara-24hr'!D25,'27.10 Ibanda-Mbarara'!D25,'28.10 Ibanda-Mbarara-24hr'!D25,'29.10 Ibanda-Mbarara'!D25,'30.10 Ibanda-Mbarara'!D25,'31.10 Ibanda-Mbarara'!D25)</f>
        <v>0.2857142857142857</v>
      </c>
      <c r="E25" s="49">
        <f>AVERAGE('25.10 Ibanada-Mbarara'!E25,'26.10 Ibanda-Mbarara-24hr'!E25,'27.10 Ibanda-Mbarara'!E25,'28.10 Ibanda-Mbarara-24hr'!E25,'29.10 Ibanda-Mbarara'!E25,'30.10 Ibanda-Mbarara'!E25,'31.10 Ibanda-Mbarara'!E25)</f>
        <v>0.42857142857142855</v>
      </c>
      <c r="F25" s="49">
        <f>AVERAGE('25.10 Ibanada-Mbarara'!F25,'26.10 Ibanda-Mbarara-24hr'!F25,'27.10 Ibanda-Mbarara'!F25,'28.10 Ibanda-Mbarara-24hr'!F25,'29.10 Ibanda-Mbarara'!F25,'30.10 Ibanda-Mbarara'!F25,'31.10 Ibanda-Mbarara'!F25)</f>
        <v>2.5714285714285716</v>
      </c>
      <c r="G25" s="49">
        <f>AVERAGE('25.10 Ibanada-Mbarara'!G25,'26.10 Ibanda-Mbarara-24hr'!G25,'27.10 Ibanda-Mbarara'!G25,'28.10 Ibanda-Mbarara-24hr'!G25,'29.10 Ibanda-Mbarara'!G25,'30.10 Ibanda-Mbarara'!G25,'31.10 Ibanda-Mbarara'!G25)</f>
        <v>0.14285714285714285</v>
      </c>
      <c r="H25" s="49">
        <f>AVERAGE('25.10 Ibanada-Mbarara'!H25,'26.10 Ibanda-Mbarara-24hr'!H25,'27.10 Ibanda-Mbarara'!H25,'28.10 Ibanda-Mbarara-24hr'!H25,'29.10 Ibanda-Mbarara'!H25,'30.10 Ibanda-Mbarara'!H25,'31.10 Ibanda-Mbarara'!H25)</f>
        <v>0.14285714285714285</v>
      </c>
      <c r="I25" s="49">
        <f>AVERAGE('25.10 Ibanada-Mbarara'!I25,'26.10 Ibanda-Mbarara-24hr'!I25,'27.10 Ibanda-Mbarara'!I25,'28.10 Ibanda-Mbarara-24hr'!I25,'29.10 Ibanda-Mbarara'!I25,'30.10 Ibanda-Mbarara'!I25,'31.10 Ibanda-Mbarara'!I25)</f>
        <v>0.42857142857142855</v>
      </c>
      <c r="J25" s="49">
        <f>AVERAGE('25.10 Ibanada-Mbarara'!J25,'26.10 Ibanda-Mbarara-24hr'!J25,'27.10 Ibanda-Mbarara'!J25,'28.10 Ibanda-Mbarara-24hr'!J25,'29.10 Ibanda-Mbarara'!J25,'30.10 Ibanda-Mbarara'!J25,'31.10 Ibanda-Mbarara'!J25)</f>
        <v>0.5714285714285714</v>
      </c>
      <c r="K25" s="49">
        <f>AVERAGE('25.10 Ibanada-Mbarara'!K25,'26.10 Ibanda-Mbarara-24hr'!K25,'27.10 Ibanda-Mbarara'!K25,'28.10 Ibanda-Mbarara-24hr'!K25,'29.10 Ibanda-Mbarara'!K25,'30.10 Ibanda-Mbarara'!K25,'31.10 Ibanda-Mbarara'!K25)</f>
        <v>0</v>
      </c>
      <c r="L25" s="49">
        <f>AVERAGE('25.10 Ibanada-Mbarara'!L25,'26.10 Ibanda-Mbarara-24hr'!L25,'27.10 Ibanda-Mbarara'!L25,'28.10 Ibanda-Mbarara-24hr'!L25,'29.10 Ibanda-Mbarara'!L25,'30.10 Ibanda-Mbarara'!L25,'31.10 Ibanda-Mbarara'!L25)</f>
        <v>0</v>
      </c>
      <c r="M25" s="49">
        <f>AVERAGE('25.10 Ibanada-Mbarara'!M25,'26.10 Ibanda-Mbarara-24hr'!M25,'27.10 Ibanda-Mbarara'!M25,'28.10 Ibanda-Mbarara-24hr'!M25,'29.10 Ibanda-Mbarara'!M25,'30.10 Ibanda-Mbarara'!M25,'31.10 Ibanda-Mbarara'!M25)</f>
        <v>10.285714285714286</v>
      </c>
      <c r="N25" s="49">
        <f>AVERAGE('25.10 Ibanada-Mbarara'!N25,'26.10 Ibanda-Mbarara-24hr'!N25,'27.10 Ibanda-Mbarara'!N25,'28.10 Ibanda-Mbarara-24hr'!N25,'29.10 Ibanda-Mbarara'!N25,'30.10 Ibanda-Mbarara'!N25,'31.10 Ibanda-Mbarara'!N25)</f>
        <v>0</v>
      </c>
      <c r="O25" s="15">
        <f t="shared" si="0"/>
        <v>11.714285714285714</v>
      </c>
      <c r="P25" s="15">
        <f t="shared" si="1"/>
        <v>22</v>
      </c>
      <c r="R25" s="1" t="s">
        <v>149</v>
      </c>
      <c r="S25" s="34">
        <f>SUM(C70:C73)</f>
        <v>7</v>
      </c>
      <c r="T25" s="34">
        <f t="shared" ref="T25:AF25" si="17">SUM(D70:D73)</f>
        <v>2</v>
      </c>
      <c r="U25" s="34">
        <f t="shared" si="17"/>
        <v>1.5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2.5</v>
      </c>
      <c r="Z25" s="34">
        <f t="shared" si="17"/>
        <v>3.5</v>
      </c>
      <c r="AA25" s="34">
        <f t="shared" si="17"/>
        <v>0</v>
      </c>
      <c r="AB25" s="34">
        <f t="shared" si="17"/>
        <v>0</v>
      </c>
      <c r="AC25" s="34">
        <f t="shared" si="17"/>
        <v>8</v>
      </c>
      <c r="AD25" s="34">
        <f t="shared" si="17"/>
        <v>0</v>
      </c>
      <c r="AE25" s="31">
        <f t="shared" si="17"/>
        <v>19.5</v>
      </c>
      <c r="AF25" s="31">
        <f t="shared" si="17"/>
        <v>27.5</v>
      </c>
    </row>
    <row r="26" spans="2:32" ht="23.1" customHeight="1" x14ac:dyDescent="0.25">
      <c r="B26" s="23" t="s">
        <v>53</v>
      </c>
      <c r="C26" s="49">
        <f>AVERAGE('25.10 Ibanada-Mbarara'!C26,'26.10 Ibanda-Mbarara-24hr'!C26,'27.10 Ibanda-Mbarara'!C26,'28.10 Ibanda-Mbarara-24hr'!C26,'29.10 Ibanda-Mbarara'!C26,'30.10 Ibanda-Mbarara'!C26,'31.10 Ibanda-Mbarara'!C26)</f>
        <v>5.5714285714285712</v>
      </c>
      <c r="D26" s="49">
        <f>AVERAGE('25.10 Ibanada-Mbarara'!D26,'26.10 Ibanda-Mbarara-24hr'!D26,'27.10 Ibanda-Mbarara'!D26,'28.10 Ibanda-Mbarara-24hr'!D26,'29.10 Ibanda-Mbarara'!D26,'30.10 Ibanda-Mbarara'!D26,'31.10 Ibanda-Mbarara'!D26)</f>
        <v>0.7142857142857143</v>
      </c>
      <c r="E26" s="49">
        <f>AVERAGE('25.10 Ibanada-Mbarara'!E26,'26.10 Ibanda-Mbarara-24hr'!E26,'27.10 Ibanda-Mbarara'!E26,'28.10 Ibanda-Mbarara-24hr'!E26,'29.10 Ibanda-Mbarara'!E26,'30.10 Ibanda-Mbarara'!E26,'31.10 Ibanda-Mbarara'!E26)</f>
        <v>0.5714285714285714</v>
      </c>
      <c r="F26" s="49">
        <f>AVERAGE('25.10 Ibanada-Mbarara'!F26,'26.10 Ibanda-Mbarara-24hr'!F26,'27.10 Ibanda-Mbarara'!F26,'28.10 Ibanda-Mbarara-24hr'!F26,'29.10 Ibanda-Mbarara'!F26,'30.10 Ibanda-Mbarara'!F26,'31.10 Ibanda-Mbarara'!F26)</f>
        <v>2.4285714285714284</v>
      </c>
      <c r="G26" s="49">
        <f>AVERAGE('25.10 Ibanada-Mbarara'!G26,'26.10 Ibanda-Mbarara-24hr'!G26,'27.10 Ibanda-Mbarara'!G26,'28.10 Ibanda-Mbarara-24hr'!G26,'29.10 Ibanda-Mbarara'!G26,'30.10 Ibanda-Mbarara'!G26,'31.10 Ibanda-Mbarara'!G26)</f>
        <v>0.2857142857142857</v>
      </c>
      <c r="H26" s="49">
        <f>AVERAGE('25.10 Ibanada-Mbarara'!H26,'26.10 Ibanda-Mbarara-24hr'!H26,'27.10 Ibanda-Mbarara'!H26,'28.10 Ibanda-Mbarara-24hr'!H26,'29.10 Ibanda-Mbarara'!H26,'30.10 Ibanda-Mbarara'!H26,'31.10 Ibanda-Mbarara'!H26)</f>
        <v>0</v>
      </c>
      <c r="I26" s="49">
        <f>AVERAGE('25.10 Ibanada-Mbarara'!I26,'26.10 Ibanda-Mbarara-24hr'!I26,'27.10 Ibanda-Mbarara'!I26,'28.10 Ibanda-Mbarara-24hr'!I26,'29.10 Ibanda-Mbarara'!I26,'30.10 Ibanda-Mbarara'!I26,'31.10 Ibanda-Mbarara'!I26)</f>
        <v>0.7142857142857143</v>
      </c>
      <c r="J26" s="49">
        <f>AVERAGE('25.10 Ibanada-Mbarara'!J26,'26.10 Ibanda-Mbarara-24hr'!J26,'27.10 Ibanda-Mbarara'!J26,'28.10 Ibanda-Mbarara-24hr'!J26,'29.10 Ibanda-Mbarara'!J26,'30.10 Ibanda-Mbarara'!J26,'31.10 Ibanda-Mbarara'!J26)</f>
        <v>1</v>
      </c>
      <c r="K26" s="49">
        <f>AVERAGE('25.10 Ibanada-Mbarara'!K26,'26.10 Ibanda-Mbarara-24hr'!K26,'27.10 Ibanda-Mbarara'!K26,'28.10 Ibanda-Mbarara-24hr'!K26,'29.10 Ibanda-Mbarara'!K26,'30.10 Ibanda-Mbarara'!K26,'31.10 Ibanda-Mbarara'!K26)</f>
        <v>0</v>
      </c>
      <c r="L26" s="49">
        <f>AVERAGE('25.10 Ibanada-Mbarara'!L26,'26.10 Ibanda-Mbarara-24hr'!L26,'27.10 Ibanda-Mbarara'!L26,'28.10 Ibanda-Mbarara-24hr'!L26,'29.10 Ibanda-Mbarara'!L26,'30.10 Ibanda-Mbarara'!L26,'31.10 Ibanda-Mbarara'!L26)</f>
        <v>0.2857142857142857</v>
      </c>
      <c r="M26" s="49">
        <f>AVERAGE('25.10 Ibanada-Mbarara'!M26,'26.10 Ibanda-Mbarara-24hr'!M26,'27.10 Ibanda-Mbarara'!M26,'28.10 Ibanda-Mbarara-24hr'!M26,'29.10 Ibanda-Mbarara'!M26,'30.10 Ibanda-Mbarara'!M26,'31.10 Ibanda-Mbarara'!M26)</f>
        <v>10.285714285714286</v>
      </c>
      <c r="N26" s="49">
        <f>AVERAGE('25.10 Ibanada-Mbarara'!N26,'26.10 Ibanda-Mbarara-24hr'!N26,'27.10 Ibanda-Mbarara'!N26,'28.10 Ibanda-Mbarara-24hr'!N26,'29.10 Ibanda-Mbarara'!N26,'30.10 Ibanda-Mbarara'!N26,'31.10 Ibanda-Mbarara'!N26)</f>
        <v>0</v>
      </c>
      <c r="O26" s="15">
        <f t="shared" si="0"/>
        <v>11.571428571428571</v>
      </c>
      <c r="P26" s="15">
        <f t="shared" si="1"/>
        <v>21.857142857142858</v>
      </c>
      <c r="R26" s="1" t="s">
        <v>150</v>
      </c>
      <c r="S26" s="34">
        <f>SUM(C74:C77)</f>
        <v>5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1.5</v>
      </c>
      <c r="W26" s="34">
        <f t="shared" si="18"/>
        <v>0</v>
      </c>
      <c r="X26" s="34">
        <f t="shared" si="18"/>
        <v>1</v>
      </c>
      <c r="Y26" s="34">
        <f t="shared" si="18"/>
        <v>0.5</v>
      </c>
      <c r="Z26" s="34">
        <f t="shared" si="18"/>
        <v>0.5</v>
      </c>
      <c r="AA26" s="34">
        <f t="shared" si="18"/>
        <v>0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10.5</v>
      </c>
      <c r="AF26" s="31">
        <f t="shared" si="18"/>
        <v>12.5</v>
      </c>
    </row>
    <row r="27" spans="2:32" ht="23.1" customHeight="1" x14ac:dyDescent="0.25">
      <c r="B27" s="23" t="s">
        <v>54</v>
      </c>
      <c r="C27" s="49">
        <f>AVERAGE('25.10 Ibanada-Mbarara'!C27,'26.10 Ibanda-Mbarara-24hr'!C27,'27.10 Ibanda-Mbarara'!C27,'28.10 Ibanda-Mbarara-24hr'!C27,'29.10 Ibanda-Mbarara'!C27,'30.10 Ibanda-Mbarara'!C27,'31.10 Ibanda-Mbarara'!C27)</f>
        <v>6.4285714285714288</v>
      </c>
      <c r="D27" s="49">
        <f>AVERAGE('25.10 Ibanada-Mbarara'!D27,'26.10 Ibanda-Mbarara-24hr'!D27,'27.10 Ibanda-Mbarara'!D27,'28.10 Ibanda-Mbarara-24hr'!D27,'29.10 Ibanda-Mbarara'!D27,'30.10 Ibanda-Mbarara'!D27,'31.10 Ibanda-Mbarara'!D27)</f>
        <v>0.2857142857142857</v>
      </c>
      <c r="E27" s="49">
        <f>AVERAGE('25.10 Ibanada-Mbarara'!E27,'26.10 Ibanda-Mbarara-24hr'!E27,'27.10 Ibanda-Mbarara'!E27,'28.10 Ibanda-Mbarara-24hr'!E27,'29.10 Ibanda-Mbarara'!E27,'30.10 Ibanda-Mbarara'!E27,'31.10 Ibanda-Mbarara'!E27)</f>
        <v>0.42857142857142855</v>
      </c>
      <c r="F27" s="49">
        <f>AVERAGE('25.10 Ibanada-Mbarara'!F27,'26.10 Ibanda-Mbarara-24hr'!F27,'27.10 Ibanda-Mbarara'!F27,'28.10 Ibanda-Mbarara-24hr'!F27,'29.10 Ibanda-Mbarara'!F27,'30.10 Ibanda-Mbarara'!F27,'31.10 Ibanda-Mbarara'!F27)</f>
        <v>1.2857142857142858</v>
      </c>
      <c r="G27" s="49">
        <f>AVERAGE('25.10 Ibanada-Mbarara'!G27,'26.10 Ibanda-Mbarara-24hr'!G27,'27.10 Ibanda-Mbarara'!G27,'28.10 Ibanda-Mbarara-24hr'!G27,'29.10 Ibanda-Mbarara'!G27,'30.10 Ibanda-Mbarara'!G27,'31.10 Ibanda-Mbarara'!G27)</f>
        <v>0.14285714285714285</v>
      </c>
      <c r="H27" s="49">
        <f>AVERAGE('25.10 Ibanada-Mbarara'!H27,'26.10 Ibanda-Mbarara-24hr'!H27,'27.10 Ibanda-Mbarara'!H27,'28.10 Ibanda-Mbarara-24hr'!H27,'29.10 Ibanda-Mbarara'!H27,'30.10 Ibanda-Mbarara'!H27,'31.10 Ibanda-Mbarara'!H27)</f>
        <v>0.14285714285714285</v>
      </c>
      <c r="I27" s="49">
        <f>AVERAGE('25.10 Ibanada-Mbarara'!I27,'26.10 Ibanda-Mbarara-24hr'!I27,'27.10 Ibanda-Mbarara'!I27,'28.10 Ibanda-Mbarara-24hr'!I27,'29.10 Ibanda-Mbarara'!I27,'30.10 Ibanda-Mbarara'!I27,'31.10 Ibanda-Mbarara'!I27)</f>
        <v>1.1428571428571428</v>
      </c>
      <c r="J27" s="49">
        <f>AVERAGE('25.10 Ibanada-Mbarara'!J27,'26.10 Ibanda-Mbarara-24hr'!J27,'27.10 Ibanda-Mbarara'!J27,'28.10 Ibanda-Mbarara-24hr'!J27,'29.10 Ibanda-Mbarara'!J27,'30.10 Ibanda-Mbarara'!J27,'31.10 Ibanda-Mbarara'!J27)</f>
        <v>0.14285714285714285</v>
      </c>
      <c r="K27" s="49">
        <f>AVERAGE('25.10 Ibanada-Mbarara'!K27,'26.10 Ibanda-Mbarara-24hr'!K27,'27.10 Ibanda-Mbarara'!K27,'28.10 Ibanda-Mbarara-24hr'!K27,'29.10 Ibanda-Mbarara'!K27,'30.10 Ibanda-Mbarara'!K27,'31.10 Ibanda-Mbarara'!K27)</f>
        <v>0</v>
      </c>
      <c r="L27" s="49">
        <f>AVERAGE('25.10 Ibanada-Mbarara'!L27,'26.10 Ibanda-Mbarara-24hr'!L27,'27.10 Ibanda-Mbarara'!L27,'28.10 Ibanda-Mbarara-24hr'!L27,'29.10 Ibanda-Mbarara'!L27,'30.10 Ibanda-Mbarara'!L27,'31.10 Ibanda-Mbarara'!L27)</f>
        <v>0.14285714285714285</v>
      </c>
      <c r="M27" s="49">
        <f>AVERAGE('25.10 Ibanada-Mbarara'!M27,'26.10 Ibanda-Mbarara-24hr'!M27,'27.10 Ibanda-Mbarara'!M27,'28.10 Ibanda-Mbarara-24hr'!M27,'29.10 Ibanda-Mbarara'!M27,'30.10 Ibanda-Mbarara'!M27,'31.10 Ibanda-Mbarara'!M27)</f>
        <v>9.4285714285714288</v>
      </c>
      <c r="N27" s="49">
        <f>AVERAGE('25.10 Ibanada-Mbarara'!N27,'26.10 Ibanda-Mbarara-24hr'!N27,'27.10 Ibanda-Mbarara'!N27,'28.10 Ibanda-Mbarara-24hr'!N27,'29.10 Ibanda-Mbarara'!N27,'30.10 Ibanda-Mbarara'!N27,'31.10 Ibanda-Mbarara'!N27)</f>
        <v>0</v>
      </c>
      <c r="O27" s="15">
        <f t="shared" si="0"/>
        <v>10.142857142857141</v>
      </c>
      <c r="P27" s="15">
        <f t="shared" si="1"/>
        <v>19.571428571428569</v>
      </c>
      <c r="R27" s="1" t="s">
        <v>151</v>
      </c>
      <c r="S27" s="34">
        <f>SUM(C78:C81)</f>
        <v>3.5</v>
      </c>
      <c r="T27" s="34">
        <f t="shared" ref="T27:AF27" si="19">SUM(D78:D81)</f>
        <v>0.5</v>
      </c>
      <c r="U27" s="34">
        <f t="shared" si="19"/>
        <v>0</v>
      </c>
      <c r="V27" s="34">
        <f t="shared" si="19"/>
        <v>0</v>
      </c>
      <c r="W27" s="34">
        <f t="shared" si="19"/>
        <v>0.5</v>
      </c>
      <c r="X27" s="34">
        <f t="shared" si="19"/>
        <v>2.5</v>
      </c>
      <c r="Y27" s="34">
        <f t="shared" si="19"/>
        <v>2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10</v>
      </c>
      <c r="AF27" s="31">
        <f t="shared" si="19"/>
        <v>12</v>
      </c>
    </row>
    <row r="28" spans="2:32" ht="23.1" customHeight="1" x14ac:dyDescent="0.25">
      <c r="B28" s="23" t="s">
        <v>55</v>
      </c>
      <c r="C28" s="49">
        <f>AVERAGE('25.10 Ibanada-Mbarara'!C28,'26.10 Ibanda-Mbarara-24hr'!C28,'27.10 Ibanda-Mbarara'!C28,'28.10 Ibanda-Mbarara-24hr'!C28,'29.10 Ibanda-Mbarara'!C28,'30.10 Ibanda-Mbarara'!C28,'31.10 Ibanda-Mbarara'!C28)</f>
        <v>5.4285714285714288</v>
      </c>
      <c r="D28" s="49">
        <f>AVERAGE('25.10 Ibanada-Mbarara'!D28,'26.10 Ibanda-Mbarara-24hr'!D28,'27.10 Ibanda-Mbarara'!D28,'28.10 Ibanda-Mbarara-24hr'!D28,'29.10 Ibanda-Mbarara'!D28,'30.10 Ibanda-Mbarara'!D28,'31.10 Ibanda-Mbarara'!D28)</f>
        <v>0.2857142857142857</v>
      </c>
      <c r="E28" s="49">
        <f>AVERAGE('25.10 Ibanada-Mbarara'!E28,'26.10 Ibanda-Mbarara-24hr'!E28,'27.10 Ibanda-Mbarara'!E28,'28.10 Ibanda-Mbarara-24hr'!E28,'29.10 Ibanda-Mbarara'!E28,'30.10 Ibanda-Mbarara'!E28,'31.10 Ibanda-Mbarara'!E28)</f>
        <v>0.7142857142857143</v>
      </c>
      <c r="F28" s="49">
        <f>AVERAGE('25.10 Ibanada-Mbarara'!F28,'26.10 Ibanda-Mbarara-24hr'!F28,'27.10 Ibanda-Mbarara'!F28,'28.10 Ibanda-Mbarara-24hr'!F28,'29.10 Ibanda-Mbarara'!F28,'30.10 Ibanda-Mbarara'!F28,'31.10 Ibanda-Mbarara'!F28)</f>
        <v>2.1428571428571428</v>
      </c>
      <c r="G28" s="49">
        <f>AVERAGE('25.10 Ibanada-Mbarara'!G28,'26.10 Ibanda-Mbarara-24hr'!G28,'27.10 Ibanda-Mbarara'!G28,'28.10 Ibanda-Mbarara-24hr'!G28,'29.10 Ibanda-Mbarara'!G28,'30.10 Ibanda-Mbarara'!G28,'31.10 Ibanda-Mbarara'!G28)</f>
        <v>0</v>
      </c>
      <c r="H28" s="49">
        <f>AVERAGE('25.10 Ibanada-Mbarara'!H28,'26.10 Ibanda-Mbarara-24hr'!H28,'27.10 Ibanda-Mbarara'!H28,'28.10 Ibanda-Mbarara-24hr'!H28,'29.10 Ibanda-Mbarara'!H28,'30.10 Ibanda-Mbarara'!H28,'31.10 Ibanda-Mbarara'!H28)</f>
        <v>0</v>
      </c>
      <c r="I28" s="49">
        <f>AVERAGE('25.10 Ibanada-Mbarara'!I28,'26.10 Ibanda-Mbarara-24hr'!I28,'27.10 Ibanda-Mbarara'!I28,'28.10 Ibanda-Mbarara-24hr'!I28,'29.10 Ibanda-Mbarara'!I28,'30.10 Ibanda-Mbarara'!I28,'31.10 Ibanda-Mbarara'!I28)</f>
        <v>0.7142857142857143</v>
      </c>
      <c r="J28" s="49">
        <f>AVERAGE('25.10 Ibanada-Mbarara'!J28,'26.10 Ibanda-Mbarara-24hr'!J28,'27.10 Ibanda-Mbarara'!J28,'28.10 Ibanda-Mbarara-24hr'!J28,'29.10 Ibanda-Mbarara'!J28,'30.10 Ibanda-Mbarara'!J28,'31.10 Ibanda-Mbarara'!J28)</f>
        <v>0.5714285714285714</v>
      </c>
      <c r="K28" s="49">
        <f>AVERAGE('25.10 Ibanada-Mbarara'!K28,'26.10 Ibanda-Mbarara-24hr'!K28,'27.10 Ibanda-Mbarara'!K28,'28.10 Ibanda-Mbarara-24hr'!K28,'29.10 Ibanda-Mbarara'!K28,'30.10 Ibanda-Mbarara'!K28,'31.10 Ibanda-Mbarara'!K28)</f>
        <v>0.14285714285714285</v>
      </c>
      <c r="L28" s="49">
        <f>AVERAGE('25.10 Ibanada-Mbarara'!L28,'26.10 Ibanda-Mbarara-24hr'!L28,'27.10 Ibanda-Mbarara'!L28,'28.10 Ibanda-Mbarara-24hr'!L28,'29.10 Ibanda-Mbarara'!L28,'30.10 Ibanda-Mbarara'!L28,'31.10 Ibanda-Mbarara'!L28)</f>
        <v>0.14285714285714285</v>
      </c>
      <c r="M28" s="49">
        <f>AVERAGE('25.10 Ibanada-Mbarara'!M28,'26.10 Ibanda-Mbarara-24hr'!M28,'27.10 Ibanda-Mbarara'!M28,'28.10 Ibanda-Mbarara-24hr'!M28,'29.10 Ibanda-Mbarara'!M28,'30.10 Ibanda-Mbarara'!M28,'31.10 Ibanda-Mbarara'!M28)</f>
        <v>9.5714285714285712</v>
      </c>
      <c r="N28" s="49">
        <f>AVERAGE('25.10 Ibanada-Mbarara'!N28,'26.10 Ibanda-Mbarara-24hr'!N28,'27.10 Ibanda-Mbarara'!N28,'28.10 Ibanda-Mbarara-24hr'!N28,'29.10 Ibanda-Mbarara'!N28,'30.10 Ibanda-Mbarara'!N28,'31.10 Ibanda-Mbarara'!N28)</f>
        <v>0</v>
      </c>
      <c r="O28" s="15">
        <f t="shared" si="0"/>
        <v>10.142857142857141</v>
      </c>
      <c r="P28" s="15">
        <f t="shared" si="1"/>
        <v>19.714285714285712</v>
      </c>
      <c r="R28" s="1" t="s">
        <v>152</v>
      </c>
      <c r="S28" s="34">
        <f>SUM(C82:C85)</f>
        <v>3.5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1</v>
      </c>
      <c r="AA28" s="34">
        <f t="shared" si="20"/>
        <v>1</v>
      </c>
      <c r="AB28" s="34">
        <f t="shared" si="20"/>
        <v>1</v>
      </c>
      <c r="AC28" s="34">
        <f t="shared" si="20"/>
        <v>4.5</v>
      </c>
      <c r="AD28" s="34">
        <f t="shared" si="20"/>
        <v>0</v>
      </c>
      <c r="AE28" s="31">
        <f t="shared" si="20"/>
        <v>12</v>
      </c>
      <c r="AF28" s="31">
        <f t="shared" si="20"/>
        <v>16.5</v>
      </c>
    </row>
    <row r="29" spans="2:32" ht="23.1" customHeight="1" x14ac:dyDescent="0.25">
      <c r="B29" s="23" t="s">
        <v>56</v>
      </c>
      <c r="C29" s="49">
        <f>AVERAGE('25.10 Ibanada-Mbarara'!C29,'26.10 Ibanda-Mbarara-24hr'!C29,'27.10 Ibanda-Mbarara'!C29,'28.10 Ibanda-Mbarara-24hr'!C29,'29.10 Ibanda-Mbarara'!C29,'30.10 Ibanda-Mbarara'!C29,'31.10 Ibanda-Mbarara'!C29)</f>
        <v>6.8571428571428568</v>
      </c>
      <c r="D29" s="49">
        <f>AVERAGE('25.10 Ibanada-Mbarara'!D29,'26.10 Ibanda-Mbarara-24hr'!D29,'27.10 Ibanda-Mbarara'!D29,'28.10 Ibanda-Mbarara-24hr'!D29,'29.10 Ibanda-Mbarara'!D29,'30.10 Ibanda-Mbarara'!D29,'31.10 Ibanda-Mbarara'!D29)</f>
        <v>0.14285714285714285</v>
      </c>
      <c r="E29" s="49">
        <f>AVERAGE('25.10 Ibanada-Mbarara'!E29,'26.10 Ibanda-Mbarara-24hr'!E29,'27.10 Ibanda-Mbarara'!E29,'28.10 Ibanda-Mbarara-24hr'!E29,'29.10 Ibanda-Mbarara'!E29,'30.10 Ibanda-Mbarara'!E29,'31.10 Ibanda-Mbarara'!E29)</f>
        <v>0.5714285714285714</v>
      </c>
      <c r="F29" s="49">
        <f>AVERAGE('25.10 Ibanada-Mbarara'!F29,'26.10 Ibanda-Mbarara-24hr'!F29,'27.10 Ibanda-Mbarara'!F29,'28.10 Ibanda-Mbarara-24hr'!F29,'29.10 Ibanda-Mbarara'!F29,'30.10 Ibanda-Mbarara'!F29,'31.10 Ibanda-Mbarara'!F29)</f>
        <v>1.4285714285714286</v>
      </c>
      <c r="G29" s="49">
        <f>AVERAGE('25.10 Ibanada-Mbarara'!G29,'26.10 Ibanda-Mbarara-24hr'!G29,'27.10 Ibanda-Mbarara'!G29,'28.10 Ibanda-Mbarara-24hr'!G29,'29.10 Ibanda-Mbarara'!G29,'30.10 Ibanda-Mbarara'!G29,'31.10 Ibanda-Mbarara'!G29)</f>
        <v>0.14285714285714285</v>
      </c>
      <c r="H29" s="49">
        <f>AVERAGE('25.10 Ibanada-Mbarara'!H29,'26.10 Ibanda-Mbarara-24hr'!H29,'27.10 Ibanda-Mbarara'!H29,'28.10 Ibanda-Mbarara-24hr'!H29,'29.10 Ibanda-Mbarara'!H29,'30.10 Ibanda-Mbarara'!H29,'31.10 Ibanda-Mbarara'!H29)</f>
        <v>0.14285714285714285</v>
      </c>
      <c r="I29" s="49">
        <f>AVERAGE('25.10 Ibanada-Mbarara'!I29,'26.10 Ibanda-Mbarara-24hr'!I29,'27.10 Ibanda-Mbarara'!I29,'28.10 Ibanda-Mbarara-24hr'!I29,'29.10 Ibanda-Mbarara'!I29,'30.10 Ibanda-Mbarara'!I29,'31.10 Ibanda-Mbarara'!I29)</f>
        <v>0.7142857142857143</v>
      </c>
      <c r="J29" s="49">
        <f>AVERAGE('25.10 Ibanada-Mbarara'!J29,'26.10 Ibanda-Mbarara-24hr'!J29,'27.10 Ibanda-Mbarara'!J29,'28.10 Ibanda-Mbarara-24hr'!J29,'29.10 Ibanda-Mbarara'!J29,'30.10 Ibanda-Mbarara'!J29,'31.10 Ibanda-Mbarara'!J29)</f>
        <v>0.42857142857142855</v>
      </c>
      <c r="K29" s="49">
        <f>AVERAGE('25.10 Ibanada-Mbarara'!K29,'26.10 Ibanda-Mbarara-24hr'!K29,'27.10 Ibanda-Mbarara'!K29,'28.10 Ibanda-Mbarara-24hr'!K29,'29.10 Ibanda-Mbarara'!K29,'30.10 Ibanda-Mbarara'!K29,'31.10 Ibanda-Mbarara'!K29)</f>
        <v>0</v>
      </c>
      <c r="L29" s="49">
        <f>AVERAGE('25.10 Ibanada-Mbarara'!L29,'26.10 Ibanda-Mbarara-24hr'!L29,'27.10 Ibanda-Mbarara'!L29,'28.10 Ibanda-Mbarara-24hr'!L29,'29.10 Ibanda-Mbarara'!L29,'30.10 Ibanda-Mbarara'!L29,'31.10 Ibanda-Mbarara'!L29)</f>
        <v>0</v>
      </c>
      <c r="M29" s="49">
        <f>AVERAGE('25.10 Ibanada-Mbarara'!M29,'26.10 Ibanda-Mbarara-24hr'!M29,'27.10 Ibanda-Mbarara'!M29,'28.10 Ibanda-Mbarara-24hr'!M29,'29.10 Ibanda-Mbarara'!M29,'30.10 Ibanda-Mbarara'!M29,'31.10 Ibanda-Mbarara'!M29)</f>
        <v>10.285714285714286</v>
      </c>
      <c r="N29" s="49">
        <f>AVERAGE('25.10 Ibanada-Mbarara'!N29,'26.10 Ibanda-Mbarara-24hr'!N29,'27.10 Ibanda-Mbarara'!N29,'28.10 Ibanda-Mbarara-24hr'!N29,'29.10 Ibanda-Mbarara'!N29,'30.10 Ibanda-Mbarara'!N29,'31.10 Ibanda-Mbarara'!N29)</f>
        <v>0</v>
      </c>
      <c r="O29" s="15">
        <f t="shared" si="0"/>
        <v>10.428571428571427</v>
      </c>
      <c r="P29" s="15">
        <f t="shared" si="1"/>
        <v>20.714285714285715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0.5</v>
      </c>
      <c r="AA29" s="34">
        <f t="shared" si="21"/>
        <v>1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2.5</v>
      </c>
      <c r="AF29" s="31">
        <f t="shared" si="21"/>
        <v>4.5</v>
      </c>
    </row>
    <row r="30" spans="2:32" ht="23.1" customHeight="1" x14ac:dyDescent="0.25">
      <c r="B30" s="23" t="s">
        <v>57</v>
      </c>
      <c r="C30" s="49">
        <f>AVERAGE('25.10 Ibanada-Mbarara'!C30,'26.10 Ibanda-Mbarara-24hr'!C30,'27.10 Ibanda-Mbarara'!C30,'28.10 Ibanda-Mbarara-24hr'!C30,'29.10 Ibanda-Mbarara'!C30,'30.10 Ibanda-Mbarara'!C30,'31.10 Ibanda-Mbarara'!C30)</f>
        <v>5.2857142857142856</v>
      </c>
      <c r="D30" s="49">
        <f>AVERAGE('25.10 Ibanada-Mbarara'!D30,'26.10 Ibanda-Mbarara-24hr'!D30,'27.10 Ibanda-Mbarara'!D30,'28.10 Ibanda-Mbarara-24hr'!D30,'29.10 Ibanda-Mbarara'!D30,'30.10 Ibanda-Mbarara'!D30,'31.10 Ibanda-Mbarara'!D30)</f>
        <v>0.8571428571428571</v>
      </c>
      <c r="E30" s="49">
        <f>AVERAGE('25.10 Ibanada-Mbarara'!E30,'26.10 Ibanda-Mbarara-24hr'!E30,'27.10 Ibanda-Mbarara'!E30,'28.10 Ibanda-Mbarara-24hr'!E30,'29.10 Ibanda-Mbarara'!E30,'30.10 Ibanda-Mbarara'!E30,'31.10 Ibanda-Mbarara'!E30)</f>
        <v>0.42857142857142855</v>
      </c>
      <c r="F30" s="49">
        <f>AVERAGE('25.10 Ibanada-Mbarara'!F30,'26.10 Ibanda-Mbarara-24hr'!F30,'27.10 Ibanda-Mbarara'!F30,'28.10 Ibanda-Mbarara-24hr'!F30,'29.10 Ibanda-Mbarara'!F30,'30.10 Ibanda-Mbarara'!F30,'31.10 Ibanda-Mbarara'!F30)</f>
        <v>1.7142857142857142</v>
      </c>
      <c r="G30" s="49">
        <f>AVERAGE('25.10 Ibanada-Mbarara'!G30,'26.10 Ibanda-Mbarara-24hr'!G30,'27.10 Ibanda-Mbarara'!G30,'28.10 Ibanda-Mbarara-24hr'!G30,'29.10 Ibanda-Mbarara'!G30,'30.10 Ibanda-Mbarara'!G30,'31.10 Ibanda-Mbarara'!G30)</f>
        <v>0</v>
      </c>
      <c r="H30" s="49">
        <f>AVERAGE('25.10 Ibanada-Mbarara'!H30,'26.10 Ibanda-Mbarara-24hr'!H30,'27.10 Ibanda-Mbarara'!H30,'28.10 Ibanda-Mbarara-24hr'!H30,'29.10 Ibanda-Mbarara'!H30,'30.10 Ibanda-Mbarara'!H30,'31.10 Ibanda-Mbarara'!H30)</f>
        <v>0.14285714285714285</v>
      </c>
      <c r="I30" s="49">
        <f>AVERAGE('25.10 Ibanada-Mbarara'!I30,'26.10 Ibanda-Mbarara-24hr'!I30,'27.10 Ibanda-Mbarara'!I30,'28.10 Ibanda-Mbarara-24hr'!I30,'29.10 Ibanda-Mbarara'!I30,'30.10 Ibanda-Mbarara'!I30,'31.10 Ibanda-Mbarara'!I30)</f>
        <v>1</v>
      </c>
      <c r="J30" s="49">
        <f>AVERAGE('25.10 Ibanada-Mbarara'!J30,'26.10 Ibanda-Mbarara-24hr'!J30,'27.10 Ibanda-Mbarara'!J30,'28.10 Ibanda-Mbarara-24hr'!J30,'29.10 Ibanda-Mbarara'!J30,'30.10 Ibanda-Mbarara'!J30,'31.10 Ibanda-Mbarara'!J30)</f>
        <v>0.14285714285714285</v>
      </c>
      <c r="K30" s="49">
        <f>AVERAGE('25.10 Ibanada-Mbarara'!K30,'26.10 Ibanda-Mbarara-24hr'!K30,'27.10 Ibanda-Mbarara'!K30,'28.10 Ibanda-Mbarara-24hr'!K30,'29.10 Ibanda-Mbarara'!K30,'30.10 Ibanda-Mbarara'!K30,'31.10 Ibanda-Mbarara'!K30)</f>
        <v>0</v>
      </c>
      <c r="L30" s="49">
        <f>AVERAGE('25.10 Ibanada-Mbarara'!L30,'26.10 Ibanda-Mbarara-24hr'!L30,'27.10 Ibanda-Mbarara'!L30,'28.10 Ibanda-Mbarara-24hr'!L30,'29.10 Ibanda-Mbarara'!L30,'30.10 Ibanda-Mbarara'!L30,'31.10 Ibanda-Mbarara'!L30)</f>
        <v>0</v>
      </c>
      <c r="M30" s="49">
        <f>AVERAGE('25.10 Ibanada-Mbarara'!M30,'26.10 Ibanda-Mbarara-24hr'!M30,'27.10 Ibanda-Mbarara'!M30,'28.10 Ibanda-Mbarara-24hr'!M30,'29.10 Ibanda-Mbarara'!M30,'30.10 Ibanda-Mbarara'!M30,'31.10 Ibanda-Mbarara'!M30)</f>
        <v>10.714285714285714</v>
      </c>
      <c r="N30" s="49">
        <f>AVERAGE('25.10 Ibanada-Mbarara'!N30,'26.10 Ibanda-Mbarara-24hr'!N30,'27.10 Ibanda-Mbarara'!N30,'28.10 Ibanda-Mbarara-24hr'!N30,'29.10 Ibanda-Mbarara'!N30,'30.10 Ibanda-Mbarara'!N30,'31.10 Ibanda-Mbarara'!N30)</f>
        <v>0</v>
      </c>
      <c r="O30" s="15">
        <f t="shared" si="0"/>
        <v>9.5714285714285694</v>
      </c>
      <c r="P30" s="15">
        <f t="shared" si="1"/>
        <v>20.285714285714285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6</v>
      </c>
      <c r="AD30" s="34">
        <f t="shared" si="22"/>
        <v>0</v>
      </c>
      <c r="AE30" s="31">
        <f t="shared" si="22"/>
        <v>5</v>
      </c>
      <c r="AF30" s="31">
        <f t="shared" si="22"/>
        <v>11</v>
      </c>
    </row>
    <row r="31" spans="2:32" ht="23.1" customHeight="1" x14ac:dyDescent="0.25">
      <c r="B31" s="24" t="s">
        <v>58</v>
      </c>
      <c r="C31" s="49">
        <f>AVERAGE('25.10 Ibanada-Mbarara'!C31,'26.10 Ibanda-Mbarara-24hr'!C31,'27.10 Ibanda-Mbarara'!C31,'28.10 Ibanda-Mbarara-24hr'!C31,'29.10 Ibanda-Mbarara'!C31,'30.10 Ibanda-Mbarara'!C31,'31.10 Ibanda-Mbarara'!C31)</f>
        <v>9</v>
      </c>
      <c r="D31" s="49">
        <f>AVERAGE('25.10 Ibanada-Mbarara'!D31,'26.10 Ibanda-Mbarara-24hr'!D31,'27.10 Ibanda-Mbarara'!D31,'28.10 Ibanda-Mbarara-24hr'!D31,'29.10 Ibanda-Mbarara'!D31,'30.10 Ibanda-Mbarara'!D31,'31.10 Ibanda-Mbarara'!D31)</f>
        <v>0.5714285714285714</v>
      </c>
      <c r="E31" s="49">
        <f>AVERAGE('25.10 Ibanada-Mbarara'!E31,'26.10 Ibanda-Mbarara-24hr'!E31,'27.10 Ibanda-Mbarara'!E31,'28.10 Ibanda-Mbarara-24hr'!E31,'29.10 Ibanda-Mbarara'!E31,'30.10 Ibanda-Mbarara'!E31,'31.10 Ibanda-Mbarara'!E31)</f>
        <v>0.5714285714285714</v>
      </c>
      <c r="F31" s="49">
        <f>AVERAGE('25.10 Ibanada-Mbarara'!F31,'26.10 Ibanda-Mbarara-24hr'!F31,'27.10 Ibanda-Mbarara'!F31,'28.10 Ibanda-Mbarara-24hr'!F31,'29.10 Ibanda-Mbarara'!F31,'30.10 Ibanda-Mbarara'!F31,'31.10 Ibanda-Mbarara'!F31)</f>
        <v>1.2857142857142858</v>
      </c>
      <c r="G31" s="49">
        <f>AVERAGE('25.10 Ibanada-Mbarara'!G31,'26.10 Ibanda-Mbarara-24hr'!G31,'27.10 Ibanda-Mbarara'!G31,'28.10 Ibanda-Mbarara-24hr'!G31,'29.10 Ibanda-Mbarara'!G31,'30.10 Ibanda-Mbarara'!G31,'31.10 Ibanda-Mbarara'!G31)</f>
        <v>0</v>
      </c>
      <c r="H31" s="49">
        <f>AVERAGE('25.10 Ibanada-Mbarara'!H31,'26.10 Ibanda-Mbarara-24hr'!H31,'27.10 Ibanda-Mbarara'!H31,'28.10 Ibanda-Mbarara-24hr'!H31,'29.10 Ibanda-Mbarara'!H31,'30.10 Ibanda-Mbarara'!H31,'31.10 Ibanda-Mbarara'!H31)</f>
        <v>0.14285714285714285</v>
      </c>
      <c r="I31" s="49">
        <f>AVERAGE('25.10 Ibanada-Mbarara'!I31,'26.10 Ibanda-Mbarara-24hr'!I31,'27.10 Ibanda-Mbarara'!I31,'28.10 Ibanda-Mbarara-24hr'!I31,'29.10 Ibanda-Mbarara'!I31,'30.10 Ibanda-Mbarara'!I31,'31.10 Ibanda-Mbarara'!I31)</f>
        <v>0.2857142857142857</v>
      </c>
      <c r="J31" s="49">
        <f>AVERAGE('25.10 Ibanada-Mbarara'!J31,'26.10 Ibanda-Mbarara-24hr'!J31,'27.10 Ibanda-Mbarara'!J31,'28.10 Ibanda-Mbarara-24hr'!J31,'29.10 Ibanda-Mbarara'!J31,'30.10 Ibanda-Mbarara'!J31,'31.10 Ibanda-Mbarara'!J31)</f>
        <v>0.8571428571428571</v>
      </c>
      <c r="K31" s="49">
        <f>AVERAGE('25.10 Ibanada-Mbarara'!K31,'26.10 Ibanda-Mbarara-24hr'!K31,'27.10 Ibanda-Mbarara'!K31,'28.10 Ibanda-Mbarara-24hr'!K31,'29.10 Ibanda-Mbarara'!K31,'30.10 Ibanda-Mbarara'!K31,'31.10 Ibanda-Mbarara'!K31)</f>
        <v>0</v>
      </c>
      <c r="L31" s="49">
        <f>AVERAGE('25.10 Ibanada-Mbarara'!L31,'26.10 Ibanda-Mbarara-24hr'!L31,'27.10 Ibanda-Mbarara'!L31,'28.10 Ibanda-Mbarara-24hr'!L31,'29.10 Ibanda-Mbarara'!L31,'30.10 Ibanda-Mbarara'!L31,'31.10 Ibanda-Mbarara'!L31)</f>
        <v>0</v>
      </c>
      <c r="M31" s="49">
        <f>AVERAGE('25.10 Ibanada-Mbarara'!M31,'26.10 Ibanda-Mbarara-24hr'!M31,'27.10 Ibanda-Mbarara'!M31,'28.10 Ibanda-Mbarara-24hr'!M31,'29.10 Ibanda-Mbarara'!M31,'30.10 Ibanda-Mbarara'!M31,'31.10 Ibanda-Mbarara'!M31)</f>
        <v>9.8571428571428577</v>
      </c>
      <c r="N31" s="49">
        <f>AVERAGE('25.10 Ibanada-Mbarara'!N31,'26.10 Ibanda-Mbarara-24hr'!N31,'27.10 Ibanda-Mbarara'!N31,'28.10 Ibanda-Mbarara-24hr'!N31,'29.10 Ibanda-Mbarara'!N31,'30.10 Ibanda-Mbarara'!N31,'31.10 Ibanda-Mbarara'!N31)</f>
        <v>0</v>
      </c>
      <c r="O31" s="15">
        <f t="shared" si="0"/>
        <v>12.714285714285715</v>
      </c>
      <c r="P31" s="15">
        <f t="shared" si="1"/>
        <v>22.571428571428573</v>
      </c>
      <c r="R31" s="1" t="s">
        <v>155</v>
      </c>
      <c r="S31" s="34">
        <f>SUM(C94:C97)</f>
        <v>1.5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0.5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4.5</v>
      </c>
      <c r="AF31" s="31">
        <f t="shared" si="23"/>
        <v>4.5</v>
      </c>
    </row>
    <row r="32" spans="2:32" ht="23.1" customHeight="1" x14ac:dyDescent="0.25">
      <c r="B32" s="24" t="s">
        <v>59</v>
      </c>
      <c r="C32" s="49">
        <f>AVERAGE('25.10 Ibanada-Mbarara'!C32,'26.10 Ibanda-Mbarara-24hr'!C32,'27.10 Ibanda-Mbarara'!C32,'28.10 Ibanda-Mbarara-24hr'!C32,'29.10 Ibanda-Mbarara'!C32,'30.10 Ibanda-Mbarara'!C32,'31.10 Ibanda-Mbarara'!C32)</f>
        <v>7.4285714285714288</v>
      </c>
      <c r="D32" s="49">
        <f>AVERAGE('25.10 Ibanada-Mbarara'!D32,'26.10 Ibanda-Mbarara-24hr'!D32,'27.10 Ibanda-Mbarara'!D32,'28.10 Ibanda-Mbarara-24hr'!D32,'29.10 Ibanda-Mbarara'!D32,'30.10 Ibanda-Mbarara'!D32,'31.10 Ibanda-Mbarara'!D32)</f>
        <v>0.42857142857142855</v>
      </c>
      <c r="E32" s="49">
        <f>AVERAGE('25.10 Ibanada-Mbarara'!E32,'26.10 Ibanda-Mbarara-24hr'!E32,'27.10 Ibanda-Mbarara'!E32,'28.10 Ibanda-Mbarara-24hr'!E32,'29.10 Ibanda-Mbarara'!E32,'30.10 Ibanda-Mbarara'!E32,'31.10 Ibanda-Mbarara'!E32)</f>
        <v>1.8571428571428572</v>
      </c>
      <c r="F32" s="49">
        <f>AVERAGE('25.10 Ibanada-Mbarara'!F32,'26.10 Ibanda-Mbarara-24hr'!F32,'27.10 Ibanda-Mbarara'!F32,'28.10 Ibanda-Mbarara-24hr'!F32,'29.10 Ibanda-Mbarara'!F32,'30.10 Ibanda-Mbarara'!F32,'31.10 Ibanda-Mbarara'!F32)</f>
        <v>1.1428571428571428</v>
      </c>
      <c r="G32" s="49">
        <f>AVERAGE('25.10 Ibanada-Mbarara'!G32,'26.10 Ibanda-Mbarara-24hr'!G32,'27.10 Ibanda-Mbarara'!G32,'28.10 Ibanda-Mbarara-24hr'!G32,'29.10 Ibanda-Mbarara'!G32,'30.10 Ibanda-Mbarara'!G32,'31.10 Ibanda-Mbarara'!G32)</f>
        <v>0</v>
      </c>
      <c r="H32" s="49">
        <f>AVERAGE('25.10 Ibanada-Mbarara'!H32,'26.10 Ibanda-Mbarara-24hr'!H32,'27.10 Ibanda-Mbarara'!H32,'28.10 Ibanda-Mbarara-24hr'!H32,'29.10 Ibanda-Mbarara'!H32,'30.10 Ibanda-Mbarara'!H32,'31.10 Ibanda-Mbarara'!H32)</f>
        <v>0</v>
      </c>
      <c r="I32" s="49">
        <f>AVERAGE('25.10 Ibanada-Mbarara'!I32,'26.10 Ibanda-Mbarara-24hr'!I32,'27.10 Ibanda-Mbarara'!I32,'28.10 Ibanda-Mbarara-24hr'!I32,'29.10 Ibanda-Mbarara'!I32,'30.10 Ibanda-Mbarara'!I32,'31.10 Ibanda-Mbarara'!I32)</f>
        <v>1.4285714285714286</v>
      </c>
      <c r="J32" s="49">
        <f>AVERAGE('25.10 Ibanada-Mbarara'!J32,'26.10 Ibanda-Mbarara-24hr'!J32,'27.10 Ibanda-Mbarara'!J32,'28.10 Ibanda-Mbarara-24hr'!J32,'29.10 Ibanda-Mbarara'!J32,'30.10 Ibanda-Mbarara'!J32,'31.10 Ibanda-Mbarara'!J32)</f>
        <v>1</v>
      </c>
      <c r="K32" s="49">
        <f>AVERAGE('25.10 Ibanada-Mbarara'!K32,'26.10 Ibanda-Mbarara-24hr'!K32,'27.10 Ibanda-Mbarara'!K32,'28.10 Ibanda-Mbarara-24hr'!K32,'29.10 Ibanda-Mbarara'!K32,'30.10 Ibanda-Mbarara'!K32,'31.10 Ibanda-Mbarara'!K32)</f>
        <v>0</v>
      </c>
      <c r="L32" s="49">
        <f>AVERAGE('25.10 Ibanada-Mbarara'!L32,'26.10 Ibanda-Mbarara-24hr'!L32,'27.10 Ibanda-Mbarara'!L32,'28.10 Ibanda-Mbarara-24hr'!L32,'29.10 Ibanda-Mbarara'!L32,'30.10 Ibanda-Mbarara'!L32,'31.10 Ibanda-Mbarara'!L32)</f>
        <v>0.14285714285714285</v>
      </c>
      <c r="M32" s="49">
        <f>AVERAGE('25.10 Ibanada-Mbarara'!M32,'26.10 Ibanda-Mbarara-24hr'!M32,'27.10 Ibanda-Mbarara'!M32,'28.10 Ibanda-Mbarara-24hr'!M32,'29.10 Ibanda-Mbarara'!M32,'30.10 Ibanda-Mbarara'!M32,'31.10 Ibanda-Mbarara'!M32)</f>
        <v>11.142857142857142</v>
      </c>
      <c r="N32" s="49">
        <f>AVERAGE('25.10 Ibanada-Mbarara'!N32,'26.10 Ibanda-Mbarara-24hr'!N32,'27.10 Ibanda-Mbarara'!N32,'28.10 Ibanda-Mbarara-24hr'!N32,'29.10 Ibanda-Mbarara'!N32,'30.10 Ibanda-Mbarara'!N32,'31.10 Ibanda-Mbarara'!N32)</f>
        <v>0</v>
      </c>
      <c r="O32" s="15">
        <f t="shared" si="0"/>
        <v>13.428571428571429</v>
      </c>
      <c r="P32" s="15">
        <f t="shared" si="1"/>
        <v>24.571428571428569</v>
      </c>
      <c r="R32" s="1" t="s">
        <v>156</v>
      </c>
      <c r="S32" s="34">
        <f>SUM(C98:C101)</f>
        <v>1.5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0.5</v>
      </c>
      <c r="AA32" s="34">
        <f t="shared" si="24"/>
        <v>1</v>
      </c>
      <c r="AB32" s="34">
        <f t="shared" si="24"/>
        <v>1</v>
      </c>
      <c r="AC32" s="34">
        <f t="shared" si="24"/>
        <v>4</v>
      </c>
      <c r="AD32" s="34">
        <f t="shared" si="24"/>
        <v>0</v>
      </c>
      <c r="AE32" s="31">
        <f t="shared" si="24"/>
        <v>8</v>
      </c>
      <c r="AF32" s="31">
        <f t="shared" si="24"/>
        <v>12</v>
      </c>
    </row>
    <row r="33" spans="2:32" ht="23.1" customHeight="1" x14ac:dyDescent="0.25">
      <c r="B33" s="23" t="s">
        <v>60</v>
      </c>
      <c r="C33" s="49">
        <f>AVERAGE('25.10 Ibanada-Mbarara'!C33,'26.10 Ibanda-Mbarara-24hr'!C33,'27.10 Ibanda-Mbarara'!C33,'28.10 Ibanda-Mbarara-24hr'!C33,'29.10 Ibanda-Mbarara'!C33,'30.10 Ibanda-Mbarara'!C33,'31.10 Ibanda-Mbarara'!C33)</f>
        <v>7.4285714285714288</v>
      </c>
      <c r="D33" s="49">
        <f>AVERAGE('25.10 Ibanada-Mbarara'!D33,'26.10 Ibanda-Mbarara-24hr'!D33,'27.10 Ibanda-Mbarara'!D33,'28.10 Ibanda-Mbarara-24hr'!D33,'29.10 Ibanda-Mbarara'!D33,'30.10 Ibanda-Mbarara'!D33,'31.10 Ibanda-Mbarara'!D33)</f>
        <v>1.8571428571428572</v>
      </c>
      <c r="E33" s="49">
        <f>AVERAGE('25.10 Ibanada-Mbarara'!E33,'26.10 Ibanda-Mbarara-24hr'!E33,'27.10 Ibanda-Mbarara'!E33,'28.10 Ibanda-Mbarara-24hr'!E33,'29.10 Ibanda-Mbarara'!E33,'30.10 Ibanda-Mbarara'!E33,'31.10 Ibanda-Mbarara'!E33)</f>
        <v>0.8571428571428571</v>
      </c>
      <c r="F33" s="49">
        <f>AVERAGE('25.10 Ibanada-Mbarara'!F33,'26.10 Ibanda-Mbarara-24hr'!F33,'27.10 Ibanda-Mbarara'!F33,'28.10 Ibanda-Mbarara-24hr'!F33,'29.10 Ibanda-Mbarara'!F33,'30.10 Ibanda-Mbarara'!F33,'31.10 Ibanda-Mbarara'!F33)</f>
        <v>0.7142857142857143</v>
      </c>
      <c r="G33" s="49">
        <f>AVERAGE('25.10 Ibanada-Mbarara'!G33,'26.10 Ibanda-Mbarara-24hr'!G33,'27.10 Ibanda-Mbarara'!G33,'28.10 Ibanda-Mbarara-24hr'!G33,'29.10 Ibanda-Mbarara'!G33,'30.10 Ibanda-Mbarara'!G33,'31.10 Ibanda-Mbarara'!G33)</f>
        <v>0</v>
      </c>
      <c r="H33" s="49">
        <f>AVERAGE('25.10 Ibanada-Mbarara'!H33,'26.10 Ibanda-Mbarara-24hr'!H33,'27.10 Ibanda-Mbarara'!H33,'28.10 Ibanda-Mbarara-24hr'!H33,'29.10 Ibanda-Mbarara'!H33,'30.10 Ibanda-Mbarara'!H33,'31.10 Ibanda-Mbarara'!H33)</f>
        <v>0</v>
      </c>
      <c r="I33" s="49">
        <f>AVERAGE('25.10 Ibanada-Mbarara'!I33,'26.10 Ibanda-Mbarara-24hr'!I33,'27.10 Ibanda-Mbarara'!I33,'28.10 Ibanda-Mbarara-24hr'!I33,'29.10 Ibanda-Mbarara'!I33,'30.10 Ibanda-Mbarara'!I33,'31.10 Ibanda-Mbarara'!I33)</f>
        <v>1.1428571428571428</v>
      </c>
      <c r="J33" s="49">
        <f>AVERAGE('25.10 Ibanada-Mbarara'!J33,'26.10 Ibanda-Mbarara-24hr'!J33,'27.10 Ibanda-Mbarara'!J33,'28.10 Ibanda-Mbarara-24hr'!J33,'29.10 Ibanda-Mbarara'!J33,'30.10 Ibanda-Mbarara'!J33,'31.10 Ibanda-Mbarara'!J33)</f>
        <v>0.42857142857142855</v>
      </c>
      <c r="K33" s="49">
        <f>AVERAGE('25.10 Ibanada-Mbarara'!K33,'26.10 Ibanda-Mbarara-24hr'!K33,'27.10 Ibanda-Mbarara'!K33,'28.10 Ibanda-Mbarara-24hr'!K33,'29.10 Ibanda-Mbarara'!K33,'30.10 Ibanda-Mbarara'!K33,'31.10 Ibanda-Mbarara'!K33)</f>
        <v>0</v>
      </c>
      <c r="L33" s="49">
        <f>AVERAGE('25.10 Ibanada-Mbarara'!L33,'26.10 Ibanda-Mbarara-24hr'!L33,'27.10 Ibanda-Mbarara'!L33,'28.10 Ibanda-Mbarara-24hr'!L33,'29.10 Ibanda-Mbarara'!L33,'30.10 Ibanda-Mbarara'!L33,'31.10 Ibanda-Mbarara'!L33)</f>
        <v>0</v>
      </c>
      <c r="M33" s="49">
        <f>AVERAGE('25.10 Ibanada-Mbarara'!M33,'26.10 Ibanda-Mbarara-24hr'!M33,'27.10 Ibanda-Mbarara'!M33,'28.10 Ibanda-Mbarara-24hr'!M33,'29.10 Ibanda-Mbarara'!M33,'30.10 Ibanda-Mbarara'!M33,'31.10 Ibanda-Mbarara'!M33)</f>
        <v>8.8571428571428577</v>
      </c>
      <c r="N33" s="49">
        <f>AVERAGE('25.10 Ibanada-Mbarara'!N33,'26.10 Ibanda-Mbarara-24hr'!N33,'27.10 Ibanda-Mbarara'!N33,'28.10 Ibanda-Mbarara-24hr'!N33,'29.10 Ibanda-Mbarara'!N33,'30.10 Ibanda-Mbarara'!N33,'31.10 Ibanda-Mbarara'!N33)</f>
        <v>0</v>
      </c>
      <c r="O33" s="15">
        <f t="shared" si="0"/>
        <v>12.428571428571429</v>
      </c>
      <c r="P33" s="15">
        <f t="shared" si="1"/>
        <v>21.285714285714285</v>
      </c>
      <c r="R33" s="1" t="s">
        <v>157</v>
      </c>
      <c r="S33" s="34">
        <f>SUM(C102:C105)</f>
        <v>5</v>
      </c>
      <c r="T33" s="34">
        <f t="shared" ref="T33:AF33" si="25">SUM(D102:D105)</f>
        <v>1</v>
      </c>
      <c r="U33" s="34">
        <f t="shared" si="25"/>
        <v>0.5</v>
      </c>
      <c r="V33" s="34">
        <f t="shared" si="25"/>
        <v>0.5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0.5</v>
      </c>
      <c r="AA33" s="34">
        <f t="shared" si="25"/>
        <v>1</v>
      </c>
      <c r="AB33" s="34">
        <f t="shared" si="25"/>
        <v>0</v>
      </c>
      <c r="AC33" s="34">
        <f t="shared" si="25"/>
        <v>7</v>
      </c>
      <c r="AD33" s="34">
        <f t="shared" si="25"/>
        <v>0</v>
      </c>
      <c r="AE33" s="31">
        <f t="shared" si="25"/>
        <v>9.5</v>
      </c>
      <c r="AF33" s="31">
        <f t="shared" si="25"/>
        <v>16.5</v>
      </c>
    </row>
    <row r="34" spans="2:32" ht="23.1" customHeight="1" x14ac:dyDescent="0.25">
      <c r="B34" s="24" t="s">
        <v>61</v>
      </c>
      <c r="C34" s="49">
        <f>AVERAGE('25.10 Ibanada-Mbarara'!C34,'26.10 Ibanda-Mbarara-24hr'!C34,'27.10 Ibanda-Mbarara'!C34,'28.10 Ibanda-Mbarara-24hr'!C34,'29.10 Ibanda-Mbarara'!C34,'30.10 Ibanda-Mbarara'!C34,'31.10 Ibanda-Mbarara'!C34)</f>
        <v>6.2857142857142856</v>
      </c>
      <c r="D34" s="49">
        <f>AVERAGE('25.10 Ibanada-Mbarara'!D34,'26.10 Ibanda-Mbarara-24hr'!D34,'27.10 Ibanda-Mbarara'!D34,'28.10 Ibanda-Mbarara-24hr'!D34,'29.10 Ibanda-Mbarara'!D34,'30.10 Ibanda-Mbarara'!D34,'31.10 Ibanda-Mbarara'!D34)</f>
        <v>0.42857142857142855</v>
      </c>
      <c r="E34" s="49">
        <f>AVERAGE('25.10 Ibanada-Mbarara'!E34,'26.10 Ibanda-Mbarara-24hr'!E34,'27.10 Ibanda-Mbarara'!E34,'28.10 Ibanda-Mbarara-24hr'!E34,'29.10 Ibanda-Mbarara'!E34,'30.10 Ibanda-Mbarara'!E34,'31.10 Ibanda-Mbarara'!E34)</f>
        <v>1.1428571428571428</v>
      </c>
      <c r="F34" s="49">
        <f>AVERAGE('25.10 Ibanada-Mbarara'!F34,'26.10 Ibanda-Mbarara-24hr'!F34,'27.10 Ibanda-Mbarara'!F34,'28.10 Ibanda-Mbarara-24hr'!F34,'29.10 Ibanda-Mbarara'!F34,'30.10 Ibanda-Mbarara'!F34,'31.10 Ibanda-Mbarara'!F34)</f>
        <v>1.1428571428571428</v>
      </c>
      <c r="G34" s="49">
        <f>AVERAGE('25.10 Ibanada-Mbarara'!G34,'26.10 Ibanda-Mbarara-24hr'!G34,'27.10 Ibanda-Mbarara'!G34,'28.10 Ibanda-Mbarara-24hr'!G34,'29.10 Ibanda-Mbarara'!G34,'30.10 Ibanda-Mbarara'!G34,'31.10 Ibanda-Mbarara'!G34)</f>
        <v>0.14285714285714285</v>
      </c>
      <c r="H34" s="49">
        <f>AVERAGE('25.10 Ibanada-Mbarara'!H34,'26.10 Ibanda-Mbarara-24hr'!H34,'27.10 Ibanda-Mbarara'!H34,'28.10 Ibanda-Mbarara-24hr'!H34,'29.10 Ibanda-Mbarara'!H34,'30.10 Ibanda-Mbarara'!H34,'31.10 Ibanda-Mbarara'!H34)</f>
        <v>0</v>
      </c>
      <c r="I34" s="49">
        <f>AVERAGE('25.10 Ibanada-Mbarara'!I34,'26.10 Ibanda-Mbarara-24hr'!I34,'27.10 Ibanda-Mbarara'!I34,'28.10 Ibanda-Mbarara-24hr'!I34,'29.10 Ibanda-Mbarara'!I34,'30.10 Ibanda-Mbarara'!I34,'31.10 Ibanda-Mbarara'!I34)</f>
        <v>0.2857142857142857</v>
      </c>
      <c r="J34" s="49">
        <f>AVERAGE('25.10 Ibanada-Mbarara'!J34,'26.10 Ibanda-Mbarara-24hr'!J34,'27.10 Ibanda-Mbarara'!J34,'28.10 Ibanda-Mbarara-24hr'!J34,'29.10 Ibanda-Mbarara'!J34,'30.10 Ibanda-Mbarara'!J34,'31.10 Ibanda-Mbarara'!J34)</f>
        <v>1.1428571428571428</v>
      </c>
      <c r="K34" s="49">
        <f>AVERAGE('25.10 Ibanada-Mbarara'!K34,'26.10 Ibanda-Mbarara-24hr'!K34,'27.10 Ibanda-Mbarara'!K34,'28.10 Ibanda-Mbarara-24hr'!K34,'29.10 Ibanda-Mbarara'!K34,'30.10 Ibanda-Mbarara'!K34,'31.10 Ibanda-Mbarara'!K34)</f>
        <v>0.14285714285714285</v>
      </c>
      <c r="L34" s="49">
        <f>AVERAGE('25.10 Ibanada-Mbarara'!L34,'26.10 Ibanda-Mbarara-24hr'!L34,'27.10 Ibanda-Mbarara'!L34,'28.10 Ibanda-Mbarara-24hr'!L34,'29.10 Ibanda-Mbarara'!L34,'30.10 Ibanda-Mbarara'!L34,'31.10 Ibanda-Mbarara'!L34)</f>
        <v>0</v>
      </c>
      <c r="M34" s="49">
        <f>AVERAGE('25.10 Ibanada-Mbarara'!M34,'26.10 Ibanda-Mbarara-24hr'!M34,'27.10 Ibanda-Mbarara'!M34,'28.10 Ibanda-Mbarara-24hr'!M34,'29.10 Ibanda-Mbarara'!M34,'30.10 Ibanda-Mbarara'!M34,'31.10 Ibanda-Mbarara'!M34)</f>
        <v>11.285714285714286</v>
      </c>
      <c r="N34" s="49">
        <f>AVERAGE('25.10 Ibanada-Mbarara'!N34,'26.10 Ibanda-Mbarara-24hr'!N34,'27.10 Ibanda-Mbarara'!N34,'28.10 Ibanda-Mbarara-24hr'!N34,'29.10 Ibanda-Mbarara'!N34,'30.10 Ibanda-Mbarara'!N34,'31.10 Ibanda-Mbarara'!N34)</f>
        <v>0</v>
      </c>
      <c r="O34" s="15">
        <f t="shared" si="0"/>
        <v>10.714285714285714</v>
      </c>
      <c r="P34" s="15">
        <f t="shared" si="1"/>
        <v>22</v>
      </c>
      <c r="R34" s="38" t="s">
        <v>90</v>
      </c>
      <c r="S34" s="39">
        <f t="shared" ref="S34:AF34" si="26">MAX(S10:S12)</f>
        <v>21.714285714285715</v>
      </c>
      <c r="T34" s="39">
        <f t="shared" si="26"/>
        <v>2.4285714285714284</v>
      </c>
      <c r="U34" s="39">
        <f t="shared" si="26"/>
        <v>3.5714285714285712</v>
      </c>
      <c r="V34" s="39">
        <f t="shared" si="26"/>
        <v>10.714285714285715</v>
      </c>
      <c r="W34" s="39">
        <f t="shared" si="26"/>
        <v>0.14285714285714285</v>
      </c>
      <c r="X34" s="39">
        <f t="shared" si="26"/>
        <v>1.1428571428571428</v>
      </c>
      <c r="Y34" s="39">
        <f t="shared" si="26"/>
        <v>1.4285714285714284</v>
      </c>
      <c r="Z34" s="39">
        <f t="shared" si="26"/>
        <v>1.2857142857142856</v>
      </c>
      <c r="AA34" s="39">
        <f t="shared" si="26"/>
        <v>0.5714285714285714</v>
      </c>
      <c r="AB34" s="39">
        <f t="shared" si="26"/>
        <v>0.5714285714285714</v>
      </c>
      <c r="AC34" s="39">
        <f t="shared" si="26"/>
        <v>41</v>
      </c>
      <c r="AD34" s="39">
        <f t="shared" si="26"/>
        <v>0</v>
      </c>
      <c r="AE34" s="40">
        <f t="shared" si="26"/>
        <v>39.714285714285715</v>
      </c>
      <c r="AF34" s="40">
        <f t="shared" si="26"/>
        <v>79.428571428571445</v>
      </c>
    </row>
    <row r="35" spans="2:32" ht="23.1" customHeight="1" x14ac:dyDescent="0.25">
      <c r="B35" s="24" t="s">
        <v>62</v>
      </c>
      <c r="C35" s="49">
        <f>AVERAGE('25.10 Ibanada-Mbarara'!C35,'26.10 Ibanda-Mbarara-24hr'!C35,'27.10 Ibanda-Mbarara'!C35,'28.10 Ibanda-Mbarara-24hr'!C35,'29.10 Ibanda-Mbarara'!C35,'30.10 Ibanda-Mbarara'!C35,'31.10 Ibanda-Mbarara'!C35)</f>
        <v>7.5714285714285712</v>
      </c>
      <c r="D35" s="49">
        <f>AVERAGE('25.10 Ibanada-Mbarara'!D35,'26.10 Ibanda-Mbarara-24hr'!D35,'27.10 Ibanda-Mbarara'!D35,'28.10 Ibanda-Mbarara-24hr'!D35,'29.10 Ibanda-Mbarara'!D35,'30.10 Ibanda-Mbarara'!D35,'31.10 Ibanda-Mbarara'!D35)</f>
        <v>0.5714285714285714</v>
      </c>
      <c r="E35" s="49">
        <f>AVERAGE('25.10 Ibanada-Mbarara'!E35,'26.10 Ibanda-Mbarara-24hr'!E35,'27.10 Ibanda-Mbarara'!E35,'28.10 Ibanda-Mbarara-24hr'!E35,'29.10 Ibanda-Mbarara'!E35,'30.10 Ibanda-Mbarara'!E35,'31.10 Ibanda-Mbarara'!E35)</f>
        <v>0.2857142857142857</v>
      </c>
      <c r="F35" s="49">
        <f>AVERAGE('25.10 Ibanada-Mbarara'!F35,'26.10 Ibanda-Mbarara-24hr'!F35,'27.10 Ibanda-Mbarara'!F35,'28.10 Ibanda-Mbarara-24hr'!F35,'29.10 Ibanda-Mbarara'!F35,'30.10 Ibanda-Mbarara'!F35,'31.10 Ibanda-Mbarara'!F35)</f>
        <v>1.2857142857142858</v>
      </c>
      <c r="G35" s="49">
        <f>AVERAGE('25.10 Ibanada-Mbarara'!G35,'26.10 Ibanda-Mbarara-24hr'!G35,'27.10 Ibanda-Mbarara'!G35,'28.10 Ibanda-Mbarara-24hr'!G35,'29.10 Ibanda-Mbarara'!G35,'30.10 Ibanda-Mbarara'!G35,'31.10 Ibanda-Mbarara'!G35)</f>
        <v>0</v>
      </c>
      <c r="H35" s="49">
        <f>AVERAGE('25.10 Ibanada-Mbarara'!H35,'26.10 Ibanda-Mbarara-24hr'!H35,'27.10 Ibanda-Mbarara'!H35,'28.10 Ibanda-Mbarara-24hr'!H35,'29.10 Ibanda-Mbarara'!H35,'30.10 Ibanda-Mbarara'!H35,'31.10 Ibanda-Mbarara'!H35)</f>
        <v>0</v>
      </c>
      <c r="I35" s="49">
        <f>AVERAGE('25.10 Ibanada-Mbarara'!I35,'26.10 Ibanda-Mbarara-24hr'!I35,'27.10 Ibanda-Mbarara'!I35,'28.10 Ibanda-Mbarara-24hr'!I35,'29.10 Ibanda-Mbarara'!I35,'30.10 Ibanda-Mbarara'!I35,'31.10 Ibanda-Mbarara'!I35)</f>
        <v>0.7142857142857143</v>
      </c>
      <c r="J35" s="49">
        <f>AVERAGE('25.10 Ibanada-Mbarara'!J35,'26.10 Ibanda-Mbarara-24hr'!J35,'27.10 Ibanda-Mbarara'!J35,'28.10 Ibanda-Mbarara-24hr'!J35,'29.10 Ibanda-Mbarara'!J35,'30.10 Ibanda-Mbarara'!J35,'31.10 Ibanda-Mbarara'!J35)</f>
        <v>0.7142857142857143</v>
      </c>
      <c r="K35" s="49">
        <f>AVERAGE('25.10 Ibanada-Mbarara'!K35,'26.10 Ibanda-Mbarara-24hr'!K35,'27.10 Ibanda-Mbarara'!K35,'28.10 Ibanda-Mbarara-24hr'!K35,'29.10 Ibanda-Mbarara'!K35,'30.10 Ibanda-Mbarara'!K35,'31.10 Ibanda-Mbarara'!K35)</f>
        <v>0</v>
      </c>
      <c r="L35" s="49">
        <f>AVERAGE('25.10 Ibanada-Mbarara'!L35,'26.10 Ibanda-Mbarara-24hr'!L35,'27.10 Ibanda-Mbarara'!L35,'28.10 Ibanda-Mbarara-24hr'!L35,'29.10 Ibanda-Mbarara'!L35,'30.10 Ibanda-Mbarara'!L35,'31.10 Ibanda-Mbarara'!L35)</f>
        <v>0.14285714285714285</v>
      </c>
      <c r="M35" s="49">
        <f>AVERAGE('25.10 Ibanada-Mbarara'!M35,'26.10 Ibanda-Mbarara-24hr'!M35,'27.10 Ibanda-Mbarara'!M35,'28.10 Ibanda-Mbarara-24hr'!M35,'29.10 Ibanda-Mbarara'!M35,'30.10 Ibanda-Mbarara'!M35,'31.10 Ibanda-Mbarara'!M35)</f>
        <v>12.142857142857142</v>
      </c>
      <c r="N35" s="49">
        <f>AVERAGE('25.10 Ibanada-Mbarara'!N35,'26.10 Ibanda-Mbarara-24hr'!N35,'27.10 Ibanda-Mbarara'!N35,'28.10 Ibanda-Mbarara-24hr'!N35,'29.10 Ibanda-Mbarara'!N35,'30.10 Ibanda-Mbarara'!N35,'31.10 Ibanda-Mbarara'!N35)</f>
        <v>0</v>
      </c>
      <c r="O35" s="15">
        <f t="shared" si="0"/>
        <v>11.285714285714285</v>
      </c>
      <c r="P35" s="15">
        <f t="shared" si="1"/>
        <v>23.428571428571427</v>
      </c>
      <c r="R35" s="38" t="s">
        <v>91</v>
      </c>
      <c r="S35" s="39">
        <f t="shared" ref="S35:AF35" si="27">MAX(S13:S18)</f>
        <v>29.142857142857146</v>
      </c>
      <c r="T35" s="39">
        <f t="shared" si="27"/>
        <v>4.8571428571428568</v>
      </c>
      <c r="U35" s="39">
        <f t="shared" si="27"/>
        <v>4.1428571428571423</v>
      </c>
      <c r="V35" s="39">
        <f t="shared" si="27"/>
        <v>8.8571428571428577</v>
      </c>
      <c r="W35" s="39">
        <f t="shared" si="27"/>
        <v>0.5714285714285714</v>
      </c>
      <c r="X35" s="39">
        <f t="shared" si="27"/>
        <v>0.71428571428571419</v>
      </c>
      <c r="Y35" s="39">
        <f t="shared" si="27"/>
        <v>3.8571428571428572</v>
      </c>
      <c r="Z35" s="39">
        <f t="shared" si="27"/>
        <v>3.5714285714285716</v>
      </c>
      <c r="AA35" s="39">
        <f t="shared" si="27"/>
        <v>0.85714285714285698</v>
      </c>
      <c r="AB35" s="39">
        <f t="shared" si="27"/>
        <v>0.5714285714285714</v>
      </c>
      <c r="AC35" s="39">
        <f t="shared" si="27"/>
        <v>43.142857142857146</v>
      </c>
      <c r="AD35" s="39">
        <f t="shared" si="27"/>
        <v>0.14285714285714285</v>
      </c>
      <c r="AE35" s="40">
        <f t="shared" si="27"/>
        <v>49.428571428571431</v>
      </c>
      <c r="AF35" s="40">
        <f t="shared" si="27"/>
        <v>90.714285714285694</v>
      </c>
    </row>
    <row r="36" spans="2:32" ht="23.1" customHeight="1" x14ac:dyDescent="0.25">
      <c r="B36" s="24" t="s">
        <v>63</v>
      </c>
      <c r="C36" s="49">
        <f>AVERAGE('25.10 Ibanada-Mbarara'!C36,'26.10 Ibanda-Mbarara-24hr'!C36,'27.10 Ibanda-Mbarara'!C36,'28.10 Ibanda-Mbarara-24hr'!C36,'29.10 Ibanda-Mbarara'!C36,'30.10 Ibanda-Mbarara'!C36,'31.10 Ibanda-Mbarara'!C36)</f>
        <v>6</v>
      </c>
      <c r="D36" s="49">
        <f>AVERAGE('25.10 Ibanada-Mbarara'!D36,'26.10 Ibanda-Mbarara-24hr'!D36,'27.10 Ibanda-Mbarara'!D36,'28.10 Ibanda-Mbarara-24hr'!D36,'29.10 Ibanda-Mbarara'!D36,'30.10 Ibanda-Mbarara'!D36,'31.10 Ibanda-Mbarara'!D36)</f>
        <v>0.7142857142857143</v>
      </c>
      <c r="E36" s="49">
        <f>AVERAGE('25.10 Ibanada-Mbarara'!E36,'26.10 Ibanda-Mbarara-24hr'!E36,'27.10 Ibanda-Mbarara'!E36,'28.10 Ibanda-Mbarara-24hr'!E36,'29.10 Ibanda-Mbarara'!E36,'30.10 Ibanda-Mbarara'!E36,'31.10 Ibanda-Mbarara'!E36)</f>
        <v>0.7142857142857143</v>
      </c>
      <c r="F36" s="49">
        <f>AVERAGE('25.10 Ibanada-Mbarara'!F36,'26.10 Ibanda-Mbarara-24hr'!F36,'27.10 Ibanda-Mbarara'!F36,'28.10 Ibanda-Mbarara-24hr'!F36,'29.10 Ibanda-Mbarara'!F36,'30.10 Ibanda-Mbarara'!F36,'31.10 Ibanda-Mbarara'!F36)</f>
        <v>0.8571428571428571</v>
      </c>
      <c r="G36" s="49">
        <f>AVERAGE('25.10 Ibanada-Mbarara'!G36,'26.10 Ibanda-Mbarara-24hr'!G36,'27.10 Ibanda-Mbarara'!G36,'28.10 Ibanda-Mbarara-24hr'!G36,'29.10 Ibanda-Mbarara'!G36,'30.10 Ibanda-Mbarara'!G36,'31.10 Ibanda-Mbarara'!G36)</f>
        <v>0</v>
      </c>
      <c r="H36" s="49">
        <f>AVERAGE('25.10 Ibanada-Mbarara'!H36,'26.10 Ibanda-Mbarara-24hr'!H36,'27.10 Ibanda-Mbarara'!H36,'28.10 Ibanda-Mbarara-24hr'!H36,'29.10 Ibanda-Mbarara'!H36,'30.10 Ibanda-Mbarara'!H36,'31.10 Ibanda-Mbarara'!H36)</f>
        <v>0</v>
      </c>
      <c r="I36" s="49">
        <f>AVERAGE('25.10 Ibanada-Mbarara'!I36,'26.10 Ibanda-Mbarara-24hr'!I36,'27.10 Ibanda-Mbarara'!I36,'28.10 Ibanda-Mbarara-24hr'!I36,'29.10 Ibanda-Mbarara'!I36,'30.10 Ibanda-Mbarara'!I36,'31.10 Ibanda-Mbarara'!I36)</f>
        <v>0.5714285714285714</v>
      </c>
      <c r="J36" s="49">
        <f>AVERAGE('25.10 Ibanada-Mbarara'!J36,'26.10 Ibanda-Mbarara-24hr'!J36,'27.10 Ibanda-Mbarara'!J36,'28.10 Ibanda-Mbarara-24hr'!J36,'29.10 Ibanda-Mbarara'!J36,'30.10 Ibanda-Mbarara'!J36,'31.10 Ibanda-Mbarara'!J36)</f>
        <v>0.7142857142857143</v>
      </c>
      <c r="K36" s="49">
        <f>AVERAGE('25.10 Ibanada-Mbarara'!K36,'26.10 Ibanda-Mbarara-24hr'!K36,'27.10 Ibanda-Mbarara'!K36,'28.10 Ibanda-Mbarara-24hr'!K36,'29.10 Ibanda-Mbarara'!K36,'30.10 Ibanda-Mbarara'!K36,'31.10 Ibanda-Mbarara'!K36)</f>
        <v>0.14285714285714285</v>
      </c>
      <c r="L36" s="49">
        <f>AVERAGE('25.10 Ibanada-Mbarara'!L36,'26.10 Ibanda-Mbarara-24hr'!L36,'27.10 Ibanda-Mbarara'!L36,'28.10 Ibanda-Mbarara-24hr'!L36,'29.10 Ibanda-Mbarara'!L36,'30.10 Ibanda-Mbarara'!L36,'31.10 Ibanda-Mbarara'!L36)</f>
        <v>0.14285714285714285</v>
      </c>
      <c r="M36" s="49">
        <f>AVERAGE('25.10 Ibanada-Mbarara'!M36,'26.10 Ibanda-Mbarara-24hr'!M36,'27.10 Ibanda-Mbarara'!M36,'28.10 Ibanda-Mbarara-24hr'!M36,'29.10 Ibanda-Mbarara'!M36,'30.10 Ibanda-Mbarara'!M36,'31.10 Ibanda-Mbarara'!M36)</f>
        <v>9.2857142857142865</v>
      </c>
      <c r="N36" s="49">
        <f>AVERAGE('25.10 Ibanada-Mbarara'!N36,'26.10 Ibanda-Mbarara-24hr'!N36,'27.10 Ibanda-Mbarara'!N36,'28.10 Ibanda-Mbarara-24hr'!N36,'29.10 Ibanda-Mbarara'!N36,'30.10 Ibanda-Mbarara'!N36,'31.10 Ibanda-Mbarara'!N36)</f>
        <v>0</v>
      </c>
      <c r="O36" s="15">
        <f t="shared" si="0"/>
        <v>9.8571428571428559</v>
      </c>
      <c r="P36" s="15">
        <f t="shared" si="1"/>
        <v>19.142857142857142</v>
      </c>
      <c r="R36" s="38" t="s">
        <v>92</v>
      </c>
      <c r="S36" s="39">
        <f t="shared" ref="S36:AF36" si="28">MAX(S19:S21)</f>
        <v>30.285714285714285</v>
      </c>
      <c r="T36" s="39">
        <f t="shared" si="28"/>
        <v>5.1428571428571423</v>
      </c>
      <c r="U36" s="39">
        <f t="shared" si="28"/>
        <v>3.8571428571428572</v>
      </c>
      <c r="V36" s="39">
        <f t="shared" si="28"/>
        <v>5.2857142857142856</v>
      </c>
      <c r="W36" s="39">
        <f t="shared" si="28"/>
        <v>0</v>
      </c>
      <c r="X36" s="39">
        <f t="shared" si="28"/>
        <v>0</v>
      </c>
      <c r="Y36" s="39">
        <f t="shared" si="28"/>
        <v>2.5714285714285716</v>
      </c>
      <c r="Z36" s="39">
        <f t="shared" si="28"/>
        <v>4</v>
      </c>
      <c r="AA36" s="39">
        <f t="shared" si="28"/>
        <v>1.1428571428571428</v>
      </c>
      <c r="AB36" s="39">
        <f t="shared" si="28"/>
        <v>0.85714285714285698</v>
      </c>
      <c r="AC36" s="39">
        <f t="shared" si="28"/>
        <v>51.285714285714278</v>
      </c>
      <c r="AD36" s="39">
        <f t="shared" si="28"/>
        <v>0</v>
      </c>
      <c r="AE36" s="40">
        <f t="shared" si="28"/>
        <v>50.142857142857139</v>
      </c>
      <c r="AF36" s="40">
        <f t="shared" si="28"/>
        <v>98.142857142857139</v>
      </c>
    </row>
    <row r="37" spans="2:32" ht="23.1" customHeight="1" x14ac:dyDescent="0.25">
      <c r="B37" s="23" t="s">
        <v>64</v>
      </c>
      <c r="C37" s="49">
        <f>AVERAGE('25.10 Ibanada-Mbarara'!C37,'26.10 Ibanda-Mbarara-24hr'!C37,'27.10 Ibanda-Mbarara'!C37,'28.10 Ibanda-Mbarara-24hr'!C37,'29.10 Ibanda-Mbarara'!C37,'30.10 Ibanda-Mbarara'!C37,'31.10 Ibanda-Mbarara'!C37)</f>
        <v>7.4285714285714288</v>
      </c>
      <c r="D37" s="49">
        <f>AVERAGE('25.10 Ibanada-Mbarara'!D37,'26.10 Ibanda-Mbarara-24hr'!D37,'27.10 Ibanda-Mbarara'!D37,'28.10 Ibanda-Mbarara-24hr'!D37,'29.10 Ibanda-Mbarara'!D37,'30.10 Ibanda-Mbarara'!D37,'31.10 Ibanda-Mbarara'!D37)</f>
        <v>0.8571428571428571</v>
      </c>
      <c r="E37" s="49">
        <f>AVERAGE('25.10 Ibanada-Mbarara'!E37,'26.10 Ibanda-Mbarara-24hr'!E37,'27.10 Ibanda-Mbarara'!E37,'28.10 Ibanda-Mbarara-24hr'!E37,'29.10 Ibanda-Mbarara'!E37,'30.10 Ibanda-Mbarara'!E37,'31.10 Ibanda-Mbarara'!E37)</f>
        <v>0.42857142857142855</v>
      </c>
      <c r="F37" s="49">
        <f>AVERAGE('25.10 Ibanada-Mbarara'!F37,'26.10 Ibanda-Mbarara-24hr'!F37,'27.10 Ibanda-Mbarara'!F37,'28.10 Ibanda-Mbarara-24hr'!F37,'29.10 Ibanda-Mbarara'!F37,'30.10 Ibanda-Mbarara'!F37,'31.10 Ibanda-Mbarara'!F37)</f>
        <v>1.2857142857142858</v>
      </c>
      <c r="G37" s="49">
        <f>AVERAGE('25.10 Ibanada-Mbarara'!G37,'26.10 Ibanda-Mbarara-24hr'!G37,'27.10 Ibanda-Mbarara'!G37,'28.10 Ibanda-Mbarara-24hr'!G37,'29.10 Ibanda-Mbarara'!G37,'30.10 Ibanda-Mbarara'!G37,'31.10 Ibanda-Mbarara'!G37)</f>
        <v>0</v>
      </c>
      <c r="H37" s="49">
        <f>AVERAGE('25.10 Ibanada-Mbarara'!H37,'26.10 Ibanda-Mbarara-24hr'!H37,'27.10 Ibanda-Mbarara'!H37,'28.10 Ibanda-Mbarara-24hr'!H37,'29.10 Ibanda-Mbarara'!H37,'30.10 Ibanda-Mbarara'!H37,'31.10 Ibanda-Mbarara'!H37)</f>
        <v>0</v>
      </c>
      <c r="I37" s="49">
        <f>AVERAGE('25.10 Ibanada-Mbarara'!I37,'26.10 Ibanda-Mbarara-24hr'!I37,'27.10 Ibanda-Mbarara'!I37,'28.10 Ibanda-Mbarara-24hr'!I37,'29.10 Ibanda-Mbarara'!I37,'30.10 Ibanda-Mbarara'!I37,'31.10 Ibanda-Mbarara'!I37)</f>
        <v>1.2857142857142858</v>
      </c>
      <c r="J37" s="49">
        <f>AVERAGE('25.10 Ibanada-Mbarara'!J37,'26.10 Ibanda-Mbarara-24hr'!J37,'27.10 Ibanda-Mbarara'!J37,'28.10 Ibanda-Mbarara-24hr'!J37,'29.10 Ibanda-Mbarara'!J37,'30.10 Ibanda-Mbarara'!J37,'31.10 Ibanda-Mbarara'!J37)</f>
        <v>0.8571428571428571</v>
      </c>
      <c r="K37" s="49">
        <f>AVERAGE('25.10 Ibanada-Mbarara'!K37,'26.10 Ibanda-Mbarara-24hr'!K37,'27.10 Ibanda-Mbarara'!K37,'28.10 Ibanda-Mbarara-24hr'!K37,'29.10 Ibanda-Mbarara'!K37,'30.10 Ibanda-Mbarara'!K37,'31.10 Ibanda-Mbarara'!K37)</f>
        <v>0.14285714285714285</v>
      </c>
      <c r="L37" s="49">
        <f>AVERAGE('25.10 Ibanada-Mbarara'!L37,'26.10 Ibanda-Mbarara-24hr'!L37,'27.10 Ibanda-Mbarara'!L37,'28.10 Ibanda-Mbarara-24hr'!L37,'29.10 Ibanda-Mbarara'!L37,'30.10 Ibanda-Mbarara'!L37,'31.10 Ibanda-Mbarara'!L37)</f>
        <v>0</v>
      </c>
      <c r="M37" s="49">
        <f>AVERAGE('25.10 Ibanada-Mbarara'!M37,'26.10 Ibanda-Mbarara-24hr'!M37,'27.10 Ibanda-Mbarara'!M37,'28.10 Ibanda-Mbarara-24hr'!M37,'29.10 Ibanda-Mbarara'!M37,'30.10 Ibanda-Mbarara'!M37,'31.10 Ibanda-Mbarara'!M37)</f>
        <v>10.428571428571429</v>
      </c>
      <c r="N37" s="49">
        <f>AVERAGE('25.10 Ibanada-Mbarara'!N37,'26.10 Ibanda-Mbarara-24hr'!N37,'27.10 Ibanda-Mbarara'!N37,'28.10 Ibanda-Mbarara-24hr'!N37,'29.10 Ibanda-Mbarara'!N37,'30.10 Ibanda-Mbarara'!N37,'31.10 Ibanda-Mbarara'!N37)</f>
        <v>0</v>
      </c>
      <c r="O37" s="15">
        <f t="shared" si="0"/>
        <v>12.285714285714288</v>
      </c>
      <c r="P37" s="15">
        <f t="shared" si="1"/>
        <v>22.714285714285715</v>
      </c>
      <c r="R37" s="37" t="s">
        <v>85</v>
      </c>
      <c r="S37" s="35">
        <f t="shared" ref="S37:AF37" si="29">SUM(S10:S12)</f>
        <v>58.142857142857139</v>
      </c>
      <c r="T37" s="16">
        <f t="shared" si="29"/>
        <v>6.2857142857142856</v>
      </c>
      <c r="U37" s="16">
        <f t="shared" si="29"/>
        <v>6.7142857142857135</v>
      </c>
      <c r="V37" s="16">
        <f t="shared" si="29"/>
        <v>27.714285714285715</v>
      </c>
      <c r="W37" s="16">
        <f t="shared" si="29"/>
        <v>0.42857142857142855</v>
      </c>
      <c r="X37" s="16">
        <f t="shared" si="29"/>
        <v>1.5714285714285712</v>
      </c>
      <c r="Y37" s="16">
        <f t="shared" si="29"/>
        <v>2.8571428571428568</v>
      </c>
      <c r="Z37" s="16">
        <f t="shared" si="29"/>
        <v>3.1428571428571423</v>
      </c>
      <c r="AA37" s="16">
        <f t="shared" si="29"/>
        <v>0.71428571428571419</v>
      </c>
      <c r="AB37" s="16">
        <f t="shared" si="29"/>
        <v>1</v>
      </c>
      <c r="AC37" s="16">
        <f t="shared" si="29"/>
        <v>104.14285714285714</v>
      </c>
      <c r="AD37" s="16">
        <f t="shared" si="29"/>
        <v>0</v>
      </c>
      <c r="AE37" s="32">
        <f t="shared" si="29"/>
        <v>108.57142857142857</v>
      </c>
      <c r="AF37" s="32">
        <f t="shared" si="29"/>
        <v>212.71428571428572</v>
      </c>
    </row>
    <row r="38" spans="2:32" ht="23.1" customHeight="1" x14ac:dyDescent="0.25">
      <c r="B38" s="24" t="s">
        <v>65</v>
      </c>
      <c r="C38" s="49">
        <f>AVERAGE('25.10 Ibanada-Mbarara'!C38,'26.10 Ibanda-Mbarara-24hr'!C38,'27.10 Ibanda-Mbarara'!C38,'28.10 Ibanda-Mbarara-24hr'!C38,'29.10 Ibanda-Mbarara'!C38,'30.10 Ibanda-Mbarara'!C38,'31.10 Ibanda-Mbarara'!C38)</f>
        <v>6.4285714285714288</v>
      </c>
      <c r="D38" s="49">
        <f>AVERAGE('25.10 Ibanada-Mbarara'!D38,'26.10 Ibanda-Mbarara-24hr'!D38,'27.10 Ibanda-Mbarara'!D38,'28.10 Ibanda-Mbarara-24hr'!D38,'29.10 Ibanda-Mbarara'!D38,'30.10 Ibanda-Mbarara'!D38,'31.10 Ibanda-Mbarara'!D38)</f>
        <v>0.5714285714285714</v>
      </c>
      <c r="E38" s="49">
        <f>AVERAGE('25.10 Ibanada-Mbarara'!E38,'26.10 Ibanda-Mbarara-24hr'!E38,'27.10 Ibanda-Mbarara'!E38,'28.10 Ibanda-Mbarara-24hr'!E38,'29.10 Ibanda-Mbarara'!E38,'30.10 Ibanda-Mbarara'!E38,'31.10 Ibanda-Mbarara'!E38)</f>
        <v>0.42857142857142855</v>
      </c>
      <c r="F38" s="49">
        <f>AVERAGE('25.10 Ibanada-Mbarara'!F38,'26.10 Ibanda-Mbarara-24hr'!F38,'27.10 Ibanda-Mbarara'!F38,'28.10 Ibanda-Mbarara-24hr'!F38,'29.10 Ibanda-Mbarara'!F38,'30.10 Ibanda-Mbarara'!F38,'31.10 Ibanda-Mbarara'!F38)</f>
        <v>1</v>
      </c>
      <c r="G38" s="49">
        <f>AVERAGE('25.10 Ibanada-Mbarara'!G38,'26.10 Ibanda-Mbarara-24hr'!G38,'27.10 Ibanda-Mbarara'!G38,'28.10 Ibanda-Mbarara-24hr'!G38,'29.10 Ibanda-Mbarara'!G38,'30.10 Ibanda-Mbarara'!G38,'31.10 Ibanda-Mbarara'!G38)</f>
        <v>0</v>
      </c>
      <c r="H38" s="49">
        <f>AVERAGE('25.10 Ibanada-Mbarara'!H38,'26.10 Ibanda-Mbarara-24hr'!H38,'27.10 Ibanda-Mbarara'!H38,'28.10 Ibanda-Mbarara-24hr'!H38,'29.10 Ibanda-Mbarara'!H38,'30.10 Ibanda-Mbarara'!H38,'31.10 Ibanda-Mbarara'!H38)</f>
        <v>0</v>
      </c>
      <c r="I38" s="49">
        <f>AVERAGE('25.10 Ibanada-Mbarara'!I38,'26.10 Ibanda-Mbarara-24hr'!I38,'27.10 Ibanda-Mbarara'!I38,'28.10 Ibanda-Mbarara-24hr'!I38,'29.10 Ibanda-Mbarara'!I38,'30.10 Ibanda-Mbarara'!I38,'31.10 Ibanda-Mbarara'!I38)</f>
        <v>1.1428571428571428</v>
      </c>
      <c r="J38" s="49">
        <f>AVERAGE('25.10 Ibanada-Mbarara'!J38,'26.10 Ibanda-Mbarara-24hr'!J38,'27.10 Ibanda-Mbarara'!J38,'28.10 Ibanda-Mbarara-24hr'!J38,'29.10 Ibanda-Mbarara'!J38,'30.10 Ibanda-Mbarara'!J38,'31.10 Ibanda-Mbarara'!J38)</f>
        <v>1.4285714285714286</v>
      </c>
      <c r="K38" s="49">
        <f>AVERAGE('25.10 Ibanada-Mbarara'!K38,'26.10 Ibanda-Mbarara-24hr'!K38,'27.10 Ibanda-Mbarara'!K38,'28.10 Ibanda-Mbarara-24hr'!K38,'29.10 Ibanda-Mbarara'!K38,'30.10 Ibanda-Mbarara'!K38,'31.10 Ibanda-Mbarara'!K38)</f>
        <v>0.14285714285714285</v>
      </c>
      <c r="L38" s="49">
        <f>AVERAGE('25.10 Ibanada-Mbarara'!L38,'26.10 Ibanda-Mbarara-24hr'!L38,'27.10 Ibanda-Mbarara'!L38,'28.10 Ibanda-Mbarara-24hr'!L38,'29.10 Ibanda-Mbarara'!L38,'30.10 Ibanda-Mbarara'!L38,'31.10 Ibanda-Mbarara'!L38)</f>
        <v>0</v>
      </c>
      <c r="M38" s="49">
        <f>AVERAGE('25.10 Ibanada-Mbarara'!M38,'26.10 Ibanda-Mbarara-24hr'!M38,'27.10 Ibanda-Mbarara'!M38,'28.10 Ibanda-Mbarara-24hr'!M38,'29.10 Ibanda-Mbarara'!M38,'30.10 Ibanda-Mbarara'!M38,'31.10 Ibanda-Mbarara'!M38)</f>
        <v>10.714285714285714</v>
      </c>
      <c r="N38" s="49">
        <f>AVERAGE('25.10 Ibanada-Mbarara'!N38,'26.10 Ibanda-Mbarara-24hr'!N38,'27.10 Ibanda-Mbarara'!N38,'28.10 Ibanda-Mbarara-24hr'!N38,'29.10 Ibanda-Mbarara'!N38,'30.10 Ibanda-Mbarara'!N38,'31.10 Ibanda-Mbarara'!N38)</f>
        <v>0.14285714285714285</v>
      </c>
      <c r="O38" s="15">
        <f t="shared" si="0"/>
        <v>11.285714285714285</v>
      </c>
      <c r="P38" s="15">
        <f t="shared" si="1"/>
        <v>21.999999999999996</v>
      </c>
      <c r="R38" s="28" t="s">
        <v>86</v>
      </c>
      <c r="S38" s="16">
        <f t="shared" ref="S38:AF38" si="30">SUM(S13:S18)</f>
        <v>159.14285714285714</v>
      </c>
      <c r="T38" s="16">
        <f t="shared" si="30"/>
        <v>18.428571428571427</v>
      </c>
      <c r="U38" s="16">
        <f t="shared" si="30"/>
        <v>17.571428571428569</v>
      </c>
      <c r="V38" s="16">
        <f t="shared" si="30"/>
        <v>35.571428571428577</v>
      </c>
      <c r="W38" s="16">
        <f t="shared" si="30"/>
        <v>1.1428571428571428</v>
      </c>
      <c r="X38" s="16">
        <f t="shared" si="30"/>
        <v>1.4285714285714284</v>
      </c>
      <c r="Y38" s="16">
        <f t="shared" si="30"/>
        <v>17</v>
      </c>
      <c r="Z38" s="16">
        <f t="shared" si="30"/>
        <v>17</v>
      </c>
      <c r="AA38" s="16">
        <f t="shared" si="30"/>
        <v>2.1428571428571423</v>
      </c>
      <c r="AB38" s="16">
        <f t="shared" si="30"/>
        <v>1.4285714285714284</v>
      </c>
      <c r="AC38" s="16">
        <f t="shared" si="30"/>
        <v>242.71428571428569</v>
      </c>
      <c r="AD38" s="16">
        <f t="shared" si="30"/>
        <v>0.14285714285714285</v>
      </c>
      <c r="AE38" s="32">
        <f t="shared" si="30"/>
        <v>271</v>
      </c>
      <c r="AF38" s="32">
        <f t="shared" si="30"/>
        <v>513.71428571428567</v>
      </c>
    </row>
    <row r="39" spans="2:32" ht="23.1" customHeight="1" x14ac:dyDescent="0.25">
      <c r="B39" s="24" t="s">
        <v>66</v>
      </c>
      <c r="C39" s="49">
        <f>AVERAGE('25.10 Ibanada-Mbarara'!C39,'26.10 Ibanda-Mbarara-24hr'!C39,'27.10 Ibanda-Mbarara'!C39,'28.10 Ibanda-Mbarara-24hr'!C39,'29.10 Ibanda-Mbarara'!C39,'30.10 Ibanda-Mbarara'!C39,'31.10 Ibanda-Mbarara'!C39)</f>
        <v>6.7142857142857144</v>
      </c>
      <c r="D39" s="49">
        <f>AVERAGE('25.10 Ibanada-Mbarara'!D39,'26.10 Ibanda-Mbarara-24hr'!D39,'27.10 Ibanda-Mbarara'!D39,'28.10 Ibanda-Mbarara-24hr'!D39,'29.10 Ibanda-Mbarara'!D39,'30.10 Ibanda-Mbarara'!D39,'31.10 Ibanda-Mbarara'!D39)</f>
        <v>1.7142857142857142</v>
      </c>
      <c r="E39" s="49">
        <f>AVERAGE('25.10 Ibanada-Mbarara'!E39,'26.10 Ibanda-Mbarara-24hr'!E39,'27.10 Ibanda-Mbarara'!E39,'28.10 Ibanda-Mbarara-24hr'!E39,'29.10 Ibanda-Mbarara'!E39,'30.10 Ibanda-Mbarara'!E39,'31.10 Ibanda-Mbarara'!E39)</f>
        <v>0.5714285714285714</v>
      </c>
      <c r="F39" s="49">
        <f>AVERAGE('25.10 Ibanada-Mbarara'!F39,'26.10 Ibanda-Mbarara-24hr'!F39,'27.10 Ibanda-Mbarara'!F39,'28.10 Ibanda-Mbarara-24hr'!F39,'29.10 Ibanda-Mbarara'!F39,'30.10 Ibanda-Mbarara'!F39,'31.10 Ibanda-Mbarara'!F39)</f>
        <v>1.2857142857142858</v>
      </c>
      <c r="G39" s="49">
        <f>AVERAGE('25.10 Ibanada-Mbarara'!G39,'26.10 Ibanda-Mbarara-24hr'!G39,'27.10 Ibanda-Mbarara'!G39,'28.10 Ibanda-Mbarara-24hr'!G39,'29.10 Ibanda-Mbarara'!G39,'30.10 Ibanda-Mbarara'!G39,'31.10 Ibanda-Mbarara'!G39)</f>
        <v>0</v>
      </c>
      <c r="H39" s="49">
        <f>AVERAGE('25.10 Ibanada-Mbarara'!H39,'26.10 Ibanda-Mbarara-24hr'!H39,'27.10 Ibanda-Mbarara'!H39,'28.10 Ibanda-Mbarara-24hr'!H39,'29.10 Ibanda-Mbarara'!H39,'30.10 Ibanda-Mbarara'!H39,'31.10 Ibanda-Mbarara'!H39)</f>
        <v>0</v>
      </c>
      <c r="I39" s="49">
        <f>AVERAGE('25.10 Ibanada-Mbarara'!I39,'26.10 Ibanda-Mbarara-24hr'!I39,'27.10 Ibanda-Mbarara'!I39,'28.10 Ibanda-Mbarara-24hr'!I39,'29.10 Ibanda-Mbarara'!I39,'30.10 Ibanda-Mbarara'!I39,'31.10 Ibanda-Mbarara'!I39)</f>
        <v>0.14285714285714285</v>
      </c>
      <c r="J39" s="49">
        <f>AVERAGE('25.10 Ibanada-Mbarara'!J39,'26.10 Ibanda-Mbarara-24hr'!J39,'27.10 Ibanda-Mbarara'!J39,'28.10 Ibanda-Mbarara-24hr'!J39,'29.10 Ibanda-Mbarara'!J39,'30.10 Ibanda-Mbarara'!J39,'31.10 Ibanda-Mbarara'!J39)</f>
        <v>0.7142857142857143</v>
      </c>
      <c r="K39" s="49">
        <f>AVERAGE('25.10 Ibanada-Mbarara'!K39,'26.10 Ibanda-Mbarara-24hr'!K39,'27.10 Ibanda-Mbarara'!K39,'28.10 Ibanda-Mbarara-24hr'!K39,'29.10 Ibanda-Mbarara'!K39,'30.10 Ibanda-Mbarara'!K39,'31.10 Ibanda-Mbarara'!K39)</f>
        <v>0.5714285714285714</v>
      </c>
      <c r="L39" s="49">
        <f>AVERAGE('25.10 Ibanada-Mbarara'!L39,'26.10 Ibanda-Mbarara-24hr'!L39,'27.10 Ibanda-Mbarara'!L39,'28.10 Ibanda-Mbarara-24hr'!L39,'29.10 Ibanda-Mbarara'!L39,'30.10 Ibanda-Mbarara'!L39,'31.10 Ibanda-Mbarara'!L39)</f>
        <v>0</v>
      </c>
      <c r="M39" s="49">
        <f>AVERAGE('25.10 Ibanada-Mbarara'!M39,'26.10 Ibanda-Mbarara-24hr'!M39,'27.10 Ibanda-Mbarara'!M39,'28.10 Ibanda-Mbarara-24hr'!M39,'29.10 Ibanda-Mbarara'!M39,'30.10 Ibanda-Mbarara'!M39,'31.10 Ibanda-Mbarara'!M39)</f>
        <v>8.7142857142857135</v>
      </c>
      <c r="N39" s="49">
        <f>AVERAGE('25.10 Ibanada-Mbarara'!N39,'26.10 Ibanda-Mbarara-24hr'!N39,'27.10 Ibanda-Mbarara'!N39,'28.10 Ibanda-Mbarara-24hr'!N39,'29.10 Ibanda-Mbarara'!N39,'30.10 Ibanda-Mbarara'!N39,'31.10 Ibanda-Mbarara'!N39)</f>
        <v>0</v>
      </c>
      <c r="O39" s="15">
        <f t="shared" si="0"/>
        <v>11.714285714285714</v>
      </c>
      <c r="P39" s="15">
        <f t="shared" si="1"/>
        <v>20.428571428571427</v>
      </c>
      <c r="R39" s="29" t="s">
        <v>87</v>
      </c>
      <c r="S39" s="16">
        <f t="shared" ref="S39:AF39" si="31">SUM(S19:S21)</f>
        <v>86.571428571428584</v>
      </c>
      <c r="T39" s="16">
        <f t="shared" si="31"/>
        <v>12.285714285714285</v>
      </c>
      <c r="U39" s="16">
        <f t="shared" si="31"/>
        <v>10.428571428571429</v>
      </c>
      <c r="V39" s="16">
        <f t="shared" si="31"/>
        <v>14.857142857142856</v>
      </c>
      <c r="W39" s="16">
        <f t="shared" si="31"/>
        <v>0</v>
      </c>
      <c r="X39" s="16">
        <f t="shared" si="31"/>
        <v>0</v>
      </c>
      <c r="Y39" s="16">
        <f t="shared" si="31"/>
        <v>7.1428571428571423</v>
      </c>
      <c r="Z39" s="16">
        <f t="shared" si="31"/>
        <v>10.857142857142858</v>
      </c>
      <c r="AA39" s="16">
        <f t="shared" si="31"/>
        <v>2.8571428571428568</v>
      </c>
      <c r="AB39" s="16">
        <f t="shared" si="31"/>
        <v>1.9999999999999998</v>
      </c>
      <c r="AC39" s="16">
        <f t="shared" si="31"/>
        <v>145.57142857142856</v>
      </c>
      <c r="AD39" s="16">
        <f t="shared" si="31"/>
        <v>0</v>
      </c>
      <c r="AE39" s="32">
        <f t="shared" si="31"/>
        <v>147</v>
      </c>
      <c r="AF39" s="32">
        <f t="shared" si="31"/>
        <v>292.57142857142856</v>
      </c>
    </row>
    <row r="40" spans="2:32" ht="23.1" customHeight="1" x14ac:dyDescent="0.25">
      <c r="B40" s="24" t="s">
        <v>67</v>
      </c>
      <c r="C40" s="49">
        <f>AVERAGE('25.10 Ibanada-Mbarara'!C40,'26.10 Ibanda-Mbarara-24hr'!C40,'27.10 Ibanda-Mbarara'!C40,'28.10 Ibanda-Mbarara-24hr'!C40,'29.10 Ibanda-Mbarara'!C40,'30.10 Ibanda-Mbarara'!C40,'31.10 Ibanda-Mbarara'!C40)</f>
        <v>6</v>
      </c>
      <c r="D40" s="49">
        <f>AVERAGE('25.10 Ibanada-Mbarara'!D40,'26.10 Ibanda-Mbarara-24hr'!D40,'27.10 Ibanda-Mbarara'!D40,'28.10 Ibanda-Mbarara-24hr'!D40,'29.10 Ibanda-Mbarara'!D40,'30.10 Ibanda-Mbarara'!D40,'31.10 Ibanda-Mbarara'!D40)</f>
        <v>1.2857142857142858</v>
      </c>
      <c r="E40" s="49">
        <f>AVERAGE('25.10 Ibanada-Mbarara'!E40,'26.10 Ibanda-Mbarara-24hr'!E40,'27.10 Ibanda-Mbarara'!E40,'28.10 Ibanda-Mbarara-24hr'!E40,'29.10 Ibanda-Mbarara'!E40,'30.10 Ibanda-Mbarara'!E40,'31.10 Ibanda-Mbarara'!E40)</f>
        <v>0.5714285714285714</v>
      </c>
      <c r="F40" s="49">
        <f>AVERAGE('25.10 Ibanada-Mbarara'!F40,'26.10 Ibanda-Mbarara-24hr'!F40,'27.10 Ibanda-Mbarara'!F40,'28.10 Ibanda-Mbarara-24hr'!F40,'29.10 Ibanda-Mbarara'!F40,'30.10 Ibanda-Mbarara'!F40,'31.10 Ibanda-Mbarara'!F40)</f>
        <v>0.7142857142857143</v>
      </c>
      <c r="G40" s="49">
        <f>AVERAGE('25.10 Ibanada-Mbarara'!G40,'26.10 Ibanda-Mbarara-24hr'!G40,'27.10 Ibanda-Mbarara'!G40,'28.10 Ibanda-Mbarara-24hr'!G40,'29.10 Ibanda-Mbarara'!G40,'30.10 Ibanda-Mbarara'!G40,'31.10 Ibanda-Mbarara'!G40)</f>
        <v>0</v>
      </c>
      <c r="H40" s="49">
        <f>AVERAGE('25.10 Ibanada-Mbarara'!H40,'26.10 Ibanda-Mbarara-24hr'!H40,'27.10 Ibanda-Mbarara'!H40,'28.10 Ibanda-Mbarara-24hr'!H40,'29.10 Ibanda-Mbarara'!H40,'30.10 Ibanda-Mbarara'!H40,'31.10 Ibanda-Mbarara'!H40)</f>
        <v>0.14285714285714285</v>
      </c>
      <c r="I40" s="49">
        <f>AVERAGE('25.10 Ibanada-Mbarara'!I40,'26.10 Ibanda-Mbarara-24hr'!I40,'27.10 Ibanda-Mbarara'!I40,'28.10 Ibanda-Mbarara-24hr'!I40,'29.10 Ibanda-Mbarara'!I40,'30.10 Ibanda-Mbarara'!I40,'31.10 Ibanda-Mbarara'!I40)</f>
        <v>0.14285714285714285</v>
      </c>
      <c r="J40" s="49">
        <f>AVERAGE('25.10 Ibanada-Mbarara'!J40,'26.10 Ibanda-Mbarara-24hr'!J40,'27.10 Ibanda-Mbarara'!J40,'28.10 Ibanda-Mbarara-24hr'!J40,'29.10 Ibanda-Mbarara'!J40,'30.10 Ibanda-Mbarara'!J40,'31.10 Ibanda-Mbarara'!J40)</f>
        <v>0.42857142857142855</v>
      </c>
      <c r="K40" s="49">
        <f>AVERAGE('25.10 Ibanada-Mbarara'!K40,'26.10 Ibanda-Mbarara-24hr'!K40,'27.10 Ibanda-Mbarara'!K40,'28.10 Ibanda-Mbarara-24hr'!K40,'29.10 Ibanda-Mbarara'!K40,'30.10 Ibanda-Mbarara'!K40,'31.10 Ibanda-Mbarara'!K40)</f>
        <v>0.14285714285714285</v>
      </c>
      <c r="L40" s="49">
        <f>AVERAGE('25.10 Ibanada-Mbarara'!L40,'26.10 Ibanda-Mbarara-24hr'!L40,'27.10 Ibanda-Mbarara'!L40,'28.10 Ibanda-Mbarara-24hr'!L40,'29.10 Ibanda-Mbarara'!L40,'30.10 Ibanda-Mbarara'!L40,'31.10 Ibanda-Mbarara'!L40)</f>
        <v>0.14285714285714285</v>
      </c>
      <c r="M40" s="49">
        <f>AVERAGE('25.10 Ibanada-Mbarara'!M40,'26.10 Ibanda-Mbarara-24hr'!M40,'27.10 Ibanda-Mbarara'!M40,'28.10 Ibanda-Mbarara-24hr'!M40,'29.10 Ibanda-Mbarara'!M40,'30.10 Ibanda-Mbarara'!M40,'31.10 Ibanda-Mbarara'!M40)</f>
        <v>10.428571428571429</v>
      </c>
      <c r="N40" s="49">
        <f>AVERAGE('25.10 Ibanada-Mbarara'!N40,'26.10 Ibanda-Mbarara-24hr'!N40,'27.10 Ibanda-Mbarara'!N40,'28.10 Ibanda-Mbarara-24hr'!N40,'29.10 Ibanda-Mbarara'!N40,'30.10 Ibanda-Mbarara'!N40,'31.10 Ibanda-Mbarara'!N40)</f>
        <v>0</v>
      </c>
      <c r="O40" s="15">
        <f t="shared" si="0"/>
        <v>9.5714285714285694</v>
      </c>
      <c r="P40" s="15">
        <f t="shared" si="1"/>
        <v>20</v>
      </c>
      <c r="R40" s="5" t="s">
        <v>17</v>
      </c>
      <c r="S40" s="16">
        <f t="shared" ref="S40:AF40" si="32">SUM(S10:S21)</f>
        <v>303.85714285714283</v>
      </c>
      <c r="T40" s="16">
        <f t="shared" si="32"/>
        <v>36.999999999999993</v>
      </c>
      <c r="U40" s="16">
        <f t="shared" si="32"/>
        <v>34.714285714285708</v>
      </c>
      <c r="V40" s="16">
        <f t="shared" si="32"/>
        <v>78.142857142857139</v>
      </c>
      <c r="W40" s="16">
        <f t="shared" si="32"/>
        <v>1.5714285714285712</v>
      </c>
      <c r="X40" s="16">
        <f t="shared" si="32"/>
        <v>2.9999999999999996</v>
      </c>
      <c r="Y40" s="16">
        <f t="shared" si="32"/>
        <v>27</v>
      </c>
      <c r="Z40" s="16">
        <f t="shared" si="32"/>
        <v>31</v>
      </c>
      <c r="AA40" s="16">
        <f t="shared" si="32"/>
        <v>5.7142857142857135</v>
      </c>
      <c r="AB40" s="16">
        <f t="shared" si="32"/>
        <v>4.4285714285714279</v>
      </c>
      <c r="AC40" s="16">
        <f t="shared" si="32"/>
        <v>492.42857142857139</v>
      </c>
      <c r="AD40" s="16">
        <f t="shared" si="32"/>
        <v>0.14285714285714285</v>
      </c>
      <c r="AE40" s="32">
        <f t="shared" si="32"/>
        <v>526.57142857142856</v>
      </c>
      <c r="AF40" s="32">
        <f t="shared" si="32"/>
        <v>1019</v>
      </c>
    </row>
    <row r="41" spans="2:32" ht="23.1" customHeight="1" x14ac:dyDescent="0.25">
      <c r="B41" s="23" t="s">
        <v>68</v>
      </c>
      <c r="C41" s="49">
        <f>AVERAGE('25.10 Ibanada-Mbarara'!C41,'26.10 Ibanda-Mbarara-24hr'!C41,'27.10 Ibanda-Mbarara'!C41,'28.10 Ibanda-Mbarara-24hr'!C41,'29.10 Ibanda-Mbarara'!C41,'30.10 Ibanda-Mbarara'!C41,'31.10 Ibanda-Mbarara'!C41)</f>
        <v>6</v>
      </c>
      <c r="D41" s="49">
        <f>AVERAGE('25.10 Ibanada-Mbarara'!D41,'26.10 Ibanda-Mbarara-24hr'!D41,'27.10 Ibanda-Mbarara'!D41,'28.10 Ibanda-Mbarara-24hr'!D41,'29.10 Ibanda-Mbarara'!D41,'30.10 Ibanda-Mbarara'!D41,'31.10 Ibanda-Mbarara'!D41)</f>
        <v>1.2857142857142858</v>
      </c>
      <c r="E41" s="49">
        <f>AVERAGE('25.10 Ibanada-Mbarara'!E41,'26.10 Ibanda-Mbarara-24hr'!E41,'27.10 Ibanda-Mbarara'!E41,'28.10 Ibanda-Mbarara-24hr'!E41,'29.10 Ibanda-Mbarara'!E41,'30.10 Ibanda-Mbarara'!E41,'31.10 Ibanda-Mbarara'!E41)</f>
        <v>0.5714285714285714</v>
      </c>
      <c r="F41" s="49">
        <f>AVERAGE('25.10 Ibanada-Mbarara'!F41,'26.10 Ibanda-Mbarara-24hr'!F41,'27.10 Ibanda-Mbarara'!F41,'28.10 Ibanda-Mbarara-24hr'!F41,'29.10 Ibanda-Mbarara'!F41,'30.10 Ibanda-Mbarara'!F41,'31.10 Ibanda-Mbarara'!F41)</f>
        <v>1.2857142857142858</v>
      </c>
      <c r="G41" s="49">
        <f>AVERAGE('25.10 Ibanada-Mbarara'!G41,'26.10 Ibanda-Mbarara-24hr'!G41,'27.10 Ibanda-Mbarara'!G41,'28.10 Ibanda-Mbarara-24hr'!G41,'29.10 Ibanda-Mbarara'!G41,'30.10 Ibanda-Mbarara'!G41,'31.10 Ibanda-Mbarara'!G41)</f>
        <v>0</v>
      </c>
      <c r="H41" s="49">
        <f>AVERAGE('25.10 Ibanada-Mbarara'!H41,'26.10 Ibanda-Mbarara-24hr'!H41,'27.10 Ibanda-Mbarara'!H41,'28.10 Ibanda-Mbarara-24hr'!H41,'29.10 Ibanda-Mbarara'!H41,'30.10 Ibanda-Mbarara'!H41,'31.10 Ibanda-Mbarara'!H41)</f>
        <v>0</v>
      </c>
      <c r="I41" s="49">
        <f>AVERAGE('25.10 Ibanada-Mbarara'!I41,'26.10 Ibanda-Mbarara-24hr'!I41,'27.10 Ibanda-Mbarara'!I41,'28.10 Ibanda-Mbarara-24hr'!I41,'29.10 Ibanda-Mbarara'!I41,'30.10 Ibanda-Mbarara'!I41,'31.10 Ibanda-Mbarara'!I41)</f>
        <v>0.8571428571428571</v>
      </c>
      <c r="J41" s="49">
        <f>AVERAGE('25.10 Ibanada-Mbarara'!J41,'26.10 Ibanda-Mbarara-24hr'!J41,'27.10 Ibanda-Mbarara'!J41,'28.10 Ibanda-Mbarara-24hr'!J41,'29.10 Ibanda-Mbarara'!J41,'30.10 Ibanda-Mbarara'!J41,'31.10 Ibanda-Mbarara'!J41)</f>
        <v>1</v>
      </c>
      <c r="K41" s="49">
        <f>AVERAGE('25.10 Ibanada-Mbarara'!K41,'26.10 Ibanda-Mbarara-24hr'!K41,'27.10 Ibanda-Mbarara'!K41,'28.10 Ibanda-Mbarara-24hr'!K41,'29.10 Ibanda-Mbarara'!K41,'30.10 Ibanda-Mbarara'!K41,'31.10 Ibanda-Mbarara'!K41)</f>
        <v>0</v>
      </c>
      <c r="L41" s="49">
        <f>AVERAGE('25.10 Ibanada-Mbarara'!L41,'26.10 Ibanda-Mbarara-24hr'!L41,'27.10 Ibanda-Mbarara'!L41,'28.10 Ibanda-Mbarara-24hr'!L41,'29.10 Ibanda-Mbarara'!L41,'30.10 Ibanda-Mbarara'!L41,'31.10 Ibanda-Mbarara'!L41)</f>
        <v>0</v>
      </c>
      <c r="M41" s="49">
        <f>AVERAGE('25.10 Ibanada-Mbarara'!M41,'26.10 Ibanda-Mbarara-24hr'!M41,'27.10 Ibanda-Mbarara'!M41,'28.10 Ibanda-Mbarara-24hr'!M41,'29.10 Ibanda-Mbarara'!M41,'30.10 Ibanda-Mbarara'!M41,'31.10 Ibanda-Mbarara'!M41)</f>
        <v>10.428571428571429</v>
      </c>
      <c r="N41" s="49">
        <f>AVERAGE('25.10 Ibanada-Mbarara'!N41,'26.10 Ibanda-Mbarara-24hr'!N41,'27.10 Ibanda-Mbarara'!N41,'28.10 Ibanda-Mbarara-24hr'!N41,'29.10 Ibanda-Mbarara'!N41,'30.10 Ibanda-Mbarara'!N41,'31.10 Ibanda-Mbarara'!N41)</f>
        <v>0</v>
      </c>
      <c r="O41" s="15">
        <f t="shared" si="0"/>
        <v>11</v>
      </c>
      <c r="P41" s="15">
        <f t="shared" si="1"/>
        <v>21.428571428571431</v>
      </c>
      <c r="R41" s="5" t="s">
        <v>180</v>
      </c>
      <c r="S41" s="16">
        <f>SUM(S10:S33)</f>
        <v>393.35714285714283</v>
      </c>
      <c r="T41" s="16">
        <f t="shared" ref="T41:AD41" si="33">SUM(T10:T33)</f>
        <v>65.5</v>
      </c>
      <c r="U41" s="16">
        <f t="shared" si="33"/>
        <v>42.714285714285708</v>
      </c>
      <c r="V41" s="16">
        <f t="shared" si="33"/>
        <v>102.14285714285714</v>
      </c>
      <c r="W41" s="16">
        <f t="shared" si="33"/>
        <v>3.5714285714285712</v>
      </c>
      <c r="X41" s="16">
        <f t="shared" si="33"/>
        <v>6.5</v>
      </c>
      <c r="Y41" s="16">
        <f t="shared" si="33"/>
        <v>42.5</v>
      </c>
      <c r="Z41" s="16">
        <f t="shared" si="33"/>
        <v>49</v>
      </c>
      <c r="AA41" s="16">
        <f t="shared" si="33"/>
        <v>13.714285714285714</v>
      </c>
      <c r="AB41" s="16">
        <f t="shared" si="33"/>
        <v>6.4285714285714279</v>
      </c>
      <c r="AC41" s="16">
        <f t="shared" si="33"/>
        <v>585.42857142857133</v>
      </c>
      <c r="AD41" s="16">
        <f t="shared" si="33"/>
        <v>0.14285714285714285</v>
      </c>
      <c r="AE41" s="32">
        <f>SUM(AE10:AE33)</f>
        <v>725.57142857142856</v>
      </c>
      <c r="AF41" s="32">
        <f>SUM(AF10:AF33)</f>
        <v>1311</v>
      </c>
    </row>
    <row r="42" spans="2:32" ht="23.1" customHeight="1" x14ac:dyDescent="0.25">
      <c r="B42" s="24" t="s">
        <v>69</v>
      </c>
      <c r="C42" s="49">
        <f>AVERAGE('25.10 Ibanada-Mbarara'!C42,'26.10 Ibanda-Mbarara-24hr'!C42,'27.10 Ibanda-Mbarara'!C42,'28.10 Ibanda-Mbarara-24hr'!C42,'29.10 Ibanda-Mbarara'!C42,'30.10 Ibanda-Mbarara'!C42,'31.10 Ibanda-Mbarara'!C42)</f>
        <v>7.5714285714285712</v>
      </c>
      <c r="D42" s="49">
        <f>AVERAGE('25.10 Ibanada-Mbarara'!D42,'26.10 Ibanda-Mbarara-24hr'!D42,'27.10 Ibanda-Mbarara'!D42,'28.10 Ibanda-Mbarara-24hr'!D42,'29.10 Ibanda-Mbarara'!D42,'30.10 Ibanda-Mbarara'!D42,'31.10 Ibanda-Mbarara'!D42)</f>
        <v>1</v>
      </c>
      <c r="E42" s="49">
        <f>AVERAGE('25.10 Ibanada-Mbarara'!E42,'26.10 Ibanda-Mbarara-24hr'!E42,'27.10 Ibanda-Mbarara'!E42,'28.10 Ibanda-Mbarara-24hr'!E42,'29.10 Ibanda-Mbarara'!E42,'30.10 Ibanda-Mbarara'!E42,'31.10 Ibanda-Mbarara'!E42)</f>
        <v>1.1428571428571428</v>
      </c>
      <c r="F42" s="49">
        <f>AVERAGE('25.10 Ibanada-Mbarara'!F42,'26.10 Ibanda-Mbarara-24hr'!F42,'27.10 Ibanda-Mbarara'!F42,'28.10 Ibanda-Mbarara-24hr'!F42,'29.10 Ibanda-Mbarara'!F42,'30.10 Ibanda-Mbarara'!F42,'31.10 Ibanda-Mbarara'!F42)</f>
        <v>2</v>
      </c>
      <c r="G42" s="49">
        <f>AVERAGE('25.10 Ibanada-Mbarara'!G42,'26.10 Ibanda-Mbarara-24hr'!G42,'27.10 Ibanda-Mbarara'!G42,'28.10 Ibanda-Mbarara-24hr'!G42,'29.10 Ibanda-Mbarara'!G42,'30.10 Ibanda-Mbarara'!G42,'31.10 Ibanda-Mbarara'!G42)</f>
        <v>0.14285714285714285</v>
      </c>
      <c r="H42" s="49">
        <f>AVERAGE('25.10 Ibanada-Mbarara'!H42,'26.10 Ibanda-Mbarara-24hr'!H42,'27.10 Ibanda-Mbarara'!H42,'28.10 Ibanda-Mbarara-24hr'!H42,'29.10 Ibanda-Mbarara'!H42,'30.10 Ibanda-Mbarara'!H42,'31.10 Ibanda-Mbarara'!H42)</f>
        <v>0</v>
      </c>
      <c r="I42" s="49">
        <f>AVERAGE('25.10 Ibanada-Mbarara'!I42,'26.10 Ibanda-Mbarara-24hr'!I42,'27.10 Ibanda-Mbarara'!I42,'28.10 Ibanda-Mbarara-24hr'!I42,'29.10 Ibanda-Mbarara'!I42,'30.10 Ibanda-Mbarara'!I42,'31.10 Ibanda-Mbarara'!I42)</f>
        <v>1</v>
      </c>
      <c r="J42" s="49">
        <f>AVERAGE('25.10 Ibanada-Mbarara'!J42,'26.10 Ibanda-Mbarara-24hr'!J42,'27.10 Ibanda-Mbarara'!J42,'28.10 Ibanda-Mbarara-24hr'!J42,'29.10 Ibanda-Mbarara'!J42,'30.10 Ibanda-Mbarara'!J42,'31.10 Ibanda-Mbarara'!J42)</f>
        <v>0.8571428571428571</v>
      </c>
      <c r="K42" s="49">
        <f>AVERAGE('25.10 Ibanada-Mbarara'!K42,'26.10 Ibanda-Mbarara-24hr'!K42,'27.10 Ibanda-Mbarara'!K42,'28.10 Ibanda-Mbarara-24hr'!K42,'29.10 Ibanda-Mbarara'!K42,'30.10 Ibanda-Mbarara'!K42,'31.10 Ibanda-Mbarara'!K42)</f>
        <v>0</v>
      </c>
      <c r="L42" s="49">
        <f>AVERAGE('25.10 Ibanada-Mbarara'!L42,'26.10 Ibanda-Mbarara-24hr'!L42,'27.10 Ibanda-Mbarara'!L42,'28.10 Ibanda-Mbarara-24hr'!L42,'29.10 Ibanda-Mbarara'!L42,'30.10 Ibanda-Mbarara'!L42,'31.10 Ibanda-Mbarara'!L42)</f>
        <v>0</v>
      </c>
      <c r="M42" s="49">
        <f>AVERAGE('25.10 Ibanada-Mbarara'!M42,'26.10 Ibanda-Mbarara-24hr'!M42,'27.10 Ibanda-Mbarara'!M42,'28.10 Ibanda-Mbarara-24hr'!M42,'29.10 Ibanda-Mbarara'!M42,'30.10 Ibanda-Mbarara'!M42,'31.10 Ibanda-Mbarara'!M42)</f>
        <v>9.1428571428571423</v>
      </c>
      <c r="N42" s="49">
        <f>AVERAGE('25.10 Ibanada-Mbarara'!N42,'26.10 Ibanda-Mbarara-24hr'!N42,'27.10 Ibanda-Mbarara'!N42,'28.10 Ibanda-Mbarara-24hr'!N42,'29.10 Ibanda-Mbarara'!N42,'30.10 Ibanda-Mbarara'!N42,'31.10 Ibanda-Mbarara'!N42)</f>
        <v>0</v>
      </c>
      <c r="O42" s="15">
        <f t="shared" si="0"/>
        <v>13.714285714285714</v>
      </c>
      <c r="P42" s="15">
        <f t="shared" si="1"/>
        <v>22.857142857142854</v>
      </c>
      <c r="R42" s="5" t="s">
        <v>160</v>
      </c>
      <c r="S42" s="48">
        <f>S41/S40</f>
        <v>1.2945463093559004</v>
      </c>
      <c r="T42" s="48">
        <f t="shared" ref="T42:AF42" si="34">T41/T40</f>
        <v>1.7702702702702706</v>
      </c>
      <c r="U42" s="48">
        <f t="shared" si="34"/>
        <v>1.2304526748971194</v>
      </c>
      <c r="V42" s="48">
        <f t="shared" si="34"/>
        <v>1.3071297989031079</v>
      </c>
      <c r="W42" s="48">
        <f t="shared" si="34"/>
        <v>2.2727272727272729</v>
      </c>
      <c r="X42" s="48">
        <f t="shared" si="34"/>
        <v>2.166666666666667</v>
      </c>
      <c r="Y42" s="48">
        <f t="shared" si="34"/>
        <v>1.5740740740740742</v>
      </c>
      <c r="Z42" s="48">
        <f t="shared" si="34"/>
        <v>1.5806451612903225</v>
      </c>
      <c r="AA42" s="48">
        <f t="shared" si="34"/>
        <v>2.4000000000000004</v>
      </c>
      <c r="AB42" s="48">
        <f t="shared" si="34"/>
        <v>1.4516129032258065</v>
      </c>
      <c r="AC42" s="48">
        <f t="shared" si="34"/>
        <v>1.1888598781549171</v>
      </c>
      <c r="AD42" s="48">
        <f t="shared" si="34"/>
        <v>1</v>
      </c>
      <c r="AE42" s="51">
        <f t="shared" si="34"/>
        <v>1.3779164405860012</v>
      </c>
      <c r="AF42" s="51">
        <f t="shared" si="34"/>
        <v>1.2865554465161924</v>
      </c>
    </row>
    <row r="43" spans="2:32" ht="23.1" customHeight="1" x14ac:dyDescent="0.25">
      <c r="B43" s="23" t="s">
        <v>70</v>
      </c>
      <c r="C43" s="49">
        <f>AVERAGE('25.10 Ibanada-Mbarara'!C43,'26.10 Ibanda-Mbarara-24hr'!C43,'27.10 Ibanda-Mbarara'!C43,'28.10 Ibanda-Mbarara-24hr'!C43,'29.10 Ibanda-Mbarara'!C43,'30.10 Ibanda-Mbarara'!C43,'31.10 Ibanda-Mbarara'!C43)</f>
        <v>6.5714285714285712</v>
      </c>
      <c r="D43" s="49">
        <f>AVERAGE('25.10 Ibanada-Mbarara'!D43,'26.10 Ibanda-Mbarara-24hr'!D43,'27.10 Ibanda-Mbarara'!D43,'28.10 Ibanda-Mbarara-24hr'!D43,'29.10 Ibanda-Mbarara'!D43,'30.10 Ibanda-Mbarara'!D43,'31.10 Ibanda-Mbarara'!D43)</f>
        <v>1</v>
      </c>
      <c r="E43" s="49">
        <f>AVERAGE('25.10 Ibanada-Mbarara'!E43,'26.10 Ibanda-Mbarara-24hr'!E43,'27.10 Ibanda-Mbarara'!E43,'28.10 Ibanda-Mbarara-24hr'!E43,'29.10 Ibanda-Mbarara'!E43,'30.10 Ibanda-Mbarara'!E43,'31.10 Ibanda-Mbarara'!E43)</f>
        <v>1.1428571428571428</v>
      </c>
      <c r="F43" s="49">
        <f>AVERAGE('25.10 Ibanada-Mbarara'!F43,'26.10 Ibanda-Mbarara-24hr'!F43,'27.10 Ibanda-Mbarara'!F43,'28.10 Ibanda-Mbarara-24hr'!F43,'29.10 Ibanda-Mbarara'!F43,'30.10 Ibanda-Mbarara'!F43,'31.10 Ibanda-Mbarara'!F43)</f>
        <v>0.7142857142857143</v>
      </c>
      <c r="G43" s="49">
        <f>AVERAGE('25.10 Ibanada-Mbarara'!G43,'26.10 Ibanda-Mbarara-24hr'!G43,'27.10 Ibanda-Mbarara'!G43,'28.10 Ibanda-Mbarara-24hr'!G43,'29.10 Ibanda-Mbarara'!G43,'30.10 Ibanda-Mbarara'!G43,'31.10 Ibanda-Mbarara'!G43)</f>
        <v>0.14285714285714285</v>
      </c>
      <c r="H43" s="49">
        <f>AVERAGE('25.10 Ibanada-Mbarara'!H43,'26.10 Ibanda-Mbarara-24hr'!H43,'27.10 Ibanda-Mbarara'!H43,'28.10 Ibanda-Mbarara-24hr'!H43,'29.10 Ibanda-Mbarara'!H43,'30.10 Ibanda-Mbarara'!H43,'31.10 Ibanda-Mbarara'!H43)</f>
        <v>0</v>
      </c>
      <c r="I43" s="49">
        <f>AVERAGE('25.10 Ibanada-Mbarara'!I43,'26.10 Ibanda-Mbarara-24hr'!I43,'27.10 Ibanda-Mbarara'!I43,'28.10 Ibanda-Mbarara-24hr'!I43,'29.10 Ibanda-Mbarara'!I43,'30.10 Ibanda-Mbarara'!I43,'31.10 Ibanda-Mbarara'!I43)</f>
        <v>0.2857142857142857</v>
      </c>
      <c r="J43" s="49">
        <f>AVERAGE('25.10 Ibanada-Mbarara'!J43,'26.10 Ibanda-Mbarara-24hr'!J43,'27.10 Ibanda-Mbarara'!J43,'28.10 Ibanda-Mbarara-24hr'!J43,'29.10 Ibanda-Mbarara'!J43,'30.10 Ibanda-Mbarara'!J43,'31.10 Ibanda-Mbarara'!J43)</f>
        <v>0.7142857142857143</v>
      </c>
      <c r="K43" s="49">
        <f>AVERAGE('25.10 Ibanada-Mbarara'!K43,'26.10 Ibanda-Mbarara-24hr'!K43,'27.10 Ibanda-Mbarara'!K43,'28.10 Ibanda-Mbarara-24hr'!K43,'29.10 Ibanda-Mbarara'!K43,'30.10 Ibanda-Mbarara'!K43,'31.10 Ibanda-Mbarara'!K43)</f>
        <v>0.2857142857142857</v>
      </c>
      <c r="L43" s="49">
        <f>AVERAGE('25.10 Ibanada-Mbarara'!L43,'26.10 Ibanda-Mbarara-24hr'!L43,'27.10 Ibanda-Mbarara'!L43,'28.10 Ibanda-Mbarara-24hr'!L43,'29.10 Ibanda-Mbarara'!L43,'30.10 Ibanda-Mbarara'!L43,'31.10 Ibanda-Mbarara'!L43)</f>
        <v>0</v>
      </c>
      <c r="M43" s="49">
        <f>AVERAGE('25.10 Ibanada-Mbarara'!M43,'26.10 Ibanda-Mbarara-24hr'!M43,'27.10 Ibanda-Mbarara'!M43,'28.10 Ibanda-Mbarara-24hr'!M43,'29.10 Ibanda-Mbarara'!M43,'30.10 Ibanda-Mbarara'!M43,'31.10 Ibanda-Mbarara'!M43)</f>
        <v>8.7142857142857135</v>
      </c>
      <c r="N43" s="49">
        <f>AVERAGE('25.10 Ibanada-Mbarara'!N43,'26.10 Ibanda-Mbarara-24hr'!N43,'27.10 Ibanda-Mbarara'!N43,'28.10 Ibanda-Mbarara-24hr'!N43,'29.10 Ibanda-Mbarara'!N43,'30.10 Ibanda-Mbarara'!N43,'31.10 Ibanda-Mbarara'!N43)</f>
        <v>0</v>
      </c>
      <c r="O43" s="15">
        <f t="shared" si="0"/>
        <v>10.857142857142856</v>
      </c>
      <c r="P43" s="15">
        <f t="shared" si="1"/>
        <v>19.571428571428569</v>
      </c>
    </row>
    <row r="44" spans="2:32" ht="23.1" customHeight="1" x14ac:dyDescent="0.25">
      <c r="B44" s="25" t="s">
        <v>71</v>
      </c>
      <c r="C44" s="49">
        <f>AVERAGE('25.10 Ibanada-Mbarara'!C44,'26.10 Ibanda-Mbarara-24hr'!C44,'27.10 Ibanda-Mbarara'!C44,'28.10 Ibanda-Mbarara-24hr'!C44,'29.10 Ibanda-Mbarara'!C44,'30.10 Ibanda-Mbarara'!C44,'31.10 Ibanda-Mbarara'!C44)</f>
        <v>7.7142857142857144</v>
      </c>
      <c r="D44" s="49">
        <f>AVERAGE('25.10 Ibanada-Mbarara'!D44,'26.10 Ibanda-Mbarara-24hr'!D44,'27.10 Ibanda-Mbarara'!D44,'28.10 Ibanda-Mbarara-24hr'!D44,'29.10 Ibanda-Mbarara'!D44,'30.10 Ibanda-Mbarara'!D44,'31.10 Ibanda-Mbarara'!D44)</f>
        <v>1.2857142857142858</v>
      </c>
      <c r="E44" s="49">
        <f>AVERAGE('25.10 Ibanada-Mbarara'!E44,'26.10 Ibanda-Mbarara-24hr'!E44,'27.10 Ibanda-Mbarara'!E44,'28.10 Ibanda-Mbarara-24hr'!E44,'29.10 Ibanda-Mbarara'!E44,'30.10 Ibanda-Mbarara'!E44,'31.10 Ibanda-Mbarara'!E44)</f>
        <v>1</v>
      </c>
      <c r="F44" s="49">
        <f>AVERAGE('25.10 Ibanada-Mbarara'!F44,'26.10 Ibanda-Mbarara-24hr'!F44,'27.10 Ibanda-Mbarara'!F44,'28.10 Ibanda-Mbarara-24hr'!F44,'29.10 Ibanda-Mbarara'!F44,'30.10 Ibanda-Mbarara'!F44,'31.10 Ibanda-Mbarara'!F44)</f>
        <v>1.4285714285714286</v>
      </c>
      <c r="G44" s="49">
        <f>AVERAGE('25.10 Ibanada-Mbarara'!G44,'26.10 Ibanda-Mbarara-24hr'!G44,'27.10 Ibanda-Mbarara'!G44,'28.10 Ibanda-Mbarara-24hr'!G44,'29.10 Ibanda-Mbarara'!G44,'30.10 Ibanda-Mbarara'!G44,'31.10 Ibanda-Mbarara'!G44)</f>
        <v>0</v>
      </c>
      <c r="H44" s="49">
        <f>AVERAGE('25.10 Ibanada-Mbarara'!H44,'26.10 Ibanda-Mbarara-24hr'!H44,'27.10 Ibanda-Mbarara'!H44,'28.10 Ibanda-Mbarara-24hr'!H44,'29.10 Ibanda-Mbarara'!H44,'30.10 Ibanda-Mbarara'!H44,'31.10 Ibanda-Mbarara'!H44)</f>
        <v>0</v>
      </c>
      <c r="I44" s="49">
        <f>AVERAGE('25.10 Ibanada-Mbarara'!I44,'26.10 Ibanda-Mbarara-24hr'!I44,'27.10 Ibanda-Mbarara'!I44,'28.10 Ibanda-Mbarara-24hr'!I44,'29.10 Ibanda-Mbarara'!I44,'30.10 Ibanda-Mbarara'!I44,'31.10 Ibanda-Mbarara'!I44)</f>
        <v>1.1428571428571428</v>
      </c>
      <c r="J44" s="49">
        <f>AVERAGE('25.10 Ibanada-Mbarara'!J44,'26.10 Ibanda-Mbarara-24hr'!J44,'27.10 Ibanda-Mbarara'!J44,'28.10 Ibanda-Mbarara-24hr'!J44,'29.10 Ibanda-Mbarara'!J44,'30.10 Ibanda-Mbarara'!J44,'31.10 Ibanda-Mbarara'!J44)</f>
        <v>1.1428571428571428</v>
      </c>
      <c r="K44" s="49">
        <f>AVERAGE('25.10 Ibanada-Mbarara'!K44,'26.10 Ibanda-Mbarara-24hr'!K44,'27.10 Ibanda-Mbarara'!K44,'28.10 Ibanda-Mbarara-24hr'!K44,'29.10 Ibanda-Mbarara'!K44,'30.10 Ibanda-Mbarara'!K44,'31.10 Ibanda-Mbarara'!K44)</f>
        <v>0</v>
      </c>
      <c r="L44" s="49">
        <f>AVERAGE('25.10 Ibanada-Mbarara'!L44,'26.10 Ibanda-Mbarara-24hr'!L44,'27.10 Ibanda-Mbarara'!L44,'28.10 Ibanda-Mbarara-24hr'!L44,'29.10 Ibanda-Mbarara'!L44,'30.10 Ibanda-Mbarara'!L44,'31.10 Ibanda-Mbarara'!L44)</f>
        <v>0</v>
      </c>
      <c r="M44" s="49">
        <f>AVERAGE('25.10 Ibanada-Mbarara'!M44,'26.10 Ibanda-Mbarara-24hr'!M44,'27.10 Ibanda-Mbarara'!M44,'28.10 Ibanda-Mbarara-24hr'!M44,'29.10 Ibanda-Mbarara'!M44,'30.10 Ibanda-Mbarara'!M44,'31.10 Ibanda-Mbarara'!M44)</f>
        <v>12.285714285714286</v>
      </c>
      <c r="N44" s="49">
        <f>AVERAGE('25.10 Ibanada-Mbarara'!N44,'26.10 Ibanda-Mbarara-24hr'!N44,'27.10 Ibanda-Mbarara'!N44,'28.10 Ibanda-Mbarara-24hr'!N44,'29.10 Ibanda-Mbarara'!N44,'30.10 Ibanda-Mbarara'!N44,'31.10 Ibanda-Mbarara'!N44)</f>
        <v>0</v>
      </c>
      <c r="O44" s="15">
        <f t="shared" si="0"/>
        <v>13.714285714285714</v>
      </c>
      <c r="P44" s="15">
        <f t="shared" si="1"/>
        <v>26</v>
      </c>
    </row>
    <row r="45" spans="2:32" ht="23.1" customHeight="1" x14ac:dyDescent="0.25">
      <c r="B45" s="23" t="s">
        <v>72</v>
      </c>
      <c r="C45" s="49">
        <f>AVERAGE('25.10 Ibanada-Mbarara'!C45,'26.10 Ibanda-Mbarara-24hr'!C45,'27.10 Ibanda-Mbarara'!C45,'28.10 Ibanda-Mbarara-24hr'!C45,'29.10 Ibanda-Mbarara'!C45,'30.10 Ibanda-Mbarara'!C45,'31.10 Ibanda-Mbarara'!C45)</f>
        <v>5.7142857142857144</v>
      </c>
      <c r="D45" s="49">
        <f>AVERAGE('25.10 Ibanada-Mbarara'!D45,'26.10 Ibanda-Mbarara-24hr'!D45,'27.10 Ibanda-Mbarara'!D45,'28.10 Ibanda-Mbarara-24hr'!D45,'29.10 Ibanda-Mbarara'!D45,'30.10 Ibanda-Mbarara'!D45,'31.10 Ibanda-Mbarara'!D45)</f>
        <v>0.8571428571428571</v>
      </c>
      <c r="E45" s="49">
        <f>AVERAGE('25.10 Ibanada-Mbarara'!E45,'26.10 Ibanda-Mbarara-24hr'!E45,'27.10 Ibanda-Mbarara'!E45,'28.10 Ibanda-Mbarara-24hr'!E45,'29.10 Ibanda-Mbarara'!E45,'30.10 Ibanda-Mbarara'!E45,'31.10 Ibanda-Mbarara'!E45)</f>
        <v>0.8571428571428571</v>
      </c>
      <c r="F45" s="49">
        <f>AVERAGE('25.10 Ibanada-Mbarara'!F45,'26.10 Ibanda-Mbarara-24hr'!F45,'27.10 Ibanda-Mbarara'!F45,'28.10 Ibanda-Mbarara-24hr'!F45,'29.10 Ibanda-Mbarara'!F45,'30.10 Ibanda-Mbarara'!F45,'31.10 Ibanda-Mbarara'!F45)</f>
        <v>1.5714285714285714</v>
      </c>
      <c r="G45" s="49">
        <f>AVERAGE('25.10 Ibanada-Mbarara'!G45,'26.10 Ibanda-Mbarara-24hr'!G45,'27.10 Ibanda-Mbarara'!G45,'28.10 Ibanda-Mbarara-24hr'!G45,'29.10 Ibanda-Mbarara'!G45,'30.10 Ibanda-Mbarara'!G45,'31.10 Ibanda-Mbarara'!G45)</f>
        <v>0</v>
      </c>
      <c r="H45" s="49">
        <f>AVERAGE('25.10 Ibanada-Mbarara'!H45,'26.10 Ibanda-Mbarara-24hr'!H45,'27.10 Ibanda-Mbarara'!H45,'28.10 Ibanda-Mbarara-24hr'!H45,'29.10 Ibanda-Mbarara'!H45,'30.10 Ibanda-Mbarara'!H45,'31.10 Ibanda-Mbarara'!H45)</f>
        <v>0</v>
      </c>
      <c r="I45" s="49">
        <f>AVERAGE('25.10 Ibanada-Mbarara'!I45,'26.10 Ibanda-Mbarara-24hr'!I45,'27.10 Ibanda-Mbarara'!I45,'28.10 Ibanda-Mbarara-24hr'!I45,'29.10 Ibanda-Mbarara'!I45,'30.10 Ibanda-Mbarara'!I45,'31.10 Ibanda-Mbarara'!I45)</f>
        <v>0.7142857142857143</v>
      </c>
      <c r="J45" s="49">
        <f>AVERAGE('25.10 Ibanada-Mbarara'!J45,'26.10 Ibanda-Mbarara-24hr'!J45,'27.10 Ibanda-Mbarara'!J45,'28.10 Ibanda-Mbarara-24hr'!J45,'29.10 Ibanda-Mbarara'!J45,'30.10 Ibanda-Mbarara'!J45,'31.10 Ibanda-Mbarara'!J45)</f>
        <v>0.8571428571428571</v>
      </c>
      <c r="K45" s="49">
        <f>AVERAGE('25.10 Ibanada-Mbarara'!K45,'26.10 Ibanda-Mbarara-24hr'!K45,'27.10 Ibanda-Mbarara'!K45,'28.10 Ibanda-Mbarara-24hr'!K45,'29.10 Ibanda-Mbarara'!K45,'30.10 Ibanda-Mbarara'!K45,'31.10 Ibanda-Mbarara'!K45)</f>
        <v>0.2857142857142857</v>
      </c>
      <c r="L45" s="49">
        <f>AVERAGE('25.10 Ibanada-Mbarara'!L45,'26.10 Ibanda-Mbarara-24hr'!L45,'27.10 Ibanda-Mbarara'!L45,'28.10 Ibanda-Mbarara-24hr'!L45,'29.10 Ibanda-Mbarara'!L45,'30.10 Ibanda-Mbarara'!L45,'31.10 Ibanda-Mbarara'!L45)</f>
        <v>0.2857142857142857</v>
      </c>
      <c r="M45" s="49">
        <f>AVERAGE('25.10 Ibanada-Mbarara'!M45,'26.10 Ibanda-Mbarara-24hr'!M45,'27.10 Ibanda-Mbarara'!M45,'28.10 Ibanda-Mbarara-24hr'!M45,'29.10 Ibanda-Mbarara'!M45,'30.10 Ibanda-Mbarara'!M45,'31.10 Ibanda-Mbarara'!M45)</f>
        <v>11.142857142857142</v>
      </c>
      <c r="N45" s="49">
        <f>AVERAGE('25.10 Ibanada-Mbarara'!N45,'26.10 Ibanda-Mbarara-24hr'!N45,'27.10 Ibanda-Mbarara'!N45,'28.10 Ibanda-Mbarara-24hr'!N45,'29.10 Ibanda-Mbarara'!N45,'30.10 Ibanda-Mbarara'!N45,'31.10 Ibanda-Mbarara'!N45)</f>
        <v>0</v>
      </c>
      <c r="O45" s="15">
        <f t="shared" si="0"/>
        <v>11.142857142857144</v>
      </c>
      <c r="P45" s="15">
        <f t="shared" si="1"/>
        <v>22.285714285714285</v>
      </c>
    </row>
    <row r="46" spans="2:32" ht="23.1" customHeight="1" x14ac:dyDescent="0.25">
      <c r="B46" s="24" t="s">
        <v>73</v>
      </c>
      <c r="C46" s="49">
        <f>AVERAGE('25.10 Ibanada-Mbarara'!C46,'26.10 Ibanda-Mbarara-24hr'!C46,'27.10 Ibanda-Mbarara'!C46,'28.10 Ibanda-Mbarara-24hr'!C46,'29.10 Ibanda-Mbarara'!C46,'30.10 Ibanda-Mbarara'!C46,'31.10 Ibanda-Mbarara'!C46)</f>
        <v>7</v>
      </c>
      <c r="D46" s="49">
        <f>AVERAGE('25.10 Ibanada-Mbarara'!D46,'26.10 Ibanda-Mbarara-24hr'!D46,'27.10 Ibanda-Mbarara'!D46,'28.10 Ibanda-Mbarara-24hr'!D46,'29.10 Ibanda-Mbarara'!D46,'30.10 Ibanda-Mbarara'!D46,'31.10 Ibanda-Mbarara'!D46)</f>
        <v>0.5714285714285714</v>
      </c>
      <c r="E46" s="49">
        <f>AVERAGE('25.10 Ibanada-Mbarara'!E46,'26.10 Ibanda-Mbarara-24hr'!E46,'27.10 Ibanda-Mbarara'!E46,'28.10 Ibanda-Mbarara-24hr'!E46,'29.10 Ibanda-Mbarara'!E46,'30.10 Ibanda-Mbarara'!E46,'31.10 Ibanda-Mbarara'!E46)</f>
        <v>0.42857142857142855</v>
      </c>
      <c r="F46" s="49">
        <f>AVERAGE('25.10 Ibanada-Mbarara'!F46,'26.10 Ibanda-Mbarara-24hr'!F46,'27.10 Ibanda-Mbarara'!F46,'28.10 Ibanda-Mbarara-24hr'!F46,'29.10 Ibanda-Mbarara'!F46,'30.10 Ibanda-Mbarara'!F46,'31.10 Ibanda-Mbarara'!F46)</f>
        <v>1.5714285714285714</v>
      </c>
      <c r="G46" s="49">
        <f>AVERAGE('25.10 Ibanada-Mbarara'!G46,'26.10 Ibanda-Mbarara-24hr'!G46,'27.10 Ibanda-Mbarara'!G46,'28.10 Ibanda-Mbarara-24hr'!G46,'29.10 Ibanda-Mbarara'!G46,'30.10 Ibanda-Mbarara'!G46,'31.10 Ibanda-Mbarara'!G46)</f>
        <v>0</v>
      </c>
      <c r="H46" s="49">
        <f>AVERAGE('25.10 Ibanada-Mbarara'!H46,'26.10 Ibanda-Mbarara-24hr'!H46,'27.10 Ibanda-Mbarara'!H46,'28.10 Ibanda-Mbarara-24hr'!H46,'29.10 Ibanda-Mbarara'!H46,'30.10 Ibanda-Mbarara'!H46,'31.10 Ibanda-Mbarara'!H46)</f>
        <v>0</v>
      </c>
      <c r="I46" s="49">
        <f>AVERAGE('25.10 Ibanada-Mbarara'!I46,'26.10 Ibanda-Mbarara-24hr'!I46,'27.10 Ibanda-Mbarara'!I46,'28.10 Ibanda-Mbarara-24hr'!I46,'29.10 Ibanda-Mbarara'!I46,'30.10 Ibanda-Mbarara'!I46,'31.10 Ibanda-Mbarara'!I46)</f>
        <v>0.7142857142857143</v>
      </c>
      <c r="J46" s="49">
        <f>AVERAGE('25.10 Ibanada-Mbarara'!J46,'26.10 Ibanda-Mbarara-24hr'!J46,'27.10 Ibanda-Mbarara'!J46,'28.10 Ibanda-Mbarara-24hr'!J46,'29.10 Ibanda-Mbarara'!J46,'30.10 Ibanda-Mbarara'!J46,'31.10 Ibanda-Mbarara'!J46)</f>
        <v>1.2857142857142858</v>
      </c>
      <c r="K46" s="49">
        <f>AVERAGE('25.10 Ibanada-Mbarara'!K46,'26.10 Ibanda-Mbarara-24hr'!K46,'27.10 Ibanda-Mbarara'!K46,'28.10 Ibanda-Mbarara-24hr'!K46,'29.10 Ibanda-Mbarara'!K46,'30.10 Ibanda-Mbarara'!K46,'31.10 Ibanda-Mbarara'!K46)</f>
        <v>0</v>
      </c>
      <c r="L46" s="49">
        <f>AVERAGE('25.10 Ibanada-Mbarara'!L46,'26.10 Ibanda-Mbarara-24hr'!L46,'27.10 Ibanda-Mbarara'!L46,'28.10 Ibanda-Mbarara-24hr'!L46,'29.10 Ibanda-Mbarara'!L46,'30.10 Ibanda-Mbarara'!L46,'31.10 Ibanda-Mbarara'!L46)</f>
        <v>0.5714285714285714</v>
      </c>
      <c r="M46" s="49">
        <f>AVERAGE('25.10 Ibanada-Mbarara'!M46,'26.10 Ibanda-Mbarara-24hr'!M46,'27.10 Ibanda-Mbarara'!M46,'28.10 Ibanda-Mbarara-24hr'!M46,'29.10 Ibanda-Mbarara'!M46,'30.10 Ibanda-Mbarara'!M46,'31.10 Ibanda-Mbarara'!M46)</f>
        <v>9.7142857142857135</v>
      </c>
      <c r="N46" s="49">
        <f>AVERAGE('25.10 Ibanada-Mbarara'!N46,'26.10 Ibanda-Mbarara-24hr'!N46,'27.10 Ibanda-Mbarara'!N46,'28.10 Ibanda-Mbarara-24hr'!N46,'29.10 Ibanda-Mbarara'!N46,'30.10 Ibanda-Mbarara'!N46,'31.10 Ibanda-Mbarara'!N46)</f>
        <v>0</v>
      </c>
      <c r="O46" s="15">
        <f t="shared" si="0"/>
        <v>12.142857142857142</v>
      </c>
      <c r="P46" s="15">
        <f t="shared" si="1"/>
        <v>21.857142857142854</v>
      </c>
      <c r="R46" s="8"/>
      <c r="T46"/>
    </row>
    <row r="47" spans="2:32" ht="23.1" customHeight="1" x14ac:dyDescent="0.25">
      <c r="B47" s="24" t="s">
        <v>74</v>
      </c>
      <c r="C47" s="49">
        <f>AVERAGE('25.10 Ibanada-Mbarara'!C47,'26.10 Ibanda-Mbarara-24hr'!C47,'27.10 Ibanda-Mbarara'!C47,'28.10 Ibanda-Mbarara-24hr'!C47,'29.10 Ibanda-Mbarara'!C47,'30.10 Ibanda-Mbarara'!C47,'31.10 Ibanda-Mbarara'!C47)</f>
        <v>7.2857142857142856</v>
      </c>
      <c r="D47" s="49">
        <f>AVERAGE('25.10 Ibanada-Mbarara'!D47,'26.10 Ibanda-Mbarara-24hr'!D47,'27.10 Ibanda-Mbarara'!D47,'28.10 Ibanda-Mbarara-24hr'!D47,'29.10 Ibanda-Mbarara'!D47,'30.10 Ibanda-Mbarara'!D47,'31.10 Ibanda-Mbarara'!D47)</f>
        <v>1.5714285714285714</v>
      </c>
      <c r="E47" s="49">
        <f>AVERAGE('25.10 Ibanada-Mbarara'!E47,'26.10 Ibanda-Mbarara-24hr'!E47,'27.10 Ibanda-Mbarara'!E47,'28.10 Ibanda-Mbarara-24hr'!E47,'29.10 Ibanda-Mbarara'!E47,'30.10 Ibanda-Mbarara'!E47,'31.10 Ibanda-Mbarara'!E47)</f>
        <v>0.42857142857142855</v>
      </c>
      <c r="F47" s="49">
        <f>AVERAGE('25.10 Ibanada-Mbarara'!F47,'26.10 Ibanda-Mbarara-24hr'!F47,'27.10 Ibanda-Mbarara'!F47,'28.10 Ibanda-Mbarara-24hr'!F47,'29.10 Ibanda-Mbarara'!F47,'30.10 Ibanda-Mbarara'!F47,'31.10 Ibanda-Mbarara'!F47)</f>
        <v>0.7142857142857143</v>
      </c>
      <c r="G47" s="49">
        <f>AVERAGE('25.10 Ibanada-Mbarara'!G47,'26.10 Ibanda-Mbarara-24hr'!G47,'27.10 Ibanda-Mbarara'!G47,'28.10 Ibanda-Mbarara-24hr'!G47,'29.10 Ibanda-Mbarara'!G47,'30.10 Ibanda-Mbarara'!G47,'31.10 Ibanda-Mbarara'!G47)</f>
        <v>0</v>
      </c>
      <c r="H47" s="49">
        <f>AVERAGE('25.10 Ibanada-Mbarara'!H47,'26.10 Ibanda-Mbarara-24hr'!H47,'27.10 Ibanda-Mbarara'!H47,'28.10 Ibanda-Mbarara-24hr'!H47,'29.10 Ibanda-Mbarara'!H47,'30.10 Ibanda-Mbarara'!H47,'31.10 Ibanda-Mbarara'!H47)</f>
        <v>0</v>
      </c>
      <c r="I47" s="49">
        <f>AVERAGE('25.10 Ibanada-Mbarara'!I47,'26.10 Ibanda-Mbarara-24hr'!I47,'27.10 Ibanda-Mbarara'!I47,'28.10 Ibanda-Mbarara-24hr'!I47,'29.10 Ibanda-Mbarara'!I47,'30.10 Ibanda-Mbarara'!I47,'31.10 Ibanda-Mbarara'!I47)</f>
        <v>0.42857142857142855</v>
      </c>
      <c r="J47" s="49">
        <f>AVERAGE('25.10 Ibanada-Mbarara'!J47,'26.10 Ibanda-Mbarara-24hr'!J47,'27.10 Ibanda-Mbarara'!J47,'28.10 Ibanda-Mbarara-24hr'!J47,'29.10 Ibanda-Mbarara'!J47,'30.10 Ibanda-Mbarara'!J47,'31.10 Ibanda-Mbarara'!J47)</f>
        <v>0.8571428571428571</v>
      </c>
      <c r="K47" s="49">
        <f>AVERAGE('25.10 Ibanada-Mbarara'!K47,'26.10 Ibanda-Mbarara-24hr'!K47,'27.10 Ibanda-Mbarara'!K47,'28.10 Ibanda-Mbarara-24hr'!K47,'29.10 Ibanda-Mbarara'!K47,'30.10 Ibanda-Mbarara'!K47,'31.10 Ibanda-Mbarara'!K47)</f>
        <v>0</v>
      </c>
      <c r="L47" s="49">
        <f>AVERAGE('25.10 Ibanada-Mbarara'!L47,'26.10 Ibanda-Mbarara-24hr'!L47,'27.10 Ibanda-Mbarara'!L47,'28.10 Ibanda-Mbarara-24hr'!L47,'29.10 Ibanda-Mbarara'!L47,'30.10 Ibanda-Mbarara'!L47,'31.10 Ibanda-Mbarara'!L47)</f>
        <v>0.14285714285714285</v>
      </c>
      <c r="M47" s="49">
        <f>AVERAGE('25.10 Ibanada-Mbarara'!M47,'26.10 Ibanda-Mbarara-24hr'!M47,'27.10 Ibanda-Mbarara'!M47,'28.10 Ibanda-Mbarara-24hr'!M47,'29.10 Ibanda-Mbarara'!M47,'30.10 Ibanda-Mbarara'!M47,'31.10 Ibanda-Mbarara'!M47)</f>
        <v>11.714285714285714</v>
      </c>
      <c r="N47" s="49">
        <f>AVERAGE('25.10 Ibanada-Mbarara'!N47,'26.10 Ibanda-Mbarara-24hr'!N47,'27.10 Ibanda-Mbarara'!N47,'28.10 Ibanda-Mbarara-24hr'!N47,'29.10 Ibanda-Mbarara'!N47,'30.10 Ibanda-Mbarara'!N47,'31.10 Ibanda-Mbarara'!N47)</f>
        <v>0</v>
      </c>
      <c r="O47" s="15">
        <f t="shared" si="0"/>
        <v>11.428571428571429</v>
      </c>
      <c r="P47" s="15">
        <f t="shared" si="1"/>
        <v>23.142857142857142</v>
      </c>
      <c r="R47" s="8"/>
      <c r="T47"/>
    </row>
    <row r="48" spans="2:32" ht="23.1" customHeight="1" x14ac:dyDescent="0.25">
      <c r="B48" s="24" t="s">
        <v>75</v>
      </c>
      <c r="C48" s="49">
        <f>AVERAGE('25.10 Ibanada-Mbarara'!C48,'26.10 Ibanda-Mbarara-24hr'!C48,'27.10 Ibanda-Mbarara'!C48,'28.10 Ibanda-Mbarara-24hr'!C48,'29.10 Ibanda-Mbarara'!C48,'30.10 Ibanda-Mbarara'!C48,'31.10 Ibanda-Mbarara'!C48)</f>
        <v>7.4285714285714288</v>
      </c>
      <c r="D48" s="49">
        <f>AVERAGE('25.10 Ibanada-Mbarara'!D48,'26.10 Ibanda-Mbarara-24hr'!D48,'27.10 Ibanda-Mbarara'!D48,'28.10 Ibanda-Mbarara-24hr'!D48,'29.10 Ibanda-Mbarara'!D48,'30.10 Ibanda-Mbarara'!D48,'31.10 Ibanda-Mbarara'!D48)</f>
        <v>1.7142857142857142</v>
      </c>
      <c r="E48" s="49">
        <f>AVERAGE('25.10 Ibanada-Mbarara'!E48,'26.10 Ibanda-Mbarara-24hr'!E48,'27.10 Ibanda-Mbarara'!E48,'28.10 Ibanda-Mbarara-24hr'!E48,'29.10 Ibanda-Mbarara'!E48,'30.10 Ibanda-Mbarara'!E48,'31.10 Ibanda-Mbarara'!E48)</f>
        <v>1.1428571428571428</v>
      </c>
      <c r="F48" s="49">
        <f>AVERAGE('25.10 Ibanada-Mbarara'!F48,'26.10 Ibanda-Mbarara-24hr'!F48,'27.10 Ibanda-Mbarara'!F48,'28.10 Ibanda-Mbarara-24hr'!F48,'29.10 Ibanda-Mbarara'!F48,'30.10 Ibanda-Mbarara'!F48,'31.10 Ibanda-Mbarara'!F48)</f>
        <v>1.7142857142857142</v>
      </c>
      <c r="G48" s="49">
        <f>AVERAGE('25.10 Ibanada-Mbarara'!G48,'26.10 Ibanda-Mbarara-24hr'!G48,'27.10 Ibanda-Mbarara'!G48,'28.10 Ibanda-Mbarara-24hr'!G48,'29.10 Ibanda-Mbarara'!G48,'30.10 Ibanda-Mbarara'!G48,'31.10 Ibanda-Mbarara'!G48)</f>
        <v>0</v>
      </c>
      <c r="H48" s="49">
        <f>AVERAGE('25.10 Ibanada-Mbarara'!H48,'26.10 Ibanda-Mbarara-24hr'!H48,'27.10 Ibanda-Mbarara'!H48,'28.10 Ibanda-Mbarara-24hr'!H48,'29.10 Ibanda-Mbarara'!H48,'30.10 Ibanda-Mbarara'!H48,'31.10 Ibanda-Mbarara'!H48)</f>
        <v>0</v>
      </c>
      <c r="I48" s="49">
        <f>AVERAGE('25.10 Ibanada-Mbarara'!I48,'26.10 Ibanda-Mbarara-24hr'!I48,'27.10 Ibanda-Mbarara'!I48,'28.10 Ibanda-Mbarara-24hr'!I48,'29.10 Ibanda-Mbarara'!I48,'30.10 Ibanda-Mbarara'!I48,'31.10 Ibanda-Mbarara'!I48)</f>
        <v>0.5714285714285714</v>
      </c>
      <c r="J48" s="49">
        <f>AVERAGE('25.10 Ibanada-Mbarara'!J48,'26.10 Ibanda-Mbarara-24hr'!J48,'27.10 Ibanda-Mbarara'!J48,'28.10 Ibanda-Mbarara-24hr'!J48,'29.10 Ibanda-Mbarara'!J48,'30.10 Ibanda-Mbarara'!J48,'31.10 Ibanda-Mbarara'!J48)</f>
        <v>0.7142857142857143</v>
      </c>
      <c r="K48" s="49">
        <f>AVERAGE('25.10 Ibanada-Mbarara'!K48,'26.10 Ibanda-Mbarara-24hr'!K48,'27.10 Ibanda-Mbarara'!K48,'28.10 Ibanda-Mbarara-24hr'!K48,'29.10 Ibanda-Mbarara'!K48,'30.10 Ibanda-Mbarara'!K48,'31.10 Ibanda-Mbarara'!K48)</f>
        <v>0.14285714285714285</v>
      </c>
      <c r="L48" s="49">
        <f>AVERAGE('25.10 Ibanada-Mbarara'!L48,'26.10 Ibanda-Mbarara-24hr'!L48,'27.10 Ibanda-Mbarara'!L48,'28.10 Ibanda-Mbarara-24hr'!L48,'29.10 Ibanda-Mbarara'!L48,'30.10 Ibanda-Mbarara'!L48,'31.10 Ibanda-Mbarara'!L48)</f>
        <v>0</v>
      </c>
      <c r="M48" s="49">
        <f>AVERAGE('25.10 Ibanada-Mbarara'!M48,'26.10 Ibanda-Mbarara-24hr'!M48,'27.10 Ibanda-Mbarara'!M48,'28.10 Ibanda-Mbarara-24hr'!M48,'29.10 Ibanda-Mbarara'!M48,'30.10 Ibanda-Mbarara'!M48,'31.10 Ibanda-Mbarara'!M48)</f>
        <v>11.285714285714286</v>
      </c>
      <c r="N48" s="49">
        <f>AVERAGE('25.10 Ibanada-Mbarara'!N48,'26.10 Ibanda-Mbarara-24hr'!N48,'27.10 Ibanda-Mbarara'!N48,'28.10 Ibanda-Mbarara-24hr'!N48,'29.10 Ibanda-Mbarara'!N48,'30.10 Ibanda-Mbarara'!N48,'31.10 Ibanda-Mbarara'!N48)</f>
        <v>0</v>
      </c>
      <c r="O48" s="15">
        <f t="shared" si="0"/>
        <v>13.428571428571425</v>
      </c>
      <c r="P48" s="15">
        <f t="shared" si="1"/>
        <v>24.714285714285712</v>
      </c>
      <c r="R48" s="8"/>
      <c r="T48"/>
    </row>
    <row r="49" spans="2:20" ht="23.1" customHeight="1" x14ac:dyDescent="0.25">
      <c r="B49" s="23" t="s">
        <v>76</v>
      </c>
      <c r="C49" s="49">
        <f>AVERAGE('25.10 Ibanada-Mbarara'!C49,'26.10 Ibanda-Mbarara-24hr'!C49,'27.10 Ibanda-Mbarara'!C49,'28.10 Ibanda-Mbarara-24hr'!C49,'29.10 Ibanda-Mbarara'!C49,'30.10 Ibanda-Mbarara'!C49,'31.10 Ibanda-Mbarara'!C49)</f>
        <v>7.4285714285714288</v>
      </c>
      <c r="D49" s="49">
        <f>AVERAGE('25.10 Ibanada-Mbarara'!D49,'26.10 Ibanda-Mbarara-24hr'!D49,'27.10 Ibanda-Mbarara'!D49,'28.10 Ibanda-Mbarara-24hr'!D49,'29.10 Ibanda-Mbarara'!D49,'30.10 Ibanda-Mbarara'!D49,'31.10 Ibanda-Mbarara'!D49)</f>
        <v>1.2857142857142858</v>
      </c>
      <c r="E49" s="49">
        <f>AVERAGE('25.10 Ibanada-Mbarara'!E49,'26.10 Ibanda-Mbarara-24hr'!E49,'27.10 Ibanda-Mbarara'!E49,'28.10 Ibanda-Mbarara-24hr'!E49,'29.10 Ibanda-Mbarara'!E49,'30.10 Ibanda-Mbarara'!E49,'31.10 Ibanda-Mbarara'!E49)</f>
        <v>1.1428571428571428</v>
      </c>
      <c r="F49" s="49">
        <f>AVERAGE('25.10 Ibanada-Mbarara'!F49,'26.10 Ibanda-Mbarara-24hr'!F49,'27.10 Ibanda-Mbarara'!F49,'28.10 Ibanda-Mbarara-24hr'!F49,'29.10 Ibanda-Mbarara'!F49,'30.10 Ibanda-Mbarara'!F49,'31.10 Ibanda-Mbarara'!F49)</f>
        <v>1.2857142857142858</v>
      </c>
      <c r="G49" s="49">
        <f>AVERAGE('25.10 Ibanada-Mbarara'!G49,'26.10 Ibanda-Mbarara-24hr'!G49,'27.10 Ibanda-Mbarara'!G49,'28.10 Ibanda-Mbarara-24hr'!G49,'29.10 Ibanda-Mbarara'!G49,'30.10 Ibanda-Mbarara'!G49,'31.10 Ibanda-Mbarara'!G49)</f>
        <v>0</v>
      </c>
      <c r="H49" s="49">
        <f>AVERAGE('25.10 Ibanada-Mbarara'!H49,'26.10 Ibanda-Mbarara-24hr'!H49,'27.10 Ibanda-Mbarara'!H49,'28.10 Ibanda-Mbarara-24hr'!H49,'29.10 Ibanda-Mbarara'!H49,'30.10 Ibanda-Mbarara'!H49,'31.10 Ibanda-Mbarara'!H49)</f>
        <v>0</v>
      </c>
      <c r="I49" s="49">
        <f>AVERAGE('25.10 Ibanada-Mbarara'!I49,'26.10 Ibanda-Mbarara-24hr'!I49,'27.10 Ibanda-Mbarara'!I49,'28.10 Ibanda-Mbarara-24hr'!I49,'29.10 Ibanda-Mbarara'!I49,'30.10 Ibanda-Mbarara'!I49,'31.10 Ibanda-Mbarara'!I49)</f>
        <v>0.5714285714285714</v>
      </c>
      <c r="J49" s="49">
        <f>AVERAGE('25.10 Ibanada-Mbarara'!J49,'26.10 Ibanda-Mbarara-24hr'!J49,'27.10 Ibanda-Mbarara'!J49,'28.10 Ibanda-Mbarara-24hr'!J49,'29.10 Ibanda-Mbarara'!J49,'30.10 Ibanda-Mbarara'!J49,'31.10 Ibanda-Mbarara'!J49)</f>
        <v>0.8571428571428571</v>
      </c>
      <c r="K49" s="49">
        <f>AVERAGE('25.10 Ibanada-Mbarara'!K49,'26.10 Ibanda-Mbarara-24hr'!K49,'27.10 Ibanda-Mbarara'!K49,'28.10 Ibanda-Mbarara-24hr'!K49,'29.10 Ibanda-Mbarara'!K49,'30.10 Ibanda-Mbarara'!K49,'31.10 Ibanda-Mbarara'!K49)</f>
        <v>0.42857142857142855</v>
      </c>
      <c r="L49" s="49">
        <f>AVERAGE('25.10 Ibanada-Mbarara'!L49,'26.10 Ibanda-Mbarara-24hr'!L49,'27.10 Ibanda-Mbarara'!L49,'28.10 Ibanda-Mbarara-24hr'!L49,'29.10 Ibanda-Mbarara'!L49,'30.10 Ibanda-Mbarara'!L49,'31.10 Ibanda-Mbarara'!L49)</f>
        <v>0.14285714285714285</v>
      </c>
      <c r="M49" s="49">
        <f>AVERAGE('25.10 Ibanada-Mbarara'!M49,'26.10 Ibanda-Mbarara-24hr'!M49,'27.10 Ibanda-Mbarara'!M49,'28.10 Ibanda-Mbarara-24hr'!M49,'29.10 Ibanda-Mbarara'!M49,'30.10 Ibanda-Mbarara'!M49,'31.10 Ibanda-Mbarara'!M49)</f>
        <v>13.857142857142858</v>
      </c>
      <c r="N49" s="49">
        <f>AVERAGE('25.10 Ibanada-Mbarara'!N49,'26.10 Ibanda-Mbarara-24hr'!N49,'27.10 Ibanda-Mbarara'!N49,'28.10 Ibanda-Mbarara-24hr'!N49,'29.10 Ibanda-Mbarara'!N49,'30.10 Ibanda-Mbarara'!N49,'31.10 Ibanda-Mbarara'!N49)</f>
        <v>0</v>
      </c>
      <c r="O49" s="15">
        <f t="shared" si="0"/>
        <v>13.142857142857144</v>
      </c>
      <c r="P49" s="15">
        <f t="shared" si="1"/>
        <v>27</v>
      </c>
      <c r="R49" s="8"/>
      <c r="T49"/>
    </row>
    <row r="50" spans="2:20" ht="23.1" customHeight="1" x14ac:dyDescent="0.25">
      <c r="B50" s="24" t="s">
        <v>77</v>
      </c>
      <c r="C50" s="49">
        <f>AVERAGE('25.10 Ibanada-Mbarara'!C50,'26.10 Ibanda-Mbarara-24hr'!C50,'27.10 Ibanda-Mbarara'!C50,'28.10 Ibanda-Mbarara-24hr'!C50,'29.10 Ibanda-Mbarara'!C50,'30.10 Ibanda-Mbarara'!C50,'31.10 Ibanda-Mbarara'!C50)</f>
        <v>6.4285714285714288</v>
      </c>
      <c r="D50" s="49">
        <f>AVERAGE('25.10 Ibanada-Mbarara'!D50,'26.10 Ibanda-Mbarara-24hr'!D50,'27.10 Ibanda-Mbarara'!D50,'28.10 Ibanda-Mbarara-24hr'!D50,'29.10 Ibanda-Mbarara'!D50,'30.10 Ibanda-Mbarara'!D50,'31.10 Ibanda-Mbarara'!D50)</f>
        <v>1</v>
      </c>
      <c r="E50" s="49">
        <f>AVERAGE('25.10 Ibanada-Mbarara'!E50,'26.10 Ibanda-Mbarara-24hr'!E50,'27.10 Ibanda-Mbarara'!E50,'28.10 Ibanda-Mbarara-24hr'!E50,'29.10 Ibanda-Mbarara'!E50,'30.10 Ibanda-Mbarara'!E50,'31.10 Ibanda-Mbarara'!E50)</f>
        <v>1.4285714285714286</v>
      </c>
      <c r="F50" s="49">
        <f>AVERAGE('25.10 Ibanada-Mbarara'!F50,'26.10 Ibanda-Mbarara-24hr'!F50,'27.10 Ibanda-Mbarara'!F50,'28.10 Ibanda-Mbarara-24hr'!F50,'29.10 Ibanda-Mbarara'!F50,'30.10 Ibanda-Mbarara'!F50,'31.10 Ibanda-Mbarara'!F50)</f>
        <v>1.1428571428571428</v>
      </c>
      <c r="G50" s="49">
        <f>AVERAGE('25.10 Ibanada-Mbarara'!G50,'26.10 Ibanda-Mbarara-24hr'!G50,'27.10 Ibanda-Mbarara'!G50,'28.10 Ibanda-Mbarara-24hr'!G50,'29.10 Ibanda-Mbarara'!G50,'30.10 Ibanda-Mbarara'!G50,'31.10 Ibanda-Mbarara'!G50)</f>
        <v>0</v>
      </c>
      <c r="H50" s="49">
        <f>AVERAGE('25.10 Ibanada-Mbarara'!H50,'26.10 Ibanda-Mbarara-24hr'!H50,'27.10 Ibanda-Mbarara'!H50,'28.10 Ibanda-Mbarara-24hr'!H50,'29.10 Ibanda-Mbarara'!H50,'30.10 Ibanda-Mbarara'!H50,'31.10 Ibanda-Mbarara'!H50)</f>
        <v>0</v>
      </c>
      <c r="I50" s="49">
        <f>AVERAGE('25.10 Ibanada-Mbarara'!I50,'26.10 Ibanda-Mbarara-24hr'!I50,'27.10 Ibanda-Mbarara'!I50,'28.10 Ibanda-Mbarara-24hr'!I50,'29.10 Ibanda-Mbarara'!I50,'30.10 Ibanda-Mbarara'!I50,'31.10 Ibanda-Mbarara'!I50)</f>
        <v>0.2857142857142857</v>
      </c>
      <c r="J50" s="49">
        <f>AVERAGE('25.10 Ibanada-Mbarara'!J50,'26.10 Ibanda-Mbarara-24hr'!J50,'27.10 Ibanda-Mbarara'!J50,'28.10 Ibanda-Mbarara-24hr'!J50,'29.10 Ibanda-Mbarara'!J50,'30.10 Ibanda-Mbarara'!J50,'31.10 Ibanda-Mbarara'!J50)</f>
        <v>0.5714285714285714</v>
      </c>
      <c r="K50" s="49">
        <f>AVERAGE('25.10 Ibanada-Mbarara'!K50,'26.10 Ibanda-Mbarara-24hr'!K50,'27.10 Ibanda-Mbarara'!K50,'28.10 Ibanda-Mbarara-24hr'!K50,'29.10 Ibanda-Mbarara'!K50,'30.10 Ibanda-Mbarara'!K50,'31.10 Ibanda-Mbarara'!K50)</f>
        <v>0.2857142857142857</v>
      </c>
      <c r="L50" s="49">
        <f>AVERAGE('25.10 Ibanada-Mbarara'!L50,'26.10 Ibanda-Mbarara-24hr'!L50,'27.10 Ibanda-Mbarara'!L50,'28.10 Ibanda-Mbarara-24hr'!L50,'29.10 Ibanda-Mbarara'!L50,'30.10 Ibanda-Mbarara'!L50,'31.10 Ibanda-Mbarara'!L50)</f>
        <v>0</v>
      </c>
      <c r="M50" s="49">
        <f>AVERAGE('25.10 Ibanada-Mbarara'!M50,'26.10 Ibanda-Mbarara-24hr'!M50,'27.10 Ibanda-Mbarara'!M50,'28.10 Ibanda-Mbarara-24hr'!M50,'29.10 Ibanda-Mbarara'!M50,'30.10 Ibanda-Mbarara'!M50,'31.10 Ibanda-Mbarara'!M50)</f>
        <v>13.428571428571429</v>
      </c>
      <c r="N50" s="49">
        <f>AVERAGE('25.10 Ibanada-Mbarara'!N50,'26.10 Ibanda-Mbarara-24hr'!N50,'27.10 Ibanda-Mbarara'!N50,'28.10 Ibanda-Mbarara-24hr'!N50,'29.10 Ibanda-Mbarara'!N50,'30.10 Ibanda-Mbarara'!N50,'31.10 Ibanda-Mbarara'!N50)</f>
        <v>0</v>
      </c>
      <c r="O50" s="15">
        <f t="shared" si="0"/>
        <v>11.142857142857144</v>
      </c>
      <c r="P50" s="15">
        <f t="shared" si="1"/>
        <v>24.571428571428573</v>
      </c>
      <c r="R50" s="8"/>
      <c r="T50"/>
    </row>
    <row r="51" spans="2:20" ht="23.1" customHeight="1" x14ac:dyDescent="0.25">
      <c r="B51" s="24" t="s">
        <v>78</v>
      </c>
      <c r="C51" s="49">
        <f>AVERAGE('25.10 Ibanada-Mbarara'!C51,'26.10 Ibanda-Mbarara-24hr'!C51,'27.10 Ibanda-Mbarara'!C51,'28.10 Ibanda-Mbarara-24hr'!C51,'29.10 Ibanda-Mbarara'!C51,'30.10 Ibanda-Mbarara'!C51,'31.10 Ibanda-Mbarara'!C51)</f>
        <v>5.5714285714285712</v>
      </c>
      <c r="D51" s="49">
        <f>AVERAGE('25.10 Ibanada-Mbarara'!D51,'26.10 Ibanda-Mbarara-24hr'!D51,'27.10 Ibanda-Mbarara'!D51,'28.10 Ibanda-Mbarara-24hr'!D51,'29.10 Ibanda-Mbarara'!D51,'30.10 Ibanda-Mbarara'!D51,'31.10 Ibanda-Mbarara'!D51)</f>
        <v>0.5714285714285714</v>
      </c>
      <c r="E51" s="49">
        <f>AVERAGE('25.10 Ibanada-Mbarara'!E51,'26.10 Ibanda-Mbarara-24hr'!E51,'27.10 Ibanda-Mbarara'!E51,'28.10 Ibanda-Mbarara-24hr'!E51,'29.10 Ibanda-Mbarara'!E51,'30.10 Ibanda-Mbarara'!E51,'31.10 Ibanda-Mbarara'!E51)</f>
        <v>0.2857142857142857</v>
      </c>
      <c r="F51" s="49">
        <f>AVERAGE('25.10 Ibanada-Mbarara'!F51,'26.10 Ibanda-Mbarara-24hr'!F51,'27.10 Ibanda-Mbarara'!F51,'28.10 Ibanda-Mbarara-24hr'!F51,'29.10 Ibanda-Mbarara'!F51,'30.10 Ibanda-Mbarara'!F51,'31.10 Ibanda-Mbarara'!F51)</f>
        <v>1.7142857142857142</v>
      </c>
      <c r="G51" s="49">
        <f>AVERAGE('25.10 Ibanada-Mbarara'!G51,'26.10 Ibanda-Mbarara-24hr'!G51,'27.10 Ibanda-Mbarara'!G51,'28.10 Ibanda-Mbarara-24hr'!G51,'29.10 Ibanda-Mbarara'!G51,'30.10 Ibanda-Mbarara'!G51,'31.10 Ibanda-Mbarara'!G51)</f>
        <v>0</v>
      </c>
      <c r="H51" s="49">
        <f>AVERAGE('25.10 Ibanada-Mbarara'!H51,'26.10 Ibanda-Mbarara-24hr'!H51,'27.10 Ibanda-Mbarara'!H51,'28.10 Ibanda-Mbarara-24hr'!H51,'29.10 Ibanda-Mbarara'!H51,'30.10 Ibanda-Mbarara'!H51,'31.10 Ibanda-Mbarara'!H51)</f>
        <v>0</v>
      </c>
      <c r="I51" s="49">
        <f>AVERAGE('25.10 Ibanada-Mbarara'!I51,'26.10 Ibanda-Mbarara-24hr'!I51,'27.10 Ibanda-Mbarara'!I51,'28.10 Ibanda-Mbarara-24hr'!I51,'29.10 Ibanda-Mbarara'!I51,'30.10 Ibanda-Mbarara'!I51,'31.10 Ibanda-Mbarara'!I51)</f>
        <v>0.2857142857142857</v>
      </c>
      <c r="J51" s="49">
        <f>AVERAGE('25.10 Ibanada-Mbarara'!J51,'26.10 Ibanda-Mbarara-24hr'!J51,'27.10 Ibanda-Mbarara'!J51,'28.10 Ibanda-Mbarara-24hr'!J51,'29.10 Ibanda-Mbarara'!J51,'30.10 Ibanda-Mbarara'!J51,'31.10 Ibanda-Mbarara'!J51)</f>
        <v>0.5714285714285714</v>
      </c>
      <c r="K51" s="49">
        <f>AVERAGE('25.10 Ibanada-Mbarara'!K51,'26.10 Ibanda-Mbarara-24hr'!K51,'27.10 Ibanda-Mbarara'!K51,'28.10 Ibanda-Mbarara-24hr'!K51,'29.10 Ibanda-Mbarara'!K51,'30.10 Ibanda-Mbarara'!K51,'31.10 Ibanda-Mbarara'!K51)</f>
        <v>0.42857142857142855</v>
      </c>
      <c r="L51" s="49">
        <f>AVERAGE('25.10 Ibanada-Mbarara'!L51,'26.10 Ibanda-Mbarara-24hr'!L51,'27.10 Ibanda-Mbarara'!L51,'28.10 Ibanda-Mbarara-24hr'!L51,'29.10 Ibanda-Mbarara'!L51,'30.10 Ibanda-Mbarara'!L51,'31.10 Ibanda-Mbarara'!L51)</f>
        <v>0</v>
      </c>
      <c r="M51" s="49">
        <f>AVERAGE('25.10 Ibanada-Mbarara'!M51,'26.10 Ibanda-Mbarara-24hr'!M51,'27.10 Ibanda-Mbarara'!M51,'28.10 Ibanda-Mbarara-24hr'!M51,'29.10 Ibanda-Mbarara'!M51,'30.10 Ibanda-Mbarara'!M51,'31.10 Ibanda-Mbarara'!M51)</f>
        <v>11.142857142857142</v>
      </c>
      <c r="N51" s="49">
        <f>AVERAGE('25.10 Ibanada-Mbarara'!N51,'26.10 Ibanda-Mbarara-24hr'!N51,'27.10 Ibanda-Mbarara'!N51,'28.10 Ibanda-Mbarara-24hr'!N51,'29.10 Ibanda-Mbarara'!N51,'30.10 Ibanda-Mbarara'!N51,'31.10 Ibanda-Mbarara'!N51)</f>
        <v>0</v>
      </c>
      <c r="O51" s="15">
        <f t="shared" si="0"/>
        <v>9.4285714285714288</v>
      </c>
      <c r="P51" s="15">
        <f t="shared" si="1"/>
        <v>20.571428571428569</v>
      </c>
      <c r="R51" s="8"/>
      <c r="T51"/>
    </row>
    <row r="52" spans="2:20" ht="23.1" customHeight="1" x14ac:dyDescent="0.25">
      <c r="B52" s="24" t="s">
        <v>79</v>
      </c>
      <c r="C52" s="49">
        <f>AVERAGE('25.10 Ibanada-Mbarara'!C52,'26.10 Ibanda-Mbarara-24hr'!C52,'27.10 Ibanda-Mbarara'!C52,'28.10 Ibanda-Mbarara-24hr'!C52,'29.10 Ibanda-Mbarara'!C52,'30.10 Ibanda-Mbarara'!C52,'31.10 Ibanda-Mbarara'!C52)</f>
        <v>7.4285714285714288</v>
      </c>
      <c r="D52" s="49">
        <f>AVERAGE('25.10 Ibanada-Mbarara'!D52,'26.10 Ibanda-Mbarara-24hr'!D52,'27.10 Ibanda-Mbarara'!D52,'28.10 Ibanda-Mbarara-24hr'!D52,'29.10 Ibanda-Mbarara'!D52,'30.10 Ibanda-Mbarara'!D52,'31.10 Ibanda-Mbarara'!D52)</f>
        <v>0.5714285714285714</v>
      </c>
      <c r="E52" s="49">
        <f>AVERAGE('25.10 Ibanada-Mbarara'!E52,'26.10 Ibanda-Mbarara-24hr'!E52,'27.10 Ibanda-Mbarara'!E52,'28.10 Ibanda-Mbarara-24hr'!E52,'29.10 Ibanda-Mbarara'!E52,'30.10 Ibanda-Mbarara'!E52,'31.10 Ibanda-Mbarara'!E52)</f>
        <v>1</v>
      </c>
      <c r="F52" s="49">
        <f>AVERAGE('25.10 Ibanada-Mbarara'!F52,'26.10 Ibanda-Mbarara-24hr'!F52,'27.10 Ibanda-Mbarara'!F52,'28.10 Ibanda-Mbarara-24hr'!F52,'29.10 Ibanda-Mbarara'!F52,'30.10 Ibanda-Mbarara'!F52,'31.10 Ibanda-Mbarara'!F52)</f>
        <v>1.7142857142857142</v>
      </c>
      <c r="G52" s="49">
        <f>AVERAGE('25.10 Ibanada-Mbarara'!G52,'26.10 Ibanda-Mbarara-24hr'!G52,'27.10 Ibanda-Mbarara'!G52,'28.10 Ibanda-Mbarara-24hr'!G52,'29.10 Ibanda-Mbarara'!G52,'30.10 Ibanda-Mbarara'!G52,'31.10 Ibanda-Mbarara'!G52)</f>
        <v>0</v>
      </c>
      <c r="H52" s="49">
        <f>AVERAGE('25.10 Ibanada-Mbarara'!H52,'26.10 Ibanda-Mbarara-24hr'!H52,'27.10 Ibanda-Mbarara'!H52,'28.10 Ibanda-Mbarara-24hr'!H52,'29.10 Ibanda-Mbarara'!H52,'30.10 Ibanda-Mbarara'!H52,'31.10 Ibanda-Mbarara'!H52)</f>
        <v>0</v>
      </c>
      <c r="I52" s="49">
        <f>AVERAGE('25.10 Ibanada-Mbarara'!I52,'26.10 Ibanda-Mbarara-24hr'!I52,'27.10 Ibanda-Mbarara'!I52,'28.10 Ibanda-Mbarara-24hr'!I52,'29.10 Ibanda-Mbarara'!I52,'30.10 Ibanda-Mbarara'!I52,'31.10 Ibanda-Mbarara'!I52)</f>
        <v>1</v>
      </c>
      <c r="J52" s="49">
        <f>AVERAGE('25.10 Ibanada-Mbarara'!J52,'26.10 Ibanda-Mbarara-24hr'!J52,'27.10 Ibanda-Mbarara'!J52,'28.10 Ibanda-Mbarara-24hr'!J52,'29.10 Ibanda-Mbarara'!J52,'30.10 Ibanda-Mbarara'!J52,'31.10 Ibanda-Mbarara'!J52)</f>
        <v>0.7142857142857143</v>
      </c>
      <c r="K52" s="49">
        <f>AVERAGE('25.10 Ibanada-Mbarara'!K52,'26.10 Ibanda-Mbarara-24hr'!K52,'27.10 Ibanda-Mbarara'!K52,'28.10 Ibanda-Mbarara-24hr'!K52,'29.10 Ibanda-Mbarara'!K52,'30.10 Ibanda-Mbarara'!K52,'31.10 Ibanda-Mbarara'!K52)</f>
        <v>0.14285714285714285</v>
      </c>
      <c r="L52" s="49">
        <f>AVERAGE('25.10 Ibanada-Mbarara'!L52,'26.10 Ibanda-Mbarara-24hr'!L52,'27.10 Ibanda-Mbarara'!L52,'28.10 Ibanda-Mbarara-24hr'!L52,'29.10 Ibanda-Mbarara'!L52,'30.10 Ibanda-Mbarara'!L52,'31.10 Ibanda-Mbarara'!L52)</f>
        <v>0.2857142857142857</v>
      </c>
      <c r="M52" s="49">
        <f>AVERAGE('25.10 Ibanada-Mbarara'!M52,'26.10 Ibanda-Mbarara-24hr'!M52,'27.10 Ibanda-Mbarara'!M52,'28.10 Ibanda-Mbarara-24hr'!M52,'29.10 Ibanda-Mbarara'!M52,'30.10 Ibanda-Mbarara'!M52,'31.10 Ibanda-Mbarara'!M52)</f>
        <v>13.571428571428571</v>
      </c>
      <c r="N52" s="49">
        <f>AVERAGE('25.10 Ibanada-Mbarara'!N52,'26.10 Ibanda-Mbarara-24hr'!N52,'27.10 Ibanda-Mbarara'!N52,'28.10 Ibanda-Mbarara-24hr'!N52,'29.10 Ibanda-Mbarara'!N52,'30.10 Ibanda-Mbarara'!N52,'31.10 Ibanda-Mbarara'!N52)</f>
        <v>0</v>
      </c>
      <c r="O52" s="15">
        <f t="shared" si="0"/>
        <v>12.857142857142856</v>
      </c>
      <c r="P52" s="15">
        <f t="shared" si="1"/>
        <v>26.428571428571427</v>
      </c>
      <c r="R52" s="8"/>
      <c r="T52"/>
    </row>
    <row r="53" spans="2:20" ht="23.1" customHeight="1" x14ac:dyDescent="0.25">
      <c r="B53" s="23" t="s">
        <v>80</v>
      </c>
      <c r="C53" s="49">
        <f>AVERAGE('25.10 Ibanada-Mbarara'!C53,'26.10 Ibanda-Mbarara-24hr'!C53,'27.10 Ibanda-Mbarara'!C53,'28.10 Ibanda-Mbarara-24hr'!C53,'29.10 Ibanda-Mbarara'!C53,'30.10 Ibanda-Mbarara'!C53,'31.10 Ibanda-Mbarara'!C53)</f>
        <v>7.7142857142857144</v>
      </c>
      <c r="D53" s="49">
        <f>AVERAGE('25.10 Ibanada-Mbarara'!D53,'26.10 Ibanda-Mbarara-24hr'!D53,'27.10 Ibanda-Mbarara'!D53,'28.10 Ibanda-Mbarara-24hr'!D53,'29.10 Ibanda-Mbarara'!D53,'30.10 Ibanda-Mbarara'!D53,'31.10 Ibanda-Mbarara'!D53)</f>
        <v>1.4285714285714286</v>
      </c>
      <c r="E53" s="49">
        <f>AVERAGE('25.10 Ibanada-Mbarara'!E53,'26.10 Ibanda-Mbarara-24hr'!E53,'27.10 Ibanda-Mbarara'!E53,'28.10 Ibanda-Mbarara-24hr'!E53,'29.10 Ibanda-Mbarara'!E53,'30.10 Ibanda-Mbarara'!E53,'31.10 Ibanda-Mbarara'!E53)</f>
        <v>0.7142857142857143</v>
      </c>
      <c r="F53" s="49">
        <f>AVERAGE('25.10 Ibanada-Mbarara'!F53,'26.10 Ibanda-Mbarara-24hr'!F53,'27.10 Ibanda-Mbarara'!F53,'28.10 Ibanda-Mbarara-24hr'!F53,'29.10 Ibanda-Mbarara'!F53,'30.10 Ibanda-Mbarara'!F53,'31.10 Ibanda-Mbarara'!F53)</f>
        <v>0.42857142857142855</v>
      </c>
      <c r="G53" s="49">
        <f>AVERAGE('25.10 Ibanada-Mbarara'!G53,'26.10 Ibanda-Mbarara-24hr'!G53,'27.10 Ibanda-Mbarara'!G53,'28.10 Ibanda-Mbarara-24hr'!G53,'29.10 Ibanda-Mbarara'!G53,'30.10 Ibanda-Mbarara'!G53,'31.10 Ibanda-Mbarara'!G53)</f>
        <v>0</v>
      </c>
      <c r="H53" s="49">
        <f>AVERAGE('25.10 Ibanada-Mbarara'!H53,'26.10 Ibanda-Mbarara-24hr'!H53,'27.10 Ibanda-Mbarara'!H53,'28.10 Ibanda-Mbarara-24hr'!H53,'29.10 Ibanda-Mbarara'!H53,'30.10 Ibanda-Mbarara'!H53,'31.10 Ibanda-Mbarara'!H53)</f>
        <v>0</v>
      </c>
      <c r="I53" s="49">
        <f>AVERAGE('25.10 Ibanada-Mbarara'!I53,'26.10 Ibanda-Mbarara-24hr'!I53,'27.10 Ibanda-Mbarara'!I53,'28.10 Ibanda-Mbarara-24hr'!I53,'29.10 Ibanda-Mbarara'!I53,'30.10 Ibanda-Mbarara'!I53,'31.10 Ibanda-Mbarara'!I53)</f>
        <v>0.7142857142857143</v>
      </c>
      <c r="J53" s="49">
        <f>AVERAGE('25.10 Ibanada-Mbarara'!J53,'26.10 Ibanda-Mbarara-24hr'!J53,'27.10 Ibanda-Mbarara'!J53,'28.10 Ibanda-Mbarara-24hr'!J53,'29.10 Ibanda-Mbarara'!J53,'30.10 Ibanda-Mbarara'!J53,'31.10 Ibanda-Mbarara'!J53)</f>
        <v>2.1428571428571428</v>
      </c>
      <c r="K53" s="49">
        <f>AVERAGE('25.10 Ibanada-Mbarara'!K53,'26.10 Ibanda-Mbarara-24hr'!K53,'27.10 Ibanda-Mbarara'!K53,'28.10 Ibanda-Mbarara-24hr'!K53,'29.10 Ibanda-Mbarara'!K53,'30.10 Ibanda-Mbarara'!K53,'31.10 Ibanda-Mbarara'!K53)</f>
        <v>0.2857142857142857</v>
      </c>
      <c r="L53" s="49">
        <f>AVERAGE('25.10 Ibanada-Mbarara'!L53,'26.10 Ibanda-Mbarara-24hr'!L53,'27.10 Ibanda-Mbarara'!L53,'28.10 Ibanda-Mbarara-24hr'!L53,'29.10 Ibanda-Mbarara'!L53,'30.10 Ibanda-Mbarara'!L53,'31.10 Ibanda-Mbarara'!L53)</f>
        <v>0</v>
      </c>
      <c r="M53" s="49">
        <f>AVERAGE('25.10 Ibanada-Mbarara'!M53,'26.10 Ibanda-Mbarara-24hr'!M53,'27.10 Ibanda-Mbarara'!M53,'28.10 Ibanda-Mbarara-24hr'!M53,'29.10 Ibanda-Mbarara'!M53,'30.10 Ibanda-Mbarara'!M53,'31.10 Ibanda-Mbarara'!M53)</f>
        <v>13.142857142857142</v>
      </c>
      <c r="N53" s="49">
        <f>AVERAGE('25.10 Ibanada-Mbarara'!N53,'26.10 Ibanda-Mbarara-24hr'!N53,'27.10 Ibanda-Mbarara'!N53,'28.10 Ibanda-Mbarara-24hr'!N53,'29.10 Ibanda-Mbarara'!N53,'30.10 Ibanda-Mbarara'!N53,'31.10 Ibanda-Mbarara'!N53)</f>
        <v>0</v>
      </c>
      <c r="O53" s="15">
        <f t="shared" si="0"/>
        <v>13.428571428571427</v>
      </c>
      <c r="P53" s="15">
        <f t="shared" si="1"/>
        <v>26.571428571428569</v>
      </c>
      <c r="R53" s="8"/>
      <c r="T53"/>
    </row>
    <row r="54" spans="2:20" ht="23.1" customHeight="1" x14ac:dyDescent="0.25">
      <c r="B54" s="23" t="s">
        <v>81</v>
      </c>
      <c r="C54" s="49">
        <f>AVERAGE('25.10 Ibanada-Mbarara'!C54,'26.10 Ibanda-Mbarara-24hr'!C54,'27.10 Ibanda-Mbarara'!C54,'28.10 Ibanda-Mbarara-24hr'!C54,'29.10 Ibanda-Mbarara'!C54,'30.10 Ibanda-Mbarara'!C54,'31.10 Ibanda-Mbarara'!C54)</f>
        <v>8.2857142857142865</v>
      </c>
      <c r="D54" s="49">
        <f>AVERAGE('25.10 Ibanada-Mbarara'!D54,'26.10 Ibanda-Mbarara-24hr'!D54,'27.10 Ibanda-Mbarara'!D54,'28.10 Ibanda-Mbarara-24hr'!D54,'29.10 Ibanda-Mbarara'!D54,'30.10 Ibanda-Mbarara'!D54,'31.10 Ibanda-Mbarara'!D54)</f>
        <v>1.2857142857142858</v>
      </c>
      <c r="E54" s="49">
        <f>AVERAGE('25.10 Ibanada-Mbarara'!E54,'26.10 Ibanda-Mbarara-24hr'!E54,'27.10 Ibanda-Mbarara'!E54,'28.10 Ibanda-Mbarara-24hr'!E54,'29.10 Ibanda-Mbarara'!E54,'30.10 Ibanda-Mbarara'!E54,'31.10 Ibanda-Mbarara'!E54)</f>
        <v>1.2857142857142858</v>
      </c>
      <c r="F54" s="49">
        <f>AVERAGE('25.10 Ibanada-Mbarara'!F54,'26.10 Ibanda-Mbarara-24hr'!F54,'27.10 Ibanda-Mbarara'!F54,'28.10 Ibanda-Mbarara-24hr'!F54,'29.10 Ibanda-Mbarara'!F54,'30.10 Ibanda-Mbarara'!F54,'31.10 Ibanda-Mbarara'!F54)</f>
        <v>1.4285714285714286</v>
      </c>
      <c r="G54" s="49">
        <f>AVERAGE('25.10 Ibanada-Mbarara'!G54,'26.10 Ibanda-Mbarara-24hr'!G54,'27.10 Ibanda-Mbarara'!G54,'28.10 Ibanda-Mbarara-24hr'!G54,'29.10 Ibanda-Mbarara'!G54,'30.10 Ibanda-Mbarara'!G54,'31.10 Ibanda-Mbarara'!G54)</f>
        <v>0</v>
      </c>
      <c r="H54" s="49">
        <f>AVERAGE('25.10 Ibanada-Mbarara'!H54,'26.10 Ibanda-Mbarara-24hr'!H54,'27.10 Ibanda-Mbarara'!H54,'28.10 Ibanda-Mbarara-24hr'!H54,'29.10 Ibanda-Mbarara'!H54,'30.10 Ibanda-Mbarara'!H54,'31.10 Ibanda-Mbarara'!H54)</f>
        <v>0</v>
      </c>
      <c r="I54" s="49">
        <f>AVERAGE('25.10 Ibanada-Mbarara'!I54,'26.10 Ibanda-Mbarara-24hr'!I54,'27.10 Ibanda-Mbarara'!I54,'28.10 Ibanda-Mbarara-24hr'!I54,'29.10 Ibanda-Mbarara'!I54,'30.10 Ibanda-Mbarara'!I54,'31.10 Ibanda-Mbarara'!I54)</f>
        <v>0.7142857142857143</v>
      </c>
      <c r="J54" s="49">
        <f>AVERAGE('25.10 Ibanada-Mbarara'!J54,'26.10 Ibanda-Mbarara-24hr'!J54,'27.10 Ibanda-Mbarara'!J54,'28.10 Ibanda-Mbarara-24hr'!J54,'29.10 Ibanda-Mbarara'!J54,'30.10 Ibanda-Mbarara'!J54,'31.10 Ibanda-Mbarara'!J54)</f>
        <v>0.5714285714285714</v>
      </c>
      <c r="K54" s="49">
        <f>AVERAGE('25.10 Ibanada-Mbarara'!K54,'26.10 Ibanda-Mbarara-24hr'!K54,'27.10 Ibanda-Mbarara'!K54,'28.10 Ibanda-Mbarara-24hr'!K54,'29.10 Ibanda-Mbarara'!K54,'30.10 Ibanda-Mbarara'!K54,'31.10 Ibanda-Mbarara'!K54)</f>
        <v>0.14285714285714285</v>
      </c>
      <c r="L54" s="49">
        <f>AVERAGE('25.10 Ibanada-Mbarara'!L54,'26.10 Ibanda-Mbarara-24hr'!L54,'27.10 Ibanda-Mbarara'!L54,'28.10 Ibanda-Mbarara-24hr'!L54,'29.10 Ibanda-Mbarara'!L54,'30.10 Ibanda-Mbarara'!L54,'31.10 Ibanda-Mbarara'!L54)</f>
        <v>0.14285714285714285</v>
      </c>
      <c r="M54" s="49">
        <f>AVERAGE('25.10 Ibanada-Mbarara'!M54,'26.10 Ibanda-Mbarara-24hr'!M54,'27.10 Ibanda-Mbarara'!M54,'28.10 Ibanda-Mbarara-24hr'!M54,'29.10 Ibanda-Mbarara'!M54,'30.10 Ibanda-Mbarara'!M54,'31.10 Ibanda-Mbarara'!M54)</f>
        <v>12.571428571428571</v>
      </c>
      <c r="N54" s="49">
        <f>AVERAGE('25.10 Ibanada-Mbarara'!N54,'26.10 Ibanda-Mbarara-24hr'!N54,'27.10 Ibanda-Mbarara'!N54,'28.10 Ibanda-Mbarara-24hr'!N54,'29.10 Ibanda-Mbarara'!N54,'30.10 Ibanda-Mbarara'!N54,'31.10 Ibanda-Mbarara'!N54)</f>
        <v>0</v>
      </c>
      <c r="O54" s="15">
        <f t="shared" si="0"/>
        <v>13.857142857142858</v>
      </c>
      <c r="P54" s="15">
        <f t="shared" si="1"/>
        <v>26.428571428571431</v>
      </c>
      <c r="R54" s="8"/>
      <c r="T54"/>
    </row>
    <row r="55" spans="2:20" ht="23.1" customHeight="1" x14ac:dyDescent="0.25">
      <c r="B55" s="23" t="s">
        <v>82</v>
      </c>
      <c r="C55" s="49">
        <f>AVERAGE('25.10 Ibanada-Mbarara'!C55,'26.10 Ibanda-Mbarara-24hr'!C55,'27.10 Ibanda-Mbarara'!C55,'28.10 Ibanda-Mbarara-24hr'!C55,'29.10 Ibanda-Mbarara'!C55,'30.10 Ibanda-Mbarara'!C55,'31.10 Ibanda-Mbarara'!C55)</f>
        <v>7.5714285714285712</v>
      </c>
      <c r="D55" s="49">
        <f>AVERAGE('25.10 Ibanada-Mbarara'!D55,'26.10 Ibanda-Mbarara-24hr'!D55,'27.10 Ibanda-Mbarara'!D55,'28.10 Ibanda-Mbarara-24hr'!D55,'29.10 Ibanda-Mbarara'!D55,'30.10 Ibanda-Mbarara'!D55,'31.10 Ibanda-Mbarara'!D55)</f>
        <v>0.5714285714285714</v>
      </c>
      <c r="E55" s="49">
        <f>AVERAGE('25.10 Ibanada-Mbarara'!E55,'26.10 Ibanda-Mbarara-24hr'!E55,'27.10 Ibanda-Mbarara'!E55,'28.10 Ibanda-Mbarara-24hr'!E55,'29.10 Ibanda-Mbarara'!E55,'30.10 Ibanda-Mbarara'!E55,'31.10 Ibanda-Mbarara'!E55)</f>
        <v>1</v>
      </c>
      <c r="F55" s="49">
        <f>AVERAGE('25.10 Ibanada-Mbarara'!F55,'26.10 Ibanda-Mbarara-24hr'!F55,'27.10 Ibanda-Mbarara'!F55,'28.10 Ibanda-Mbarara-24hr'!F55,'29.10 Ibanda-Mbarara'!F55,'30.10 Ibanda-Mbarara'!F55,'31.10 Ibanda-Mbarara'!F55)</f>
        <v>0.8571428571428571</v>
      </c>
      <c r="G55" s="49">
        <f>AVERAGE('25.10 Ibanada-Mbarara'!G55,'26.10 Ibanda-Mbarara-24hr'!G55,'27.10 Ibanda-Mbarara'!G55,'28.10 Ibanda-Mbarara-24hr'!G55,'29.10 Ibanda-Mbarara'!G55,'30.10 Ibanda-Mbarara'!G55,'31.10 Ibanda-Mbarara'!G55)</f>
        <v>0</v>
      </c>
      <c r="H55" s="49">
        <f>AVERAGE('25.10 Ibanada-Mbarara'!H55,'26.10 Ibanda-Mbarara-24hr'!H55,'27.10 Ibanda-Mbarara'!H55,'28.10 Ibanda-Mbarara-24hr'!H55,'29.10 Ibanda-Mbarara'!H55,'30.10 Ibanda-Mbarara'!H55,'31.10 Ibanda-Mbarara'!H55)</f>
        <v>0</v>
      </c>
      <c r="I55" s="49">
        <f>AVERAGE('25.10 Ibanada-Mbarara'!I55,'26.10 Ibanda-Mbarara-24hr'!I55,'27.10 Ibanda-Mbarara'!I55,'28.10 Ibanda-Mbarara-24hr'!I55,'29.10 Ibanda-Mbarara'!I55,'30.10 Ibanda-Mbarara'!I55,'31.10 Ibanda-Mbarara'!I55)</f>
        <v>0.42857142857142855</v>
      </c>
      <c r="J55" s="49">
        <f>AVERAGE('25.10 Ibanada-Mbarara'!J55,'26.10 Ibanda-Mbarara-24hr'!J55,'27.10 Ibanda-Mbarara'!J55,'28.10 Ibanda-Mbarara-24hr'!J55,'29.10 Ibanda-Mbarara'!J55,'30.10 Ibanda-Mbarara'!J55,'31.10 Ibanda-Mbarara'!J55)</f>
        <v>1.2857142857142858</v>
      </c>
      <c r="K55" s="49">
        <f>AVERAGE('25.10 Ibanada-Mbarara'!K55,'26.10 Ibanda-Mbarara-24hr'!K55,'27.10 Ibanda-Mbarara'!K55,'28.10 Ibanda-Mbarara-24hr'!K55,'29.10 Ibanda-Mbarara'!K55,'30.10 Ibanda-Mbarara'!K55,'31.10 Ibanda-Mbarara'!K55)</f>
        <v>0.2857142857142857</v>
      </c>
      <c r="L55" s="49">
        <f>AVERAGE('25.10 Ibanada-Mbarara'!L55,'26.10 Ibanda-Mbarara-24hr'!L55,'27.10 Ibanda-Mbarara'!L55,'28.10 Ibanda-Mbarara-24hr'!L55,'29.10 Ibanda-Mbarara'!L55,'30.10 Ibanda-Mbarara'!L55,'31.10 Ibanda-Mbarara'!L55)</f>
        <v>0.2857142857142857</v>
      </c>
      <c r="M55" s="49">
        <f>AVERAGE('25.10 Ibanada-Mbarara'!M55,'26.10 Ibanda-Mbarara-24hr'!M55,'27.10 Ibanda-Mbarara'!M55,'28.10 Ibanda-Mbarara-24hr'!M55,'29.10 Ibanda-Mbarara'!M55,'30.10 Ibanda-Mbarara'!M55,'31.10 Ibanda-Mbarara'!M55)</f>
        <v>11.285714285714286</v>
      </c>
      <c r="N55" s="49">
        <f>AVERAGE('25.10 Ibanada-Mbarara'!N55,'26.10 Ibanda-Mbarara-24hr'!N55,'27.10 Ibanda-Mbarara'!N55,'28.10 Ibanda-Mbarara-24hr'!N55,'29.10 Ibanda-Mbarara'!N55,'30.10 Ibanda-Mbarara'!N55,'31.10 Ibanda-Mbarara'!N55)</f>
        <v>0</v>
      </c>
      <c r="O55" s="15">
        <f t="shared" si="0"/>
        <v>12.285714285714288</v>
      </c>
      <c r="P55" s="15">
        <f t="shared" si="1"/>
        <v>23.571428571428577</v>
      </c>
      <c r="R55" s="8"/>
      <c r="T55"/>
    </row>
    <row r="56" spans="2:20" ht="23.1" customHeight="1" x14ac:dyDescent="0.25">
      <c r="B56" s="23" t="s">
        <v>83</v>
      </c>
      <c r="C56" s="49">
        <f>AVERAGE('25.10 Ibanada-Mbarara'!C56,'26.10 Ibanda-Mbarara-24hr'!C56,'27.10 Ibanda-Mbarara'!C56,'28.10 Ibanda-Mbarara-24hr'!C56,'29.10 Ibanda-Mbarara'!C56,'30.10 Ibanda-Mbarara'!C56,'31.10 Ibanda-Mbarara'!C56)</f>
        <v>6.8571428571428568</v>
      </c>
      <c r="D56" s="49">
        <f>AVERAGE('25.10 Ibanada-Mbarara'!D56,'26.10 Ibanda-Mbarara-24hr'!D56,'27.10 Ibanda-Mbarara'!D56,'28.10 Ibanda-Mbarara-24hr'!D56,'29.10 Ibanda-Mbarara'!D56,'30.10 Ibanda-Mbarara'!D56,'31.10 Ibanda-Mbarara'!D56)</f>
        <v>1.2857142857142858</v>
      </c>
      <c r="E56" s="49">
        <f>AVERAGE('25.10 Ibanada-Mbarara'!E56,'26.10 Ibanda-Mbarara-24hr'!E56,'27.10 Ibanda-Mbarara'!E56,'28.10 Ibanda-Mbarara-24hr'!E56,'29.10 Ibanda-Mbarara'!E56,'30.10 Ibanda-Mbarara'!E56,'31.10 Ibanda-Mbarara'!E56)</f>
        <v>1.4285714285714286</v>
      </c>
      <c r="F56" s="49">
        <f>AVERAGE('25.10 Ibanada-Mbarara'!F56,'26.10 Ibanda-Mbarara-24hr'!F56,'27.10 Ibanda-Mbarara'!F56,'28.10 Ibanda-Mbarara-24hr'!F56,'29.10 Ibanda-Mbarara'!F56,'30.10 Ibanda-Mbarara'!F56,'31.10 Ibanda-Mbarara'!F56)</f>
        <v>1</v>
      </c>
      <c r="G56" s="49">
        <f>AVERAGE('25.10 Ibanada-Mbarara'!G56,'26.10 Ibanda-Mbarara-24hr'!G56,'27.10 Ibanda-Mbarara'!G56,'28.10 Ibanda-Mbarara-24hr'!G56,'29.10 Ibanda-Mbarara'!G56,'30.10 Ibanda-Mbarara'!G56,'31.10 Ibanda-Mbarara'!G56)</f>
        <v>0</v>
      </c>
      <c r="H56" s="49">
        <f>AVERAGE('25.10 Ibanada-Mbarara'!H56,'26.10 Ibanda-Mbarara-24hr'!H56,'27.10 Ibanda-Mbarara'!H56,'28.10 Ibanda-Mbarara-24hr'!H56,'29.10 Ibanda-Mbarara'!H56,'30.10 Ibanda-Mbarara'!H56,'31.10 Ibanda-Mbarara'!H56)</f>
        <v>0</v>
      </c>
      <c r="I56" s="49">
        <f>AVERAGE('25.10 Ibanada-Mbarara'!I56,'26.10 Ibanda-Mbarara-24hr'!I56,'27.10 Ibanda-Mbarara'!I56,'28.10 Ibanda-Mbarara-24hr'!I56,'29.10 Ibanda-Mbarara'!I56,'30.10 Ibanda-Mbarara'!I56,'31.10 Ibanda-Mbarara'!I56)</f>
        <v>0.7142857142857143</v>
      </c>
      <c r="J56" s="49">
        <f>AVERAGE('25.10 Ibanada-Mbarara'!J56,'26.10 Ibanda-Mbarara-24hr'!J56,'27.10 Ibanda-Mbarara'!J56,'28.10 Ibanda-Mbarara-24hr'!J56,'29.10 Ibanda-Mbarara'!J56,'30.10 Ibanda-Mbarara'!J56,'31.10 Ibanda-Mbarara'!J56)</f>
        <v>0.7142857142857143</v>
      </c>
      <c r="K56" s="49">
        <f>AVERAGE('25.10 Ibanada-Mbarara'!K56,'26.10 Ibanda-Mbarara-24hr'!K56,'27.10 Ibanda-Mbarara'!K56,'28.10 Ibanda-Mbarara-24hr'!K56,'29.10 Ibanda-Mbarara'!K56,'30.10 Ibanda-Mbarara'!K56,'31.10 Ibanda-Mbarara'!K56)</f>
        <v>0.5714285714285714</v>
      </c>
      <c r="L56" s="49">
        <f>AVERAGE('25.10 Ibanada-Mbarara'!L56,'26.10 Ibanda-Mbarara-24hr'!L56,'27.10 Ibanda-Mbarara'!L56,'28.10 Ibanda-Mbarara-24hr'!L56,'29.10 Ibanda-Mbarara'!L56,'30.10 Ibanda-Mbarara'!L56,'31.10 Ibanda-Mbarara'!L56)</f>
        <v>0.2857142857142857</v>
      </c>
      <c r="M56" s="49">
        <f>AVERAGE('25.10 Ibanada-Mbarara'!M56,'26.10 Ibanda-Mbarara-24hr'!M56,'27.10 Ibanda-Mbarara'!M56,'28.10 Ibanda-Mbarara-24hr'!M56,'29.10 Ibanda-Mbarara'!M56,'30.10 Ibanda-Mbarara'!M56,'31.10 Ibanda-Mbarara'!M56)</f>
        <v>12.428571428571429</v>
      </c>
      <c r="N56" s="49">
        <f>AVERAGE('25.10 Ibanada-Mbarara'!N56,'26.10 Ibanda-Mbarara-24hr'!N56,'27.10 Ibanda-Mbarara'!N56,'28.10 Ibanda-Mbarara-24hr'!N56,'29.10 Ibanda-Mbarara'!N56,'30.10 Ibanda-Mbarara'!N56,'31.10 Ibanda-Mbarara'!N56)</f>
        <v>0</v>
      </c>
      <c r="O56" s="15">
        <f t="shared" si="0"/>
        <v>12.857142857142856</v>
      </c>
      <c r="P56" s="15">
        <f t="shared" si="1"/>
        <v>25.285714285714285</v>
      </c>
      <c r="R56" s="8"/>
      <c r="T56"/>
    </row>
    <row r="57" spans="2:20" ht="23.1" customHeight="1" x14ac:dyDescent="0.25">
      <c r="B57" s="23" t="s">
        <v>84</v>
      </c>
      <c r="C57" s="49">
        <f>AVERAGE('25.10 Ibanada-Mbarara'!C57,'26.10 Ibanda-Mbarara-24hr'!C57,'27.10 Ibanda-Mbarara'!C57,'28.10 Ibanda-Mbarara-24hr'!C57,'29.10 Ibanda-Mbarara'!C57,'30.10 Ibanda-Mbarara'!C57,'31.10 Ibanda-Mbarara'!C57)</f>
        <v>7.5714285714285712</v>
      </c>
      <c r="D57" s="49">
        <f>AVERAGE('25.10 Ibanada-Mbarara'!D57,'26.10 Ibanda-Mbarara-24hr'!D57,'27.10 Ibanda-Mbarara'!D57,'28.10 Ibanda-Mbarara-24hr'!D57,'29.10 Ibanda-Mbarara'!D57,'30.10 Ibanda-Mbarara'!D57,'31.10 Ibanda-Mbarara'!D57)</f>
        <v>0.42857142857142855</v>
      </c>
      <c r="E57" s="49">
        <f>AVERAGE('25.10 Ibanada-Mbarara'!E57,'26.10 Ibanda-Mbarara-24hr'!E57,'27.10 Ibanda-Mbarara'!E57,'28.10 Ibanda-Mbarara-24hr'!E57,'29.10 Ibanda-Mbarara'!E57,'30.10 Ibanda-Mbarara'!E57,'31.10 Ibanda-Mbarara'!E57)</f>
        <v>0.14285714285714285</v>
      </c>
      <c r="F57" s="49">
        <f>AVERAGE('25.10 Ibanada-Mbarara'!F57,'26.10 Ibanda-Mbarara-24hr'!F57,'27.10 Ibanda-Mbarara'!F57,'28.10 Ibanda-Mbarara-24hr'!F57,'29.10 Ibanda-Mbarara'!F57,'30.10 Ibanda-Mbarara'!F57,'31.10 Ibanda-Mbarara'!F57)</f>
        <v>1.2857142857142858</v>
      </c>
      <c r="G57" s="49">
        <f>AVERAGE('25.10 Ibanada-Mbarara'!G57,'26.10 Ibanda-Mbarara-24hr'!G57,'27.10 Ibanda-Mbarara'!G57,'28.10 Ibanda-Mbarara-24hr'!G57,'29.10 Ibanda-Mbarara'!G57,'30.10 Ibanda-Mbarara'!G57,'31.10 Ibanda-Mbarara'!G57)</f>
        <v>0</v>
      </c>
      <c r="H57" s="49">
        <f>AVERAGE('25.10 Ibanada-Mbarara'!H57,'26.10 Ibanda-Mbarara-24hr'!H57,'27.10 Ibanda-Mbarara'!H57,'28.10 Ibanda-Mbarara-24hr'!H57,'29.10 Ibanda-Mbarara'!H57,'30.10 Ibanda-Mbarara'!H57,'31.10 Ibanda-Mbarara'!H57)</f>
        <v>0</v>
      </c>
      <c r="I57" s="49">
        <f>AVERAGE('25.10 Ibanada-Mbarara'!I57,'26.10 Ibanda-Mbarara-24hr'!I57,'27.10 Ibanda-Mbarara'!I57,'28.10 Ibanda-Mbarara-24hr'!I57,'29.10 Ibanda-Mbarara'!I57,'30.10 Ibanda-Mbarara'!I57,'31.10 Ibanda-Mbarara'!I57)</f>
        <v>0.7142857142857143</v>
      </c>
      <c r="J57" s="49">
        <f>AVERAGE('25.10 Ibanada-Mbarara'!J57,'26.10 Ibanda-Mbarara-24hr'!J57,'27.10 Ibanda-Mbarara'!J57,'28.10 Ibanda-Mbarara-24hr'!J57,'29.10 Ibanda-Mbarara'!J57,'30.10 Ibanda-Mbarara'!J57,'31.10 Ibanda-Mbarara'!J57)</f>
        <v>0.5714285714285714</v>
      </c>
      <c r="K57" s="49">
        <f>AVERAGE('25.10 Ibanada-Mbarara'!K57,'26.10 Ibanda-Mbarara-24hr'!K57,'27.10 Ibanda-Mbarara'!K57,'28.10 Ibanda-Mbarara-24hr'!K57,'29.10 Ibanda-Mbarara'!K57,'30.10 Ibanda-Mbarara'!K57,'31.10 Ibanda-Mbarara'!K57)</f>
        <v>0.14285714285714285</v>
      </c>
      <c r="L57" s="49">
        <f>AVERAGE('25.10 Ibanada-Mbarara'!L57,'26.10 Ibanda-Mbarara-24hr'!L57,'27.10 Ibanda-Mbarara'!L57,'28.10 Ibanda-Mbarara-24hr'!L57,'29.10 Ibanda-Mbarara'!L57,'30.10 Ibanda-Mbarara'!L57,'31.10 Ibanda-Mbarara'!L57)</f>
        <v>0.14285714285714285</v>
      </c>
      <c r="M57" s="49">
        <f>AVERAGE('25.10 Ibanada-Mbarara'!M57,'26.10 Ibanda-Mbarara-24hr'!M57,'27.10 Ibanda-Mbarara'!M57,'28.10 Ibanda-Mbarara-24hr'!M57,'29.10 Ibanda-Mbarara'!M57,'30.10 Ibanda-Mbarara'!M57,'31.10 Ibanda-Mbarara'!M57)</f>
        <v>11.428571428571429</v>
      </c>
      <c r="N57" s="49">
        <f>AVERAGE('25.10 Ibanada-Mbarara'!N57,'26.10 Ibanda-Mbarara-24hr'!N57,'27.10 Ibanda-Mbarara'!N57,'28.10 Ibanda-Mbarara-24hr'!N57,'29.10 Ibanda-Mbarara'!N57,'30.10 Ibanda-Mbarara'!N57,'31.10 Ibanda-Mbarara'!N57)</f>
        <v>0</v>
      </c>
      <c r="O57" s="15">
        <f t="shared" si="0"/>
        <v>10.999999999999998</v>
      </c>
      <c r="P57" s="15">
        <f t="shared" si="1"/>
        <v>22.428571428571427</v>
      </c>
      <c r="R57" s="8"/>
      <c r="T57"/>
    </row>
    <row r="58" spans="2:20" ht="23.1" customHeight="1" x14ac:dyDescent="0.25">
      <c r="B58" s="23" t="s">
        <v>99</v>
      </c>
      <c r="C58" s="49">
        <f>AVERAGE('26.10 Ibanda-Mbarara-24hr'!C58,'28.10 Ibanda-Mbarara-24hr'!C58)</f>
        <v>3.5</v>
      </c>
      <c r="D58" s="49">
        <f>AVERAGE('26.10 Ibanda-Mbarara-24hr'!D58,'28.10 Ibanda-Mbarara-24hr'!D58)</f>
        <v>0</v>
      </c>
      <c r="E58" s="49">
        <f>AVERAGE('26.10 Ibanda-Mbarara-24hr'!E58,'28.10 Ibanda-Mbarara-24hr'!E58)</f>
        <v>0.5</v>
      </c>
      <c r="F58" s="49">
        <f>AVERAGE('26.10 Ibanda-Mbarara-24hr'!F58,'28.10 Ibanda-Mbarara-24hr'!F58)</f>
        <v>2</v>
      </c>
      <c r="G58" s="49">
        <f>AVERAGE('26.10 Ibanda-Mbarara-24hr'!G58,'28.10 Ibanda-Mbarara-24hr'!G58)</f>
        <v>0.5</v>
      </c>
      <c r="H58" s="49">
        <f>AVERAGE('26.10 Ibanda-Mbarara-24hr'!H58,'28.10 Ibanda-Mbarara-24hr'!H58)</f>
        <v>0</v>
      </c>
      <c r="I58" s="49">
        <f>AVERAGE('26.10 Ibanda-Mbarara-24hr'!I58,'28.10 Ibanda-Mbarara-24hr'!I58)</f>
        <v>0</v>
      </c>
      <c r="J58" s="49">
        <f>AVERAGE('26.10 Ibanda-Mbarara-24hr'!J58,'28.10 Ibanda-Mbarara-24hr'!J58)</f>
        <v>1</v>
      </c>
      <c r="K58" s="49">
        <f>AVERAGE('26.10 Ibanda-Mbarara-24hr'!K58,'28.10 Ibanda-Mbarara-24hr'!K58)</f>
        <v>1</v>
      </c>
      <c r="L58" s="49">
        <f>AVERAGE('26.10 Ibanda-Mbarara-24hr'!L58,'28.10 Ibanda-Mbarara-24hr'!L58)</f>
        <v>0</v>
      </c>
      <c r="M58" s="49">
        <f>AVERAGE('26.10 Ibanda-Mbarara-24hr'!M58,'28.10 Ibanda-Mbarara-24hr'!M58)</f>
        <v>3</v>
      </c>
      <c r="N58" s="49">
        <f>AVERAGE('26.10 Ibanda-Mbarara-24hr'!N58,'28.10 Ibanda-Mbarara-24hr'!N58)</f>
        <v>0</v>
      </c>
      <c r="O58" s="15">
        <f t="shared" si="0"/>
        <v>8.5</v>
      </c>
      <c r="P58" s="15">
        <f t="shared" si="1"/>
        <v>11.5</v>
      </c>
      <c r="R58" s="8"/>
      <c r="T58"/>
    </row>
    <row r="59" spans="2:20" ht="23.1" customHeight="1" x14ac:dyDescent="0.25">
      <c r="B59" s="23" t="s">
        <v>100</v>
      </c>
      <c r="C59" s="49">
        <f>AVERAGE('26.10 Ibanda-Mbarara-24hr'!C59,'28.10 Ibanda-Mbarara-24hr'!C59)</f>
        <v>8</v>
      </c>
      <c r="D59" s="49">
        <f>AVERAGE('26.10 Ibanda-Mbarara-24hr'!D59,'28.10 Ibanda-Mbarara-24hr'!D59)</f>
        <v>0</v>
      </c>
      <c r="E59" s="49">
        <f>AVERAGE('26.10 Ibanda-Mbarara-24hr'!E59,'28.10 Ibanda-Mbarara-24hr'!E59)</f>
        <v>0.5</v>
      </c>
      <c r="F59" s="49">
        <f>AVERAGE('26.10 Ibanda-Mbarara-24hr'!F59,'28.10 Ibanda-Mbarara-24hr'!F59)</f>
        <v>0.5</v>
      </c>
      <c r="G59" s="49">
        <f>AVERAGE('26.10 Ibanda-Mbarara-24hr'!G59,'28.10 Ibanda-Mbarara-24hr'!G59)</f>
        <v>0.5</v>
      </c>
      <c r="H59" s="49">
        <f>AVERAGE('26.10 Ibanda-Mbarara-24hr'!H59,'28.10 Ibanda-Mbarara-24hr'!H59)</f>
        <v>0</v>
      </c>
      <c r="I59" s="49">
        <f>AVERAGE('26.10 Ibanda-Mbarara-24hr'!I59,'28.10 Ibanda-Mbarara-24hr'!I59)</f>
        <v>1</v>
      </c>
      <c r="J59" s="49">
        <f>AVERAGE('26.10 Ibanda-Mbarara-24hr'!J59,'28.10 Ibanda-Mbarara-24hr'!J59)</f>
        <v>1</v>
      </c>
      <c r="K59" s="49">
        <f>AVERAGE('26.10 Ibanda-Mbarara-24hr'!K59,'28.10 Ibanda-Mbarara-24hr'!K59)</f>
        <v>0</v>
      </c>
      <c r="L59" s="49">
        <f>AVERAGE('26.10 Ibanda-Mbarara-24hr'!L59,'28.10 Ibanda-Mbarara-24hr'!L59)</f>
        <v>0</v>
      </c>
      <c r="M59" s="49">
        <f>AVERAGE('26.10 Ibanda-Mbarara-24hr'!M59,'28.10 Ibanda-Mbarara-24hr'!M59)</f>
        <v>8.5</v>
      </c>
      <c r="N59" s="49">
        <f>AVERAGE('26.10 Ibanda-Mbarara-24hr'!N59,'28.10 Ibanda-Mbarara-24hr'!N59)</f>
        <v>0</v>
      </c>
      <c r="O59" s="15">
        <f t="shared" si="0"/>
        <v>11.5</v>
      </c>
      <c r="P59" s="15">
        <f t="shared" si="1"/>
        <v>20</v>
      </c>
      <c r="R59" s="8"/>
      <c r="T59"/>
    </row>
    <row r="60" spans="2:20" ht="23.1" customHeight="1" x14ac:dyDescent="0.25">
      <c r="B60" s="23" t="s">
        <v>101</v>
      </c>
      <c r="C60" s="49">
        <f>AVERAGE('26.10 Ibanda-Mbarara-24hr'!C60,'28.10 Ibanda-Mbarara-24hr'!C60)</f>
        <v>7.5</v>
      </c>
      <c r="D60" s="49">
        <f>AVERAGE('26.10 Ibanda-Mbarara-24hr'!D60,'28.10 Ibanda-Mbarara-24hr'!D60)</f>
        <v>1.5</v>
      </c>
      <c r="E60" s="49">
        <f>AVERAGE('26.10 Ibanda-Mbarara-24hr'!E60,'28.10 Ibanda-Mbarara-24hr'!E60)</f>
        <v>0</v>
      </c>
      <c r="F60" s="49">
        <f>AVERAGE('26.10 Ibanda-Mbarara-24hr'!F60,'28.10 Ibanda-Mbarara-24hr'!F60)</f>
        <v>2.5</v>
      </c>
      <c r="G60" s="49">
        <f>AVERAGE('26.10 Ibanda-Mbarara-24hr'!G60,'28.10 Ibanda-Mbarara-24hr'!G60)</f>
        <v>0</v>
      </c>
      <c r="H60" s="49">
        <f>AVERAGE('26.10 Ibanda-Mbarara-24hr'!H60,'28.10 Ibanda-Mbarara-24hr'!H60)</f>
        <v>0</v>
      </c>
      <c r="I60" s="49">
        <f>AVERAGE('26.10 Ibanda-Mbarara-24hr'!I60,'28.10 Ibanda-Mbarara-24hr'!I60)</f>
        <v>1</v>
      </c>
      <c r="J60" s="49">
        <f>AVERAGE('26.10 Ibanda-Mbarara-24hr'!J60,'28.10 Ibanda-Mbarara-24hr'!J60)</f>
        <v>0</v>
      </c>
      <c r="K60" s="49">
        <f>AVERAGE('26.10 Ibanda-Mbarara-24hr'!K60,'28.10 Ibanda-Mbarara-24hr'!K60)</f>
        <v>0.5</v>
      </c>
      <c r="L60" s="49">
        <f>AVERAGE('26.10 Ibanda-Mbarara-24hr'!L60,'28.10 Ibanda-Mbarara-24hr'!L60)</f>
        <v>0</v>
      </c>
      <c r="M60" s="49">
        <f>AVERAGE('26.10 Ibanda-Mbarara-24hr'!M60,'28.10 Ibanda-Mbarara-24hr'!M60)</f>
        <v>8</v>
      </c>
      <c r="N60" s="49">
        <f>AVERAGE('26.10 Ibanda-Mbarara-24hr'!N60,'28.10 Ibanda-Mbarara-24hr'!N60)</f>
        <v>0</v>
      </c>
      <c r="O60" s="15">
        <f t="shared" si="0"/>
        <v>13</v>
      </c>
      <c r="P60" s="15">
        <f t="shared" si="1"/>
        <v>21</v>
      </c>
      <c r="R60" s="8"/>
      <c r="T60"/>
    </row>
    <row r="61" spans="2:20" ht="23.1" customHeight="1" x14ac:dyDescent="0.25">
      <c r="B61" s="23" t="s">
        <v>102</v>
      </c>
      <c r="C61" s="49">
        <f>AVERAGE('26.10 Ibanda-Mbarara-24hr'!C61,'28.10 Ibanda-Mbarara-24hr'!C61)</f>
        <v>5</v>
      </c>
      <c r="D61" s="49">
        <f>AVERAGE('26.10 Ibanda-Mbarara-24hr'!D61,'28.10 Ibanda-Mbarara-24hr'!D61)</f>
        <v>0.5</v>
      </c>
      <c r="E61" s="49">
        <f>AVERAGE('26.10 Ibanda-Mbarara-24hr'!E61,'28.10 Ibanda-Mbarara-24hr'!E61)</f>
        <v>0</v>
      </c>
      <c r="F61" s="49">
        <f>AVERAGE('26.10 Ibanda-Mbarara-24hr'!F61,'28.10 Ibanda-Mbarara-24hr'!F61)</f>
        <v>3</v>
      </c>
      <c r="G61" s="49">
        <f>AVERAGE('26.10 Ibanda-Mbarara-24hr'!G61,'28.10 Ibanda-Mbarara-24hr'!G61)</f>
        <v>0</v>
      </c>
      <c r="H61" s="49">
        <f>AVERAGE('26.10 Ibanda-Mbarara-24hr'!H61,'28.10 Ibanda-Mbarara-24hr'!H61)</f>
        <v>0</v>
      </c>
      <c r="I61" s="49">
        <f>AVERAGE('26.10 Ibanda-Mbarara-24hr'!I61,'28.10 Ibanda-Mbarara-24hr'!I61)</f>
        <v>0</v>
      </c>
      <c r="J61" s="49">
        <f>AVERAGE('26.10 Ibanda-Mbarara-24hr'!J61,'28.10 Ibanda-Mbarara-24hr'!J61)</f>
        <v>1.5</v>
      </c>
      <c r="K61" s="49">
        <f>AVERAGE('26.10 Ibanda-Mbarara-24hr'!K61,'28.10 Ibanda-Mbarara-24hr'!K61)</f>
        <v>0</v>
      </c>
      <c r="L61" s="49">
        <f>AVERAGE('26.10 Ibanda-Mbarara-24hr'!L61,'28.10 Ibanda-Mbarara-24hr'!L61)</f>
        <v>0</v>
      </c>
      <c r="M61" s="49">
        <f>AVERAGE('26.10 Ibanda-Mbarara-24hr'!M61,'28.10 Ibanda-Mbarara-24hr'!M61)</f>
        <v>4</v>
      </c>
      <c r="N61" s="49">
        <f>AVERAGE('26.10 Ibanda-Mbarara-24hr'!N61,'28.10 Ibanda-Mbarara-24hr'!N61)</f>
        <v>0</v>
      </c>
      <c r="O61" s="15">
        <f t="shared" si="0"/>
        <v>10</v>
      </c>
      <c r="P61" s="15">
        <f t="shared" si="1"/>
        <v>14</v>
      </c>
      <c r="R61" s="8"/>
      <c r="T61"/>
    </row>
    <row r="62" spans="2:20" ht="23.1" customHeight="1" x14ac:dyDescent="0.25">
      <c r="B62" s="23" t="s">
        <v>107</v>
      </c>
      <c r="C62" s="49">
        <f>AVERAGE('26.10 Ibanda-Mbarara-24hr'!C62,'28.10 Ibanda-Mbarara-24hr'!C62)</f>
        <v>8.5</v>
      </c>
      <c r="D62" s="49">
        <f>AVERAGE('26.10 Ibanda-Mbarara-24hr'!D62,'28.10 Ibanda-Mbarara-24hr'!D62)</f>
        <v>1.5</v>
      </c>
      <c r="E62" s="49">
        <f>AVERAGE('26.10 Ibanda-Mbarara-24hr'!E62,'28.10 Ibanda-Mbarara-24hr'!E62)</f>
        <v>0</v>
      </c>
      <c r="F62" s="49">
        <f>AVERAGE('26.10 Ibanda-Mbarara-24hr'!F62,'28.10 Ibanda-Mbarara-24hr'!F62)</f>
        <v>0.5</v>
      </c>
      <c r="G62" s="49">
        <f>AVERAGE('26.10 Ibanda-Mbarara-24hr'!G62,'28.10 Ibanda-Mbarara-24hr'!G62)</f>
        <v>0.5</v>
      </c>
      <c r="H62" s="49">
        <f>AVERAGE('26.10 Ibanda-Mbarara-24hr'!H62,'28.10 Ibanda-Mbarara-24hr'!H62)</f>
        <v>0</v>
      </c>
      <c r="I62" s="49">
        <f>AVERAGE('26.10 Ibanda-Mbarara-24hr'!I62,'28.10 Ibanda-Mbarara-24hr'!I62)</f>
        <v>1</v>
      </c>
      <c r="J62" s="49">
        <f>AVERAGE('26.10 Ibanda-Mbarara-24hr'!J62,'28.10 Ibanda-Mbarara-24hr'!J62)</f>
        <v>1</v>
      </c>
      <c r="K62" s="49">
        <f>AVERAGE('26.10 Ibanda-Mbarara-24hr'!K62,'28.10 Ibanda-Mbarara-24hr'!K62)</f>
        <v>0</v>
      </c>
      <c r="L62" s="49">
        <f>AVERAGE('26.10 Ibanda-Mbarara-24hr'!L62,'28.10 Ibanda-Mbarara-24hr'!L62)</f>
        <v>0</v>
      </c>
      <c r="M62" s="49">
        <f>AVERAGE('26.10 Ibanda-Mbarara-24hr'!M62,'28.10 Ibanda-Mbarara-24hr'!M62)</f>
        <v>7.5</v>
      </c>
      <c r="N62" s="49">
        <f>AVERAGE('26.10 Ibanda-Mbarara-24hr'!N62,'28.10 Ibanda-Mbarara-24hr'!N62)</f>
        <v>0</v>
      </c>
      <c r="O62" s="15">
        <f t="shared" si="0"/>
        <v>13</v>
      </c>
      <c r="P62" s="15">
        <f t="shared" si="1"/>
        <v>20.5</v>
      </c>
      <c r="R62" s="8"/>
      <c r="T62"/>
    </row>
    <row r="63" spans="2:20" ht="23.1" customHeight="1" x14ac:dyDescent="0.25">
      <c r="B63" s="23" t="s">
        <v>108</v>
      </c>
      <c r="C63" s="49">
        <f>AVERAGE('26.10 Ibanda-Mbarara-24hr'!C63,'28.10 Ibanda-Mbarara-24hr'!C63)</f>
        <v>3</v>
      </c>
      <c r="D63" s="49">
        <f>AVERAGE('26.10 Ibanda-Mbarara-24hr'!D63,'28.10 Ibanda-Mbarara-24hr'!D63)</f>
        <v>1.5</v>
      </c>
      <c r="E63" s="49">
        <f>AVERAGE('26.10 Ibanda-Mbarara-24hr'!E63,'28.10 Ibanda-Mbarara-24hr'!E63)</f>
        <v>0</v>
      </c>
      <c r="F63" s="49">
        <f>AVERAGE('26.10 Ibanda-Mbarara-24hr'!F63,'28.10 Ibanda-Mbarara-24hr'!F63)</f>
        <v>0</v>
      </c>
      <c r="G63" s="49">
        <f>AVERAGE('26.10 Ibanda-Mbarara-24hr'!G63,'28.10 Ibanda-Mbarara-24hr'!G63)</f>
        <v>0</v>
      </c>
      <c r="H63" s="49">
        <f>AVERAGE('26.10 Ibanda-Mbarara-24hr'!H63,'28.10 Ibanda-Mbarara-24hr'!H63)</f>
        <v>0</v>
      </c>
      <c r="I63" s="49">
        <f>AVERAGE('26.10 Ibanda-Mbarara-24hr'!I63,'28.10 Ibanda-Mbarara-24hr'!I63)</f>
        <v>0</v>
      </c>
      <c r="J63" s="49">
        <f>AVERAGE('26.10 Ibanda-Mbarara-24hr'!J63,'28.10 Ibanda-Mbarara-24hr'!J63)</f>
        <v>0.5</v>
      </c>
      <c r="K63" s="49">
        <f>AVERAGE('26.10 Ibanda-Mbarara-24hr'!K63,'28.10 Ibanda-Mbarara-24hr'!K63)</f>
        <v>0</v>
      </c>
      <c r="L63" s="49">
        <f>AVERAGE('26.10 Ibanda-Mbarara-24hr'!L63,'28.10 Ibanda-Mbarara-24hr'!L63)</f>
        <v>0</v>
      </c>
      <c r="M63" s="49">
        <f>AVERAGE('26.10 Ibanda-Mbarara-24hr'!M63,'28.10 Ibanda-Mbarara-24hr'!M63)</f>
        <v>2.5</v>
      </c>
      <c r="N63" s="49">
        <f>AVERAGE('26.10 Ibanda-Mbarara-24hr'!N63,'28.10 Ibanda-Mbarara-24hr'!N63)</f>
        <v>0</v>
      </c>
      <c r="O63" s="15">
        <f t="shared" si="0"/>
        <v>5</v>
      </c>
      <c r="P63" s="15">
        <f t="shared" si="1"/>
        <v>7.5</v>
      </c>
      <c r="R63" s="8"/>
      <c r="T63"/>
    </row>
    <row r="64" spans="2:20" ht="23.1" customHeight="1" x14ac:dyDescent="0.25">
      <c r="B64" s="23" t="s">
        <v>109</v>
      </c>
      <c r="C64" s="49">
        <f>AVERAGE('26.10 Ibanda-Mbarara-24hr'!C64,'28.10 Ibanda-Mbarara-24hr'!C64)</f>
        <v>8.5</v>
      </c>
      <c r="D64" s="49">
        <f>AVERAGE('26.10 Ibanda-Mbarara-24hr'!D64,'28.10 Ibanda-Mbarara-24hr'!D64)</f>
        <v>3</v>
      </c>
      <c r="E64" s="49">
        <f>AVERAGE('26.10 Ibanda-Mbarara-24hr'!E64,'28.10 Ibanda-Mbarara-24hr'!E64)</f>
        <v>1.5</v>
      </c>
      <c r="F64" s="49">
        <f>AVERAGE('26.10 Ibanda-Mbarara-24hr'!F64,'28.10 Ibanda-Mbarara-24hr'!F64)</f>
        <v>0.5</v>
      </c>
      <c r="G64" s="49">
        <f>AVERAGE('26.10 Ibanda-Mbarara-24hr'!G64,'28.10 Ibanda-Mbarara-24hr'!G64)</f>
        <v>0</v>
      </c>
      <c r="H64" s="49">
        <f>AVERAGE('26.10 Ibanda-Mbarara-24hr'!H64,'28.10 Ibanda-Mbarara-24hr'!H64)</f>
        <v>0</v>
      </c>
      <c r="I64" s="49">
        <f>AVERAGE('26.10 Ibanda-Mbarara-24hr'!I64,'28.10 Ibanda-Mbarara-24hr'!I64)</f>
        <v>0.5</v>
      </c>
      <c r="J64" s="49">
        <f>AVERAGE('26.10 Ibanda-Mbarara-24hr'!J64,'28.10 Ibanda-Mbarara-24hr'!J64)</f>
        <v>1</v>
      </c>
      <c r="K64" s="49">
        <f>AVERAGE('26.10 Ibanda-Mbarara-24hr'!K64,'28.10 Ibanda-Mbarara-24hr'!K64)</f>
        <v>0.5</v>
      </c>
      <c r="L64" s="49">
        <f>AVERAGE('26.10 Ibanda-Mbarara-24hr'!L64,'28.10 Ibanda-Mbarara-24hr'!L64)</f>
        <v>0</v>
      </c>
      <c r="M64" s="49">
        <f>AVERAGE('26.10 Ibanda-Mbarara-24hr'!M64,'28.10 Ibanda-Mbarara-24hr'!M64)</f>
        <v>8</v>
      </c>
      <c r="N64" s="49">
        <f>AVERAGE('26.10 Ibanda-Mbarara-24hr'!N64,'28.10 Ibanda-Mbarara-24hr'!N64)</f>
        <v>0</v>
      </c>
      <c r="O64" s="15">
        <f t="shared" si="0"/>
        <v>15.5</v>
      </c>
      <c r="P64" s="15">
        <f t="shared" si="1"/>
        <v>23.5</v>
      </c>
      <c r="R64" s="8"/>
      <c r="T64"/>
    </row>
    <row r="65" spans="2:20" ht="23.1" customHeight="1" x14ac:dyDescent="0.25">
      <c r="B65" s="23" t="s">
        <v>158</v>
      </c>
      <c r="C65" s="49">
        <f>AVERAGE('26.10 Ibanda-Mbarara-24hr'!C65,'28.10 Ibanda-Mbarara-24hr'!C65)</f>
        <v>6</v>
      </c>
      <c r="D65" s="49">
        <f>AVERAGE('26.10 Ibanda-Mbarara-24hr'!D65,'28.10 Ibanda-Mbarara-24hr'!D65)</f>
        <v>4</v>
      </c>
      <c r="E65" s="49">
        <f>AVERAGE('26.10 Ibanda-Mbarara-24hr'!E65,'28.10 Ibanda-Mbarara-24hr'!E65)</f>
        <v>0.5</v>
      </c>
      <c r="F65" s="49">
        <f>AVERAGE('26.10 Ibanda-Mbarara-24hr'!F65,'28.10 Ibanda-Mbarara-24hr'!F65)</f>
        <v>2.5</v>
      </c>
      <c r="G65" s="49">
        <f>AVERAGE('26.10 Ibanda-Mbarara-24hr'!G65,'28.10 Ibanda-Mbarara-24hr'!G65)</f>
        <v>0</v>
      </c>
      <c r="H65" s="49">
        <f>AVERAGE('26.10 Ibanda-Mbarara-24hr'!H65,'28.10 Ibanda-Mbarara-24hr'!H65)</f>
        <v>0</v>
      </c>
      <c r="I65" s="49">
        <f>AVERAGE('26.10 Ibanda-Mbarara-24hr'!I65,'28.10 Ibanda-Mbarara-24hr'!I65)</f>
        <v>0</v>
      </c>
      <c r="J65" s="49">
        <f>AVERAGE('26.10 Ibanda-Mbarara-24hr'!J65,'28.10 Ibanda-Mbarara-24hr'!J65)</f>
        <v>0.5</v>
      </c>
      <c r="K65" s="49">
        <f>AVERAGE('26.10 Ibanda-Mbarara-24hr'!K65,'28.10 Ibanda-Mbarara-24hr'!K65)</f>
        <v>0</v>
      </c>
      <c r="L65" s="49">
        <f>AVERAGE('26.10 Ibanda-Mbarara-24hr'!L65,'28.10 Ibanda-Mbarara-24hr'!L65)</f>
        <v>0</v>
      </c>
      <c r="M65" s="49">
        <f>AVERAGE('26.10 Ibanda-Mbarara-24hr'!M65,'28.10 Ibanda-Mbarara-24hr'!M65)</f>
        <v>8.5</v>
      </c>
      <c r="N65" s="49">
        <f>AVERAGE('26.10 Ibanda-Mbarara-24hr'!N65,'28.10 Ibanda-Mbarara-24hr'!N65)</f>
        <v>0</v>
      </c>
      <c r="O65" s="15">
        <f t="shared" si="0"/>
        <v>13.5</v>
      </c>
      <c r="P65" s="15">
        <f t="shared" si="1"/>
        <v>22</v>
      </c>
      <c r="R65" s="8"/>
      <c r="T65"/>
    </row>
    <row r="66" spans="2:20" ht="23.1" customHeight="1" x14ac:dyDescent="0.25">
      <c r="B66" s="23" t="s">
        <v>103</v>
      </c>
      <c r="C66" s="49">
        <f>AVERAGE('26.10 Ibanda-Mbarara-24hr'!C66,'28.10 Ibanda-Mbarara-24hr'!C66)</f>
        <v>3</v>
      </c>
      <c r="D66" s="49">
        <f>AVERAGE('26.10 Ibanda-Mbarara-24hr'!D66,'28.10 Ibanda-Mbarara-24hr'!D66)</f>
        <v>1.5</v>
      </c>
      <c r="E66" s="49">
        <f>AVERAGE('26.10 Ibanda-Mbarara-24hr'!E66,'28.10 Ibanda-Mbarara-24hr'!E66)</f>
        <v>0.5</v>
      </c>
      <c r="F66" s="49">
        <f>AVERAGE('26.10 Ibanda-Mbarara-24hr'!F66,'28.10 Ibanda-Mbarara-24hr'!F66)</f>
        <v>0.5</v>
      </c>
      <c r="G66" s="49">
        <f>AVERAGE('26.10 Ibanda-Mbarara-24hr'!G66,'28.10 Ibanda-Mbarara-24hr'!G66)</f>
        <v>0</v>
      </c>
      <c r="H66" s="49">
        <f>AVERAGE('26.10 Ibanda-Mbarara-24hr'!H66,'28.10 Ibanda-Mbarara-24hr'!H66)</f>
        <v>0</v>
      </c>
      <c r="I66" s="49">
        <f>AVERAGE('26.10 Ibanda-Mbarara-24hr'!I66,'28.10 Ibanda-Mbarara-24hr'!I66)</f>
        <v>0</v>
      </c>
      <c r="J66" s="49">
        <f>AVERAGE('26.10 Ibanda-Mbarara-24hr'!J66,'28.10 Ibanda-Mbarara-24hr'!J66)</f>
        <v>0.5</v>
      </c>
      <c r="K66" s="49">
        <f>AVERAGE('26.10 Ibanda-Mbarara-24hr'!K66,'28.10 Ibanda-Mbarara-24hr'!K66)</f>
        <v>0</v>
      </c>
      <c r="L66" s="49">
        <f>AVERAGE('26.10 Ibanda-Mbarara-24hr'!L66,'28.10 Ibanda-Mbarara-24hr'!L66)</f>
        <v>0</v>
      </c>
      <c r="M66" s="49">
        <f>AVERAGE('26.10 Ibanda-Mbarara-24hr'!M66,'28.10 Ibanda-Mbarara-24hr'!M66)</f>
        <v>2</v>
      </c>
      <c r="N66" s="49">
        <f>AVERAGE('26.10 Ibanda-Mbarara-24hr'!N66,'28.10 Ibanda-Mbarara-24hr'!N66)</f>
        <v>0</v>
      </c>
      <c r="O66" s="15">
        <f t="shared" si="0"/>
        <v>6</v>
      </c>
      <c r="P66" s="15">
        <f t="shared" si="1"/>
        <v>8</v>
      </c>
      <c r="R66" s="8"/>
      <c r="T66"/>
    </row>
    <row r="67" spans="2:20" ht="23.1" customHeight="1" x14ac:dyDescent="0.25">
      <c r="B67" s="23" t="s">
        <v>104</v>
      </c>
      <c r="C67" s="49">
        <f>AVERAGE('26.10 Ibanda-Mbarara-24hr'!C67,'28.10 Ibanda-Mbarara-24hr'!C67)</f>
        <v>4</v>
      </c>
      <c r="D67" s="49">
        <f>AVERAGE('26.10 Ibanda-Mbarara-24hr'!D67,'28.10 Ibanda-Mbarara-24hr'!D67)</f>
        <v>3</v>
      </c>
      <c r="E67" s="49">
        <f>AVERAGE('26.10 Ibanda-Mbarara-24hr'!E67,'28.10 Ibanda-Mbarara-24hr'!E67)</f>
        <v>0</v>
      </c>
      <c r="F67" s="49">
        <f>AVERAGE('26.10 Ibanda-Mbarara-24hr'!F67,'28.10 Ibanda-Mbarara-24hr'!F67)</f>
        <v>0</v>
      </c>
      <c r="G67" s="49">
        <f>AVERAGE('26.10 Ibanda-Mbarara-24hr'!G67,'28.10 Ibanda-Mbarara-24hr'!G67)</f>
        <v>0</v>
      </c>
      <c r="H67" s="49">
        <f>AVERAGE('26.10 Ibanda-Mbarara-24hr'!H67,'28.10 Ibanda-Mbarara-24hr'!H67)</f>
        <v>0</v>
      </c>
      <c r="I67" s="49">
        <f>AVERAGE('26.10 Ibanda-Mbarara-24hr'!I67,'28.10 Ibanda-Mbarara-24hr'!I67)</f>
        <v>0</v>
      </c>
      <c r="J67" s="49">
        <f>AVERAGE('26.10 Ibanda-Mbarara-24hr'!J67,'28.10 Ibanda-Mbarara-24hr'!J67)</f>
        <v>1</v>
      </c>
      <c r="K67" s="49">
        <f>AVERAGE('26.10 Ibanda-Mbarara-24hr'!K67,'28.10 Ibanda-Mbarara-24hr'!K67)</f>
        <v>0</v>
      </c>
      <c r="L67" s="49">
        <f>AVERAGE('26.10 Ibanda-Mbarara-24hr'!L67,'28.10 Ibanda-Mbarara-24hr'!L67)</f>
        <v>0</v>
      </c>
      <c r="M67" s="49">
        <f>AVERAGE('26.10 Ibanda-Mbarara-24hr'!M67,'28.10 Ibanda-Mbarara-24hr'!M67)</f>
        <v>2.5</v>
      </c>
      <c r="N67" s="49">
        <f>AVERAGE('26.10 Ibanda-Mbarara-24hr'!N67,'28.10 Ibanda-Mbarara-24hr'!N67)</f>
        <v>0</v>
      </c>
      <c r="O67" s="15">
        <f t="shared" si="0"/>
        <v>8</v>
      </c>
      <c r="P67" s="15">
        <f t="shared" si="1"/>
        <v>10.5</v>
      </c>
      <c r="R67" s="8"/>
      <c r="T67"/>
    </row>
    <row r="68" spans="2:20" ht="23.1" customHeight="1" x14ac:dyDescent="0.25">
      <c r="B68" s="23" t="s">
        <v>105</v>
      </c>
      <c r="C68" s="49">
        <f>AVERAGE('26.10 Ibanda-Mbarara-24hr'!C68,'28.10 Ibanda-Mbarara-24hr'!C68)</f>
        <v>3.5</v>
      </c>
      <c r="D68" s="49">
        <f>AVERAGE('26.10 Ibanda-Mbarara-24hr'!D68,'28.10 Ibanda-Mbarara-24hr'!D68)</f>
        <v>2.5</v>
      </c>
      <c r="E68" s="49">
        <f>AVERAGE('26.10 Ibanda-Mbarara-24hr'!E68,'28.10 Ibanda-Mbarara-24hr'!E68)</f>
        <v>1</v>
      </c>
      <c r="F68" s="49">
        <f>AVERAGE('26.10 Ibanda-Mbarara-24hr'!F68,'28.10 Ibanda-Mbarara-24hr'!F68)</f>
        <v>1</v>
      </c>
      <c r="G68" s="49">
        <f>AVERAGE('26.10 Ibanda-Mbarara-24hr'!G68,'28.10 Ibanda-Mbarara-24hr'!G68)</f>
        <v>0</v>
      </c>
      <c r="H68" s="49">
        <f>AVERAGE('26.10 Ibanda-Mbarara-24hr'!H68,'28.10 Ibanda-Mbarara-24hr'!H68)</f>
        <v>0</v>
      </c>
      <c r="I68" s="49">
        <f>AVERAGE('26.10 Ibanda-Mbarara-24hr'!I68,'28.10 Ibanda-Mbarara-24hr'!I68)</f>
        <v>1.5</v>
      </c>
      <c r="J68" s="49">
        <f>AVERAGE('26.10 Ibanda-Mbarara-24hr'!J68,'28.10 Ibanda-Mbarara-24hr'!J68)</f>
        <v>2</v>
      </c>
      <c r="K68" s="49">
        <f>AVERAGE('26.10 Ibanda-Mbarara-24hr'!K68,'28.10 Ibanda-Mbarara-24hr'!K68)</f>
        <v>0</v>
      </c>
      <c r="L68" s="49">
        <f>AVERAGE('26.10 Ibanda-Mbarara-24hr'!L68,'28.10 Ibanda-Mbarara-24hr'!L68)</f>
        <v>0</v>
      </c>
      <c r="M68" s="49">
        <f>AVERAGE('26.10 Ibanda-Mbarara-24hr'!M68,'28.10 Ibanda-Mbarara-24hr'!M68)</f>
        <v>2.5</v>
      </c>
      <c r="N68" s="49">
        <f>AVERAGE('26.10 Ibanda-Mbarara-24hr'!N68,'28.10 Ibanda-Mbarara-24hr'!N68)</f>
        <v>0</v>
      </c>
      <c r="O68" s="15">
        <f t="shared" si="0"/>
        <v>11.5</v>
      </c>
      <c r="P68" s="15">
        <f t="shared" si="1"/>
        <v>14</v>
      </c>
      <c r="R68" s="8"/>
      <c r="T68"/>
    </row>
    <row r="69" spans="2:20" ht="23.1" customHeight="1" x14ac:dyDescent="0.25">
      <c r="B69" s="23" t="s">
        <v>106</v>
      </c>
      <c r="C69" s="49">
        <f>AVERAGE('26.10 Ibanda-Mbarara-24hr'!C69,'28.10 Ibanda-Mbarara-24hr'!C69)</f>
        <v>1.5</v>
      </c>
      <c r="D69" s="49">
        <f>AVERAGE('26.10 Ibanda-Mbarara-24hr'!D69,'28.10 Ibanda-Mbarara-24hr'!D69)</f>
        <v>0.5</v>
      </c>
      <c r="E69" s="49">
        <f>AVERAGE('26.10 Ibanda-Mbarara-24hr'!E69,'28.10 Ibanda-Mbarara-24hr'!E69)</f>
        <v>0</v>
      </c>
      <c r="F69" s="49">
        <f>AVERAGE('26.10 Ibanda-Mbarara-24hr'!F69,'28.10 Ibanda-Mbarara-24hr'!F69)</f>
        <v>0</v>
      </c>
      <c r="G69" s="49">
        <f>AVERAGE('26.10 Ibanda-Mbarara-24hr'!G69,'28.10 Ibanda-Mbarara-24hr'!G69)</f>
        <v>0</v>
      </c>
      <c r="H69" s="49">
        <f>AVERAGE('26.10 Ibanda-Mbarara-24hr'!H69,'28.10 Ibanda-Mbarara-24hr'!H69)</f>
        <v>0</v>
      </c>
      <c r="I69" s="49">
        <f>AVERAGE('26.10 Ibanda-Mbarara-24hr'!I69,'28.10 Ibanda-Mbarara-24hr'!I69)</f>
        <v>0</v>
      </c>
      <c r="J69" s="49">
        <f>AVERAGE('26.10 Ibanda-Mbarara-24hr'!J69,'28.10 Ibanda-Mbarara-24hr'!J69)</f>
        <v>0</v>
      </c>
      <c r="K69" s="49">
        <f>AVERAGE('26.10 Ibanda-Mbarara-24hr'!K69,'28.10 Ibanda-Mbarara-24hr'!K69)</f>
        <v>0</v>
      </c>
      <c r="L69" s="49">
        <f>AVERAGE('26.10 Ibanda-Mbarara-24hr'!L69,'28.10 Ibanda-Mbarara-24hr'!L69)</f>
        <v>0</v>
      </c>
      <c r="M69" s="49">
        <f>AVERAGE('26.10 Ibanda-Mbarara-24hr'!M69,'28.10 Ibanda-Mbarara-24hr'!M69)</f>
        <v>0.5</v>
      </c>
      <c r="N69" s="49">
        <f>AVERAGE('26.10 Ibanda-Mbarara-24hr'!N69,'28.10 Ibanda-Mbarara-24hr'!N69)</f>
        <v>0</v>
      </c>
      <c r="O69" s="15">
        <f t="shared" si="0"/>
        <v>2</v>
      </c>
      <c r="P69" s="15">
        <f t="shared" si="1"/>
        <v>2.5</v>
      </c>
      <c r="R69" s="8"/>
      <c r="T69"/>
    </row>
    <row r="70" spans="2:20" ht="23.1" customHeight="1" x14ac:dyDescent="0.25">
      <c r="B70" s="23" t="s">
        <v>110</v>
      </c>
      <c r="C70" s="49">
        <f>AVERAGE('26.10 Ibanda-Mbarara-24hr'!C70,'28.10 Ibanda-Mbarara-24hr'!C70)</f>
        <v>1.5</v>
      </c>
      <c r="D70" s="49">
        <f>AVERAGE('26.10 Ibanda-Mbarara-24hr'!D70,'28.10 Ibanda-Mbarara-24hr'!D70)</f>
        <v>0</v>
      </c>
      <c r="E70" s="49">
        <f>AVERAGE('26.10 Ibanda-Mbarara-24hr'!E70,'28.10 Ibanda-Mbarara-24hr'!E70)</f>
        <v>0</v>
      </c>
      <c r="F70" s="49">
        <f>AVERAGE('26.10 Ibanda-Mbarara-24hr'!F70,'28.10 Ibanda-Mbarara-24hr'!F70)</f>
        <v>1</v>
      </c>
      <c r="G70" s="49">
        <f>AVERAGE('26.10 Ibanda-Mbarara-24hr'!G70,'28.10 Ibanda-Mbarara-24hr'!G70)</f>
        <v>0</v>
      </c>
      <c r="H70" s="49">
        <f>AVERAGE('26.10 Ibanda-Mbarara-24hr'!H70,'28.10 Ibanda-Mbarara-24hr'!H70)</f>
        <v>0</v>
      </c>
      <c r="I70" s="49">
        <f>AVERAGE('26.10 Ibanda-Mbarara-24hr'!I70,'28.10 Ibanda-Mbarara-24hr'!I70)</f>
        <v>0.5</v>
      </c>
      <c r="J70" s="49">
        <f>AVERAGE('26.10 Ibanda-Mbarara-24hr'!J70,'28.10 Ibanda-Mbarara-24hr'!J70)</f>
        <v>0.5</v>
      </c>
      <c r="K70" s="49">
        <f>AVERAGE('26.10 Ibanda-Mbarara-24hr'!K70,'28.10 Ibanda-Mbarara-24hr'!K70)</f>
        <v>0</v>
      </c>
      <c r="L70" s="49">
        <f>AVERAGE('26.10 Ibanda-Mbarara-24hr'!L70,'28.10 Ibanda-Mbarara-24hr'!L70)</f>
        <v>0</v>
      </c>
      <c r="M70" s="49">
        <f>AVERAGE('26.10 Ibanda-Mbarara-24hr'!M70,'28.10 Ibanda-Mbarara-24hr'!M70)</f>
        <v>2.5</v>
      </c>
      <c r="N70" s="49">
        <f>AVERAGE('26.10 Ibanda-Mbarara-24hr'!N70,'28.10 Ibanda-Mbarara-24hr'!N70)</f>
        <v>0</v>
      </c>
      <c r="O70" s="15">
        <f t="shared" si="0"/>
        <v>3.5</v>
      </c>
      <c r="P70" s="15">
        <f t="shared" si="1"/>
        <v>6</v>
      </c>
      <c r="R70" s="8"/>
      <c r="T70"/>
    </row>
    <row r="71" spans="2:20" ht="23.1" customHeight="1" x14ac:dyDescent="0.25">
      <c r="B71" s="23" t="s">
        <v>111</v>
      </c>
      <c r="C71" s="49">
        <f>AVERAGE('26.10 Ibanda-Mbarara-24hr'!C71,'28.10 Ibanda-Mbarara-24hr'!C71)</f>
        <v>1.5</v>
      </c>
      <c r="D71" s="49">
        <f>AVERAGE('26.10 Ibanda-Mbarara-24hr'!D71,'28.10 Ibanda-Mbarara-24hr'!D71)</f>
        <v>0</v>
      </c>
      <c r="E71" s="49">
        <f>AVERAGE('26.10 Ibanda-Mbarara-24hr'!E71,'28.10 Ibanda-Mbarara-24hr'!E71)</f>
        <v>0.5</v>
      </c>
      <c r="F71" s="49">
        <f>AVERAGE('26.10 Ibanda-Mbarara-24hr'!F71,'28.10 Ibanda-Mbarara-24hr'!F71)</f>
        <v>0.5</v>
      </c>
      <c r="G71" s="49">
        <f>AVERAGE('26.10 Ibanda-Mbarara-24hr'!G71,'28.10 Ibanda-Mbarara-24hr'!G71)</f>
        <v>0</v>
      </c>
      <c r="H71" s="49">
        <f>AVERAGE('26.10 Ibanda-Mbarara-24hr'!H71,'28.10 Ibanda-Mbarara-24hr'!H71)</f>
        <v>0</v>
      </c>
      <c r="I71" s="49">
        <f>AVERAGE('26.10 Ibanda-Mbarara-24hr'!I71,'28.10 Ibanda-Mbarara-24hr'!I71)</f>
        <v>0.5</v>
      </c>
      <c r="J71" s="49">
        <f>AVERAGE('26.10 Ibanda-Mbarara-24hr'!J71,'28.10 Ibanda-Mbarara-24hr'!J71)</f>
        <v>1</v>
      </c>
      <c r="K71" s="49">
        <f>AVERAGE('26.10 Ibanda-Mbarara-24hr'!K71,'28.10 Ibanda-Mbarara-24hr'!K71)</f>
        <v>0</v>
      </c>
      <c r="L71" s="49">
        <f>AVERAGE('26.10 Ibanda-Mbarara-24hr'!L71,'28.10 Ibanda-Mbarara-24hr'!L71)</f>
        <v>0</v>
      </c>
      <c r="M71" s="49">
        <f>AVERAGE('26.10 Ibanda-Mbarara-24hr'!M71,'28.10 Ibanda-Mbarara-24hr'!M71)</f>
        <v>2</v>
      </c>
      <c r="N71" s="49">
        <f>AVERAGE('26.10 Ibanda-Mbarara-24hr'!N71,'28.10 Ibanda-Mbarara-24hr'!N71)</f>
        <v>0</v>
      </c>
      <c r="O71" s="15">
        <f t="shared" si="0"/>
        <v>4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AVERAGE('26.10 Ibanda-Mbarara-24hr'!C72,'28.10 Ibanda-Mbarara-24hr'!C72)</f>
        <v>1.5</v>
      </c>
      <c r="D72" s="49">
        <f>AVERAGE('26.10 Ibanda-Mbarara-24hr'!D72,'28.10 Ibanda-Mbarara-24hr'!D72)</f>
        <v>1</v>
      </c>
      <c r="E72" s="49">
        <f>AVERAGE('26.10 Ibanda-Mbarara-24hr'!E72,'28.10 Ibanda-Mbarara-24hr'!E72)</f>
        <v>0</v>
      </c>
      <c r="F72" s="49">
        <f>AVERAGE('26.10 Ibanda-Mbarara-24hr'!F72,'28.10 Ibanda-Mbarara-24hr'!F72)</f>
        <v>1</v>
      </c>
      <c r="G72" s="49">
        <f>AVERAGE('26.10 Ibanda-Mbarara-24hr'!G72,'28.10 Ibanda-Mbarara-24hr'!G72)</f>
        <v>0</v>
      </c>
      <c r="H72" s="49">
        <f>AVERAGE('26.10 Ibanda-Mbarara-24hr'!H72,'28.10 Ibanda-Mbarara-24hr'!H72)</f>
        <v>0</v>
      </c>
      <c r="I72" s="49">
        <f>AVERAGE('26.10 Ibanda-Mbarara-24hr'!I72,'28.10 Ibanda-Mbarara-24hr'!I72)</f>
        <v>1</v>
      </c>
      <c r="J72" s="49">
        <f>AVERAGE('26.10 Ibanda-Mbarara-24hr'!J72,'28.10 Ibanda-Mbarara-24hr'!J72)</f>
        <v>1.5</v>
      </c>
      <c r="K72" s="49">
        <f>AVERAGE('26.10 Ibanda-Mbarara-24hr'!K72,'28.10 Ibanda-Mbarara-24hr'!K72)</f>
        <v>0</v>
      </c>
      <c r="L72" s="49">
        <f>AVERAGE('26.10 Ibanda-Mbarara-24hr'!L72,'28.10 Ibanda-Mbarara-24hr'!L72)</f>
        <v>0</v>
      </c>
      <c r="M72" s="49">
        <f>AVERAGE('26.10 Ibanda-Mbarara-24hr'!M72,'28.10 Ibanda-Mbarara-24hr'!M72)</f>
        <v>2.5</v>
      </c>
      <c r="N72" s="49">
        <f>AVERAGE('26.10 Ibanda-Mbarara-24hr'!N72,'28.10 Ibanda-Mbarara-24hr'!N72)</f>
        <v>0</v>
      </c>
      <c r="O72" s="15">
        <f t="shared" si="0"/>
        <v>6</v>
      </c>
      <c r="P72" s="15">
        <f t="shared" si="1"/>
        <v>8.5</v>
      </c>
      <c r="R72" s="8"/>
      <c r="T72"/>
    </row>
    <row r="73" spans="2:20" ht="23.1" customHeight="1" x14ac:dyDescent="0.25">
      <c r="B73" s="23" t="s">
        <v>113</v>
      </c>
      <c r="C73" s="49">
        <f>AVERAGE('26.10 Ibanda-Mbarara-24hr'!C73,'28.10 Ibanda-Mbarara-24hr'!C73)</f>
        <v>2.5</v>
      </c>
      <c r="D73" s="49">
        <f>AVERAGE('26.10 Ibanda-Mbarara-24hr'!D73,'28.10 Ibanda-Mbarara-24hr'!D73)</f>
        <v>1</v>
      </c>
      <c r="E73" s="49">
        <f>AVERAGE('26.10 Ibanda-Mbarara-24hr'!E73,'28.10 Ibanda-Mbarara-24hr'!E73)</f>
        <v>1</v>
      </c>
      <c r="F73" s="49">
        <f>AVERAGE('26.10 Ibanda-Mbarara-24hr'!F73,'28.10 Ibanda-Mbarara-24hr'!F73)</f>
        <v>0.5</v>
      </c>
      <c r="G73" s="49">
        <f>AVERAGE('26.10 Ibanda-Mbarara-24hr'!G73,'28.10 Ibanda-Mbarara-24hr'!G73)</f>
        <v>0</v>
      </c>
      <c r="H73" s="49">
        <f>AVERAGE('26.10 Ibanda-Mbarara-24hr'!H73,'28.10 Ibanda-Mbarara-24hr'!H73)</f>
        <v>0</v>
      </c>
      <c r="I73" s="49">
        <f>AVERAGE('26.10 Ibanda-Mbarara-24hr'!I73,'28.10 Ibanda-Mbarara-24hr'!I73)</f>
        <v>0.5</v>
      </c>
      <c r="J73" s="49">
        <f>AVERAGE('26.10 Ibanda-Mbarara-24hr'!J73,'28.10 Ibanda-Mbarara-24hr'!J73)</f>
        <v>0.5</v>
      </c>
      <c r="K73" s="49">
        <f>AVERAGE('26.10 Ibanda-Mbarara-24hr'!K73,'28.10 Ibanda-Mbarara-24hr'!K73)</f>
        <v>0</v>
      </c>
      <c r="L73" s="49">
        <f>AVERAGE('26.10 Ibanda-Mbarara-24hr'!L73,'28.10 Ibanda-Mbarara-24hr'!L73)</f>
        <v>0</v>
      </c>
      <c r="M73" s="49">
        <f>AVERAGE('26.10 Ibanda-Mbarara-24hr'!M73,'28.10 Ibanda-Mbarara-24hr'!M73)</f>
        <v>1</v>
      </c>
      <c r="N73" s="49">
        <f>AVERAGE('26.10 Ibanda-Mbarara-24hr'!N73,'28.10 Ibanda-Mbarara-24hr'!N73)</f>
        <v>0</v>
      </c>
      <c r="O73" s="15">
        <f t="shared" si="0"/>
        <v>6</v>
      </c>
      <c r="P73" s="15">
        <f t="shared" si="1"/>
        <v>7</v>
      </c>
      <c r="R73" s="8"/>
      <c r="T73"/>
    </row>
    <row r="74" spans="2:20" ht="23.1" customHeight="1" x14ac:dyDescent="0.25">
      <c r="B74" s="23" t="s">
        <v>114</v>
      </c>
      <c r="C74" s="49">
        <f>AVERAGE('26.10 Ibanda-Mbarara-24hr'!C74,'28.10 Ibanda-Mbarara-24hr'!C74)</f>
        <v>3</v>
      </c>
      <c r="D74" s="49">
        <f>AVERAGE('26.10 Ibanda-Mbarara-24hr'!D74,'28.10 Ibanda-Mbarara-24hr'!D74)</f>
        <v>0.5</v>
      </c>
      <c r="E74" s="49">
        <f>AVERAGE('26.10 Ibanda-Mbarara-24hr'!E74,'28.10 Ibanda-Mbarara-24hr'!E74)</f>
        <v>0</v>
      </c>
      <c r="F74" s="49">
        <f>AVERAGE('26.10 Ibanda-Mbarara-24hr'!F74,'28.10 Ibanda-Mbarara-24hr'!F74)</f>
        <v>0</v>
      </c>
      <c r="G74" s="49">
        <f>AVERAGE('26.10 Ibanda-Mbarara-24hr'!G74,'28.10 Ibanda-Mbarara-24hr'!G74)</f>
        <v>0</v>
      </c>
      <c r="H74" s="49">
        <f>AVERAGE('26.10 Ibanda-Mbarara-24hr'!H74,'28.10 Ibanda-Mbarara-24hr'!H74)</f>
        <v>0.5</v>
      </c>
      <c r="I74" s="49">
        <f>AVERAGE('26.10 Ibanda-Mbarara-24hr'!I74,'28.10 Ibanda-Mbarara-24hr'!I74)</f>
        <v>0</v>
      </c>
      <c r="J74" s="49">
        <f>AVERAGE('26.10 Ibanda-Mbarara-24hr'!J74,'28.10 Ibanda-Mbarara-24hr'!J74)</f>
        <v>0</v>
      </c>
      <c r="K74" s="49">
        <f>AVERAGE('26.10 Ibanda-Mbarara-24hr'!K74,'28.10 Ibanda-Mbarara-24hr'!K74)</f>
        <v>0</v>
      </c>
      <c r="L74" s="49">
        <f>AVERAGE('26.10 Ibanda-Mbarara-24hr'!L74,'28.10 Ibanda-Mbarara-24hr'!L74)</f>
        <v>0</v>
      </c>
      <c r="M74" s="49">
        <f>AVERAGE('26.10 Ibanda-Mbarara-24hr'!M74,'28.10 Ibanda-Mbarara-24hr'!M74)</f>
        <v>0</v>
      </c>
      <c r="N74" s="49">
        <f>AVERAGE('26.10 Ibanda-Mbarara-24hr'!N74,'28.10 Ibanda-Mbarara-24hr'!N74)</f>
        <v>0</v>
      </c>
      <c r="O74" s="15">
        <f t="shared" ref="O74:O105" si="35">SUM(C74:L74,N74)</f>
        <v>4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AVERAGE('26.10 Ibanda-Mbarara-24hr'!C75,'28.10 Ibanda-Mbarara-24hr'!C75)</f>
        <v>1</v>
      </c>
      <c r="D75" s="49">
        <f>AVERAGE('26.10 Ibanda-Mbarara-24hr'!D75,'28.10 Ibanda-Mbarara-24hr'!D75)</f>
        <v>0.5</v>
      </c>
      <c r="E75" s="49">
        <f>AVERAGE('26.10 Ibanda-Mbarara-24hr'!E75,'28.10 Ibanda-Mbarara-24hr'!E75)</f>
        <v>0</v>
      </c>
      <c r="F75" s="49">
        <f>AVERAGE('26.10 Ibanda-Mbarara-24hr'!F75,'28.10 Ibanda-Mbarara-24hr'!F75)</f>
        <v>1</v>
      </c>
      <c r="G75" s="49">
        <f>AVERAGE('26.10 Ibanda-Mbarara-24hr'!G75,'28.10 Ibanda-Mbarara-24hr'!G75)</f>
        <v>0</v>
      </c>
      <c r="H75" s="49">
        <f>AVERAGE('26.10 Ibanda-Mbarara-24hr'!H75,'28.10 Ibanda-Mbarara-24hr'!H75)</f>
        <v>0</v>
      </c>
      <c r="I75" s="49">
        <f>AVERAGE('26.10 Ibanda-Mbarara-24hr'!I75,'28.10 Ibanda-Mbarara-24hr'!I75)</f>
        <v>0</v>
      </c>
      <c r="J75" s="49">
        <f>AVERAGE('26.10 Ibanda-Mbarara-24hr'!J75,'28.10 Ibanda-Mbarara-24hr'!J75)</f>
        <v>0</v>
      </c>
      <c r="K75" s="49">
        <f>AVERAGE('26.10 Ibanda-Mbarara-24hr'!K75,'28.10 Ibanda-Mbarara-24hr'!K75)</f>
        <v>0</v>
      </c>
      <c r="L75" s="49">
        <f>AVERAGE('26.10 Ibanda-Mbarara-24hr'!L75,'28.10 Ibanda-Mbarara-24hr'!L75)</f>
        <v>0</v>
      </c>
      <c r="M75" s="49">
        <f>AVERAGE('26.10 Ibanda-Mbarara-24hr'!M75,'28.10 Ibanda-Mbarara-24hr'!M75)</f>
        <v>1</v>
      </c>
      <c r="N75" s="49">
        <f>AVERAGE('26.10 Ibanda-Mbarara-24hr'!N75,'28.10 Ibanda-Mbarara-24hr'!N75)</f>
        <v>0</v>
      </c>
      <c r="O75" s="15">
        <f t="shared" si="35"/>
        <v>2.5</v>
      </c>
      <c r="P75" s="15">
        <f t="shared" si="36"/>
        <v>3.5</v>
      </c>
      <c r="R75" s="8"/>
      <c r="T75"/>
    </row>
    <row r="76" spans="2:20" ht="23.1" customHeight="1" x14ac:dyDescent="0.25">
      <c r="B76" s="23" t="s">
        <v>116</v>
      </c>
      <c r="C76" s="49">
        <f>AVERAGE('26.10 Ibanda-Mbarara-24hr'!C76,'28.10 Ibanda-Mbarara-24hr'!C76)</f>
        <v>1</v>
      </c>
      <c r="D76" s="49">
        <f>AVERAGE('26.10 Ibanda-Mbarara-24hr'!D76,'28.10 Ibanda-Mbarara-24hr'!D76)</f>
        <v>1</v>
      </c>
      <c r="E76" s="49">
        <f>AVERAGE('26.10 Ibanda-Mbarara-24hr'!E76,'28.10 Ibanda-Mbarara-24hr'!E76)</f>
        <v>0</v>
      </c>
      <c r="F76" s="49">
        <f>AVERAGE('26.10 Ibanda-Mbarara-24hr'!F76,'28.10 Ibanda-Mbarara-24hr'!F76)</f>
        <v>0.5</v>
      </c>
      <c r="G76" s="49">
        <f>AVERAGE('26.10 Ibanda-Mbarara-24hr'!G76,'28.10 Ibanda-Mbarara-24hr'!G76)</f>
        <v>0</v>
      </c>
      <c r="H76" s="49">
        <f>AVERAGE('26.10 Ibanda-Mbarara-24hr'!H76,'28.10 Ibanda-Mbarara-24hr'!H76)</f>
        <v>0</v>
      </c>
      <c r="I76" s="49">
        <f>AVERAGE('26.10 Ibanda-Mbarara-24hr'!I76,'28.10 Ibanda-Mbarara-24hr'!I76)</f>
        <v>0</v>
      </c>
      <c r="J76" s="49">
        <f>AVERAGE('26.10 Ibanda-Mbarara-24hr'!J76,'28.10 Ibanda-Mbarara-24hr'!J76)</f>
        <v>0</v>
      </c>
      <c r="K76" s="49">
        <f>AVERAGE('26.10 Ibanda-Mbarara-24hr'!K76,'28.10 Ibanda-Mbarara-24hr'!K76)</f>
        <v>0</v>
      </c>
      <c r="L76" s="49">
        <f>AVERAGE('26.10 Ibanda-Mbarara-24hr'!L76,'28.10 Ibanda-Mbarara-24hr'!L76)</f>
        <v>0</v>
      </c>
      <c r="M76" s="49">
        <f>AVERAGE('26.10 Ibanda-Mbarara-24hr'!M76,'28.10 Ibanda-Mbarara-24hr'!M76)</f>
        <v>0</v>
      </c>
      <c r="N76" s="49">
        <f>AVERAGE('26.10 Ibanda-Mbarara-24hr'!N76,'28.10 Ibanda-Mbarara-24hr'!N76)</f>
        <v>0</v>
      </c>
      <c r="O76" s="15">
        <f t="shared" si="35"/>
        <v>2.5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AVERAGE('26.10 Ibanda-Mbarara-24hr'!C77,'28.10 Ibanda-Mbarara-24hr'!C77)</f>
        <v>0</v>
      </c>
      <c r="D77" s="49">
        <f>AVERAGE('26.10 Ibanda-Mbarara-24hr'!D77,'28.10 Ibanda-Mbarara-24hr'!D77)</f>
        <v>0</v>
      </c>
      <c r="E77" s="49">
        <f>AVERAGE('26.10 Ibanda-Mbarara-24hr'!E77,'28.10 Ibanda-Mbarara-24hr'!E77)</f>
        <v>0</v>
      </c>
      <c r="F77" s="49">
        <f>AVERAGE('26.10 Ibanda-Mbarara-24hr'!F77,'28.10 Ibanda-Mbarara-24hr'!F77)</f>
        <v>0</v>
      </c>
      <c r="G77" s="49">
        <f>AVERAGE('26.10 Ibanda-Mbarara-24hr'!G77,'28.10 Ibanda-Mbarara-24hr'!G77)</f>
        <v>0</v>
      </c>
      <c r="H77" s="49">
        <f>AVERAGE('26.10 Ibanda-Mbarara-24hr'!H77,'28.10 Ibanda-Mbarara-24hr'!H77)</f>
        <v>0.5</v>
      </c>
      <c r="I77" s="49">
        <f>AVERAGE('26.10 Ibanda-Mbarara-24hr'!I77,'28.10 Ibanda-Mbarara-24hr'!I77)</f>
        <v>0.5</v>
      </c>
      <c r="J77" s="49">
        <f>AVERAGE('26.10 Ibanda-Mbarara-24hr'!J77,'28.10 Ibanda-Mbarara-24hr'!J77)</f>
        <v>0.5</v>
      </c>
      <c r="K77" s="49">
        <f>AVERAGE('26.10 Ibanda-Mbarara-24hr'!K77,'28.10 Ibanda-Mbarara-24hr'!K77)</f>
        <v>0</v>
      </c>
      <c r="L77" s="49">
        <f>AVERAGE('26.10 Ibanda-Mbarara-24hr'!L77,'28.10 Ibanda-Mbarara-24hr'!L77)</f>
        <v>0</v>
      </c>
      <c r="M77" s="49">
        <f>AVERAGE('26.10 Ibanda-Mbarara-24hr'!M77,'28.10 Ibanda-Mbarara-24hr'!M77)</f>
        <v>1</v>
      </c>
      <c r="N77" s="49">
        <f>AVERAGE('26.10 Ibanda-Mbarara-24hr'!N77,'28.10 Ibanda-Mbarara-24hr'!N77)</f>
        <v>0</v>
      </c>
      <c r="O77" s="15">
        <f t="shared" si="35"/>
        <v>1.5</v>
      </c>
      <c r="P77" s="15">
        <f t="shared" si="36"/>
        <v>2.5</v>
      </c>
      <c r="R77" s="8"/>
      <c r="T77"/>
    </row>
    <row r="78" spans="2:20" ht="23.1" customHeight="1" x14ac:dyDescent="0.25">
      <c r="B78" s="24" t="s">
        <v>118</v>
      </c>
      <c r="C78" s="49">
        <f>AVERAGE('26.10 Ibanda-Mbarara-24hr'!C78,'28.10 Ibanda-Mbarara-24hr'!C78)</f>
        <v>1</v>
      </c>
      <c r="D78" s="49">
        <f>AVERAGE('26.10 Ibanda-Mbarara-24hr'!D78,'28.10 Ibanda-Mbarara-24hr'!D78)</f>
        <v>0.5</v>
      </c>
      <c r="E78" s="49">
        <f>AVERAGE('26.10 Ibanda-Mbarara-24hr'!E78,'28.10 Ibanda-Mbarara-24hr'!E78)</f>
        <v>0</v>
      </c>
      <c r="F78" s="49">
        <f>AVERAGE('26.10 Ibanda-Mbarara-24hr'!F78,'28.10 Ibanda-Mbarara-24hr'!F78)</f>
        <v>0</v>
      </c>
      <c r="G78" s="49">
        <f>AVERAGE('26.10 Ibanda-Mbarara-24hr'!G78,'28.10 Ibanda-Mbarara-24hr'!G78)</f>
        <v>0</v>
      </c>
      <c r="H78" s="49">
        <f>AVERAGE('26.10 Ibanda-Mbarara-24hr'!H78,'28.10 Ibanda-Mbarara-24hr'!H78)</f>
        <v>0</v>
      </c>
      <c r="I78" s="49">
        <f>AVERAGE('26.10 Ibanda-Mbarara-24hr'!I78,'28.10 Ibanda-Mbarara-24hr'!I78)</f>
        <v>0</v>
      </c>
      <c r="J78" s="49">
        <f>AVERAGE('26.10 Ibanda-Mbarara-24hr'!J78,'28.10 Ibanda-Mbarara-24hr'!J78)</f>
        <v>0.5</v>
      </c>
      <c r="K78" s="49">
        <f>AVERAGE('26.10 Ibanda-Mbarara-24hr'!K78,'28.10 Ibanda-Mbarara-24hr'!K78)</f>
        <v>0</v>
      </c>
      <c r="L78" s="49">
        <f>AVERAGE('26.10 Ibanda-Mbarara-24hr'!L78,'28.10 Ibanda-Mbarara-24hr'!L78)</f>
        <v>0</v>
      </c>
      <c r="M78" s="49">
        <f>AVERAGE('26.10 Ibanda-Mbarara-24hr'!M78,'28.10 Ibanda-Mbarara-24hr'!M78)</f>
        <v>0</v>
      </c>
      <c r="N78" s="49">
        <f>AVERAGE('26.10 Ibanda-Mbarara-24hr'!N78,'28.10 Ibanda-Mbarara-24hr'!N78)</f>
        <v>0</v>
      </c>
      <c r="O78" s="15">
        <f t="shared" si="35"/>
        <v>2</v>
      </c>
      <c r="P78" s="15">
        <f t="shared" si="36"/>
        <v>2</v>
      </c>
      <c r="R78" s="8"/>
      <c r="T78"/>
    </row>
    <row r="79" spans="2:20" ht="23.1" customHeight="1" x14ac:dyDescent="0.25">
      <c r="B79" s="23" t="s">
        <v>119</v>
      </c>
      <c r="C79" s="49">
        <f>AVERAGE('26.10 Ibanda-Mbarara-24hr'!C79,'28.10 Ibanda-Mbarara-24hr'!C79)</f>
        <v>0.5</v>
      </c>
      <c r="D79" s="49">
        <f>AVERAGE('26.10 Ibanda-Mbarara-24hr'!D79,'28.10 Ibanda-Mbarara-24hr'!D79)</f>
        <v>0</v>
      </c>
      <c r="E79" s="49">
        <f>AVERAGE('26.10 Ibanda-Mbarara-24hr'!E79,'28.10 Ibanda-Mbarara-24hr'!E79)</f>
        <v>0</v>
      </c>
      <c r="F79" s="49">
        <f>AVERAGE('26.10 Ibanda-Mbarara-24hr'!F79,'28.10 Ibanda-Mbarara-24hr'!F79)</f>
        <v>0</v>
      </c>
      <c r="G79" s="49">
        <f>AVERAGE('26.10 Ibanda-Mbarara-24hr'!G79,'28.10 Ibanda-Mbarara-24hr'!G79)</f>
        <v>0</v>
      </c>
      <c r="H79" s="49">
        <f>AVERAGE('26.10 Ibanda-Mbarara-24hr'!H79,'28.10 Ibanda-Mbarara-24hr'!H79)</f>
        <v>1</v>
      </c>
      <c r="I79" s="49">
        <f>AVERAGE('26.10 Ibanda-Mbarara-24hr'!I79,'28.10 Ibanda-Mbarara-24hr'!I79)</f>
        <v>1</v>
      </c>
      <c r="J79" s="49">
        <f>AVERAGE('26.10 Ibanda-Mbarara-24hr'!J79,'28.10 Ibanda-Mbarara-24hr'!J79)</f>
        <v>0</v>
      </c>
      <c r="K79" s="49">
        <f>AVERAGE('26.10 Ibanda-Mbarara-24hr'!K79,'28.10 Ibanda-Mbarara-24hr'!K79)</f>
        <v>0</v>
      </c>
      <c r="L79" s="49">
        <f>AVERAGE('26.10 Ibanda-Mbarara-24hr'!L79,'28.10 Ibanda-Mbarara-24hr'!L79)</f>
        <v>0</v>
      </c>
      <c r="M79" s="49">
        <f>AVERAGE('26.10 Ibanda-Mbarara-24hr'!M79,'28.10 Ibanda-Mbarara-24hr'!M79)</f>
        <v>0</v>
      </c>
      <c r="N79" s="49">
        <f>AVERAGE('26.10 Ibanda-Mbarara-24hr'!N79,'28.10 Ibanda-Mbarara-24hr'!N79)</f>
        <v>0</v>
      </c>
      <c r="O79" s="15">
        <f t="shared" si="35"/>
        <v>2.5</v>
      </c>
      <c r="P79" s="15">
        <f t="shared" si="36"/>
        <v>2.5</v>
      </c>
      <c r="R79" s="8"/>
      <c r="T79"/>
    </row>
    <row r="80" spans="2:20" ht="23.1" customHeight="1" x14ac:dyDescent="0.25">
      <c r="B80" s="25" t="s">
        <v>120</v>
      </c>
      <c r="C80" s="49">
        <f>AVERAGE('26.10 Ibanda-Mbarara-24hr'!C80,'28.10 Ibanda-Mbarara-24hr'!C80)</f>
        <v>1</v>
      </c>
      <c r="D80" s="49">
        <f>AVERAGE('26.10 Ibanda-Mbarara-24hr'!D80,'28.10 Ibanda-Mbarara-24hr'!D80)</f>
        <v>0</v>
      </c>
      <c r="E80" s="49">
        <f>AVERAGE('26.10 Ibanda-Mbarara-24hr'!E80,'28.10 Ibanda-Mbarara-24hr'!E80)</f>
        <v>0</v>
      </c>
      <c r="F80" s="49">
        <f>AVERAGE('26.10 Ibanda-Mbarara-24hr'!F80,'28.10 Ibanda-Mbarara-24hr'!F80)</f>
        <v>0</v>
      </c>
      <c r="G80" s="49">
        <f>AVERAGE('26.10 Ibanda-Mbarara-24hr'!G80,'28.10 Ibanda-Mbarara-24hr'!G80)</f>
        <v>0</v>
      </c>
      <c r="H80" s="49">
        <f>AVERAGE('26.10 Ibanda-Mbarara-24hr'!H80,'28.10 Ibanda-Mbarara-24hr'!H80)</f>
        <v>1.5</v>
      </c>
      <c r="I80" s="49">
        <f>AVERAGE('26.10 Ibanda-Mbarara-24hr'!I80,'28.10 Ibanda-Mbarara-24hr'!I80)</f>
        <v>0.5</v>
      </c>
      <c r="J80" s="49">
        <f>AVERAGE('26.10 Ibanda-Mbarara-24hr'!J80,'28.10 Ibanda-Mbarara-24hr'!J80)</f>
        <v>0.5</v>
      </c>
      <c r="K80" s="49">
        <f>AVERAGE('26.10 Ibanda-Mbarara-24hr'!K80,'28.10 Ibanda-Mbarara-24hr'!K80)</f>
        <v>0</v>
      </c>
      <c r="L80" s="49">
        <f>AVERAGE('26.10 Ibanda-Mbarara-24hr'!L80,'28.10 Ibanda-Mbarara-24hr'!L80)</f>
        <v>0</v>
      </c>
      <c r="M80" s="49">
        <f>AVERAGE('26.10 Ibanda-Mbarara-24hr'!M80,'28.10 Ibanda-Mbarara-24hr'!M80)</f>
        <v>1.5</v>
      </c>
      <c r="N80" s="49">
        <f>AVERAGE('26.10 Ibanda-Mbarara-24hr'!N80,'28.10 Ibanda-Mbarara-24hr'!N80)</f>
        <v>0</v>
      </c>
      <c r="O80" s="15">
        <f t="shared" si="35"/>
        <v>3.5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AVERAGE('26.10 Ibanda-Mbarara-24hr'!C81,'28.10 Ibanda-Mbarara-24hr'!C81)</f>
        <v>1</v>
      </c>
      <c r="D81" s="49">
        <f>AVERAGE('26.10 Ibanda-Mbarara-24hr'!D81,'28.10 Ibanda-Mbarara-24hr'!D81)</f>
        <v>0</v>
      </c>
      <c r="E81" s="49">
        <f>AVERAGE('26.10 Ibanda-Mbarara-24hr'!E81,'28.10 Ibanda-Mbarara-24hr'!E81)</f>
        <v>0</v>
      </c>
      <c r="F81" s="49">
        <f>AVERAGE('26.10 Ibanda-Mbarara-24hr'!F81,'28.10 Ibanda-Mbarara-24hr'!F81)</f>
        <v>0</v>
      </c>
      <c r="G81" s="49">
        <f>AVERAGE('26.10 Ibanda-Mbarara-24hr'!G81,'28.10 Ibanda-Mbarara-24hr'!G81)</f>
        <v>0.5</v>
      </c>
      <c r="H81" s="49">
        <f>AVERAGE('26.10 Ibanda-Mbarara-24hr'!H81,'28.10 Ibanda-Mbarara-24hr'!H81)</f>
        <v>0</v>
      </c>
      <c r="I81" s="49">
        <f>AVERAGE('26.10 Ibanda-Mbarara-24hr'!I81,'28.10 Ibanda-Mbarara-24hr'!I81)</f>
        <v>0.5</v>
      </c>
      <c r="J81" s="49">
        <f>AVERAGE('26.10 Ibanda-Mbarara-24hr'!J81,'28.10 Ibanda-Mbarara-24hr'!J81)</f>
        <v>0</v>
      </c>
      <c r="K81" s="49">
        <f>AVERAGE('26.10 Ibanda-Mbarara-24hr'!K81,'28.10 Ibanda-Mbarara-24hr'!K81)</f>
        <v>0</v>
      </c>
      <c r="L81" s="49">
        <f>AVERAGE('26.10 Ibanda-Mbarara-24hr'!L81,'28.10 Ibanda-Mbarara-24hr'!L81)</f>
        <v>0</v>
      </c>
      <c r="M81" s="49">
        <f>AVERAGE('26.10 Ibanda-Mbarara-24hr'!M81,'28.10 Ibanda-Mbarara-24hr'!M81)</f>
        <v>0.5</v>
      </c>
      <c r="N81" s="49">
        <f>AVERAGE('26.10 Ibanda-Mbarara-24hr'!N81,'28.10 Ibanda-Mbarara-24hr'!N81)</f>
        <v>0</v>
      </c>
      <c r="O81" s="15">
        <f t="shared" si="35"/>
        <v>2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AVERAGE('26.10 Ibanda-Mbarara-24hr'!C82,'28.10 Ibanda-Mbarara-24hr'!C82)</f>
        <v>0.5</v>
      </c>
      <c r="D82" s="49">
        <f>AVERAGE('26.10 Ibanda-Mbarara-24hr'!D82,'28.10 Ibanda-Mbarara-24hr'!D82)</f>
        <v>1</v>
      </c>
      <c r="E82" s="49">
        <f>AVERAGE('26.10 Ibanda-Mbarara-24hr'!E82,'28.10 Ibanda-Mbarara-24hr'!E82)</f>
        <v>0</v>
      </c>
      <c r="F82" s="49">
        <f>AVERAGE('26.10 Ibanda-Mbarara-24hr'!F82,'28.10 Ibanda-Mbarara-24hr'!F82)</f>
        <v>1</v>
      </c>
      <c r="G82" s="49">
        <f>AVERAGE('26.10 Ibanda-Mbarara-24hr'!G82,'28.10 Ibanda-Mbarara-24hr'!G82)</f>
        <v>0</v>
      </c>
      <c r="H82" s="49">
        <f>AVERAGE('26.10 Ibanda-Mbarara-24hr'!H82,'28.10 Ibanda-Mbarara-24hr'!H82)</f>
        <v>0</v>
      </c>
      <c r="I82" s="49">
        <f>AVERAGE('26.10 Ibanda-Mbarara-24hr'!I82,'28.10 Ibanda-Mbarara-24hr'!I82)</f>
        <v>1.5</v>
      </c>
      <c r="J82" s="49">
        <f>AVERAGE('26.10 Ibanda-Mbarara-24hr'!J82,'28.10 Ibanda-Mbarara-24hr'!J82)</f>
        <v>0.5</v>
      </c>
      <c r="K82" s="49">
        <f>AVERAGE('26.10 Ibanda-Mbarara-24hr'!K82,'28.10 Ibanda-Mbarara-24hr'!K82)</f>
        <v>0</v>
      </c>
      <c r="L82" s="49">
        <f>AVERAGE('26.10 Ibanda-Mbarara-24hr'!L82,'28.10 Ibanda-Mbarara-24hr'!L82)</f>
        <v>0</v>
      </c>
      <c r="M82" s="49">
        <f>AVERAGE('26.10 Ibanda-Mbarara-24hr'!M82,'28.10 Ibanda-Mbarara-24hr'!M82)</f>
        <v>0</v>
      </c>
      <c r="N82" s="49">
        <f>AVERAGE('26.10 Ibanda-Mbarara-24hr'!N82,'28.10 Ibanda-Mbarara-24hr'!N82)</f>
        <v>0</v>
      </c>
      <c r="O82" s="15">
        <f t="shared" si="35"/>
        <v>4.5</v>
      </c>
      <c r="P82" s="15">
        <f t="shared" si="36"/>
        <v>4.5</v>
      </c>
      <c r="R82" s="8"/>
      <c r="T82"/>
    </row>
    <row r="83" spans="2:20" ht="23.1" customHeight="1" x14ac:dyDescent="0.25">
      <c r="B83" s="23" t="s">
        <v>123</v>
      </c>
      <c r="C83" s="49">
        <f>AVERAGE('26.10 Ibanda-Mbarara-24hr'!C83,'28.10 Ibanda-Mbarara-24hr'!C83)</f>
        <v>1</v>
      </c>
      <c r="D83" s="49">
        <f>AVERAGE('26.10 Ibanda-Mbarara-24hr'!D83,'28.10 Ibanda-Mbarara-24hr'!D83)</f>
        <v>0</v>
      </c>
      <c r="E83" s="49">
        <f>AVERAGE('26.10 Ibanda-Mbarara-24hr'!E83,'28.10 Ibanda-Mbarara-24hr'!E83)</f>
        <v>0</v>
      </c>
      <c r="F83" s="49">
        <f>AVERAGE('26.10 Ibanda-Mbarara-24hr'!F83,'28.10 Ibanda-Mbarara-24hr'!F83)</f>
        <v>0.5</v>
      </c>
      <c r="G83" s="49">
        <f>AVERAGE('26.10 Ibanda-Mbarara-24hr'!G83,'28.10 Ibanda-Mbarara-24hr'!G83)</f>
        <v>0</v>
      </c>
      <c r="H83" s="49">
        <f>AVERAGE('26.10 Ibanda-Mbarara-24hr'!H83,'28.10 Ibanda-Mbarara-24hr'!H83)</f>
        <v>0</v>
      </c>
      <c r="I83" s="49">
        <f>AVERAGE('26.10 Ibanda-Mbarara-24hr'!I83,'28.10 Ibanda-Mbarara-24hr'!I83)</f>
        <v>0</v>
      </c>
      <c r="J83" s="49">
        <f>AVERAGE('26.10 Ibanda-Mbarara-24hr'!J83,'28.10 Ibanda-Mbarara-24hr'!J83)</f>
        <v>0</v>
      </c>
      <c r="K83" s="49">
        <f>AVERAGE('26.10 Ibanda-Mbarara-24hr'!K83,'28.10 Ibanda-Mbarara-24hr'!K83)</f>
        <v>0.5</v>
      </c>
      <c r="L83" s="49">
        <f>AVERAGE('26.10 Ibanda-Mbarara-24hr'!L83,'28.10 Ibanda-Mbarara-24hr'!L83)</f>
        <v>1</v>
      </c>
      <c r="M83" s="49">
        <f>AVERAGE('26.10 Ibanda-Mbarara-24hr'!M83,'28.10 Ibanda-Mbarara-24hr'!M83)</f>
        <v>0</v>
      </c>
      <c r="N83" s="49">
        <f>AVERAGE('26.10 Ibanda-Mbarara-24hr'!N83,'28.10 Ibanda-Mbarara-24hr'!N83)</f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AVERAGE('26.10 Ibanda-Mbarara-24hr'!C84,'28.10 Ibanda-Mbarara-24hr'!C84)</f>
        <v>1.5</v>
      </c>
      <c r="D84" s="49">
        <f>AVERAGE('26.10 Ibanda-Mbarara-24hr'!D84,'28.10 Ibanda-Mbarara-24hr'!D84)</f>
        <v>0</v>
      </c>
      <c r="E84" s="49">
        <f>AVERAGE('26.10 Ibanda-Mbarara-24hr'!E84,'28.10 Ibanda-Mbarara-24hr'!E84)</f>
        <v>0</v>
      </c>
      <c r="F84" s="49">
        <f>AVERAGE('26.10 Ibanda-Mbarara-24hr'!F84,'28.10 Ibanda-Mbarara-24hr'!F84)</f>
        <v>0</v>
      </c>
      <c r="G84" s="49">
        <f>AVERAGE('26.10 Ibanda-Mbarara-24hr'!G84,'28.10 Ibanda-Mbarara-24hr'!G84)</f>
        <v>0</v>
      </c>
      <c r="H84" s="49">
        <f>AVERAGE('26.10 Ibanda-Mbarara-24hr'!H84,'28.10 Ibanda-Mbarara-24hr'!H84)</f>
        <v>0</v>
      </c>
      <c r="I84" s="49">
        <f>AVERAGE('26.10 Ibanda-Mbarara-24hr'!I84,'28.10 Ibanda-Mbarara-24hr'!I84)</f>
        <v>0</v>
      </c>
      <c r="J84" s="49">
        <f>AVERAGE('26.10 Ibanda-Mbarara-24hr'!J84,'28.10 Ibanda-Mbarara-24hr'!J84)</f>
        <v>0.5</v>
      </c>
      <c r="K84" s="49">
        <f>AVERAGE('26.10 Ibanda-Mbarara-24hr'!K84,'28.10 Ibanda-Mbarara-24hr'!K84)</f>
        <v>0.5</v>
      </c>
      <c r="L84" s="49">
        <f>AVERAGE('26.10 Ibanda-Mbarara-24hr'!L84,'28.10 Ibanda-Mbarara-24hr'!L84)</f>
        <v>0</v>
      </c>
      <c r="M84" s="49">
        <f>AVERAGE('26.10 Ibanda-Mbarara-24hr'!M84,'28.10 Ibanda-Mbarara-24hr'!M84)</f>
        <v>3</v>
      </c>
      <c r="N84" s="49">
        <f>AVERAGE('26.10 Ibanda-Mbarara-24hr'!N84,'28.10 Ibanda-Mbarara-24hr'!N84)</f>
        <v>0</v>
      </c>
      <c r="O84" s="15">
        <f t="shared" si="35"/>
        <v>2.5</v>
      </c>
      <c r="P84" s="15">
        <f t="shared" si="36"/>
        <v>5.5</v>
      </c>
      <c r="R84" s="8"/>
      <c r="T84"/>
    </row>
    <row r="85" spans="2:20" ht="23.1" customHeight="1" x14ac:dyDescent="0.25">
      <c r="B85" s="23" t="s">
        <v>125</v>
      </c>
      <c r="C85" s="49">
        <f>AVERAGE('26.10 Ibanda-Mbarara-24hr'!C85,'28.10 Ibanda-Mbarara-24hr'!C85)</f>
        <v>0.5</v>
      </c>
      <c r="D85" s="49">
        <f>AVERAGE('26.10 Ibanda-Mbarara-24hr'!D85,'28.10 Ibanda-Mbarara-24hr'!D85)</f>
        <v>0</v>
      </c>
      <c r="E85" s="49">
        <f>AVERAGE('26.10 Ibanda-Mbarara-24hr'!E85,'28.10 Ibanda-Mbarara-24hr'!E85)</f>
        <v>0</v>
      </c>
      <c r="F85" s="49">
        <f>AVERAGE('26.10 Ibanda-Mbarara-24hr'!F85,'28.10 Ibanda-Mbarara-24hr'!F85)</f>
        <v>0</v>
      </c>
      <c r="G85" s="49">
        <f>AVERAGE('26.10 Ibanda-Mbarara-24hr'!G85,'28.10 Ibanda-Mbarara-24hr'!G85)</f>
        <v>0</v>
      </c>
      <c r="H85" s="49">
        <f>AVERAGE('26.10 Ibanda-Mbarara-24hr'!H85,'28.10 Ibanda-Mbarara-24hr'!H85)</f>
        <v>0</v>
      </c>
      <c r="I85" s="49">
        <f>AVERAGE('26.10 Ibanda-Mbarara-24hr'!I85,'28.10 Ibanda-Mbarara-24hr'!I85)</f>
        <v>1.5</v>
      </c>
      <c r="J85" s="49">
        <f>AVERAGE('26.10 Ibanda-Mbarara-24hr'!J85,'28.10 Ibanda-Mbarara-24hr'!J85)</f>
        <v>0</v>
      </c>
      <c r="K85" s="49">
        <f>AVERAGE('26.10 Ibanda-Mbarara-24hr'!K85,'28.10 Ibanda-Mbarara-24hr'!K85)</f>
        <v>0</v>
      </c>
      <c r="L85" s="49">
        <f>AVERAGE('26.10 Ibanda-Mbarara-24hr'!L85,'28.10 Ibanda-Mbarara-24hr'!L85)</f>
        <v>0</v>
      </c>
      <c r="M85" s="49">
        <f>AVERAGE('26.10 Ibanda-Mbarara-24hr'!M85,'28.10 Ibanda-Mbarara-24hr'!M85)</f>
        <v>1.5</v>
      </c>
      <c r="N85" s="49">
        <f>AVERAGE('26.10 Ibanda-Mbarara-24hr'!N85,'28.10 Ibanda-Mbarara-24hr'!N85)</f>
        <v>0</v>
      </c>
      <c r="O85" s="15">
        <f t="shared" si="35"/>
        <v>2</v>
      </c>
      <c r="P85" s="15">
        <f t="shared" si="36"/>
        <v>3.5</v>
      </c>
      <c r="R85" s="8"/>
      <c r="T85"/>
    </row>
    <row r="86" spans="2:20" ht="23.1" customHeight="1" x14ac:dyDescent="0.25">
      <c r="B86" s="24" t="s">
        <v>126</v>
      </c>
      <c r="C86" s="49">
        <f>AVERAGE('26.10 Ibanda-Mbarara-24hr'!C86,'28.10 Ibanda-Mbarara-24hr'!C86)</f>
        <v>0.5</v>
      </c>
      <c r="D86" s="49">
        <f>AVERAGE('26.10 Ibanda-Mbarara-24hr'!D86,'28.10 Ibanda-Mbarara-24hr'!D86)</f>
        <v>0</v>
      </c>
      <c r="E86" s="49">
        <f>AVERAGE('26.10 Ibanda-Mbarara-24hr'!E86,'28.10 Ibanda-Mbarara-24hr'!E86)</f>
        <v>0</v>
      </c>
      <c r="F86" s="49">
        <f>AVERAGE('26.10 Ibanda-Mbarara-24hr'!F86,'28.10 Ibanda-Mbarara-24hr'!F86)</f>
        <v>0</v>
      </c>
      <c r="G86" s="49">
        <f>AVERAGE('26.10 Ibanda-Mbarara-24hr'!G86,'28.10 Ibanda-Mbarara-24hr'!G86)</f>
        <v>0</v>
      </c>
      <c r="H86" s="49">
        <f>AVERAGE('26.10 Ibanda-Mbarara-24hr'!H86,'28.10 Ibanda-Mbarara-24hr'!H86)</f>
        <v>0</v>
      </c>
      <c r="I86" s="49">
        <f>AVERAGE('26.10 Ibanda-Mbarara-24hr'!I86,'28.10 Ibanda-Mbarara-24hr'!I86)</f>
        <v>0</v>
      </c>
      <c r="J86" s="49">
        <f>AVERAGE('26.10 Ibanda-Mbarara-24hr'!J86,'28.10 Ibanda-Mbarara-24hr'!J86)</f>
        <v>0.5</v>
      </c>
      <c r="K86" s="49">
        <f>AVERAGE('26.10 Ibanda-Mbarara-24hr'!K86,'28.10 Ibanda-Mbarara-24hr'!K86)</f>
        <v>0</v>
      </c>
      <c r="L86" s="49">
        <f>AVERAGE('26.10 Ibanda-Mbarara-24hr'!L86,'28.10 Ibanda-Mbarara-24hr'!L86)</f>
        <v>0</v>
      </c>
      <c r="M86" s="49">
        <f>AVERAGE('26.10 Ibanda-Mbarara-24hr'!M86,'28.10 Ibanda-Mbarara-24hr'!M86)</f>
        <v>1</v>
      </c>
      <c r="N86" s="49">
        <f>AVERAGE('26.10 Ibanda-Mbarara-24hr'!N86,'28.10 Ibanda-Mbarara-24hr'!N86)</f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AVERAGE('26.10 Ibanda-Mbarara-24hr'!C87,'28.10 Ibanda-Mbarara-24hr'!C87)</f>
        <v>0</v>
      </c>
      <c r="D87" s="49">
        <f>AVERAGE('26.10 Ibanda-Mbarara-24hr'!D87,'28.10 Ibanda-Mbarara-24hr'!D87)</f>
        <v>0</v>
      </c>
      <c r="E87" s="49">
        <f>AVERAGE('26.10 Ibanda-Mbarara-24hr'!E87,'28.10 Ibanda-Mbarara-24hr'!E87)</f>
        <v>0</v>
      </c>
      <c r="F87" s="49">
        <f>AVERAGE('26.10 Ibanda-Mbarara-24hr'!F87,'28.10 Ibanda-Mbarara-24hr'!F87)</f>
        <v>0</v>
      </c>
      <c r="G87" s="49">
        <f>AVERAGE('26.10 Ibanda-Mbarara-24hr'!G87,'28.10 Ibanda-Mbarara-24hr'!G87)</f>
        <v>0</v>
      </c>
      <c r="H87" s="49">
        <f>AVERAGE('26.10 Ibanda-Mbarara-24hr'!H87,'28.10 Ibanda-Mbarara-24hr'!H87)</f>
        <v>0</v>
      </c>
      <c r="I87" s="49">
        <f>AVERAGE('26.10 Ibanda-Mbarara-24hr'!I87,'28.10 Ibanda-Mbarara-24hr'!I87)</f>
        <v>0</v>
      </c>
      <c r="J87" s="49">
        <f>AVERAGE('26.10 Ibanda-Mbarara-24hr'!J87,'28.10 Ibanda-Mbarara-24hr'!J87)</f>
        <v>0</v>
      </c>
      <c r="K87" s="49">
        <f>AVERAGE('26.10 Ibanda-Mbarara-24hr'!K87,'28.10 Ibanda-Mbarara-24hr'!K87)</f>
        <v>0.5</v>
      </c>
      <c r="L87" s="49">
        <f>AVERAGE('26.10 Ibanda-Mbarara-24hr'!L87,'28.10 Ibanda-Mbarara-24hr'!L87)</f>
        <v>0</v>
      </c>
      <c r="M87" s="49">
        <f>AVERAGE('26.10 Ibanda-Mbarara-24hr'!M87,'28.10 Ibanda-Mbarara-24hr'!M87)</f>
        <v>1</v>
      </c>
      <c r="N87" s="49">
        <f>AVERAGE('26.10 Ibanda-Mbarara-24hr'!N87,'28.10 Ibanda-Mbarara-24hr'!N87)</f>
        <v>0</v>
      </c>
      <c r="O87" s="15">
        <f t="shared" si="35"/>
        <v>0.5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AVERAGE('26.10 Ibanda-Mbarara-24hr'!C88,'28.10 Ibanda-Mbarara-24hr'!C88)</f>
        <v>0</v>
      </c>
      <c r="D88" s="49">
        <f>AVERAGE('26.10 Ibanda-Mbarara-24hr'!D88,'28.10 Ibanda-Mbarara-24hr'!D88)</f>
        <v>0</v>
      </c>
      <c r="E88" s="49">
        <f>AVERAGE('26.10 Ibanda-Mbarara-24hr'!E88,'28.10 Ibanda-Mbarara-24hr'!E88)</f>
        <v>0</v>
      </c>
      <c r="F88" s="49">
        <f>AVERAGE('26.10 Ibanda-Mbarara-24hr'!F88,'28.10 Ibanda-Mbarara-24hr'!F88)</f>
        <v>0</v>
      </c>
      <c r="G88" s="49">
        <f>AVERAGE('26.10 Ibanda-Mbarara-24hr'!G88,'28.10 Ibanda-Mbarara-24hr'!G88)</f>
        <v>0</v>
      </c>
      <c r="H88" s="49">
        <f>AVERAGE('26.10 Ibanda-Mbarara-24hr'!H88,'28.10 Ibanda-Mbarara-24hr'!H88)</f>
        <v>0</v>
      </c>
      <c r="I88" s="49">
        <f>AVERAGE('26.10 Ibanda-Mbarara-24hr'!I88,'28.10 Ibanda-Mbarara-24hr'!I88)</f>
        <v>0.5</v>
      </c>
      <c r="J88" s="49">
        <f>AVERAGE('26.10 Ibanda-Mbarara-24hr'!J88,'28.10 Ibanda-Mbarara-24hr'!J88)</f>
        <v>0</v>
      </c>
      <c r="K88" s="49">
        <f>AVERAGE('26.10 Ibanda-Mbarara-24hr'!K88,'28.10 Ibanda-Mbarara-24hr'!K88)</f>
        <v>0.5</v>
      </c>
      <c r="L88" s="49">
        <f>AVERAGE('26.10 Ibanda-Mbarara-24hr'!L88,'28.10 Ibanda-Mbarara-24hr'!L88)</f>
        <v>0</v>
      </c>
      <c r="M88" s="49">
        <f>AVERAGE('26.10 Ibanda-Mbarara-24hr'!M88,'28.10 Ibanda-Mbarara-24hr'!M88)</f>
        <v>0</v>
      </c>
      <c r="N88" s="49">
        <f>AVERAGE('26.10 Ibanda-Mbarara-24hr'!N88,'28.10 Ibanda-Mbarara-24hr'!N88)</f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AVERAGE('26.10 Ibanda-Mbarara-24hr'!C89,'28.10 Ibanda-Mbarara-24hr'!C89)</f>
        <v>0</v>
      </c>
      <c r="D89" s="49">
        <f>AVERAGE('26.10 Ibanda-Mbarara-24hr'!D89,'28.10 Ibanda-Mbarara-24hr'!D89)</f>
        <v>0</v>
      </c>
      <c r="E89" s="49">
        <f>AVERAGE('26.10 Ibanda-Mbarara-24hr'!E89,'28.10 Ibanda-Mbarara-24hr'!E89)</f>
        <v>0</v>
      </c>
      <c r="F89" s="49">
        <f>AVERAGE('26.10 Ibanda-Mbarara-24hr'!F89,'28.10 Ibanda-Mbarara-24hr'!F89)</f>
        <v>0</v>
      </c>
      <c r="G89" s="49">
        <f>AVERAGE('26.10 Ibanda-Mbarara-24hr'!G89,'28.10 Ibanda-Mbarara-24hr'!G89)</f>
        <v>0</v>
      </c>
      <c r="H89" s="49">
        <f>AVERAGE('26.10 Ibanda-Mbarara-24hr'!H89,'28.10 Ibanda-Mbarara-24hr'!H89)</f>
        <v>0</v>
      </c>
      <c r="I89" s="49">
        <f>AVERAGE('26.10 Ibanda-Mbarara-24hr'!I89,'28.10 Ibanda-Mbarara-24hr'!I89)</f>
        <v>0</v>
      </c>
      <c r="J89" s="49">
        <f>AVERAGE('26.10 Ibanda-Mbarara-24hr'!J89,'28.10 Ibanda-Mbarara-24hr'!J89)</f>
        <v>0</v>
      </c>
      <c r="K89" s="49">
        <f>AVERAGE('26.10 Ibanda-Mbarara-24hr'!K89,'28.10 Ibanda-Mbarara-24hr'!K89)</f>
        <v>0</v>
      </c>
      <c r="L89" s="49">
        <f>AVERAGE('26.10 Ibanda-Mbarara-24hr'!L89,'28.10 Ibanda-Mbarara-24hr'!L89)</f>
        <v>0</v>
      </c>
      <c r="M89" s="49">
        <f>AVERAGE('26.10 Ibanda-Mbarara-24hr'!M89,'28.10 Ibanda-Mbarara-24hr'!M89)</f>
        <v>0</v>
      </c>
      <c r="N89" s="49">
        <f>AVERAGE('26.10 Ibanda-Mbarara-24hr'!N89,'28.10 Ibanda-Mbarara-24hr'!N89)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AVERAGE('26.10 Ibanda-Mbarara-24hr'!C90,'28.10 Ibanda-Mbarara-24hr'!C90)</f>
        <v>0</v>
      </c>
      <c r="D90" s="49">
        <f>AVERAGE('26.10 Ibanda-Mbarara-24hr'!D90,'28.10 Ibanda-Mbarara-24hr'!D90)</f>
        <v>0</v>
      </c>
      <c r="E90" s="49">
        <f>AVERAGE('26.10 Ibanda-Mbarara-24hr'!E90,'28.10 Ibanda-Mbarara-24hr'!E90)</f>
        <v>0</v>
      </c>
      <c r="F90" s="49">
        <f>AVERAGE('26.10 Ibanda-Mbarara-24hr'!F90,'28.10 Ibanda-Mbarara-24hr'!F90)</f>
        <v>1</v>
      </c>
      <c r="G90" s="49">
        <f>AVERAGE('26.10 Ibanda-Mbarara-24hr'!G90,'28.10 Ibanda-Mbarara-24hr'!G90)</f>
        <v>0</v>
      </c>
      <c r="H90" s="49">
        <f>AVERAGE('26.10 Ibanda-Mbarara-24hr'!H90,'28.10 Ibanda-Mbarara-24hr'!H90)</f>
        <v>0</v>
      </c>
      <c r="I90" s="49">
        <f>AVERAGE('26.10 Ibanda-Mbarara-24hr'!I90,'28.10 Ibanda-Mbarara-24hr'!I90)</f>
        <v>0.5</v>
      </c>
      <c r="J90" s="49">
        <f>AVERAGE('26.10 Ibanda-Mbarara-24hr'!J90,'28.10 Ibanda-Mbarara-24hr'!J90)</f>
        <v>0</v>
      </c>
      <c r="K90" s="49">
        <f>AVERAGE('26.10 Ibanda-Mbarara-24hr'!K90,'28.10 Ibanda-Mbarara-24hr'!K90)</f>
        <v>0.5</v>
      </c>
      <c r="L90" s="49">
        <f>AVERAGE('26.10 Ibanda-Mbarara-24hr'!L90,'28.10 Ibanda-Mbarara-24hr'!L90)</f>
        <v>0</v>
      </c>
      <c r="M90" s="49">
        <f>AVERAGE('26.10 Ibanda-Mbarara-24hr'!M90,'28.10 Ibanda-Mbarara-24hr'!M90)</f>
        <v>1</v>
      </c>
      <c r="N90" s="49">
        <f>AVERAGE('26.10 Ibanda-Mbarara-24hr'!N90,'28.10 Ibanda-Mbarara-24hr'!N90)</f>
        <v>0</v>
      </c>
      <c r="O90" s="15">
        <f t="shared" si="35"/>
        <v>2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AVERAGE('26.10 Ibanda-Mbarara-24hr'!C91,'28.10 Ibanda-Mbarara-24hr'!C91)</f>
        <v>0</v>
      </c>
      <c r="D91" s="49">
        <f>AVERAGE('26.10 Ibanda-Mbarara-24hr'!D91,'28.10 Ibanda-Mbarara-24hr'!D91)</f>
        <v>0</v>
      </c>
      <c r="E91" s="49">
        <f>AVERAGE('26.10 Ibanda-Mbarara-24hr'!E91,'28.10 Ibanda-Mbarara-24hr'!E91)</f>
        <v>0.5</v>
      </c>
      <c r="F91" s="49">
        <f>AVERAGE('26.10 Ibanda-Mbarara-24hr'!F91,'28.10 Ibanda-Mbarara-24hr'!F91)</f>
        <v>0.5</v>
      </c>
      <c r="G91" s="49">
        <f>AVERAGE('26.10 Ibanda-Mbarara-24hr'!G91,'28.10 Ibanda-Mbarara-24hr'!G91)</f>
        <v>0</v>
      </c>
      <c r="H91" s="49">
        <f>AVERAGE('26.10 Ibanda-Mbarara-24hr'!H91,'28.10 Ibanda-Mbarara-24hr'!H91)</f>
        <v>0</v>
      </c>
      <c r="I91" s="49">
        <f>AVERAGE('26.10 Ibanda-Mbarara-24hr'!I91,'28.10 Ibanda-Mbarara-24hr'!I91)</f>
        <v>0</v>
      </c>
      <c r="J91" s="49">
        <f>AVERAGE('26.10 Ibanda-Mbarara-24hr'!J91,'28.10 Ibanda-Mbarara-24hr'!J91)</f>
        <v>0</v>
      </c>
      <c r="K91" s="49">
        <f>AVERAGE('26.10 Ibanda-Mbarara-24hr'!K91,'28.10 Ibanda-Mbarara-24hr'!K91)</f>
        <v>0.5</v>
      </c>
      <c r="L91" s="49">
        <f>AVERAGE('26.10 Ibanda-Mbarara-24hr'!L91,'28.10 Ibanda-Mbarara-24hr'!L91)</f>
        <v>0</v>
      </c>
      <c r="M91" s="49">
        <f>AVERAGE('26.10 Ibanda-Mbarara-24hr'!M91,'28.10 Ibanda-Mbarara-24hr'!M91)</f>
        <v>0</v>
      </c>
      <c r="N91" s="49">
        <f>AVERAGE('26.10 Ibanda-Mbarara-24hr'!N91,'28.10 Ibanda-Mbarara-24hr'!N91)</f>
        <v>0</v>
      </c>
      <c r="O91" s="15">
        <f t="shared" si="35"/>
        <v>1.5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AVERAGE('26.10 Ibanda-Mbarara-24hr'!C92,'28.10 Ibanda-Mbarara-24hr'!C92)</f>
        <v>0</v>
      </c>
      <c r="D92" s="49">
        <f>AVERAGE('26.10 Ibanda-Mbarara-24hr'!D92,'28.10 Ibanda-Mbarara-24hr'!D92)</f>
        <v>0</v>
      </c>
      <c r="E92" s="49">
        <f>AVERAGE('26.10 Ibanda-Mbarara-24hr'!E92,'28.10 Ibanda-Mbarara-24hr'!E92)</f>
        <v>0</v>
      </c>
      <c r="F92" s="49">
        <f>AVERAGE('26.10 Ibanda-Mbarara-24hr'!F92,'28.10 Ibanda-Mbarara-24hr'!F92)</f>
        <v>1</v>
      </c>
      <c r="G92" s="49">
        <f>AVERAGE('26.10 Ibanda-Mbarara-24hr'!G92,'28.10 Ibanda-Mbarara-24hr'!G92)</f>
        <v>0</v>
      </c>
      <c r="H92" s="49">
        <f>AVERAGE('26.10 Ibanda-Mbarara-24hr'!H92,'28.10 Ibanda-Mbarara-24hr'!H92)</f>
        <v>0</v>
      </c>
      <c r="I92" s="49">
        <f>AVERAGE('26.10 Ibanda-Mbarara-24hr'!I92,'28.10 Ibanda-Mbarara-24hr'!I92)</f>
        <v>0</v>
      </c>
      <c r="J92" s="49">
        <f>AVERAGE('26.10 Ibanda-Mbarara-24hr'!J92,'28.10 Ibanda-Mbarara-24hr'!J92)</f>
        <v>0</v>
      </c>
      <c r="K92" s="49">
        <f>AVERAGE('26.10 Ibanda-Mbarara-24hr'!K92,'28.10 Ibanda-Mbarara-24hr'!K92)</f>
        <v>0</v>
      </c>
      <c r="L92" s="49">
        <f>AVERAGE('26.10 Ibanda-Mbarara-24hr'!L92,'28.10 Ibanda-Mbarara-24hr'!L92)</f>
        <v>0</v>
      </c>
      <c r="M92" s="49">
        <f>AVERAGE('26.10 Ibanda-Mbarara-24hr'!M92,'28.10 Ibanda-Mbarara-24hr'!M92)</f>
        <v>0</v>
      </c>
      <c r="N92" s="49">
        <f>AVERAGE('26.10 Ibanda-Mbarara-24hr'!N92,'28.10 Ibanda-Mbarara-24hr'!N92)</f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AVERAGE('26.10 Ibanda-Mbarara-24hr'!C93,'28.10 Ibanda-Mbarara-24hr'!C93)</f>
        <v>0</v>
      </c>
      <c r="D93" s="49">
        <f>AVERAGE('26.10 Ibanda-Mbarara-24hr'!D93,'28.10 Ibanda-Mbarara-24hr'!D93)</f>
        <v>0</v>
      </c>
      <c r="E93" s="49">
        <f>AVERAGE('26.10 Ibanda-Mbarara-24hr'!E93,'28.10 Ibanda-Mbarara-24hr'!E93)</f>
        <v>0</v>
      </c>
      <c r="F93" s="49">
        <f>AVERAGE('26.10 Ibanda-Mbarara-24hr'!F93,'28.10 Ibanda-Mbarara-24hr'!F93)</f>
        <v>0</v>
      </c>
      <c r="G93" s="49">
        <f>AVERAGE('26.10 Ibanda-Mbarara-24hr'!G93,'28.10 Ibanda-Mbarara-24hr'!G93)</f>
        <v>0</v>
      </c>
      <c r="H93" s="49">
        <f>AVERAGE('26.10 Ibanda-Mbarara-24hr'!H93,'28.10 Ibanda-Mbarara-24hr'!H93)</f>
        <v>0</v>
      </c>
      <c r="I93" s="49">
        <f>AVERAGE('26.10 Ibanda-Mbarara-24hr'!I93,'28.10 Ibanda-Mbarara-24hr'!I93)</f>
        <v>0.5</v>
      </c>
      <c r="J93" s="49">
        <f>AVERAGE('26.10 Ibanda-Mbarara-24hr'!J93,'28.10 Ibanda-Mbarara-24hr'!J93)</f>
        <v>0</v>
      </c>
      <c r="K93" s="49">
        <f>AVERAGE('26.10 Ibanda-Mbarara-24hr'!K93,'28.10 Ibanda-Mbarara-24hr'!K93)</f>
        <v>0</v>
      </c>
      <c r="L93" s="49">
        <f>AVERAGE('26.10 Ibanda-Mbarara-24hr'!L93,'28.10 Ibanda-Mbarara-24hr'!L93)</f>
        <v>0</v>
      </c>
      <c r="M93" s="49">
        <f>AVERAGE('26.10 Ibanda-Mbarara-24hr'!M93,'28.10 Ibanda-Mbarara-24hr'!M93)</f>
        <v>5</v>
      </c>
      <c r="N93" s="49">
        <f>AVERAGE('26.10 Ibanda-Mbarara-24hr'!N93,'28.10 Ibanda-Mbarara-24hr'!N93)</f>
        <v>0</v>
      </c>
      <c r="O93" s="15">
        <f t="shared" si="35"/>
        <v>0.5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AVERAGE('26.10 Ibanda-Mbarara-24hr'!C94,'28.10 Ibanda-Mbarara-24hr'!C94)</f>
        <v>0.5</v>
      </c>
      <c r="D94" s="49">
        <f>AVERAGE('26.10 Ibanda-Mbarara-24hr'!D94,'28.10 Ibanda-Mbarara-24hr'!D94)</f>
        <v>0</v>
      </c>
      <c r="E94" s="49">
        <f>AVERAGE('26.10 Ibanda-Mbarara-24hr'!E94,'28.10 Ibanda-Mbarara-24hr'!E94)</f>
        <v>0</v>
      </c>
      <c r="F94" s="49">
        <f>AVERAGE('26.10 Ibanda-Mbarara-24hr'!F94,'28.10 Ibanda-Mbarara-24hr'!F94)</f>
        <v>0.5</v>
      </c>
      <c r="G94" s="49">
        <f>AVERAGE('26.10 Ibanda-Mbarara-24hr'!G94,'28.10 Ibanda-Mbarara-24hr'!G94)</f>
        <v>0</v>
      </c>
      <c r="H94" s="49">
        <f>AVERAGE('26.10 Ibanda-Mbarara-24hr'!H94,'28.10 Ibanda-Mbarara-24hr'!H94)</f>
        <v>0</v>
      </c>
      <c r="I94" s="49">
        <f>AVERAGE('26.10 Ibanda-Mbarara-24hr'!I94,'28.10 Ibanda-Mbarara-24hr'!I94)</f>
        <v>0</v>
      </c>
      <c r="J94" s="49">
        <f>AVERAGE('26.10 Ibanda-Mbarara-24hr'!J94,'28.10 Ibanda-Mbarara-24hr'!J94)</f>
        <v>0.5</v>
      </c>
      <c r="K94" s="49">
        <f>AVERAGE('26.10 Ibanda-Mbarara-24hr'!K94,'28.10 Ibanda-Mbarara-24hr'!K94)</f>
        <v>0</v>
      </c>
      <c r="L94" s="49">
        <f>AVERAGE('26.10 Ibanda-Mbarara-24hr'!L94,'28.10 Ibanda-Mbarara-24hr'!L94)</f>
        <v>0</v>
      </c>
      <c r="M94" s="49">
        <f>AVERAGE('26.10 Ibanda-Mbarara-24hr'!M94,'28.10 Ibanda-Mbarara-24hr'!M94)</f>
        <v>0</v>
      </c>
      <c r="N94" s="49">
        <f>AVERAGE('26.10 Ibanda-Mbarara-24hr'!N94,'28.10 Ibanda-Mbarara-24hr'!N94)</f>
        <v>0</v>
      </c>
      <c r="O94" s="15">
        <f t="shared" si="35"/>
        <v>1.5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AVERAGE('26.10 Ibanda-Mbarara-24hr'!C95,'28.10 Ibanda-Mbarara-24hr'!C95)</f>
        <v>0.5</v>
      </c>
      <c r="D95" s="49">
        <f>AVERAGE('26.10 Ibanda-Mbarara-24hr'!D95,'28.10 Ibanda-Mbarara-24hr'!D95)</f>
        <v>0.5</v>
      </c>
      <c r="E95" s="49">
        <f>AVERAGE('26.10 Ibanda-Mbarara-24hr'!E95,'28.10 Ibanda-Mbarara-24hr'!E95)</f>
        <v>0</v>
      </c>
      <c r="F95" s="49">
        <f>AVERAGE('26.10 Ibanda-Mbarara-24hr'!F95,'28.10 Ibanda-Mbarara-24hr'!F95)</f>
        <v>0</v>
      </c>
      <c r="G95" s="49">
        <f>AVERAGE('26.10 Ibanda-Mbarara-24hr'!G95,'28.10 Ibanda-Mbarara-24hr'!G95)</f>
        <v>0</v>
      </c>
      <c r="H95" s="49">
        <f>AVERAGE('26.10 Ibanda-Mbarara-24hr'!H95,'28.10 Ibanda-Mbarara-24hr'!H95)</f>
        <v>0</v>
      </c>
      <c r="I95" s="49">
        <f>AVERAGE('26.10 Ibanda-Mbarara-24hr'!I95,'28.10 Ibanda-Mbarara-24hr'!I95)</f>
        <v>0</v>
      </c>
      <c r="J95" s="49">
        <f>AVERAGE('26.10 Ibanda-Mbarara-24hr'!J95,'28.10 Ibanda-Mbarara-24hr'!J95)</f>
        <v>0</v>
      </c>
      <c r="K95" s="49">
        <f>AVERAGE('26.10 Ibanda-Mbarara-24hr'!K95,'28.10 Ibanda-Mbarara-24hr'!K95)</f>
        <v>0.5</v>
      </c>
      <c r="L95" s="49">
        <f>AVERAGE('26.10 Ibanda-Mbarara-24hr'!L95,'28.10 Ibanda-Mbarara-24hr'!L95)</f>
        <v>0</v>
      </c>
      <c r="M95" s="49">
        <f>AVERAGE('26.10 Ibanda-Mbarara-24hr'!M95,'28.10 Ibanda-Mbarara-24hr'!M95)</f>
        <v>0</v>
      </c>
      <c r="N95" s="49">
        <f>AVERAGE('26.10 Ibanda-Mbarara-24hr'!N95,'28.10 Ibanda-Mbarara-24hr'!N95)</f>
        <v>0</v>
      </c>
      <c r="O95" s="15">
        <f t="shared" si="35"/>
        <v>1.5</v>
      </c>
      <c r="P95" s="15">
        <f t="shared" si="36"/>
        <v>1.5</v>
      </c>
      <c r="R95" s="8"/>
      <c r="T95"/>
    </row>
    <row r="96" spans="2:20" ht="23.1" customHeight="1" x14ac:dyDescent="0.25">
      <c r="B96" s="25" t="s">
        <v>136</v>
      </c>
      <c r="C96" s="49">
        <f>AVERAGE('26.10 Ibanda-Mbarara-24hr'!C96,'28.10 Ibanda-Mbarara-24hr'!C96)</f>
        <v>0</v>
      </c>
      <c r="D96" s="49">
        <f>AVERAGE('26.10 Ibanda-Mbarara-24hr'!D96,'28.10 Ibanda-Mbarara-24hr'!D96)</f>
        <v>0</v>
      </c>
      <c r="E96" s="49">
        <f>AVERAGE('26.10 Ibanda-Mbarara-24hr'!E96,'28.10 Ibanda-Mbarara-24hr'!E96)</f>
        <v>0</v>
      </c>
      <c r="F96" s="49">
        <f>AVERAGE('26.10 Ibanda-Mbarara-24hr'!F96,'28.10 Ibanda-Mbarara-24hr'!F96)</f>
        <v>0</v>
      </c>
      <c r="G96" s="49">
        <f>AVERAGE('26.10 Ibanda-Mbarara-24hr'!G96,'28.10 Ibanda-Mbarara-24hr'!G96)</f>
        <v>0</v>
      </c>
      <c r="H96" s="49">
        <f>AVERAGE('26.10 Ibanda-Mbarara-24hr'!H96,'28.10 Ibanda-Mbarara-24hr'!H96)</f>
        <v>0</v>
      </c>
      <c r="I96" s="49">
        <f>AVERAGE('26.10 Ibanda-Mbarara-24hr'!I96,'28.10 Ibanda-Mbarara-24hr'!I96)</f>
        <v>0</v>
      </c>
      <c r="J96" s="49">
        <f>AVERAGE('26.10 Ibanda-Mbarara-24hr'!J96,'28.10 Ibanda-Mbarara-24hr'!J96)</f>
        <v>0</v>
      </c>
      <c r="K96" s="49">
        <f>AVERAGE('26.10 Ibanda-Mbarara-24hr'!K96,'28.10 Ibanda-Mbarara-24hr'!K96)</f>
        <v>0.5</v>
      </c>
      <c r="L96" s="49">
        <f>AVERAGE('26.10 Ibanda-Mbarara-24hr'!L96,'28.10 Ibanda-Mbarara-24hr'!L96)</f>
        <v>0</v>
      </c>
      <c r="M96" s="49">
        <f>AVERAGE('26.10 Ibanda-Mbarara-24hr'!M96,'28.10 Ibanda-Mbarara-24hr'!M96)</f>
        <v>0</v>
      </c>
      <c r="N96" s="49">
        <f>AVERAGE('26.10 Ibanda-Mbarara-24hr'!N96,'28.10 Ibanda-Mbarara-24hr'!N96)</f>
        <v>0</v>
      </c>
      <c r="O96" s="15">
        <f t="shared" si="35"/>
        <v>0.5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AVERAGE('26.10 Ibanda-Mbarara-24hr'!C97,'28.10 Ibanda-Mbarara-24hr'!C97)</f>
        <v>0.5</v>
      </c>
      <c r="D97" s="49">
        <f>AVERAGE('26.10 Ibanda-Mbarara-24hr'!D97,'28.10 Ibanda-Mbarara-24hr'!D97)</f>
        <v>0</v>
      </c>
      <c r="E97" s="49">
        <f>AVERAGE('26.10 Ibanda-Mbarara-24hr'!E97,'28.10 Ibanda-Mbarara-24hr'!E97)</f>
        <v>0</v>
      </c>
      <c r="F97" s="49">
        <f>AVERAGE('26.10 Ibanda-Mbarara-24hr'!F97,'28.10 Ibanda-Mbarara-24hr'!F97)</f>
        <v>0.5</v>
      </c>
      <c r="G97" s="49">
        <f>AVERAGE('26.10 Ibanda-Mbarara-24hr'!G97,'28.10 Ibanda-Mbarara-24hr'!G97)</f>
        <v>0</v>
      </c>
      <c r="H97" s="49">
        <f>AVERAGE('26.10 Ibanda-Mbarara-24hr'!H97,'28.10 Ibanda-Mbarara-24hr'!H97)</f>
        <v>0</v>
      </c>
      <c r="I97" s="49">
        <f>AVERAGE('26.10 Ibanda-Mbarara-24hr'!I97,'28.10 Ibanda-Mbarara-24hr'!I97)</f>
        <v>0</v>
      </c>
      <c r="J97" s="49">
        <f>AVERAGE('26.10 Ibanda-Mbarara-24hr'!J97,'28.10 Ibanda-Mbarara-24hr'!J97)</f>
        <v>0</v>
      </c>
      <c r="K97" s="49">
        <f>AVERAGE('26.10 Ibanda-Mbarara-24hr'!K97,'28.10 Ibanda-Mbarara-24hr'!K97)</f>
        <v>0</v>
      </c>
      <c r="L97" s="49">
        <f>AVERAGE('26.10 Ibanda-Mbarara-24hr'!L97,'28.10 Ibanda-Mbarara-24hr'!L97)</f>
        <v>0</v>
      </c>
      <c r="M97" s="49">
        <f>AVERAGE('26.10 Ibanda-Mbarara-24hr'!M97,'28.10 Ibanda-Mbarara-24hr'!M97)</f>
        <v>0</v>
      </c>
      <c r="N97" s="49">
        <f>AVERAGE('26.10 Ibanda-Mbarara-24hr'!N97,'28.10 Ibanda-Mbarara-24hr'!N97)</f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AVERAGE('26.10 Ibanda-Mbarara-24hr'!C98,'28.10 Ibanda-Mbarara-24hr'!C98)</f>
        <v>0</v>
      </c>
      <c r="D98" s="49">
        <f>AVERAGE('26.10 Ibanda-Mbarara-24hr'!D98,'28.10 Ibanda-Mbarara-24hr'!D98)</f>
        <v>0</v>
      </c>
      <c r="E98" s="49">
        <f>AVERAGE('26.10 Ibanda-Mbarara-24hr'!E98,'28.10 Ibanda-Mbarara-24hr'!E98)</f>
        <v>0</v>
      </c>
      <c r="F98" s="49">
        <f>AVERAGE('26.10 Ibanda-Mbarara-24hr'!F98,'28.10 Ibanda-Mbarara-24hr'!F98)</f>
        <v>0.5</v>
      </c>
      <c r="G98" s="49">
        <f>AVERAGE('26.10 Ibanda-Mbarara-24hr'!G98,'28.10 Ibanda-Mbarara-24hr'!G98)</f>
        <v>0</v>
      </c>
      <c r="H98" s="49">
        <f>AVERAGE('26.10 Ibanda-Mbarara-24hr'!H98,'28.10 Ibanda-Mbarara-24hr'!H98)</f>
        <v>0</v>
      </c>
      <c r="I98" s="49">
        <f>AVERAGE('26.10 Ibanda-Mbarara-24hr'!I98,'28.10 Ibanda-Mbarara-24hr'!I98)</f>
        <v>0</v>
      </c>
      <c r="J98" s="49">
        <f>AVERAGE('26.10 Ibanda-Mbarara-24hr'!J98,'28.10 Ibanda-Mbarara-24hr'!J98)</f>
        <v>0.5</v>
      </c>
      <c r="K98" s="49">
        <f>AVERAGE('26.10 Ibanda-Mbarara-24hr'!K98,'28.10 Ibanda-Mbarara-24hr'!K98)</f>
        <v>1</v>
      </c>
      <c r="L98" s="49">
        <f>AVERAGE('26.10 Ibanda-Mbarara-24hr'!L98,'28.10 Ibanda-Mbarara-24hr'!L98)</f>
        <v>0.5</v>
      </c>
      <c r="M98" s="49">
        <f>AVERAGE('26.10 Ibanda-Mbarara-24hr'!M98,'28.10 Ibanda-Mbarara-24hr'!M98)</f>
        <v>1</v>
      </c>
      <c r="N98" s="49">
        <f>AVERAGE('26.10 Ibanda-Mbarara-24hr'!N98,'28.10 Ibanda-Mbarara-24hr'!N98)</f>
        <v>0</v>
      </c>
      <c r="O98" s="15">
        <f t="shared" si="35"/>
        <v>2.5</v>
      </c>
      <c r="P98" s="15">
        <f t="shared" si="36"/>
        <v>3.5</v>
      </c>
      <c r="R98" s="8"/>
      <c r="T98"/>
    </row>
    <row r="99" spans="2:20" ht="23.1" customHeight="1" x14ac:dyDescent="0.25">
      <c r="B99" s="23" t="s">
        <v>139</v>
      </c>
      <c r="C99" s="49">
        <f>AVERAGE('26.10 Ibanda-Mbarara-24hr'!C99,'28.10 Ibanda-Mbarara-24hr'!C99)</f>
        <v>0.5</v>
      </c>
      <c r="D99" s="49">
        <f>AVERAGE('26.10 Ibanda-Mbarara-24hr'!D99,'28.10 Ibanda-Mbarara-24hr'!D99)</f>
        <v>1.5</v>
      </c>
      <c r="E99" s="49">
        <f>AVERAGE('26.10 Ibanda-Mbarara-24hr'!E99,'28.10 Ibanda-Mbarara-24hr'!E99)</f>
        <v>0.5</v>
      </c>
      <c r="F99" s="49">
        <f>AVERAGE('26.10 Ibanda-Mbarara-24hr'!F99,'28.10 Ibanda-Mbarara-24hr'!F99)</f>
        <v>0</v>
      </c>
      <c r="G99" s="49">
        <f>AVERAGE('26.10 Ibanda-Mbarara-24hr'!G99,'28.10 Ibanda-Mbarara-24hr'!G99)</f>
        <v>0</v>
      </c>
      <c r="H99" s="49">
        <f>AVERAGE('26.10 Ibanda-Mbarara-24hr'!H99,'28.10 Ibanda-Mbarara-24hr'!H99)</f>
        <v>0</v>
      </c>
      <c r="I99" s="49">
        <f>AVERAGE('26.10 Ibanda-Mbarara-24hr'!I99,'28.10 Ibanda-Mbarara-24hr'!I99)</f>
        <v>0</v>
      </c>
      <c r="J99" s="49">
        <f>AVERAGE('26.10 Ibanda-Mbarara-24hr'!J99,'28.10 Ibanda-Mbarara-24hr'!J99)</f>
        <v>0</v>
      </c>
      <c r="K99" s="49">
        <f>AVERAGE('26.10 Ibanda-Mbarara-24hr'!K99,'28.10 Ibanda-Mbarara-24hr'!K99)</f>
        <v>0</v>
      </c>
      <c r="L99" s="49">
        <f>AVERAGE('26.10 Ibanda-Mbarara-24hr'!L99,'28.10 Ibanda-Mbarara-24hr'!L99)</f>
        <v>0</v>
      </c>
      <c r="M99" s="49">
        <f>AVERAGE('26.10 Ibanda-Mbarara-24hr'!M99,'28.10 Ibanda-Mbarara-24hr'!M99)</f>
        <v>1</v>
      </c>
      <c r="N99" s="49">
        <f>AVERAGE('26.10 Ibanda-Mbarara-24hr'!N99,'28.10 Ibanda-Mbarara-24hr'!N99)</f>
        <v>0</v>
      </c>
      <c r="O99" s="15">
        <f t="shared" si="35"/>
        <v>2.5</v>
      </c>
      <c r="P99" s="15">
        <f t="shared" si="36"/>
        <v>3.5</v>
      </c>
      <c r="R99" s="8"/>
      <c r="T99"/>
    </row>
    <row r="100" spans="2:20" ht="23.1" customHeight="1" x14ac:dyDescent="0.25">
      <c r="B100" s="25" t="s">
        <v>140</v>
      </c>
      <c r="C100" s="49">
        <f>AVERAGE('26.10 Ibanda-Mbarara-24hr'!C100,'28.10 Ibanda-Mbarara-24hr'!C100)</f>
        <v>0.5</v>
      </c>
      <c r="D100" s="49">
        <f>AVERAGE('26.10 Ibanda-Mbarara-24hr'!D100,'28.10 Ibanda-Mbarara-24hr'!D100)</f>
        <v>0</v>
      </c>
      <c r="E100" s="49">
        <f>AVERAGE('26.10 Ibanda-Mbarara-24hr'!E100,'28.10 Ibanda-Mbarara-24hr'!E100)</f>
        <v>0</v>
      </c>
      <c r="F100" s="49">
        <f>AVERAGE('26.10 Ibanda-Mbarara-24hr'!F100,'28.10 Ibanda-Mbarara-24hr'!F100)</f>
        <v>0</v>
      </c>
      <c r="G100" s="49">
        <f>AVERAGE('26.10 Ibanda-Mbarara-24hr'!G100,'28.10 Ibanda-Mbarara-24hr'!G100)</f>
        <v>0</v>
      </c>
      <c r="H100" s="49">
        <f>AVERAGE('26.10 Ibanda-Mbarara-24hr'!H100,'28.10 Ibanda-Mbarara-24hr'!H100)</f>
        <v>0</v>
      </c>
      <c r="I100" s="49">
        <f>AVERAGE('26.10 Ibanda-Mbarara-24hr'!I100,'28.10 Ibanda-Mbarara-24hr'!I100)</f>
        <v>0</v>
      </c>
      <c r="J100" s="49">
        <f>AVERAGE('26.10 Ibanda-Mbarara-24hr'!J100,'28.10 Ibanda-Mbarara-24hr'!J100)</f>
        <v>0</v>
      </c>
      <c r="K100" s="49">
        <f>AVERAGE('26.10 Ibanda-Mbarara-24hr'!K100,'28.10 Ibanda-Mbarara-24hr'!K100)</f>
        <v>0</v>
      </c>
      <c r="L100" s="49">
        <f>AVERAGE('26.10 Ibanda-Mbarara-24hr'!L100,'28.10 Ibanda-Mbarara-24hr'!L100)</f>
        <v>0</v>
      </c>
      <c r="M100" s="49">
        <f>AVERAGE('26.10 Ibanda-Mbarara-24hr'!M100,'28.10 Ibanda-Mbarara-24hr'!M100)</f>
        <v>0.5</v>
      </c>
      <c r="N100" s="49">
        <f>AVERAGE('26.10 Ibanda-Mbarara-24hr'!N100,'28.10 Ibanda-Mbarara-24hr'!N100)</f>
        <v>0</v>
      </c>
      <c r="O100" s="15">
        <f t="shared" si="35"/>
        <v>0.5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AVERAGE('26.10 Ibanda-Mbarara-24hr'!C101,'28.10 Ibanda-Mbarara-24hr'!C101)</f>
        <v>0.5</v>
      </c>
      <c r="D101" s="49">
        <f>AVERAGE('26.10 Ibanda-Mbarara-24hr'!D101,'28.10 Ibanda-Mbarara-24hr'!D101)</f>
        <v>0.5</v>
      </c>
      <c r="E101" s="49">
        <f>AVERAGE('26.10 Ibanda-Mbarara-24hr'!E101,'28.10 Ibanda-Mbarara-24hr'!E101)</f>
        <v>0.5</v>
      </c>
      <c r="F101" s="49">
        <f>AVERAGE('26.10 Ibanda-Mbarara-24hr'!F101,'28.10 Ibanda-Mbarara-24hr'!F101)</f>
        <v>0.5</v>
      </c>
      <c r="G101" s="49">
        <f>AVERAGE('26.10 Ibanda-Mbarara-24hr'!G101,'28.10 Ibanda-Mbarara-24hr'!G101)</f>
        <v>0</v>
      </c>
      <c r="H101" s="49">
        <f>AVERAGE('26.10 Ibanda-Mbarara-24hr'!H101,'28.10 Ibanda-Mbarara-24hr'!H101)</f>
        <v>0</v>
      </c>
      <c r="I101" s="49">
        <f>AVERAGE('26.10 Ibanda-Mbarara-24hr'!I101,'28.10 Ibanda-Mbarara-24hr'!I101)</f>
        <v>0</v>
      </c>
      <c r="J101" s="49">
        <f>AVERAGE('26.10 Ibanda-Mbarara-24hr'!J101,'28.10 Ibanda-Mbarara-24hr'!J101)</f>
        <v>0</v>
      </c>
      <c r="K101" s="49">
        <f>AVERAGE('26.10 Ibanda-Mbarara-24hr'!K101,'28.10 Ibanda-Mbarara-24hr'!K101)</f>
        <v>0</v>
      </c>
      <c r="L101" s="49">
        <f>AVERAGE('26.10 Ibanda-Mbarara-24hr'!L101,'28.10 Ibanda-Mbarara-24hr'!L101)</f>
        <v>0.5</v>
      </c>
      <c r="M101" s="49">
        <f>AVERAGE('26.10 Ibanda-Mbarara-24hr'!M101,'28.10 Ibanda-Mbarara-24hr'!M101)</f>
        <v>1.5</v>
      </c>
      <c r="N101" s="49">
        <f>AVERAGE('26.10 Ibanda-Mbarara-24hr'!N101,'28.10 Ibanda-Mbarara-24hr'!N101)</f>
        <v>0</v>
      </c>
      <c r="O101" s="15">
        <f t="shared" si="35"/>
        <v>2.5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AVERAGE('26.10 Ibanda-Mbarara-24hr'!C102,'28.10 Ibanda-Mbarara-24hr'!C102)</f>
        <v>1</v>
      </c>
      <c r="D102" s="49">
        <f>AVERAGE('26.10 Ibanda-Mbarara-24hr'!D102,'28.10 Ibanda-Mbarara-24hr'!D102)</f>
        <v>0</v>
      </c>
      <c r="E102" s="49">
        <f>AVERAGE('26.10 Ibanda-Mbarara-24hr'!E102,'28.10 Ibanda-Mbarara-24hr'!E102)</f>
        <v>0</v>
      </c>
      <c r="F102" s="49">
        <f>AVERAGE('26.10 Ibanda-Mbarara-24hr'!F102,'28.10 Ibanda-Mbarara-24hr'!F102)</f>
        <v>0.5</v>
      </c>
      <c r="G102" s="49">
        <f>AVERAGE('26.10 Ibanda-Mbarara-24hr'!G102,'28.10 Ibanda-Mbarara-24hr'!G102)</f>
        <v>0</v>
      </c>
      <c r="H102" s="49">
        <f>AVERAGE('26.10 Ibanda-Mbarara-24hr'!H102,'28.10 Ibanda-Mbarara-24hr'!H102)</f>
        <v>0</v>
      </c>
      <c r="I102" s="49">
        <f>AVERAGE('26.10 Ibanda-Mbarara-24hr'!I102,'28.10 Ibanda-Mbarara-24hr'!I102)</f>
        <v>0</v>
      </c>
      <c r="J102" s="49">
        <f>AVERAGE('26.10 Ibanda-Mbarara-24hr'!J102,'28.10 Ibanda-Mbarara-24hr'!J102)</f>
        <v>0.5</v>
      </c>
      <c r="K102" s="49">
        <f>AVERAGE('26.10 Ibanda-Mbarara-24hr'!K102,'28.10 Ibanda-Mbarara-24hr'!K102)</f>
        <v>0.5</v>
      </c>
      <c r="L102" s="49">
        <f>AVERAGE('26.10 Ibanda-Mbarara-24hr'!L102,'28.10 Ibanda-Mbarara-24hr'!L102)</f>
        <v>0</v>
      </c>
      <c r="M102" s="49">
        <f>AVERAGE('26.10 Ibanda-Mbarara-24hr'!M102,'28.10 Ibanda-Mbarara-24hr'!M102)</f>
        <v>1.5</v>
      </c>
      <c r="N102" s="49">
        <f>AVERAGE('26.10 Ibanda-Mbarara-24hr'!N102,'28.10 Ibanda-Mbarara-24hr'!N102)</f>
        <v>0</v>
      </c>
      <c r="O102" s="15">
        <f t="shared" si="35"/>
        <v>2.5</v>
      </c>
      <c r="P102" s="15">
        <f t="shared" si="36"/>
        <v>4</v>
      </c>
      <c r="R102" s="8"/>
      <c r="T102"/>
    </row>
    <row r="103" spans="2:20" ht="23.1" customHeight="1" x14ac:dyDescent="0.25">
      <c r="B103" s="23" t="s">
        <v>143</v>
      </c>
      <c r="C103" s="49">
        <f>AVERAGE('26.10 Ibanda-Mbarara-24hr'!C103,'28.10 Ibanda-Mbarara-24hr'!C103)</f>
        <v>1.5</v>
      </c>
      <c r="D103" s="49">
        <f>AVERAGE('26.10 Ibanda-Mbarara-24hr'!D103,'28.10 Ibanda-Mbarara-24hr'!D103)</f>
        <v>0.5</v>
      </c>
      <c r="E103" s="49">
        <f>AVERAGE('26.10 Ibanda-Mbarara-24hr'!E103,'28.10 Ibanda-Mbarara-24hr'!E103)</f>
        <v>0</v>
      </c>
      <c r="F103" s="49">
        <f>AVERAGE('26.10 Ibanda-Mbarara-24hr'!F103,'28.10 Ibanda-Mbarara-24hr'!F103)</f>
        <v>0</v>
      </c>
      <c r="G103" s="49">
        <f>AVERAGE('26.10 Ibanda-Mbarara-24hr'!G103,'28.10 Ibanda-Mbarara-24hr'!G103)</f>
        <v>0</v>
      </c>
      <c r="H103" s="49">
        <f>AVERAGE('26.10 Ibanda-Mbarara-24hr'!H103,'28.10 Ibanda-Mbarara-24hr'!H103)</f>
        <v>0</v>
      </c>
      <c r="I103" s="49">
        <f>AVERAGE('26.10 Ibanda-Mbarara-24hr'!I103,'28.10 Ibanda-Mbarara-24hr'!I103)</f>
        <v>0</v>
      </c>
      <c r="J103" s="49">
        <f>AVERAGE('26.10 Ibanda-Mbarara-24hr'!J103,'28.10 Ibanda-Mbarara-24hr'!J103)</f>
        <v>0</v>
      </c>
      <c r="K103" s="49">
        <f>AVERAGE('26.10 Ibanda-Mbarara-24hr'!K103,'28.10 Ibanda-Mbarara-24hr'!K103)</f>
        <v>0</v>
      </c>
      <c r="L103" s="49">
        <f>AVERAGE('26.10 Ibanda-Mbarara-24hr'!L103,'28.10 Ibanda-Mbarara-24hr'!L103)</f>
        <v>0</v>
      </c>
      <c r="M103" s="49">
        <f>AVERAGE('26.10 Ibanda-Mbarara-24hr'!M103,'28.10 Ibanda-Mbarara-24hr'!M103)</f>
        <v>2</v>
      </c>
      <c r="N103" s="49">
        <f>AVERAGE('26.10 Ibanda-Mbarara-24hr'!N103,'28.10 Ibanda-Mbarara-24hr'!N103)</f>
        <v>0</v>
      </c>
      <c r="O103" s="15">
        <f t="shared" si="35"/>
        <v>2</v>
      </c>
      <c r="P103" s="15">
        <f t="shared" si="36"/>
        <v>4</v>
      </c>
      <c r="R103" s="8"/>
      <c r="T103"/>
    </row>
    <row r="104" spans="2:20" ht="23.1" customHeight="1" x14ac:dyDescent="0.25">
      <c r="B104" s="25" t="s">
        <v>144</v>
      </c>
      <c r="C104" s="49">
        <f>AVERAGE('26.10 Ibanda-Mbarara-24hr'!C104,'28.10 Ibanda-Mbarara-24hr'!C104)</f>
        <v>0.5</v>
      </c>
      <c r="D104" s="49">
        <f>AVERAGE('26.10 Ibanda-Mbarara-24hr'!D104,'28.10 Ibanda-Mbarara-24hr'!D104)</f>
        <v>0.5</v>
      </c>
      <c r="E104" s="49">
        <f>AVERAGE('26.10 Ibanda-Mbarara-24hr'!E104,'28.10 Ibanda-Mbarara-24hr'!E104)</f>
        <v>0</v>
      </c>
      <c r="F104" s="49">
        <f>AVERAGE('26.10 Ibanda-Mbarara-24hr'!F104,'28.10 Ibanda-Mbarara-24hr'!F104)</f>
        <v>0</v>
      </c>
      <c r="G104" s="49">
        <f>AVERAGE('26.10 Ibanda-Mbarara-24hr'!G104,'28.10 Ibanda-Mbarara-24hr'!G104)</f>
        <v>0</v>
      </c>
      <c r="H104" s="49">
        <f>AVERAGE('26.10 Ibanda-Mbarara-24hr'!H104,'28.10 Ibanda-Mbarara-24hr'!H104)</f>
        <v>0</v>
      </c>
      <c r="I104" s="49">
        <f>AVERAGE('26.10 Ibanda-Mbarara-24hr'!I104,'28.10 Ibanda-Mbarara-24hr'!I104)</f>
        <v>0</v>
      </c>
      <c r="J104" s="49">
        <f>AVERAGE('26.10 Ibanda-Mbarara-24hr'!J104,'28.10 Ibanda-Mbarara-24hr'!J104)</f>
        <v>0</v>
      </c>
      <c r="K104" s="49">
        <f>AVERAGE('26.10 Ibanda-Mbarara-24hr'!K104,'28.10 Ibanda-Mbarara-24hr'!K104)</f>
        <v>0.5</v>
      </c>
      <c r="L104" s="49">
        <f>AVERAGE('26.10 Ibanda-Mbarara-24hr'!L104,'28.10 Ibanda-Mbarara-24hr'!L104)</f>
        <v>0</v>
      </c>
      <c r="M104" s="49">
        <f>AVERAGE('26.10 Ibanda-Mbarara-24hr'!M104,'28.10 Ibanda-Mbarara-24hr'!M104)</f>
        <v>1</v>
      </c>
      <c r="N104" s="49">
        <f>AVERAGE('26.10 Ibanda-Mbarara-24hr'!N104,'28.10 Ibanda-Mbarara-24hr'!N104)</f>
        <v>0</v>
      </c>
      <c r="O104" s="15">
        <f t="shared" si="35"/>
        <v>1.5</v>
      </c>
      <c r="P104" s="15">
        <f t="shared" si="36"/>
        <v>2.5</v>
      </c>
      <c r="R104" s="8"/>
      <c r="T104"/>
    </row>
    <row r="105" spans="2:20" ht="23.1" customHeight="1" x14ac:dyDescent="0.25">
      <c r="B105" s="23" t="s">
        <v>145</v>
      </c>
      <c r="C105" s="49">
        <f>AVERAGE('26.10 Ibanda-Mbarara-24hr'!C105,'28.10 Ibanda-Mbarara-24hr'!C105)</f>
        <v>2</v>
      </c>
      <c r="D105" s="49">
        <f>AVERAGE('26.10 Ibanda-Mbarara-24hr'!D105,'28.10 Ibanda-Mbarara-24hr'!D105)</f>
        <v>0</v>
      </c>
      <c r="E105" s="49">
        <f>AVERAGE('26.10 Ibanda-Mbarara-24hr'!E105,'28.10 Ibanda-Mbarara-24hr'!E105)</f>
        <v>0.5</v>
      </c>
      <c r="F105" s="49">
        <f>AVERAGE('26.10 Ibanda-Mbarara-24hr'!F105,'28.10 Ibanda-Mbarara-24hr'!F105)</f>
        <v>0</v>
      </c>
      <c r="G105" s="49">
        <f>AVERAGE('26.10 Ibanda-Mbarara-24hr'!G105,'28.10 Ibanda-Mbarara-24hr'!G105)</f>
        <v>0</v>
      </c>
      <c r="H105" s="49">
        <f>AVERAGE('26.10 Ibanda-Mbarara-24hr'!H105,'28.10 Ibanda-Mbarara-24hr'!H105)</f>
        <v>0</v>
      </c>
      <c r="I105" s="49">
        <f>AVERAGE('26.10 Ibanda-Mbarara-24hr'!I105,'28.10 Ibanda-Mbarara-24hr'!I105)</f>
        <v>1</v>
      </c>
      <c r="J105" s="49">
        <f>AVERAGE('26.10 Ibanda-Mbarara-24hr'!J105,'28.10 Ibanda-Mbarara-24hr'!J105)</f>
        <v>0</v>
      </c>
      <c r="K105" s="49">
        <f>AVERAGE('26.10 Ibanda-Mbarara-24hr'!K105,'28.10 Ibanda-Mbarara-24hr'!K105)</f>
        <v>0</v>
      </c>
      <c r="L105" s="49">
        <f>AVERAGE('26.10 Ibanda-Mbarara-24hr'!L105,'28.10 Ibanda-Mbarara-24hr'!L105)</f>
        <v>0</v>
      </c>
      <c r="M105" s="49">
        <f>AVERAGE('26.10 Ibanda-Mbarara-24hr'!M105,'28.10 Ibanda-Mbarara-24hr'!M105)</f>
        <v>2.5</v>
      </c>
      <c r="N105" s="49">
        <f>AVERAGE('26.10 Ibanda-Mbarara-24hr'!N105,'28.10 Ibanda-Mbarara-24hr'!N105)</f>
        <v>0</v>
      </c>
      <c r="O105" s="15">
        <f t="shared" si="35"/>
        <v>3.5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393.35714285714278</v>
      </c>
      <c r="D106" s="16">
        <f t="shared" ref="D106:P106" si="37">SUM(D10:D105)</f>
        <v>65.5</v>
      </c>
      <c r="E106" s="16">
        <f t="shared" si="37"/>
        <v>42.714285714285715</v>
      </c>
      <c r="F106" s="16">
        <f t="shared" si="37"/>
        <v>102.14285714285714</v>
      </c>
      <c r="G106" s="16">
        <f t="shared" si="37"/>
        <v>3.5714285714285712</v>
      </c>
      <c r="H106" s="16">
        <f t="shared" si="37"/>
        <v>6.5</v>
      </c>
      <c r="I106" s="16">
        <f t="shared" si="37"/>
        <v>42.5</v>
      </c>
      <c r="J106" s="16">
        <f t="shared" si="37"/>
        <v>49.000000000000007</v>
      </c>
      <c r="K106" s="16">
        <f t="shared" si="37"/>
        <v>13.714285714285714</v>
      </c>
      <c r="L106" s="16">
        <f t="shared" si="37"/>
        <v>6.4285714285714279</v>
      </c>
      <c r="M106" s="16">
        <f t="shared" si="37"/>
        <v>585.42857142857156</v>
      </c>
      <c r="N106" s="16">
        <f t="shared" si="37"/>
        <v>0.14285714285714285</v>
      </c>
      <c r="O106" s="16">
        <f t="shared" si="37"/>
        <v>725.57142857142856</v>
      </c>
      <c r="P106" s="16">
        <f t="shared" si="37"/>
        <v>1311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0.30004358722894187</v>
      </c>
      <c r="D107" s="43">
        <f t="shared" si="38"/>
        <v>4.9961861174675819E-2</v>
      </c>
      <c r="E107" s="43">
        <f t="shared" si="38"/>
        <v>3.2581453634085211E-2</v>
      </c>
      <c r="F107" s="43">
        <f t="shared" si="38"/>
        <v>7.7912171733682034E-2</v>
      </c>
      <c r="G107" s="43">
        <f t="shared" si="38"/>
        <v>2.7242018088700008E-3</v>
      </c>
      <c r="H107" s="43">
        <f t="shared" si="38"/>
        <v>4.9580472921434016E-3</v>
      </c>
      <c r="I107" s="43">
        <f t="shared" si="38"/>
        <v>3.2418001525553013E-2</v>
      </c>
      <c r="J107" s="43">
        <f t="shared" si="38"/>
        <v>3.737604881769642E-2</v>
      </c>
      <c r="K107" s="43">
        <f t="shared" si="38"/>
        <v>1.0460934946060804E-2</v>
      </c>
      <c r="L107" s="43">
        <f t="shared" si="38"/>
        <v>4.9035632559660015E-3</v>
      </c>
      <c r="M107" s="43">
        <f t="shared" si="38"/>
        <v>0.44655116050997068</v>
      </c>
      <c r="N107" s="43">
        <f t="shared" si="38"/>
        <v>1.0896807235480004E-4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0.54213427840125994</v>
      </c>
      <c r="D108" s="44">
        <f t="shared" ref="D108:N108" si="39">D106/$O$106</f>
        <v>9.0273675920456792E-2</v>
      </c>
      <c r="E108" s="44">
        <f t="shared" si="39"/>
        <v>5.8869856270919473E-2</v>
      </c>
      <c r="F108" s="44">
        <f t="shared" si="39"/>
        <v>0.14077574325654657</v>
      </c>
      <c r="G108" s="44">
        <f t="shared" si="39"/>
        <v>4.9222287851939358E-3</v>
      </c>
      <c r="H108" s="44">
        <f t="shared" si="39"/>
        <v>8.9584563890529635E-3</v>
      </c>
      <c r="I108" s="44">
        <f t="shared" si="39"/>
        <v>5.8574522543807836E-2</v>
      </c>
      <c r="J108" s="44">
        <f t="shared" si="39"/>
        <v>6.753297893286081E-2</v>
      </c>
      <c r="K108" s="44">
        <f t="shared" si="39"/>
        <v>1.8901358535144713E-2</v>
      </c>
      <c r="L108" s="44">
        <f t="shared" si="39"/>
        <v>8.8600118133490835E-3</v>
      </c>
      <c r="M108" s="44"/>
      <c r="N108" s="44">
        <f t="shared" si="39"/>
        <v>1.9688915140775743E-4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58" zoomScale="60" workbookViewId="0">
      <selection activeCell="AE58" sqref="A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'31.10 Mbarara-Ibanda'!C3:G3</f>
        <v>MCC - C4 - STN102 - IBANDA-MBARARA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162</v>
      </c>
      <c r="E5" s="63"/>
      <c r="F5" s="41" t="s">
        <v>1</v>
      </c>
      <c r="G5" s="60" t="str">
        <f>'31.10 Mbarara-Ibanda'!G5:H5</f>
        <v>RUHUMBA</v>
      </c>
      <c r="H5" s="61"/>
      <c r="I5" s="14"/>
      <c r="J5" s="2" t="s">
        <v>5</v>
      </c>
      <c r="K5" s="60" t="s">
        <v>179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'31.10 Mbarara-Ibanda'!D6:E6</f>
        <v>MBARARA</v>
      </c>
      <c r="E6" s="61"/>
      <c r="F6" s="2" t="s">
        <v>2</v>
      </c>
      <c r="G6" s="60" t="str">
        <f>'31.10 Mbarara-Ibanda'!G6:H6</f>
        <v>IBANDA</v>
      </c>
      <c r="H6" s="61"/>
      <c r="J6" s="2" t="s">
        <v>21</v>
      </c>
      <c r="K6" s="60" t="str">
        <f>'31.10 Mbarara-Ibanda'!K6:L6</f>
        <v>TURYAHABWE NORMAN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Mbarara-Ibanda'!C10,'26.10 Mbarara-Ibanda-24hr'!C10,'27.10 Mbarara-Ibanda'!C10,'28.10 Mbarara-Ibanda-24hr'!C10,'29.10 Mbarara-Ibanda'!C10,'30.10 Mbarara-Ibanda'!C10,'31.10 Mbarara-Ibanda'!C10)</f>
        <v>1.8571428571428572</v>
      </c>
      <c r="D10" s="49">
        <f>AVERAGE('25.10 Mbarara-Ibanda'!D10,'26.10 Mbarara-Ibanda-24hr'!D10,'27.10 Mbarara-Ibanda'!D10,'28.10 Mbarara-Ibanda-24hr'!D10,'29.10 Mbarara-Ibanda'!D10,'30.10 Mbarara-Ibanda'!D10,'31.10 Mbarara-Ibanda'!D10)</f>
        <v>0.14285714285714285</v>
      </c>
      <c r="E10" s="49">
        <f>AVERAGE('25.10 Mbarara-Ibanda'!E10,'26.10 Mbarara-Ibanda-24hr'!E10,'27.10 Mbarara-Ibanda'!E10,'28.10 Mbarara-Ibanda-24hr'!E10,'29.10 Mbarara-Ibanda'!E10,'30.10 Mbarara-Ibanda'!E10,'31.10 Mbarara-Ibanda'!E10)</f>
        <v>0.5714285714285714</v>
      </c>
      <c r="F10" s="49">
        <f>AVERAGE('25.10 Mbarara-Ibanda'!F10,'26.10 Mbarara-Ibanda-24hr'!F10,'27.10 Mbarara-Ibanda'!F10,'28.10 Mbarara-Ibanda-24hr'!F10,'29.10 Mbarara-Ibanda'!F10,'30.10 Mbarara-Ibanda'!F10,'31.10 Mbarara-Ibanda'!F10)</f>
        <v>1.1428571428571428</v>
      </c>
      <c r="G10" s="49">
        <f>AVERAGE('25.10 Mbarara-Ibanda'!G10,'26.10 Mbarara-Ibanda-24hr'!G10,'27.10 Mbarara-Ibanda'!G10,'28.10 Mbarara-Ibanda-24hr'!G10,'29.10 Mbarara-Ibanda'!G10,'30.10 Mbarara-Ibanda'!G10,'31.10 Mbarara-Ibanda'!G10)</f>
        <v>0</v>
      </c>
      <c r="H10" s="49">
        <f>AVERAGE('25.10 Mbarara-Ibanda'!H10,'26.10 Mbarara-Ibanda-24hr'!H10,'27.10 Mbarara-Ibanda'!H10,'28.10 Mbarara-Ibanda-24hr'!H10,'29.10 Mbarara-Ibanda'!H10,'30.10 Mbarara-Ibanda'!H10,'31.10 Mbarara-Ibanda'!H10)</f>
        <v>0</v>
      </c>
      <c r="I10" s="49">
        <f>AVERAGE('25.10 Mbarara-Ibanda'!I10,'26.10 Mbarara-Ibanda-24hr'!I10,'27.10 Mbarara-Ibanda'!I10,'28.10 Mbarara-Ibanda-24hr'!I10,'29.10 Mbarara-Ibanda'!I10,'30.10 Mbarara-Ibanda'!I10,'31.10 Mbarara-Ibanda'!I10)</f>
        <v>0.14285714285714285</v>
      </c>
      <c r="J10" s="49">
        <f>AVERAGE('25.10 Mbarara-Ibanda'!J10,'26.10 Mbarara-Ibanda-24hr'!J10,'27.10 Mbarara-Ibanda'!J10,'28.10 Mbarara-Ibanda-24hr'!J10,'29.10 Mbarara-Ibanda'!J10,'30.10 Mbarara-Ibanda'!J10,'31.10 Mbarara-Ibanda'!J10)</f>
        <v>0.14285714285714285</v>
      </c>
      <c r="K10" s="49">
        <f>AVERAGE('25.10 Mbarara-Ibanda'!K10,'26.10 Mbarara-Ibanda-24hr'!K10,'27.10 Mbarara-Ibanda'!K10,'28.10 Mbarara-Ibanda-24hr'!K10,'29.10 Mbarara-Ibanda'!K10,'30.10 Mbarara-Ibanda'!K10,'31.10 Mbarara-Ibanda'!K10)</f>
        <v>0</v>
      </c>
      <c r="L10" s="49">
        <f>AVERAGE('25.10 Mbarara-Ibanda'!L10,'26.10 Mbarara-Ibanda-24hr'!L10,'27.10 Mbarara-Ibanda'!L10,'28.10 Mbarara-Ibanda-24hr'!L10,'29.10 Mbarara-Ibanda'!L10,'30.10 Mbarara-Ibanda'!L10,'31.10 Mbarara-Ibanda'!L10)</f>
        <v>0</v>
      </c>
      <c r="M10" s="49">
        <f>AVERAGE('25.10 Mbarara-Ibanda'!M10,'26.10 Mbarara-Ibanda-24hr'!M10,'27.10 Mbarara-Ibanda'!M10,'28.10 Mbarara-Ibanda-24hr'!M10,'29.10 Mbarara-Ibanda'!M10,'30.10 Mbarara-Ibanda'!M10,'31.10 Mbarara-Ibanda'!M10)</f>
        <v>4</v>
      </c>
      <c r="N10" s="49">
        <f>AVERAGE('25.10 Mbarara-Ibanda'!N10,'26.10 Mbarara-Ibanda-24hr'!N10,'27.10 Mbarara-Ibanda'!N10,'28.10 Mbarara-Ibanda-24hr'!N10,'29.10 Mbarara-Ibanda'!N10,'30.10 Mbarara-Ibanda'!N10,'31.10 Mbarara-Ibanda'!N10)</f>
        <v>0</v>
      </c>
      <c r="O10" s="15">
        <f t="shared" ref="O10:O73" si="0">SUM(C10:L10,N10)</f>
        <v>3.9999999999999996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13.571428571428571</v>
      </c>
      <c r="T10" s="17">
        <f t="shared" si="2"/>
        <v>2.1428571428571428</v>
      </c>
      <c r="U10" s="17">
        <f t="shared" si="2"/>
        <v>1.1428571428571428</v>
      </c>
      <c r="V10" s="17">
        <f t="shared" si="2"/>
        <v>3.714285714285714</v>
      </c>
      <c r="W10" s="17">
        <f t="shared" si="2"/>
        <v>0</v>
      </c>
      <c r="X10" s="17">
        <f t="shared" si="2"/>
        <v>0.14285714285714285</v>
      </c>
      <c r="Y10" s="17">
        <f t="shared" si="2"/>
        <v>0.99999999999999989</v>
      </c>
      <c r="Z10" s="17">
        <f t="shared" si="2"/>
        <v>1.7142857142857144</v>
      </c>
      <c r="AA10" s="17">
        <f t="shared" si="2"/>
        <v>0.42857142857142855</v>
      </c>
      <c r="AB10" s="17">
        <f t="shared" si="2"/>
        <v>0.14285714285714285</v>
      </c>
      <c r="AC10" s="17">
        <f t="shared" si="2"/>
        <v>19.428571428571431</v>
      </c>
      <c r="AD10" s="17">
        <f t="shared" si="2"/>
        <v>0</v>
      </c>
      <c r="AE10" s="31">
        <f t="shared" si="2"/>
        <v>24</v>
      </c>
      <c r="AF10" s="31">
        <f t="shared" si="2"/>
        <v>43.428571428571431</v>
      </c>
    </row>
    <row r="11" spans="2:32" s="6" customFormat="1" ht="23.1" customHeight="1" x14ac:dyDescent="0.25">
      <c r="B11" s="23" t="s">
        <v>38</v>
      </c>
      <c r="C11" s="49">
        <f>AVERAGE('25.10 Mbarara-Ibanda'!C11,'26.10 Mbarara-Ibanda-24hr'!C11,'27.10 Mbarara-Ibanda'!C11,'28.10 Mbarara-Ibanda-24hr'!C11,'29.10 Mbarara-Ibanda'!C11,'30.10 Mbarara-Ibanda'!C11,'31.10 Mbarara-Ibanda'!C11)</f>
        <v>2.5714285714285716</v>
      </c>
      <c r="D11" s="49">
        <f>AVERAGE('25.10 Mbarara-Ibanda'!D11,'26.10 Mbarara-Ibanda-24hr'!D11,'27.10 Mbarara-Ibanda'!D11,'28.10 Mbarara-Ibanda-24hr'!D11,'29.10 Mbarara-Ibanda'!D11,'30.10 Mbarara-Ibanda'!D11,'31.10 Mbarara-Ibanda'!D11)</f>
        <v>0.14285714285714285</v>
      </c>
      <c r="E11" s="49">
        <f>AVERAGE('25.10 Mbarara-Ibanda'!E11,'26.10 Mbarara-Ibanda-24hr'!E11,'27.10 Mbarara-Ibanda'!E11,'28.10 Mbarara-Ibanda-24hr'!E11,'29.10 Mbarara-Ibanda'!E11,'30.10 Mbarara-Ibanda'!E11,'31.10 Mbarara-Ibanda'!E11)</f>
        <v>0</v>
      </c>
      <c r="F11" s="49">
        <f>AVERAGE('25.10 Mbarara-Ibanda'!F11,'26.10 Mbarara-Ibanda-24hr'!F11,'27.10 Mbarara-Ibanda'!F11,'28.10 Mbarara-Ibanda-24hr'!F11,'29.10 Mbarara-Ibanda'!F11,'30.10 Mbarara-Ibanda'!F11,'31.10 Mbarara-Ibanda'!F11)</f>
        <v>0.8571428571428571</v>
      </c>
      <c r="G11" s="49">
        <f>AVERAGE('25.10 Mbarara-Ibanda'!G11,'26.10 Mbarara-Ibanda-24hr'!G11,'27.10 Mbarara-Ibanda'!G11,'28.10 Mbarara-Ibanda-24hr'!G11,'29.10 Mbarara-Ibanda'!G11,'30.10 Mbarara-Ibanda'!G11,'31.10 Mbarara-Ibanda'!G11)</f>
        <v>0</v>
      </c>
      <c r="H11" s="49">
        <f>AVERAGE('25.10 Mbarara-Ibanda'!H11,'26.10 Mbarara-Ibanda-24hr'!H11,'27.10 Mbarara-Ibanda'!H11,'28.10 Mbarara-Ibanda-24hr'!H11,'29.10 Mbarara-Ibanda'!H11,'30.10 Mbarara-Ibanda'!H11,'31.10 Mbarara-Ibanda'!H11)</f>
        <v>0</v>
      </c>
      <c r="I11" s="49">
        <f>AVERAGE('25.10 Mbarara-Ibanda'!I11,'26.10 Mbarara-Ibanda-24hr'!I11,'27.10 Mbarara-Ibanda'!I11,'28.10 Mbarara-Ibanda-24hr'!I11,'29.10 Mbarara-Ibanda'!I11,'30.10 Mbarara-Ibanda'!I11,'31.10 Mbarara-Ibanda'!I11)</f>
        <v>0.42857142857142855</v>
      </c>
      <c r="J11" s="49">
        <f>AVERAGE('25.10 Mbarara-Ibanda'!J11,'26.10 Mbarara-Ibanda-24hr'!J11,'27.10 Mbarara-Ibanda'!J11,'28.10 Mbarara-Ibanda-24hr'!J11,'29.10 Mbarara-Ibanda'!J11,'30.10 Mbarara-Ibanda'!J11,'31.10 Mbarara-Ibanda'!J11)</f>
        <v>0.8571428571428571</v>
      </c>
      <c r="K11" s="49">
        <f>AVERAGE('25.10 Mbarara-Ibanda'!K11,'26.10 Mbarara-Ibanda-24hr'!K11,'27.10 Mbarara-Ibanda'!K11,'28.10 Mbarara-Ibanda-24hr'!K11,'29.10 Mbarara-Ibanda'!K11,'30.10 Mbarara-Ibanda'!K11,'31.10 Mbarara-Ibanda'!K11)</f>
        <v>0</v>
      </c>
      <c r="L11" s="49">
        <f>AVERAGE('25.10 Mbarara-Ibanda'!L11,'26.10 Mbarara-Ibanda-24hr'!L11,'27.10 Mbarara-Ibanda'!L11,'28.10 Mbarara-Ibanda-24hr'!L11,'29.10 Mbarara-Ibanda'!L11,'30.10 Mbarara-Ibanda'!L11,'31.10 Mbarara-Ibanda'!L11)</f>
        <v>0</v>
      </c>
      <c r="M11" s="49">
        <f>AVERAGE('25.10 Mbarara-Ibanda'!M11,'26.10 Mbarara-Ibanda-24hr'!M11,'27.10 Mbarara-Ibanda'!M11,'28.10 Mbarara-Ibanda-24hr'!M11,'29.10 Mbarara-Ibanda'!M11,'30.10 Mbarara-Ibanda'!M11,'31.10 Mbarara-Ibanda'!M11)</f>
        <v>5.4285714285714288</v>
      </c>
      <c r="N11" s="49">
        <f>AVERAGE('25.10 Mbarara-Ibanda'!N11,'26.10 Mbarara-Ibanda-24hr'!N11,'27.10 Mbarara-Ibanda'!N11,'28.10 Mbarara-Ibanda-24hr'!N11,'29.10 Mbarara-Ibanda'!N11,'30.10 Mbarara-Ibanda'!N11,'31.10 Mbarara-Ibanda'!N11)</f>
        <v>0</v>
      </c>
      <c r="O11" s="15">
        <f t="shared" si="0"/>
        <v>4.8571428571428568</v>
      </c>
      <c r="P11" s="15">
        <f t="shared" si="1"/>
        <v>10.285714285714285</v>
      </c>
      <c r="R11" s="1" t="s">
        <v>7</v>
      </c>
      <c r="S11" s="17">
        <f t="shared" ref="S11:AF11" si="3">SUM(C14:C17)</f>
        <v>21.571428571428569</v>
      </c>
      <c r="T11" s="17">
        <f t="shared" si="3"/>
        <v>3.8571428571428568</v>
      </c>
      <c r="U11" s="17">
        <f t="shared" si="3"/>
        <v>1.7142857142857144</v>
      </c>
      <c r="V11" s="17">
        <f t="shared" si="3"/>
        <v>5.1428571428571423</v>
      </c>
      <c r="W11" s="17">
        <f t="shared" si="3"/>
        <v>0.42857142857142855</v>
      </c>
      <c r="X11" s="17">
        <f t="shared" si="3"/>
        <v>0</v>
      </c>
      <c r="Y11" s="17">
        <f t="shared" si="3"/>
        <v>0.71428571428571419</v>
      </c>
      <c r="Z11" s="17">
        <f t="shared" si="3"/>
        <v>2.2857142857142856</v>
      </c>
      <c r="AA11" s="17">
        <f t="shared" si="3"/>
        <v>1.1428571428571428</v>
      </c>
      <c r="AB11" s="17">
        <f t="shared" si="3"/>
        <v>0.2857142857142857</v>
      </c>
      <c r="AC11" s="17">
        <f t="shared" si="3"/>
        <v>34</v>
      </c>
      <c r="AD11" s="17">
        <f t="shared" si="3"/>
        <v>0</v>
      </c>
      <c r="AE11" s="31">
        <f t="shared" si="3"/>
        <v>37.142857142857139</v>
      </c>
      <c r="AF11" s="31">
        <f t="shared" si="3"/>
        <v>71.142857142857139</v>
      </c>
    </row>
    <row r="12" spans="2:32" ht="23.1" customHeight="1" x14ac:dyDescent="0.25">
      <c r="B12" s="23" t="s">
        <v>39</v>
      </c>
      <c r="C12" s="49">
        <f>AVERAGE('25.10 Mbarara-Ibanda'!C12,'26.10 Mbarara-Ibanda-24hr'!C12,'27.10 Mbarara-Ibanda'!C12,'28.10 Mbarara-Ibanda-24hr'!C12,'29.10 Mbarara-Ibanda'!C12,'30.10 Mbarara-Ibanda'!C12,'31.10 Mbarara-Ibanda'!C12)</f>
        <v>4.7142857142857144</v>
      </c>
      <c r="D12" s="49">
        <f>AVERAGE('25.10 Mbarara-Ibanda'!D12,'26.10 Mbarara-Ibanda-24hr'!D12,'27.10 Mbarara-Ibanda'!D12,'28.10 Mbarara-Ibanda-24hr'!D12,'29.10 Mbarara-Ibanda'!D12,'30.10 Mbarara-Ibanda'!D12,'31.10 Mbarara-Ibanda'!D12)</f>
        <v>0.7142857142857143</v>
      </c>
      <c r="E12" s="49">
        <f>AVERAGE('25.10 Mbarara-Ibanda'!E12,'26.10 Mbarara-Ibanda-24hr'!E12,'27.10 Mbarara-Ibanda'!E12,'28.10 Mbarara-Ibanda-24hr'!E12,'29.10 Mbarara-Ibanda'!E12,'30.10 Mbarara-Ibanda'!E12,'31.10 Mbarara-Ibanda'!E12)</f>
        <v>0.14285714285714285</v>
      </c>
      <c r="F12" s="49">
        <f>AVERAGE('25.10 Mbarara-Ibanda'!F12,'26.10 Mbarara-Ibanda-24hr'!F12,'27.10 Mbarara-Ibanda'!F12,'28.10 Mbarara-Ibanda-24hr'!F12,'29.10 Mbarara-Ibanda'!F12,'30.10 Mbarara-Ibanda'!F12,'31.10 Mbarara-Ibanda'!F12)</f>
        <v>1.2857142857142858</v>
      </c>
      <c r="G12" s="49">
        <f>AVERAGE('25.10 Mbarara-Ibanda'!G12,'26.10 Mbarara-Ibanda-24hr'!G12,'27.10 Mbarara-Ibanda'!G12,'28.10 Mbarara-Ibanda-24hr'!G12,'29.10 Mbarara-Ibanda'!G12,'30.10 Mbarara-Ibanda'!G12,'31.10 Mbarara-Ibanda'!G12)</f>
        <v>0</v>
      </c>
      <c r="H12" s="49">
        <f>AVERAGE('25.10 Mbarara-Ibanda'!H12,'26.10 Mbarara-Ibanda-24hr'!H12,'27.10 Mbarara-Ibanda'!H12,'28.10 Mbarara-Ibanda-24hr'!H12,'29.10 Mbarara-Ibanda'!H12,'30.10 Mbarara-Ibanda'!H12,'31.10 Mbarara-Ibanda'!H12)</f>
        <v>0</v>
      </c>
      <c r="I12" s="49">
        <f>AVERAGE('25.10 Mbarara-Ibanda'!I12,'26.10 Mbarara-Ibanda-24hr'!I12,'27.10 Mbarara-Ibanda'!I12,'28.10 Mbarara-Ibanda-24hr'!I12,'29.10 Mbarara-Ibanda'!I12,'30.10 Mbarara-Ibanda'!I12,'31.10 Mbarara-Ibanda'!I12)</f>
        <v>0.14285714285714285</v>
      </c>
      <c r="J12" s="49">
        <f>AVERAGE('25.10 Mbarara-Ibanda'!J12,'26.10 Mbarara-Ibanda-24hr'!J12,'27.10 Mbarara-Ibanda'!J12,'28.10 Mbarara-Ibanda-24hr'!J12,'29.10 Mbarara-Ibanda'!J12,'30.10 Mbarara-Ibanda'!J12,'31.10 Mbarara-Ibanda'!J12)</f>
        <v>0.42857142857142855</v>
      </c>
      <c r="K12" s="49">
        <f>AVERAGE('25.10 Mbarara-Ibanda'!K12,'26.10 Mbarara-Ibanda-24hr'!K12,'27.10 Mbarara-Ibanda'!K12,'28.10 Mbarara-Ibanda-24hr'!K12,'29.10 Mbarara-Ibanda'!K12,'30.10 Mbarara-Ibanda'!K12,'31.10 Mbarara-Ibanda'!K12)</f>
        <v>0.42857142857142855</v>
      </c>
      <c r="L12" s="49">
        <f>AVERAGE('25.10 Mbarara-Ibanda'!L12,'26.10 Mbarara-Ibanda-24hr'!L12,'27.10 Mbarara-Ibanda'!L12,'28.10 Mbarara-Ibanda-24hr'!L12,'29.10 Mbarara-Ibanda'!L12,'30.10 Mbarara-Ibanda'!L12,'31.10 Mbarara-Ibanda'!L12)</f>
        <v>0.14285714285714285</v>
      </c>
      <c r="M12" s="49">
        <f>AVERAGE('25.10 Mbarara-Ibanda'!M12,'26.10 Mbarara-Ibanda-24hr'!M12,'27.10 Mbarara-Ibanda'!M12,'28.10 Mbarara-Ibanda-24hr'!M12,'29.10 Mbarara-Ibanda'!M12,'30.10 Mbarara-Ibanda'!M12,'31.10 Mbarara-Ibanda'!M12)</f>
        <v>5</v>
      </c>
      <c r="N12" s="49">
        <f>AVERAGE('25.10 Mbarara-Ibanda'!N12,'26.10 Mbarara-Ibanda-24hr'!N12,'27.10 Mbarara-Ibanda'!N12,'28.10 Mbarara-Ibanda-24hr'!N12,'29.10 Mbarara-Ibanda'!N12,'30.10 Mbarara-Ibanda'!N12,'31.10 Mbarara-Ibanda'!N12)</f>
        <v>0</v>
      </c>
      <c r="O12" s="15">
        <f t="shared" si="0"/>
        <v>8.0000000000000018</v>
      </c>
      <c r="P12" s="15">
        <f t="shared" si="1"/>
        <v>13.000000000000002</v>
      </c>
      <c r="R12" s="1" t="s">
        <v>8</v>
      </c>
      <c r="S12" s="17">
        <f t="shared" ref="S12:AF12" si="4">SUM(C18:C21)</f>
        <v>20.857142857142854</v>
      </c>
      <c r="T12" s="17">
        <f t="shared" si="4"/>
        <v>1.5714285714285714</v>
      </c>
      <c r="U12" s="17">
        <f t="shared" si="4"/>
        <v>2.4285714285714284</v>
      </c>
      <c r="V12" s="17">
        <f t="shared" si="4"/>
        <v>4.4285714285714288</v>
      </c>
      <c r="W12" s="17">
        <f t="shared" si="4"/>
        <v>0</v>
      </c>
      <c r="X12" s="17">
        <f t="shared" si="4"/>
        <v>0.14285714285714285</v>
      </c>
      <c r="Y12" s="17">
        <f t="shared" si="4"/>
        <v>1.857142857142857</v>
      </c>
      <c r="Z12" s="17">
        <f t="shared" si="4"/>
        <v>1.1428571428571428</v>
      </c>
      <c r="AA12" s="17">
        <f t="shared" si="4"/>
        <v>0.8571428571428571</v>
      </c>
      <c r="AB12" s="17">
        <f t="shared" si="4"/>
        <v>0.8571428571428571</v>
      </c>
      <c r="AC12" s="17">
        <f t="shared" si="4"/>
        <v>39.714285714285708</v>
      </c>
      <c r="AD12" s="17">
        <f t="shared" si="4"/>
        <v>0</v>
      </c>
      <c r="AE12" s="31">
        <f t="shared" si="4"/>
        <v>34.142857142857153</v>
      </c>
      <c r="AF12" s="31">
        <f t="shared" si="4"/>
        <v>73.857142857142861</v>
      </c>
    </row>
    <row r="13" spans="2:32" ht="23.1" customHeight="1" x14ac:dyDescent="0.25">
      <c r="B13" s="23" t="s">
        <v>40</v>
      </c>
      <c r="C13" s="49">
        <f>AVERAGE('25.10 Mbarara-Ibanda'!C13,'26.10 Mbarara-Ibanda-24hr'!C13,'27.10 Mbarara-Ibanda'!C13,'28.10 Mbarara-Ibanda-24hr'!C13,'29.10 Mbarara-Ibanda'!C13,'30.10 Mbarara-Ibanda'!C13,'31.10 Mbarara-Ibanda'!C13)</f>
        <v>4.4285714285714288</v>
      </c>
      <c r="D13" s="49">
        <f>AVERAGE('25.10 Mbarara-Ibanda'!D13,'26.10 Mbarara-Ibanda-24hr'!D13,'27.10 Mbarara-Ibanda'!D13,'28.10 Mbarara-Ibanda-24hr'!D13,'29.10 Mbarara-Ibanda'!D13,'30.10 Mbarara-Ibanda'!D13,'31.10 Mbarara-Ibanda'!D13)</f>
        <v>1.1428571428571428</v>
      </c>
      <c r="E13" s="49">
        <f>AVERAGE('25.10 Mbarara-Ibanda'!E13,'26.10 Mbarara-Ibanda-24hr'!E13,'27.10 Mbarara-Ibanda'!E13,'28.10 Mbarara-Ibanda-24hr'!E13,'29.10 Mbarara-Ibanda'!E13,'30.10 Mbarara-Ibanda'!E13,'31.10 Mbarara-Ibanda'!E13)</f>
        <v>0.42857142857142855</v>
      </c>
      <c r="F13" s="49">
        <f>AVERAGE('25.10 Mbarara-Ibanda'!F13,'26.10 Mbarara-Ibanda-24hr'!F13,'27.10 Mbarara-Ibanda'!F13,'28.10 Mbarara-Ibanda-24hr'!F13,'29.10 Mbarara-Ibanda'!F13,'30.10 Mbarara-Ibanda'!F13,'31.10 Mbarara-Ibanda'!F13)</f>
        <v>0.42857142857142855</v>
      </c>
      <c r="G13" s="49">
        <f>AVERAGE('25.10 Mbarara-Ibanda'!G13,'26.10 Mbarara-Ibanda-24hr'!G13,'27.10 Mbarara-Ibanda'!G13,'28.10 Mbarara-Ibanda-24hr'!G13,'29.10 Mbarara-Ibanda'!G13,'30.10 Mbarara-Ibanda'!G13,'31.10 Mbarara-Ibanda'!G13)</f>
        <v>0</v>
      </c>
      <c r="H13" s="49">
        <f>AVERAGE('25.10 Mbarara-Ibanda'!H13,'26.10 Mbarara-Ibanda-24hr'!H13,'27.10 Mbarara-Ibanda'!H13,'28.10 Mbarara-Ibanda-24hr'!H13,'29.10 Mbarara-Ibanda'!H13,'30.10 Mbarara-Ibanda'!H13,'31.10 Mbarara-Ibanda'!H13)</f>
        <v>0.14285714285714285</v>
      </c>
      <c r="I13" s="49">
        <f>AVERAGE('25.10 Mbarara-Ibanda'!I13,'26.10 Mbarara-Ibanda-24hr'!I13,'27.10 Mbarara-Ibanda'!I13,'28.10 Mbarara-Ibanda-24hr'!I13,'29.10 Mbarara-Ibanda'!I13,'30.10 Mbarara-Ibanda'!I13,'31.10 Mbarara-Ibanda'!I13)</f>
        <v>0.2857142857142857</v>
      </c>
      <c r="J13" s="49">
        <f>AVERAGE('25.10 Mbarara-Ibanda'!J13,'26.10 Mbarara-Ibanda-24hr'!J13,'27.10 Mbarara-Ibanda'!J13,'28.10 Mbarara-Ibanda-24hr'!J13,'29.10 Mbarara-Ibanda'!J13,'30.10 Mbarara-Ibanda'!J13,'31.10 Mbarara-Ibanda'!J13)</f>
        <v>0.2857142857142857</v>
      </c>
      <c r="K13" s="49">
        <f>AVERAGE('25.10 Mbarara-Ibanda'!K13,'26.10 Mbarara-Ibanda-24hr'!K13,'27.10 Mbarara-Ibanda'!K13,'28.10 Mbarara-Ibanda-24hr'!K13,'29.10 Mbarara-Ibanda'!K13,'30.10 Mbarara-Ibanda'!K13,'31.10 Mbarara-Ibanda'!K13)</f>
        <v>0</v>
      </c>
      <c r="L13" s="49">
        <f>AVERAGE('25.10 Mbarara-Ibanda'!L13,'26.10 Mbarara-Ibanda-24hr'!L13,'27.10 Mbarara-Ibanda'!L13,'28.10 Mbarara-Ibanda-24hr'!L13,'29.10 Mbarara-Ibanda'!L13,'30.10 Mbarara-Ibanda'!L13,'31.10 Mbarara-Ibanda'!L13)</f>
        <v>0</v>
      </c>
      <c r="M13" s="49">
        <f>AVERAGE('25.10 Mbarara-Ibanda'!M13,'26.10 Mbarara-Ibanda-24hr'!M13,'27.10 Mbarara-Ibanda'!M13,'28.10 Mbarara-Ibanda-24hr'!M13,'29.10 Mbarara-Ibanda'!M13,'30.10 Mbarara-Ibanda'!M13,'31.10 Mbarara-Ibanda'!M13)</f>
        <v>5</v>
      </c>
      <c r="N13" s="49">
        <f>AVERAGE('25.10 Mbarara-Ibanda'!N13,'26.10 Mbarara-Ibanda-24hr'!N13,'27.10 Mbarara-Ibanda'!N13,'28.10 Mbarara-Ibanda-24hr'!N13,'29.10 Mbarara-Ibanda'!N13,'30.10 Mbarara-Ibanda'!N13,'31.10 Mbarara-Ibanda'!N13)</f>
        <v>0</v>
      </c>
      <c r="O13" s="15">
        <f t="shared" si="0"/>
        <v>7.1428571428571432</v>
      </c>
      <c r="P13" s="15">
        <f t="shared" si="1"/>
        <v>12.142857142857142</v>
      </c>
      <c r="R13" s="1" t="s">
        <v>9</v>
      </c>
      <c r="S13" s="17">
        <f t="shared" ref="S13:AF13" si="5">SUM(C22:C25)</f>
        <v>27</v>
      </c>
      <c r="T13" s="17">
        <f t="shared" si="5"/>
        <v>2.4285714285714284</v>
      </c>
      <c r="U13" s="17">
        <f t="shared" si="5"/>
        <v>4.8571428571428577</v>
      </c>
      <c r="V13" s="17">
        <f t="shared" si="5"/>
        <v>4.1428571428571423</v>
      </c>
      <c r="W13" s="17">
        <f t="shared" si="5"/>
        <v>0.2857142857142857</v>
      </c>
      <c r="X13" s="17">
        <f t="shared" si="5"/>
        <v>0.14285714285714285</v>
      </c>
      <c r="Y13" s="17">
        <f t="shared" si="5"/>
        <v>3.2857142857142856</v>
      </c>
      <c r="Z13" s="17">
        <f t="shared" si="5"/>
        <v>2.2857142857142856</v>
      </c>
      <c r="AA13" s="17">
        <f t="shared" si="5"/>
        <v>0.99999999999999989</v>
      </c>
      <c r="AB13" s="17">
        <f t="shared" si="5"/>
        <v>0.5714285714285714</v>
      </c>
      <c r="AC13" s="17">
        <f t="shared" si="5"/>
        <v>36.285714285714285</v>
      </c>
      <c r="AD13" s="17">
        <f t="shared" si="5"/>
        <v>0</v>
      </c>
      <c r="AE13" s="31">
        <f t="shared" si="5"/>
        <v>46</v>
      </c>
      <c r="AF13" s="31">
        <f t="shared" si="5"/>
        <v>82.285714285714278</v>
      </c>
    </row>
    <row r="14" spans="2:32" ht="23.1" customHeight="1" x14ac:dyDescent="0.25">
      <c r="B14" s="23" t="s">
        <v>41</v>
      </c>
      <c r="C14" s="49">
        <f>AVERAGE('25.10 Mbarara-Ibanda'!C14,'26.10 Mbarara-Ibanda-24hr'!C14,'27.10 Mbarara-Ibanda'!C14,'28.10 Mbarara-Ibanda-24hr'!C14,'29.10 Mbarara-Ibanda'!C14,'30.10 Mbarara-Ibanda'!C14,'31.10 Mbarara-Ibanda'!C14)</f>
        <v>3.1428571428571428</v>
      </c>
      <c r="D14" s="49">
        <f>AVERAGE('25.10 Mbarara-Ibanda'!D14,'26.10 Mbarara-Ibanda-24hr'!D14,'27.10 Mbarara-Ibanda'!D14,'28.10 Mbarara-Ibanda-24hr'!D14,'29.10 Mbarara-Ibanda'!D14,'30.10 Mbarara-Ibanda'!D14,'31.10 Mbarara-Ibanda'!D14)</f>
        <v>0.8571428571428571</v>
      </c>
      <c r="E14" s="49">
        <f>AVERAGE('25.10 Mbarara-Ibanda'!E14,'26.10 Mbarara-Ibanda-24hr'!E14,'27.10 Mbarara-Ibanda'!E14,'28.10 Mbarara-Ibanda-24hr'!E14,'29.10 Mbarara-Ibanda'!E14,'30.10 Mbarara-Ibanda'!E14,'31.10 Mbarara-Ibanda'!E14)</f>
        <v>0.14285714285714285</v>
      </c>
      <c r="F14" s="49">
        <f>AVERAGE('25.10 Mbarara-Ibanda'!F14,'26.10 Mbarara-Ibanda-24hr'!F14,'27.10 Mbarara-Ibanda'!F14,'28.10 Mbarara-Ibanda-24hr'!F14,'29.10 Mbarara-Ibanda'!F14,'30.10 Mbarara-Ibanda'!F14,'31.10 Mbarara-Ibanda'!F14)</f>
        <v>1</v>
      </c>
      <c r="G14" s="49">
        <f>AVERAGE('25.10 Mbarara-Ibanda'!G14,'26.10 Mbarara-Ibanda-24hr'!G14,'27.10 Mbarara-Ibanda'!G14,'28.10 Mbarara-Ibanda-24hr'!G14,'29.10 Mbarara-Ibanda'!G14,'30.10 Mbarara-Ibanda'!G14,'31.10 Mbarara-Ibanda'!G14)</f>
        <v>0</v>
      </c>
      <c r="H14" s="49">
        <f>AVERAGE('25.10 Mbarara-Ibanda'!H14,'26.10 Mbarara-Ibanda-24hr'!H14,'27.10 Mbarara-Ibanda'!H14,'28.10 Mbarara-Ibanda-24hr'!H14,'29.10 Mbarara-Ibanda'!H14,'30.10 Mbarara-Ibanda'!H14,'31.10 Mbarara-Ibanda'!H14)</f>
        <v>0</v>
      </c>
      <c r="I14" s="49">
        <f>AVERAGE('25.10 Mbarara-Ibanda'!I14,'26.10 Mbarara-Ibanda-24hr'!I14,'27.10 Mbarara-Ibanda'!I14,'28.10 Mbarara-Ibanda-24hr'!I14,'29.10 Mbarara-Ibanda'!I14,'30.10 Mbarara-Ibanda'!I14,'31.10 Mbarara-Ibanda'!I14)</f>
        <v>0.14285714285714285</v>
      </c>
      <c r="J14" s="49">
        <f>AVERAGE('25.10 Mbarara-Ibanda'!J14,'26.10 Mbarara-Ibanda-24hr'!J14,'27.10 Mbarara-Ibanda'!J14,'28.10 Mbarara-Ibanda-24hr'!J14,'29.10 Mbarara-Ibanda'!J14,'30.10 Mbarara-Ibanda'!J14,'31.10 Mbarara-Ibanda'!J14)</f>
        <v>0.5714285714285714</v>
      </c>
      <c r="K14" s="49">
        <f>AVERAGE('25.10 Mbarara-Ibanda'!K14,'26.10 Mbarara-Ibanda-24hr'!K14,'27.10 Mbarara-Ibanda'!K14,'28.10 Mbarara-Ibanda-24hr'!K14,'29.10 Mbarara-Ibanda'!K14,'30.10 Mbarara-Ibanda'!K14,'31.10 Mbarara-Ibanda'!K14)</f>
        <v>0.42857142857142855</v>
      </c>
      <c r="L14" s="49">
        <f>AVERAGE('25.10 Mbarara-Ibanda'!L14,'26.10 Mbarara-Ibanda-24hr'!L14,'27.10 Mbarara-Ibanda'!L14,'28.10 Mbarara-Ibanda-24hr'!L14,'29.10 Mbarara-Ibanda'!L14,'30.10 Mbarara-Ibanda'!L14,'31.10 Mbarara-Ibanda'!L14)</f>
        <v>0.2857142857142857</v>
      </c>
      <c r="M14" s="49">
        <f>AVERAGE('25.10 Mbarara-Ibanda'!M14,'26.10 Mbarara-Ibanda-24hr'!M14,'27.10 Mbarara-Ibanda'!M14,'28.10 Mbarara-Ibanda-24hr'!M14,'29.10 Mbarara-Ibanda'!M14,'30.10 Mbarara-Ibanda'!M14,'31.10 Mbarara-Ibanda'!M14)</f>
        <v>9.4285714285714288</v>
      </c>
      <c r="N14" s="49">
        <f>AVERAGE('25.10 Mbarara-Ibanda'!N14,'26.10 Mbarara-Ibanda-24hr'!N14,'27.10 Mbarara-Ibanda'!N14,'28.10 Mbarara-Ibanda-24hr'!N14,'29.10 Mbarara-Ibanda'!N14,'30.10 Mbarara-Ibanda'!N14,'31.10 Mbarara-Ibanda'!N14)</f>
        <v>0</v>
      </c>
      <c r="O14" s="15">
        <f t="shared" si="0"/>
        <v>6.5714285714285721</v>
      </c>
      <c r="P14" s="15">
        <f t="shared" si="1"/>
        <v>16</v>
      </c>
      <c r="R14" s="1" t="s">
        <v>10</v>
      </c>
      <c r="S14" s="17">
        <f t="shared" ref="S14:AF14" si="6">SUM(C26:C29)</f>
        <v>27.857142857142858</v>
      </c>
      <c r="T14" s="17">
        <f t="shared" si="6"/>
        <v>2.8571428571428568</v>
      </c>
      <c r="U14" s="17">
        <f t="shared" si="6"/>
        <v>3.8571428571428572</v>
      </c>
      <c r="V14" s="17">
        <f t="shared" si="6"/>
        <v>6</v>
      </c>
      <c r="W14" s="17">
        <f t="shared" si="6"/>
        <v>0.14285714285714285</v>
      </c>
      <c r="X14" s="17">
        <f t="shared" si="6"/>
        <v>0</v>
      </c>
      <c r="Y14" s="17">
        <f t="shared" si="6"/>
        <v>1.8571428571428572</v>
      </c>
      <c r="Z14" s="17">
        <f t="shared" si="6"/>
        <v>2.8571428571428568</v>
      </c>
      <c r="AA14" s="17">
        <f t="shared" si="6"/>
        <v>1</v>
      </c>
      <c r="AB14" s="17">
        <f t="shared" si="6"/>
        <v>0.85714285714285698</v>
      </c>
      <c r="AC14" s="17">
        <f t="shared" si="6"/>
        <v>31.857142857142854</v>
      </c>
      <c r="AD14" s="17">
        <f t="shared" si="6"/>
        <v>1.4285714285714286</v>
      </c>
      <c r="AE14" s="31">
        <f t="shared" si="6"/>
        <v>48.714285714285715</v>
      </c>
      <c r="AF14" s="31">
        <f t="shared" si="6"/>
        <v>80.571428571428569</v>
      </c>
    </row>
    <row r="15" spans="2:32" ht="23.1" customHeight="1" x14ac:dyDescent="0.25">
      <c r="B15" s="23" t="s">
        <v>42</v>
      </c>
      <c r="C15" s="49">
        <f>AVERAGE('25.10 Mbarara-Ibanda'!C15,'26.10 Mbarara-Ibanda-24hr'!C15,'27.10 Mbarara-Ibanda'!C15,'28.10 Mbarara-Ibanda-24hr'!C15,'29.10 Mbarara-Ibanda'!C15,'30.10 Mbarara-Ibanda'!C15,'31.10 Mbarara-Ibanda'!C15)</f>
        <v>4.2857142857142856</v>
      </c>
      <c r="D15" s="49">
        <f>AVERAGE('25.10 Mbarara-Ibanda'!D15,'26.10 Mbarara-Ibanda-24hr'!D15,'27.10 Mbarara-Ibanda'!D15,'28.10 Mbarara-Ibanda-24hr'!D15,'29.10 Mbarara-Ibanda'!D15,'30.10 Mbarara-Ibanda'!D15,'31.10 Mbarara-Ibanda'!D15)</f>
        <v>1.2857142857142858</v>
      </c>
      <c r="E15" s="49">
        <f>AVERAGE('25.10 Mbarara-Ibanda'!E15,'26.10 Mbarara-Ibanda-24hr'!E15,'27.10 Mbarara-Ibanda'!E15,'28.10 Mbarara-Ibanda-24hr'!E15,'29.10 Mbarara-Ibanda'!E15,'30.10 Mbarara-Ibanda'!E15,'31.10 Mbarara-Ibanda'!E15)</f>
        <v>0.7142857142857143</v>
      </c>
      <c r="F15" s="49">
        <f>AVERAGE('25.10 Mbarara-Ibanda'!F15,'26.10 Mbarara-Ibanda-24hr'!F15,'27.10 Mbarara-Ibanda'!F15,'28.10 Mbarara-Ibanda-24hr'!F15,'29.10 Mbarara-Ibanda'!F15,'30.10 Mbarara-Ibanda'!F15,'31.10 Mbarara-Ibanda'!F15)</f>
        <v>1.2857142857142858</v>
      </c>
      <c r="G15" s="49">
        <f>AVERAGE('25.10 Mbarara-Ibanda'!G15,'26.10 Mbarara-Ibanda-24hr'!G15,'27.10 Mbarara-Ibanda'!G15,'28.10 Mbarara-Ibanda-24hr'!G15,'29.10 Mbarara-Ibanda'!G15,'30.10 Mbarara-Ibanda'!G15,'31.10 Mbarara-Ibanda'!G15)</f>
        <v>0.2857142857142857</v>
      </c>
      <c r="H15" s="49">
        <f>AVERAGE('25.10 Mbarara-Ibanda'!H15,'26.10 Mbarara-Ibanda-24hr'!H15,'27.10 Mbarara-Ibanda'!H15,'28.10 Mbarara-Ibanda-24hr'!H15,'29.10 Mbarara-Ibanda'!H15,'30.10 Mbarara-Ibanda'!H15,'31.10 Mbarara-Ibanda'!H15)</f>
        <v>0</v>
      </c>
      <c r="I15" s="49">
        <f>AVERAGE('25.10 Mbarara-Ibanda'!I15,'26.10 Mbarara-Ibanda-24hr'!I15,'27.10 Mbarara-Ibanda'!I15,'28.10 Mbarara-Ibanda-24hr'!I15,'29.10 Mbarara-Ibanda'!I15,'30.10 Mbarara-Ibanda'!I15,'31.10 Mbarara-Ibanda'!I15)</f>
        <v>0</v>
      </c>
      <c r="J15" s="49">
        <f>AVERAGE('25.10 Mbarara-Ibanda'!J15,'26.10 Mbarara-Ibanda-24hr'!J15,'27.10 Mbarara-Ibanda'!J15,'28.10 Mbarara-Ibanda-24hr'!J15,'29.10 Mbarara-Ibanda'!J15,'30.10 Mbarara-Ibanda'!J15,'31.10 Mbarara-Ibanda'!J15)</f>
        <v>0.42857142857142855</v>
      </c>
      <c r="K15" s="49">
        <f>AVERAGE('25.10 Mbarara-Ibanda'!K15,'26.10 Mbarara-Ibanda-24hr'!K15,'27.10 Mbarara-Ibanda'!K15,'28.10 Mbarara-Ibanda-24hr'!K15,'29.10 Mbarara-Ibanda'!K15,'30.10 Mbarara-Ibanda'!K15,'31.10 Mbarara-Ibanda'!K15)</f>
        <v>0.2857142857142857</v>
      </c>
      <c r="L15" s="49">
        <f>AVERAGE('25.10 Mbarara-Ibanda'!L15,'26.10 Mbarara-Ibanda-24hr'!L15,'27.10 Mbarara-Ibanda'!L15,'28.10 Mbarara-Ibanda-24hr'!L15,'29.10 Mbarara-Ibanda'!L15,'30.10 Mbarara-Ibanda'!L15,'31.10 Mbarara-Ibanda'!L15)</f>
        <v>0</v>
      </c>
      <c r="M15" s="49">
        <f>AVERAGE('25.10 Mbarara-Ibanda'!M15,'26.10 Mbarara-Ibanda-24hr'!M15,'27.10 Mbarara-Ibanda'!M15,'28.10 Mbarara-Ibanda-24hr'!M15,'29.10 Mbarara-Ibanda'!M15,'30.10 Mbarara-Ibanda'!M15,'31.10 Mbarara-Ibanda'!M15)</f>
        <v>8.5714285714285712</v>
      </c>
      <c r="N15" s="49">
        <f>AVERAGE('25.10 Mbarara-Ibanda'!N15,'26.10 Mbarara-Ibanda-24hr'!N15,'27.10 Mbarara-Ibanda'!N15,'28.10 Mbarara-Ibanda-24hr'!N15,'29.10 Mbarara-Ibanda'!N15,'30.10 Mbarara-Ibanda'!N15,'31.10 Mbarara-Ibanda'!N15)</f>
        <v>0</v>
      </c>
      <c r="O15" s="15">
        <f t="shared" si="0"/>
        <v>8.5714285714285712</v>
      </c>
      <c r="P15" s="15">
        <f t="shared" si="1"/>
        <v>17.142857142857142</v>
      </c>
      <c r="R15" s="1" t="s">
        <v>11</v>
      </c>
      <c r="S15" s="17">
        <f t="shared" ref="S15:AF15" si="7">SUM(C30:C33)</f>
        <v>22.571428571428577</v>
      </c>
      <c r="T15" s="17">
        <f t="shared" si="7"/>
        <v>1.7142857142857142</v>
      </c>
      <c r="U15" s="17">
        <f t="shared" si="7"/>
        <v>2.714285714285714</v>
      </c>
      <c r="V15" s="17">
        <f t="shared" si="7"/>
        <v>6</v>
      </c>
      <c r="W15" s="17">
        <f t="shared" si="7"/>
        <v>0.2857142857142857</v>
      </c>
      <c r="X15" s="17">
        <f t="shared" si="7"/>
        <v>0.8571428571428571</v>
      </c>
      <c r="Y15" s="17">
        <f t="shared" si="7"/>
        <v>3</v>
      </c>
      <c r="Z15" s="17">
        <f t="shared" si="7"/>
        <v>3.5714285714285712</v>
      </c>
      <c r="AA15" s="17">
        <f t="shared" si="7"/>
        <v>0.5714285714285714</v>
      </c>
      <c r="AB15" s="17">
        <f t="shared" si="7"/>
        <v>0.8571428571428571</v>
      </c>
      <c r="AC15" s="17">
        <f t="shared" si="7"/>
        <v>34.428571428571431</v>
      </c>
      <c r="AD15" s="17">
        <f t="shared" si="7"/>
        <v>0</v>
      </c>
      <c r="AE15" s="31">
        <f t="shared" si="7"/>
        <v>42.142857142857139</v>
      </c>
      <c r="AF15" s="31">
        <f t="shared" si="7"/>
        <v>76.571428571428569</v>
      </c>
    </row>
    <row r="16" spans="2:32" ht="23.1" customHeight="1" x14ac:dyDescent="0.25">
      <c r="B16" s="23" t="s">
        <v>43</v>
      </c>
      <c r="C16" s="49">
        <f>AVERAGE('25.10 Mbarara-Ibanda'!C16,'26.10 Mbarara-Ibanda-24hr'!C16,'27.10 Mbarara-Ibanda'!C16,'28.10 Mbarara-Ibanda-24hr'!C16,'29.10 Mbarara-Ibanda'!C16,'30.10 Mbarara-Ibanda'!C16,'31.10 Mbarara-Ibanda'!C16)</f>
        <v>8.8571428571428577</v>
      </c>
      <c r="D16" s="49">
        <f>AVERAGE('25.10 Mbarara-Ibanda'!D16,'26.10 Mbarara-Ibanda-24hr'!D16,'27.10 Mbarara-Ibanda'!D16,'28.10 Mbarara-Ibanda-24hr'!D16,'29.10 Mbarara-Ibanda'!D16,'30.10 Mbarara-Ibanda'!D16,'31.10 Mbarara-Ibanda'!D16)</f>
        <v>1.1428571428571428</v>
      </c>
      <c r="E16" s="49">
        <f>AVERAGE('25.10 Mbarara-Ibanda'!E16,'26.10 Mbarara-Ibanda-24hr'!E16,'27.10 Mbarara-Ibanda'!E16,'28.10 Mbarara-Ibanda-24hr'!E16,'29.10 Mbarara-Ibanda'!E16,'30.10 Mbarara-Ibanda'!E16,'31.10 Mbarara-Ibanda'!E16)</f>
        <v>0.7142857142857143</v>
      </c>
      <c r="F16" s="49">
        <f>AVERAGE('25.10 Mbarara-Ibanda'!F16,'26.10 Mbarara-Ibanda-24hr'!F16,'27.10 Mbarara-Ibanda'!F16,'28.10 Mbarara-Ibanda-24hr'!F16,'29.10 Mbarara-Ibanda'!F16,'30.10 Mbarara-Ibanda'!F16,'31.10 Mbarara-Ibanda'!F16)</f>
        <v>0.8571428571428571</v>
      </c>
      <c r="G16" s="49">
        <f>AVERAGE('25.10 Mbarara-Ibanda'!G16,'26.10 Mbarara-Ibanda-24hr'!G16,'27.10 Mbarara-Ibanda'!G16,'28.10 Mbarara-Ibanda-24hr'!G16,'29.10 Mbarara-Ibanda'!G16,'30.10 Mbarara-Ibanda'!G16,'31.10 Mbarara-Ibanda'!G16)</f>
        <v>0.14285714285714285</v>
      </c>
      <c r="H16" s="49">
        <f>AVERAGE('25.10 Mbarara-Ibanda'!H16,'26.10 Mbarara-Ibanda-24hr'!H16,'27.10 Mbarara-Ibanda'!H16,'28.10 Mbarara-Ibanda-24hr'!H16,'29.10 Mbarara-Ibanda'!H16,'30.10 Mbarara-Ibanda'!H16,'31.10 Mbarara-Ibanda'!H16)</f>
        <v>0</v>
      </c>
      <c r="I16" s="49">
        <f>AVERAGE('25.10 Mbarara-Ibanda'!I16,'26.10 Mbarara-Ibanda-24hr'!I16,'27.10 Mbarara-Ibanda'!I16,'28.10 Mbarara-Ibanda-24hr'!I16,'29.10 Mbarara-Ibanda'!I16,'30.10 Mbarara-Ibanda'!I16,'31.10 Mbarara-Ibanda'!I16)</f>
        <v>0.5714285714285714</v>
      </c>
      <c r="J16" s="49">
        <f>AVERAGE('25.10 Mbarara-Ibanda'!J16,'26.10 Mbarara-Ibanda-24hr'!J16,'27.10 Mbarara-Ibanda'!J16,'28.10 Mbarara-Ibanda-24hr'!J16,'29.10 Mbarara-Ibanda'!J16,'30.10 Mbarara-Ibanda'!J16,'31.10 Mbarara-Ibanda'!J16)</f>
        <v>0.8571428571428571</v>
      </c>
      <c r="K16" s="49">
        <f>AVERAGE('25.10 Mbarara-Ibanda'!K16,'26.10 Mbarara-Ibanda-24hr'!K16,'27.10 Mbarara-Ibanda'!K16,'28.10 Mbarara-Ibanda-24hr'!K16,'29.10 Mbarara-Ibanda'!K16,'30.10 Mbarara-Ibanda'!K16,'31.10 Mbarara-Ibanda'!K16)</f>
        <v>0.14285714285714285</v>
      </c>
      <c r="L16" s="49">
        <f>AVERAGE('25.10 Mbarara-Ibanda'!L16,'26.10 Mbarara-Ibanda-24hr'!L16,'27.10 Mbarara-Ibanda'!L16,'28.10 Mbarara-Ibanda-24hr'!L16,'29.10 Mbarara-Ibanda'!L16,'30.10 Mbarara-Ibanda'!L16,'31.10 Mbarara-Ibanda'!L16)</f>
        <v>0</v>
      </c>
      <c r="M16" s="49">
        <f>AVERAGE('25.10 Mbarara-Ibanda'!M16,'26.10 Mbarara-Ibanda-24hr'!M16,'27.10 Mbarara-Ibanda'!M16,'28.10 Mbarara-Ibanda-24hr'!M16,'29.10 Mbarara-Ibanda'!M16,'30.10 Mbarara-Ibanda'!M16,'31.10 Mbarara-Ibanda'!M16)</f>
        <v>8.4285714285714288</v>
      </c>
      <c r="N16" s="49">
        <f>AVERAGE('25.10 Mbarara-Ibanda'!N16,'26.10 Mbarara-Ibanda-24hr'!N16,'27.10 Mbarara-Ibanda'!N16,'28.10 Mbarara-Ibanda-24hr'!N16,'29.10 Mbarara-Ibanda'!N16,'30.10 Mbarara-Ibanda'!N16,'31.10 Mbarara-Ibanda'!N16)</f>
        <v>0</v>
      </c>
      <c r="O16" s="15">
        <f t="shared" si="0"/>
        <v>13.285714285714285</v>
      </c>
      <c r="P16" s="15">
        <f t="shared" si="1"/>
        <v>21.714285714285715</v>
      </c>
      <c r="R16" s="1" t="s">
        <v>12</v>
      </c>
      <c r="S16" s="17">
        <f t="shared" ref="S16:AF16" si="8">SUM(C34:C37)</f>
        <v>28.857142857142858</v>
      </c>
      <c r="T16" s="17">
        <f t="shared" si="8"/>
        <v>2.714285714285714</v>
      </c>
      <c r="U16" s="17">
        <f t="shared" si="8"/>
        <v>3.2857142857142856</v>
      </c>
      <c r="V16" s="17">
        <f t="shared" si="8"/>
        <v>9.2857142857142865</v>
      </c>
      <c r="W16" s="17">
        <f t="shared" si="8"/>
        <v>0</v>
      </c>
      <c r="X16" s="17">
        <f t="shared" si="8"/>
        <v>1.5714285714285714</v>
      </c>
      <c r="Y16" s="17">
        <f t="shared" si="8"/>
        <v>4.4285714285714288</v>
      </c>
      <c r="Z16" s="17">
        <f t="shared" si="8"/>
        <v>2.4285714285714284</v>
      </c>
      <c r="AA16" s="17">
        <f t="shared" si="8"/>
        <v>0.85714285714285698</v>
      </c>
      <c r="AB16" s="17">
        <f t="shared" si="8"/>
        <v>0.2857142857142857</v>
      </c>
      <c r="AC16" s="17">
        <f t="shared" si="8"/>
        <v>34.142857142857146</v>
      </c>
      <c r="AD16" s="17">
        <f t="shared" si="8"/>
        <v>0</v>
      </c>
      <c r="AE16" s="31">
        <f t="shared" si="8"/>
        <v>53.714285714285722</v>
      </c>
      <c r="AF16" s="31">
        <f t="shared" si="8"/>
        <v>87.857142857142861</v>
      </c>
    </row>
    <row r="17" spans="2:32" ht="23.1" customHeight="1" x14ac:dyDescent="0.25">
      <c r="B17" s="23" t="s">
        <v>44</v>
      </c>
      <c r="C17" s="49">
        <f>AVERAGE('25.10 Mbarara-Ibanda'!C17,'26.10 Mbarara-Ibanda-24hr'!C17,'27.10 Mbarara-Ibanda'!C17,'28.10 Mbarara-Ibanda-24hr'!C17,'29.10 Mbarara-Ibanda'!C17,'30.10 Mbarara-Ibanda'!C17,'31.10 Mbarara-Ibanda'!C17)</f>
        <v>5.2857142857142856</v>
      </c>
      <c r="D17" s="49">
        <f>AVERAGE('25.10 Mbarara-Ibanda'!D17,'26.10 Mbarara-Ibanda-24hr'!D17,'27.10 Mbarara-Ibanda'!D17,'28.10 Mbarara-Ibanda-24hr'!D17,'29.10 Mbarara-Ibanda'!D17,'30.10 Mbarara-Ibanda'!D17,'31.10 Mbarara-Ibanda'!D17)</f>
        <v>0.5714285714285714</v>
      </c>
      <c r="E17" s="49">
        <f>AVERAGE('25.10 Mbarara-Ibanda'!E17,'26.10 Mbarara-Ibanda-24hr'!E17,'27.10 Mbarara-Ibanda'!E17,'28.10 Mbarara-Ibanda-24hr'!E17,'29.10 Mbarara-Ibanda'!E17,'30.10 Mbarara-Ibanda'!E17,'31.10 Mbarara-Ibanda'!E17)</f>
        <v>0.14285714285714285</v>
      </c>
      <c r="F17" s="49">
        <f>AVERAGE('25.10 Mbarara-Ibanda'!F17,'26.10 Mbarara-Ibanda-24hr'!F17,'27.10 Mbarara-Ibanda'!F17,'28.10 Mbarara-Ibanda-24hr'!F17,'29.10 Mbarara-Ibanda'!F17,'30.10 Mbarara-Ibanda'!F17,'31.10 Mbarara-Ibanda'!F17)</f>
        <v>2</v>
      </c>
      <c r="G17" s="49">
        <f>AVERAGE('25.10 Mbarara-Ibanda'!G17,'26.10 Mbarara-Ibanda-24hr'!G17,'27.10 Mbarara-Ibanda'!G17,'28.10 Mbarara-Ibanda-24hr'!G17,'29.10 Mbarara-Ibanda'!G17,'30.10 Mbarara-Ibanda'!G17,'31.10 Mbarara-Ibanda'!G17)</f>
        <v>0</v>
      </c>
      <c r="H17" s="49">
        <f>AVERAGE('25.10 Mbarara-Ibanda'!H17,'26.10 Mbarara-Ibanda-24hr'!H17,'27.10 Mbarara-Ibanda'!H17,'28.10 Mbarara-Ibanda-24hr'!H17,'29.10 Mbarara-Ibanda'!H17,'30.10 Mbarara-Ibanda'!H17,'31.10 Mbarara-Ibanda'!H17)</f>
        <v>0</v>
      </c>
      <c r="I17" s="49">
        <f>AVERAGE('25.10 Mbarara-Ibanda'!I17,'26.10 Mbarara-Ibanda-24hr'!I17,'27.10 Mbarara-Ibanda'!I17,'28.10 Mbarara-Ibanda-24hr'!I17,'29.10 Mbarara-Ibanda'!I17,'30.10 Mbarara-Ibanda'!I17,'31.10 Mbarara-Ibanda'!I17)</f>
        <v>0</v>
      </c>
      <c r="J17" s="49">
        <f>AVERAGE('25.10 Mbarara-Ibanda'!J17,'26.10 Mbarara-Ibanda-24hr'!J17,'27.10 Mbarara-Ibanda'!J17,'28.10 Mbarara-Ibanda-24hr'!J17,'29.10 Mbarara-Ibanda'!J17,'30.10 Mbarara-Ibanda'!J17,'31.10 Mbarara-Ibanda'!J17)</f>
        <v>0.42857142857142855</v>
      </c>
      <c r="K17" s="49">
        <f>AVERAGE('25.10 Mbarara-Ibanda'!K17,'26.10 Mbarara-Ibanda-24hr'!K17,'27.10 Mbarara-Ibanda'!K17,'28.10 Mbarara-Ibanda-24hr'!K17,'29.10 Mbarara-Ibanda'!K17,'30.10 Mbarara-Ibanda'!K17,'31.10 Mbarara-Ibanda'!K17)</f>
        <v>0.2857142857142857</v>
      </c>
      <c r="L17" s="49">
        <f>AVERAGE('25.10 Mbarara-Ibanda'!L17,'26.10 Mbarara-Ibanda-24hr'!L17,'27.10 Mbarara-Ibanda'!L17,'28.10 Mbarara-Ibanda-24hr'!L17,'29.10 Mbarara-Ibanda'!L17,'30.10 Mbarara-Ibanda'!L17,'31.10 Mbarara-Ibanda'!L17)</f>
        <v>0</v>
      </c>
      <c r="M17" s="49">
        <f>AVERAGE('25.10 Mbarara-Ibanda'!M17,'26.10 Mbarara-Ibanda-24hr'!M17,'27.10 Mbarara-Ibanda'!M17,'28.10 Mbarara-Ibanda-24hr'!M17,'29.10 Mbarara-Ibanda'!M17,'30.10 Mbarara-Ibanda'!M17,'31.10 Mbarara-Ibanda'!M17)</f>
        <v>7.5714285714285712</v>
      </c>
      <c r="N17" s="49">
        <f>AVERAGE('25.10 Mbarara-Ibanda'!N17,'26.10 Mbarara-Ibanda-24hr'!N17,'27.10 Mbarara-Ibanda'!N17,'28.10 Mbarara-Ibanda-24hr'!N17,'29.10 Mbarara-Ibanda'!N17,'30.10 Mbarara-Ibanda'!N17,'31.10 Mbarara-Ibanda'!N17)</f>
        <v>0</v>
      </c>
      <c r="O17" s="15">
        <f t="shared" si="0"/>
        <v>8.7142857142857153</v>
      </c>
      <c r="P17" s="15">
        <f t="shared" si="1"/>
        <v>16.285714285714285</v>
      </c>
      <c r="R17" s="1" t="s">
        <v>13</v>
      </c>
      <c r="S17" s="17">
        <f t="shared" ref="S17:AF17" si="9">SUM(C38:C41)</f>
        <v>23.999999999999996</v>
      </c>
      <c r="T17" s="17">
        <f t="shared" si="9"/>
        <v>3.2857142857142856</v>
      </c>
      <c r="U17" s="17">
        <f t="shared" si="9"/>
        <v>2.2857142857142856</v>
      </c>
      <c r="V17" s="17">
        <f t="shared" si="9"/>
        <v>8</v>
      </c>
      <c r="W17" s="17">
        <f t="shared" si="9"/>
        <v>0</v>
      </c>
      <c r="X17" s="17">
        <f t="shared" si="9"/>
        <v>0.14285714285714285</v>
      </c>
      <c r="Y17" s="17">
        <f t="shared" si="9"/>
        <v>4.2857142857142856</v>
      </c>
      <c r="Z17" s="17">
        <f t="shared" si="9"/>
        <v>2.7142857142857144</v>
      </c>
      <c r="AA17" s="17">
        <f t="shared" si="9"/>
        <v>0.5714285714285714</v>
      </c>
      <c r="AB17" s="17">
        <f t="shared" si="9"/>
        <v>0.2857142857142857</v>
      </c>
      <c r="AC17" s="17">
        <f t="shared" si="9"/>
        <v>37.857142857142861</v>
      </c>
      <c r="AD17" s="17">
        <f t="shared" si="9"/>
        <v>0</v>
      </c>
      <c r="AE17" s="31">
        <f t="shared" si="9"/>
        <v>45.571428571428569</v>
      </c>
      <c r="AF17" s="31">
        <f t="shared" si="9"/>
        <v>83.428571428571416</v>
      </c>
    </row>
    <row r="18" spans="2:32" ht="23.1" customHeight="1" x14ac:dyDescent="0.25">
      <c r="B18" s="23" t="s">
        <v>45</v>
      </c>
      <c r="C18" s="49">
        <f>AVERAGE('25.10 Mbarara-Ibanda'!C18,'26.10 Mbarara-Ibanda-24hr'!C18,'27.10 Mbarara-Ibanda'!C18,'28.10 Mbarara-Ibanda-24hr'!C18,'29.10 Mbarara-Ibanda'!C18,'30.10 Mbarara-Ibanda'!C18,'31.10 Mbarara-Ibanda'!C18)</f>
        <v>5</v>
      </c>
      <c r="D18" s="49">
        <f>AVERAGE('25.10 Mbarara-Ibanda'!D18,'26.10 Mbarara-Ibanda-24hr'!D18,'27.10 Mbarara-Ibanda'!D18,'28.10 Mbarara-Ibanda-24hr'!D18,'29.10 Mbarara-Ibanda'!D18,'30.10 Mbarara-Ibanda'!D18,'31.10 Mbarara-Ibanda'!D18)</f>
        <v>0</v>
      </c>
      <c r="E18" s="49">
        <f>AVERAGE('25.10 Mbarara-Ibanda'!E18,'26.10 Mbarara-Ibanda-24hr'!E18,'27.10 Mbarara-Ibanda'!E18,'28.10 Mbarara-Ibanda-24hr'!E18,'29.10 Mbarara-Ibanda'!E18,'30.10 Mbarara-Ibanda'!E18,'31.10 Mbarara-Ibanda'!E18)</f>
        <v>0.7142857142857143</v>
      </c>
      <c r="F18" s="49">
        <f>AVERAGE('25.10 Mbarara-Ibanda'!F18,'26.10 Mbarara-Ibanda-24hr'!F18,'27.10 Mbarara-Ibanda'!F18,'28.10 Mbarara-Ibanda-24hr'!F18,'29.10 Mbarara-Ibanda'!F18,'30.10 Mbarara-Ibanda'!F18,'31.10 Mbarara-Ibanda'!F18)</f>
        <v>0.8571428571428571</v>
      </c>
      <c r="G18" s="49">
        <f>AVERAGE('25.10 Mbarara-Ibanda'!G18,'26.10 Mbarara-Ibanda-24hr'!G18,'27.10 Mbarara-Ibanda'!G18,'28.10 Mbarara-Ibanda-24hr'!G18,'29.10 Mbarara-Ibanda'!G18,'30.10 Mbarara-Ibanda'!G18,'31.10 Mbarara-Ibanda'!G18)</f>
        <v>0</v>
      </c>
      <c r="H18" s="49">
        <f>AVERAGE('25.10 Mbarara-Ibanda'!H18,'26.10 Mbarara-Ibanda-24hr'!H18,'27.10 Mbarara-Ibanda'!H18,'28.10 Mbarara-Ibanda-24hr'!H18,'29.10 Mbarara-Ibanda'!H18,'30.10 Mbarara-Ibanda'!H18,'31.10 Mbarara-Ibanda'!H18)</f>
        <v>0</v>
      </c>
      <c r="I18" s="49">
        <f>AVERAGE('25.10 Mbarara-Ibanda'!I18,'26.10 Mbarara-Ibanda-24hr'!I18,'27.10 Mbarara-Ibanda'!I18,'28.10 Mbarara-Ibanda-24hr'!I18,'29.10 Mbarara-Ibanda'!I18,'30.10 Mbarara-Ibanda'!I18,'31.10 Mbarara-Ibanda'!I18)</f>
        <v>0.5714285714285714</v>
      </c>
      <c r="J18" s="49">
        <f>AVERAGE('25.10 Mbarara-Ibanda'!J18,'26.10 Mbarara-Ibanda-24hr'!J18,'27.10 Mbarara-Ibanda'!J18,'28.10 Mbarara-Ibanda-24hr'!J18,'29.10 Mbarara-Ibanda'!J18,'30.10 Mbarara-Ibanda'!J18,'31.10 Mbarara-Ibanda'!J18)</f>
        <v>0.2857142857142857</v>
      </c>
      <c r="K18" s="49">
        <f>AVERAGE('25.10 Mbarara-Ibanda'!K18,'26.10 Mbarara-Ibanda-24hr'!K18,'27.10 Mbarara-Ibanda'!K18,'28.10 Mbarara-Ibanda-24hr'!K18,'29.10 Mbarara-Ibanda'!K18,'30.10 Mbarara-Ibanda'!K18,'31.10 Mbarara-Ibanda'!K18)</f>
        <v>0.2857142857142857</v>
      </c>
      <c r="L18" s="49">
        <f>AVERAGE('25.10 Mbarara-Ibanda'!L18,'26.10 Mbarara-Ibanda-24hr'!L18,'27.10 Mbarara-Ibanda'!L18,'28.10 Mbarara-Ibanda-24hr'!L18,'29.10 Mbarara-Ibanda'!L18,'30.10 Mbarara-Ibanda'!L18,'31.10 Mbarara-Ibanda'!L18)</f>
        <v>0</v>
      </c>
      <c r="M18" s="49">
        <f>AVERAGE('25.10 Mbarara-Ibanda'!M18,'26.10 Mbarara-Ibanda-24hr'!M18,'27.10 Mbarara-Ibanda'!M18,'28.10 Mbarara-Ibanda-24hr'!M18,'29.10 Mbarara-Ibanda'!M18,'30.10 Mbarara-Ibanda'!M18,'31.10 Mbarara-Ibanda'!M18)</f>
        <v>10.428571428571429</v>
      </c>
      <c r="N18" s="49">
        <f>AVERAGE('25.10 Mbarara-Ibanda'!N18,'26.10 Mbarara-Ibanda-24hr'!N18,'27.10 Mbarara-Ibanda'!N18,'28.10 Mbarara-Ibanda-24hr'!N18,'29.10 Mbarara-Ibanda'!N18,'30.10 Mbarara-Ibanda'!N18,'31.10 Mbarara-Ibanda'!N18)</f>
        <v>0</v>
      </c>
      <c r="O18" s="15">
        <f t="shared" si="0"/>
        <v>7.7142857142857135</v>
      </c>
      <c r="P18" s="15">
        <f t="shared" si="1"/>
        <v>18.142857142857142</v>
      </c>
      <c r="R18" s="1" t="s">
        <v>14</v>
      </c>
      <c r="S18" s="17">
        <f t="shared" ref="S18:AF18" si="10">SUM(C42:C45)</f>
        <v>25.571428571428569</v>
      </c>
      <c r="T18" s="17">
        <f t="shared" si="10"/>
        <v>4.7142857142857144</v>
      </c>
      <c r="U18" s="17">
        <f t="shared" si="10"/>
        <v>3.2857142857142856</v>
      </c>
      <c r="V18" s="17">
        <f t="shared" si="10"/>
        <v>9.4285714285714288</v>
      </c>
      <c r="W18" s="17">
        <f t="shared" si="10"/>
        <v>0.42857142857142855</v>
      </c>
      <c r="X18" s="17">
        <f t="shared" si="10"/>
        <v>0.2857142857142857</v>
      </c>
      <c r="Y18" s="17">
        <f t="shared" si="10"/>
        <v>3.1428571428571428</v>
      </c>
      <c r="Z18" s="17">
        <f t="shared" si="10"/>
        <v>2.9999999999999996</v>
      </c>
      <c r="AA18" s="17">
        <f t="shared" si="10"/>
        <v>0.99999999999999989</v>
      </c>
      <c r="AB18" s="17">
        <f t="shared" si="10"/>
        <v>0.14285714285714285</v>
      </c>
      <c r="AC18" s="17">
        <f t="shared" si="10"/>
        <v>37.857142857142854</v>
      </c>
      <c r="AD18" s="17">
        <f t="shared" si="10"/>
        <v>0</v>
      </c>
      <c r="AE18" s="31">
        <f t="shared" si="10"/>
        <v>51</v>
      </c>
      <c r="AF18" s="31">
        <f t="shared" si="10"/>
        <v>88.857142857142861</v>
      </c>
    </row>
    <row r="19" spans="2:32" ht="23.1" customHeight="1" x14ac:dyDescent="0.25">
      <c r="B19" s="23" t="s">
        <v>46</v>
      </c>
      <c r="C19" s="49">
        <f>AVERAGE('25.10 Mbarara-Ibanda'!C19,'26.10 Mbarara-Ibanda-24hr'!C19,'27.10 Mbarara-Ibanda'!C19,'28.10 Mbarara-Ibanda-24hr'!C19,'29.10 Mbarara-Ibanda'!C19,'30.10 Mbarara-Ibanda'!C19,'31.10 Mbarara-Ibanda'!C19)</f>
        <v>6.2857142857142856</v>
      </c>
      <c r="D19" s="49">
        <f>AVERAGE('25.10 Mbarara-Ibanda'!D19,'26.10 Mbarara-Ibanda-24hr'!D19,'27.10 Mbarara-Ibanda'!D19,'28.10 Mbarara-Ibanda-24hr'!D19,'29.10 Mbarara-Ibanda'!D19,'30.10 Mbarara-Ibanda'!D19,'31.10 Mbarara-Ibanda'!D19)</f>
        <v>0.2857142857142857</v>
      </c>
      <c r="E19" s="49">
        <f>AVERAGE('25.10 Mbarara-Ibanda'!E19,'26.10 Mbarara-Ibanda-24hr'!E19,'27.10 Mbarara-Ibanda'!E19,'28.10 Mbarara-Ibanda-24hr'!E19,'29.10 Mbarara-Ibanda'!E19,'30.10 Mbarara-Ibanda'!E19,'31.10 Mbarara-Ibanda'!E19)</f>
        <v>0.8571428571428571</v>
      </c>
      <c r="F19" s="49">
        <f>AVERAGE('25.10 Mbarara-Ibanda'!F19,'26.10 Mbarara-Ibanda-24hr'!F19,'27.10 Mbarara-Ibanda'!F19,'28.10 Mbarara-Ibanda-24hr'!F19,'29.10 Mbarara-Ibanda'!F19,'30.10 Mbarara-Ibanda'!F19,'31.10 Mbarara-Ibanda'!F19)</f>
        <v>1.1428571428571428</v>
      </c>
      <c r="G19" s="49">
        <f>AVERAGE('25.10 Mbarara-Ibanda'!G19,'26.10 Mbarara-Ibanda-24hr'!G19,'27.10 Mbarara-Ibanda'!G19,'28.10 Mbarara-Ibanda-24hr'!G19,'29.10 Mbarara-Ibanda'!G19,'30.10 Mbarara-Ibanda'!G19,'31.10 Mbarara-Ibanda'!G19)</f>
        <v>0</v>
      </c>
      <c r="H19" s="49">
        <f>AVERAGE('25.10 Mbarara-Ibanda'!H19,'26.10 Mbarara-Ibanda-24hr'!H19,'27.10 Mbarara-Ibanda'!H19,'28.10 Mbarara-Ibanda-24hr'!H19,'29.10 Mbarara-Ibanda'!H19,'30.10 Mbarara-Ibanda'!H19,'31.10 Mbarara-Ibanda'!H19)</f>
        <v>0</v>
      </c>
      <c r="I19" s="49">
        <f>AVERAGE('25.10 Mbarara-Ibanda'!I19,'26.10 Mbarara-Ibanda-24hr'!I19,'27.10 Mbarara-Ibanda'!I19,'28.10 Mbarara-Ibanda-24hr'!I19,'29.10 Mbarara-Ibanda'!I19,'30.10 Mbarara-Ibanda'!I19,'31.10 Mbarara-Ibanda'!I19)</f>
        <v>0.7142857142857143</v>
      </c>
      <c r="J19" s="49">
        <f>AVERAGE('25.10 Mbarara-Ibanda'!J19,'26.10 Mbarara-Ibanda-24hr'!J19,'27.10 Mbarara-Ibanda'!J19,'28.10 Mbarara-Ibanda-24hr'!J19,'29.10 Mbarara-Ibanda'!J19,'30.10 Mbarara-Ibanda'!J19,'31.10 Mbarara-Ibanda'!J19)</f>
        <v>0.2857142857142857</v>
      </c>
      <c r="K19" s="49">
        <f>AVERAGE('25.10 Mbarara-Ibanda'!K19,'26.10 Mbarara-Ibanda-24hr'!K19,'27.10 Mbarara-Ibanda'!K19,'28.10 Mbarara-Ibanda-24hr'!K19,'29.10 Mbarara-Ibanda'!K19,'30.10 Mbarara-Ibanda'!K19,'31.10 Mbarara-Ibanda'!K19)</f>
        <v>0.14285714285714285</v>
      </c>
      <c r="L19" s="49">
        <f>AVERAGE('25.10 Mbarara-Ibanda'!L19,'26.10 Mbarara-Ibanda-24hr'!L19,'27.10 Mbarara-Ibanda'!L19,'28.10 Mbarara-Ibanda-24hr'!L19,'29.10 Mbarara-Ibanda'!L19,'30.10 Mbarara-Ibanda'!L19,'31.10 Mbarara-Ibanda'!L19)</f>
        <v>0.2857142857142857</v>
      </c>
      <c r="M19" s="49">
        <f>AVERAGE('25.10 Mbarara-Ibanda'!M19,'26.10 Mbarara-Ibanda-24hr'!M19,'27.10 Mbarara-Ibanda'!M19,'28.10 Mbarara-Ibanda-24hr'!M19,'29.10 Mbarara-Ibanda'!M19,'30.10 Mbarara-Ibanda'!M19,'31.10 Mbarara-Ibanda'!M19)</f>
        <v>10.142857142857142</v>
      </c>
      <c r="N19" s="49">
        <f>AVERAGE('25.10 Mbarara-Ibanda'!N19,'26.10 Mbarara-Ibanda-24hr'!N19,'27.10 Mbarara-Ibanda'!N19,'28.10 Mbarara-Ibanda-24hr'!N19,'29.10 Mbarara-Ibanda'!N19,'30.10 Mbarara-Ibanda'!N19,'31.10 Mbarara-Ibanda'!N19)</f>
        <v>0</v>
      </c>
      <c r="O19" s="15">
        <f t="shared" si="0"/>
        <v>10</v>
      </c>
      <c r="P19" s="15">
        <f t="shared" si="1"/>
        <v>20.142857142857142</v>
      </c>
      <c r="R19" s="1" t="s">
        <v>15</v>
      </c>
      <c r="S19" s="17">
        <f t="shared" ref="S19:AF19" si="11">SUM(C46:C49)</f>
        <v>26.428571428571427</v>
      </c>
      <c r="T19" s="17">
        <f t="shared" si="11"/>
        <v>3.2857142857142856</v>
      </c>
      <c r="U19" s="17">
        <f t="shared" si="11"/>
        <v>2.714285714285714</v>
      </c>
      <c r="V19" s="17">
        <f t="shared" si="11"/>
        <v>6.2857142857142865</v>
      </c>
      <c r="W19" s="17">
        <f t="shared" si="11"/>
        <v>0.14285714285714285</v>
      </c>
      <c r="X19" s="17">
        <f t="shared" si="11"/>
        <v>0.42857142857142855</v>
      </c>
      <c r="Y19" s="17">
        <f t="shared" si="11"/>
        <v>3.4285714285714284</v>
      </c>
      <c r="Z19" s="17">
        <f t="shared" si="11"/>
        <v>2.2857142857142856</v>
      </c>
      <c r="AA19" s="17">
        <f t="shared" si="11"/>
        <v>0.2857142857142857</v>
      </c>
      <c r="AB19" s="17">
        <f t="shared" si="11"/>
        <v>0.42857142857142855</v>
      </c>
      <c r="AC19" s="17">
        <f t="shared" si="11"/>
        <v>40.857142857142854</v>
      </c>
      <c r="AD19" s="17">
        <f t="shared" si="11"/>
        <v>0</v>
      </c>
      <c r="AE19" s="31">
        <f t="shared" si="11"/>
        <v>45.714285714285722</v>
      </c>
      <c r="AF19" s="31">
        <f t="shared" si="11"/>
        <v>86.571428571428584</v>
      </c>
    </row>
    <row r="20" spans="2:32" ht="23.1" customHeight="1" x14ac:dyDescent="0.25">
      <c r="B20" s="23" t="s">
        <v>47</v>
      </c>
      <c r="C20" s="49">
        <f>AVERAGE('25.10 Mbarara-Ibanda'!C20,'26.10 Mbarara-Ibanda-24hr'!C20,'27.10 Mbarara-Ibanda'!C20,'28.10 Mbarara-Ibanda-24hr'!C20,'29.10 Mbarara-Ibanda'!C20,'30.10 Mbarara-Ibanda'!C20,'31.10 Mbarara-Ibanda'!C20)</f>
        <v>4.1428571428571432</v>
      </c>
      <c r="D20" s="49">
        <f>AVERAGE('25.10 Mbarara-Ibanda'!D20,'26.10 Mbarara-Ibanda-24hr'!D20,'27.10 Mbarara-Ibanda'!D20,'28.10 Mbarara-Ibanda-24hr'!D20,'29.10 Mbarara-Ibanda'!D20,'30.10 Mbarara-Ibanda'!D20,'31.10 Mbarara-Ibanda'!D20)</f>
        <v>0.7142857142857143</v>
      </c>
      <c r="E20" s="49">
        <f>AVERAGE('25.10 Mbarara-Ibanda'!E20,'26.10 Mbarara-Ibanda-24hr'!E20,'27.10 Mbarara-Ibanda'!E20,'28.10 Mbarara-Ibanda-24hr'!E20,'29.10 Mbarara-Ibanda'!E20,'30.10 Mbarara-Ibanda'!E20,'31.10 Mbarara-Ibanda'!E20)</f>
        <v>0.42857142857142855</v>
      </c>
      <c r="F20" s="49">
        <f>AVERAGE('25.10 Mbarara-Ibanda'!F20,'26.10 Mbarara-Ibanda-24hr'!F20,'27.10 Mbarara-Ibanda'!F20,'28.10 Mbarara-Ibanda-24hr'!F20,'29.10 Mbarara-Ibanda'!F20,'30.10 Mbarara-Ibanda'!F20,'31.10 Mbarara-Ibanda'!F20)</f>
        <v>1.7142857142857142</v>
      </c>
      <c r="G20" s="49">
        <f>AVERAGE('25.10 Mbarara-Ibanda'!G20,'26.10 Mbarara-Ibanda-24hr'!G20,'27.10 Mbarara-Ibanda'!G20,'28.10 Mbarara-Ibanda-24hr'!G20,'29.10 Mbarara-Ibanda'!G20,'30.10 Mbarara-Ibanda'!G20,'31.10 Mbarara-Ibanda'!G20)</f>
        <v>0</v>
      </c>
      <c r="H20" s="49">
        <f>AVERAGE('25.10 Mbarara-Ibanda'!H20,'26.10 Mbarara-Ibanda-24hr'!H20,'27.10 Mbarara-Ibanda'!H20,'28.10 Mbarara-Ibanda-24hr'!H20,'29.10 Mbarara-Ibanda'!H20,'30.10 Mbarara-Ibanda'!H20,'31.10 Mbarara-Ibanda'!H20)</f>
        <v>0</v>
      </c>
      <c r="I20" s="49">
        <f>AVERAGE('25.10 Mbarara-Ibanda'!I20,'26.10 Mbarara-Ibanda-24hr'!I20,'27.10 Mbarara-Ibanda'!I20,'28.10 Mbarara-Ibanda-24hr'!I20,'29.10 Mbarara-Ibanda'!I20,'30.10 Mbarara-Ibanda'!I20,'31.10 Mbarara-Ibanda'!I20)</f>
        <v>0.42857142857142855</v>
      </c>
      <c r="J20" s="49">
        <f>AVERAGE('25.10 Mbarara-Ibanda'!J20,'26.10 Mbarara-Ibanda-24hr'!J20,'27.10 Mbarara-Ibanda'!J20,'28.10 Mbarara-Ibanda-24hr'!J20,'29.10 Mbarara-Ibanda'!J20,'30.10 Mbarara-Ibanda'!J20,'31.10 Mbarara-Ibanda'!J20)</f>
        <v>0.2857142857142857</v>
      </c>
      <c r="K20" s="49">
        <f>AVERAGE('25.10 Mbarara-Ibanda'!K20,'26.10 Mbarara-Ibanda-24hr'!K20,'27.10 Mbarara-Ibanda'!K20,'28.10 Mbarara-Ibanda-24hr'!K20,'29.10 Mbarara-Ibanda'!K20,'30.10 Mbarara-Ibanda'!K20,'31.10 Mbarara-Ibanda'!K20)</f>
        <v>0.14285714285714285</v>
      </c>
      <c r="L20" s="49">
        <f>AVERAGE('25.10 Mbarara-Ibanda'!L20,'26.10 Mbarara-Ibanda-24hr'!L20,'27.10 Mbarara-Ibanda'!L20,'28.10 Mbarara-Ibanda-24hr'!L20,'29.10 Mbarara-Ibanda'!L20,'30.10 Mbarara-Ibanda'!L20,'31.10 Mbarara-Ibanda'!L20)</f>
        <v>0.2857142857142857</v>
      </c>
      <c r="M20" s="49">
        <f>AVERAGE('25.10 Mbarara-Ibanda'!M20,'26.10 Mbarara-Ibanda-24hr'!M20,'27.10 Mbarara-Ibanda'!M20,'28.10 Mbarara-Ibanda-24hr'!M20,'29.10 Mbarara-Ibanda'!M20,'30.10 Mbarara-Ibanda'!M20,'31.10 Mbarara-Ibanda'!M20)</f>
        <v>8.5714285714285712</v>
      </c>
      <c r="N20" s="49">
        <f>AVERAGE('25.10 Mbarara-Ibanda'!N20,'26.10 Mbarara-Ibanda-24hr'!N20,'27.10 Mbarara-Ibanda'!N20,'28.10 Mbarara-Ibanda-24hr'!N20,'29.10 Mbarara-Ibanda'!N20,'30.10 Mbarara-Ibanda'!N20,'31.10 Mbarara-Ibanda'!N20)</f>
        <v>0</v>
      </c>
      <c r="O20" s="15">
        <f t="shared" si="0"/>
        <v>8.1428571428571441</v>
      </c>
      <c r="P20" s="15">
        <f t="shared" si="1"/>
        <v>16.714285714285715</v>
      </c>
      <c r="R20" s="1" t="s">
        <v>16</v>
      </c>
      <c r="S20" s="17">
        <f t="shared" ref="S20:AF20" si="12">SUM(C50:C53)</f>
        <v>28</v>
      </c>
      <c r="T20" s="17">
        <f t="shared" si="12"/>
        <v>4.2857142857142856</v>
      </c>
      <c r="U20" s="17">
        <f t="shared" si="12"/>
        <v>3</v>
      </c>
      <c r="V20" s="17">
        <f t="shared" si="12"/>
        <v>7.8571428571428559</v>
      </c>
      <c r="W20" s="17">
        <f t="shared" si="12"/>
        <v>0.14285714285714285</v>
      </c>
      <c r="X20" s="17">
        <f t="shared" si="12"/>
        <v>1.1428571428571428</v>
      </c>
      <c r="Y20" s="17">
        <f t="shared" si="12"/>
        <v>2.2857142857142856</v>
      </c>
      <c r="Z20" s="17">
        <f t="shared" si="12"/>
        <v>0.85714285714285698</v>
      </c>
      <c r="AA20" s="17">
        <f t="shared" si="12"/>
        <v>0.42857142857142855</v>
      </c>
      <c r="AB20" s="17">
        <f t="shared" si="12"/>
        <v>0.14285714285714285</v>
      </c>
      <c r="AC20" s="17">
        <f t="shared" si="12"/>
        <v>42.285714285714285</v>
      </c>
      <c r="AD20" s="17">
        <f t="shared" si="12"/>
        <v>0</v>
      </c>
      <c r="AE20" s="31">
        <f t="shared" si="12"/>
        <v>48.142857142857146</v>
      </c>
      <c r="AF20" s="31">
        <f t="shared" si="12"/>
        <v>90.428571428571431</v>
      </c>
    </row>
    <row r="21" spans="2:32" ht="23.1" customHeight="1" x14ac:dyDescent="0.25">
      <c r="B21" s="23" t="s">
        <v>48</v>
      </c>
      <c r="C21" s="49">
        <f>AVERAGE('25.10 Mbarara-Ibanda'!C21,'26.10 Mbarara-Ibanda-24hr'!C21,'27.10 Mbarara-Ibanda'!C21,'28.10 Mbarara-Ibanda-24hr'!C21,'29.10 Mbarara-Ibanda'!C21,'30.10 Mbarara-Ibanda'!C21,'31.10 Mbarara-Ibanda'!C21)</f>
        <v>5.4285714285714288</v>
      </c>
      <c r="D21" s="49">
        <f>AVERAGE('25.10 Mbarara-Ibanda'!D21,'26.10 Mbarara-Ibanda-24hr'!D21,'27.10 Mbarara-Ibanda'!D21,'28.10 Mbarara-Ibanda-24hr'!D21,'29.10 Mbarara-Ibanda'!D21,'30.10 Mbarara-Ibanda'!D21,'31.10 Mbarara-Ibanda'!D21)</f>
        <v>0.5714285714285714</v>
      </c>
      <c r="E21" s="49">
        <f>AVERAGE('25.10 Mbarara-Ibanda'!E21,'26.10 Mbarara-Ibanda-24hr'!E21,'27.10 Mbarara-Ibanda'!E21,'28.10 Mbarara-Ibanda-24hr'!E21,'29.10 Mbarara-Ibanda'!E21,'30.10 Mbarara-Ibanda'!E21,'31.10 Mbarara-Ibanda'!E21)</f>
        <v>0.42857142857142855</v>
      </c>
      <c r="F21" s="49">
        <f>AVERAGE('25.10 Mbarara-Ibanda'!F21,'26.10 Mbarara-Ibanda-24hr'!F21,'27.10 Mbarara-Ibanda'!F21,'28.10 Mbarara-Ibanda-24hr'!F21,'29.10 Mbarara-Ibanda'!F21,'30.10 Mbarara-Ibanda'!F21,'31.10 Mbarara-Ibanda'!F21)</f>
        <v>0.7142857142857143</v>
      </c>
      <c r="G21" s="49">
        <f>AVERAGE('25.10 Mbarara-Ibanda'!G21,'26.10 Mbarara-Ibanda-24hr'!G21,'27.10 Mbarara-Ibanda'!G21,'28.10 Mbarara-Ibanda-24hr'!G21,'29.10 Mbarara-Ibanda'!G21,'30.10 Mbarara-Ibanda'!G21,'31.10 Mbarara-Ibanda'!G21)</f>
        <v>0</v>
      </c>
      <c r="H21" s="49">
        <f>AVERAGE('25.10 Mbarara-Ibanda'!H21,'26.10 Mbarara-Ibanda-24hr'!H21,'27.10 Mbarara-Ibanda'!H21,'28.10 Mbarara-Ibanda-24hr'!H21,'29.10 Mbarara-Ibanda'!H21,'30.10 Mbarara-Ibanda'!H21,'31.10 Mbarara-Ibanda'!H21)</f>
        <v>0.14285714285714285</v>
      </c>
      <c r="I21" s="49">
        <f>AVERAGE('25.10 Mbarara-Ibanda'!I21,'26.10 Mbarara-Ibanda-24hr'!I21,'27.10 Mbarara-Ibanda'!I21,'28.10 Mbarara-Ibanda-24hr'!I21,'29.10 Mbarara-Ibanda'!I21,'30.10 Mbarara-Ibanda'!I21,'31.10 Mbarara-Ibanda'!I21)</f>
        <v>0.14285714285714285</v>
      </c>
      <c r="J21" s="49">
        <f>AVERAGE('25.10 Mbarara-Ibanda'!J21,'26.10 Mbarara-Ibanda-24hr'!J21,'27.10 Mbarara-Ibanda'!J21,'28.10 Mbarara-Ibanda-24hr'!J21,'29.10 Mbarara-Ibanda'!J21,'30.10 Mbarara-Ibanda'!J21,'31.10 Mbarara-Ibanda'!J21)</f>
        <v>0.2857142857142857</v>
      </c>
      <c r="K21" s="49">
        <f>AVERAGE('25.10 Mbarara-Ibanda'!K21,'26.10 Mbarara-Ibanda-24hr'!K21,'27.10 Mbarara-Ibanda'!K21,'28.10 Mbarara-Ibanda-24hr'!K21,'29.10 Mbarara-Ibanda'!K21,'30.10 Mbarara-Ibanda'!K21,'31.10 Mbarara-Ibanda'!K21)</f>
        <v>0.2857142857142857</v>
      </c>
      <c r="L21" s="49">
        <f>AVERAGE('25.10 Mbarara-Ibanda'!L21,'26.10 Mbarara-Ibanda-24hr'!L21,'27.10 Mbarara-Ibanda'!L21,'28.10 Mbarara-Ibanda-24hr'!L21,'29.10 Mbarara-Ibanda'!L21,'30.10 Mbarara-Ibanda'!L21,'31.10 Mbarara-Ibanda'!L21)</f>
        <v>0.2857142857142857</v>
      </c>
      <c r="M21" s="49">
        <f>AVERAGE('25.10 Mbarara-Ibanda'!M21,'26.10 Mbarara-Ibanda-24hr'!M21,'27.10 Mbarara-Ibanda'!M21,'28.10 Mbarara-Ibanda-24hr'!M21,'29.10 Mbarara-Ibanda'!M21,'30.10 Mbarara-Ibanda'!M21,'31.10 Mbarara-Ibanda'!M21)</f>
        <v>10.571428571428571</v>
      </c>
      <c r="N21" s="49">
        <f>AVERAGE('25.10 Mbarara-Ibanda'!N21,'26.10 Mbarara-Ibanda-24hr'!N21,'27.10 Mbarara-Ibanda'!N21,'28.10 Mbarara-Ibanda-24hr'!N21,'29.10 Mbarara-Ibanda'!N21,'30.10 Mbarara-Ibanda'!N21,'31.10 Mbarara-Ibanda'!N21)</f>
        <v>0</v>
      </c>
      <c r="O21" s="15">
        <f t="shared" si="0"/>
        <v>8.2857142857142883</v>
      </c>
      <c r="P21" s="15">
        <f t="shared" si="1"/>
        <v>18.857142857142861</v>
      </c>
      <c r="R21" s="36" t="s">
        <v>20</v>
      </c>
      <c r="S21" s="34">
        <f t="shared" ref="S21:AF21" si="13">SUM(C54:C57)</f>
        <v>27.428571428571431</v>
      </c>
      <c r="T21" s="17">
        <f t="shared" si="13"/>
        <v>2.4285714285714284</v>
      </c>
      <c r="U21" s="17">
        <f t="shared" si="13"/>
        <v>1.4285714285714284</v>
      </c>
      <c r="V21" s="17">
        <f t="shared" si="13"/>
        <v>6.4285714285714279</v>
      </c>
      <c r="W21" s="17">
        <f t="shared" si="13"/>
        <v>0</v>
      </c>
      <c r="X21" s="17">
        <f t="shared" si="13"/>
        <v>0.2857142857142857</v>
      </c>
      <c r="Y21" s="17">
        <f t="shared" si="13"/>
        <v>2.1428571428571428</v>
      </c>
      <c r="Z21" s="17">
        <f t="shared" si="13"/>
        <v>1.714285714285714</v>
      </c>
      <c r="AA21" s="17">
        <f t="shared" si="13"/>
        <v>0.2857142857142857</v>
      </c>
      <c r="AB21" s="17">
        <f t="shared" si="13"/>
        <v>0</v>
      </c>
      <c r="AC21" s="17">
        <f t="shared" si="13"/>
        <v>50.428571428571423</v>
      </c>
      <c r="AD21" s="17">
        <f t="shared" si="13"/>
        <v>0</v>
      </c>
      <c r="AE21" s="31">
        <f t="shared" si="13"/>
        <v>42.142857142857139</v>
      </c>
      <c r="AF21" s="31">
        <f t="shared" si="13"/>
        <v>92.571428571428555</v>
      </c>
    </row>
    <row r="22" spans="2:32" ht="23.1" customHeight="1" x14ac:dyDescent="0.25">
      <c r="B22" s="23" t="s">
        <v>49</v>
      </c>
      <c r="C22" s="49">
        <f>AVERAGE('25.10 Mbarara-Ibanda'!C22,'26.10 Mbarara-Ibanda-24hr'!C22,'27.10 Mbarara-Ibanda'!C22,'28.10 Mbarara-Ibanda-24hr'!C22,'29.10 Mbarara-Ibanda'!C22,'30.10 Mbarara-Ibanda'!C22,'31.10 Mbarara-Ibanda'!C22)</f>
        <v>6.1428571428571432</v>
      </c>
      <c r="D22" s="49">
        <f>AVERAGE('25.10 Mbarara-Ibanda'!D22,'26.10 Mbarara-Ibanda-24hr'!D22,'27.10 Mbarara-Ibanda'!D22,'28.10 Mbarara-Ibanda-24hr'!D22,'29.10 Mbarara-Ibanda'!D22,'30.10 Mbarara-Ibanda'!D22,'31.10 Mbarara-Ibanda'!D22)</f>
        <v>0.7142857142857143</v>
      </c>
      <c r="E22" s="49">
        <f>AVERAGE('25.10 Mbarara-Ibanda'!E22,'26.10 Mbarara-Ibanda-24hr'!E22,'27.10 Mbarara-Ibanda'!E22,'28.10 Mbarara-Ibanda-24hr'!E22,'29.10 Mbarara-Ibanda'!E22,'30.10 Mbarara-Ibanda'!E22,'31.10 Mbarara-Ibanda'!E22)</f>
        <v>1.2857142857142858</v>
      </c>
      <c r="F22" s="49">
        <f>AVERAGE('25.10 Mbarara-Ibanda'!F22,'26.10 Mbarara-Ibanda-24hr'!F22,'27.10 Mbarara-Ibanda'!F22,'28.10 Mbarara-Ibanda-24hr'!F22,'29.10 Mbarara-Ibanda'!F22,'30.10 Mbarara-Ibanda'!F22,'31.10 Mbarara-Ibanda'!F22)</f>
        <v>1</v>
      </c>
      <c r="G22" s="49">
        <f>AVERAGE('25.10 Mbarara-Ibanda'!G22,'26.10 Mbarara-Ibanda-24hr'!G22,'27.10 Mbarara-Ibanda'!G22,'28.10 Mbarara-Ibanda-24hr'!G22,'29.10 Mbarara-Ibanda'!G22,'30.10 Mbarara-Ibanda'!G22,'31.10 Mbarara-Ibanda'!G22)</f>
        <v>0</v>
      </c>
      <c r="H22" s="49">
        <f>AVERAGE('25.10 Mbarara-Ibanda'!H22,'26.10 Mbarara-Ibanda-24hr'!H22,'27.10 Mbarara-Ibanda'!H22,'28.10 Mbarara-Ibanda-24hr'!H22,'29.10 Mbarara-Ibanda'!H22,'30.10 Mbarara-Ibanda'!H22,'31.10 Mbarara-Ibanda'!H22)</f>
        <v>0</v>
      </c>
      <c r="I22" s="49">
        <f>AVERAGE('25.10 Mbarara-Ibanda'!I22,'26.10 Mbarara-Ibanda-24hr'!I22,'27.10 Mbarara-Ibanda'!I22,'28.10 Mbarara-Ibanda-24hr'!I22,'29.10 Mbarara-Ibanda'!I22,'30.10 Mbarara-Ibanda'!I22,'31.10 Mbarara-Ibanda'!I22)</f>
        <v>1.1428571428571428</v>
      </c>
      <c r="J22" s="49">
        <f>AVERAGE('25.10 Mbarara-Ibanda'!J22,'26.10 Mbarara-Ibanda-24hr'!J22,'27.10 Mbarara-Ibanda'!J22,'28.10 Mbarara-Ibanda-24hr'!J22,'29.10 Mbarara-Ibanda'!J22,'30.10 Mbarara-Ibanda'!J22,'31.10 Mbarara-Ibanda'!J22)</f>
        <v>0.8571428571428571</v>
      </c>
      <c r="K22" s="49">
        <f>AVERAGE('25.10 Mbarara-Ibanda'!K22,'26.10 Mbarara-Ibanda-24hr'!K22,'27.10 Mbarara-Ibanda'!K22,'28.10 Mbarara-Ibanda-24hr'!K22,'29.10 Mbarara-Ibanda'!K22,'30.10 Mbarara-Ibanda'!K22,'31.10 Mbarara-Ibanda'!K22)</f>
        <v>0.14285714285714285</v>
      </c>
      <c r="L22" s="49">
        <f>AVERAGE('25.10 Mbarara-Ibanda'!L22,'26.10 Mbarara-Ibanda-24hr'!L22,'27.10 Mbarara-Ibanda'!L22,'28.10 Mbarara-Ibanda-24hr'!L22,'29.10 Mbarara-Ibanda'!L22,'30.10 Mbarara-Ibanda'!L22,'31.10 Mbarara-Ibanda'!L22)</f>
        <v>0.2857142857142857</v>
      </c>
      <c r="M22" s="49">
        <f>AVERAGE('25.10 Mbarara-Ibanda'!M22,'26.10 Mbarara-Ibanda-24hr'!M22,'27.10 Mbarara-Ibanda'!M22,'28.10 Mbarara-Ibanda-24hr'!M22,'29.10 Mbarara-Ibanda'!M22,'30.10 Mbarara-Ibanda'!M22,'31.10 Mbarara-Ibanda'!M22)</f>
        <v>8.4285714285714288</v>
      </c>
      <c r="N22" s="49">
        <f>AVERAGE('25.10 Mbarara-Ibanda'!N22,'26.10 Mbarara-Ibanda-24hr'!N22,'27.10 Mbarara-Ibanda'!N22,'28.10 Mbarara-Ibanda-24hr'!N22,'29.10 Mbarara-Ibanda'!N22,'30.10 Mbarara-Ibanda'!N22,'31.10 Mbarara-Ibanda'!N22)</f>
        <v>0</v>
      </c>
      <c r="O22" s="15">
        <f t="shared" si="0"/>
        <v>11.571428571428573</v>
      </c>
      <c r="P22" s="15">
        <f t="shared" si="1"/>
        <v>20</v>
      </c>
      <c r="R22" s="1" t="s">
        <v>146</v>
      </c>
      <c r="S22" s="34">
        <f>SUM(C58:C61)</f>
        <v>17.5</v>
      </c>
      <c r="T22" s="34">
        <f t="shared" ref="T22:AF22" si="14">SUM(D58:D61)</f>
        <v>4.5</v>
      </c>
      <c r="U22" s="34">
        <f t="shared" si="14"/>
        <v>1</v>
      </c>
      <c r="V22" s="34">
        <f t="shared" si="14"/>
        <v>3</v>
      </c>
      <c r="W22" s="34">
        <f t="shared" si="14"/>
        <v>0</v>
      </c>
      <c r="X22" s="34">
        <f t="shared" si="14"/>
        <v>1.5</v>
      </c>
      <c r="Y22" s="34">
        <f t="shared" si="14"/>
        <v>2.5</v>
      </c>
      <c r="Z22" s="34">
        <f t="shared" si="14"/>
        <v>3</v>
      </c>
      <c r="AA22" s="34">
        <f t="shared" si="14"/>
        <v>1.5</v>
      </c>
      <c r="AB22" s="34">
        <f t="shared" si="14"/>
        <v>0</v>
      </c>
      <c r="AC22" s="34">
        <f t="shared" si="14"/>
        <v>34</v>
      </c>
      <c r="AD22" s="34">
        <f t="shared" si="14"/>
        <v>0</v>
      </c>
      <c r="AE22" s="31">
        <f t="shared" si="14"/>
        <v>34.5</v>
      </c>
      <c r="AF22" s="31">
        <f t="shared" si="14"/>
        <v>68.5</v>
      </c>
    </row>
    <row r="23" spans="2:32" ht="23.1" customHeight="1" x14ac:dyDescent="0.25">
      <c r="B23" s="23" t="s">
        <v>50</v>
      </c>
      <c r="C23" s="49">
        <f>AVERAGE('25.10 Mbarara-Ibanda'!C23,'26.10 Mbarara-Ibanda-24hr'!C23,'27.10 Mbarara-Ibanda'!C23,'28.10 Mbarara-Ibanda-24hr'!C23,'29.10 Mbarara-Ibanda'!C23,'30.10 Mbarara-Ibanda'!C23,'31.10 Mbarara-Ibanda'!C23)</f>
        <v>6.5714285714285712</v>
      </c>
      <c r="D23" s="49">
        <f>AVERAGE('25.10 Mbarara-Ibanda'!D23,'26.10 Mbarara-Ibanda-24hr'!D23,'27.10 Mbarara-Ibanda'!D23,'28.10 Mbarara-Ibanda-24hr'!D23,'29.10 Mbarara-Ibanda'!D23,'30.10 Mbarara-Ibanda'!D23,'31.10 Mbarara-Ibanda'!D23)</f>
        <v>0.42857142857142855</v>
      </c>
      <c r="E23" s="49">
        <f>AVERAGE('25.10 Mbarara-Ibanda'!E23,'26.10 Mbarara-Ibanda-24hr'!E23,'27.10 Mbarara-Ibanda'!E23,'28.10 Mbarara-Ibanda-24hr'!E23,'29.10 Mbarara-Ibanda'!E23,'30.10 Mbarara-Ibanda'!E23,'31.10 Mbarara-Ibanda'!E23)</f>
        <v>1.2857142857142858</v>
      </c>
      <c r="F23" s="49">
        <f>AVERAGE('25.10 Mbarara-Ibanda'!F23,'26.10 Mbarara-Ibanda-24hr'!F23,'27.10 Mbarara-Ibanda'!F23,'28.10 Mbarara-Ibanda-24hr'!F23,'29.10 Mbarara-Ibanda'!F23,'30.10 Mbarara-Ibanda'!F23,'31.10 Mbarara-Ibanda'!F23)</f>
        <v>0.8571428571428571</v>
      </c>
      <c r="G23" s="49">
        <f>AVERAGE('25.10 Mbarara-Ibanda'!G23,'26.10 Mbarara-Ibanda-24hr'!G23,'27.10 Mbarara-Ibanda'!G23,'28.10 Mbarara-Ibanda-24hr'!G23,'29.10 Mbarara-Ibanda'!G23,'30.10 Mbarara-Ibanda'!G23,'31.10 Mbarara-Ibanda'!G23)</f>
        <v>0</v>
      </c>
      <c r="H23" s="49">
        <f>AVERAGE('25.10 Mbarara-Ibanda'!H23,'26.10 Mbarara-Ibanda-24hr'!H23,'27.10 Mbarara-Ibanda'!H23,'28.10 Mbarara-Ibanda-24hr'!H23,'29.10 Mbarara-Ibanda'!H23,'30.10 Mbarara-Ibanda'!H23,'31.10 Mbarara-Ibanda'!H23)</f>
        <v>0</v>
      </c>
      <c r="I23" s="49">
        <f>AVERAGE('25.10 Mbarara-Ibanda'!I23,'26.10 Mbarara-Ibanda-24hr'!I23,'27.10 Mbarara-Ibanda'!I23,'28.10 Mbarara-Ibanda-24hr'!I23,'29.10 Mbarara-Ibanda'!I23,'30.10 Mbarara-Ibanda'!I23,'31.10 Mbarara-Ibanda'!I23)</f>
        <v>0.8571428571428571</v>
      </c>
      <c r="J23" s="49">
        <f>AVERAGE('25.10 Mbarara-Ibanda'!J23,'26.10 Mbarara-Ibanda-24hr'!J23,'27.10 Mbarara-Ibanda'!J23,'28.10 Mbarara-Ibanda-24hr'!J23,'29.10 Mbarara-Ibanda'!J23,'30.10 Mbarara-Ibanda'!J23,'31.10 Mbarara-Ibanda'!J23)</f>
        <v>0.14285714285714285</v>
      </c>
      <c r="K23" s="49">
        <f>AVERAGE('25.10 Mbarara-Ibanda'!K23,'26.10 Mbarara-Ibanda-24hr'!K23,'27.10 Mbarara-Ibanda'!K23,'28.10 Mbarara-Ibanda-24hr'!K23,'29.10 Mbarara-Ibanda'!K23,'30.10 Mbarara-Ibanda'!K23,'31.10 Mbarara-Ibanda'!K23)</f>
        <v>0.14285714285714285</v>
      </c>
      <c r="L23" s="49">
        <f>AVERAGE('25.10 Mbarara-Ibanda'!L23,'26.10 Mbarara-Ibanda-24hr'!L23,'27.10 Mbarara-Ibanda'!L23,'28.10 Mbarara-Ibanda-24hr'!L23,'29.10 Mbarara-Ibanda'!L23,'30.10 Mbarara-Ibanda'!L23,'31.10 Mbarara-Ibanda'!L23)</f>
        <v>0</v>
      </c>
      <c r="M23" s="49">
        <f>AVERAGE('25.10 Mbarara-Ibanda'!M23,'26.10 Mbarara-Ibanda-24hr'!M23,'27.10 Mbarara-Ibanda'!M23,'28.10 Mbarara-Ibanda-24hr'!M23,'29.10 Mbarara-Ibanda'!M23,'30.10 Mbarara-Ibanda'!M23,'31.10 Mbarara-Ibanda'!M23)</f>
        <v>6.4285714285714288</v>
      </c>
      <c r="N23" s="49">
        <f>AVERAGE('25.10 Mbarara-Ibanda'!N23,'26.10 Mbarara-Ibanda-24hr'!N23,'27.10 Mbarara-Ibanda'!N23,'28.10 Mbarara-Ibanda-24hr'!N23,'29.10 Mbarara-Ibanda'!N23,'30.10 Mbarara-Ibanda'!N23,'31.10 Mbarara-Ibanda'!N23)</f>
        <v>0</v>
      </c>
      <c r="O23" s="15">
        <f t="shared" si="0"/>
        <v>10.285714285714286</v>
      </c>
      <c r="P23" s="15">
        <f t="shared" si="1"/>
        <v>16.714285714285715</v>
      </c>
      <c r="R23" s="1" t="s">
        <v>147</v>
      </c>
      <c r="S23" s="34">
        <f>SUM(C62:C65)</f>
        <v>21.5</v>
      </c>
      <c r="T23" s="34">
        <f t="shared" ref="T23:AF23" si="15">SUM(D62:D65)</f>
        <v>1.5</v>
      </c>
      <c r="U23" s="34">
        <f t="shared" si="15"/>
        <v>1</v>
      </c>
      <c r="V23" s="34">
        <f t="shared" si="15"/>
        <v>5</v>
      </c>
      <c r="W23" s="34">
        <f t="shared" si="15"/>
        <v>0.5</v>
      </c>
      <c r="X23" s="34">
        <f t="shared" si="15"/>
        <v>0</v>
      </c>
      <c r="Y23" s="34">
        <f t="shared" si="15"/>
        <v>5</v>
      </c>
      <c r="Z23" s="34">
        <f t="shared" si="15"/>
        <v>2</v>
      </c>
      <c r="AA23" s="34">
        <f t="shared" si="15"/>
        <v>0.5</v>
      </c>
      <c r="AB23" s="34">
        <f t="shared" si="15"/>
        <v>0</v>
      </c>
      <c r="AC23" s="34">
        <f t="shared" si="15"/>
        <v>20.5</v>
      </c>
      <c r="AD23" s="34">
        <f t="shared" si="15"/>
        <v>0</v>
      </c>
      <c r="AE23" s="31">
        <f t="shared" si="15"/>
        <v>37</v>
      </c>
      <c r="AF23" s="31">
        <f t="shared" si="15"/>
        <v>57.5</v>
      </c>
    </row>
    <row r="24" spans="2:32" ht="23.1" customHeight="1" x14ac:dyDescent="0.25">
      <c r="B24" s="23" t="s">
        <v>51</v>
      </c>
      <c r="C24" s="49">
        <f>AVERAGE('25.10 Mbarara-Ibanda'!C24,'26.10 Mbarara-Ibanda-24hr'!C24,'27.10 Mbarara-Ibanda'!C24,'28.10 Mbarara-Ibanda-24hr'!C24,'29.10 Mbarara-Ibanda'!C24,'30.10 Mbarara-Ibanda'!C24,'31.10 Mbarara-Ibanda'!C24)</f>
        <v>7</v>
      </c>
      <c r="D24" s="49">
        <f>AVERAGE('25.10 Mbarara-Ibanda'!D24,'26.10 Mbarara-Ibanda-24hr'!D24,'27.10 Mbarara-Ibanda'!D24,'28.10 Mbarara-Ibanda-24hr'!D24,'29.10 Mbarara-Ibanda'!D24,'30.10 Mbarara-Ibanda'!D24,'31.10 Mbarara-Ibanda'!D24)</f>
        <v>0.8571428571428571</v>
      </c>
      <c r="E24" s="49">
        <f>AVERAGE('25.10 Mbarara-Ibanda'!E24,'26.10 Mbarara-Ibanda-24hr'!E24,'27.10 Mbarara-Ibanda'!E24,'28.10 Mbarara-Ibanda-24hr'!E24,'29.10 Mbarara-Ibanda'!E24,'30.10 Mbarara-Ibanda'!E24,'31.10 Mbarara-Ibanda'!E24)</f>
        <v>1.8571428571428572</v>
      </c>
      <c r="F24" s="49">
        <f>AVERAGE('25.10 Mbarara-Ibanda'!F24,'26.10 Mbarara-Ibanda-24hr'!F24,'27.10 Mbarara-Ibanda'!F24,'28.10 Mbarara-Ibanda-24hr'!F24,'29.10 Mbarara-Ibanda'!F24,'30.10 Mbarara-Ibanda'!F24,'31.10 Mbarara-Ibanda'!F24)</f>
        <v>1.1428571428571428</v>
      </c>
      <c r="G24" s="49">
        <f>AVERAGE('25.10 Mbarara-Ibanda'!G24,'26.10 Mbarara-Ibanda-24hr'!G24,'27.10 Mbarara-Ibanda'!G24,'28.10 Mbarara-Ibanda-24hr'!G24,'29.10 Mbarara-Ibanda'!G24,'30.10 Mbarara-Ibanda'!G24,'31.10 Mbarara-Ibanda'!G24)</f>
        <v>0.14285714285714285</v>
      </c>
      <c r="H24" s="49">
        <f>AVERAGE('25.10 Mbarara-Ibanda'!H24,'26.10 Mbarara-Ibanda-24hr'!H24,'27.10 Mbarara-Ibanda'!H24,'28.10 Mbarara-Ibanda-24hr'!H24,'29.10 Mbarara-Ibanda'!H24,'30.10 Mbarara-Ibanda'!H24,'31.10 Mbarara-Ibanda'!H24)</f>
        <v>0.14285714285714285</v>
      </c>
      <c r="I24" s="49">
        <f>AVERAGE('25.10 Mbarara-Ibanda'!I24,'26.10 Mbarara-Ibanda-24hr'!I24,'27.10 Mbarara-Ibanda'!I24,'28.10 Mbarara-Ibanda-24hr'!I24,'29.10 Mbarara-Ibanda'!I24,'30.10 Mbarara-Ibanda'!I24,'31.10 Mbarara-Ibanda'!I24)</f>
        <v>0.5714285714285714</v>
      </c>
      <c r="J24" s="49">
        <f>AVERAGE('25.10 Mbarara-Ibanda'!J24,'26.10 Mbarara-Ibanda-24hr'!J24,'27.10 Mbarara-Ibanda'!J24,'28.10 Mbarara-Ibanda-24hr'!J24,'29.10 Mbarara-Ibanda'!J24,'30.10 Mbarara-Ibanda'!J24,'31.10 Mbarara-Ibanda'!J24)</f>
        <v>0.42857142857142855</v>
      </c>
      <c r="K24" s="49">
        <f>AVERAGE('25.10 Mbarara-Ibanda'!K24,'26.10 Mbarara-Ibanda-24hr'!K24,'27.10 Mbarara-Ibanda'!K24,'28.10 Mbarara-Ibanda-24hr'!K24,'29.10 Mbarara-Ibanda'!K24,'30.10 Mbarara-Ibanda'!K24,'31.10 Mbarara-Ibanda'!K24)</f>
        <v>0.42857142857142855</v>
      </c>
      <c r="L24" s="49">
        <f>AVERAGE('25.10 Mbarara-Ibanda'!L24,'26.10 Mbarara-Ibanda-24hr'!L24,'27.10 Mbarara-Ibanda'!L24,'28.10 Mbarara-Ibanda-24hr'!L24,'29.10 Mbarara-Ibanda'!L24,'30.10 Mbarara-Ibanda'!L24,'31.10 Mbarara-Ibanda'!L24)</f>
        <v>0.14285714285714285</v>
      </c>
      <c r="M24" s="49">
        <f>AVERAGE('25.10 Mbarara-Ibanda'!M24,'26.10 Mbarara-Ibanda-24hr'!M24,'27.10 Mbarara-Ibanda'!M24,'28.10 Mbarara-Ibanda-24hr'!M24,'29.10 Mbarara-Ibanda'!M24,'30.10 Mbarara-Ibanda'!M24,'31.10 Mbarara-Ibanda'!M24)</f>
        <v>11.857142857142858</v>
      </c>
      <c r="N24" s="49">
        <f>AVERAGE('25.10 Mbarara-Ibanda'!N24,'26.10 Mbarara-Ibanda-24hr'!N24,'27.10 Mbarara-Ibanda'!N24,'28.10 Mbarara-Ibanda-24hr'!N24,'29.10 Mbarara-Ibanda'!N24,'30.10 Mbarara-Ibanda'!N24,'31.10 Mbarara-Ibanda'!N24)</f>
        <v>0</v>
      </c>
      <c r="O24" s="15">
        <f t="shared" si="0"/>
        <v>12.714285714285712</v>
      </c>
      <c r="P24" s="15">
        <f t="shared" si="1"/>
        <v>24.571428571428569</v>
      </c>
      <c r="R24" s="1" t="s">
        <v>148</v>
      </c>
      <c r="S24" s="34">
        <f>SUM(C66:C69)</f>
        <v>17</v>
      </c>
      <c r="T24" s="34">
        <f t="shared" ref="T24:AF24" si="16">SUM(D66:D69)</f>
        <v>2.5</v>
      </c>
      <c r="U24" s="34">
        <f t="shared" si="16"/>
        <v>1</v>
      </c>
      <c r="V24" s="34">
        <f t="shared" si="16"/>
        <v>1.5</v>
      </c>
      <c r="W24" s="34">
        <f t="shared" si="16"/>
        <v>0.5</v>
      </c>
      <c r="X24" s="34">
        <f t="shared" si="16"/>
        <v>0.5</v>
      </c>
      <c r="Y24" s="34">
        <f t="shared" si="16"/>
        <v>1.5</v>
      </c>
      <c r="Z24" s="34">
        <f t="shared" si="16"/>
        <v>1</v>
      </c>
      <c r="AA24" s="34">
        <f t="shared" si="16"/>
        <v>1.5</v>
      </c>
      <c r="AB24" s="34">
        <f t="shared" si="16"/>
        <v>1</v>
      </c>
      <c r="AC24" s="34">
        <f t="shared" si="16"/>
        <v>12.5</v>
      </c>
      <c r="AD24" s="34">
        <f t="shared" si="16"/>
        <v>0</v>
      </c>
      <c r="AE24" s="31">
        <f t="shared" si="16"/>
        <v>28</v>
      </c>
      <c r="AF24" s="31">
        <f t="shared" si="16"/>
        <v>40.5</v>
      </c>
    </row>
    <row r="25" spans="2:32" ht="23.1" customHeight="1" x14ac:dyDescent="0.25">
      <c r="B25" s="23" t="s">
        <v>52</v>
      </c>
      <c r="C25" s="49">
        <f>AVERAGE('25.10 Mbarara-Ibanda'!C25,'26.10 Mbarara-Ibanda-24hr'!C25,'27.10 Mbarara-Ibanda'!C25,'28.10 Mbarara-Ibanda-24hr'!C25,'29.10 Mbarara-Ibanda'!C25,'30.10 Mbarara-Ibanda'!C25,'31.10 Mbarara-Ibanda'!C25)</f>
        <v>7.2857142857142856</v>
      </c>
      <c r="D25" s="49">
        <f>AVERAGE('25.10 Mbarara-Ibanda'!D25,'26.10 Mbarara-Ibanda-24hr'!D25,'27.10 Mbarara-Ibanda'!D25,'28.10 Mbarara-Ibanda-24hr'!D25,'29.10 Mbarara-Ibanda'!D25,'30.10 Mbarara-Ibanda'!D25,'31.10 Mbarara-Ibanda'!D25)</f>
        <v>0.42857142857142855</v>
      </c>
      <c r="E25" s="49">
        <f>AVERAGE('25.10 Mbarara-Ibanda'!E25,'26.10 Mbarara-Ibanda-24hr'!E25,'27.10 Mbarara-Ibanda'!E25,'28.10 Mbarara-Ibanda-24hr'!E25,'29.10 Mbarara-Ibanda'!E25,'30.10 Mbarara-Ibanda'!E25,'31.10 Mbarara-Ibanda'!E25)</f>
        <v>0.42857142857142855</v>
      </c>
      <c r="F25" s="49">
        <f>AVERAGE('25.10 Mbarara-Ibanda'!F25,'26.10 Mbarara-Ibanda-24hr'!F25,'27.10 Mbarara-Ibanda'!F25,'28.10 Mbarara-Ibanda-24hr'!F25,'29.10 Mbarara-Ibanda'!F25,'30.10 Mbarara-Ibanda'!F25,'31.10 Mbarara-Ibanda'!F25)</f>
        <v>1.1428571428571428</v>
      </c>
      <c r="G25" s="49">
        <f>AVERAGE('25.10 Mbarara-Ibanda'!G25,'26.10 Mbarara-Ibanda-24hr'!G25,'27.10 Mbarara-Ibanda'!G25,'28.10 Mbarara-Ibanda-24hr'!G25,'29.10 Mbarara-Ibanda'!G25,'30.10 Mbarara-Ibanda'!G25,'31.10 Mbarara-Ibanda'!G25)</f>
        <v>0.14285714285714285</v>
      </c>
      <c r="H25" s="49">
        <f>AVERAGE('25.10 Mbarara-Ibanda'!H25,'26.10 Mbarara-Ibanda-24hr'!H25,'27.10 Mbarara-Ibanda'!H25,'28.10 Mbarara-Ibanda-24hr'!H25,'29.10 Mbarara-Ibanda'!H25,'30.10 Mbarara-Ibanda'!H25,'31.10 Mbarara-Ibanda'!H25)</f>
        <v>0</v>
      </c>
      <c r="I25" s="49">
        <f>AVERAGE('25.10 Mbarara-Ibanda'!I25,'26.10 Mbarara-Ibanda-24hr'!I25,'27.10 Mbarara-Ibanda'!I25,'28.10 Mbarara-Ibanda-24hr'!I25,'29.10 Mbarara-Ibanda'!I25,'30.10 Mbarara-Ibanda'!I25,'31.10 Mbarara-Ibanda'!I25)</f>
        <v>0.7142857142857143</v>
      </c>
      <c r="J25" s="49">
        <f>AVERAGE('25.10 Mbarara-Ibanda'!J25,'26.10 Mbarara-Ibanda-24hr'!J25,'27.10 Mbarara-Ibanda'!J25,'28.10 Mbarara-Ibanda-24hr'!J25,'29.10 Mbarara-Ibanda'!J25,'30.10 Mbarara-Ibanda'!J25,'31.10 Mbarara-Ibanda'!J25)</f>
        <v>0.8571428571428571</v>
      </c>
      <c r="K25" s="49">
        <f>AVERAGE('25.10 Mbarara-Ibanda'!K25,'26.10 Mbarara-Ibanda-24hr'!K25,'27.10 Mbarara-Ibanda'!K25,'28.10 Mbarara-Ibanda-24hr'!K25,'29.10 Mbarara-Ibanda'!K25,'30.10 Mbarara-Ibanda'!K25,'31.10 Mbarara-Ibanda'!K25)</f>
        <v>0.2857142857142857</v>
      </c>
      <c r="L25" s="49">
        <f>AVERAGE('25.10 Mbarara-Ibanda'!L25,'26.10 Mbarara-Ibanda-24hr'!L25,'27.10 Mbarara-Ibanda'!L25,'28.10 Mbarara-Ibanda-24hr'!L25,'29.10 Mbarara-Ibanda'!L25,'30.10 Mbarara-Ibanda'!L25,'31.10 Mbarara-Ibanda'!L25)</f>
        <v>0.14285714285714285</v>
      </c>
      <c r="M25" s="49">
        <f>AVERAGE('25.10 Mbarara-Ibanda'!M25,'26.10 Mbarara-Ibanda-24hr'!M25,'27.10 Mbarara-Ibanda'!M25,'28.10 Mbarara-Ibanda-24hr'!M25,'29.10 Mbarara-Ibanda'!M25,'30.10 Mbarara-Ibanda'!M25,'31.10 Mbarara-Ibanda'!M25)</f>
        <v>9.5714285714285712</v>
      </c>
      <c r="N25" s="49">
        <f>AVERAGE('25.10 Mbarara-Ibanda'!N25,'26.10 Mbarara-Ibanda-24hr'!N25,'27.10 Mbarara-Ibanda'!N25,'28.10 Mbarara-Ibanda-24hr'!N25,'29.10 Mbarara-Ibanda'!N25,'30.10 Mbarara-Ibanda'!N25,'31.10 Mbarara-Ibanda'!N25)</f>
        <v>0</v>
      </c>
      <c r="O25" s="15">
        <f t="shared" si="0"/>
        <v>11.428571428571427</v>
      </c>
      <c r="P25" s="15">
        <f t="shared" si="1"/>
        <v>21</v>
      </c>
      <c r="R25" s="1" t="s">
        <v>149</v>
      </c>
      <c r="S25" s="34">
        <f>SUM(C70:C73)</f>
        <v>9</v>
      </c>
      <c r="T25" s="34">
        <f t="shared" ref="T25:AF25" si="17">SUM(D70:D73)</f>
        <v>2</v>
      </c>
      <c r="U25" s="34">
        <f t="shared" si="17"/>
        <v>2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15.5</v>
      </c>
      <c r="AF25" s="31">
        <f t="shared" si="17"/>
        <v>22.5</v>
      </c>
    </row>
    <row r="26" spans="2:32" ht="23.1" customHeight="1" x14ac:dyDescent="0.25">
      <c r="B26" s="23" t="s">
        <v>53</v>
      </c>
      <c r="C26" s="49">
        <f>AVERAGE('25.10 Mbarara-Ibanda'!C26,'26.10 Mbarara-Ibanda-24hr'!C26,'27.10 Mbarara-Ibanda'!C26,'28.10 Mbarara-Ibanda-24hr'!C26,'29.10 Mbarara-Ibanda'!C26,'30.10 Mbarara-Ibanda'!C26,'31.10 Mbarara-Ibanda'!C26)</f>
        <v>5.8571428571428568</v>
      </c>
      <c r="D26" s="49">
        <f>AVERAGE('25.10 Mbarara-Ibanda'!D26,'26.10 Mbarara-Ibanda-24hr'!D26,'27.10 Mbarara-Ibanda'!D26,'28.10 Mbarara-Ibanda-24hr'!D26,'29.10 Mbarara-Ibanda'!D26,'30.10 Mbarara-Ibanda'!D26,'31.10 Mbarara-Ibanda'!D26)</f>
        <v>1.2857142857142858</v>
      </c>
      <c r="E26" s="49">
        <f>AVERAGE('25.10 Mbarara-Ibanda'!E26,'26.10 Mbarara-Ibanda-24hr'!E26,'27.10 Mbarara-Ibanda'!E26,'28.10 Mbarara-Ibanda-24hr'!E26,'29.10 Mbarara-Ibanda'!E26,'30.10 Mbarara-Ibanda'!E26,'31.10 Mbarara-Ibanda'!E26)</f>
        <v>0.8571428571428571</v>
      </c>
      <c r="F26" s="49">
        <f>AVERAGE('25.10 Mbarara-Ibanda'!F26,'26.10 Mbarara-Ibanda-24hr'!F26,'27.10 Mbarara-Ibanda'!F26,'28.10 Mbarara-Ibanda-24hr'!F26,'29.10 Mbarara-Ibanda'!F26,'30.10 Mbarara-Ibanda'!F26,'31.10 Mbarara-Ibanda'!F26)</f>
        <v>0.8571428571428571</v>
      </c>
      <c r="G26" s="49">
        <f>AVERAGE('25.10 Mbarara-Ibanda'!G26,'26.10 Mbarara-Ibanda-24hr'!G26,'27.10 Mbarara-Ibanda'!G26,'28.10 Mbarara-Ibanda-24hr'!G26,'29.10 Mbarara-Ibanda'!G26,'30.10 Mbarara-Ibanda'!G26,'31.10 Mbarara-Ibanda'!G26)</f>
        <v>0</v>
      </c>
      <c r="H26" s="49">
        <f>AVERAGE('25.10 Mbarara-Ibanda'!H26,'26.10 Mbarara-Ibanda-24hr'!H26,'27.10 Mbarara-Ibanda'!H26,'28.10 Mbarara-Ibanda-24hr'!H26,'29.10 Mbarara-Ibanda'!H26,'30.10 Mbarara-Ibanda'!H26,'31.10 Mbarara-Ibanda'!H26)</f>
        <v>0</v>
      </c>
      <c r="I26" s="49">
        <f>AVERAGE('25.10 Mbarara-Ibanda'!I26,'26.10 Mbarara-Ibanda-24hr'!I26,'27.10 Mbarara-Ibanda'!I26,'28.10 Mbarara-Ibanda-24hr'!I26,'29.10 Mbarara-Ibanda'!I26,'30.10 Mbarara-Ibanda'!I26,'31.10 Mbarara-Ibanda'!I26)</f>
        <v>0.42857142857142855</v>
      </c>
      <c r="J26" s="49">
        <f>AVERAGE('25.10 Mbarara-Ibanda'!J26,'26.10 Mbarara-Ibanda-24hr'!J26,'27.10 Mbarara-Ibanda'!J26,'28.10 Mbarara-Ibanda-24hr'!J26,'29.10 Mbarara-Ibanda'!J26,'30.10 Mbarara-Ibanda'!J26,'31.10 Mbarara-Ibanda'!J26)</f>
        <v>0.2857142857142857</v>
      </c>
      <c r="K26" s="49">
        <f>AVERAGE('25.10 Mbarara-Ibanda'!K26,'26.10 Mbarara-Ibanda-24hr'!K26,'27.10 Mbarara-Ibanda'!K26,'28.10 Mbarara-Ibanda-24hr'!K26,'29.10 Mbarara-Ibanda'!K26,'30.10 Mbarara-Ibanda'!K26,'31.10 Mbarara-Ibanda'!K26)</f>
        <v>0.14285714285714285</v>
      </c>
      <c r="L26" s="49">
        <f>AVERAGE('25.10 Mbarara-Ibanda'!L26,'26.10 Mbarara-Ibanda-24hr'!L26,'27.10 Mbarara-Ibanda'!L26,'28.10 Mbarara-Ibanda-24hr'!L26,'29.10 Mbarara-Ibanda'!L26,'30.10 Mbarara-Ibanda'!L26,'31.10 Mbarara-Ibanda'!L26)</f>
        <v>0.14285714285714285</v>
      </c>
      <c r="M26" s="49">
        <f>AVERAGE('25.10 Mbarara-Ibanda'!M26,'26.10 Mbarara-Ibanda-24hr'!M26,'27.10 Mbarara-Ibanda'!M26,'28.10 Mbarara-Ibanda-24hr'!M26,'29.10 Mbarara-Ibanda'!M26,'30.10 Mbarara-Ibanda'!M26,'31.10 Mbarara-Ibanda'!M26)</f>
        <v>9.5714285714285712</v>
      </c>
      <c r="N26" s="49">
        <f>AVERAGE('25.10 Mbarara-Ibanda'!N26,'26.10 Mbarara-Ibanda-24hr'!N26,'27.10 Mbarara-Ibanda'!N26,'28.10 Mbarara-Ibanda-24hr'!N26,'29.10 Mbarara-Ibanda'!N26,'30.10 Mbarara-Ibanda'!N26,'31.10 Mbarara-Ibanda'!N26)</f>
        <v>0</v>
      </c>
      <c r="O26" s="15">
        <f t="shared" si="0"/>
        <v>9.8571428571428559</v>
      </c>
      <c r="P26" s="15">
        <f t="shared" si="1"/>
        <v>19.428571428571427</v>
      </c>
      <c r="R26" s="1" t="s">
        <v>150</v>
      </c>
      <c r="S26" s="34">
        <f>SUM(C74:C77)</f>
        <v>4.5</v>
      </c>
      <c r="T26" s="34">
        <f t="shared" ref="T26:AF26" si="18">SUM(D74:D77)</f>
        <v>0.5</v>
      </c>
      <c r="U26" s="34">
        <f t="shared" si="18"/>
        <v>0.5</v>
      </c>
      <c r="V26" s="34">
        <f t="shared" si="18"/>
        <v>1.5</v>
      </c>
      <c r="W26" s="34">
        <f t="shared" si="18"/>
        <v>0</v>
      </c>
      <c r="X26" s="34">
        <f t="shared" si="18"/>
        <v>0</v>
      </c>
      <c r="Y26" s="34">
        <f t="shared" si="18"/>
        <v>0.5</v>
      </c>
      <c r="Z26" s="34">
        <f t="shared" si="18"/>
        <v>0</v>
      </c>
      <c r="AA26" s="34">
        <f t="shared" si="18"/>
        <v>0.5</v>
      </c>
      <c r="AB26" s="34">
        <f t="shared" si="18"/>
        <v>0</v>
      </c>
      <c r="AC26" s="34">
        <f t="shared" si="18"/>
        <v>2.5</v>
      </c>
      <c r="AD26" s="34">
        <f t="shared" si="18"/>
        <v>0</v>
      </c>
      <c r="AE26" s="31">
        <f t="shared" si="18"/>
        <v>8</v>
      </c>
      <c r="AF26" s="31">
        <f t="shared" si="18"/>
        <v>10.5</v>
      </c>
    </row>
    <row r="27" spans="2:32" ht="23.1" customHeight="1" x14ac:dyDescent="0.25">
      <c r="B27" s="23" t="s">
        <v>54</v>
      </c>
      <c r="C27" s="49">
        <f>AVERAGE('25.10 Mbarara-Ibanda'!C27,'26.10 Mbarara-Ibanda-24hr'!C27,'27.10 Mbarara-Ibanda'!C27,'28.10 Mbarara-Ibanda-24hr'!C27,'29.10 Mbarara-Ibanda'!C27,'30.10 Mbarara-Ibanda'!C27,'31.10 Mbarara-Ibanda'!C27)</f>
        <v>7</v>
      </c>
      <c r="D27" s="49">
        <f>AVERAGE('25.10 Mbarara-Ibanda'!D27,'26.10 Mbarara-Ibanda-24hr'!D27,'27.10 Mbarara-Ibanda'!D27,'28.10 Mbarara-Ibanda-24hr'!D27,'29.10 Mbarara-Ibanda'!D27,'30.10 Mbarara-Ibanda'!D27,'31.10 Mbarara-Ibanda'!D27)</f>
        <v>0.7142857142857143</v>
      </c>
      <c r="E27" s="49">
        <f>AVERAGE('25.10 Mbarara-Ibanda'!E27,'26.10 Mbarara-Ibanda-24hr'!E27,'27.10 Mbarara-Ibanda'!E27,'28.10 Mbarara-Ibanda-24hr'!E27,'29.10 Mbarara-Ibanda'!E27,'30.10 Mbarara-Ibanda'!E27,'31.10 Mbarara-Ibanda'!E27)</f>
        <v>1</v>
      </c>
      <c r="F27" s="49">
        <f>AVERAGE('25.10 Mbarara-Ibanda'!F27,'26.10 Mbarara-Ibanda-24hr'!F27,'27.10 Mbarara-Ibanda'!F27,'28.10 Mbarara-Ibanda-24hr'!F27,'29.10 Mbarara-Ibanda'!F27,'30.10 Mbarara-Ibanda'!F27,'31.10 Mbarara-Ibanda'!F27)</f>
        <v>2</v>
      </c>
      <c r="G27" s="49">
        <f>AVERAGE('25.10 Mbarara-Ibanda'!G27,'26.10 Mbarara-Ibanda-24hr'!G27,'27.10 Mbarara-Ibanda'!G27,'28.10 Mbarara-Ibanda-24hr'!G27,'29.10 Mbarara-Ibanda'!G27,'30.10 Mbarara-Ibanda'!G27,'31.10 Mbarara-Ibanda'!G27)</f>
        <v>0</v>
      </c>
      <c r="H27" s="49">
        <f>AVERAGE('25.10 Mbarara-Ibanda'!H27,'26.10 Mbarara-Ibanda-24hr'!H27,'27.10 Mbarara-Ibanda'!H27,'28.10 Mbarara-Ibanda-24hr'!H27,'29.10 Mbarara-Ibanda'!H27,'30.10 Mbarara-Ibanda'!H27,'31.10 Mbarara-Ibanda'!H27)</f>
        <v>0</v>
      </c>
      <c r="I27" s="49">
        <f>AVERAGE('25.10 Mbarara-Ibanda'!I27,'26.10 Mbarara-Ibanda-24hr'!I27,'27.10 Mbarara-Ibanda'!I27,'28.10 Mbarara-Ibanda-24hr'!I27,'29.10 Mbarara-Ibanda'!I27,'30.10 Mbarara-Ibanda'!I27,'31.10 Mbarara-Ibanda'!I27)</f>
        <v>0.14285714285714285</v>
      </c>
      <c r="J27" s="49">
        <f>AVERAGE('25.10 Mbarara-Ibanda'!J27,'26.10 Mbarara-Ibanda-24hr'!J27,'27.10 Mbarara-Ibanda'!J27,'28.10 Mbarara-Ibanda-24hr'!J27,'29.10 Mbarara-Ibanda'!J27,'30.10 Mbarara-Ibanda'!J27,'31.10 Mbarara-Ibanda'!J27)</f>
        <v>0.5714285714285714</v>
      </c>
      <c r="K27" s="49">
        <f>AVERAGE('25.10 Mbarara-Ibanda'!K27,'26.10 Mbarara-Ibanda-24hr'!K27,'27.10 Mbarara-Ibanda'!K27,'28.10 Mbarara-Ibanda-24hr'!K27,'29.10 Mbarara-Ibanda'!K27,'30.10 Mbarara-Ibanda'!K27,'31.10 Mbarara-Ibanda'!K27)</f>
        <v>0.2857142857142857</v>
      </c>
      <c r="L27" s="49">
        <f>AVERAGE('25.10 Mbarara-Ibanda'!L27,'26.10 Mbarara-Ibanda-24hr'!L27,'27.10 Mbarara-Ibanda'!L27,'28.10 Mbarara-Ibanda-24hr'!L27,'29.10 Mbarara-Ibanda'!L27,'30.10 Mbarara-Ibanda'!L27,'31.10 Mbarara-Ibanda'!L27)</f>
        <v>0.2857142857142857</v>
      </c>
      <c r="M27" s="49">
        <f>AVERAGE('25.10 Mbarara-Ibanda'!M27,'26.10 Mbarara-Ibanda-24hr'!M27,'27.10 Mbarara-Ibanda'!M27,'28.10 Mbarara-Ibanda-24hr'!M27,'29.10 Mbarara-Ibanda'!M27,'30.10 Mbarara-Ibanda'!M27,'31.10 Mbarara-Ibanda'!M27)</f>
        <v>6.7142857142857144</v>
      </c>
      <c r="N27" s="49">
        <f>AVERAGE('25.10 Mbarara-Ibanda'!N27,'26.10 Mbarara-Ibanda-24hr'!N27,'27.10 Mbarara-Ibanda'!N27,'28.10 Mbarara-Ibanda-24hr'!N27,'29.10 Mbarara-Ibanda'!N27,'30.10 Mbarara-Ibanda'!N27,'31.10 Mbarara-Ibanda'!N27)</f>
        <v>0</v>
      </c>
      <c r="O27" s="15">
        <f t="shared" si="0"/>
        <v>12.000000000000002</v>
      </c>
      <c r="P27" s="15">
        <f t="shared" si="1"/>
        <v>18.714285714285715</v>
      </c>
      <c r="R27" s="1" t="s">
        <v>151</v>
      </c>
      <c r="S27" s="34">
        <f>SUM(C78:C81)</f>
        <v>2.5</v>
      </c>
      <c r="T27" s="34">
        <f t="shared" ref="T27:AF27" si="19">SUM(D78:D81)</f>
        <v>1.5</v>
      </c>
      <c r="U27" s="34">
        <f t="shared" si="19"/>
        <v>1</v>
      </c>
      <c r="V27" s="34">
        <f t="shared" si="19"/>
        <v>1</v>
      </c>
      <c r="W27" s="34">
        <f t="shared" si="19"/>
        <v>2</v>
      </c>
      <c r="X27" s="34">
        <f t="shared" si="19"/>
        <v>0.5</v>
      </c>
      <c r="Y27" s="34">
        <f t="shared" si="19"/>
        <v>1</v>
      </c>
      <c r="Z27" s="34">
        <f t="shared" si="19"/>
        <v>0</v>
      </c>
      <c r="AA27" s="34">
        <f t="shared" si="19"/>
        <v>1.5</v>
      </c>
      <c r="AB27" s="34">
        <f t="shared" si="19"/>
        <v>0</v>
      </c>
      <c r="AC27" s="34">
        <f t="shared" si="19"/>
        <v>2.5</v>
      </c>
      <c r="AD27" s="34">
        <f t="shared" si="19"/>
        <v>0</v>
      </c>
      <c r="AE27" s="31">
        <f t="shared" si="19"/>
        <v>11</v>
      </c>
      <c r="AF27" s="31">
        <f t="shared" si="19"/>
        <v>13.5</v>
      </c>
    </row>
    <row r="28" spans="2:32" ht="23.1" customHeight="1" x14ac:dyDescent="0.25">
      <c r="B28" s="23" t="s">
        <v>55</v>
      </c>
      <c r="C28" s="49">
        <f>AVERAGE('25.10 Mbarara-Ibanda'!C28,'26.10 Mbarara-Ibanda-24hr'!C28,'27.10 Mbarara-Ibanda'!C28,'28.10 Mbarara-Ibanda-24hr'!C28,'29.10 Mbarara-Ibanda'!C28,'30.10 Mbarara-Ibanda'!C28,'31.10 Mbarara-Ibanda'!C28)</f>
        <v>7.7142857142857144</v>
      </c>
      <c r="D28" s="49">
        <f>AVERAGE('25.10 Mbarara-Ibanda'!D28,'26.10 Mbarara-Ibanda-24hr'!D28,'27.10 Mbarara-Ibanda'!D28,'28.10 Mbarara-Ibanda-24hr'!D28,'29.10 Mbarara-Ibanda'!D28,'30.10 Mbarara-Ibanda'!D28,'31.10 Mbarara-Ibanda'!D28)</f>
        <v>0.5714285714285714</v>
      </c>
      <c r="E28" s="49">
        <f>AVERAGE('25.10 Mbarara-Ibanda'!E28,'26.10 Mbarara-Ibanda-24hr'!E28,'27.10 Mbarara-Ibanda'!E28,'28.10 Mbarara-Ibanda-24hr'!E28,'29.10 Mbarara-Ibanda'!E28,'30.10 Mbarara-Ibanda'!E28,'31.10 Mbarara-Ibanda'!E28)</f>
        <v>0.8571428571428571</v>
      </c>
      <c r="F28" s="49">
        <f>AVERAGE('25.10 Mbarara-Ibanda'!F28,'26.10 Mbarara-Ibanda-24hr'!F28,'27.10 Mbarara-Ibanda'!F28,'28.10 Mbarara-Ibanda-24hr'!F28,'29.10 Mbarara-Ibanda'!F28,'30.10 Mbarara-Ibanda'!F28,'31.10 Mbarara-Ibanda'!F28)</f>
        <v>1.7142857142857142</v>
      </c>
      <c r="G28" s="49">
        <f>AVERAGE('25.10 Mbarara-Ibanda'!G28,'26.10 Mbarara-Ibanda-24hr'!G28,'27.10 Mbarara-Ibanda'!G28,'28.10 Mbarara-Ibanda-24hr'!G28,'29.10 Mbarara-Ibanda'!G28,'30.10 Mbarara-Ibanda'!G28,'31.10 Mbarara-Ibanda'!G28)</f>
        <v>0</v>
      </c>
      <c r="H28" s="49">
        <f>AVERAGE('25.10 Mbarara-Ibanda'!H28,'26.10 Mbarara-Ibanda-24hr'!H28,'27.10 Mbarara-Ibanda'!H28,'28.10 Mbarara-Ibanda-24hr'!H28,'29.10 Mbarara-Ibanda'!H28,'30.10 Mbarara-Ibanda'!H28,'31.10 Mbarara-Ibanda'!H28)</f>
        <v>0</v>
      </c>
      <c r="I28" s="49">
        <f>AVERAGE('25.10 Mbarara-Ibanda'!I28,'26.10 Mbarara-Ibanda-24hr'!I28,'27.10 Mbarara-Ibanda'!I28,'28.10 Mbarara-Ibanda-24hr'!I28,'29.10 Mbarara-Ibanda'!I28,'30.10 Mbarara-Ibanda'!I28,'31.10 Mbarara-Ibanda'!I28)</f>
        <v>0.42857142857142855</v>
      </c>
      <c r="J28" s="49">
        <f>AVERAGE('25.10 Mbarara-Ibanda'!J28,'26.10 Mbarara-Ibanda-24hr'!J28,'27.10 Mbarara-Ibanda'!J28,'28.10 Mbarara-Ibanda-24hr'!J28,'29.10 Mbarara-Ibanda'!J28,'30.10 Mbarara-Ibanda'!J28,'31.10 Mbarara-Ibanda'!J28)</f>
        <v>1.5714285714285714</v>
      </c>
      <c r="K28" s="49">
        <f>AVERAGE('25.10 Mbarara-Ibanda'!K28,'26.10 Mbarara-Ibanda-24hr'!K28,'27.10 Mbarara-Ibanda'!K28,'28.10 Mbarara-Ibanda-24hr'!K28,'29.10 Mbarara-Ibanda'!K28,'30.10 Mbarara-Ibanda'!K28,'31.10 Mbarara-Ibanda'!K28)</f>
        <v>0.14285714285714285</v>
      </c>
      <c r="L28" s="49">
        <f>AVERAGE('25.10 Mbarara-Ibanda'!L28,'26.10 Mbarara-Ibanda-24hr'!L28,'27.10 Mbarara-Ibanda'!L28,'28.10 Mbarara-Ibanda-24hr'!L28,'29.10 Mbarara-Ibanda'!L28,'30.10 Mbarara-Ibanda'!L28,'31.10 Mbarara-Ibanda'!L28)</f>
        <v>0.2857142857142857</v>
      </c>
      <c r="M28" s="49">
        <f>AVERAGE('25.10 Mbarara-Ibanda'!M28,'26.10 Mbarara-Ibanda-24hr'!M28,'27.10 Mbarara-Ibanda'!M28,'28.10 Mbarara-Ibanda-24hr'!M28,'29.10 Mbarara-Ibanda'!M28,'30.10 Mbarara-Ibanda'!M28,'31.10 Mbarara-Ibanda'!M28)</f>
        <v>9.5714285714285712</v>
      </c>
      <c r="N28" s="49">
        <f>AVERAGE('25.10 Mbarara-Ibanda'!N28,'26.10 Mbarara-Ibanda-24hr'!N28,'27.10 Mbarara-Ibanda'!N28,'28.10 Mbarara-Ibanda-24hr'!N28,'29.10 Mbarara-Ibanda'!N28,'30.10 Mbarara-Ibanda'!N28,'31.10 Mbarara-Ibanda'!N28)</f>
        <v>0</v>
      </c>
      <c r="O28" s="15">
        <f t="shared" si="0"/>
        <v>13.285714285714286</v>
      </c>
      <c r="P28" s="15">
        <f t="shared" si="1"/>
        <v>22.857142857142858</v>
      </c>
      <c r="R28" s="1" t="s">
        <v>152</v>
      </c>
      <c r="S28" s="34">
        <f>SUM(C82:C85)</f>
        <v>3.5</v>
      </c>
      <c r="T28" s="34">
        <f t="shared" ref="T28:AF28" si="20">SUM(D82:D85)</f>
        <v>2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0.5</v>
      </c>
      <c r="AA28" s="34">
        <f t="shared" si="20"/>
        <v>2.5</v>
      </c>
      <c r="AB28" s="34">
        <f t="shared" si="20"/>
        <v>0.5</v>
      </c>
      <c r="AC28" s="34">
        <f t="shared" si="20"/>
        <v>3.5</v>
      </c>
      <c r="AD28" s="34">
        <f t="shared" si="20"/>
        <v>0</v>
      </c>
      <c r="AE28" s="31">
        <f t="shared" si="20"/>
        <v>13</v>
      </c>
      <c r="AF28" s="31">
        <f t="shared" si="20"/>
        <v>16.5</v>
      </c>
    </row>
    <row r="29" spans="2:32" ht="23.1" customHeight="1" x14ac:dyDescent="0.25">
      <c r="B29" s="23" t="s">
        <v>56</v>
      </c>
      <c r="C29" s="49">
        <f>AVERAGE('25.10 Mbarara-Ibanda'!C29,'26.10 Mbarara-Ibanda-24hr'!C29,'27.10 Mbarara-Ibanda'!C29,'28.10 Mbarara-Ibanda-24hr'!C29,'29.10 Mbarara-Ibanda'!C29,'30.10 Mbarara-Ibanda'!C29,'31.10 Mbarara-Ibanda'!C29)</f>
        <v>7.2857142857142856</v>
      </c>
      <c r="D29" s="49">
        <f>AVERAGE('25.10 Mbarara-Ibanda'!D29,'26.10 Mbarara-Ibanda-24hr'!D29,'27.10 Mbarara-Ibanda'!D29,'28.10 Mbarara-Ibanda-24hr'!D29,'29.10 Mbarara-Ibanda'!D29,'30.10 Mbarara-Ibanda'!D29,'31.10 Mbarara-Ibanda'!D29)</f>
        <v>0.2857142857142857</v>
      </c>
      <c r="E29" s="49">
        <f>AVERAGE('25.10 Mbarara-Ibanda'!E29,'26.10 Mbarara-Ibanda-24hr'!E29,'27.10 Mbarara-Ibanda'!E29,'28.10 Mbarara-Ibanda-24hr'!E29,'29.10 Mbarara-Ibanda'!E29,'30.10 Mbarara-Ibanda'!E29,'31.10 Mbarara-Ibanda'!E29)</f>
        <v>1.1428571428571428</v>
      </c>
      <c r="F29" s="49">
        <f>AVERAGE('25.10 Mbarara-Ibanda'!F29,'26.10 Mbarara-Ibanda-24hr'!F29,'27.10 Mbarara-Ibanda'!F29,'28.10 Mbarara-Ibanda-24hr'!F29,'29.10 Mbarara-Ibanda'!F29,'30.10 Mbarara-Ibanda'!F29,'31.10 Mbarara-Ibanda'!F29)</f>
        <v>1.4285714285714286</v>
      </c>
      <c r="G29" s="49">
        <f>AVERAGE('25.10 Mbarara-Ibanda'!G29,'26.10 Mbarara-Ibanda-24hr'!G29,'27.10 Mbarara-Ibanda'!G29,'28.10 Mbarara-Ibanda-24hr'!G29,'29.10 Mbarara-Ibanda'!G29,'30.10 Mbarara-Ibanda'!G29,'31.10 Mbarara-Ibanda'!G29)</f>
        <v>0.14285714285714285</v>
      </c>
      <c r="H29" s="49">
        <f>AVERAGE('25.10 Mbarara-Ibanda'!H29,'26.10 Mbarara-Ibanda-24hr'!H29,'27.10 Mbarara-Ibanda'!H29,'28.10 Mbarara-Ibanda-24hr'!H29,'29.10 Mbarara-Ibanda'!H29,'30.10 Mbarara-Ibanda'!H29,'31.10 Mbarara-Ibanda'!H29)</f>
        <v>0</v>
      </c>
      <c r="I29" s="49">
        <f>AVERAGE('25.10 Mbarara-Ibanda'!I29,'26.10 Mbarara-Ibanda-24hr'!I29,'27.10 Mbarara-Ibanda'!I29,'28.10 Mbarara-Ibanda-24hr'!I29,'29.10 Mbarara-Ibanda'!I29,'30.10 Mbarara-Ibanda'!I29,'31.10 Mbarara-Ibanda'!I29)</f>
        <v>0.8571428571428571</v>
      </c>
      <c r="J29" s="49">
        <f>AVERAGE('25.10 Mbarara-Ibanda'!J29,'26.10 Mbarara-Ibanda-24hr'!J29,'27.10 Mbarara-Ibanda'!J29,'28.10 Mbarara-Ibanda-24hr'!J29,'29.10 Mbarara-Ibanda'!J29,'30.10 Mbarara-Ibanda'!J29,'31.10 Mbarara-Ibanda'!J29)</f>
        <v>0.42857142857142855</v>
      </c>
      <c r="K29" s="49">
        <f>AVERAGE('25.10 Mbarara-Ibanda'!K29,'26.10 Mbarara-Ibanda-24hr'!K29,'27.10 Mbarara-Ibanda'!K29,'28.10 Mbarara-Ibanda-24hr'!K29,'29.10 Mbarara-Ibanda'!K29,'30.10 Mbarara-Ibanda'!K29,'31.10 Mbarara-Ibanda'!K29)</f>
        <v>0.42857142857142855</v>
      </c>
      <c r="L29" s="49">
        <f>AVERAGE('25.10 Mbarara-Ibanda'!L29,'26.10 Mbarara-Ibanda-24hr'!L29,'27.10 Mbarara-Ibanda'!L29,'28.10 Mbarara-Ibanda-24hr'!L29,'29.10 Mbarara-Ibanda'!L29,'30.10 Mbarara-Ibanda'!L29,'31.10 Mbarara-Ibanda'!L29)</f>
        <v>0.14285714285714285</v>
      </c>
      <c r="M29" s="49">
        <f>AVERAGE('25.10 Mbarara-Ibanda'!M29,'26.10 Mbarara-Ibanda-24hr'!M29,'27.10 Mbarara-Ibanda'!M29,'28.10 Mbarara-Ibanda-24hr'!M29,'29.10 Mbarara-Ibanda'!M29,'30.10 Mbarara-Ibanda'!M29,'31.10 Mbarara-Ibanda'!M29)</f>
        <v>6</v>
      </c>
      <c r="N29" s="49">
        <f>AVERAGE('25.10 Mbarara-Ibanda'!N29,'26.10 Mbarara-Ibanda-24hr'!N29,'27.10 Mbarara-Ibanda'!N29,'28.10 Mbarara-Ibanda-24hr'!N29,'29.10 Mbarara-Ibanda'!N29,'30.10 Mbarara-Ibanda'!N29,'31.10 Mbarara-Ibanda'!N29)</f>
        <v>1.4285714285714286</v>
      </c>
      <c r="O29" s="15">
        <f t="shared" si="0"/>
        <v>13.571428571428571</v>
      </c>
      <c r="P29" s="15">
        <f t="shared" si="1"/>
        <v>19.571428571428569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4</v>
      </c>
      <c r="AF29" s="31">
        <f t="shared" si="21"/>
        <v>5</v>
      </c>
    </row>
    <row r="30" spans="2:32" ht="23.1" customHeight="1" x14ac:dyDescent="0.25">
      <c r="B30" s="23" t="s">
        <v>57</v>
      </c>
      <c r="C30" s="49">
        <f>AVERAGE('25.10 Mbarara-Ibanda'!C30,'26.10 Mbarara-Ibanda-24hr'!C30,'27.10 Mbarara-Ibanda'!C30,'28.10 Mbarara-Ibanda-24hr'!C30,'29.10 Mbarara-Ibanda'!C30,'30.10 Mbarara-Ibanda'!C30,'31.10 Mbarara-Ibanda'!C30)</f>
        <v>6</v>
      </c>
      <c r="D30" s="49">
        <f>AVERAGE('25.10 Mbarara-Ibanda'!D30,'26.10 Mbarara-Ibanda-24hr'!D30,'27.10 Mbarara-Ibanda'!D30,'28.10 Mbarara-Ibanda-24hr'!D30,'29.10 Mbarara-Ibanda'!D30,'30.10 Mbarara-Ibanda'!D30,'31.10 Mbarara-Ibanda'!D30)</f>
        <v>0.2857142857142857</v>
      </c>
      <c r="E30" s="49">
        <f>AVERAGE('25.10 Mbarara-Ibanda'!E30,'26.10 Mbarara-Ibanda-24hr'!E30,'27.10 Mbarara-Ibanda'!E30,'28.10 Mbarara-Ibanda-24hr'!E30,'29.10 Mbarara-Ibanda'!E30,'30.10 Mbarara-Ibanda'!E30,'31.10 Mbarara-Ibanda'!E30)</f>
        <v>1.2857142857142858</v>
      </c>
      <c r="F30" s="49">
        <f>AVERAGE('25.10 Mbarara-Ibanda'!F30,'26.10 Mbarara-Ibanda-24hr'!F30,'27.10 Mbarara-Ibanda'!F30,'28.10 Mbarara-Ibanda-24hr'!F30,'29.10 Mbarara-Ibanda'!F30,'30.10 Mbarara-Ibanda'!F30,'31.10 Mbarara-Ibanda'!F30)</f>
        <v>1.2857142857142858</v>
      </c>
      <c r="G30" s="49">
        <f>AVERAGE('25.10 Mbarara-Ibanda'!G30,'26.10 Mbarara-Ibanda-24hr'!G30,'27.10 Mbarara-Ibanda'!G30,'28.10 Mbarara-Ibanda-24hr'!G30,'29.10 Mbarara-Ibanda'!G30,'30.10 Mbarara-Ibanda'!G30,'31.10 Mbarara-Ibanda'!G30)</f>
        <v>0</v>
      </c>
      <c r="H30" s="49">
        <f>AVERAGE('25.10 Mbarara-Ibanda'!H30,'26.10 Mbarara-Ibanda-24hr'!H30,'27.10 Mbarara-Ibanda'!H30,'28.10 Mbarara-Ibanda-24hr'!H30,'29.10 Mbarara-Ibanda'!H30,'30.10 Mbarara-Ibanda'!H30,'31.10 Mbarara-Ibanda'!H30)</f>
        <v>0</v>
      </c>
      <c r="I30" s="49">
        <f>AVERAGE('25.10 Mbarara-Ibanda'!I30,'26.10 Mbarara-Ibanda-24hr'!I30,'27.10 Mbarara-Ibanda'!I30,'28.10 Mbarara-Ibanda-24hr'!I30,'29.10 Mbarara-Ibanda'!I30,'30.10 Mbarara-Ibanda'!I30,'31.10 Mbarara-Ibanda'!I30)</f>
        <v>1</v>
      </c>
      <c r="J30" s="49">
        <f>AVERAGE('25.10 Mbarara-Ibanda'!J30,'26.10 Mbarara-Ibanda-24hr'!J30,'27.10 Mbarara-Ibanda'!J30,'28.10 Mbarara-Ibanda-24hr'!J30,'29.10 Mbarara-Ibanda'!J30,'30.10 Mbarara-Ibanda'!J30,'31.10 Mbarara-Ibanda'!J30)</f>
        <v>0.8571428571428571</v>
      </c>
      <c r="K30" s="49">
        <f>AVERAGE('25.10 Mbarara-Ibanda'!K30,'26.10 Mbarara-Ibanda-24hr'!K30,'27.10 Mbarara-Ibanda'!K30,'28.10 Mbarara-Ibanda-24hr'!K30,'29.10 Mbarara-Ibanda'!K30,'30.10 Mbarara-Ibanda'!K30,'31.10 Mbarara-Ibanda'!K30)</f>
        <v>0.14285714285714285</v>
      </c>
      <c r="L30" s="49">
        <f>AVERAGE('25.10 Mbarara-Ibanda'!L30,'26.10 Mbarara-Ibanda-24hr'!L30,'27.10 Mbarara-Ibanda'!L30,'28.10 Mbarara-Ibanda-24hr'!L30,'29.10 Mbarara-Ibanda'!L30,'30.10 Mbarara-Ibanda'!L30,'31.10 Mbarara-Ibanda'!L30)</f>
        <v>0</v>
      </c>
      <c r="M30" s="49">
        <f>AVERAGE('25.10 Mbarara-Ibanda'!M30,'26.10 Mbarara-Ibanda-24hr'!M30,'27.10 Mbarara-Ibanda'!M30,'28.10 Mbarara-Ibanda-24hr'!M30,'29.10 Mbarara-Ibanda'!M30,'30.10 Mbarara-Ibanda'!M30,'31.10 Mbarara-Ibanda'!M30)</f>
        <v>8</v>
      </c>
      <c r="N30" s="49">
        <f>AVERAGE('25.10 Mbarara-Ibanda'!N30,'26.10 Mbarara-Ibanda-24hr'!N30,'27.10 Mbarara-Ibanda'!N30,'28.10 Mbarara-Ibanda-24hr'!N30,'29.10 Mbarara-Ibanda'!N30,'30.10 Mbarara-Ibanda'!N30,'31.10 Mbarara-Ibanda'!N30)</f>
        <v>0</v>
      </c>
      <c r="O30" s="15">
        <f t="shared" si="0"/>
        <v>10.857142857142858</v>
      </c>
      <c r="P30" s="15">
        <f t="shared" si="1"/>
        <v>18.857142857142858</v>
      </c>
      <c r="R30" s="1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1.5</v>
      </c>
      <c r="AA30" s="34">
        <f t="shared" si="22"/>
        <v>0.5</v>
      </c>
      <c r="AB30" s="34">
        <f t="shared" si="22"/>
        <v>0.5</v>
      </c>
      <c r="AC30" s="34">
        <f t="shared" si="22"/>
        <v>1</v>
      </c>
      <c r="AD30" s="34">
        <f t="shared" si="22"/>
        <v>0</v>
      </c>
      <c r="AE30" s="31">
        <f t="shared" si="22"/>
        <v>11.5</v>
      </c>
      <c r="AF30" s="31">
        <f t="shared" si="22"/>
        <v>12.5</v>
      </c>
    </row>
    <row r="31" spans="2:32" ht="23.1" customHeight="1" x14ac:dyDescent="0.25">
      <c r="B31" s="24" t="s">
        <v>58</v>
      </c>
      <c r="C31" s="49">
        <f>AVERAGE('25.10 Mbarara-Ibanda'!C31,'26.10 Mbarara-Ibanda-24hr'!C31,'27.10 Mbarara-Ibanda'!C31,'28.10 Mbarara-Ibanda-24hr'!C31,'29.10 Mbarara-Ibanda'!C31,'30.10 Mbarara-Ibanda'!C31,'31.10 Mbarara-Ibanda'!C31)</f>
        <v>5.7142857142857144</v>
      </c>
      <c r="D31" s="49">
        <f>AVERAGE('25.10 Mbarara-Ibanda'!D31,'26.10 Mbarara-Ibanda-24hr'!D31,'27.10 Mbarara-Ibanda'!D31,'28.10 Mbarara-Ibanda-24hr'!D31,'29.10 Mbarara-Ibanda'!D31,'30.10 Mbarara-Ibanda'!D31,'31.10 Mbarara-Ibanda'!D31)</f>
        <v>0.2857142857142857</v>
      </c>
      <c r="E31" s="49">
        <f>AVERAGE('25.10 Mbarara-Ibanda'!E31,'26.10 Mbarara-Ibanda-24hr'!E31,'27.10 Mbarara-Ibanda'!E31,'28.10 Mbarara-Ibanda-24hr'!E31,'29.10 Mbarara-Ibanda'!E31,'30.10 Mbarara-Ibanda'!E31,'31.10 Mbarara-Ibanda'!E31)</f>
        <v>0.42857142857142855</v>
      </c>
      <c r="F31" s="49">
        <f>AVERAGE('25.10 Mbarara-Ibanda'!F31,'26.10 Mbarara-Ibanda-24hr'!F31,'27.10 Mbarara-Ibanda'!F31,'28.10 Mbarara-Ibanda-24hr'!F31,'29.10 Mbarara-Ibanda'!F31,'30.10 Mbarara-Ibanda'!F31,'31.10 Mbarara-Ibanda'!F31)</f>
        <v>1</v>
      </c>
      <c r="G31" s="49">
        <f>AVERAGE('25.10 Mbarara-Ibanda'!G31,'26.10 Mbarara-Ibanda-24hr'!G31,'27.10 Mbarara-Ibanda'!G31,'28.10 Mbarara-Ibanda-24hr'!G31,'29.10 Mbarara-Ibanda'!G31,'30.10 Mbarara-Ibanda'!G31,'31.10 Mbarara-Ibanda'!G31)</f>
        <v>0.2857142857142857</v>
      </c>
      <c r="H31" s="49">
        <f>AVERAGE('25.10 Mbarara-Ibanda'!H31,'26.10 Mbarara-Ibanda-24hr'!H31,'27.10 Mbarara-Ibanda'!H31,'28.10 Mbarara-Ibanda-24hr'!H31,'29.10 Mbarara-Ibanda'!H31,'30.10 Mbarara-Ibanda'!H31,'31.10 Mbarara-Ibanda'!H31)</f>
        <v>0</v>
      </c>
      <c r="I31" s="49">
        <f>AVERAGE('25.10 Mbarara-Ibanda'!I31,'26.10 Mbarara-Ibanda-24hr'!I31,'27.10 Mbarara-Ibanda'!I31,'28.10 Mbarara-Ibanda-24hr'!I31,'29.10 Mbarara-Ibanda'!I31,'30.10 Mbarara-Ibanda'!I31,'31.10 Mbarara-Ibanda'!I31)</f>
        <v>0.7142857142857143</v>
      </c>
      <c r="J31" s="49">
        <f>AVERAGE('25.10 Mbarara-Ibanda'!J31,'26.10 Mbarara-Ibanda-24hr'!J31,'27.10 Mbarara-Ibanda'!J31,'28.10 Mbarara-Ibanda-24hr'!J31,'29.10 Mbarara-Ibanda'!J31,'30.10 Mbarara-Ibanda'!J31,'31.10 Mbarara-Ibanda'!J31)</f>
        <v>0.42857142857142855</v>
      </c>
      <c r="K31" s="49">
        <f>AVERAGE('25.10 Mbarara-Ibanda'!K31,'26.10 Mbarara-Ibanda-24hr'!K31,'27.10 Mbarara-Ibanda'!K31,'28.10 Mbarara-Ibanda-24hr'!K31,'29.10 Mbarara-Ibanda'!K31,'30.10 Mbarara-Ibanda'!K31,'31.10 Mbarara-Ibanda'!K31)</f>
        <v>0.2857142857142857</v>
      </c>
      <c r="L31" s="49">
        <f>AVERAGE('25.10 Mbarara-Ibanda'!L31,'26.10 Mbarara-Ibanda-24hr'!L31,'27.10 Mbarara-Ibanda'!L31,'28.10 Mbarara-Ibanda-24hr'!L31,'29.10 Mbarara-Ibanda'!L31,'30.10 Mbarara-Ibanda'!L31,'31.10 Mbarara-Ibanda'!L31)</f>
        <v>0</v>
      </c>
      <c r="M31" s="49">
        <f>AVERAGE('25.10 Mbarara-Ibanda'!M31,'26.10 Mbarara-Ibanda-24hr'!M31,'27.10 Mbarara-Ibanda'!M31,'28.10 Mbarara-Ibanda-24hr'!M31,'29.10 Mbarara-Ibanda'!M31,'30.10 Mbarara-Ibanda'!M31,'31.10 Mbarara-Ibanda'!M31)</f>
        <v>6.4285714285714288</v>
      </c>
      <c r="N31" s="49">
        <f>AVERAGE('25.10 Mbarara-Ibanda'!N31,'26.10 Mbarara-Ibanda-24hr'!N31,'27.10 Mbarara-Ibanda'!N31,'28.10 Mbarara-Ibanda-24hr'!N31,'29.10 Mbarara-Ibanda'!N31,'30.10 Mbarara-Ibanda'!N31,'31.10 Mbarara-Ibanda'!N31)</f>
        <v>0</v>
      </c>
      <c r="O31" s="15">
        <f t="shared" si="0"/>
        <v>9.1428571428571441</v>
      </c>
      <c r="P31" s="15">
        <f t="shared" si="1"/>
        <v>15.571428571428573</v>
      </c>
      <c r="R31" s="1" t="s">
        <v>155</v>
      </c>
      <c r="S31" s="34">
        <f>SUM(C94:C97)</f>
        <v>0.5</v>
      </c>
      <c r="T31" s="34">
        <f t="shared" ref="T31:AF31" si="23">SUM(D94:D97)</f>
        <v>0.5</v>
      </c>
      <c r="U31" s="34">
        <f t="shared" si="23"/>
        <v>1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0.5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5</v>
      </c>
      <c r="AF31" s="31">
        <f t="shared" si="23"/>
        <v>8</v>
      </c>
    </row>
    <row r="32" spans="2:32" ht="23.1" customHeight="1" x14ac:dyDescent="0.25">
      <c r="B32" s="24" t="s">
        <v>59</v>
      </c>
      <c r="C32" s="49">
        <f>AVERAGE('25.10 Mbarara-Ibanda'!C32,'26.10 Mbarara-Ibanda-24hr'!C32,'27.10 Mbarara-Ibanda'!C32,'28.10 Mbarara-Ibanda-24hr'!C32,'29.10 Mbarara-Ibanda'!C32,'30.10 Mbarara-Ibanda'!C32,'31.10 Mbarara-Ibanda'!C32)</f>
        <v>4.4285714285714288</v>
      </c>
      <c r="D32" s="49">
        <f>AVERAGE('25.10 Mbarara-Ibanda'!D32,'26.10 Mbarara-Ibanda-24hr'!D32,'27.10 Mbarara-Ibanda'!D32,'28.10 Mbarara-Ibanda-24hr'!D32,'29.10 Mbarara-Ibanda'!D32,'30.10 Mbarara-Ibanda'!D32,'31.10 Mbarara-Ibanda'!D32)</f>
        <v>0.2857142857142857</v>
      </c>
      <c r="E32" s="49">
        <f>AVERAGE('25.10 Mbarara-Ibanda'!E32,'26.10 Mbarara-Ibanda-24hr'!E32,'27.10 Mbarara-Ibanda'!E32,'28.10 Mbarara-Ibanda-24hr'!E32,'29.10 Mbarara-Ibanda'!E32,'30.10 Mbarara-Ibanda'!E32,'31.10 Mbarara-Ibanda'!E32)</f>
        <v>0.5714285714285714</v>
      </c>
      <c r="F32" s="49">
        <f>AVERAGE('25.10 Mbarara-Ibanda'!F32,'26.10 Mbarara-Ibanda-24hr'!F32,'27.10 Mbarara-Ibanda'!F32,'28.10 Mbarara-Ibanda-24hr'!F32,'29.10 Mbarara-Ibanda'!F32,'30.10 Mbarara-Ibanda'!F32,'31.10 Mbarara-Ibanda'!F32)</f>
        <v>1.4285714285714286</v>
      </c>
      <c r="G32" s="49">
        <f>AVERAGE('25.10 Mbarara-Ibanda'!G32,'26.10 Mbarara-Ibanda-24hr'!G32,'27.10 Mbarara-Ibanda'!G32,'28.10 Mbarara-Ibanda-24hr'!G32,'29.10 Mbarara-Ibanda'!G32,'30.10 Mbarara-Ibanda'!G32,'31.10 Mbarara-Ibanda'!G32)</f>
        <v>0</v>
      </c>
      <c r="H32" s="49">
        <f>AVERAGE('25.10 Mbarara-Ibanda'!H32,'26.10 Mbarara-Ibanda-24hr'!H32,'27.10 Mbarara-Ibanda'!H32,'28.10 Mbarara-Ibanda-24hr'!H32,'29.10 Mbarara-Ibanda'!H32,'30.10 Mbarara-Ibanda'!H32,'31.10 Mbarara-Ibanda'!H32)</f>
        <v>0</v>
      </c>
      <c r="I32" s="49">
        <f>AVERAGE('25.10 Mbarara-Ibanda'!I32,'26.10 Mbarara-Ibanda-24hr'!I32,'27.10 Mbarara-Ibanda'!I32,'28.10 Mbarara-Ibanda-24hr'!I32,'29.10 Mbarara-Ibanda'!I32,'30.10 Mbarara-Ibanda'!I32,'31.10 Mbarara-Ibanda'!I32)</f>
        <v>0.7142857142857143</v>
      </c>
      <c r="J32" s="49">
        <f>AVERAGE('25.10 Mbarara-Ibanda'!J32,'26.10 Mbarara-Ibanda-24hr'!J32,'27.10 Mbarara-Ibanda'!J32,'28.10 Mbarara-Ibanda-24hr'!J32,'29.10 Mbarara-Ibanda'!J32,'30.10 Mbarara-Ibanda'!J32,'31.10 Mbarara-Ibanda'!J32)</f>
        <v>1.5714285714285714</v>
      </c>
      <c r="K32" s="49">
        <f>AVERAGE('25.10 Mbarara-Ibanda'!K32,'26.10 Mbarara-Ibanda-24hr'!K32,'27.10 Mbarara-Ibanda'!K32,'28.10 Mbarara-Ibanda-24hr'!K32,'29.10 Mbarara-Ibanda'!K32,'30.10 Mbarara-Ibanda'!K32,'31.10 Mbarara-Ibanda'!K32)</f>
        <v>0.14285714285714285</v>
      </c>
      <c r="L32" s="49">
        <f>AVERAGE('25.10 Mbarara-Ibanda'!L32,'26.10 Mbarara-Ibanda-24hr'!L32,'27.10 Mbarara-Ibanda'!L32,'28.10 Mbarara-Ibanda-24hr'!L32,'29.10 Mbarara-Ibanda'!L32,'30.10 Mbarara-Ibanda'!L32,'31.10 Mbarara-Ibanda'!L32)</f>
        <v>0.8571428571428571</v>
      </c>
      <c r="M32" s="49">
        <f>AVERAGE('25.10 Mbarara-Ibanda'!M32,'26.10 Mbarara-Ibanda-24hr'!M32,'27.10 Mbarara-Ibanda'!M32,'28.10 Mbarara-Ibanda-24hr'!M32,'29.10 Mbarara-Ibanda'!M32,'30.10 Mbarara-Ibanda'!M32,'31.10 Mbarara-Ibanda'!M32)</f>
        <v>10.285714285714286</v>
      </c>
      <c r="N32" s="49">
        <f>AVERAGE('25.10 Mbarara-Ibanda'!N32,'26.10 Mbarara-Ibanda-24hr'!N32,'27.10 Mbarara-Ibanda'!N32,'28.10 Mbarara-Ibanda-24hr'!N32,'29.10 Mbarara-Ibanda'!N32,'30.10 Mbarara-Ibanda'!N32,'31.10 Mbarara-Ibanda'!N32)</f>
        <v>0</v>
      </c>
      <c r="O32" s="15">
        <f t="shared" si="0"/>
        <v>10</v>
      </c>
      <c r="P32" s="15">
        <f t="shared" si="1"/>
        <v>20.285714285714285</v>
      </c>
      <c r="R32" s="1" t="s">
        <v>156</v>
      </c>
      <c r="S32" s="34">
        <f>SUM(C98:C101)</f>
        <v>1.5</v>
      </c>
      <c r="T32" s="34">
        <f t="shared" ref="T32:AF32" si="24">SUM(D98:D101)</f>
        <v>0.5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1</v>
      </c>
      <c r="AB32" s="34">
        <f t="shared" si="24"/>
        <v>0</v>
      </c>
      <c r="AC32" s="34">
        <f t="shared" si="24"/>
        <v>3.5</v>
      </c>
      <c r="AD32" s="34">
        <f t="shared" si="24"/>
        <v>0</v>
      </c>
      <c r="AE32" s="31">
        <f t="shared" si="24"/>
        <v>8</v>
      </c>
      <c r="AF32" s="31">
        <f t="shared" si="24"/>
        <v>11.5</v>
      </c>
    </row>
    <row r="33" spans="2:32" ht="23.1" customHeight="1" x14ac:dyDescent="0.25">
      <c r="B33" s="23" t="s">
        <v>60</v>
      </c>
      <c r="C33" s="49">
        <f>AVERAGE('25.10 Mbarara-Ibanda'!C33,'26.10 Mbarara-Ibanda-24hr'!C33,'27.10 Mbarara-Ibanda'!C33,'28.10 Mbarara-Ibanda-24hr'!C33,'29.10 Mbarara-Ibanda'!C33,'30.10 Mbarara-Ibanda'!C33,'31.10 Mbarara-Ibanda'!C33)</f>
        <v>6.4285714285714288</v>
      </c>
      <c r="D33" s="49">
        <f>AVERAGE('25.10 Mbarara-Ibanda'!D33,'26.10 Mbarara-Ibanda-24hr'!D33,'27.10 Mbarara-Ibanda'!D33,'28.10 Mbarara-Ibanda-24hr'!D33,'29.10 Mbarara-Ibanda'!D33,'30.10 Mbarara-Ibanda'!D33,'31.10 Mbarara-Ibanda'!D33)</f>
        <v>0.8571428571428571</v>
      </c>
      <c r="E33" s="49">
        <f>AVERAGE('25.10 Mbarara-Ibanda'!E33,'26.10 Mbarara-Ibanda-24hr'!E33,'27.10 Mbarara-Ibanda'!E33,'28.10 Mbarara-Ibanda-24hr'!E33,'29.10 Mbarara-Ibanda'!E33,'30.10 Mbarara-Ibanda'!E33,'31.10 Mbarara-Ibanda'!E33)</f>
        <v>0.42857142857142855</v>
      </c>
      <c r="F33" s="49">
        <f>AVERAGE('25.10 Mbarara-Ibanda'!F33,'26.10 Mbarara-Ibanda-24hr'!F33,'27.10 Mbarara-Ibanda'!F33,'28.10 Mbarara-Ibanda-24hr'!F33,'29.10 Mbarara-Ibanda'!F33,'30.10 Mbarara-Ibanda'!F33,'31.10 Mbarara-Ibanda'!F33)</f>
        <v>2.2857142857142856</v>
      </c>
      <c r="G33" s="49">
        <f>AVERAGE('25.10 Mbarara-Ibanda'!G33,'26.10 Mbarara-Ibanda-24hr'!G33,'27.10 Mbarara-Ibanda'!G33,'28.10 Mbarara-Ibanda-24hr'!G33,'29.10 Mbarara-Ibanda'!G33,'30.10 Mbarara-Ibanda'!G33,'31.10 Mbarara-Ibanda'!G33)</f>
        <v>0</v>
      </c>
      <c r="H33" s="49">
        <f>AVERAGE('25.10 Mbarara-Ibanda'!H33,'26.10 Mbarara-Ibanda-24hr'!H33,'27.10 Mbarara-Ibanda'!H33,'28.10 Mbarara-Ibanda-24hr'!H33,'29.10 Mbarara-Ibanda'!H33,'30.10 Mbarara-Ibanda'!H33,'31.10 Mbarara-Ibanda'!H33)</f>
        <v>0.8571428571428571</v>
      </c>
      <c r="I33" s="49">
        <f>AVERAGE('25.10 Mbarara-Ibanda'!I33,'26.10 Mbarara-Ibanda-24hr'!I33,'27.10 Mbarara-Ibanda'!I33,'28.10 Mbarara-Ibanda-24hr'!I33,'29.10 Mbarara-Ibanda'!I33,'30.10 Mbarara-Ibanda'!I33,'31.10 Mbarara-Ibanda'!I33)</f>
        <v>0.5714285714285714</v>
      </c>
      <c r="J33" s="49">
        <f>AVERAGE('25.10 Mbarara-Ibanda'!J33,'26.10 Mbarara-Ibanda-24hr'!J33,'27.10 Mbarara-Ibanda'!J33,'28.10 Mbarara-Ibanda-24hr'!J33,'29.10 Mbarara-Ibanda'!J33,'30.10 Mbarara-Ibanda'!J33,'31.10 Mbarara-Ibanda'!J33)</f>
        <v>0.7142857142857143</v>
      </c>
      <c r="K33" s="49">
        <f>AVERAGE('25.10 Mbarara-Ibanda'!K33,'26.10 Mbarara-Ibanda-24hr'!K33,'27.10 Mbarara-Ibanda'!K33,'28.10 Mbarara-Ibanda-24hr'!K33,'29.10 Mbarara-Ibanda'!K33,'30.10 Mbarara-Ibanda'!K33,'31.10 Mbarara-Ibanda'!K33)</f>
        <v>0</v>
      </c>
      <c r="L33" s="49">
        <f>AVERAGE('25.10 Mbarara-Ibanda'!L33,'26.10 Mbarara-Ibanda-24hr'!L33,'27.10 Mbarara-Ibanda'!L33,'28.10 Mbarara-Ibanda-24hr'!L33,'29.10 Mbarara-Ibanda'!L33,'30.10 Mbarara-Ibanda'!L33,'31.10 Mbarara-Ibanda'!L33)</f>
        <v>0</v>
      </c>
      <c r="M33" s="49">
        <f>AVERAGE('25.10 Mbarara-Ibanda'!M33,'26.10 Mbarara-Ibanda-24hr'!M33,'27.10 Mbarara-Ibanda'!M33,'28.10 Mbarara-Ibanda-24hr'!M33,'29.10 Mbarara-Ibanda'!M33,'30.10 Mbarara-Ibanda'!M33,'31.10 Mbarara-Ibanda'!M33)</f>
        <v>9.7142857142857135</v>
      </c>
      <c r="N33" s="49">
        <f>AVERAGE('25.10 Mbarara-Ibanda'!N33,'26.10 Mbarara-Ibanda-24hr'!N33,'27.10 Mbarara-Ibanda'!N33,'28.10 Mbarara-Ibanda-24hr'!N33,'29.10 Mbarara-Ibanda'!N33,'30.10 Mbarara-Ibanda'!N33,'31.10 Mbarara-Ibanda'!N33)</f>
        <v>0</v>
      </c>
      <c r="O33" s="15">
        <f t="shared" si="0"/>
        <v>12.142857142857142</v>
      </c>
      <c r="P33" s="15">
        <f t="shared" si="1"/>
        <v>21.857142857142854</v>
      </c>
      <c r="R33" s="1" t="s">
        <v>157</v>
      </c>
      <c r="S33" s="34">
        <f>SUM(C102:C105)</f>
        <v>10</v>
      </c>
      <c r="T33" s="34">
        <f t="shared" ref="T33:AF33" si="25">SUM(D102:D105)</f>
        <v>2</v>
      </c>
      <c r="U33" s="34">
        <f t="shared" si="25"/>
        <v>1.5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4.5</v>
      </c>
      <c r="Z33" s="34">
        <f t="shared" si="25"/>
        <v>0</v>
      </c>
      <c r="AA33" s="34">
        <f t="shared" si="25"/>
        <v>0.5</v>
      </c>
      <c r="AB33" s="34">
        <f t="shared" si="25"/>
        <v>0</v>
      </c>
      <c r="AC33" s="34">
        <f t="shared" si="25"/>
        <v>10.5</v>
      </c>
      <c r="AD33" s="34">
        <f t="shared" si="25"/>
        <v>0</v>
      </c>
      <c r="AE33" s="31">
        <f t="shared" si="25"/>
        <v>19.5</v>
      </c>
      <c r="AF33" s="31">
        <f t="shared" si="25"/>
        <v>30</v>
      </c>
    </row>
    <row r="34" spans="2:32" ht="23.1" customHeight="1" x14ac:dyDescent="0.25">
      <c r="B34" s="24" t="s">
        <v>61</v>
      </c>
      <c r="C34" s="49">
        <f>AVERAGE('25.10 Mbarara-Ibanda'!C34,'26.10 Mbarara-Ibanda-24hr'!C34,'27.10 Mbarara-Ibanda'!C34,'28.10 Mbarara-Ibanda-24hr'!C34,'29.10 Mbarara-Ibanda'!C34,'30.10 Mbarara-Ibanda'!C34,'31.10 Mbarara-Ibanda'!C34)</f>
        <v>5.8571428571428568</v>
      </c>
      <c r="D34" s="49">
        <f>AVERAGE('25.10 Mbarara-Ibanda'!D34,'26.10 Mbarara-Ibanda-24hr'!D34,'27.10 Mbarara-Ibanda'!D34,'28.10 Mbarara-Ibanda-24hr'!D34,'29.10 Mbarara-Ibanda'!D34,'30.10 Mbarara-Ibanda'!D34,'31.10 Mbarara-Ibanda'!D34)</f>
        <v>0.42857142857142855</v>
      </c>
      <c r="E34" s="49">
        <f>AVERAGE('25.10 Mbarara-Ibanda'!E34,'26.10 Mbarara-Ibanda-24hr'!E34,'27.10 Mbarara-Ibanda'!E34,'28.10 Mbarara-Ibanda-24hr'!E34,'29.10 Mbarara-Ibanda'!E34,'30.10 Mbarara-Ibanda'!E34,'31.10 Mbarara-Ibanda'!E34)</f>
        <v>1</v>
      </c>
      <c r="F34" s="49">
        <f>AVERAGE('25.10 Mbarara-Ibanda'!F34,'26.10 Mbarara-Ibanda-24hr'!F34,'27.10 Mbarara-Ibanda'!F34,'28.10 Mbarara-Ibanda-24hr'!F34,'29.10 Mbarara-Ibanda'!F34,'30.10 Mbarara-Ibanda'!F34,'31.10 Mbarara-Ibanda'!F34)</f>
        <v>2.1428571428571428</v>
      </c>
      <c r="G34" s="49">
        <f>AVERAGE('25.10 Mbarara-Ibanda'!G34,'26.10 Mbarara-Ibanda-24hr'!G34,'27.10 Mbarara-Ibanda'!G34,'28.10 Mbarara-Ibanda-24hr'!G34,'29.10 Mbarara-Ibanda'!G34,'30.10 Mbarara-Ibanda'!G34,'31.10 Mbarara-Ibanda'!G34)</f>
        <v>0</v>
      </c>
      <c r="H34" s="49">
        <f>AVERAGE('25.10 Mbarara-Ibanda'!H34,'26.10 Mbarara-Ibanda-24hr'!H34,'27.10 Mbarara-Ibanda'!H34,'28.10 Mbarara-Ibanda-24hr'!H34,'29.10 Mbarara-Ibanda'!H34,'30.10 Mbarara-Ibanda'!H34,'31.10 Mbarara-Ibanda'!H34)</f>
        <v>0</v>
      </c>
      <c r="I34" s="49">
        <f>AVERAGE('25.10 Mbarara-Ibanda'!I34,'26.10 Mbarara-Ibanda-24hr'!I34,'27.10 Mbarara-Ibanda'!I34,'28.10 Mbarara-Ibanda-24hr'!I34,'29.10 Mbarara-Ibanda'!I34,'30.10 Mbarara-Ibanda'!I34,'31.10 Mbarara-Ibanda'!I34)</f>
        <v>1.1428571428571428</v>
      </c>
      <c r="J34" s="49">
        <f>AVERAGE('25.10 Mbarara-Ibanda'!J34,'26.10 Mbarara-Ibanda-24hr'!J34,'27.10 Mbarara-Ibanda'!J34,'28.10 Mbarara-Ibanda-24hr'!J34,'29.10 Mbarara-Ibanda'!J34,'30.10 Mbarara-Ibanda'!J34,'31.10 Mbarara-Ibanda'!J34)</f>
        <v>1</v>
      </c>
      <c r="K34" s="49">
        <f>AVERAGE('25.10 Mbarara-Ibanda'!K34,'26.10 Mbarara-Ibanda-24hr'!K34,'27.10 Mbarara-Ibanda'!K34,'28.10 Mbarara-Ibanda-24hr'!K34,'29.10 Mbarara-Ibanda'!K34,'30.10 Mbarara-Ibanda'!K34,'31.10 Mbarara-Ibanda'!K34)</f>
        <v>0.2857142857142857</v>
      </c>
      <c r="L34" s="49">
        <f>AVERAGE('25.10 Mbarara-Ibanda'!L34,'26.10 Mbarara-Ibanda-24hr'!L34,'27.10 Mbarara-Ibanda'!L34,'28.10 Mbarara-Ibanda-24hr'!L34,'29.10 Mbarara-Ibanda'!L34,'30.10 Mbarara-Ibanda'!L34,'31.10 Mbarara-Ibanda'!L34)</f>
        <v>0.2857142857142857</v>
      </c>
      <c r="M34" s="49">
        <f>AVERAGE('25.10 Mbarara-Ibanda'!M34,'26.10 Mbarara-Ibanda-24hr'!M34,'27.10 Mbarara-Ibanda'!M34,'28.10 Mbarara-Ibanda-24hr'!M34,'29.10 Mbarara-Ibanda'!M34,'30.10 Mbarara-Ibanda'!M34,'31.10 Mbarara-Ibanda'!M34)</f>
        <v>8.5714285714285712</v>
      </c>
      <c r="N34" s="49">
        <f>AVERAGE('25.10 Mbarara-Ibanda'!N34,'26.10 Mbarara-Ibanda-24hr'!N34,'27.10 Mbarara-Ibanda'!N34,'28.10 Mbarara-Ibanda-24hr'!N34,'29.10 Mbarara-Ibanda'!N34,'30.10 Mbarara-Ibanda'!N34,'31.10 Mbarara-Ibanda'!N34)</f>
        <v>0</v>
      </c>
      <c r="O34" s="15">
        <f t="shared" si="0"/>
        <v>12.142857142857144</v>
      </c>
      <c r="P34" s="15">
        <f t="shared" si="1"/>
        <v>20.714285714285715</v>
      </c>
      <c r="R34" s="38" t="s">
        <v>90</v>
      </c>
      <c r="S34" s="39">
        <f t="shared" ref="S34:AF34" si="26">MAX(S10:S12)</f>
        <v>21.571428571428569</v>
      </c>
      <c r="T34" s="39">
        <f t="shared" si="26"/>
        <v>3.8571428571428568</v>
      </c>
      <c r="U34" s="39">
        <f t="shared" si="26"/>
        <v>2.4285714285714284</v>
      </c>
      <c r="V34" s="39">
        <f t="shared" si="26"/>
        <v>5.1428571428571423</v>
      </c>
      <c r="W34" s="39">
        <f t="shared" si="26"/>
        <v>0.42857142857142855</v>
      </c>
      <c r="X34" s="39">
        <f t="shared" si="26"/>
        <v>0.14285714285714285</v>
      </c>
      <c r="Y34" s="39">
        <f t="shared" si="26"/>
        <v>1.857142857142857</v>
      </c>
      <c r="Z34" s="39">
        <f t="shared" si="26"/>
        <v>2.2857142857142856</v>
      </c>
      <c r="AA34" s="39">
        <f t="shared" si="26"/>
        <v>1.1428571428571428</v>
      </c>
      <c r="AB34" s="39">
        <f t="shared" si="26"/>
        <v>0.8571428571428571</v>
      </c>
      <c r="AC34" s="39">
        <f t="shared" si="26"/>
        <v>39.714285714285708</v>
      </c>
      <c r="AD34" s="39">
        <f t="shared" si="26"/>
        <v>0</v>
      </c>
      <c r="AE34" s="40">
        <f t="shared" si="26"/>
        <v>37.142857142857139</v>
      </c>
      <c r="AF34" s="40">
        <f t="shared" si="26"/>
        <v>73.857142857142861</v>
      </c>
    </row>
    <row r="35" spans="2:32" ht="23.1" customHeight="1" x14ac:dyDescent="0.25">
      <c r="B35" s="24" t="s">
        <v>62</v>
      </c>
      <c r="C35" s="49">
        <f>AVERAGE('25.10 Mbarara-Ibanda'!C35,'26.10 Mbarara-Ibanda-24hr'!C35,'27.10 Mbarara-Ibanda'!C35,'28.10 Mbarara-Ibanda-24hr'!C35,'29.10 Mbarara-Ibanda'!C35,'30.10 Mbarara-Ibanda'!C35,'31.10 Mbarara-Ibanda'!C35)</f>
        <v>9.2857142857142865</v>
      </c>
      <c r="D35" s="49">
        <f>AVERAGE('25.10 Mbarara-Ibanda'!D35,'26.10 Mbarara-Ibanda-24hr'!D35,'27.10 Mbarara-Ibanda'!D35,'28.10 Mbarara-Ibanda-24hr'!D35,'29.10 Mbarara-Ibanda'!D35,'30.10 Mbarara-Ibanda'!D35,'31.10 Mbarara-Ibanda'!D35)</f>
        <v>0.8571428571428571</v>
      </c>
      <c r="E35" s="49">
        <f>AVERAGE('25.10 Mbarara-Ibanda'!E35,'26.10 Mbarara-Ibanda-24hr'!E35,'27.10 Mbarara-Ibanda'!E35,'28.10 Mbarara-Ibanda-24hr'!E35,'29.10 Mbarara-Ibanda'!E35,'30.10 Mbarara-Ibanda'!E35,'31.10 Mbarara-Ibanda'!E35)</f>
        <v>0.2857142857142857</v>
      </c>
      <c r="F35" s="49">
        <f>AVERAGE('25.10 Mbarara-Ibanda'!F35,'26.10 Mbarara-Ibanda-24hr'!F35,'27.10 Mbarara-Ibanda'!F35,'28.10 Mbarara-Ibanda-24hr'!F35,'29.10 Mbarara-Ibanda'!F35,'30.10 Mbarara-Ibanda'!F35,'31.10 Mbarara-Ibanda'!F35)</f>
        <v>2.7142857142857144</v>
      </c>
      <c r="G35" s="49">
        <f>AVERAGE('25.10 Mbarara-Ibanda'!G35,'26.10 Mbarara-Ibanda-24hr'!G35,'27.10 Mbarara-Ibanda'!G35,'28.10 Mbarara-Ibanda-24hr'!G35,'29.10 Mbarara-Ibanda'!G35,'30.10 Mbarara-Ibanda'!G35,'31.10 Mbarara-Ibanda'!G35)</f>
        <v>0</v>
      </c>
      <c r="H35" s="49">
        <f>AVERAGE('25.10 Mbarara-Ibanda'!H35,'26.10 Mbarara-Ibanda-24hr'!H35,'27.10 Mbarara-Ibanda'!H35,'28.10 Mbarara-Ibanda-24hr'!H35,'29.10 Mbarara-Ibanda'!H35,'30.10 Mbarara-Ibanda'!H35,'31.10 Mbarara-Ibanda'!H35)</f>
        <v>1</v>
      </c>
      <c r="I35" s="49">
        <f>AVERAGE('25.10 Mbarara-Ibanda'!I35,'26.10 Mbarara-Ibanda-24hr'!I35,'27.10 Mbarara-Ibanda'!I35,'28.10 Mbarara-Ibanda-24hr'!I35,'29.10 Mbarara-Ibanda'!I35,'30.10 Mbarara-Ibanda'!I35,'31.10 Mbarara-Ibanda'!I35)</f>
        <v>1</v>
      </c>
      <c r="J35" s="49">
        <f>AVERAGE('25.10 Mbarara-Ibanda'!J35,'26.10 Mbarara-Ibanda-24hr'!J35,'27.10 Mbarara-Ibanda'!J35,'28.10 Mbarara-Ibanda-24hr'!J35,'29.10 Mbarara-Ibanda'!J35,'30.10 Mbarara-Ibanda'!J35,'31.10 Mbarara-Ibanda'!J35)</f>
        <v>0.2857142857142857</v>
      </c>
      <c r="K35" s="49">
        <f>AVERAGE('25.10 Mbarara-Ibanda'!K35,'26.10 Mbarara-Ibanda-24hr'!K35,'27.10 Mbarara-Ibanda'!K35,'28.10 Mbarara-Ibanda-24hr'!K35,'29.10 Mbarara-Ibanda'!K35,'30.10 Mbarara-Ibanda'!K35,'31.10 Mbarara-Ibanda'!K35)</f>
        <v>0.42857142857142855</v>
      </c>
      <c r="L35" s="49">
        <f>AVERAGE('25.10 Mbarara-Ibanda'!L35,'26.10 Mbarara-Ibanda-24hr'!L35,'27.10 Mbarara-Ibanda'!L35,'28.10 Mbarara-Ibanda-24hr'!L35,'29.10 Mbarara-Ibanda'!L35,'30.10 Mbarara-Ibanda'!L35,'31.10 Mbarara-Ibanda'!L35)</f>
        <v>0</v>
      </c>
      <c r="M35" s="49">
        <f>AVERAGE('25.10 Mbarara-Ibanda'!M35,'26.10 Mbarara-Ibanda-24hr'!M35,'27.10 Mbarara-Ibanda'!M35,'28.10 Mbarara-Ibanda-24hr'!M35,'29.10 Mbarara-Ibanda'!M35,'30.10 Mbarara-Ibanda'!M35,'31.10 Mbarara-Ibanda'!M35)</f>
        <v>9.2857142857142865</v>
      </c>
      <c r="N35" s="49">
        <f>AVERAGE('25.10 Mbarara-Ibanda'!N35,'26.10 Mbarara-Ibanda-24hr'!N35,'27.10 Mbarara-Ibanda'!N35,'28.10 Mbarara-Ibanda-24hr'!N35,'29.10 Mbarara-Ibanda'!N35,'30.10 Mbarara-Ibanda'!N35,'31.10 Mbarara-Ibanda'!N35)</f>
        <v>0</v>
      </c>
      <c r="O35" s="15">
        <f t="shared" si="0"/>
        <v>15.857142857142861</v>
      </c>
      <c r="P35" s="15">
        <f t="shared" si="1"/>
        <v>25.142857142857146</v>
      </c>
      <c r="R35" s="38" t="s">
        <v>91</v>
      </c>
      <c r="S35" s="39">
        <f t="shared" ref="S35:AF35" si="27">MAX(S13:S18)</f>
        <v>28.857142857142858</v>
      </c>
      <c r="T35" s="39">
        <f t="shared" si="27"/>
        <v>4.7142857142857144</v>
      </c>
      <c r="U35" s="39">
        <f t="shared" si="27"/>
        <v>4.8571428571428577</v>
      </c>
      <c r="V35" s="39">
        <f t="shared" si="27"/>
        <v>9.4285714285714288</v>
      </c>
      <c r="W35" s="39">
        <f t="shared" si="27"/>
        <v>0.42857142857142855</v>
      </c>
      <c r="X35" s="39">
        <f t="shared" si="27"/>
        <v>1.5714285714285714</v>
      </c>
      <c r="Y35" s="39">
        <f t="shared" si="27"/>
        <v>4.4285714285714288</v>
      </c>
      <c r="Z35" s="39">
        <f t="shared" si="27"/>
        <v>3.5714285714285712</v>
      </c>
      <c r="AA35" s="39">
        <f t="shared" si="27"/>
        <v>1</v>
      </c>
      <c r="AB35" s="39">
        <f t="shared" si="27"/>
        <v>0.8571428571428571</v>
      </c>
      <c r="AC35" s="39">
        <f t="shared" si="27"/>
        <v>37.857142857142861</v>
      </c>
      <c r="AD35" s="39">
        <f t="shared" si="27"/>
        <v>1.4285714285714286</v>
      </c>
      <c r="AE35" s="40">
        <f t="shared" si="27"/>
        <v>53.714285714285722</v>
      </c>
      <c r="AF35" s="40">
        <f t="shared" si="27"/>
        <v>88.857142857142861</v>
      </c>
    </row>
    <row r="36" spans="2:32" ht="23.1" customHeight="1" x14ac:dyDescent="0.25">
      <c r="B36" s="24" t="s">
        <v>63</v>
      </c>
      <c r="C36" s="49">
        <f>AVERAGE('25.10 Mbarara-Ibanda'!C36,'26.10 Mbarara-Ibanda-24hr'!C36,'27.10 Mbarara-Ibanda'!C36,'28.10 Mbarara-Ibanda-24hr'!C36,'29.10 Mbarara-Ibanda'!C36,'30.10 Mbarara-Ibanda'!C36,'31.10 Mbarara-Ibanda'!C36)</f>
        <v>6</v>
      </c>
      <c r="D36" s="49">
        <f>AVERAGE('25.10 Mbarara-Ibanda'!D36,'26.10 Mbarara-Ibanda-24hr'!D36,'27.10 Mbarara-Ibanda'!D36,'28.10 Mbarara-Ibanda-24hr'!D36,'29.10 Mbarara-Ibanda'!D36,'30.10 Mbarara-Ibanda'!D36,'31.10 Mbarara-Ibanda'!D36)</f>
        <v>1</v>
      </c>
      <c r="E36" s="49">
        <f>AVERAGE('25.10 Mbarara-Ibanda'!E36,'26.10 Mbarara-Ibanda-24hr'!E36,'27.10 Mbarara-Ibanda'!E36,'28.10 Mbarara-Ibanda-24hr'!E36,'29.10 Mbarara-Ibanda'!E36,'30.10 Mbarara-Ibanda'!E36,'31.10 Mbarara-Ibanda'!E36)</f>
        <v>1.4285714285714286</v>
      </c>
      <c r="F36" s="49">
        <f>AVERAGE('25.10 Mbarara-Ibanda'!F36,'26.10 Mbarara-Ibanda-24hr'!F36,'27.10 Mbarara-Ibanda'!F36,'28.10 Mbarara-Ibanda-24hr'!F36,'29.10 Mbarara-Ibanda'!F36,'30.10 Mbarara-Ibanda'!F36,'31.10 Mbarara-Ibanda'!F36)</f>
        <v>2.8571428571428572</v>
      </c>
      <c r="G36" s="49">
        <f>AVERAGE('25.10 Mbarara-Ibanda'!G36,'26.10 Mbarara-Ibanda-24hr'!G36,'27.10 Mbarara-Ibanda'!G36,'28.10 Mbarara-Ibanda-24hr'!G36,'29.10 Mbarara-Ibanda'!G36,'30.10 Mbarara-Ibanda'!G36,'31.10 Mbarara-Ibanda'!G36)</f>
        <v>0</v>
      </c>
      <c r="H36" s="49">
        <f>AVERAGE('25.10 Mbarara-Ibanda'!H36,'26.10 Mbarara-Ibanda-24hr'!H36,'27.10 Mbarara-Ibanda'!H36,'28.10 Mbarara-Ibanda-24hr'!H36,'29.10 Mbarara-Ibanda'!H36,'30.10 Mbarara-Ibanda'!H36,'31.10 Mbarara-Ibanda'!H36)</f>
        <v>0.42857142857142855</v>
      </c>
      <c r="I36" s="49">
        <f>AVERAGE('25.10 Mbarara-Ibanda'!I36,'26.10 Mbarara-Ibanda-24hr'!I36,'27.10 Mbarara-Ibanda'!I36,'28.10 Mbarara-Ibanda-24hr'!I36,'29.10 Mbarara-Ibanda'!I36,'30.10 Mbarara-Ibanda'!I36,'31.10 Mbarara-Ibanda'!I36)</f>
        <v>1.5714285714285714</v>
      </c>
      <c r="J36" s="49">
        <f>AVERAGE('25.10 Mbarara-Ibanda'!J36,'26.10 Mbarara-Ibanda-24hr'!J36,'27.10 Mbarara-Ibanda'!J36,'28.10 Mbarara-Ibanda-24hr'!J36,'29.10 Mbarara-Ibanda'!J36,'30.10 Mbarara-Ibanda'!J36,'31.10 Mbarara-Ibanda'!J36)</f>
        <v>0.42857142857142855</v>
      </c>
      <c r="K36" s="49">
        <f>AVERAGE('25.10 Mbarara-Ibanda'!K36,'26.10 Mbarara-Ibanda-24hr'!K36,'27.10 Mbarara-Ibanda'!K36,'28.10 Mbarara-Ibanda-24hr'!K36,'29.10 Mbarara-Ibanda'!K36,'30.10 Mbarara-Ibanda'!K36,'31.10 Mbarara-Ibanda'!K36)</f>
        <v>0</v>
      </c>
      <c r="L36" s="49">
        <f>AVERAGE('25.10 Mbarara-Ibanda'!L36,'26.10 Mbarara-Ibanda-24hr'!L36,'27.10 Mbarara-Ibanda'!L36,'28.10 Mbarara-Ibanda-24hr'!L36,'29.10 Mbarara-Ibanda'!L36,'30.10 Mbarara-Ibanda'!L36,'31.10 Mbarara-Ibanda'!L36)</f>
        <v>0</v>
      </c>
      <c r="M36" s="49">
        <f>AVERAGE('25.10 Mbarara-Ibanda'!M36,'26.10 Mbarara-Ibanda-24hr'!M36,'27.10 Mbarara-Ibanda'!M36,'28.10 Mbarara-Ibanda-24hr'!M36,'29.10 Mbarara-Ibanda'!M36,'30.10 Mbarara-Ibanda'!M36,'31.10 Mbarara-Ibanda'!M36)</f>
        <v>6.8571428571428568</v>
      </c>
      <c r="N36" s="49">
        <f>AVERAGE('25.10 Mbarara-Ibanda'!N36,'26.10 Mbarara-Ibanda-24hr'!N36,'27.10 Mbarara-Ibanda'!N36,'28.10 Mbarara-Ibanda-24hr'!N36,'29.10 Mbarara-Ibanda'!N36,'30.10 Mbarara-Ibanda'!N36,'31.10 Mbarara-Ibanda'!N36)</f>
        <v>0</v>
      </c>
      <c r="O36" s="15">
        <f t="shared" si="0"/>
        <v>13.714285714285715</v>
      </c>
      <c r="P36" s="15">
        <f t="shared" si="1"/>
        <v>20.571428571428573</v>
      </c>
      <c r="R36" s="38" t="s">
        <v>92</v>
      </c>
      <c r="S36" s="39">
        <f t="shared" ref="S36:AF36" si="28">MAX(S19:S21)</f>
        <v>28</v>
      </c>
      <c r="T36" s="39">
        <f t="shared" si="28"/>
        <v>4.2857142857142856</v>
      </c>
      <c r="U36" s="39">
        <f t="shared" si="28"/>
        <v>3</v>
      </c>
      <c r="V36" s="39">
        <f t="shared" si="28"/>
        <v>7.8571428571428559</v>
      </c>
      <c r="W36" s="39">
        <f t="shared" si="28"/>
        <v>0.14285714285714285</v>
      </c>
      <c r="X36" s="39">
        <f t="shared" si="28"/>
        <v>1.1428571428571428</v>
      </c>
      <c r="Y36" s="39">
        <f t="shared" si="28"/>
        <v>3.4285714285714284</v>
      </c>
      <c r="Z36" s="39">
        <f t="shared" si="28"/>
        <v>2.2857142857142856</v>
      </c>
      <c r="AA36" s="39">
        <f t="shared" si="28"/>
        <v>0.42857142857142855</v>
      </c>
      <c r="AB36" s="39">
        <f t="shared" si="28"/>
        <v>0.42857142857142855</v>
      </c>
      <c r="AC36" s="39">
        <f t="shared" si="28"/>
        <v>50.428571428571423</v>
      </c>
      <c r="AD36" s="39">
        <f t="shared" si="28"/>
        <v>0</v>
      </c>
      <c r="AE36" s="40">
        <f t="shared" si="28"/>
        <v>48.142857142857146</v>
      </c>
      <c r="AF36" s="40">
        <f t="shared" si="28"/>
        <v>92.571428571428555</v>
      </c>
    </row>
    <row r="37" spans="2:32" ht="23.1" customHeight="1" x14ac:dyDescent="0.25">
      <c r="B37" s="23" t="s">
        <v>64</v>
      </c>
      <c r="C37" s="49">
        <f>AVERAGE('25.10 Mbarara-Ibanda'!C37,'26.10 Mbarara-Ibanda-24hr'!C37,'27.10 Mbarara-Ibanda'!C37,'28.10 Mbarara-Ibanda-24hr'!C37,'29.10 Mbarara-Ibanda'!C37,'30.10 Mbarara-Ibanda'!C37,'31.10 Mbarara-Ibanda'!C37)</f>
        <v>7.7142857142857144</v>
      </c>
      <c r="D37" s="49">
        <f>AVERAGE('25.10 Mbarara-Ibanda'!D37,'26.10 Mbarara-Ibanda-24hr'!D37,'27.10 Mbarara-Ibanda'!D37,'28.10 Mbarara-Ibanda-24hr'!D37,'29.10 Mbarara-Ibanda'!D37,'30.10 Mbarara-Ibanda'!D37,'31.10 Mbarara-Ibanda'!D37)</f>
        <v>0.42857142857142855</v>
      </c>
      <c r="E37" s="49">
        <f>AVERAGE('25.10 Mbarara-Ibanda'!E37,'26.10 Mbarara-Ibanda-24hr'!E37,'27.10 Mbarara-Ibanda'!E37,'28.10 Mbarara-Ibanda-24hr'!E37,'29.10 Mbarara-Ibanda'!E37,'30.10 Mbarara-Ibanda'!E37,'31.10 Mbarara-Ibanda'!E37)</f>
        <v>0.5714285714285714</v>
      </c>
      <c r="F37" s="49">
        <f>AVERAGE('25.10 Mbarara-Ibanda'!F37,'26.10 Mbarara-Ibanda-24hr'!F37,'27.10 Mbarara-Ibanda'!F37,'28.10 Mbarara-Ibanda-24hr'!F37,'29.10 Mbarara-Ibanda'!F37,'30.10 Mbarara-Ibanda'!F37,'31.10 Mbarara-Ibanda'!F37)</f>
        <v>1.5714285714285714</v>
      </c>
      <c r="G37" s="49">
        <f>AVERAGE('25.10 Mbarara-Ibanda'!G37,'26.10 Mbarara-Ibanda-24hr'!G37,'27.10 Mbarara-Ibanda'!G37,'28.10 Mbarara-Ibanda-24hr'!G37,'29.10 Mbarara-Ibanda'!G37,'30.10 Mbarara-Ibanda'!G37,'31.10 Mbarara-Ibanda'!G37)</f>
        <v>0</v>
      </c>
      <c r="H37" s="49">
        <f>AVERAGE('25.10 Mbarara-Ibanda'!H37,'26.10 Mbarara-Ibanda-24hr'!H37,'27.10 Mbarara-Ibanda'!H37,'28.10 Mbarara-Ibanda-24hr'!H37,'29.10 Mbarara-Ibanda'!H37,'30.10 Mbarara-Ibanda'!H37,'31.10 Mbarara-Ibanda'!H37)</f>
        <v>0.14285714285714285</v>
      </c>
      <c r="I37" s="49">
        <f>AVERAGE('25.10 Mbarara-Ibanda'!I37,'26.10 Mbarara-Ibanda-24hr'!I37,'27.10 Mbarara-Ibanda'!I37,'28.10 Mbarara-Ibanda-24hr'!I37,'29.10 Mbarara-Ibanda'!I37,'30.10 Mbarara-Ibanda'!I37,'31.10 Mbarara-Ibanda'!I37)</f>
        <v>0.7142857142857143</v>
      </c>
      <c r="J37" s="49">
        <f>AVERAGE('25.10 Mbarara-Ibanda'!J37,'26.10 Mbarara-Ibanda-24hr'!J37,'27.10 Mbarara-Ibanda'!J37,'28.10 Mbarara-Ibanda-24hr'!J37,'29.10 Mbarara-Ibanda'!J37,'30.10 Mbarara-Ibanda'!J37,'31.10 Mbarara-Ibanda'!J37)</f>
        <v>0.7142857142857143</v>
      </c>
      <c r="K37" s="49">
        <f>AVERAGE('25.10 Mbarara-Ibanda'!K37,'26.10 Mbarara-Ibanda-24hr'!K37,'27.10 Mbarara-Ibanda'!K37,'28.10 Mbarara-Ibanda-24hr'!K37,'29.10 Mbarara-Ibanda'!K37,'30.10 Mbarara-Ibanda'!K37,'31.10 Mbarara-Ibanda'!K37)</f>
        <v>0.14285714285714285</v>
      </c>
      <c r="L37" s="49">
        <f>AVERAGE('25.10 Mbarara-Ibanda'!L37,'26.10 Mbarara-Ibanda-24hr'!L37,'27.10 Mbarara-Ibanda'!L37,'28.10 Mbarara-Ibanda-24hr'!L37,'29.10 Mbarara-Ibanda'!L37,'30.10 Mbarara-Ibanda'!L37,'31.10 Mbarara-Ibanda'!L37)</f>
        <v>0</v>
      </c>
      <c r="M37" s="49">
        <f>AVERAGE('25.10 Mbarara-Ibanda'!M37,'26.10 Mbarara-Ibanda-24hr'!M37,'27.10 Mbarara-Ibanda'!M37,'28.10 Mbarara-Ibanda-24hr'!M37,'29.10 Mbarara-Ibanda'!M37,'30.10 Mbarara-Ibanda'!M37,'31.10 Mbarara-Ibanda'!M37)</f>
        <v>9.4285714285714288</v>
      </c>
      <c r="N37" s="49">
        <f>AVERAGE('25.10 Mbarara-Ibanda'!N37,'26.10 Mbarara-Ibanda-24hr'!N37,'27.10 Mbarara-Ibanda'!N37,'28.10 Mbarara-Ibanda-24hr'!N37,'29.10 Mbarara-Ibanda'!N37,'30.10 Mbarara-Ibanda'!N37,'31.10 Mbarara-Ibanda'!N37)</f>
        <v>0</v>
      </c>
      <c r="O37" s="15">
        <f t="shared" si="0"/>
        <v>11.999999999999996</v>
      </c>
      <c r="P37" s="15">
        <f t="shared" si="1"/>
        <v>21.428571428571423</v>
      </c>
      <c r="R37" s="37" t="s">
        <v>85</v>
      </c>
      <c r="S37" s="35">
        <f t="shared" ref="S37:AF37" si="29">SUM(S10:S12)</f>
        <v>55.999999999999993</v>
      </c>
      <c r="T37" s="16">
        <f t="shared" si="29"/>
        <v>7.5714285714285712</v>
      </c>
      <c r="U37" s="16">
        <f t="shared" si="29"/>
        <v>5.2857142857142856</v>
      </c>
      <c r="V37" s="16">
        <f t="shared" si="29"/>
        <v>13.285714285714285</v>
      </c>
      <c r="W37" s="16">
        <f t="shared" si="29"/>
        <v>0.42857142857142855</v>
      </c>
      <c r="X37" s="16">
        <f t="shared" si="29"/>
        <v>0.2857142857142857</v>
      </c>
      <c r="Y37" s="16">
        <f t="shared" si="29"/>
        <v>3.5714285714285712</v>
      </c>
      <c r="Z37" s="16">
        <f t="shared" si="29"/>
        <v>5.1428571428571423</v>
      </c>
      <c r="AA37" s="16">
        <f t="shared" si="29"/>
        <v>2.4285714285714284</v>
      </c>
      <c r="AB37" s="16">
        <f t="shared" si="29"/>
        <v>1.2857142857142856</v>
      </c>
      <c r="AC37" s="16">
        <f t="shared" si="29"/>
        <v>93.142857142857139</v>
      </c>
      <c r="AD37" s="16">
        <f t="shared" si="29"/>
        <v>0</v>
      </c>
      <c r="AE37" s="32">
        <f t="shared" si="29"/>
        <v>95.285714285714292</v>
      </c>
      <c r="AF37" s="32">
        <f t="shared" si="29"/>
        <v>188.42857142857144</v>
      </c>
    </row>
    <row r="38" spans="2:32" ht="23.1" customHeight="1" x14ac:dyDescent="0.25">
      <c r="B38" s="24" t="s">
        <v>65</v>
      </c>
      <c r="C38" s="49">
        <f>AVERAGE('25.10 Mbarara-Ibanda'!C38,'26.10 Mbarara-Ibanda-24hr'!C38,'27.10 Mbarara-Ibanda'!C38,'28.10 Mbarara-Ibanda-24hr'!C38,'29.10 Mbarara-Ibanda'!C38,'30.10 Mbarara-Ibanda'!C38,'31.10 Mbarara-Ibanda'!C38)</f>
        <v>6</v>
      </c>
      <c r="D38" s="49">
        <f>AVERAGE('25.10 Mbarara-Ibanda'!D38,'26.10 Mbarara-Ibanda-24hr'!D38,'27.10 Mbarara-Ibanda'!D38,'28.10 Mbarara-Ibanda-24hr'!D38,'29.10 Mbarara-Ibanda'!D38,'30.10 Mbarara-Ibanda'!D38,'31.10 Mbarara-Ibanda'!D38)</f>
        <v>0.14285714285714285</v>
      </c>
      <c r="E38" s="49">
        <f>AVERAGE('25.10 Mbarara-Ibanda'!E38,'26.10 Mbarara-Ibanda-24hr'!E38,'27.10 Mbarara-Ibanda'!E38,'28.10 Mbarara-Ibanda-24hr'!E38,'29.10 Mbarara-Ibanda'!E38,'30.10 Mbarara-Ibanda'!E38,'31.10 Mbarara-Ibanda'!E38)</f>
        <v>0.5714285714285714</v>
      </c>
      <c r="F38" s="49">
        <f>AVERAGE('25.10 Mbarara-Ibanda'!F38,'26.10 Mbarara-Ibanda-24hr'!F38,'27.10 Mbarara-Ibanda'!F38,'28.10 Mbarara-Ibanda-24hr'!F38,'29.10 Mbarara-Ibanda'!F38,'30.10 Mbarara-Ibanda'!F38,'31.10 Mbarara-Ibanda'!F38)</f>
        <v>1.8571428571428572</v>
      </c>
      <c r="G38" s="49">
        <f>AVERAGE('25.10 Mbarara-Ibanda'!G38,'26.10 Mbarara-Ibanda-24hr'!G38,'27.10 Mbarara-Ibanda'!G38,'28.10 Mbarara-Ibanda-24hr'!G38,'29.10 Mbarara-Ibanda'!G38,'30.10 Mbarara-Ibanda'!G38,'31.10 Mbarara-Ibanda'!G38)</f>
        <v>0</v>
      </c>
      <c r="H38" s="49">
        <f>AVERAGE('25.10 Mbarara-Ibanda'!H38,'26.10 Mbarara-Ibanda-24hr'!H38,'27.10 Mbarara-Ibanda'!H38,'28.10 Mbarara-Ibanda-24hr'!H38,'29.10 Mbarara-Ibanda'!H38,'30.10 Mbarara-Ibanda'!H38,'31.10 Mbarara-Ibanda'!H38)</f>
        <v>0</v>
      </c>
      <c r="I38" s="49">
        <f>AVERAGE('25.10 Mbarara-Ibanda'!I38,'26.10 Mbarara-Ibanda-24hr'!I38,'27.10 Mbarara-Ibanda'!I38,'28.10 Mbarara-Ibanda-24hr'!I38,'29.10 Mbarara-Ibanda'!I38,'30.10 Mbarara-Ibanda'!I38,'31.10 Mbarara-Ibanda'!I38)</f>
        <v>1</v>
      </c>
      <c r="J38" s="49">
        <f>AVERAGE('25.10 Mbarara-Ibanda'!J38,'26.10 Mbarara-Ibanda-24hr'!J38,'27.10 Mbarara-Ibanda'!J38,'28.10 Mbarara-Ibanda-24hr'!J38,'29.10 Mbarara-Ibanda'!J38,'30.10 Mbarara-Ibanda'!J38,'31.10 Mbarara-Ibanda'!J38)</f>
        <v>0.5714285714285714</v>
      </c>
      <c r="K38" s="49">
        <f>AVERAGE('25.10 Mbarara-Ibanda'!K38,'26.10 Mbarara-Ibanda-24hr'!K38,'27.10 Mbarara-Ibanda'!K38,'28.10 Mbarara-Ibanda-24hr'!K38,'29.10 Mbarara-Ibanda'!K38,'30.10 Mbarara-Ibanda'!K38,'31.10 Mbarara-Ibanda'!K38)</f>
        <v>0.2857142857142857</v>
      </c>
      <c r="L38" s="49">
        <f>AVERAGE('25.10 Mbarara-Ibanda'!L38,'26.10 Mbarara-Ibanda-24hr'!L38,'27.10 Mbarara-Ibanda'!L38,'28.10 Mbarara-Ibanda-24hr'!L38,'29.10 Mbarara-Ibanda'!L38,'30.10 Mbarara-Ibanda'!L38,'31.10 Mbarara-Ibanda'!L38)</f>
        <v>0.14285714285714285</v>
      </c>
      <c r="M38" s="49">
        <f>AVERAGE('25.10 Mbarara-Ibanda'!M38,'26.10 Mbarara-Ibanda-24hr'!M38,'27.10 Mbarara-Ibanda'!M38,'28.10 Mbarara-Ibanda-24hr'!M38,'29.10 Mbarara-Ibanda'!M38,'30.10 Mbarara-Ibanda'!M38,'31.10 Mbarara-Ibanda'!M38)</f>
        <v>9.5714285714285712</v>
      </c>
      <c r="N38" s="49">
        <f>AVERAGE('25.10 Mbarara-Ibanda'!N38,'26.10 Mbarara-Ibanda-24hr'!N38,'27.10 Mbarara-Ibanda'!N38,'28.10 Mbarara-Ibanda-24hr'!N38,'29.10 Mbarara-Ibanda'!N38,'30.10 Mbarara-Ibanda'!N38,'31.10 Mbarara-Ibanda'!N38)</f>
        <v>0</v>
      </c>
      <c r="O38" s="15">
        <f t="shared" si="0"/>
        <v>10.571428571428571</v>
      </c>
      <c r="P38" s="15">
        <f t="shared" si="1"/>
        <v>20.142857142857142</v>
      </c>
      <c r="R38" s="28" t="s">
        <v>86</v>
      </c>
      <c r="S38" s="16">
        <f t="shared" ref="S38:AF38" si="30">SUM(S13:S18)</f>
        <v>155.85714285714289</v>
      </c>
      <c r="T38" s="16">
        <f t="shared" si="30"/>
        <v>17.714285714285715</v>
      </c>
      <c r="U38" s="16">
        <f t="shared" si="30"/>
        <v>20.285714285714285</v>
      </c>
      <c r="V38" s="16">
        <f t="shared" si="30"/>
        <v>42.857142857142861</v>
      </c>
      <c r="W38" s="16">
        <f t="shared" si="30"/>
        <v>1.1428571428571428</v>
      </c>
      <c r="X38" s="16">
        <f t="shared" si="30"/>
        <v>2.9999999999999996</v>
      </c>
      <c r="Y38" s="16">
        <f t="shared" si="30"/>
        <v>20</v>
      </c>
      <c r="Z38" s="16">
        <f t="shared" si="30"/>
        <v>16.857142857142858</v>
      </c>
      <c r="AA38" s="16">
        <f t="shared" si="30"/>
        <v>4.9999999999999991</v>
      </c>
      <c r="AB38" s="16">
        <f t="shared" si="30"/>
        <v>2.9999999999999996</v>
      </c>
      <c r="AC38" s="16">
        <f t="shared" si="30"/>
        <v>212.42857142857144</v>
      </c>
      <c r="AD38" s="16">
        <f t="shared" si="30"/>
        <v>1.4285714285714286</v>
      </c>
      <c r="AE38" s="32">
        <f t="shared" si="30"/>
        <v>287.14285714285717</v>
      </c>
      <c r="AF38" s="32">
        <f t="shared" si="30"/>
        <v>499.57142857142856</v>
      </c>
    </row>
    <row r="39" spans="2:32" ht="23.1" customHeight="1" x14ac:dyDescent="0.25">
      <c r="B39" s="24" t="s">
        <v>66</v>
      </c>
      <c r="C39" s="49">
        <f>AVERAGE('25.10 Mbarara-Ibanda'!C39,'26.10 Mbarara-Ibanda-24hr'!C39,'27.10 Mbarara-Ibanda'!C39,'28.10 Mbarara-Ibanda-24hr'!C39,'29.10 Mbarara-Ibanda'!C39,'30.10 Mbarara-Ibanda'!C39,'31.10 Mbarara-Ibanda'!C39)</f>
        <v>5.2857142857142856</v>
      </c>
      <c r="D39" s="49">
        <f>AVERAGE('25.10 Mbarara-Ibanda'!D39,'26.10 Mbarara-Ibanda-24hr'!D39,'27.10 Mbarara-Ibanda'!D39,'28.10 Mbarara-Ibanda-24hr'!D39,'29.10 Mbarara-Ibanda'!D39,'30.10 Mbarara-Ibanda'!D39,'31.10 Mbarara-Ibanda'!D39)</f>
        <v>1.2857142857142858</v>
      </c>
      <c r="E39" s="49">
        <f>AVERAGE('25.10 Mbarara-Ibanda'!E39,'26.10 Mbarara-Ibanda-24hr'!E39,'27.10 Mbarara-Ibanda'!E39,'28.10 Mbarara-Ibanda-24hr'!E39,'29.10 Mbarara-Ibanda'!E39,'30.10 Mbarara-Ibanda'!E39,'31.10 Mbarara-Ibanda'!E39)</f>
        <v>0.2857142857142857</v>
      </c>
      <c r="F39" s="49">
        <f>AVERAGE('25.10 Mbarara-Ibanda'!F39,'26.10 Mbarara-Ibanda-24hr'!F39,'27.10 Mbarara-Ibanda'!F39,'28.10 Mbarara-Ibanda-24hr'!F39,'29.10 Mbarara-Ibanda'!F39,'30.10 Mbarara-Ibanda'!F39,'31.10 Mbarara-Ibanda'!F39)</f>
        <v>2.7142857142857144</v>
      </c>
      <c r="G39" s="49">
        <f>AVERAGE('25.10 Mbarara-Ibanda'!G39,'26.10 Mbarara-Ibanda-24hr'!G39,'27.10 Mbarara-Ibanda'!G39,'28.10 Mbarara-Ibanda-24hr'!G39,'29.10 Mbarara-Ibanda'!G39,'30.10 Mbarara-Ibanda'!G39,'31.10 Mbarara-Ibanda'!G39)</f>
        <v>0</v>
      </c>
      <c r="H39" s="49">
        <f>AVERAGE('25.10 Mbarara-Ibanda'!H39,'26.10 Mbarara-Ibanda-24hr'!H39,'27.10 Mbarara-Ibanda'!H39,'28.10 Mbarara-Ibanda-24hr'!H39,'29.10 Mbarara-Ibanda'!H39,'30.10 Mbarara-Ibanda'!H39,'31.10 Mbarara-Ibanda'!H39)</f>
        <v>0.14285714285714285</v>
      </c>
      <c r="I39" s="49">
        <f>AVERAGE('25.10 Mbarara-Ibanda'!I39,'26.10 Mbarara-Ibanda-24hr'!I39,'27.10 Mbarara-Ibanda'!I39,'28.10 Mbarara-Ibanda-24hr'!I39,'29.10 Mbarara-Ibanda'!I39,'30.10 Mbarara-Ibanda'!I39,'31.10 Mbarara-Ibanda'!I39)</f>
        <v>0.8571428571428571</v>
      </c>
      <c r="J39" s="49">
        <f>AVERAGE('25.10 Mbarara-Ibanda'!J39,'26.10 Mbarara-Ibanda-24hr'!J39,'27.10 Mbarara-Ibanda'!J39,'28.10 Mbarara-Ibanda-24hr'!J39,'29.10 Mbarara-Ibanda'!J39,'30.10 Mbarara-Ibanda'!J39,'31.10 Mbarara-Ibanda'!J39)</f>
        <v>0.2857142857142857</v>
      </c>
      <c r="K39" s="49">
        <f>AVERAGE('25.10 Mbarara-Ibanda'!K39,'26.10 Mbarara-Ibanda-24hr'!K39,'27.10 Mbarara-Ibanda'!K39,'28.10 Mbarara-Ibanda-24hr'!K39,'29.10 Mbarara-Ibanda'!K39,'30.10 Mbarara-Ibanda'!K39,'31.10 Mbarara-Ibanda'!K39)</f>
        <v>0</v>
      </c>
      <c r="L39" s="49">
        <f>AVERAGE('25.10 Mbarara-Ibanda'!L39,'26.10 Mbarara-Ibanda-24hr'!L39,'27.10 Mbarara-Ibanda'!L39,'28.10 Mbarara-Ibanda-24hr'!L39,'29.10 Mbarara-Ibanda'!L39,'30.10 Mbarara-Ibanda'!L39,'31.10 Mbarara-Ibanda'!L39)</f>
        <v>0.14285714285714285</v>
      </c>
      <c r="M39" s="49">
        <f>AVERAGE('25.10 Mbarara-Ibanda'!M39,'26.10 Mbarara-Ibanda-24hr'!M39,'27.10 Mbarara-Ibanda'!M39,'28.10 Mbarara-Ibanda-24hr'!M39,'29.10 Mbarara-Ibanda'!M39,'30.10 Mbarara-Ibanda'!M39,'31.10 Mbarara-Ibanda'!M39)</f>
        <v>8.8571428571428577</v>
      </c>
      <c r="N39" s="49">
        <f>AVERAGE('25.10 Mbarara-Ibanda'!N39,'26.10 Mbarara-Ibanda-24hr'!N39,'27.10 Mbarara-Ibanda'!N39,'28.10 Mbarara-Ibanda-24hr'!N39,'29.10 Mbarara-Ibanda'!N39,'30.10 Mbarara-Ibanda'!N39,'31.10 Mbarara-Ibanda'!N39)</f>
        <v>0</v>
      </c>
      <c r="O39" s="15">
        <f t="shared" si="0"/>
        <v>11</v>
      </c>
      <c r="P39" s="15">
        <f t="shared" si="1"/>
        <v>19.857142857142858</v>
      </c>
      <c r="R39" s="29" t="s">
        <v>87</v>
      </c>
      <c r="S39" s="16">
        <f t="shared" ref="S39:AF39" si="31">SUM(S19:S21)</f>
        <v>81.857142857142861</v>
      </c>
      <c r="T39" s="16">
        <f t="shared" si="31"/>
        <v>10</v>
      </c>
      <c r="U39" s="16">
        <f t="shared" si="31"/>
        <v>7.1428571428571423</v>
      </c>
      <c r="V39" s="16">
        <f t="shared" si="31"/>
        <v>20.571428571428569</v>
      </c>
      <c r="W39" s="16">
        <f t="shared" si="31"/>
        <v>0.2857142857142857</v>
      </c>
      <c r="X39" s="16">
        <f t="shared" si="31"/>
        <v>1.8571428571428572</v>
      </c>
      <c r="Y39" s="16">
        <f t="shared" si="31"/>
        <v>7.8571428571428559</v>
      </c>
      <c r="Z39" s="16">
        <f t="shared" si="31"/>
        <v>4.8571428571428559</v>
      </c>
      <c r="AA39" s="16">
        <f t="shared" si="31"/>
        <v>0.99999999999999989</v>
      </c>
      <c r="AB39" s="16">
        <f t="shared" si="31"/>
        <v>0.5714285714285714</v>
      </c>
      <c r="AC39" s="16">
        <f t="shared" si="31"/>
        <v>133.57142857142856</v>
      </c>
      <c r="AD39" s="16">
        <f t="shared" si="31"/>
        <v>0</v>
      </c>
      <c r="AE39" s="32">
        <f t="shared" si="31"/>
        <v>136</v>
      </c>
      <c r="AF39" s="32">
        <f t="shared" si="31"/>
        <v>269.57142857142856</v>
      </c>
    </row>
    <row r="40" spans="2:32" ht="23.1" customHeight="1" x14ac:dyDescent="0.25">
      <c r="B40" s="24" t="s">
        <v>67</v>
      </c>
      <c r="C40" s="49">
        <f>AVERAGE('25.10 Mbarara-Ibanda'!C40,'26.10 Mbarara-Ibanda-24hr'!C40,'27.10 Mbarara-Ibanda'!C40,'28.10 Mbarara-Ibanda-24hr'!C40,'29.10 Mbarara-Ibanda'!C40,'30.10 Mbarara-Ibanda'!C40,'31.10 Mbarara-Ibanda'!C40)</f>
        <v>6.5714285714285712</v>
      </c>
      <c r="D40" s="49">
        <f>AVERAGE('25.10 Mbarara-Ibanda'!D40,'26.10 Mbarara-Ibanda-24hr'!D40,'27.10 Mbarara-Ibanda'!D40,'28.10 Mbarara-Ibanda-24hr'!D40,'29.10 Mbarara-Ibanda'!D40,'30.10 Mbarara-Ibanda'!D40,'31.10 Mbarara-Ibanda'!D40)</f>
        <v>1.1428571428571428</v>
      </c>
      <c r="E40" s="49">
        <f>AVERAGE('25.10 Mbarara-Ibanda'!E40,'26.10 Mbarara-Ibanda-24hr'!E40,'27.10 Mbarara-Ibanda'!E40,'28.10 Mbarara-Ibanda-24hr'!E40,'29.10 Mbarara-Ibanda'!E40,'30.10 Mbarara-Ibanda'!E40,'31.10 Mbarara-Ibanda'!E40)</f>
        <v>0.8571428571428571</v>
      </c>
      <c r="F40" s="49">
        <f>AVERAGE('25.10 Mbarara-Ibanda'!F40,'26.10 Mbarara-Ibanda-24hr'!F40,'27.10 Mbarara-Ibanda'!F40,'28.10 Mbarara-Ibanda-24hr'!F40,'29.10 Mbarara-Ibanda'!F40,'30.10 Mbarara-Ibanda'!F40,'31.10 Mbarara-Ibanda'!F40)</f>
        <v>2</v>
      </c>
      <c r="G40" s="49">
        <f>AVERAGE('25.10 Mbarara-Ibanda'!G40,'26.10 Mbarara-Ibanda-24hr'!G40,'27.10 Mbarara-Ibanda'!G40,'28.10 Mbarara-Ibanda-24hr'!G40,'29.10 Mbarara-Ibanda'!G40,'30.10 Mbarara-Ibanda'!G40,'31.10 Mbarara-Ibanda'!G40)</f>
        <v>0</v>
      </c>
      <c r="H40" s="49">
        <f>AVERAGE('25.10 Mbarara-Ibanda'!H40,'26.10 Mbarara-Ibanda-24hr'!H40,'27.10 Mbarara-Ibanda'!H40,'28.10 Mbarara-Ibanda-24hr'!H40,'29.10 Mbarara-Ibanda'!H40,'30.10 Mbarara-Ibanda'!H40,'31.10 Mbarara-Ibanda'!H40)</f>
        <v>0</v>
      </c>
      <c r="I40" s="49">
        <f>AVERAGE('25.10 Mbarara-Ibanda'!I40,'26.10 Mbarara-Ibanda-24hr'!I40,'27.10 Mbarara-Ibanda'!I40,'28.10 Mbarara-Ibanda-24hr'!I40,'29.10 Mbarara-Ibanda'!I40,'30.10 Mbarara-Ibanda'!I40,'31.10 Mbarara-Ibanda'!I40)</f>
        <v>1.1428571428571428</v>
      </c>
      <c r="J40" s="49">
        <f>AVERAGE('25.10 Mbarara-Ibanda'!J40,'26.10 Mbarara-Ibanda-24hr'!J40,'27.10 Mbarara-Ibanda'!J40,'28.10 Mbarara-Ibanda-24hr'!J40,'29.10 Mbarara-Ibanda'!J40,'30.10 Mbarara-Ibanda'!J40,'31.10 Mbarara-Ibanda'!J40)</f>
        <v>1</v>
      </c>
      <c r="K40" s="49">
        <f>AVERAGE('25.10 Mbarara-Ibanda'!K40,'26.10 Mbarara-Ibanda-24hr'!K40,'27.10 Mbarara-Ibanda'!K40,'28.10 Mbarara-Ibanda-24hr'!K40,'29.10 Mbarara-Ibanda'!K40,'30.10 Mbarara-Ibanda'!K40,'31.10 Mbarara-Ibanda'!K40)</f>
        <v>0.14285714285714285</v>
      </c>
      <c r="L40" s="49">
        <f>AVERAGE('25.10 Mbarara-Ibanda'!L40,'26.10 Mbarara-Ibanda-24hr'!L40,'27.10 Mbarara-Ibanda'!L40,'28.10 Mbarara-Ibanda-24hr'!L40,'29.10 Mbarara-Ibanda'!L40,'30.10 Mbarara-Ibanda'!L40,'31.10 Mbarara-Ibanda'!L40)</f>
        <v>0</v>
      </c>
      <c r="M40" s="49">
        <f>AVERAGE('25.10 Mbarara-Ibanda'!M40,'26.10 Mbarara-Ibanda-24hr'!M40,'27.10 Mbarara-Ibanda'!M40,'28.10 Mbarara-Ibanda-24hr'!M40,'29.10 Mbarara-Ibanda'!M40,'30.10 Mbarara-Ibanda'!M40,'31.10 Mbarara-Ibanda'!M40)</f>
        <v>10.285714285714286</v>
      </c>
      <c r="N40" s="49">
        <f>AVERAGE('25.10 Mbarara-Ibanda'!N40,'26.10 Mbarara-Ibanda-24hr'!N40,'27.10 Mbarara-Ibanda'!N40,'28.10 Mbarara-Ibanda-24hr'!N40,'29.10 Mbarara-Ibanda'!N40,'30.10 Mbarara-Ibanda'!N40,'31.10 Mbarara-Ibanda'!N40)</f>
        <v>0</v>
      </c>
      <c r="O40" s="15">
        <f t="shared" si="0"/>
        <v>12.857142857142856</v>
      </c>
      <c r="P40" s="15">
        <f t="shared" si="1"/>
        <v>23.142857142857142</v>
      </c>
      <c r="R40" s="5" t="s">
        <v>17</v>
      </c>
      <c r="S40" s="16">
        <f t="shared" ref="S40:AF40" si="32">SUM(S10:S21)</f>
        <v>293.71428571428578</v>
      </c>
      <c r="T40" s="16">
        <f t="shared" si="32"/>
        <v>35.285714285714285</v>
      </c>
      <c r="U40" s="16">
        <f t="shared" si="32"/>
        <v>32.714285714285715</v>
      </c>
      <c r="V40" s="16">
        <f t="shared" si="32"/>
        <v>76.714285714285722</v>
      </c>
      <c r="W40" s="16">
        <f t="shared" si="32"/>
        <v>1.857142857142857</v>
      </c>
      <c r="X40" s="16">
        <f t="shared" si="32"/>
        <v>5.1428571428571415</v>
      </c>
      <c r="Y40" s="16">
        <f t="shared" si="32"/>
        <v>31.428571428571423</v>
      </c>
      <c r="Z40" s="16">
        <f t="shared" si="32"/>
        <v>26.857142857142858</v>
      </c>
      <c r="AA40" s="16">
        <f t="shared" si="32"/>
        <v>8.4285714285714288</v>
      </c>
      <c r="AB40" s="16">
        <f t="shared" si="32"/>
        <v>4.8571428571428577</v>
      </c>
      <c r="AC40" s="16">
        <f t="shared" si="32"/>
        <v>439.14285714285711</v>
      </c>
      <c r="AD40" s="16">
        <f t="shared" si="32"/>
        <v>1.4285714285714286</v>
      </c>
      <c r="AE40" s="32">
        <f t="shared" si="32"/>
        <v>518.42857142857144</v>
      </c>
      <c r="AF40" s="32">
        <f t="shared" si="32"/>
        <v>957.57142857142856</v>
      </c>
    </row>
    <row r="41" spans="2:32" ht="23.1" customHeight="1" x14ac:dyDescent="0.25">
      <c r="B41" s="23" t="s">
        <v>68</v>
      </c>
      <c r="C41" s="49">
        <f>AVERAGE('25.10 Mbarara-Ibanda'!C41,'26.10 Mbarara-Ibanda-24hr'!C41,'27.10 Mbarara-Ibanda'!C41,'28.10 Mbarara-Ibanda-24hr'!C41,'29.10 Mbarara-Ibanda'!C41,'30.10 Mbarara-Ibanda'!C41,'31.10 Mbarara-Ibanda'!C41)</f>
        <v>6.1428571428571432</v>
      </c>
      <c r="D41" s="49">
        <f>AVERAGE('25.10 Mbarara-Ibanda'!D41,'26.10 Mbarara-Ibanda-24hr'!D41,'27.10 Mbarara-Ibanda'!D41,'28.10 Mbarara-Ibanda-24hr'!D41,'29.10 Mbarara-Ibanda'!D41,'30.10 Mbarara-Ibanda'!D41,'31.10 Mbarara-Ibanda'!D41)</f>
        <v>0.7142857142857143</v>
      </c>
      <c r="E41" s="49">
        <f>AVERAGE('25.10 Mbarara-Ibanda'!E41,'26.10 Mbarara-Ibanda-24hr'!E41,'27.10 Mbarara-Ibanda'!E41,'28.10 Mbarara-Ibanda-24hr'!E41,'29.10 Mbarara-Ibanda'!E41,'30.10 Mbarara-Ibanda'!E41,'31.10 Mbarara-Ibanda'!E41)</f>
        <v>0.5714285714285714</v>
      </c>
      <c r="F41" s="49">
        <f>AVERAGE('25.10 Mbarara-Ibanda'!F41,'26.10 Mbarara-Ibanda-24hr'!F41,'27.10 Mbarara-Ibanda'!F41,'28.10 Mbarara-Ibanda-24hr'!F41,'29.10 Mbarara-Ibanda'!F41,'30.10 Mbarara-Ibanda'!F41,'31.10 Mbarara-Ibanda'!F41)</f>
        <v>1.4285714285714286</v>
      </c>
      <c r="G41" s="49">
        <f>AVERAGE('25.10 Mbarara-Ibanda'!G41,'26.10 Mbarara-Ibanda-24hr'!G41,'27.10 Mbarara-Ibanda'!G41,'28.10 Mbarara-Ibanda-24hr'!G41,'29.10 Mbarara-Ibanda'!G41,'30.10 Mbarara-Ibanda'!G41,'31.10 Mbarara-Ibanda'!G41)</f>
        <v>0</v>
      </c>
      <c r="H41" s="49">
        <f>AVERAGE('25.10 Mbarara-Ibanda'!H41,'26.10 Mbarara-Ibanda-24hr'!H41,'27.10 Mbarara-Ibanda'!H41,'28.10 Mbarara-Ibanda-24hr'!H41,'29.10 Mbarara-Ibanda'!H41,'30.10 Mbarara-Ibanda'!H41,'31.10 Mbarara-Ibanda'!H41)</f>
        <v>0</v>
      </c>
      <c r="I41" s="49">
        <f>AVERAGE('25.10 Mbarara-Ibanda'!I41,'26.10 Mbarara-Ibanda-24hr'!I41,'27.10 Mbarara-Ibanda'!I41,'28.10 Mbarara-Ibanda-24hr'!I41,'29.10 Mbarara-Ibanda'!I41,'30.10 Mbarara-Ibanda'!I41,'31.10 Mbarara-Ibanda'!I41)</f>
        <v>1.2857142857142858</v>
      </c>
      <c r="J41" s="49">
        <f>AVERAGE('25.10 Mbarara-Ibanda'!J41,'26.10 Mbarara-Ibanda-24hr'!J41,'27.10 Mbarara-Ibanda'!J41,'28.10 Mbarara-Ibanda-24hr'!J41,'29.10 Mbarara-Ibanda'!J41,'30.10 Mbarara-Ibanda'!J41,'31.10 Mbarara-Ibanda'!J41)</f>
        <v>0.8571428571428571</v>
      </c>
      <c r="K41" s="49">
        <f>AVERAGE('25.10 Mbarara-Ibanda'!K41,'26.10 Mbarara-Ibanda-24hr'!K41,'27.10 Mbarara-Ibanda'!K41,'28.10 Mbarara-Ibanda-24hr'!K41,'29.10 Mbarara-Ibanda'!K41,'30.10 Mbarara-Ibanda'!K41,'31.10 Mbarara-Ibanda'!K41)</f>
        <v>0.14285714285714285</v>
      </c>
      <c r="L41" s="49">
        <f>AVERAGE('25.10 Mbarara-Ibanda'!L41,'26.10 Mbarara-Ibanda-24hr'!L41,'27.10 Mbarara-Ibanda'!L41,'28.10 Mbarara-Ibanda-24hr'!L41,'29.10 Mbarara-Ibanda'!L41,'30.10 Mbarara-Ibanda'!L41,'31.10 Mbarara-Ibanda'!L41)</f>
        <v>0</v>
      </c>
      <c r="M41" s="49">
        <f>AVERAGE('25.10 Mbarara-Ibanda'!M41,'26.10 Mbarara-Ibanda-24hr'!M41,'27.10 Mbarara-Ibanda'!M41,'28.10 Mbarara-Ibanda-24hr'!M41,'29.10 Mbarara-Ibanda'!M41,'30.10 Mbarara-Ibanda'!M41,'31.10 Mbarara-Ibanda'!M41)</f>
        <v>9.1428571428571423</v>
      </c>
      <c r="N41" s="49">
        <f>AVERAGE('25.10 Mbarara-Ibanda'!N41,'26.10 Mbarara-Ibanda-24hr'!N41,'27.10 Mbarara-Ibanda'!N41,'28.10 Mbarara-Ibanda-24hr'!N41,'29.10 Mbarara-Ibanda'!N41,'30.10 Mbarara-Ibanda'!N41,'31.10 Mbarara-Ibanda'!N41)</f>
        <v>0</v>
      </c>
      <c r="O41" s="15">
        <f t="shared" si="0"/>
        <v>11.142857142857144</v>
      </c>
      <c r="P41" s="15">
        <f t="shared" si="1"/>
        <v>20.285714285714285</v>
      </c>
      <c r="R41" s="5" t="s">
        <v>180</v>
      </c>
      <c r="S41" s="52">
        <f>SUM(S10:S33)</f>
        <v>385.71428571428578</v>
      </c>
      <c r="T41" s="52">
        <f t="shared" ref="T41:AD41" si="33">SUM(T10:T33)</f>
        <v>52.785714285714285</v>
      </c>
      <c r="U41" s="52">
        <f t="shared" si="33"/>
        <v>47.214285714285715</v>
      </c>
      <c r="V41" s="52">
        <f t="shared" si="33"/>
        <v>95.714285714285722</v>
      </c>
      <c r="W41" s="52">
        <f t="shared" si="33"/>
        <v>4.8571428571428568</v>
      </c>
      <c r="X41" s="52">
        <f t="shared" si="33"/>
        <v>7.6428571428571415</v>
      </c>
      <c r="Y41" s="52">
        <f t="shared" si="33"/>
        <v>52.428571428571423</v>
      </c>
      <c r="Z41" s="52">
        <f t="shared" si="33"/>
        <v>38.857142857142861</v>
      </c>
      <c r="AA41" s="52">
        <f t="shared" si="33"/>
        <v>19.928571428571431</v>
      </c>
      <c r="AB41" s="52">
        <f t="shared" si="33"/>
        <v>6.8571428571428577</v>
      </c>
      <c r="AC41" s="52">
        <f t="shared" si="33"/>
        <v>540.64285714285711</v>
      </c>
      <c r="AD41" s="52">
        <f t="shared" si="33"/>
        <v>1.4285714285714286</v>
      </c>
      <c r="AE41" s="53">
        <f>SUM(AE10:AE33)</f>
        <v>713.42857142857144</v>
      </c>
      <c r="AF41" s="53">
        <f>SUM(AF10:AF33)</f>
        <v>1254.0714285714284</v>
      </c>
    </row>
    <row r="42" spans="2:32" ht="23.1" customHeight="1" x14ac:dyDescent="0.25">
      <c r="B42" s="24" t="s">
        <v>69</v>
      </c>
      <c r="C42" s="49">
        <f>AVERAGE('25.10 Mbarara-Ibanda'!C42,'26.10 Mbarara-Ibanda-24hr'!C42,'27.10 Mbarara-Ibanda'!C42,'28.10 Mbarara-Ibanda-24hr'!C42,'29.10 Mbarara-Ibanda'!C42,'30.10 Mbarara-Ibanda'!C42,'31.10 Mbarara-Ibanda'!C42)</f>
        <v>6.5714285714285712</v>
      </c>
      <c r="D42" s="49">
        <f>AVERAGE('25.10 Mbarara-Ibanda'!D42,'26.10 Mbarara-Ibanda-24hr'!D42,'27.10 Mbarara-Ibanda'!D42,'28.10 Mbarara-Ibanda-24hr'!D42,'29.10 Mbarara-Ibanda'!D42,'30.10 Mbarara-Ibanda'!D42,'31.10 Mbarara-Ibanda'!D42)</f>
        <v>1.1428571428571428</v>
      </c>
      <c r="E42" s="49">
        <f>AVERAGE('25.10 Mbarara-Ibanda'!E42,'26.10 Mbarara-Ibanda-24hr'!E42,'27.10 Mbarara-Ibanda'!E42,'28.10 Mbarara-Ibanda-24hr'!E42,'29.10 Mbarara-Ibanda'!E42,'30.10 Mbarara-Ibanda'!E42,'31.10 Mbarara-Ibanda'!E42)</f>
        <v>0.7142857142857143</v>
      </c>
      <c r="F42" s="49">
        <f>AVERAGE('25.10 Mbarara-Ibanda'!F42,'26.10 Mbarara-Ibanda-24hr'!F42,'27.10 Mbarara-Ibanda'!F42,'28.10 Mbarara-Ibanda-24hr'!F42,'29.10 Mbarara-Ibanda'!F42,'30.10 Mbarara-Ibanda'!F42,'31.10 Mbarara-Ibanda'!F42)</f>
        <v>2.4285714285714284</v>
      </c>
      <c r="G42" s="49">
        <f>AVERAGE('25.10 Mbarara-Ibanda'!G42,'26.10 Mbarara-Ibanda-24hr'!G42,'27.10 Mbarara-Ibanda'!G42,'28.10 Mbarara-Ibanda-24hr'!G42,'29.10 Mbarara-Ibanda'!G42,'30.10 Mbarara-Ibanda'!G42,'31.10 Mbarara-Ibanda'!G42)</f>
        <v>0.2857142857142857</v>
      </c>
      <c r="H42" s="49">
        <f>AVERAGE('25.10 Mbarara-Ibanda'!H42,'26.10 Mbarara-Ibanda-24hr'!H42,'27.10 Mbarara-Ibanda'!H42,'28.10 Mbarara-Ibanda-24hr'!H42,'29.10 Mbarara-Ibanda'!H42,'30.10 Mbarara-Ibanda'!H42,'31.10 Mbarara-Ibanda'!H42)</f>
        <v>0.14285714285714285</v>
      </c>
      <c r="I42" s="49">
        <f>AVERAGE('25.10 Mbarara-Ibanda'!I42,'26.10 Mbarara-Ibanda-24hr'!I42,'27.10 Mbarara-Ibanda'!I42,'28.10 Mbarara-Ibanda-24hr'!I42,'29.10 Mbarara-Ibanda'!I42,'30.10 Mbarara-Ibanda'!I42,'31.10 Mbarara-Ibanda'!I42)</f>
        <v>0.8571428571428571</v>
      </c>
      <c r="J42" s="49">
        <f>AVERAGE('25.10 Mbarara-Ibanda'!J42,'26.10 Mbarara-Ibanda-24hr'!J42,'27.10 Mbarara-Ibanda'!J42,'28.10 Mbarara-Ibanda-24hr'!J42,'29.10 Mbarara-Ibanda'!J42,'30.10 Mbarara-Ibanda'!J42,'31.10 Mbarara-Ibanda'!J42)</f>
        <v>1</v>
      </c>
      <c r="K42" s="49">
        <f>AVERAGE('25.10 Mbarara-Ibanda'!K42,'26.10 Mbarara-Ibanda-24hr'!K42,'27.10 Mbarara-Ibanda'!K42,'28.10 Mbarara-Ibanda-24hr'!K42,'29.10 Mbarara-Ibanda'!K42,'30.10 Mbarara-Ibanda'!K42,'31.10 Mbarara-Ibanda'!K42)</f>
        <v>0</v>
      </c>
      <c r="L42" s="49">
        <f>AVERAGE('25.10 Mbarara-Ibanda'!L42,'26.10 Mbarara-Ibanda-24hr'!L42,'27.10 Mbarara-Ibanda'!L42,'28.10 Mbarara-Ibanda-24hr'!L42,'29.10 Mbarara-Ibanda'!L42,'30.10 Mbarara-Ibanda'!L42,'31.10 Mbarara-Ibanda'!L42)</f>
        <v>0</v>
      </c>
      <c r="M42" s="49">
        <f>AVERAGE('25.10 Mbarara-Ibanda'!M42,'26.10 Mbarara-Ibanda-24hr'!M42,'27.10 Mbarara-Ibanda'!M42,'28.10 Mbarara-Ibanda-24hr'!M42,'29.10 Mbarara-Ibanda'!M42,'30.10 Mbarara-Ibanda'!M42,'31.10 Mbarara-Ibanda'!M42)</f>
        <v>8.2857142857142865</v>
      </c>
      <c r="N42" s="49">
        <f>AVERAGE('25.10 Mbarara-Ibanda'!N42,'26.10 Mbarara-Ibanda-24hr'!N42,'27.10 Mbarara-Ibanda'!N42,'28.10 Mbarara-Ibanda-24hr'!N42,'29.10 Mbarara-Ibanda'!N42,'30.10 Mbarara-Ibanda'!N42,'31.10 Mbarara-Ibanda'!N42)</f>
        <v>0</v>
      </c>
      <c r="O42" s="15">
        <f t="shared" si="0"/>
        <v>13.142857142857142</v>
      </c>
      <c r="P42" s="15">
        <f t="shared" si="1"/>
        <v>21.428571428571431</v>
      </c>
      <c r="R42" s="5" t="s">
        <v>160</v>
      </c>
      <c r="S42" s="48">
        <f>S41/S40</f>
        <v>1.3132295719844358</v>
      </c>
      <c r="T42" s="48">
        <f t="shared" ref="T42:AF42" si="34">T41/T40</f>
        <v>1.4959514170040487</v>
      </c>
      <c r="U42" s="48">
        <f t="shared" si="34"/>
        <v>1.4432314410480349</v>
      </c>
      <c r="V42" s="48">
        <f t="shared" si="34"/>
        <v>1.2476722532588453</v>
      </c>
      <c r="W42" s="48">
        <f t="shared" si="34"/>
        <v>2.6153846153846154</v>
      </c>
      <c r="X42" s="48">
        <f t="shared" si="34"/>
        <v>1.4861111111111112</v>
      </c>
      <c r="Y42" s="48">
        <f t="shared" si="34"/>
        <v>1.6681818181818182</v>
      </c>
      <c r="Z42" s="48">
        <f t="shared" si="34"/>
        <v>1.446808510638298</v>
      </c>
      <c r="AA42" s="48">
        <f t="shared" si="34"/>
        <v>2.3644067796610173</v>
      </c>
      <c r="AB42" s="48">
        <f t="shared" si="34"/>
        <v>1.4117647058823528</v>
      </c>
      <c r="AC42" s="48">
        <f t="shared" si="34"/>
        <v>1.2311320754716981</v>
      </c>
      <c r="AD42" s="48">
        <f t="shared" si="34"/>
        <v>1</v>
      </c>
      <c r="AE42" s="51">
        <f t="shared" si="34"/>
        <v>1.3761366767704601</v>
      </c>
      <c r="AF42" s="51">
        <f t="shared" si="34"/>
        <v>1.3096374757571236</v>
      </c>
    </row>
    <row r="43" spans="2:32" ht="23.1" customHeight="1" x14ac:dyDescent="0.25">
      <c r="B43" s="23" t="s">
        <v>70</v>
      </c>
      <c r="C43" s="49">
        <f>AVERAGE('25.10 Mbarara-Ibanda'!C43,'26.10 Mbarara-Ibanda-24hr'!C43,'27.10 Mbarara-Ibanda'!C43,'28.10 Mbarara-Ibanda-24hr'!C43,'29.10 Mbarara-Ibanda'!C43,'30.10 Mbarara-Ibanda'!C43,'31.10 Mbarara-Ibanda'!C43)</f>
        <v>6.7142857142857144</v>
      </c>
      <c r="D43" s="49">
        <f>AVERAGE('25.10 Mbarara-Ibanda'!D43,'26.10 Mbarara-Ibanda-24hr'!D43,'27.10 Mbarara-Ibanda'!D43,'28.10 Mbarara-Ibanda-24hr'!D43,'29.10 Mbarara-Ibanda'!D43,'30.10 Mbarara-Ibanda'!D43,'31.10 Mbarara-Ibanda'!D43)</f>
        <v>1.4285714285714286</v>
      </c>
      <c r="E43" s="49">
        <f>AVERAGE('25.10 Mbarara-Ibanda'!E43,'26.10 Mbarara-Ibanda-24hr'!E43,'27.10 Mbarara-Ibanda'!E43,'28.10 Mbarara-Ibanda-24hr'!E43,'29.10 Mbarara-Ibanda'!E43,'30.10 Mbarara-Ibanda'!E43,'31.10 Mbarara-Ibanda'!E43)</f>
        <v>0.7142857142857143</v>
      </c>
      <c r="F43" s="49">
        <f>AVERAGE('25.10 Mbarara-Ibanda'!F43,'26.10 Mbarara-Ibanda-24hr'!F43,'27.10 Mbarara-Ibanda'!F43,'28.10 Mbarara-Ibanda-24hr'!F43,'29.10 Mbarara-Ibanda'!F43,'30.10 Mbarara-Ibanda'!F43,'31.10 Mbarara-Ibanda'!F43)</f>
        <v>3</v>
      </c>
      <c r="G43" s="49">
        <f>AVERAGE('25.10 Mbarara-Ibanda'!G43,'26.10 Mbarara-Ibanda-24hr'!G43,'27.10 Mbarara-Ibanda'!G43,'28.10 Mbarara-Ibanda-24hr'!G43,'29.10 Mbarara-Ibanda'!G43,'30.10 Mbarara-Ibanda'!G43,'31.10 Mbarara-Ibanda'!G43)</f>
        <v>0.14285714285714285</v>
      </c>
      <c r="H43" s="49">
        <f>AVERAGE('25.10 Mbarara-Ibanda'!H43,'26.10 Mbarara-Ibanda-24hr'!H43,'27.10 Mbarara-Ibanda'!H43,'28.10 Mbarara-Ibanda-24hr'!H43,'29.10 Mbarara-Ibanda'!H43,'30.10 Mbarara-Ibanda'!H43,'31.10 Mbarara-Ibanda'!H43)</f>
        <v>0.14285714285714285</v>
      </c>
      <c r="I43" s="49">
        <f>AVERAGE('25.10 Mbarara-Ibanda'!I43,'26.10 Mbarara-Ibanda-24hr'!I43,'27.10 Mbarara-Ibanda'!I43,'28.10 Mbarara-Ibanda-24hr'!I43,'29.10 Mbarara-Ibanda'!I43,'30.10 Mbarara-Ibanda'!I43,'31.10 Mbarara-Ibanda'!I43)</f>
        <v>0.42857142857142855</v>
      </c>
      <c r="J43" s="49">
        <f>AVERAGE('25.10 Mbarara-Ibanda'!J43,'26.10 Mbarara-Ibanda-24hr'!J43,'27.10 Mbarara-Ibanda'!J43,'28.10 Mbarara-Ibanda-24hr'!J43,'29.10 Mbarara-Ibanda'!J43,'30.10 Mbarara-Ibanda'!J43,'31.10 Mbarara-Ibanda'!J43)</f>
        <v>0.5714285714285714</v>
      </c>
      <c r="K43" s="49">
        <f>AVERAGE('25.10 Mbarara-Ibanda'!K43,'26.10 Mbarara-Ibanda-24hr'!K43,'27.10 Mbarara-Ibanda'!K43,'28.10 Mbarara-Ibanda-24hr'!K43,'29.10 Mbarara-Ibanda'!K43,'30.10 Mbarara-Ibanda'!K43,'31.10 Mbarara-Ibanda'!K43)</f>
        <v>0.42857142857142855</v>
      </c>
      <c r="L43" s="49">
        <f>AVERAGE('25.10 Mbarara-Ibanda'!L43,'26.10 Mbarara-Ibanda-24hr'!L43,'27.10 Mbarara-Ibanda'!L43,'28.10 Mbarara-Ibanda-24hr'!L43,'29.10 Mbarara-Ibanda'!L43,'30.10 Mbarara-Ibanda'!L43,'31.10 Mbarara-Ibanda'!L43)</f>
        <v>0</v>
      </c>
      <c r="M43" s="49">
        <f>AVERAGE('25.10 Mbarara-Ibanda'!M43,'26.10 Mbarara-Ibanda-24hr'!M43,'27.10 Mbarara-Ibanda'!M43,'28.10 Mbarara-Ibanda-24hr'!M43,'29.10 Mbarara-Ibanda'!M43,'30.10 Mbarara-Ibanda'!M43,'31.10 Mbarara-Ibanda'!M43)</f>
        <v>10.428571428571429</v>
      </c>
      <c r="N43" s="49">
        <f>AVERAGE('25.10 Mbarara-Ibanda'!N43,'26.10 Mbarara-Ibanda-24hr'!N43,'27.10 Mbarara-Ibanda'!N43,'28.10 Mbarara-Ibanda-24hr'!N43,'29.10 Mbarara-Ibanda'!N43,'30.10 Mbarara-Ibanda'!N43,'31.10 Mbarara-Ibanda'!N43)</f>
        <v>0</v>
      </c>
      <c r="O43" s="15">
        <f t="shared" si="0"/>
        <v>13.571428571428569</v>
      </c>
      <c r="P43" s="15">
        <f t="shared" si="1"/>
        <v>24</v>
      </c>
    </row>
    <row r="44" spans="2:32" ht="23.1" customHeight="1" x14ac:dyDescent="0.25">
      <c r="B44" s="25" t="s">
        <v>71</v>
      </c>
      <c r="C44" s="49">
        <f>AVERAGE('25.10 Mbarara-Ibanda'!C44,'26.10 Mbarara-Ibanda-24hr'!C44,'27.10 Mbarara-Ibanda'!C44,'28.10 Mbarara-Ibanda-24hr'!C44,'29.10 Mbarara-Ibanda'!C44,'30.10 Mbarara-Ibanda'!C44,'31.10 Mbarara-Ibanda'!C44)</f>
        <v>8</v>
      </c>
      <c r="D44" s="49">
        <f>AVERAGE('25.10 Mbarara-Ibanda'!D44,'26.10 Mbarara-Ibanda-24hr'!D44,'27.10 Mbarara-Ibanda'!D44,'28.10 Mbarara-Ibanda-24hr'!D44,'29.10 Mbarara-Ibanda'!D44,'30.10 Mbarara-Ibanda'!D44,'31.10 Mbarara-Ibanda'!D44)</f>
        <v>0.8571428571428571</v>
      </c>
      <c r="E44" s="49">
        <f>AVERAGE('25.10 Mbarara-Ibanda'!E44,'26.10 Mbarara-Ibanda-24hr'!E44,'27.10 Mbarara-Ibanda'!E44,'28.10 Mbarara-Ibanda-24hr'!E44,'29.10 Mbarara-Ibanda'!E44,'30.10 Mbarara-Ibanda'!E44,'31.10 Mbarara-Ibanda'!E44)</f>
        <v>1.2857142857142858</v>
      </c>
      <c r="F44" s="49">
        <f>AVERAGE('25.10 Mbarara-Ibanda'!F44,'26.10 Mbarara-Ibanda-24hr'!F44,'27.10 Mbarara-Ibanda'!F44,'28.10 Mbarara-Ibanda-24hr'!F44,'29.10 Mbarara-Ibanda'!F44,'30.10 Mbarara-Ibanda'!F44,'31.10 Mbarara-Ibanda'!F44)</f>
        <v>2.8571428571428572</v>
      </c>
      <c r="G44" s="49">
        <f>AVERAGE('25.10 Mbarara-Ibanda'!G44,'26.10 Mbarara-Ibanda-24hr'!G44,'27.10 Mbarara-Ibanda'!G44,'28.10 Mbarara-Ibanda-24hr'!G44,'29.10 Mbarara-Ibanda'!G44,'30.10 Mbarara-Ibanda'!G44,'31.10 Mbarara-Ibanda'!G44)</f>
        <v>0</v>
      </c>
      <c r="H44" s="49">
        <f>AVERAGE('25.10 Mbarara-Ibanda'!H44,'26.10 Mbarara-Ibanda-24hr'!H44,'27.10 Mbarara-Ibanda'!H44,'28.10 Mbarara-Ibanda-24hr'!H44,'29.10 Mbarara-Ibanda'!H44,'30.10 Mbarara-Ibanda'!H44,'31.10 Mbarara-Ibanda'!H44)</f>
        <v>0</v>
      </c>
      <c r="I44" s="49">
        <f>AVERAGE('25.10 Mbarara-Ibanda'!I44,'26.10 Mbarara-Ibanda-24hr'!I44,'27.10 Mbarara-Ibanda'!I44,'28.10 Mbarara-Ibanda-24hr'!I44,'29.10 Mbarara-Ibanda'!I44,'30.10 Mbarara-Ibanda'!I44,'31.10 Mbarara-Ibanda'!I44)</f>
        <v>1</v>
      </c>
      <c r="J44" s="49">
        <f>AVERAGE('25.10 Mbarara-Ibanda'!J44,'26.10 Mbarara-Ibanda-24hr'!J44,'27.10 Mbarara-Ibanda'!J44,'28.10 Mbarara-Ibanda-24hr'!J44,'29.10 Mbarara-Ibanda'!J44,'30.10 Mbarara-Ibanda'!J44,'31.10 Mbarara-Ibanda'!J44)</f>
        <v>1</v>
      </c>
      <c r="K44" s="49">
        <f>AVERAGE('25.10 Mbarara-Ibanda'!K44,'26.10 Mbarara-Ibanda-24hr'!K44,'27.10 Mbarara-Ibanda'!K44,'28.10 Mbarara-Ibanda-24hr'!K44,'29.10 Mbarara-Ibanda'!K44,'30.10 Mbarara-Ibanda'!K44,'31.10 Mbarara-Ibanda'!K44)</f>
        <v>0.2857142857142857</v>
      </c>
      <c r="L44" s="49">
        <f>AVERAGE('25.10 Mbarara-Ibanda'!L44,'26.10 Mbarara-Ibanda-24hr'!L44,'27.10 Mbarara-Ibanda'!L44,'28.10 Mbarara-Ibanda-24hr'!L44,'29.10 Mbarara-Ibanda'!L44,'30.10 Mbarara-Ibanda'!L44,'31.10 Mbarara-Ibanda'!L44)</f>
        <v>0</v>
      </c>
      <c r="M44" s="49">
        <f>AVERAGE('25.10 Mbarara-Ibanda'!M44,'26.10 Mbarara-Ibanda-24hr'!M44,'27.10 Mbarara-Ibanda'!M44,'28.10 Mbarara-Ibanda-24hr'!M44,'29.10 Mbarara-Ibanda'!M44,'30.10 Mbarara-Ibanda'!M44,'31.10 Mbarara-Ibanda'!M44)</f>
        <v>7.5714285714285712</v>
      </c>
      <c r="N44" s="49">
        <f>AVERAGE('25.10 Mbarara-Ibanda'!N44,'26.10 Mbarara-Ibanda-24hr'!N44,'27.10 Mbarara-Ibanda'!N44,'28.10 Mbarara-Ibanda-24hr'!N44,'29.10 Mbarara-Ibanda'!N44,'30.10 Mbarara-Ibanda'!N44,'31.10 Mbarara-Ibanda'!N44)</f>
        <v>0</v>
      </c>
      <c r="O44" s="15">
        <f t="shared" si="0"/>
        <v>15.285714285714288</v>
      </c>
      <c r="P44" s="15">
        <f t="shared" si="1"/>
        <v>22.857142857142861</v>
      </c>
    </row>
    <row r="45" spans="2:32" ht="23.1" customHeight="1" x14ac:dyDescent="0.25">
      <c r="B45" s="23" t="s">
        <v>72</v>
      </c>
      <c r="C45" s="49">
        <f>AVERAGE('25.10 Mbarara-Ibanda'!C45,'26.10 Mbarara-Ibanda-24hr'!C45,'27.10 Mbarara-Ibanda'!C45,'28.10 Mbarara-Ibanda-24hr'!C45,'29.10 Mbarara-Ibanda'!C45,'30.10 Mbarara-Ibanda'!C45,'31.10 Mbarara-Ibanda'!C45)</f>
        <v>4.2857142857142856</v>
      </c>
      <c r="D45" s="49">
        <f>AVERAGE('25.10 Mbarara-Ibanda'!D45,'26.10 Mbarara-Ibanda-24hr'!D45,'27.10 Mbarara-Ibanda'!D45,'28.10 Mbarara-Ibanda-24hr'!D45,'29.10 Mbarara-Ibanda'!D45,'30.10 Mbarara-Ibanda'!D45,'31.10 Mbarara-Ibanda'!D45)</f>
        <v>1.2857142857142858</v>
      </c>
      <c r="E45" s="49">
        <f>AVERAGE('25.10 Mbarara-Ibanda'!E45,'26.10 Mbarara-Ibanda-24hr'!E45,'27.10 Mbarara-Ibanda'!E45,'28.10 Mbarara-Ibanda-24hr'!E45,'29.10 Mbarara-Ibanda'!E45,'30.10 Mbarara-Ibanda'!E45,'31.10 Mbarara-Ibanda'!E45)</f>
        <v>0.5714285714285714</v>
      </c>
      <c r="F45" s="49">
        <f>AVERAGE('25.10 Mbarara-Ibanda'!F45,'26.10 Mbarara-Ibanda-24hr'!F45,'27.10 Mbarara-Ibanda'!F45,'28.10 Mbarara-Ibanda-24hr'!F45,'29.10 Mbarara-Ibanda'!F45,'30.10 Mbarara-Ibanda'!F45,'31.10 Mbarara-Ibanda'!F45)</f>
        <v>1.1428571428571428</v>
      </c>
      <c r="G45" s="49">
        <f>AVERAGE('25.10 Mbarara-Ibanda'!G45,'26.10 Mbarara-Ibanda-24hr'!G45,'27.10 Mbarara-Ibanda'!G45,'28.10 Mbarara-Ibanda-24hr'!G45,'29.10 Mbarara-Ibanda'!G45,'30.10 Mbarara-Ibanda'!G45,'31.10 Mbarara-Ibanda'!G45)</f>
        <v>0</v>
      </c>
      <c r="H45" s="49">
        <f>AVERAGE('25.10 Mbarara-Ibanda'!H45,'26.10 Mbarara-Ibanda-24hr'!H45,'27.10 Mbarara-Ibanda'!H45,'28.10 Mbarara-Ibanda-24hr'!H45,'29.10 Mbarara-Ibanda'!H45,'30.10 Mbarara-Ibanda'!H45,'31.10 Mbarara-Ibanda'!H45)</f>
        <v>0</v>
      </c>
      <c r="I45" s="49">
        <f>AVERAGE('25.10 Mbarara-Ibanda'!I45,'26.10 Mbarara-Ibanda-24hr'!I45,'27.10 Mbarara-Ibanda'!I45,'28.10 Mbarara-Ibanda-24hr'!I45,'29.10 Mbarara-Ibanda'!I45,'30.10 Mbarara-Ibanda'!I45,'31.10 Mbarara-Ibanda'!I45)</f>
        <v>0.8571428571428571</v>
      </c>
      <c r="J45" s="49">
        <f>AVERAGE('25.10 Mbarara-Ibanda'!J45,'26.10 Mbarara-Ibanda-24hr'!J45,'27.10 Mbarara-Ibanda'!J45,'28.10 Mbarara-Ibanda-24hr'!J45,'29.10 Mbarara-Ibanda'!J45,'30.10 Mbarara-Ibanda'!J45,'31.10 Mbarara-Ibanda'!J45)</f>
        <v>0.42857142857142855</v>
      </c>
      <c r="K45" s="49">
        <f>AVERAGE('25.10 Mbarara-Ibanda'!K45,'26.10 Mbarara-Ibanda-24hr'!K45,'27.10 Mbarara-Ibanda'!K45,'28.10 Mbarara-Ibanda-24hr'!K45,'29.10 Mbarara-Ibanda'!K45,'30.10 Mbarara-Ibanda'!K45,'31.10 Mbarara-Ibanda'!K45)</f>
        <v>0.2857142857142857</v>
      </c>
      <c r="L45" s="49">
        <f>AVERAGE('25.10 Mbarara-Ibanda'!L45,'26.10 Mbarara-Ibanda-24hr'!L45,'27.10 Mbarara-Ibanda'!L45,'28.10 Mbarara-Ibanda-24hr'!L45,'29.10 Mbarara-Ibanda'!L45,'30.10 Mbarara-Ibanda'!L45,'31.10 Mbarara-Ibanda'!L45)</f>
        <v>0.14285714285714285</v>
      </c>
      <c r="M45" s="49">
        <f>AVERAGE('25.10 Mbarara-Ibanda'!M45,'26.10 Mbarara-Ibanda-24hr'!M45,'27.10 Mbarara-Ibanda'!M45,'28.10 Mbarara-Ibanda-24hr'!M45,'29.10 Mbarara-Ibanda'!M45,'30.10 Mbarara-Ibanda'!M45,'31.10 Mbarara-Ibanda'!M45)</f>
        <v>11.571428571428571</v>
      </c>
      <c r="N45" s="49">
        <f>AVERAGE('25.10 Mbarara-Ibanda'!N45,'26.10 Mbarara-Ibanda-24hr'!N45,'27.10 Mbarara-Ibanda'!N45,'28.10 Mbarara-Ibanda-24hr'!N45,'29.10 Mbarara-Ibanda'!N45,'30.10 Mbarara-Ibanda'!N45,'31.10 Mbarara-Ibanda'!N45)</f>
        <v>0</v>
      </c>
      <c r="O45" s="15">
        <f t="shared" si="0"/>
        <v>9</v>
      </c>
      <c r="P45" s="15">
        <f t="shared" si="1"/>
        <v>20.571428571428569</v>
      </c>
    </row>
    <row r="46" spans="2:32" ht="23.1" customHeight="1" x14ac:dyDescent="0.25">
      <c r="B46" s="24" t="s">
        <v>73</v>
      </c>
      <c r="C46" s="49">
        <f>AVERAGE('25.10 Mbarara-Ibanda'!C46,'26.10 Mbarara-Ibanda-24hr'!C46,'27.10 Mbarara-Ibanda'!C46,'28.10 Mbarara-Ibanda-24hr'!C46,'29.10 Mbarara-Ibanda'!C46,'30.10 Mbarara-Ibanda'!C46,'31.10 Mbarara-Ibanda'!C46)</f>
        <v>6</v>
      </c>
      <c r="D46" s="49">
        <f>AVERAGE('25.10 Mbarara-Ibanda'!D46,'26.10 Mbarara-Ibanda-24hr'!D46,'27.10 Mbarara-Ibanda'!D46,'28.10 Mbarara-Ibanda-24hr'!D46,'29.10 Mbarara-Ibanda'!D46,'30.10 Mbarara-Ibanda'!D46,'31.10 Mbarara-Ibanda'!D46)</f>
        <v>1.2857142857142858</v>
      </c>
      <c r="E46" s="49">
        <f>AVERAGE('25.10 Mbarara-Ibanda'!E46,'26.10 Mbarara-Ibanda-24hr'!E46,'27.10 Mbarara-Ibanda'!E46,'28.10 Mbarara-Ibanda-24hr'!E46,'29.10 Mbarara-Ibanda'!E46,'30.10 Mbarara-Ibanda'!E46,'31.10 Mbarara-Ibanda'!E46)</f>
        <v>1.1428571428571428</v>
      </c>
      <c r="F46" s="49">
        <f>AVERAGE('25.10 Mbarara-Ibanda'!F46,'26.10 Mbarara-Ibanda-24hr'!F46,'27.10 Mbarara-Ibanda'!F46,'28.10 Mbarara-Ibanda-24hr'!F46,'29.10 Mbarara-Ibanda'!F46,'30.10 Mbarara-Ibanda'!F46,'31.10 Mbarara-Ibanda'!F46)</f>
        <v>1.5714285714285714</v>
      </c>
      <c r="G46" s="49">
        <f>AVERAGE('25.10 Mbarara-Ibanda'!G46,'26.10 Mbarara-Ibanda-24hr'!G46,'27.10 Mbarara-Ibanda'!G46,'28.10 Mbarara-Ibanda-24hr'!G46,'29.10 Mbarara-Ibanda'!G46,'30.10 Mbarara-Ibanda'!G46,'31.10 Mbarara-Ibanda'!G46)</f>
        <v>0</v>
      </c>
      <c r="H46" s="49">
        <f>AVERAGE('25.10 Mbarara-Ibanda'!H46,'26.10 Mbarara-Ibanda-24hr'!H46,'27.10 Mbarara-Ibanda'!H46,'28.10 Mbarara-Ibanda-24hr'!H46,'29.10 Mbarara-Ibanda'!H46,'30.10 Mbarara-Ibanda'!H46,'31.10 Mbarara-Ibanda'!H46)</f>
        <v>0</v>
      </c>
      <c r="I46" s="49">
        <f>AVERAGE('25.10 Mbarara-Ibanda'!I46,'26.10 Mbarara-Ibanda-24hr'!I46,'27.10 Mbarara-Ibanda'!I46,'28.10 Mbarara-Ibanda-24hr'!I46,'29.10 Mbarara-Ibanda'!I46,'30.10 Mbarara-Ibanda'!I46,'31.10 Mbarara-Ibanda'!I46)</f>
        <v>1.5714285714285714</v>
      </c>
      <c r="J46" s="49">
        <f>AVERAGE('25.10 Mbarara-Ibanda'!J46,'26.10 Mbarara-Ibanda-24hr'!J46,'27.10 Mbarara-Ibanda'!J46,'28.10 Mbarara-Ibanda-24hr'!J46,'29.10 Mbarara-Ibanda'!J46,'30.10 Mbarara-Ibanda'!J46,'31.10 Mbarara-Ibanda'!J46)</f>
        <v>0.14285714285714285</v>
      </c>
      <c r="K46" s="49">
        <f>AVERAGE('25.10 Mbarara-Ibanda'!K46,'26.10 Mbarara-Ibanda-24hr'!K46,'27.10 Mbarara-Ibanda'!K46,'28.10 Mbarara-Ibanda-24hr'!K46,'29.10 Mbarara-Ibanda'!K46,'30.10 Mbarara-Ibanda'!K46,'31.10 Mbarara-Ibanda'!K46)</f>
        <v>0.2857142857142857</v>
      </c>
      <c r="L46" s="49">
        <f>AVERAGE('25.10 Mbarara-Ibanda'!L46,'26.10 Mbarara-Ibanda-24hr'!L46,'27.10 Mbarara-Ibanda'!L46,'28.10 Mbarara-Ibanda-24hr'!L46,'29.10 Mbarara-Ibanda'!L46,'30.10 Mbarara-Ibanda'!L46,'31.10 Mbarara-Ibanda'!L46)</f>
        <v>0.14285714285714285</v>
      </c>
      <c r="M46" s="49">
        <f>AVERAGE('25.10 Mbarara-Ibanda'!M46,'26.10 Mbarara-Ibanda-24hr'!M46,'27.10 Mbarara-Ibanda'!M46,'28.10 Mbarara-Ibanda-24hr'!M46,'29.10 Mbarara-Ibanda'!M46,'30.10 Mbarara-Ibanda'!M46,'31.10 Mbarara-Ibanda'!M46)</f>
        <v>9.1428571428571423</v>
      </c>
      <c r="N46" s="49">
        <f>AVERAGE('25.10 Mbarara-Ibanda'!N46,'26.10 Mbarara-Ibanda-24hr'!N46,'27.10 Mbarara-Ibanda'!N46,'28.10 Mbarara-Ibanda-24hr'!N46,'29.10 Mbarara-Ibanda'!N46,'30.10 Mbarara-Ibanda'!N46,'31.10 Mbarara-Ibanda'!N46)</f>
        <v>0</v>
      </c>
      <c r="O46" s="15">
        <f t="shared" si="0"/>
        <v>12.142857142857142</v>
      </c>
      <c r="P46" s="15">
        <f t="shared" si="1"/>
        <v>21.285714285714285</v>
      </c>
      <c r="R46" s="8"/>
      <c r="T46"/>
    </row>
    <row r="47" spans="2:32" ht="23.1" customHeight="1" x14ac:dyDescent="0.25">
      <c r="B47" s="24" t="s">
        <v>74</v>
      </c>
      <c r="C47" s="49">
        <f>AVERAGE('25.10 Mbarara-Ibanda'!C47,'26.10 Mbarara-Ibanda-24hr'!C47,'27.10 Mbarara-Ibanda'!C47,'28.10 Mbarara-Ibanda-24hr'!C47,'29.10 Mbarara-Ibanda'!C47,'30.10 Mbarara-Ibanda'!C47,'31.10 Mbarara-Ibanda'!C47)</f>
        <v>6.2857142857142856</v>
      </c>
      <c r="D47" s="49">
        <f>AVERAGE('25.10 Mbarara-Ibanda'!D47,'26.10 Mbarara-Ibanda-24hr'!D47,'27.10 Mbarara-Ibanda'!D47,'28.10 Mbarara-Ibanda-24hr'!D47,'29.10 Mbarara-Ibanda'!D47,'30.10 Mbarara-Ibanda'!D47,'31.10 Mbarara-Ibanda'!D47)</f>
        <v>0.7142857142857143</v>
      </c>
      <c r="E47" s="49">
        <f>AVERAGE('25.10 Mbarara-Ibanda'!E47,'26.10 Mbarara-Ibanda-24hr'!E47,'27.10 Mbarara-Ibanda'!E47,'28.10 Mbarara-Ibanda-24hr'!E47,'29.10 Mbarara-Ibanda'!E47,'30.10 Mbarara-Ibanda'!E47,'31.10 Mbarara-Ibanda'!E47)</f>
        <v>0.42857142857142855</v>
      </c>
      <c r="F47" s="49">
        <f>AVERAGE('25.10 Mbarara-Ibanda'!F47,'26.10 Mbarara-Ibanda-24hr'!F47,'27.10 Mbarara-Ibanda'!F47,'28.10 Mbarara-Ibanda-24hr'!F47,'29.10 Mbarara-Ibanda'!F47,'30.10 Mbarara-Ibanda'!F47,'31.10 Mbarara-Ibanda'!F47)</f>
        <v>1.8571428571428572</v>
      </c>
      <c r="G47" s="49">
        <f>AVERAGE('25.10 Mbarara-Ibanda'!G47,'26.10 Mbarara-Ibanda-24hr'!G47,'27.10 Mbarara-Ibanda'!G47,'28.10 Mbarara-Ibanda-24hr'!G47,'29.10 Mbarara-Ibanda'!G47,'30.10 Mbarara-Ibanda'!G47,'31.10 Mbarara-Ibanda'!G47)</f>
        <v>0.14285714285714285</v>
      </c>
      <c r="H47" s="49">
        <f>AVERAGE('25.10 Mbarara-Ibanda'!H47,'26.10 Mbarara-Ibanda-24hr'!H47,'27.10 Mbarara-Ibanda'!H47,'28.10 Mbarara-Ibanda-24hr'!H47,'29.10 Mbarara-Ibanda'!H47,'30.10 Mbarara-Ibanda'!H47,'31.10 Mbarara-Ibanda'!H47)</f>
        <v>0.14285714285714285</v>
      </c>
      <c r="I47" s="49">
        <f>AVERAGE('25.10 Mbarara-Ibanda'!I47,'26.10 Mbarara-Ibanda-24hr'!I47,'27.10 Mbarara-Ibanda'!I47,'28.10 Mbarara-Ibanda-24hr'!I47,'29.10 Mbarara-Ibanda'!I47,'30.10 Mbarara-Ibanda'!I47,'31.10 Mbarara-Ibanda'!I47)</f>
        <v>0.42857142857142855</v>
      </c>
      <c r="J47" s="49">
        <f>AVERAGE('25.10 Mbarara-Ibanda'!J47,'26.10 Mbarara-Ibanda-24hr'!J47,'27.10 Mbarara-Ibanda'!J47,'28.10 Mbarara-Ibanda-24hr'!J47,'29.10 Mbarara-Ibanda'!J47,'30.10 Mbarara-Ibanda'!J47,'31.10 Mbarara-Ibanda'!J47)</f>
        <v>1</v>
      </c>
      <c r="K47" s="49">
        <f>AVERAGE('25.10 Mbarara-Ibanda'!K47,'26.10 Mbarara-Ibanda-24hr'!K47,'27.10 Mbarara-Ibanda'!K47,'28.10 Mbarara-Ibanda-24hr'!K47,'29.10 Mbarara-Ibanda'!K47,'30.10 Mbarara-Ibanda'!K47,'31.10 Mbarara-Ibanda'!K47)</f>
        <v>0</v>
      </c>
      <c r="L47" s="49">
        <f>AVERAGE('25.10 Mbarara-Ibanda'!L47,'26.10 Mbarara-Ibanda-24hr'!L47,'27.10 Mbarara-Ibanda'!L47,'28.10 Mbarara-Ibanda-24hr'!L47,'29.10 Mbarara-Ibanda'!L47,'30.10 Mbarara-Ibanda'!L47,'31.10 Mbarara-Ibanda'!L47)</f>
        <v>0.2857142857142857</v>
      </c>
      <c r="M47" s="49">
        <f>AVERAGE('25.10 Mbarara-Ibanda'!M47,'26.10 Mbarara-Ibanda-24hr'!M47,'27.10 Mbarara-Ibanda'!M47,'28.10 Mbarara-Ibanda-24hr'!M47,'29.10 Mbarara-Ibanda'!M47,'30.10 Mbarara-Ibanda'!M47,'31.10 Mbarara-Ibanda'!M47)</f>
        <v>12</v>
      </c>
      <c r="N47" s="49">
        <f>AVERAGE('25.10 Mbarara-Ibanda'!N47,'26.10 Mbarara-Ibanda-24hr'!N47,'27.10 Mbarara-Ibanda'!N47,'28.10 Mbarara-Ibanda-24hr'!N47,'29.10 Mbarara-Ibanda'!N47,'30.10 Mbarara-Ibanda'!N47,'31.10 Mbarara-Ibanda'!N47)</f>
        <v>0</v>
      </c>
      <c r="O47" s="15">
        <f t="shared" si="0"/>
        <v>11.285714285714286</v>
      </c>
      <c r="P47" s="15">
        <f t="shared" si="1"/>
        <v>23.285714285714285</v>
      </c>
      <c r="R47" s="8"/>
      <c r="T47"/>
    </row>
    <row r="48" spans="2:32" ht="23.1" customHeight="1" x14ac:dyDescent="0.25">
      <c r="B48" s="24" t="s">
        <v>75</v>
      </c>
      <c r="C48" s="49">
        <f>AVERAGE('25.10 Mbarara-Ibanda'!C48,'26.10 Mbarara-Ibanda-24hr'!C48,'27.10 Mbarara-Ibanda'!C48,'28.10 Mbarara-Ibanda-24hr'!C48,'29.10 Mbarara-Ibanda'!C48,'30.10 Mbarara-Ibanda'!C48,'31.10 Mbarara-Ibanda'!C48)</f>
        <v>7.2857142857142856</v>
      </c>
      <c r="D48" s="49">
        <f>AVERAGE('25.10 Mbarara-Ibanda'!D48,'26.10 Mbarara-Ibanda-24hr'!D48,'27.10 Mbarara-Ibanda'!D48,'28.10 Mbarara-Ibanda-24hr'!D48,'29.10 Mbarara-Ibanda'!D48,'30.10 Mbarara-Ibanda'!D48,'31.10 Mbarara-Ibanda'!D48)</f>
        <v>1.1428571428571428</v>
      </c>
      <c r="E48" s="49">
        <f>AVERAGE('25.10 Mbarara-Ibanda'!E48,'26.10 Mbarara-Ibanda-24hr'!E48,'27.10 Mbarara-Ibanda'!E48,'28.10 Mbarara-Ibanda-24hr'!E48,'29.10 Mbarara-Ibanda'!E48,'30.10 Mbarara-Ibanda'!E48,'31.10 Mbarara-Ibanda'!E48)</f>
        <v>0.8571428571428571</v>
      </c>
      <c r="F48" s="49">
        <f>AVERAGE('25.10 Mbarara-Ibanda'!F48,'26.10 Mbarara-Ibanda-24hr'!F48,'27.10 Mbarara-Ibanda'!F48,'28.10 Mbarara-Ibanda-24hr'!F48,'29.10 Mbarara-Ibanda'!F48,'30.10 Mbarara-Ibanda'!F48,'31.10 Mbarara-Ibanda'!F48)</f>
        <v>1.8571428571428572</v>
      </c>
      <c r="G48" s="49">
        <f>AVERAGE('25.10 Mbarara-Ibanda'!G48,'26.10 Mbarara-Ibanda-24hr'!G48,'27.10 Mbarara-Ibanda'!G48,'28.10 Mbarara-Ibanda-24hr'!G48,'29.10 Mbarara-Ibanda'!G48,'30.10 Mbarara-Ibanda'!G48,'31.10 Mbarara-Ibanda'!G48)</f>
        <v>0</v>
      </c>
      <c r="H48" s="49">
        <f>AVERAGE('25.10 Mbarara-Ibanda'!H48,'26.10 Mbarara-Ibanda-24hr'!H48,'27.10 Mbarara-Ibanda'!H48,'28.10 Mbarara-Ibanda-24hr'!H48,'29.10 Mbarara-Ibanda'!H48,'30.10 Mbarara-Ibanda'!H48,'31.10 Mbarara-Ibanda'!H48)</f>
        <v>0.14285714285714285</v>
      </c>
      <c r="I48" s="49">
        <f>AVERAGE('25.10 Mbarara-Ibanda'!I48,'26.10 Mbarara-Ibanda-24hr'!I48,'27.10 Mbarara-Ibanda'!I48,'28.10 Mbarara-Ibanda-24hr'!I48,'29.10 Mbarara-Ibanda'!I48,'30.10 Mbarara-Ibanda'!I48,'31.10 Mbarara-Ibanda'!I48)</f>
        <v>1</v>
      </c>
      <c r="J48" s="49">
        <f>AVERAGE('25.10 Mbarara-Ibanda'!J48,'26.10 Mbarara-Ibanda-24hr'!J48,'27.10 Mbarara-Ibanda'!J48,'28.10 Mbarara-Ibanda-24hr'!J48,'29.10 Mbarara-Ibanda'!J48,'30.10 Mbarara-Ibanda'!J48,'31.10 Mbarara-Ibanda'!J48)</f>
        <v>0.8571428571428571</v>
      </c>
      <c r="K48" s="49">
        <f>AVERAGE('25.10 Mbarara-Ibanda'!K48,'26.10 Mbarara-Ibanda-24hr'!K48,'27.10 Mbarara-Ibanda'!K48,'28.10 Mbarara-Ibanda-24hr'!K48,'29.10 Mbarara-Ibanda'!K48,'30.10 Mbarara-Ibanda'!K48,'31.10 Mbarara-Ibanda'!K48)</f>
        <v>0</v>
      </c>
      <c r="L48" s="49">
        <f>AVERAGE('25.10 Mbarara-Ibanda'!L48,'26.10 Mbarara-Ibanda-24hr'!L48,'27.10 Mbarara-Ibanda'!L48,'28.10 Mbarara-Ibanda-24hr'!L48,'29.10 Mbarara-Ibanda'!L48,'30.10 Mbarara-Ibanda'!L48,'31.10 Mbarara-Ibanda'!L48)</f>
        <v>0</v>
      </c>
      <c r="M48" s="49">
        <f>AVERAGE('25.10 Mbarara-Ibanda'!M48,'26.10 Mbarara-Ibanda-24hr'!M48,'27.10 Mbarara-Ibanda'!M48,'28.10 Mbarara-Ibanda-24hr'!M48,'29.10 Mbarara-Ibanda'!M48,'30.10 Mbarara-Ibanda'!M48,'31.10 Mbarara-Ibanda'!M48)</f>
        <v>9.1428571428571423</v>
      </c>
      <c r="N48" s="49">
        <f>AVERAGE('25.10 Mbarara-Ibanda'!N48,'26.10 Mbarara-Ibanda-24hr'!N48,'27.10 Mbarara-Ibanda'!N48,'28.10 Mbarara-Ibanda-24hr'!N48,'29.10 Mbarara-Ibanda'!N48,'30.10 Mbarara-Ibanda'!N48,'31.10 Mbarara-Ibanda'!N48)</f>
        <v>0</v>
      </c>
      <c r="O48" s="15">
        <f t="shared" si="0"/>
        <v>13.142857142857144</v>
      </c>
      <c r="P48" s="15">
        <f t="shared" si="1"/>
        <v>22.285714285714285</v>
      </c>
      <c r="R48" s="8"/>
      <c r="T48"/>
    </row>
    <row r="49" spans="2:20" ht="23.1" customHeight="1" x14ac:dyDescent="0.25">
      <c r="B49" s="23" t="s">
        <v>76</v>
      </c>
      <c r="C49" s="49">
        <f>AVERAGE('25.10 Mbarara-Ibanda'!C49,'26.10 Mbarara-Ibanda-24hr'!C49,'27.10 Mbarara-Ibanda'!C49,'28.10 Mbarara-Ibanda-24hr'!C49,'29.10 Mbarara-Ibanda'!C49,'30.10 Mbarara-Ibanda'!C49,'31.10 Mbarara-Ibanda'!C49)</f>
        <v>6.8571428571428568</v>
      </c>
      <c r="D49" s="49">
        <f>AVERAGE('25.10 Mbarara-Ibanda'!D49,'26.10 Mbarara-Ibanda-24hr'!D49,'27.10 Mbarara-Ibanda'!D49,'28.10 Mbarara-Ibanda-24hr'!D49,'29.10 Mbarara-Ibanda'!D49,'30.10 Mbarara-Ibanda'!D49,'31.10 Mbarara-Ibanda'!D49)</f>
        <v>0.14285714285714285</v>
      </c>
      <c r="E49" s="49">
        <f>AVERAGE('25.10 Mbarara-Ibanda'!E49,'26.10 Mbarara-Ibanda-24hr'!E49,'27.10 Mbarara-Ibanda'!E49,'28.10 Mbarara-Ibanda-24hr'!E49,'29.10 Mbarara-Ibanda'!E49,'30.10 Mbarara-Ibanda'!E49,'31.10 Mbarara-Ibanda'!E49)</f>
        <v>0.2857142857142857</v>
      </c>
      <c r="F49" s="49">
        <f>AVERAGE('25.10 Mbarara-Ibanda'!F49,'26.10 Mbarara-Ibanda-24hr'!F49,'27.10 Mbarara-Ibanda'!F49,'28.10 Mbarara-Ibanda-24hr'!F49,'29.10 Mbarara-Ibanda'!F49,'30.10 Mbarara-Ibanda'!F49,'31.10 Mbarara-Ibanda'!F49)</f>
        <v>1</v>
      </c>
      <c r="G49" s="49">
        <f>AVERAGE('25.10 Mbarara-Ibanda'!G49,'26.10 Mbarara-Ibanda-24hr'!G49,'27.10 Mbarara-Ibanda'!G49,'28.10 Mbarara-Ibanda-24hr'!G49,'29.10 Mbarara-Ibanda'!G49,'30.10 Mbarara-Ibanda'!G49,'31.10 Mbarara-Ibanda'!G49)</f>
        <v>0</v>
      </c>
      <c r="H49" s="49">
        <f>AVERAGE('25.10 Mbarara-Ibanda'!H49,'26.10 Mbarara-Ibanda-24hr'!H49,'27.10 Mbarara-Ibanda'!H49,'28.10 Mbarara-Ibanda-24hr'!H49,'29.10 Mbarara-Ibanda'!H49,'30.10 Mbarara-Ibanda'!H49,'31.10 Mbarara-Ibanda'!H49)</f>
        <v>0.14285714285714285</v>
      </c>
      <c r="I49" s="49">
        <f>AVERAGE('25.10 Mbarara-Ibanda'!I49,'26.10 Mbarara-Ibanda-24hr'!I49,'27.10 Mbarara-Ibanda'!I49,'28.10 Mbarara-Ibanda-24hr'!I49,'29.10 Mbarara-Ibanda'!I49,'30.10 Mbarara-Ibanda'!I49,'31.10 Mbarara-Ibanda'!I49)</f>
        <v>0.42857142857142855</v>
      </c>
      <c r="J49" s="49">
        <f>AVERAGE('25.10 Mbarara-Ibanda'!J49,'26.10 Mbarara-Ibanda-24hr'!J49,'27.10 Mbarara-Ibanda'!J49,'28.10 Mbarara-Ibanda-24hr'!J49,'29.10 Mbarara-Ibanda'!J49,'30.10 Mbarara-Ibanda'!J49,'31.10 Mbarara-Ibanda'!J49)</f>
        <v>0.2857142857142857</v>
      </c>
      <c r="K49" s="49">
        <f>AVERAGE('25.10 Mbarara-Ibanda'!K49,'26.10 Mbarara-Ibanda-24hr'!K49,'27.10 Mbarara-Ibanda'!K49,'28.10 Mbarara-Ibanda-24hr'!K49,'29.10 Mbarara-Ibanda'!K49,'30.10 Mbarara-Ibanda'!K49,'31.10 Mbarara-Ibanda'!K49)</f>
        <v>0</v>
      </c>
      <c r="L49" s="49">
        <f>AVERAGE('25.10 Mbarara-Ibanda'!L49,'26.10 Mbarara-Ibanda-24hr'!L49,'27.10 Mbarara-Ibanda'!L49,'28.10 Mbarara-Ibanda-24hr'!L49,'29.10 Mbarara-Ibanda'!L49,'30.10 Mbarara-Ibanda'!L49,'31.10 Mbarara-Ibanda'!L49)</f>
        <v>0</v>
      </c>
      <c r="M49" s="49">
        <f>AVERAGE('25.10 Mbarara-Ibanda'!M49,'26.10 Mbarara-Ibanda-24hr'!M49,'27.10 Mbarara-Ibanda'!M49,'28.10 Mbarara-Ibanda-24hr'!M49,'29.10 Mbarara-Ibanda'!M49,'30.10 Mbarara-Ibanda'!M49,'31.10 Mbarara-Ibanda'!M49)</f>
        <v>10.571428571428571</v>
      </c>
      <c r="N49" s="49">
        <f>AVERAGE('25.10 Mbarara-Ibanda'!N49,'26.10 Mbarara-Ibanda-24hr'!N49,'27.10 Mbarara-Ibanda'!N49,'28.10 Mbarara-Ibanda-24hr'!N49,'29.10 Mbarara-Ibanda'!N49,'30.10 Mbarara-Ibanda'!N49,'31.10 Mbarara-Ibanda'!N49)</f>
        <v>0</v>
      </c>
      <c r="O49" s="15">
        <f t="shared" si="0"/>
        <v>9.1428571428571423</v>
      </c>
      <c r="P49" s="15">
        <f t="shared" si="1"/>
        <v>19.714285714285715</v>
      </c>
      <c r="R49" s="8"/>
      <c r="T49"/>
    </row>
    <row r="50" spans="2:20" ht="23.1" customHeight="1" x14ac:dyDescent="0.25">
      <c r="B50" s="24" t="s">
        <v>77</v>
      </c>
      <c r="C50" s="49">
        <f>AVERAGE('25.10 Mbarara-Ibanda'!C50,'26.10 Mbarara-Ibanda-24hr'!C50,'27.10 Mbarara-Ibanda'!C50,'28.10 Mbarara-Ibanda-24hr'!C50,'29.10 Mbarara-Ibanda'!C50,'30.10 Mbarara-Ibanda'!C50,'31.10 Mbarara-Ibanda'!C50)</f>
        <v>5.7142857142857144</v>
      </c>
      <c r="D50" s="49">
        <f>AVERAGE('25.10 Mbarara-Ibanda'!D50,'26.10 Mbarara-Ibanda-24hr'!D50,'27.10 Mbarara-Ibanda'!D50,'28.10 Mbarara-Ibanda-24hr'!D50,'29.10 Mbarara-Ibanda'!D50,'30.10 Mbarara-Ibanda'!D50,'31.10 Mbarara-Ibanda'!D50)</f>
        <v>0.8571428571428571</v>
      </c>
      <c r="E50" s="49">
        <f>AVERAGE('25.10 Mbarara-Ibanda'!E50,'26.10 Mbarara-Ibanda-24hr'!E50,'27.10 Mbarara-Ibanda'!E50,'28.10 Mbarara-Ibanda-24hr'!E50,'29.10 Mbarara-Ibanda'!E50,'30.10 Mbarara-Ibanda'!E50,'31.10 Mbarara-Ibanda'!E50)</f>
        <v>0.8571428571428571</v>
      </c>
      <c r="F50" s="49">
        <f>AVERAGE('25.10 Mbarara-Ibanda'!F50,'26.10 Mbarara-Ibanda-24hr'!F50,'27.10 Mbarara-Ibanda'!F50,'28.10 Mbarara-Ibanda-24hr'!F50,'29.10 Mbarara-Ibanda'!F50,'30.10 Mbarara-Ibanda'!F50,'31.10 Mbarara-Ibanda'!F50)</f>
        <v>1.7142857142857142</v>
      </c>
      <c r="G50" s="49">
        <f>AVERAGE('25.10 Mbarara-Ibanda'!G50,'26.10 Mbarara-Ibanda-24hr'!G50,'27.10 Mbarara-Ibanda'!G50,'28.10 Mbarara-Ibanda-24hr'!G50,'29.10 Mbarara-Ibanda'!G50,'30.10 Mbarara-Ibanda'!G50,'31.10 Mbarara-Ibanda'!G50)</f>
        <v>0</v>
      </c>
      <c r="H50" s="49">
        <f>AVERAGE('25.10 Mbarara-Ibanda'!H50,'26.10 Mbarara-Ibanda-24hr'!H50,'27.10 Mbarara-Ibanda'!H50,'28.10 Mbarara-Ibanda-24hr'!H50,'29.10 Mbarara-Ibanda'!H50,'30.10 Mbarara-Ibanda'!H50,'31.10 Mbarara-Ibanda'!H50)</f>
        <v>0.14285714285714285</v>
      </c>
      <c r="I50" s="49">
        <f>AVERAGE('25.10 Mbarara-Ibanda'!I50,'26.10 Mbarara-Ibanda-24hr'!I50,'27.10 Mbarara-Ibanda'!I50,'28.10 Mbarara-Ibanda-24hr'!I50,'29.10 Mbarara-Ibanda'!I50,'30.10 Mbarara-Ibanda'!I50,'31.10 Mbarara-Ibanda'!I50)</f>
        <v>0.2857142857142857</v>
      </c>
      <c r="J50" s="49">
        <f>AVERAGE('25.10 Mbarara-Ibanda'!J50,'26.10 Mbarara-Ibanda-24hr'!J50,'27.10 Mbarara-Ibanda'!J50,'28.10 Mbarara-Ibanda-24hr'!J50,'29.10 Mbarara-Ibanda'!J50,'30.10 Mbarara-Ibanda'!J50,'31.10 Mbarara-Ibanda'!J50)</f>
        <v>0.2857142857142857</v>
      </c>
      <c r="K50" s="49">
        <f>AVERAGE('25.10 Mbarara-Ibanda'!K50,'26.10 Mbarara-Ibanda-24hr'!K50,'27.10 Mbarara-Ibanda'!K50,'28.10 Mbarara-Ibanda-24hr'!K50,'29.10 Mbarara-Ibanda'!K50,'30.10 Mbarara-Ibanda'!K50,'31.10 Mbarara-Ibanda'!K50)</f>
        <v>0.14285714285714285</v>
      </c>
      <c r="L50" s="49">
        <f>AVERAGE('25.10 Mbarara-Ibanda'!L50,'26.10 Mbarara-Ibanda-24hr'!L50,'27.10 Mbarara-Ibanda'!L50,'28.10 Mbarara-Ibanda-24hr'!L50,'29.10 Mbarara-Ibanda'!L50,'30.10 Mbarara-Ibanda'!L50,'31.10 Mbarara-Ibanda'!L50)</f>
        <v>0</v>
      </c>
      <c r="M50" s="49">
        <f>AVERAGE('25.10 Mbarara-Ibanda'!M50,'26.10 Mbarara-Ibanda-24hr'!M50,'27.10 Mbarara-Ibanda'!M50,'28.10 Mbarara-Ibanda-24hr'!M50,'29.10 Mbarara-Ibanda'!M50,'30.10 Mbarara-Ibanda'!M50,'31.10 Mbarara-Ibanda'!M50)</f>
        <v>9.2857142857142865</v>
      </c>
      <c r="N50" s="49">
        <f>AVERAGE('25.10 Mbarara-Ibanda'!N50,'26.10 Mbarara-Ibanda-24hr'!N50,'27.10 Mbarara-Ibanda'!N50,'28.10 Mbarara-Ibanda-24hr'!N50,'29.10 Mbarara-Ibanda'!N50,'30.10 Mbarara-Ibanda'!N50,'31.10 Mbarara-Ibanda'!N50)</f>
        <v>0</v>
      </c>
      <c r="O50" s="15">
        <f t="shared" si="0"/>
        <v>10</v>
      </c>
      <c r="P50" s="15">
        <f t="shared" si="1"/>
        <v>19.285714285714285</v>
      </c>
      <c r="R50" s="8"/>
      <c r="T50"/>
    </row>
    <row r="51" spans="2:20" ht="23.1" customHeight="1" x14ac:dyDescent="0.25">
      <c r="B51" s="24" t="s">
        <v>78</v>
      </c>
      <c r="C51" s="49">
        <f>AVERAGE('25.10 Mbarara-Ibanda'!C51,'26.10 Mbarara-Ibanda-24hr'!C51,'27.10 Mbarara-Ibanda'!C51,'28.10 Mbarara-Ibanda-24hr'!C51,'29.10 Mbarara-Ibanda'!C51,'30.10 Mbarara-Ibanda'!C51,'31.10 Mbarara-Ibanda'!C51)</f>
        <v>9</v>
      </c>
      <c r="D51" s="49">
        <f>AVERAGE('25.10 Mbarara-Ibanda'!D51,'26.10 Mbarara-Ibanda-24hr'!D51,'27.10 Mbarara-Ibanda'!D51,'28.10 Mbarara-Ibanda-24hr'!D51,'29.10 Mbarara-Ibanda'!D51,'30.10 Mbarara-Ibanda'!D51,'31.10 Mbarara-Ibanda'!D51)</f>
        <v>1.4285714285714286</v>
      </c>
      <c r="E51" s="49">
        <f>AVERAGE('25.10 Mbarara-Ibanda'!E51,'26.10 Mbarara-Ibanda-24hr'!E51,'27.10 Mbarara-Ibanda'!E51,'28.10 Mbarara-Ibanda-24hr'!E51,'29.10 Mbarara-Ibanda'!E51,'30.10 Mbarara-Ibanda'!E51,'31.10 Mbarara-Ibanda'!E51)</f>
        <v>1</v>
      </c>
      <c r="F51" s="49">
        <f>AVERAGE('25.10 Mbarara-Ibanda'!F51,'26.10 Mbarara-Ibanda-24hr'!F51,'27.10 Mbarara-Ibanda'!F51,'28.10 Mbarara-Ibanda-24hr'!F51,'29.10 Mbarara-Ibanda'!F51,'30.10 Mbarara-Ibanda'!F51,'31.10 Mbarara-Ibanda'!F51)</f>
        <v>2.8571428571428572</v>
      </c>
      <c r="G51" s="49">
        <f>AVERAGE('25.10 Mbarara-Ibanda'!G51,'26.10 Mbarara-Ibanda-24hr'!G51,'27.10 Mbarara-Ibanda'!G51,'28.10 Mbarara-Ibanda-24hr'!G51,'29.10 Mbarara-Ibanda'!G51,'30.10 Mbarara-Ibanda'!G51,'31.10 Mbarara-Ibanda'!G51)</f>
        <v>0</v>
      </c>
      <c r="H51" s="49">
        <f>AVERAGE('25.10 Mbarara-Ibanda'!H51,'26.10 Mbarara-Ibanda-24hr'!H51,'27.10 Mbarara-Ibanda'!H51,'28.10 Mbarara-Ibanda-24hr'!H51,'29.10 Mbarara-Ibanda'!H51,'30.10 Mbarara-Ibanda'!H51,'31.10 Mbarara-Ibanda'!H51)</f>
        <v>0.42857142857142855</v>
      </c>
      <c r="I51" s="49">
        <f>AVERAGE('25.10 Mbarara-Ibanda'!I51,'26.10 Mbarara-Ibanda-24hr'!I51,'27.10 Mbarara-Ibanda'!I51,'28.10 Mbarara-Ibanda-24hr'!I51,'29.10 Mbarara-Ibanda'!I51,'30.10 Mbarara-Ibanda'!I51,'31.10 Mbarara-Ibanda'!I51)</f>
        <v>0.42857142857142855</v>
      </c>
      <c r="J51" s="49">
        <f>AVERAGE('25.10 Mbarara-Ibanda'!J51,'26.10 Mbarara-Ibanda-24hr'!J51,'27.10 Mbarara-Ibanda'!J51,'28.10 Mbarara-Ibanda-24hr'!J51,'29.10 Mbarara-Ibanda'!J51,'30.10 Mbarara-Ibanda'!J51,'31.10 Mbarara-Ibanda'!J51)</f>
        <v>0.14285714285714285</v>
      </c>
      <c r="K51" s="49">
        <f>AVERAGE('25.10 Mbarara-Ibanda'!K51,'26.10 Mbarara-Ibanda-24hr'!K51,'27.10 Mbarara-Ibanda'!K51,'28.10 Mbarara-Ibanda-24hr'!K51,'29.10 Mbarara-Ibanda'!K51,'30.10 Mbarara-Ibanda'!K51,'31.10 Mbarara-Ibanda'!K51)</f>
        <v>0.14285714285714285</v>
      </c>
      <c r="L51" s="49">
        <f>AVERAGE('25.10 Mbarara-Ibanda'!L51,'26.10 Mbarara-Ibanda-24hr'!L51,'27.10 Mbarara-Ibanda'!L51,'28.10 Mbarara-Ibanda-24hr'!L51,'29.10 Mbarara-Ibanda'!L51,'30.10 Mbarara-Ibanda'!L51,'31.10 Mbarara-Ibanda'!L51)</f>
        <v>0</v>
      </c>
      <c r="M51" s="49">
        <f>AVERAGE('25.10 Mbarara-Ibanda'!M51,'26.10 Mbarara-Ibanda-24hr'!M51,'27.10 Mbarara-Ibanda'!M51,'28.10 Mbarara-Ibanda-24hr'!M51,'29.10 Mbarara-Ibanda'!M51,'30.10 Mbarara-Ibanda'!M51,'31.10 Mbarara-Ibanda'!M51)</f>
        <v>9.5714285714285712</v>
      </c>
      <c r="N51" s="49">
        <f>AVERAGE('25.10 Mbarara-Ibanda'!N51,'26.10 Mbarara-Ibanda-24hr'!N51,'27.10 Mbarara-Ibanda'!N51,'28.10 Mbarara-Ibanda-24hr'!N51,'29.10 Mbarara-Ibanda'!N51,'30.10 Mbarara-Ibanda'!N51,'31.10 Mbarara-Ibanda'!N51)</f>
        <v>0</v>
      </c>
      <c r="O51" s="15">
        <f t="shared" si="0"/>
        <v>15.428571428571429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49">
        <f>AVERAGE('25.10 Mbarara-Ibanda'!C52,'26.10 Mbarara-Ibanda-24hr'!C52,'27.10 Mbarara-Ibanda'!C52,'28.10 Mbarara-Ibanda-24hr'!C52,'29.10 Mbarara-Ibanda'!C52,'30.10 Mbarara-Ibanda'!C52,'31.10 Mbarara-Ibanda'!C52)</f>
        <v>6.5714285714285712</v>
      </c>
      <c r="D52" s="49">
        <f>AVERAGE('25.10 Mbarara-Ibanda'!D52,'26.10 Mbarara-Ibanda-24hr'!D52,'27.10 Mbarara-Ibanda'!D52,'28.10 Mbarara-Ibanda-24hr'!D52,'29.10 Mbarara-Ibanda'!D52,'30.10 Mbarara-Ibanda'!D52,'31.10 Mbarara-Ibanda'!D52)</f>
        <v>0.8571428571428571</v>
      </c>
      <c r="E52" s="49">
        <f>AVERAGE('25.10 Mbarara-Ibanda'!E52,'26.10 Mbarara-Ibanda-24hr'!E52,'27.10 Mbarara-Ibanda'!E52,'28.10 Mbarara-Ibanda-24hr'!E52,'29.10 Mbarara-Ibanda'!E52,'30.10 Mbarara-Ibanda'!E52,'31.10 Mbarara-Ibanda'!E52)</f>
        <v>0.7142857142857143</v>
      </c>
      <c r="F52" s="49">
        <f>AVERAGE('25.10 Mbarara-Ibanda'!F52,'26.10 Mbarara-Ibanda-24hr'!F52,'27.10 Mbarara-Ibanda'!F52,'28.10 Mbarara-Ibanda-24hr'!F52,'29.10 Mbarara-Ibanda'!F52,'30.10 Mbarara-Ibanda'!F52,'31.10 Mbarara-Ibanda'!F52)</f>
        <v>0.8571428571428571</v>
      </c>
      <c r="G52" s="49">
        <f>AVERAGE('25.10 Mbarara-Ibanda'!G52,'26.10 Mbarara-Ibanda-24hr'!G52,'27.10 Mbarara-Ibanda'!G52,'28.10 Mbarara-Ibanda-24hr'!G52,'29.10 Mbarara-Ibanda'!G52,'30.10 Mbarara-Ibanda'!G52,'31.10 Mbarara-Ibanda'!G52)</f>
        <v>0</v>
      </c>
      <c r="H52" s="49">
        <f>AVERAGE('25.10 Mbarara-Ibanda'!H52,'26.10 Mbarara-Ibanda-24hr'!H52,'27.10 Mbarara-Ibanda'!H52,'28.10 Mbarara-Ibanda-24hr'!H52,'29.10 Mbarara-Ibanda'!H52,'30.10 Mbarara-Ibanda'!H52,'31.10 Mbarara-Ibanda'!H52)</f>
        <v>0.2857142857142857</v>
      </c>
      <c r="I52" s="49">
        <f>AVERAGE('25.10 Mbarara-Ibanda'!I52,'26.10 Mbarara-Ibanda-24hr'!I52,'27.10 Mbarara-Ibanda'!I52,'28.10 Mbarara-Ibanda-24hr'!I52,'29.10 Mbarara-Ibanda'!I52,'30.10 Mbarara-Ibanda'!I52,'31.10 Mbarara-Ibanda'!I52)</f>
        <v>0.7142857142857143</v>
      </c>
      <c r="J52" s="49">
        <f>AVERAGE('25.10 Mbarara-Ibanda'!J52,'26.10 Mbarara-Ibanda-24hr'!J52,'27.10 Mbarara-Ibanda'!J52,'28.10 Mbarara-Ibanda-24hr'!J52,'29.10 Mbarara-Ibanda'!J52,'30.10 Mbarara-Ibanda'!J52,'31.10 Mbarara-Ibanda'!J52)</f>
        <v>0.2857142857142857</v>
      </c>
      <c r="K52" s="49">
        <f>AVERAGE('25.10 Mbarara-Ibanda'!K52,'26.10 Mbarara-Ibanda-24hr'!K52,'27.10 Mbarara-Ibanda'!K52,'28.10 Mbarara-Ibanda-24hr'!K52,'29.10 Mbarara-Ibanda'!K52,'30.10 Mbarara-Ibanda'!K52,'31.10 Mbarara-Ibanda'!K52)</f>
        <v>0.14285714285714285</v>
      </c>
      <c r="L52" s="49">
        <f>AVERAGE('25.10 Mbarara-Ibanda'!L52,'26.10 Mbarara-Ibanda-24hr'!L52,'27.10 Mbarara-Ibanda'!L52,'28.10 Mbarara-Ibanda-24hr'!L52,'29.10 Mbarara-Ibanda'!L52,'30.10 Mbarara-Ibanda'!L52,'31.10 Mbarara-Ibanda'!L52)</f>
        <v>0</v>
      </c>
      <c r="M52" s="49">
        <f>AVERAGE('25.10 Mbarara-Ibanda'!M52,'26.10 Mbarara-Ibanda-24hr'!M52,'27.10 Mbarara-Ibanda'!M52,'28.10 Mbarara-Ibanda-24hr'!M52,'29.10 Mbarara-Ibanda'!M52,'30.10 Mbarara-Ibanda'!M52,'31.10 Mbarara-Ibanda'!M52)</f>
        <v>11.857142857142858</v>
      </c>
      <c r="N52" s="49">
        <f>AVERAGE('25.10 Mbarara-Ibanda'!N52,'26.10 Mbarara-Ibanda-24hr'!N52,'27.10 Mbarara-Ibanda'!N52,'28.10 Mbarara-Ibanda-24hr'!N52,'29.10 Mbarara-Ibanda'!N52,'30.10 Mbarara-Ibanda'!N52,'31.10 Mbarara-Ibanda'!N52)</f>
        <v>0</v>
      </c>
      <c r="O52" s="15">
        <f t="shared" si="0"/>
        <v>10.428571428571429</v>
      </c>
      <c r="P52" s="15">
        <f t="shared" si="1"/>
        <v>22.285714285714285</v>
      </c>
      <c r="R52" s="8"/>
      <c r="T52"/>
    </row>
    <row r="53" spans="2:20" ht="23.1" customHeight="1" x14ac:dyDescent="0.25">
      <c r="B53" s="23" t="s">
        <v>80</v>
      </c>
      <c r="C53" s="49">
        <f>AVERAGE('25.10 Mbarara-Ibanda'!C53,'26.10 Mbarara-Ibanda-24hr'!C53,'27.10 Mbarara-Ibanda'!C53,'28.10 Mbarara-Ibanda-24hr'!C53,'29.10 Mbarara-Ibanda'!C53,'30.10 Mbarara-Ibanda'!C53,'31.10 Mbarara-Ibanda'!C53)</f>
        <v>6.7142857142857144</v>
      </c>
      <c r="D53" s="49">
        <f>AVERAGE('25.10 Mbarara-Ibanda'!D53,'26.10 Mbarara-Ibanda-24hr'!D53,'27.10 Mbarara-Ibanda'!D53,'28.10 Mbarara-Ibanda-24hr'!D53,'29.10 Mbarara-Ibanda'!D53,'30.10 Mbarara-Ibanda'!D53,'31.10 Mbarara-Ibanda'!D53)</f>
        <v>1.1428571428571428</v>
      </c>
      <c r="E53" s="49">
        <f>AVERAGE('25.10 Mbarara-Ibanda'!E53,'26.10 Mbarara-Ibanda-24hr'!E53,'27.10 Mbarara-Ibanda'!E53,'28.10 Mbarara-Ibanda-24hr'!E53,'29.10 Mbarara-Ibanda'!E53,'30.10 Mbarara-Ibanda'!E53,'31.10 Mbarara-Ibanda'!E53)</f>
        <v>0.42857142857142855</v>
      </c>
      <c r="F53" s="49">
        <f>AVERAGE('25.10 Mbarara-Ibanda'!F53,'26.10 Mbarara-Ibanda-24hr'!F53,'27.10 Mbarara-Ibanda'!F53,'28.10 Mbarara-Ibanda-24hr'!F53,'29.10 Mbarara-Ibanda'!F53,'30.10 Mbarara-Ibanda'!F53,'31.10 Mbarara-Ibanda'!F53)</f>
        <v>2.4285714285714284</v>
      </c>
      <c r="G53" s="49">
        <f>AVERAGE('25.10 Mbarara-Ibanda'!G53,'26.10 Mbarara-Ibanda-24hr'!G53,'27.10 Mbarara-Ibanda'!G53,'28.10 Mbarara-Ibanda-24hr'!G53,'29.10 Mbarara-Ibanda'!G53,'30.10 Mbarara-Ibanda'!G53,'31.10 Mbarara-Ibanda'!G53)</f>
        <v>0.14285714285714285</v>
      </c>
      <c r="H53" s="49">
        <f>AVERAGE('25.10 Mbarara-Ibanda'!H53,'26.10 Mbarara-Ibanda-24hr'!H53,'27.10 Mbarara-Ibanda'!H53,'28.10 Mbarara-Ibanda-24hr'!H53,'29.10 Mbarara-Ibanda'!H53,'30.10 Mbarara-Ibanda'!H53,'31.10 Mbarara-Ibanda'!H53)</f>
        <v>0.2857142857142857</v>
      </c>
      <c r="I53" s="49">
        <f>AVERAGE('25.10 Mbarara-Ibanda'!I53,'26.10 Mbarara-Ibanda-24hr'!I53,'27.10 Mbarara-Ibanda'!I53,'28.10 Mbarara-Ibanda-24hr'!I53,'29.10 Mbarara-Ibanda'!I53,'30.10 Mbarara-Ibanda'!I53,'31.10 Mbarara-Ibanda'!I53)</f>
        <v>0.8571428571428571</v>
      </c>
      <c r="J53" s="49">
        <f>AVERAGE('25.10 Mbarara-Ibanda'!J53,'26.10 Mbarara-Ibanda-24hr'!J53,'27.10 Mbarara-Ibanda'!J53,'28.10 Mbarara-Ibanda-24hr'!J53,'29.10 Mbarara-Ibanda'!J53,'30.10 Mbarara-Ibanda'!J53,'31.10 Mbarara-Ibanda'!J53)</f>
        <v>0.14285714285714285</v>
      </c>
      <c r="K53" s="49">
        <f>AVERAGE('25.10 Mbarara-Ibanda'!K53,'26.10 Mbarara-Ibanda-24hr'!K53,'27.10 Mbarara-Ibanda'!K53,'28.10 Mbarara-Ibanda-24hr'!K53,'29.10 Mbarara-Ibanda'!K53,'30.10 Mbarara-Ibanda'!K53,'31.10 Mbarara-Ibanda'!K53)</f>
        <v>0</v>
      </c>
      <c r="L53" s="49">
        <f>AVERAGE('25.10 Mbarara-Ibanda'!L53,'26.10 Mbarara-Ibanda-24hr'!L53,'27.10 Mbarara-Ibanda'!L53,'28.10 Mbarara-Ibanda-24hr'!L53,'29.10 Mbarara-Ibanda'!L53,'30.10 Mbarara-Ibanda'!L53,'31.10 Mbarara-Ibanda'!L53)</f>
        <v>0.14285714285714285</v>
      </c>
      <c r="M53" s="49">
        <f>AVERAGE('25.10 Mbarara-Ibanda'!M53,'26.10 Mbarara-Ibanda-24hr'!M53,'27.10 Mbarara-Ibanda'!M53,'28.10 Mbarara-Ibanda-24hr'!M53,'29.10 Mbarara-Ibanda'!M53,'30.10 Mbarara-Ibanda'!M53,'31.10 Mbarara-Ibanda'!M53)</f>
        <v>11.571428571428571</v>
      </c>
      <c r="N53" s="49">
        <f>AVERAGE('25.10 Mbarara-Ibanda'!N53,'26.10 Mbarara-Ibanda-24hr'!N53,'27.10 Mbarara-Ibanda'!N53,'28.10 Mbarara-Ibanda-24hr'!N53,'29.10 Mbarara-Ibanda'!N53,'30.10 Mbarara-Ibanda'!N53,'31.10 Mbarara-Ibanda'!N53)</f>
        <v>0</v>
      </c>
      <c r="O53" s="15">
        <f t="shared" si="0"/>
        <v>12.285714285714286</v>
      </c>
      <c r="P53" s="15">
        <f t="shared" si="1"/>
        <v>23.857142857142858</v>
      </c>
      <c r="R53" s="8"/>
      <c r="T53"/>
    </row>
    <row r="54" spans="2:20" ht="23.1" customHeight="1" x14ac:dyDescent="0.25">
      <c r="B54" s="23" t="s">
        <v>81</v>
      </c>
      <c r="C54" s="49">
        <f>AVERAGE('25.10 Mbarara-Ibanda'!C54,'26.10 Mbarara-Ibanda-24hr'!C54,'27.10 Mbarara-Ibanda'!C54,'28.10 Mbarara-Ibanda-24hr'!C54,'29.10 Mbarara-Ibanda'!C54,'30.10 Mbarara-Ibanda'!C54,'31.10 Mbarara-Ibanda'!C54)</f>
        <v>7.4285714285714288</v>
      </c>
      <c r="D54" s="49">
        <f>AVERAGE('25.10 Mbarara-Ibanda'!D54,'26.10 Mbarara-Ibanda-24hr'!D54,'27.10 Mbarara-Ibanda'!D54,'28.10 Mbarara-Ibanda-24hr'!D54,'29.10 Mbarara-Ibanda'!D54,'30.10 Mbarara-Ibanda'!D54,'31.10 Mbarara-Ibanda'!D54)</f>
        <v>0.7142857142857143</v>
      </c>
      <c r="E54" s="49">
        <f>AVERAGE('25.10 Mbarara-Ibanda'!E54,'26.10 Mbarara-Ibanda-24hr'!E54,'27.10 Mbarara-Ibanda'!E54,'28.10 Mbarara-Ibanda-24hr'!E54,'29.10 Mbarara-Ibanda'!E54,'30.10 Mbarara-Ibanda'!E54,'31.10 Mbarara-Ibanda'!E54)</f>
        <v>0.5714285714285714</v>
      </c>
      <c r="F54" s="49">
        <f>AVERAGE('25.10 Mbarara-Ibanda'!F54,'26.10 Mbarara-Ibanda-24hr'!F54,'27.10 Mbarara-Ibanda'!F54,'28.10 Mbarara-Ibanda-24hr'!F54,'29.10 Mbarara-Ibanda'!F54,'30.10 Mbarara-Ibanda'!F54,'31.10 Mbarara-Ibanda'!F54)</f>
        <v>2</v>
      </c>
      <c r="G54" s="49">
        <f>AVERAGE('25.10 Mbarara-Ibanda'!G54,'26.10 Mbarara-Ibanda-24hr'!G54,'27.10 Mbarara-Ibanda'!G54,'28.10 Mbarara-Ibanda-24hr'!G54,'29.10 Mbarara-Ibanda'!G54,'30.10 Mbarara-Ibanda'!G54,'31.10 Mbarara-Ibanda'!G54)</f>
        <v>0</v>
      </c>
      <c r="H54" s="49">
        <f>AVERAGE('25.10 Mbarara-Ibanda'!H54,'26.10 Mbarara-Ibanda-24hr'!H54,'27.10 Mbarara-Ibanda'!H54,'28.10 Mbarara-Ibanda-24hr'!H54,'29.10 Mbarara-Ibanda'!H54,'30.10 Mbarara-Ibanda'!H54,'31.10 Mbarara-Ibanda'!H54)</f>
        <v>0.14285714285714285</v>
      </c>
      <c r="I54" s="49">
        <f>AVERAGE('25.10 Mbarara-Ibanda'!I54,'26.10 Mbarara-Ibanda-24hr'!I54,'27.10 Mbarara-Ibanda'!I54,'28.10 Mbarara-Ibanda-24hr'!I54,'29.10 Mbarara-Ibanda'!I54,'30.10 Mbarara-Ibanda'!I54,'31.10 Mbarara-Ibanda'!I54)</f>
        <v>0.7142857142857143</v>
      </c>
      <c r="J54" s="49">
        <f>AVERAGE('25.10 Mbarara-Ibanda'!J54,'26.10 Mbarara-Ibanda-24hr'!J54,'27.10 Mbarara-Ibanda'!J54,'28.10 Mbarara-Ibanda-24hr'!J54,'29.10 Mbarara-Ibanda'!J54,'30.10 Mbarara-Ibanda'!J54,'31.10 Mbarara-Ibanda'!J54)</f>
        <v>0.8571428571428571</v>
      </c>
      <c r="K54" s="49">
        <f>AVERAGE('25.10 Mbarara-Ibanda'!K54,'26.10 Mbarara-Ibanda-24hr'!K54,'27.10 Mbarara-Ibanda'!K54,'28.10 Mbarara-Ibanda-24hr'!K54,'29.10 Mbarara-Ibanda'!K54,'30.10 Mbarara-Ibanda'!K54,'31.10 Mbarara-Ibanda'!K54)</f>
        <v>0.14285714285714285</v>
      </c>
      <c r="L54" s="49">
        <f>AVERAGE('25.10 Mbarara-Ibanda'!L54,'26.10 Mbarara-Ibanda-24hr'!L54,'27.10 Mbarara-Ibanda'!L54,'28.10 Mbarara-Ibanda-24hr'!L54,'29.10 Mbarara-Ibanda'!L54,'30.10 Mbarara-Ibanda'!L54,'31.10 Mbarara-Ibanda'!L54)</f>
        <v>0</v>
      </c>
      <c r="M54" s="49">
        <f>AVERAGE('25.10 Mbarara-Ibanda'!M54,'26.10 Mbarara-Ibanda-24hr'!M54,'27.10 Mbarara-Ibanda'!M54,'28.10 Mbarara-Ibanda-24hr'!M54,'29.10 Mbarara-Ibanda'!M54,'30.10 Mbarara-Ibanda'!M54,'31.10 Mbarara-Ibanda'!M54)</f>
        <v>15.142857142857142</v>
      </c>
      <c r="N54" s="49">
        <f>AVERAGE('25.10 Mbarara-Ibanda'!N54,'26.10 Mbarara-Ibanda-24hr'!N54,'27.10 Mbarara-Ibanda'!N54,'28.10 Mbarara-Ibanda-24hr'!N54,'29.10 Mbarara-Ibanda'!N54,'30.10 Mbarara-Ibanda'!N54,'31.10 Mbarara-Ibanda'!N54)</f>
        <v>0</v>
      </c>
      <c r="O54" s="15">
        <f t="shared" si="0"/>
        <v>12.571428571428569</v>
      </c>
      <c r="P54" s="15">
        <f t="shared" si="1"/>
        <v>27.714285714285712</v>
      </c>
      <c r="R54" s="8"/>
      <c r="T54"/>
    </row>
    <row r="55" spans="2:20" ht="23.1" customHeight="1" x14ac:dyDescent="0.25">
      <c r="B55" s="23" t="s">
        <v>82</v>
      </c>
      <c r="C55" s="49">
        <f>AVERAGE('25.10 Mbarara-Ibanda'!C55,'26.10 Mbarara-Ibanda-24hr'!C55,'27.10 Mbarara-Ibanda'!C55,'28.10 Mbarara-Ibanda-24hr'!C55,'29.10 Mbarara-Ibanda'!C55,'30.10 Mbarara-Ibanda'!C55,'31.10 Mbarara-Ibanda'!C55)</f>
        <v>6.1428571428571432</v>
      </c>
      <c r="D55" s="49">
        <f>AVERAGE('25.10 Mbarara-Ibanda'!D55,'26.10 Mbarara-Ibanda-24hr'!D55,'27.10 Mbarara-Ibanda'!D55,'28.10 Mbarara-Ibanda-24hr'!D55,'29.10 Mbarara-Ibanda'!D55,'30.10 Mbarara-Ibanda'!D55,'31.10 Mbarara-Ibanda'!D55)</f>
        <v>0.5714285714285714</v>
      </c>
      <c r="E55" s="49">
        <f>AVERAGE('25.10 Mbarara-Ibanda'!E55,'26.10 Mbarara-Ibanda-24hr'!E55,'27.10 Mbarara-Ibanda'!E55,'28.10 Mbarara-Ibanda-24hr'!E55,'29.10 Mbarara-Ibanda'!E55,'30.10 Mbarara-Ibanda'!E55,'31.10 Mbarara-Ibanda'!E55)</f>
        <v>0.42857142857142855</v>
      </c>
      <c r="F55" s="49">
        <f>AVERAGE('25.10 Mbarara-Ibanda'!F55,'26.10 Mbarara-Ibanda-24hr'!F55,'27.10 Mbarara-Ibanda'!F55,'28.10 Mbarara-Ibanda-24hr'!F55,'29.10 Mbarara-Ibanda'!F55,'30.10 Mbarara-Ibanda'!F55,'31.10 Mbarara-Ibanda'!F55)</f>
        <v>2</v>
      </c>
      <c r="G55" s="49">
        <f>AVERAGE('25.10 Mbarara-Ibanda'!G55,'26.10 Mbarara-Ibanda-24hr'!G55,'27.10 Mbarara-Ibanda'!G55,'28.10 Mbarara-Ibanda-24hr'!G55,'29.10 Mbarara-Ibanda'!G55,'30.10 Mbarara-Ibanda'!G55,'31.10 Mbarara-Ibanda'!G55)</f>
        <v>0</v>
      </c>
      <c r="H55" s="49">
        <f>AVERAGE('25.10 Mbarara-Ibanda'!H55,'26.10 Mbarara-Ibanda-24hr'!H55,'27.10 Mbarara-Ibanda'!H55,'28.10 Mbarara-Ibanda-24hr'!H55,'29.10 Mbarara-Ibanda'!H55,'30.10 Mbarara-Ibanda'!H55,'31.10 Mbarara-Ibanda'!H55)</f>
        <v>0</v>
      </c>
      <c r="I55" s="49">
        <f>AVERAGE('25.10 Mbarara-Ibanda'!I55,'26.10 Mbarara-Ibanda-24hr'!I55,'27.10 Mbarara-Ibanda'!I55,'28.10 Mbarara-Ibanda-24hr'!I55,'29.10 Mbarara-Ibanda'!I55,'30.10 Mbarara-Ibanda'!I55,'31.10 Mbarara-Ibanda'!I55)</f>
        <v>0.7142857142857143</v>
      </c>
      <c r="J55" s="49">
        <f>AVERAGE('25.10 Mbarara-Ibanda'!J55,'26.10 Mbarara-Ibanda-24hr'!J55,'27.10 Mbarara-Ibanda'!J55,'28.10 Mbarara-Ibanda-24hr'!J55,'29.10 Mbarara-Ibanda'!J55,'30.10 Mbarara-Ibanda'!J55,'31.10 Mbarara-Ibanda'!J55)</f>
        <v>0.5714285714285714</v>
      </c>
      <c r="K55" s="49">
        <f>AVERAGE('25.10 Mbarara-Ibanda'!K55,'26.10 Mbarara-Ibanda-24hr'!K55,'27.10 Mbarara-Ibanda'!K55,'28.10 Mbarara-Ibanda-24hr'!K55,'29.10 Mbarara-Ibanda'!K55,'30.10 Mbarara-Ibanda'!K55,'31.10 Mbarara-Ibanda'!K55)</f>
        <v>0</v>
      </c>
      <c r="L55" s="49">
        <f>AVERAGE('25.10 Mbarara-Ibanda'!L55,'26.10 Mbarara-Ibanda-24hr'!L55,'27.10 Mbarara-Ibanda'!L55,'28.10 Mbarara-Ibanda-24hr'!L55,'29.10 Mbarara-Ibanda'!L55,'30.10 Mbarara-Ibanda'!L55,'31.10 Mbarara-Ibanda'!L55)</f>
        <v>0</v>
      </c>
      <c r="M55" s="49">
        <f>AVERAGE('25.10 Mbarara-Ibanda'!M55,'26.10 Mbarara-Ibanda-24hr'!M55,'27.10 Mbarara-Ibanda'!M55,'28.10 Mbarara-Ibanda-24hr'!M55,'29.10 Mbarara-Ibanda'!M55,'30.10 Mbarara-Ibanda'!M55,'31.10 Mbarara-Ibanda'!M55)</f>
        <v>11.428571428571429</v>
      </c>
      <c r="N55" s="49">
        <f>AVERAGE('25.10 Mbarara-Ibanda'!N55,'26.10 Mbarara-Ibanda-24hr'!N55,'27.10 Mbarara-Ibanda'!N55,'28.10 Mbarara-Ibanda-24hr'!N55,'29.10 Mbarara-Ibanda'!N55,'30.10 Mbarara-Ibanda'!N55,'31.10 Mbarara-Ibanda'!N55)</f>
        <v>0</v>
      </c>
      <c r="O55" s="15">
        <f t="shared" si="0"/>
        <v>10.428571428571427</v>
      </c>
      <c r="P55" s="15">
        <f t="shared" si="1"/>
        <v>21.857142857142854</v>
      </c>
      <c r="R55" s="8"/>
      <c r="T55"/>
    </row>
    <row r="56" spans="2:20" ht="23.1" customHeight="1" x14ac:dyDescent="0.25">
      <c r="B56" s="23" t="s">
        <v>83</v>
      </c>
      <c r="C56" s="49">
        <f>AVERAGE('25.10 Mbarara-Ibanda'!C56,'26.10 Mbarara-Ibanda-24hr'!C56,'27.10 Mbarara-Ibanda'!C56,'28.10 Mbarara-Ibanda-24hr'!C56,'29.10 Mbarara-Ibanda'!C56,'30.10 Mbarara-Ibanda'!C56,'31.10 Mbarara-Ibanda'!C56)</f>
        <v>6</v>
      </c>
      <c r="D56" s="49">
        <f>AVERAGE('25.10 Mbarara-Ibanda'!D56,'26.10 Mbarara-Ibanda-24hr'!D56,'27.10 Mbarara-Ibanda'!D56,'28.10 Mbarara-Ibanda-24hr'!D56,'29.10 Mbarara-Ibanda'!D56,'30.10 Mbarara-Ibanda'!D56,'31.10 Mbarara-Ibanda'!D56)</f>
        <v>0.7142857142857143</v>
      </c>
      <c r="E56" s="49">
        <f>AVERAGE('25.10 Mbarara-Ibanda'!E56,'26.10 Mbarara-Ibanda-24hr'!E56,'27.10 Mbarara-Ibanda'!E56,'28.10 Mbarara-Ibanda-24hr'!E56,'29.10 Mbarara-Ibanda'!E56,'30.10 Mbarara-Ibanda'!E56,'31.10 Mbarara-Ibanda'!E56)</f>
        <v>0.2857142857142857</v>
      </c>
      <c r="F56" s="49">
        <f>AVERAGE('25.10 Mbarara-Ibanda'!F56,'26.10 Mbarara-Ibanda-24hr'!F56,'27.10 Mbarara-Ibanda'!F56,'28.10 Mbarara-Ibanda-24hr'!F56,'29.10 Mbarara-Ibanda'!F56,'30.10 Mbarara-Ibanda'!F56,'31.10 Mbarara-Ibanda'!F56)</f>
        <v>0.8571428571428571</v>
      </c>
      <c r="G56" s="49">
        <f>AVERAGE('25.10 Mbarara-Ibanda'!G56,'26.10 Mbarara-Ibanda-24hr'!G56,'27.10 Mbarara-Ibanda'!G56,'28.10 Mbarara-Ibanda-24hr'!G56,'29.10 Mbarara-Ibanda'!G56,'30.10 Mbarara-Ibanda'!G56,'31.10 Mbarara-Ibanda'!G56)</f>
        <v>0</v>
      </c>
      <c r="H56" s="49">
        <f>AVERAGE('25.10 Mbarara-Ibanda'!H56,'26.10 Mbarara-Ibanda-24hr'!H56,'27.10 Mbarara-Ibanda'!H56,'28.10 Mbarara-Ibanda-24hr'!H56,'29.10 Mbarara-Ibanda'!H56,'30.10 Mbarara-Ibanda'!H56,'31.10 Mbarara-Ibanda'!H56)</f>
        <v>0</v>
      </c>
      <c r="I56" s="49">
        <f>AVERAGE('25.10 Mbarara-Ibanda'!I56,'26.10 Mbarara-Ibanda-24hr'!I56,'27.10 Mbarara-Ibanda'!I56,'28.10 Mbarara-Ibanda-24hr'!I56,'29.10 Mbarara-Ibanda'!I56,'30.10 Mbarara-Ibanda'!I56,'31.10 Mbarara-Ibanda'!I56)</f>
        <v>0.42857142857142855</v>
      </c>
      <c r="J56" s="49">
        <f>AVERAGE('25.10 Mbarara-Ibanda'!J56,'26.10 Mbarara-Ibanda-24hr'!J56,'27.10 Mbarara-Ibanda'!J56,'28.10 Mbarara-Ibanda-24hr'!J56,'29.10 Mbarara-Ibanda'!J56,'30.10 Mbarara-Ibanda'!J56,'31.10 Mbarara-Ibanda'!J56)</f>
        <v>0</v>
      </c>
      <c r="K56" s="49">
        <f>AVERAGE('25.10 Mbarara-Ibanda'!K56,'26.10 Mbarara-Ibanda-24hr'!K56,'27.10 Mbarara-Ibanda'!K56,'28.10 Mbarara-Ibanda-24hr'!K56,'29.10 Mbarara-Ibanda'!K56,'30.10 Mbarara-Ibanda'!K56,'31.10 Mbarara-Ibanda'!K56)</f>
        <v>0</v>
      </c>
      <c r="L56" s="49">
        <f>AVERAGE('25.10 Mbarara-Ibanda'!L56,'26.10 Mbarara-Ibanda-24hr'!L56,'27.10 Mbarara-Ibanda'!L56,'28.10 Mbarara-Ibanda-24hr'!L56,'29.10 Mbarara-Ibanda'!L56,'30.10 Mbarara-Ibanda'!L56,'31.10 Mbarara-Ibanda'!L56)</f>
        <v>0</v>
      </c>
      <c r="M56" s="49">
        <f>AVERAGE('25.10 Mbarara-Ibanda'!M56,'26.10 Mbarara-Ibanda-24hr'!M56,'27.10 Mbarara-Ibanda'!M56,'28.10 Mbarara-Ibanda-24hr'!M56,'29.10 Mbarara-Ibanda'!M56,'30.10 Mbarara-Ibanda'!M56,'31.10 Mbarara-Ibanda'!M56)</f>
        <v>11.571428571428571</v>
      </c>
      <c r="N56" s="49">
        <f>AVERAGE('25.10 Mbarara-Ibanda'!N56,'26.10 Mbarara-Ibanda-24hr'!N56,'27.10 Mbarara-Ibanda'!N56,'28.10 Mbarara-Ibanda-24hr'!N56,'29.10 Mbarara-Ibanda'!N56,'30.10 Mbarara-Ibanda'!N56,'31.10 Mbarara-Ibanda'!N56)</f>
        <v>0</v>
      </c>
      <c r="O56" s="15">
        <f t="shared" si="0"/>
        <v>8.2857142857142847</v>
      </c>
      <c r="P56" s="15">
        <f t="shared" si="1"/>
        <v>19.857142857142854</v>
      </c>
      <c r="R56" s="8"/>
      <c r="T56"/>
    </row>
    <row r="57" spans="2:20" ht="23.1" customHeight="1" x14ac:dyDescent="0.25">
      <c r="B57" s="23" t="s">
        <v>84</v>
      </c>
      <c r="C57" s="49">
        <f>AVERAGE('25.10 Mbarara-Ibanda'!C57,'26.10 Mbarara-Ibanda-24hr'!C57,'27.10 Mbarara-Ibanda'!C57,'28.10 Mbarara-Ibanda-24hr'!C57,'29.10 Mbarara-Ibanda'!C57,'30.10 Mbarara-Ibanda'!C57,'31.10 Mbarara-Ibanda'!C57)</f>
        <v>7.8571428571428568</v>
      </c>
      <c r="D57" s="49">
        <f>AVERAGE('25.10 Mbarara-Ibanda'!D57,'26.10 Mbarara-Ibanda-24hr'!D57,'27.10 Mbarara-Ibanda'!D57,'28.10 Mbarara-Ibanda-24hr'!D57,'29.10 Mbarara-Ibanda'!D57,'30.10 Mbarara-Ibanda'!D57,'31.10 Mbarara-Ibanda'!D57)</f>
        <v>0.42857142857142855</v>
      </c>
      <c r="E57" s="49">
        <f>AVERAGE('25.10 Mbarara-Ibanda'!E57,'26.10 Mbarara-Ibanda-24hr'!E57,'27.10 Mbarara-Ibanda'!E57,'28.10 Mbarara-Ibanda-24hr'!E57,'29.10 Mbarara-Ibanda'!E57,'30.10 Mbarara-Ibanda'!E57,'31.10 Mbarara-Ibanda'!E57)</f>
        <v>0.14285714285714285</v>
      </c>
      <c r="F57" s="49">
        <f>AVERAGE('25.10 Mbarara-Ibanda'!F57,'26.10 Mbarara-Ibanda-24hr'!F57,'27.10 Mbarara-Ibanda'!F57,'28.10 Mbarara-Ibanda-24hr'!F57,'29.10 Mbarara-Ibanda'!F57,'30.10 Mbarara-Ibanda'!F57,'31.10 Mbarara-Ibanda'!F57)</f>
        <v>1.5714285714285714</v>
      </c>
      <c r="G57" s="49">
        <f>AVERAGE('25.10 Mbarara-Ibanda'!G57,'26.10 Mbarara-Ibanda-24hr'!G57,'27.10 Mbarara-Ibanda'!G57,'28.10 Mbarara-Ibanda-24hr'!G57,'29.10 Mbarara-Ibanda'!G57,'30.10 Mbarara-Ibanda'!G57,'31.10 Mbarara-Ibanda'!G57)</f>
        <v>0</v>
      </c>
      <c r="H57" s="49">
        <f>AVERAGE('25.10 Mbarara-Ibanda'!H57,'26.10 Mbarara-Ibanda-24hr'!H57,'27.10 Mbarara-Ibanda'!H57,'28.10 Mbarara-Ibanda-24hr'!H57,'29.10 Mbarara-Ibanda'!H57,'30.10 Mbarara-Ibanda'!H57,'31.10 Mbarara-Ibanda'!H57)</f>
        <v>0.14285714285714285</v>
      </c>
      <c r="I57" s="49">
        <f>AVERAGE('25.10 Mbarara-Ibanda'!I57,'26.10 Mbarara-Ibanda-24hr'!I57,'27.10 Mbarara-Ibanda'!I57,'28.10 Mbarara-Ibanda-24hr'!I57,'29.10 Mbarara-Ibanda'!I57,'30.10 Mbarara-Ibanda'!I57,'31.10 Mbarara-Ibanda'!I57)</f>
        <v>0.2857142857142857</v>
      </c>
      <c r="J57" s="49">
        <f>AVERAGE('25.10 Mbarara-Ibanda'!J57,'26.10 Mbarara-Ibanda-24hr'!J57,'27.10 Mbarara-Ibanda'!J57,'28.10 Mbarara-Ibanda-24hr'!J57,'29.10 Mbarara-Ibanda'!J57,'30.10 Mbarara-Ibanda'!J57,'31.10 Mbarara-Ibanda'!J57)</f>
        <v>0.2857142857142857</v>
      </c>
      <c r="K57" s="49">
        <f>AVERAGE('25.10 Mbarara-Ibanda'!K57,'26.10 Mbarara-Ibanda-24hr'!K57,'27.10 Mbarara-Ibanda'!K57,'28.10 Mbarara-Ibanda-24hr'!K57,'29.10 Mbarara-Ibanda'!K57,'30.10 Mbarara-Ibanda'!K57,'31.10 Mbarara-Ibanda'!K57)</f>
        <v>0.14285714285714285</v>
      </c>
      <c r="L57" s="49">
        <f>AVERAGE('25.10 Mbarara-Ibanda'!L57,'26.10 Mbarara-Ibanda-24hr'!L57,'27.10 Mbarara-Ibanda'!L57,'28.10 Mbarara-Ibanda-24hr'!L57,'29.10 Mbarara-Ibanda'!L57,'30.10 Mbarara-Ibanda'!L57,'31.10 Mbarara-Ibanda'!L57)</f>
        <v>0</v>
      </c>
      <c r="M57" s="49">
        <f>AVERAGE('25.10 Mbarara-Ibanda'!M57,'26.10 Mbarara-Ibanda-24hr'!M57,'27.10 Mbarara-Ibanda'!M57,'28.10 Mbarara-Ibanda-24hr'!M57,'29.10 Mbarara-Ibanda'!M57,'30.10 Mbarara-Ibanda'!M57,'31.10 Mbarara-Ibanda'!M57)</f>
        <v>12.285714285714286</v>
      </c>
      <c r="N57" s="49">
        <f>AVERAGE('25.10 Mbarara-Ibanda'!N57,'26.10 Mbarara-Ibanda-24hr'!N57,'27.10 Mbarara-Ibanda'!N57,'28.10 Mbarara-Ibanda-24hr'!N57,'29.10 Mbarara-Ibanda'!N57,'30.10 Mbarara-Ibanda'!N57,'31.10 Mbarara-Ibanda'!N57)</f>
        <v>0</v>
      </c>
      <c r="O57" s="15">
        <f t="shared" si="0"/>
        <v>10.857142857142856</v>
      </c>
      <c r="P57" s="15">
        <f t="shared" si="1"/>
        <v>23.142857142857142</v>
      </c>
      <c r="R57" s="8"/>
      <c r="T57"/>
    </row>
    <row r="58" spans="2:20" ht="23.1" customHeight="1" x14ac:dyDescent="0.25">
      <c r="B58" s="23" t="s">
        <v>99</v>
      </c>
      <c r="C58" s="49">
        <f>AVERAGE('26.10 Mbarara-Ibanda-24hr'!C58,'28.10 Mbarara-Ibanda-24hr'!C58)</f>
        <v>3.5</v>
      </c>
      <c r="D58" s="49">
        <f>AVERAGE('26.10 Mbarara-Ibanda-24hr'!D58,'28.10 Mbarara-Ibanda-24hr'!D58)</f>
        <v>1</v>
      </c>
      <c r="E58" s="49">
        <f>AVERAGE('26.10 Mbarara-Ibanda-24hr'!E58,'28.10 Mbarara-Ibanda-24hr'!E58)</f>
        <v>0.5</v>
      </c>
      <c r="F58" s="49">
        <f>AVERAGE('26.10 Mbarara-Ibanda-24hr'!F58,'28.10 Mbarara-Ibanda-24hr'!F58)</f>
        <v>0.5</v>
      </c>
      <c r="G58" s="49">
        <f>AVERAGE('26.10 Mbarara-Ibanda-24hr'!G58,'28.10 Mbarara-Ibanda-24hr'!G58)</f>
        <v>0</v>
      </c>
      <c r="H58" s="49">
        <f>AVERAGE('26.10 Mbarara-Ibanda-24hr'!H58,'28.10 Mbarara-Ibanda-24hr'!H58)</f>
        <v>0.5</v>
      </c>
      <c r="I58" s="49">
        <f>AVERAGE('26.10 Mbarara-Ibanda-24hr'!I58,'28.10 Mbarara-Ibanda-24hr'!I58)</f>
        <v>0.5</v>
      </c>
      <c r="J58" s="49">
        <f>AVERAGE('26.10 Mbarara-Ibanda-24hr'!J58,'28.10 Mbarara-Ibanda-24hr'!J58)</f>
        <v>0.5</v>
      </c>
      <c r="K58" s="49">
        <f>AVERAGE('26.10 Mbarara-Ibanda-24hr'!K58,'28.10 Mbarara-Ibanda-24hr'!K58)</f>
        <v>0</v>
      </c>
      <c r="L58" s="49">
        <f>AVERAGE('26.10 Mbarara-Ibanda-24hr'!L58,'28.10 Mbarara-Ibanda-24hr'!L58)</f>
        <v>0</v>
      </c>
      <c r="M58" s="49">
        <f>AVERAGE('26.10 Mbarara-Ibanda-24hr'!M58,'28.10 Mbarara-Ibanda-24hr'!M58)</f>
        <v>6</v>
      </c>
      <c r="N58" s="49">
        <f>AVERAGE('26.10 Mbarara-Ibanda-24hr'!N58,'28.10 Mbarara-Ibanda-24hr'!N58)</f>
        <v>0</v>
      </c>
      <c r="O58" s="15">
        <f t="shared" si="0"/>
        <v>7</v>
      </c>
      <c r="P58" s="15">
        <f t="shared" si="1"/>
        <v>13</v>
      </c>
      <c r="R58" s="8"/>
      <c r="T58"/>
    </row>
    <row r="59" spans="2:20" ht="23.1" customHeight="1" x14ac:dyDescent="0.25">
      <c r="B59" s="23" t="s">
        <v>100</v>
      </c>
      <c r="C59" s="49">
        <f>AVERAGE('26.10 Mbarara-Ibanda-24hr'!C59,'28.10 Mbarara-Ibanda-24hr'!C59)</f>
        <v>5.5</v>
      </c>
      <c r="D59" s="49">
        <f>AVERAGE('26.10 Mbarara-Ibanda-24hr'!D59,'28.10 Mbarara-Ibanda-24hr'!D59)</f>
        <v>0.5</v>
      </c>
      <c r="E59" s="49">
        <f>AVERAGE('26.10 Mbarara-Ibanda-24hr'!E59,'28.10 Mbarara-Ibanda-24hr'!E59)</f>
        <v>0.5</v>
      </c>
      <c r="F59" s="49">
        <f>AVERAGE('26.10 Mbarara-Ibanda-24hr'!F59,'28.10 Mbarara-Ibanda-24hr'!F59)</f>
        <v>0.5</v>
      </c>
      <c r="G59" s="49">
        <f>AVERAGE('26.10 Mbarara-Ibanda-24hr'!G59,'28.10 Mbarara-Ibanda-24hr'!G59)</f>
        <v>0</v>
      </c>
      <c r="H59" s="49">
        <f>AVERAGE('26.10 Mbarara-Ibanda-24hr'!H59,'28.10 Mbarara-Ibanda-24hr'!H59)</f>
        <v>0.5</v>
      </c>
      <c r="I59" s="49">
        <f>AVERAGE('26.10 Mbarara-Ibanda-24hr'!I59,'28.10 Mbarara-Ibanda-24hr'!I59)</f>
        <v>0.5</v>
      </c>
      <c r="J59" s="49">
        <f>AVERAGE('26.10 Mbarara-Ibanda-24hr'!J59,'28.10 Mbarara-Ibanda-24hr'!J59)</f>
        <v>0.5</v>
      </c>
      <c r="K59" s="49">
        <f>AVERAGE('26.10 Mbarara-Ibanda-24hr'!K59,'28.10 Mbarara-Ibanda-24hr'!K59)</f>
        <v>0</v>
      </c>
      <c r="L59" s="49">
        <f>AVERAGE('26.10 Mbarara-Ibanda-24hr'!L59,'28.10 Mbarara-Ibanda-24hr'!L59)</f>
        <v>0</v>
      </c>
      <c r="M59" s="49">
        <f>AVERAGE('26.10 Mbarara-Ibanda-24hr'!M59,'28.10 Mbarara-Ibanda-24hr'!M59)</f>
        <v>9.5</v>
      </c>
      <c r="N59" s="49">
        <f>AVERAGE('26.10 Mbarara-Ibanda-24hr'!N59,'28.10 Mbarara-Ibanda-24hr'!N59)</f>
        <v>0</v>
      </c>
      <c r="O59" s="15">
        <f t="shared" si="0"/>
        <v>8.5</v>
      </c>
      <c r="P59" s="15">
        <f t="shared" si="1"/>
        <v>18</v>
      </c>
      <c r="R59" s="8"/>
      <c r="T59"/>
    </row>
    <row r="60" spans="2:20" ht="23.1" customHeight="1" x14ac:dyDescent="0.25">
      <c r="B60" s="23" t="s">
        <v>101</v>
      </c>
      <c r="C60" s="49">
        <f>AVERAGE('26.10 Mbarara-Ibanda-24hr'!C60,'28.10 Mbarara-Ibanda-24hr'!C60)</f>
        <v>3.5</v>
      </c>
      <c r="D60" s="49">
        <f>AVERAGE('26.10 Mbarara-Ibanda-24hr'!D60,'28.10 Mbarara-Ibanda-24hr'!D60)</f>
        <v>1.5</v>
      </c>
      <c r="E60" s="49">
        <f>AVERAGE('26.10 Mbarara-Ibanda-24hr'!E60,'28.10 Mbarara-Ibanda-24hr'!E60)</f>
        <v>0</v>
      </c>
      <c r="F60" s="49">
        <f>AVERAGE('26.10 Mbarara-Ibanda-24hr'!F60,'28.10 Mbarara-Ibanda-24hr'!F60)</f>
        <v>2</v>
      </c>
      <c r="G60" s="49">
        <f>AVERAGE('26.10 Mbarara-Ibanda-24hr'!G60,'28.10 Mbarara-Ibanda-24hr'!G60)</f>
        <v>0</v>
      </c>
      <c r="H60" s="49">
        <f>AVERAGE('26.10 Mbarara-Ibanda-24hr'!H60,'28.10 Mbarara-Ibanda-24hr'!H60)</f>
        <v>0.5</v>
      </c>
      <c r="I60" s="49">
        <f>AVERAGE('26.10 Mbarara-Ibanda-24hr'!I60,'28.10 Mbarara-Ibanda-24hr'!I60)</f>
        <v>1</v>
      </c>
      <c r="J60" s="49">
        <f>AVERAGE('26.10 Mbarara-Ibanda-24hr'!J60,'28.10 Mbarara-Ibanda-24hr'!J60)</f>
        <v>1.5</v>
      </c>
      <c r="K60" s="49">
        <f>AVERAGE('26.10 Mbarara-Ibanda-24hr'!K60,'28.10 Mbarara-Ibanda-24hr'!K60)</f>
        <v>1.5</v>
      </c>
      <c r="L60" s="49">
        <f>AVERAGE('26.10 Mbarara-Ibanda-24hr'!L60,'28.10 Mbarara-Ibanda-24hr'!L60)</f>
        <v>0</v>
      </c>
      <c r="M60" s="49">
        <f>AVERAGE('26.10 Mbarara-Ibanda-24hr'!M60,'28.10 Mbarara-Ibanda-24hr'!M60)</f>
        <v>9.5</v>
      </c>
      <c r="N60" s="49">
        <f>AVERAGE('26.10 Mbarara-Ibanda-24hr'!N60,'28.10 Mbarara-Ibanda-24hr'!N60)</f>
        <v>0</v>
      </c>
      <c r="O60" s="15">
        <f t="shared" si="0"/>
        <v>11.5</v>
      </c>
      <c r="P60" s="15">
        <f t="shared" si="1"/>
        <v>21</v>
      </c>
      <c r="R60" s="8"/>
      <c r="T60"/>
    </row>
    <row r="61" spans="2:20" ht="23.1" customHeight="1" x14ac:dyDescent="0.25">
      <c r="B61" s="23" t="s">
        <v>102</v>
      </c>
      <c r="C61" s="49">
        <f>AVERAGE('26.10 Mbarara-Ibanda-24hr'!C61,'28.10 Mbarara-Ibanda-24hr'!C61)</f>
        <v>5</v>
      </c>
      <c r="D61" s="49">
        <f>AVERAGE('26.10 Mbarara-Ibanda-24hr'!D61,'28.10 Mbarara-Ibanda-24hr'!D61)</f>
        <v>1.5</v>
      </c>
      <c r="E61" s="49">
        <f>AVERAGE('26.10 Mbarara-Ibanda-24hr'!E61,'28.10 Mbarara-Ibanda-24hr'!E61)</f>
        <v>0</v>
      </c>
      <c r="F61" s="49">
        <f>AVERAGE('26.10 Mbarara-Ibanda-24hr'!F61,'28.10 Mbarara-Ibanda-24hr'!F61)</f>
        <v>0</v>
      </c>
      <c r="G61" s="49">
        <f>AVERAGE('26.10 Mbarara-Ibanda-24hr'!G61,'28.10 Mbarara-Ibanda-24hr'!G61)</f>
        <v>0</v>
      </c>
      <c r="H61" s="49">
        <f>AVERAGE('26.10 Mbarara-Ibanda-24hr'!H61,'28.10 Mbarara-Ibanda-24hr'!H61)</f>
        <v>0</v>
      </c>
      <c r="I61" s="49">
        <f>AVERAGE('26.10 Mbarara-Ibanda-24hr'!I61,'28.10 Mbarara-Ibanda-24hr'!I61)</f>
        <v>0.5</v>
      </c>
      <c r="J61" s="49">
        <f>AVERAGE('26.10 Mbarara-Ibanda-24hr'!J61,'28.10 Mbarara-Ibanda-24hr'!J61)</f>
        <v>0.5</v>
      </c>
      <c r="K61" s="49">
        <f>AVERAGE('26.10 Mbarara-Ibanda-24hr'!K61,'28.10 Mbarara-Ibanda-24hr'!K61)</f>
        <v>0</v>
      </c>
      <c r="L61" s="49">
        <f>AVERAGE('26.10 Mbarara-Ibanda-24hr'!L61,'28.10 Mbarara-Ibanda-24hr'!L61)</f>
        <v>0</v>
      </c>
      <c r="M61" s="49">
        <f>AVERAGE('26.10 Mbarara-Ibanda-24hr'!M61,'28.10 Mbarara-Ibanda-24hr'!M61)</f>
        <v>9</v>
      </c>
      <c r="N61" s="49">
        <f>AVERAGE('26.10 Mbarara-Ibanda-24hr'!N61,'28.10 Mbarara-Ibanda-24hr'!N61)</f>
        <v>0</v>
      </c>
      <c r="O61" s="15">
        <f t="shared" si="0"/>
        <v>7.5</v>
      </c>
      <c r="P61" s="15">
        <f t="shared" si="1"/>
        <v>16.5</v>
      </c>
      <c r="R61" s="8"/>
      <c r="T61"/>
    </row>
    <row r="62" spans="2:20" ht="23.1" customHeight="1" x14ac:dyDescent="0.25">
      <c r="B62" s="23" t="s">
        <v>107</v>
      </c>
      <c r="C62" s="49">
        <f>AVERAGE('26.10 Mbarara-Ibanda-24hr'!C62,'28.10 Mbarara-Ibanda-24hr'!C62)</f>
        <v>4</v>
      </c>
      <c r="D62" s="49">
        <f>AVERAGE('26.10 Mbarara-Ibanda-24hr'!D62,'28.10 Mbarara-Ibanda-24hr'!D62)</f>
        <v>0</v>
      </c>
      <c r="E62" s="49">
        <f>AVERAGE('26.10 Mbarara-Ibanda-24hr'!E62,'28.10 Mbarara-Ibanda-24hr'!E62)</f>
        <v>0</v>
      </c>
      <c r="F62" s="49">
        <f>AVERAGE('26.10 Mbarara-Ibanda-24hr'!F62,'28.10 Mbarara-Ibanda-24hr'!F62)</f>
        <v>1</v>
      </c>
      <c r="G62" s="49">
        <f>AVERAGE('26.10 Mbarara-Ibanda-24hr'!G62,'28.10 Mbarara-Ibanda-24hr'!G62)</f>
        <v>0</v>
      </c>
      <c r="H62" s="49">
        <f>AVERAGE('26.10 Mbarara-Ibanda-24hr'!H62,'28.10 Mbarara-Ibanda-24hr'!H62)</f>
        <v>0</v>
      </c>
      <c r="I62" s="49">
        <f>AVERAGE('26.10 Mbarara-Ibanda-24hr'!I62,'28.10 Mbarara-Ibanda-24hr'!I62)</f>
        <v>0.5</v>
      </c>
      <c r="J62" s="49">
        <f>AVERAGE('26.10 Mbarara-Ibanda-24hr'!J62,'28.10 Mbarara-Ibanda-24hr'!J62)</f>
        <v>0</v>
      </c>
      <c r="K62" s="49">
        <f>AVERAGE('26.10 Mbarara-Ibanda-24hr'!K62,'28.10 Mbarara-Ibanda-24hr'!K62)</f>
        <v>0.5</v>
      </c>
      <c r="L62" s="49">
        <f>AVERAGE('26.10 Mbarara-Ibanda-24hr'!L62,'28.10 Mbarara-Ibanda-24hr'!L62)</f>
        <v>0</v>
      </c>
      <c r="M62" s="49">
        <f>AVERAGE('26.10 Mbarara-Ibanda-24hr'!M62,'28.10 Mbarara-Ibanda-24hr'!M62)</f>
        <v>5.5</v>
      </c>
      <c r="N62" s="49">
        <f>AVERAGE('26.10 Mbarara-Ibanda-24hr'!N62,'28.10 Mbarara-Ibanda-24hr'!N62)</f>
        <v>0</v>
      </c>
      <c r="O62" s="15">
        <f t="shared" si="0"/>
        <v>6</v>
      </c>
      <c r="P62" s="15">
        <f t="shared" si="1"/>
        <v>11.5</v>
      </c>
      <c r="R62" s="8"/>
      <c r="T62"/>
    </row>
    <row r="63" spans="2:20" ht="23.1" customHeight="1" x14ac:dyDescent="0.25">
      <c r="B63" s="23" t="s">
        <v>108</v>
      </c>
      <c r="C63" s="49">
        <f>AVERAGE('26.10 Mbarara-Ibanda-24hr'!C63,'28.10 Mbarara-Ibanda-24hr'!C63)</f>
        <v>5.5</v>
      </c>
      <c r="D63" s="49">
        <f>AVERAGE('26.10 Mbarara-Ibanda-24hr'!D63,'28.10 Mbarara-Ibanda-24hr'!D63)</f>
        <v>0.5</v>
      </c>
      <c r="E63" s="49">
        <f>AVERAGE('26.10 Mbarara-Ibanda-24hr'!E63,'28.10 Mbarara-Ibanda-24hr'!E63)</f>
        <v>0</v>
      </c>
      <c r="F63" s="49">
        <f>AVERAGE('26.10 Mbarara-Ibanda-24hr'!F63,'28.10 Mbarara-Ibanda-24hr'!F63)</f>
        <v>0</v>
      </c>
      <c r="G63" s="49">
        <f>AVERAGE('26.10 Mbarara-Ibanda-24hr'!G63,'28.10 Mbarara-Ibanda-24hr'!G63)</f>
        <v>0</v>
      </c>
      <c r="H63" s="49">
        <f>AVERAGE('26.10 Mbarara-Ibanda-24hr'!H63,'28.10 Mbarara-Ibanda-24hr'!H63)</f>
        <v>0</v>
      </c>
      <c r="I63" s="49">
        <f>AVERAGE('26.10 Mbarara-Ibanda-24hr'!I63,'28.10 Mbarara-Ibanda-24hr'!I63)</f>
        <v>2</v>
      </c>
      <c r="J63" s="49">
        <f>AVERAGE('26.10 Mbarara-Ibanda-24hr'!J63,'28.10 Mbarara-Ibanda-24hr'!J63)</f>
        <v>0.5</v>
      </c>
      <c r="K63" s="49">
        <f>AVERAGE('26.10 Mbarara-Ibanda-24hr'!K63,'28.10 Mbarara-Ibanda-24hr'!K63)</f>
        <v>0</v>
      </c>
      <c r="L63" s="49">
        <f>AVERAGE('26.10 Mbarara-Ibanda-24hr'!L63,'28.10 Mbarara-Ibanda-24hr'!L63)</f>
        <v>0</v>
      </c>
      <c r="M63" s="49">
        <f>AVERAGE('26.10 Mbarara-Ibanda-24hr'!M63,'28.10 Mbarara-Ibanda-24hr'!M63)</f>
        <v>4</v>
      </c>
      <c r="N63" s="49">
        <f>AVERAGE('26.10 Mbarara-Ibanda-24hr'!N63,'28.10 Mbarara-Ibanda-24hr'!N63)</f>
        <v>0</v>
      </c>
      <c r="O63" s="15">
        <f t="shared" si="0"/>
        <v>8.5</v>
      </c>
      <c r="P63" s="15">
        <f t="shared" si="1"/>
        <v>12.5</v>
      </c>
      <c r="R63" s="8"/>
      <c r="T63"/>
    </row>
    <row r="64" spans="2:20" ht="23.1" customHeight="1" x14ac:dyDescent="0.25">
      <c r="B64" s="23" t="s">
        <v>109</v>
      </c>
      <c r="C64" s="49">
        <f>AVERAGE('26.10 Mbarara-Ibanda-24hr'!C64,'28.10 Mbarara-Ibanda-24hr'!C64)</f>
        <v>6</v>
      </c>
      <c r="D64" s="49">
        <f>AVERAGE('26.10 Mbarara-Ibanda-24hr'!D64,'28.10 Mbarara-Ibanda-24hr'!D64)</f>
        <v>0</v>
      </c>
      <c r="E64" s="49">
        <f>AVERAGE('26.10 Mbarara-Ibanda-24hr'!E64,'28.10 Mbarara-Ibanda-24hr'!E64)</f>
        <v>1</v>
      </c>
      <c r="F64" s="49">
        <f>AVERAGE('26.10 Mbarara-Ibanda-24hr'!F64,'28.10 Mbarara-Ibanda-24hr'!F64)</f>
        <v>2.5</v>
      </c>
      <c r="G64" s="49">
        <f>AVERAGE('26.10 Mbarara-Ibanda-24hr'!G64,'28.10 Mbarara-Ibanda-24hr'!G64)</f>
        <v>0.5</v>
      </c>
      <c r="H64" s="49">
        <f>AVERAGE('26.10 Mbarara-Ibanda-24hr'!H64,'28.10 Mbarara-Ibanda-24hr'!H64)</f>
        <v>0</v>
      </c>
      <c r="I64" s="49">
        <f>AVERAGE('26.10 Mbarara-Ibanda-24hr'!I64,'28.10 Mbarara-Ibanda-24hr'!I64)</f>
        <v>1.5</v>
      </c>
      <c r="J64" s="49">
        <f>AVERAGE('26.10 Mbarara-Ibanda-24hr'!J64,'28.10 Mbarara-Ibanda-24hr'!J64)</f>
        <v>1.5</v>
      </c>
      <c r="K64" s="49">
        <f>AVERAGE('26.10 Mbarara-Ibanda-24hr'!K64,'28.10 Mbarara-Ibanda-24hr'!K64)</f>
        <v>0</v>
      </c>
      <c r="L64" s="49">
        <f>AVERAGE('26.10 Mbarara-Ibanda-24hr'!L64,'28.10 Mbarara-Ibanda-24hr'!L64)</f>
        <v>0</v>
      </c>
      <c r="M64" s="49">
        <f>AVERAGE('26.10 Mbarara-Ibanda-24hr'!M64,'28.10 Mbarara-Ibanda-24hr'!M64)</f>
        <v>5</v>
      </c>
      <c r="N64" s="49">
        <f>AVERAGE('26.10 Mbarara-Ibanda-24hr'!N64,'28.10 Mbarara-Ibanda-24hr'!N64)</f>
        <v>0</v>
      </c>
      <c r="O64" s="15">
        <f t="shared" si="0"/>
        <v>13</v>
      </c>
      <c r="P64" s="15">
        <f t="shared" si="1"/>
        <v>18</v>
      </c>
      <c r="R64" s="8"/>
      <c r="T64"/>
    </row>
    <row r="65" spans="2:20" ht="23.1" customHeight="1" x14ac:dyDescent="0.25">
      <c r="B65" s="23" t="s">
        <v>158</v>
      </c>
      <c r="C65" s="49">
        <f>AVERAGE('26.10 Mbarara-Ibanda-24hr'!C65,'28.10 Mbarara-Ibanda-24hr'!C65)</f>
        <v>6</v>
      </c>
      <c r="D65" s="49">
        <f>AVERAGE('26.10 Mbarara-Ibanda-24hr'!D65,'28.10 Mbarara-Ibanda-24hr'!D65)</f>
        <v>1</v>
      </c>
      <c r="E65" s="49">
        <f>AVERAGE('26.10 Mbarara-Ibanda-24hr'!E65,'28.10 Mbarara-Ibanda-24hr'!E65)</f>
        <v>0</v>
      </c>
      <c r="F65" s="49">
        <f>AVERAGE('26.10 Mbarara-Ibanda-24hr'!F65,'28.10 Mbarara-Ibanda-24hr'!F65)</f>
        <v>1.5</v>
      </c>
      <c r="G65" s="49">
        <f>AVERAGE('26.10 Mbarara-Ibanda-24hr'!G65,'28.10 Mbarara-Ibanda-24hr'!G65)</f>
        <v>0</v>
      </c>
      <c r="H65" s="49">
        <f>AVERAGE('26.10 Mbarara-Ibanda-24hr'!H65,'28.10 Mbarara-Ibanda-24hr'!H65)</f>
        <v>0</v>
      </c>
      <c r="I65" s="49">
        <f>AVERAGE('26.10 Mbarara-Ibanda-24hr'!I65,'28.10 Mbarara-Ibanda-24hr'!I65)</f>
        <v>1</v>
      </c>
      <c r="J65" s="49">
        <f>AVERAGE('26.10 Mbarara-Ibanda-24hr'!J65,'28.10 Mbarara-Ibanda-24hr'!J65)</f>
        <v>0</v>
      </c>
      <c r="K65" s="49">
        <f>AVERAGE('26.10 Mbarara-Ibanda-24hr'!K65,'28.10 Mbarara-Ibanda-24hr'!K65)</f>
        <v>0</v>
      </c>
      <c r="L65" s="49">
        <f>AVERAGE('26.10 Mbarara-Ibanda-24hr'!L65,'28.10 Mbarara-Ibanda-24hr'!L65)</f>
        <v>0</v>
      </c>
      <c r="M65" s="49">
        <f>AVERAGE('26.10 Mbarara-Ibanda-24hr'!M65,'28.10 Mbarara-Ibanda-24hr'!M65)</f>
        <v>6</v>
      </c>
      <c r="N65" s="49">
        <f>AVERAGE('26.10 Mbarara-Ibanda-24hr'!N65,'28.10 Mbarara-Ibanda-24hr'!N65)</f>
        <v>0</v>
      </c>
      <c r="O65" s="15">
        <f t="shared" si="0"/>
        <v>9.5</v>
      </c>
      <c r="P65" s="15">
        <f t="shared" si="1"/>
        <v>15.5</v>
      </c>
      <c r="R65" s="8"/>
      <c r="T65"/>
    </row>
    <row r="66" spans="2:20" ht="23.1" customHeight="1" x14ac:dyDescent="0.25">
      <c r="B66" s="23" t="s">
        <v>103</v>
      </c>
      <c r="C66" s="49">
        <f>AVERAGE('26.10 Mbarara-Ibanda-24hr'!C66,'28.10 Mbarara-Ibanda-24hr'!C66)</f>
        <v>3.5</v>
      </c>
      <c r="D66" s="49">
        <f>AVERAGE('26.10 Mbarara-Ibanda-24hr'!D66,'28.10 Mbarara-Ibanda-24hr'!D66)</f>
        <v>0</v>
      </c>
      <c r="E66" s="49">
        <f>AVERAGE('26.10 Mbarara-Ibanda-24hr'!E66,'28.10 Mbarara-Ibanda-24hr'!E66)</f>
        <v>1</v>
      </c>
      <c r="F66" s="49">
        <f>AVERAGE('26.10 Mbarara-Ibanda-24hr'!F66,'28.10 Mbarara-Ibanda-24hr'!F66)</f>
        <v>0.5</v>
      </c>
      <c r="G66" s="49">
        <f>AVERAGE('26.10 Mbarara-Ibanda-24hr'!G66,'28.10 Mbarara-Ibanda-24hr'!G66)</f>
        <v>0</v>
      </c>
      <c r="H66" s="49">
        <f>AVERAGE('26.10 Mbarara-Ibanda-24hr'!H66,'28.10 Mbarara-Ibanda-24hr'!H66)</f>
        <v>0</v>
      </c>
      <c r="I66" s="49">
        <f>AVERAGE('26.10 Mbarara-Ibanda-24hr'!I66,'28.10 Mbarara-Ibanda-24hr'!I66)</f>
        <v>0</v>
      </c>
      <c r="J66" s="49">
        <f>AVERAGE('26.10 Mbarara-Ibanda-24hr'!J66,'28.10 Mbarara-Ibanda-24hr'!J66)</f>
        <v>1</v>
      </c>
      <c r="K66" s="49">
        <f>AVERAGE('26.10 Mbarara-Ibanda-24hr'!K66,'28.10 Mbarara-Ibanda-24hr'!K66)</f>
        <v>0.5</v>
      </c>
      <c r="L66" s="49">
        <f>AVERAGE('26.10 Mbarara-Ibanda-24hr'!L66,'28.10 Mbarara-Ibanda-24hr'!L66)</f>
        <v>0</v>
      </c>
      <c r="M66" s="49">
        <f>AVERAGE('26.10 Mbarara-Ibanda-24hr'!M66,'28.10 Mbarara-Ibanda-24hr'!M66)</f>
        <v>3.5</v>
      </c>
      <c r="N66" s="49">
        <f>AVERAGE('26.10 Mbarara-Ibanda-24hr'!N66,'28.10 Mbarara-Ibanda-24hr'!N66)</f>
        <v>0</v>
      </c>
      <c r="O66" s="15">
        <f t="shared" si="0"/>
        <v>6.5</v>
      </c>
      <c r="P66" s="15">
        <f t="shared" si="1"/>
        <v>10</v>
      </c>
      <c r="R66" s="8"/>
      <c r="T66"/>
    </row>
    <row r="67" spans="2:20" ht="23.1" customHeight="1" x14ac:dyDescent="0.25">
      <c r="B67" s="23" t="s">
        <v>104</v>
      </c>
      <c r="C67" s="49">
        <f>AVERAGE('26.10 Mbarara-Ibanda-24hr'!C67,'28.10 Mbarara-Ibanda-24hr'!C67)</f>
        <v>7</v>
      </c>
      <c r="D67" s="49">
        <f>AVERAGE('26.10 Mbarara-Ibanda-24hr'!D67,'28.10 Mbarara-Ibanda-24hr'!D67)</f>
        <v>0.5</v>
      </c>
      <c r="E67" s="49">
        <f>AVERAGE('26.10 Mbarara-Ibanda-24hr'!E67,'28.10 Mbarara-Ibanda-24hr'!E67)</f>
        <v>0</v>
      </c>
      <c r="F67" s="49">
        <f>AVERAGE('26.10 Mbarara-Ibanda-24hr'!F67,'28.10 Mbarara-Ibanda-24hr'!F67)</f>
        <v>0.5</v>
      </c>
      <c r="G67" s="49">
        <f>AVERAGE('26.10 Mbarara-Ibanda-24hr'!G67,'28.10 Mbarara-Ibanda-24hr'!G67)</f>
        <v>0</v>
      </c>
      <c r="H67" s="49">
        <f>AVERAGE('26.10 Mbarara-Ibanda-24hr'!H67,'28.10 Mbarara-Ibanda-24hr'!H67)</f>
        <v>0</v>
      </c>
      <c r="I67" s="49">
        <f>AVERAGE('26.10 Mbarara-Ibanda-24hr'!I67,'28.10 Mbarara-Ibanda-24hr'!I67)</f>
        <v>0</v>
      </c>
      <c r="J67" s="49">
        <f>AVERAGE('26.10 Mbarara-Ibanda-24hr'!J67,'28.10 Mbarara-Ibanda-24hr'!J67)</f>
        <v>0</v>
      </c>
      <c r="K67" s="49">
        <f>AVERAGE('26.10 Mbarara-Ibanda-24hr'!K67,'28.10 Mbarara-Ibanda-24hr'!K67)</f>
        <v>0</v>
      </c>
      <c r="L67" s="49">
        <f>AVERAGE('26.10 Mbarara-Ibanda-24hr'!L67,'28.10 Mbarara-Ibanda-24hr'!L67)</f>
        <v>1</v>
      </c>
      <c r="M67" s="49">
        <f>AVERAGE('26.10 Mbarara-Ibanda-24hr'!M67,'28.10 Mbarara-Ibanda-24hr'!M67)</f>
        <v>5.5</v>
      </c>
      <c r="N67" s="49">
        <f>AVERAGE('26.10 Mbarara-Ibanda-24hr'!N67,'28.10 Mbarara-Ibanda-24hr'!N67)</f>
        <v>0</v>
      </c>
      <c r="O67" s="15">
        <f t="shared" si="0"/>
        <v>9</v>
      </c>
      <c r="P67" s="15">
        <f t="shared" si="1"/>
        <v>14.5</v>
      </c>
      <c r="R67" s="8"/>
      <c r="T67"/>
    </row>
    <row r="68" spans="2:20" ht="23.1" customHeight="1" x14ac:dyDescent="0.25">
      <c r="B68" s="23" t="s">
        <v>105</v>
      </c>
      <c r="C68" s="49">
        <f>AVERAGE('26.10 Mbarara-Ibanda-24hr'!C68,'28.10 Mbarara-Ibanda-24hr'!C68)</f>
        <v>4.5</v>
      </c>
      <c r="D68" s="49">
        <f>AVERAGE('26.10 Mbarara-Ibanda-24hr'!D68,'28.10 Mbarara-Ibanda-24hr'!D68)</f>
        <v>0.5</v>
      </c>
      <c r="E68" s="49">
        <f>AVERAGE('26.10 Mbarara-Ibanda-24hr'!E68,'28.10 Mbarara-Ibanda-24hr'!E68)</f>
        <v>0</v>
      </c>
      <c r="F68" s="49">
        <f>AVERAGE('26.10 Mbarara-Ibanda-24hr'!F68,'28.10 Mbarara-Ibanda-24hr'!F68)</f>
        <v>0</v>
      </c>
      <c r="G68" s="49">
        <f>AVERAGE('26.10 Mbarara-Ibanda-24hr'!G68,'28.10 Mbarara-Ibanda-24hr'!G68)</f>
        <v>0.5</v>
      </c>
      <c r="H68" s="49">
        <f>AVERAGE('26.10 Mbarara-Ibanda-24hr'!H68,'28.10 Mbarara-Ibanda-24hr'!H68)</f>
        <v>0</v>
      </c>
      <c r="I68" s="49">
        <f>AVERAGE('26.10 Mbarara-Ibanda-24hr'!I68,'28.10 Mbarara-Ibanda-24hr'!I68)</f>
        <v>1</v>
      </c>
      <c r="J68" s="49">
        <f>AVERAGE('26.10 Mbarara-Ibanda-24hr'!J68,'28.10 Mbarara-Ibanda-24hr'!J68)</f>
        <v>0</v>
      </c>
      <c r="K68" s="49">
        <f>AVERAGE('26.10 Mbarara-Ibanda-24hr'!K68,'28.10 Mbarara-Ibanda-24hr'!K68)</f>
        <v>0.5</v>
      </c>
      <c r="L68" s="49">
        <f>AVERAGE('26.10 Mbarara-Ibanda-24hr'!L68,'28.10 Mbarara-Ibanda-24hr'!L68)</f>
        <v>0</v>
      </c>
      <c r="M68" s="49">
        <f>AVERAGE('26.10 Mbarara-Ibanda-24hr'!M68,'28.10 Mbarara-Ibanda-24hr'!M68)</f>
        <v>2.5</v>
      </c>
      <c r="N68" s="49">
        <f>AVERAGE('26.10 Mbarara-Ibanda-24hr'!N68,'28.10 Mbarara-Ibanda-24hr'!N68)</f>
        <v>0</v>
      </c>
      <c r="O68" s="15">
        <f t="shared" si="0"/>
        <v>7</v>
      </c>
      <c r="P68" s="15">
        <f t="shared" si="1"/>
        <v>9.5</v>
      </c>
      <c r="R68" s="8"/>
      <c r="T68"/>
    </row>
    <row r="69" spans="2:20" ht="23.1" customHeight="1" x14ac:dyDescent="0.25">
      <c r="B69" s="23" t="s">
        <v>106</v>
      </c>
      <c r="C69" s="49">
        <f>AVERAGE('26.10 Mbarara-Ibanda-24hr'!C69,'28.10 Mbarara-Ibanda-24hr'!C69)</f>
        <v>2</v>
      </c>
      <c r="D69" s="49">
        <f>AVERAGE('26.10 Mbarara-Ibanda-24hr'!D69,'28.10 Mbarara-Ibanda-24hr'!D69)</f>
        <v>1.5</v>
      </c>
      <c r="E69" s="49">
        <f>AVERAGE('26.10 Mbarara-Ibanda-24hr'!E69,'28.10 Mbarara-Ibanda-24hr'!E69)</f>
        <v>0</v>
      </c>
      <c r="F69" s="49">
        <f>AVERAGE('26.10 Mbarara-Ibanda-24hr'!F69,'28.10 Mbarara-Ibanda-24hr'!F69)</f>
        <v>0.5</v>
      </c>
      <c r="G69" s="49">
        <f>AVERAGE('26.10 Mbarara-Ibanda-24hr'!G69,'28.10 Mbarara-Ibanda-24hr'!G69)</f>
        <v>0</v>
      </c>
      <c r="H69" s="49">
        <f>AVERAGE('26.10 Mbarara-Ibanda-24hr'!H69,'28.10 Mbarara-Ibanda-24hr'!H69)</f>
        <v>0.5</v>
      </c>
      <c r="I69" s="49">
        <f>AVERAGE('26.10 Mbarara-Ibanda-24hr'!I69,'28.10 Mbarara-Ibanda-24hr'!I69)</f>
        <v>0.5</v>
      </c>
      <c r="J69" s="49">
        <f>AVERAGE('26.10 Mbarara-Ibanda-24hr'!J69,'28.10 Mbarara-Ibanda-24hr'!J69)</f>
        <v>0</v>
      </c>
      <c r="K69" s="49">
        <f>AVERAGE('26.10 Mbarara-Ibanda-24hr'!K69,'28.10 Mbarara-Ibanda-24hr'!K69)</f>
        <v>0.5</v>
      </c>
      <c r="L69" s="49">
        <f>AVERAGE('26.10 Mbarara-Ibanda-24hr'!L69,'28.10 Mbarara-Ibanda-24hr'!L69)</f>
        <v>0</v>
      </c>
      <c r="M69" s="49">
        <f>AVERAGE('26.10 Mbarara-Ibanda-24hr'!M69,'28.10 Mbarara-Ibanda-24hr'!M69)</f>
        <v>1</v>
      </c>
      <c r="N69" s="49">
        <f>AVERAGE('26.10 Mbarara-Ibanda-24hr'!N69,'28.10 Mbarara-Ibanda-24hr'!N69)</f>
        <v>0</v>
      </c>
      <c r="O69" s="15">
        <f t="shared" si="0"/>
        <v>5.5</v>
      </c>
      <c r="P69" s="15">
        <f t="shared" si="1"/>
        <v>6.5</v>
      </c>
      <c r="R69" s="8"/>
      <c r="T69"/>
    </row>
    <row r="70" spans="2:20" ht="23.1" customHeight="1" x14ac:dyDescent="0.25">
      <c r="B70" s="23" t="s">
        <v>110</v>
      </c>
      <c r="C70" s="49">
        <f>AVERAGE('26.10 Mbarara-Ibanda-24hr'!C70,'28.10 Mbarara-Ibanda-24hr'!C70)</f>
        <v>3</v>
      </c>
      <c r="D70" s="49">
        <f>AVERAGE('26.10 Mbarara-Ibanda-24hr'!D70,'28.10 Mbarara-Ibanda-24hr'!D70)</f>
        <v>0.5</v>
      </c>
      <c r="E70" s="49">
        <f>AVERAGE('26.10 Mbarara-Ibanda-24hr'!E70,'28.10 Mbarara-Ibanda-24hr'!E70)</f>
        <v>0.5</v>
      </c>
      <c r="F70" s="49">
        <f>AVERAGE('26.10 Mbarara-Ibanda-24hr'!F70,'28.10 Mbarara-Ibanda-24hr'!F70)</f>
        <v>0</v>
      </c>
      <c r="G70" s="49">
        <f>AVERAGE('26.10 Mbarara-Ibanda-24hr'!G70,'28.10 Mbarara-Ibanda-24hr'!G70)</f>
        <v>0</v>
      </c>
      <c r="H70" s="49">
        <f>AVERAGE('26.10 Mbarara-Ibanda-24hr'!H70,'28.10 Mbarara-Ibanda-24hr'!H70)</f>
        <v>0</v>
      </c>
      <c r="I70" s="49">
        <f>AVERAGE('26.10 Mbarara-Ibanda-24hr'!I70,'28.10 Mbarara-Ibanda-24hr'!I70)</f>
        <v>0</v>
      </c>
      <c r="J70" s="49">
        <f>AVERAGE('26.10 Mbarara-Ibanda-24hr'!J70,'28.10 Mbarara-Ibanda-24hr'!J70)</f>
        <v>0</v>
      </c>
      <c r="K70" s="49">
        <f>AVERAGE('26.10 Mbarara-Ibanda-24hr'!K70,'28.10 Mbarara-Ibanda-24hr'!K70)</f>
        <v>0.5</v>
      </c>
      <c r="L70" s="49">
        <f>AVERAGE('26.10 Mbarara-Ibanda-24hr'!L70,'28.10 Mbarara-Ibanda-24hr'!L70)</f>
        <v>0</v>
      </c>
      <c r="M70" s="49">
        <f>AVERAGE('26.10 Mbarara-Ibanda-24hr'!M70,'28.10 Mbarara-Ibanda-24hr'!M70)</f>
        <v>1</v>
      </c>
      <c r="N70" s="49">
        <f>AVERAGE('26.10 Mbarara-Ibanda-24hr'!N70,'28.10 Mbarara-Ibanda-24hr'!N70)</f>
        <v>0</v>
      </c>
      <c r="O70" s="15">
        <f t="shared" si="0"/>
        <v>4.5</v>
      </c>
      <c r="P70" s="15">
        <f t="shared" si="1"/>
        <v>5.5</v>
      </c>
      <c r="R70" s="8"/>
      <c r="T70"/>
    </row>
    <row r="71" spans="2:20" ht="23.1" customHeight="1" x14ac:dyDescent="0.25">
      <c r="B71" s="23" t="s">
        <v>111</v>
      </c>
      <c r="C71" s="49">
        <f>AVERAGE('26.10 Mbarara-Ibanda-24hr'!C71,'28.10 Mbarara-Ibanda-24hr'!C71)</f>
        <v>2</v>
      </c>
      <c r="D71" s="49">
        <f>AVERAGE('26.10 Mbarara-Ibanda-24hr'!D71,'28.10 Mbarara-Ibanda-24hr'!D71)</f>
        <v>1</v>
      </c>
      <c r="E71" s="49">
        <f>AVERAGE('26.10 Mbarara-Ibanda-24hr'!E71,'28.10 Mbarara-Ibanda-24hr'!E71)</f>
        <v>0</v>
      </c>
      <c r="F71" s="49">
        <f>AVERAGE('26.10 Mbarara-Ibanda-24hr'!F71,'28.10 Mbarara-Ibanda-24hr'!F71)</f>
        <v>0</v>
      </c>
      <c r="G71" s="49">
        <f>AVERAGE('26.10 Mbarara-Ibanda-24hr'!G71,'28.10 Mbarara-Ibanda-24hr'!G71)</f>
        <v>0</v>
      </c>
      <c r="H71" s="49">
        <f>AVERAGE('26.10 Mbarara-Ibanda-24hr'!H71,'28.10 Mbarara-Ibanda-24hr'!H71)</f>
        <v>0</v>
      </c>
      <c r="I71" s="49">
        <f>AVERAGE('26.10 Mbarara-Ibanda-24hr'!I71,'28.10 Mbarara-Ibanda-24hr'!I71)</f>
        <v>0</v>
      </c>
      <c r="J71" s="49">
        <f>AVERAGE('26.10 Mbarara-Ibanda-24hr'!J71,'28.10 Mbarara-Ibanda-24hr'!J71)</f>
        <v>0</v>
      </c>
      <c r="K71" s="49">
        <f>AVERAGE('26.10 Mbarara-Ibanda-24hr'!K71,'28.10 Mbarara-Ibanda-24hr'!K71)</f>
        <v>0</v>
      </c>
      <c r="L71" s="49">
        <f>AVERAGE('26.10 Mbarara-Ibanda-24hr'!L71,'28.10 Mbarara-Ibanda-24hr'!L71)</f>
        <v>0</v>
      </c>
      <c r="M71" s="49">
        <f>AVERAGE('26.10 Mbarara-Ibanda-24hr'!M71,'28.10 Mbarara-Ibanda-24hr'!M71)</f>
        <v>2.5</v>
      </c>
      <c r="N71" s="49">
        <f>AVERAGE('26.10 Mbarara-Ibanda-24hr'!N71,'28.10 Mbarara-Ibanda-24hr'!N71)</f>
        <v>0</v>
      </c>
      <c r="O71" s="15">
        <f t="shared" si="0"/>
        <v>3</v>
      </c>
      <c r="P71" s="15">
        <f t="shared" si="1"/>
        <v>5.5</v>
      </c>
      <c r="R71" s="8"/>
      <c r="T71"/>
    </row>
    <row r="72" spans="2:20" ht="23.1" customHeight="1" x14ac:dyDescent="0.25">
      <c r="B72" s="23" t="s">
        <v>112</v>
      </c>
      <c r="C72" s="49">
        <f>AVERAGE('26.10 Mbarara-Ibanda-24hr'!C72,'28.10 Mbarara-Ibanda-24hr'!C72)</f>
        <v>1.5</v>
      </c>
      <c r="D72" s="49">
        <f>AVERAGE('26.10 Mbarara-Ibanda-24hr'!D72,'28.10 Mbarara-Ibanda-24hr'!D72)</f>
        <v>0</v>
      </c>
      <c r="E72" s="49">
        <f>AVERAGE('26.10 Mbarara-Ibanda-24hr'!E72,'28.10 Mbarara-Ibanda-24hr'!E72)</f>
        <v>1.5</v>
      </c>
      <c r="F72" s="49">
        <f>AVERAGE('26.10 Mbarara-Ibanda-24hr'!F72,'28.10 Mbarara-Ibanda-24hr'!F72)</f>
        <v>0</v>
      </c>
      <c r="G72" s="49">
        <f>AVERAGE('26.10 Mbarara-Ibanda-24hr'!G72,'28.10 Mbarara-Ibanda-24hr'!G72)</f>
        <v>0</v>
      </c>
      <c r="H72" s="49">
        <f>AVERAGE('26.10 Mbarara-Ibanda-24hr'!H72,'28.10 Mbarara-Ibanda-24hr'!H72)</f>
        <v>0</v>
      </c>
      <c r="I72" s="49">
        <f>AVERAGE('26.10 Mbarara-Ibanda-24hr'!I72,'28.10 Mbarara-Ibanda-24hr'!I72)</f>
        <v>1</v>
      </c>
      <c r="J72" s="49">
        <f>AVERAGE('26.10 Mbarara-Ibanda-24hr'!J72,'28.10 Mbarara-Ibanda-24hr'!J72)</f>
        <v>0</v>
      </c>
      <c r="K72" s="49">
        <f>AVERAGE('26.10 Mbarara-Ibanda-24hr'!K72,'28.10 Mbarara-Ibanda-24hr'!K72)</f>
        <v>0</v>
      </c>
      <c r="L72" s="49">
        <f>AVERAGE('26.10 Mbarara-Ibanda-24hr'!L72,'28.10 Mbarara-Ibanda-24hr'!L72)</f>
        <v>0</v>
      </c>
      <c r="M72" s="49">
        <f>AVERAGE('26.10 Mbarara-Ibanda-24hr'!M72,'28.10 Mbarara-Ibanda-24hr'!M72)</f>
        <v>1</v>
      </c>
      <c r="N72" s="49">
        <f>AVERAGE('26.10 Mbarara-Ibanda-24hr'!N72,'28.10 Mbarara-Ibanda-24hr'!N72)</f>
        <v>0</v>
      </c>
      <c r="O72" s="15">
        <f t="shared" si="0"/>
        <v>4</v>
      </c>
      <c r="P72" s="15">
        <f t="shared" si="1"/>
        <v>5</v>
      </c>
      <c r="R72" s="8"/>
      <c r="T72"/>
    </row>
    <row r="73" spans="2:20" ht="23.1" customHeight="1" x14ac:dyDescent="0.25">
      <c r="B73" s="23" t="s">
        <v>113</v>
      </c>
      <c r="C73" s="49">
        <f>AVERAGE('26.10 Mbarara-Ibanda-24hr'!C73,'28.10 Mbarara-Ibanda-24hr'!C73)</f>
        <v>2.5</v>
      </c>
      <c r="D73" s="49">
        <f>AVERAGE('26.10 Mbarara-Ibanda-24hr'!D73,'28.10 Mbarara-Ibanda-24hr'!D73)</f>
        <v>0.5</v>
      </c>
      <c r="E73" s="49">
        <f>AVERAGE('26.10 Mbarara-Ibanda-24hr'!E73,'28.10 Mbarara-Ibanda-24hr'!E73)</f>
        <v>0</v>
      </c>
      <c r="F73" s="49">
        <f>AVERAGE('26.10 Mbarara-Ibanda-24hr'!F73,'28.10 Mbarara-Ibanda-24hr'!F73)</f>
        <v>0.5</v>
      </c>
      <c r="G73" s="49">
        <f>AVERAGE('26.10 Mbarara-Ibanda-24hr'!G73,'28.10 Mbarara-Ibanda-24hr'!G73)</f>
        <v>0</v>
      </c>
      <c r="H73" s="49">
        <f>AVERAGE('26.10 Mbarara-Ibanda-24hr'!H73,'28.10 Mbarara-Ibanda-24hr'!H73)</f>
        <v>0</v>
      </c>
      <c r="I73" s="49">
        <f>AVERAGE('26.10 Mbarara-Ibanda-24hr'!I73,'28.10 Mbarara-Ibanda-24hr'!I73)</f>
        <v>0</v>
      </c>
      <c r="J73" s="49">
        <f>AVERAGE('26.10 Mbarara-Ibanda-24hr'!J73,'28.10 Mbarara-Ibanda-24hr'!J73)</f>
        <v>0</v>
      </c>
      <c r="K73" s="49">
        <f>AVERAGE('26.10 Mbarara-Ibanda-24hr'!K73,'28.10 Mbarara-Ibanda-24hr'!K73)</f>
        <v>0.5</v>
      </c>
      <c r="L73" s="49">
        <f>AVERAGE('26.10 Mbarara-Ibanda-24hr'!L73,'28.10 Mbarara-Ibanda-24hr'!L73)</f>
        <v>0</v>
      </c>
      <c r="M73" s="49">
        <f>AVERAGE('26.10 Mbarara-Ibanda-24hr'!M73,'28.10 Mbarara-Ibanda-24hr'!M73)</f>
        <v>2.5</v>
      </c>
      <c r="N73" s="49">
        <f>AVERAGE('26.10 Mbarara-Ibanda-24hr'!N73,'28.10 Mbarara-Ibanda-24hr'!N73)</f>
        <v>0</v>
      </c>
      <c r="O73" s="15">
        <f t="shared" si="0"/>
        <v>4</v>
      </c>
      <c r="P73" s="15">
        <f t="shared" si="1"/>
        <v>6.5</v>
      </c>
      <c r="R73" s="8"/>
      <c r="T73"/>
    </row>
    <row r="74" spans="2:20" ht="23.1" customHeight="1" x14ac:dyDescent="0.25">
      <c r="B74" s="23" t="s">
        <v>114</v>
      </c>
      <c r="C74" s="49">
        <f>AVERAGE('26.10 Mbarara-Ibanda-24hr'!C74,'28.10 Mbarara-Ibanda-24hr'!C74)</f>
        <v>1.5</v>
      </c>
      <c r="D74" s="49">
        <f>AVERAGE('26.10 Mbarara-Ibanda-24hr'!D74,'28.10 Mbarara-Ibanda-24hr'!D74)</f>
        <v>0</v>
      </c>
      <c r="E74" s="49">
        <f>AVERAGE('26.10 Mbarara-Ibanda-24hr'!E74,'28.10 Mbarara-Ibanda-24hr'!E74)</f>
        <v>0</v>
      </c>
      <c r="F74" s="49">
        <f>AVERAGE('26.10 Mbarara-Ibanda-24hr'!F74,'28.10 Mbarara-Ibanda-24hr'!F74)</f>
        <v>0</v>
      </c>
      <c r="G74" s="49">
        <f>AVERAGE('26.10 Mbarara-Ibanda-24hr'!G74,'28.10 Mbarara-Ibanda-24hr'!G74)</f>
        <v>0</v>
      </c>
      <c r="H74" s="49">
        <f>AVERAGE('26.10 Mbarara-Ibanda-24hr'!H74,'28.10 Mbarara-Ibanda-24hr'!H74)</f>
        <v>0</v>
      </c>
      <c r="I74" s="49">
        <f>AVERAGE('26.10 Mbarara-Ibanda-24hr'!I74,'28.10 Mbarara-Ibanda-24hr'!I74)</f>
        <v>0</v>
      </c>
      <c r="J74" s="49">
        <f>AVERAGE('26.10 Mbarara-Ibanda-24hr'!J74,'28.10 Mbarara-Ibanda-24hr'!J74)</f>
        <v>0</v>
      </c>
      <c r="K74" s="49">
        <f>AVERAGE('26.10 Mbarara-Ibanda-24hr'!K74,'28.10 Mbarara-Ibanda-24hr'!K74)</f>
        <v>0.5</v>
      </c>
      <c r="L74" s="49">
        <f>AVERAGE('26.10 Mbarara-Ibanda-24hr'!L74,'28.10 Mbarara-Ibanda-24hr'!L74)</f>
        <v>0</v>
      </c>
      <c r="M74" s="49">
        <f>AVERAGE('26.10 Mbarara-Ibanda-24hr'!M74,'28.10 Mbarara-Ibanda-24hr'!M74)</f>
        <v>0</v>
      </c>
      <c r="N74" s="49">
        <f>AVERAGE('26.10 Mbarara-Ibanda-24hr'!N74,'28.10 Mbarara-Ibanda-24hr'!N74)</f>
        <v>0</v>
      </c>
      <c r="O74" s="15">
        <f t="shared" ref="O74:O105" si="35">SUM(C74:L74,N74)</f>
        <v>2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23" t="s">
        <v>115</v>
      </c>
      <c r="C75" s="49">
        <f>AVERAGE('26.10 Mbarara-Ibanda-24hr'!C75,'28.10 Mbarara-Ibanda-24hr'!C75)</f>
        <v>2</v>
      </c>
      <c r="D75" s="49">
        <f>AVERAGE('26.10 Mbarara-Ibanda-24hr'!D75,'28.10 Mbarara-Ibanda-24hr'!D75)</f>
        <v>0</v>
      </c>
      <c r="E75" s="49">
        <f>AVERAGE('26.10 Mbarara-Ibanda-24hr'!E75,'28.10 Mbarara-Ibanda-24hr'!E75)</f>
        <v>0.5</v>
      </c>
      <c r="F75" s="49">
        <f>AVERAGE('26.10 Mbarara-Ibanda-24hr'!F75,'28.10 Mbarara-Ibanda-24hr'!F75)</f>
        <v>1</v>
      </c>
      <c r="G75" s="49">
        <f>AVERAGE('26.10 Mbarara-Ibanda-24hr'!G75,'28.10 Mbarara-Ibanda-24hr'!G75)</f>
        <v>0</v>
      </c>
      <c r="H75" s="49">
        <f>AVERAGE('26.10 Mbarara-Ibanda-24hr'!H75,'28.10 Mbarara-Ibanda-24hr'!H75)</f>
        <v>0</v>
      </c>
      <c r="I75" s="49">
        <f>AVERAGE('26.10 Mbarara-Ibanda-24hr'!I75,'28.10 Mbarara-Ibanda-24hr'!I75)</f>
        <v>0</v>
      </c>
      <c r="J75" s="49">
        <f>AVERAGE('26.10 Mbarara-Ibanda-24hr'!J75,'28.10 Mbarara-Ibanda-24hr'!J75)</f>
        <v>0</v>
      </c>
      <c r="K75" s="49">
        <f>AVERAGE('26.10 Mbarara-Ibanda-24hr'!K75,'28.10 Mbarara-Ibanda-24hr'!K75)</f>
        <v>0</v>
      </c>
      <c r="L75" s="49">
        <f>AVERAGE('26.10 Mbarara-Ibanda-24hr'!L75,'28.10 Mbarara-Ibanda-24hr'!L75)</f>
        <v>0</v>
      </c>
      <c r="M75" s="49">
        <f>AVERAGE('26.10 Mbarara-Ibanda-24hr'!M75,'28.10 Mbarara-Ibanda-24hr'!M75)</f>
        <v>2</v>
      </c>
      <c r="N75" s="49">
        <f>AVERAGE('26.10 Mbarara-Ibanda-24hr'!N75,'28.10 Mbarara-Ibanda-24hr'!N75)</f>
        <v>0</v>
      </c>
      <c r="O75" s="15">
        <f t="shared" si="35"/>
        <v>3.5</v>
      </c>
      <c r="P75" s="15">
        <f t="shared" si="36"/>
        <v>5.5</v>
      </c>
      <c r="R75" s="8"/>
      <c r="T75"/>
    </row>
    <row r="76" spans="2:20" ht="23.1" customHeight="1" x14ac:dyDescent="0.25">
      <c r="B76" s="23" t="s">
        <v>116</v>
      </c>
      <c r="C76" s="49">
        <f>AVERAGE('26.10 Mbarara-Ibanda-24hr'!C76,'28.10 Mbarara-Ibanda-24hr'!C76)</f>
        <v>1</v>
      </c>
      <c r="D76" s="49">
        <f>AVERAGE('26.10 Mbarara-Ibanda-24hr'!D76,'28.10 Mbarara-Ibanda-24hr'!D76)</f>
        <v>0</v>
      </c>
      <c r="E76" s="49">
        <f>AVERAGE('26.10 Mbarara-Ibanda-24hr'!E76,'28.10 Mbarara-Ibanda-24hr'!E76)</f>
        <v>0</v>
      </c>
      <c r="F76" s="49">
        <f>AVERAGE('26.10 Mbarara-Ibanda-24hr'!F76,'28.10 Mbarara-Ibanda-24hr'!F76)</f>
        <v>0.5</v>
      </c>
      <c r="G76" s="49">
        <f>AVERAGE('26.10 Mbarara-Ibanda-24hr'!G76,'28.10 Mbarara-Ibanda-24hr'!G76)</f>
        <v>0</v>
      </c>
      <c r="H76" s="49">
        <f>AVERAGE('26.10 Mbarara-Ibanda-24hr'!H76,'28.10 Mbarara-Ibanda-24hr'!H76)</f>
        <v>0</v>
      </c>
      <c r="I76" s="49">
        <f>AVERAGE('26.10 Mbarara-Ibanda-24hr'!I76,'28.10 Mbarara-Ibanda-24hr'!I76)</f>
        <v>0.5</v>
      </c>
      <c r="J76" s="49">
        <f>AVERAGE('26.10 Mbarara-Ibanda-24hr'!J76,'28.10 Mbarara-Ibanda-24hr'!J76)</f>
        <v>0</v>
      </c>
      <c r="K76" s="49">
        <f>AVERAGE('26.10 Mbarara-Ibanda-24hr'!K76,'28.10 Mbarara-Ibanda-24hr'!K76)</f>
        <v>0</v>
      </c>
      <c r="L76" s="49">
        <f>AVERAGE('26.10 Mbarara-Ibanda-24hr'!L76,'28.10 Mbarara-Ibanda-24hr'!L76)</f>
        <v>0</v>
      </c>
      <c r="M76" s="49">
        <f>AVERAGE('26.10 Mbarara-Ibanda-24hr'!M76,'28.10 Mbarara-Ibanda-24hr'!M76)</f>
        <v>0.5</v>
      </c>
      <c r="N76" s="49">
        <f>AVERAGE('26.10 Mbarara-Ibanda-24hr'!N76,'28.10 Mbarara-Ibanda-24hr'!N76)</f>
        <v>0</v>
      </c>
      <c r="O76" s="15">
        <f t="shared" si="35"/>
        <v>2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AVERAGE('26.10 Mbarara-Ibanda-24hr'!C77,'28.10 Mbarara-Ibanda-24hr'!C77)</f>
        <v>0</v>
      </c>
      <c r="D77" s="49">
        <f>AVERAGE('26.10 Mbarara-Ibanda-24hr'!D77,'28.10 Mbarara-Ibanda-24hr'!D77)</f>
        <v>0.5</v>
      </c>
      <c r="E77" s="49">
        <f>AVERAGE('26.10 Mbarara-Ibanda-24hr'!E77,'28.10 Mbarara-Ibanda-24hr'!E77)</f>
        <v>0</v>
      </c>
      <c r="F77" s="49">
        <f>AVERAGE('26.10 Mbarara-Ibanda-24hr'!F77,'28.10 Mbarara-Ibanda-24hr'!F77)</f>
        <v>0</v>
      </c>
      <c r="G77" s="49">
        <f>AVERAGE('26.10 Mbarara-Ibanda-24hr'!G77,'28.10 Mbarara-Ibanda-24hr'!G77)</f>
        <v>0</v>
      </c>
      <c r="H77" s="49">
        <f>AVERAGE('26.10 Mbarara-Ibanda-24hr'!H77,'28.10 Mbarara-Ibanda-24hr'!H77)</f>
        <v>0</v>
      </c>
      <c r="I77" s="49">
        <f>AVERAGE('26.10 Mbarara-Ibanda-24hr'!I77,'28.10 Mbarara-Ibanda-24hr'!I77)</f>
        <v>0</v>
      </c>
      <c r="J77" s="49">
        <f>AVERAGE('26.10 Mbarara-Ibanda-24hr'!J77,'28.10 Mbarara-Ibanda-24hr'!J77)</f>
        <v>0</v>
      </c>
      <c r="K77" s="49">
        <f>AVERAGE('26.10 Mbarara-Ibanda-24hr'!K77,'28.10 Mbarara-Ibanda-24hr'!K77)</f>
        <v>0</v>
      </c>
      <c r="L77" s="49">
        <f>AVERAGE('26.10 Mbarara-Ibanda-24hr'!L77,'28.10 Mbarara-Ibanda-24hr'!L77)</f>
        <v>0</v>
      </c>
      <c r="M77" s="49">
        <f>AVERAGE('26.10 Mbarara-Ibanda-24hr'!M77,'28.10 Mbarara-Ibanda-24hr'!M77)</f>
        <v>0</v>
      </c>
      <c r="N77" s="49">
        <f>AVERAGE('26.10 Mbarara-Ibanda-24hr'!N77,'28.10 Mbarara-Ibanda-24hr'!N77)</f>
        <v>0</v>
      </c>
      <c r="O77" s="15">
        <f t="shared" si="35"/>
        <v>0.5</v>
      </c>
      <c r="P77" s="15">
        <f t="shared" si="36"/>
        <v>0.5</v>
      </c>
      <c r="R77" s="8"/>
      <c r="T77"/>
    </row>
    <row r="78" spans="2:20" ht="23.1" customHeight="1" x14ac:dyDescent="0.25">
      <c r="B78" s="24" t="s">
        <v>118</v>
      </c>
      <c r="C78" s="49">
        <f>AVERAGE('26.10 Mbarara-Ibanda-24hr'!C78,'28.10 Mbarara-Ibanda-24hr'!C78)</f>
        <v>0</v>
      </c>
      <c r="D78" s="49">
        <f>AVERAGE('26.10 Mbarara-Ibanda-24hr'!D78,'28.10 Mbarara-Ibanda-24hr'!D78)</f>
        <v>0</v>
      </c>
      <c r="E78" s="49">
        <f>AVERAGE('26.10 Mbarara-Ibanda-24hr'!E78,'28.10 Mbarara-Ibanda-24hr'!E78)</f>
        <v>0.5</v>
      </c>
      <c r="F78" s="49">
        <f>AVERAGE('26.10 Mbarara-Ibanda-24hr'!F78,'28.10 Mbarara-Ibanda-24hr'!F78)</f>
        <v>0</v>
      </c>
      <c r="G78" s="49">
        <f>AVERAGE('26.10 Mbarara-Ibanda-24hr'!G78,'28.10 Mbarara-Ibanda-24hr'!G78)</f>
        <v>0.5</v>
      </c>
      <c r="H78" s="49">
        <f>AVERAGE('26.10 Mbarara-Ibanda-24hr'!H78,'28.10 Mbarara-Ibanda-24hr'!H78)</f>
        <v>0</v>
      </c>
      <c r="I78" s="49">
        <f>AVERAGE('26.10 Mbarara-Ibanda-24hr'!I78,'28.10 Mbarara-Ibanda-24hr'!I78)</f>
        <v>0</v>
      </c>
      <c r="J78" s="49">
        <f>AVERAGE('26.10 Mbarara-Ibanda-24hr'!J78,'28.10 Mbarara-Ibanda-24hr'!J78)</f>
        <v>0</v>
      </c>
      <c r="K78" s="49">
        <f>AVERAGE('26.10 Mbarara-Ibanda-24hr'!K78,'28.10 Mbarara-Ibanda-24hr'!K78)</f>
        <v>0</v>
      </c>
      <c r="L78" s="49">
        <f>AVERAGE('26.10 Mbarara-Ibanda-24hr'!L78,'28.10 Mbarara-Ibanda-24hr'!L78)</f>
        <v>0</v>
      </c>
      <c r="M78" s="49">
        <f>AVERAGE('26.10 Mbarara-Ibanda-24hr'!M78,'28.10 Mbarara-Ibanda-24hr'!M78)</f>
        <v>0</v>
      </c>
      <c r="N78" s="49">
        <f>AVERAGE('26.10 Mbarara-Ibanda-24hr'!N78,'28.10 Mbarara-Ibanda-24hr'!N78)</f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AVERAGE('26.10 Mbarara-Ibanda-24hr'!C79,'28.10 Mbarara-Ibanda-24hr'!C79)</f>
        <v>1</v>
      </c>
      <c r="D79" s="49">
        <f>AVERAGE('26.10 Mbarara-Ibanda-24hr'!D79,'28.10 Mbarara-Ibanda-24hr'!D79)</f>
        <v>1</v>
      </c>
      <c r="E79" s="49">
        <f>AVERAGE('26.10 Mbarara-Ibanda-24hr'!E79,'28.10 Mbarara-Ibanda-24hr'!E79)</f>
        <v>0.5</v>
      </c>
      <c r="F79" s="49">
        <f>AVERAGE('26.10 Mbarara-Ibanda-24hr'!F79,'28.10 Mbarara-Ibanda-24hr'!F79)</f>
        <v>0</v>
      </c>
      <c r="G79" s="49">
        <f>AVERAGE('26.10 Mbarara-Ibanda-24hr'!G79,'28.10 Mbarara-Ibanda-24hr'!G79)</f>
        <v>1</v>
      </c>
      <c r="H79" s="49">
        <f>AVERAGE('26.10 Mbarara-Ibanda-24hr'!H79,'28.10 Mbarara-Ibanda-24hr'!H79)</f>
        <v>0</v>
      </c>
      <c r="I79" s="49">
        <f>AVERAGE('26.10 Mbarara-Ibanda-24hr'!I79,'28.10 Mbarara-Ibanda-24hr'!I79)</f>
        <v>0</v>
      </c>
      <c r="J79" s="49">
        <f>AVERAGE('26.10 Mbarara-Ibanda-24hr'!J79,'28.10 Mbarara-Ibanda-24hr'!J79)</f>
        <v>0</v>
      </c>
      <c r="K79" s="49">
        <f>AVERAGE('26.10 Mbarara-Ibanda-24hr'!K79,'28.10 Mbarara-Ibanda-24hr'!K79)</f>
        <v>0.5</v>
      </c>
      <c r="L79" s="49">
        <f>AVERAGE('26.10 Mbarara-Ibanda-24hr'!L79,'28.10 Mbarara-Ibanda-24hr'!L79)</f>
        <v>0</v>
      </c>
      <c r="M79" s="49">
        <f>AVERAGE('26.10 Mbarara-Ibanda-24hr'!M79,'28.10 Mbarara-Ibanda-24hr'!M79)</f>
        <v>0</v>
      </c>
      <c r="N79" s="49">
        <f>AVERAGE('26.10 Mbarara-Ibanda-24hr'!N79,'28.10 Mbarara-Ibanda-24hr'!N79)</f>
        <v>0</v>
      </c>
      <c r="O79" s="15">
        <f t="shared" si="35"/>
        <v>4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AVERAGE('26.10 Mbarara-Ibanda-24hr'!C80,'28.10 Mbarara-Ibanda-24hr'!C80)</f>
        <v>0.5</v>
      </c>
      <c r="D80" s="49">
        <f>AVERAGE('26.10 Mbarara-Ibanda-24hr'!D80,'28.10 Mbarara-Ibanda-24hr'!D80)</f>
        <v>0</v>
      </c>
      <c r="E80" s="49">
        <f>AVERAGE('26.10 Mbarara-Ibanda-24hr'!E80,'28.10 Mbarara-Ibanda-24hr'!E80)</f>
        <v>0</v>
      </c>
      <c r="F80" s="49">
        <f>AVERAGE('26.10 Mbarara-Ibanda-24hr'!F80,'28.10 Mbarara-Ibanda-24hr'!F80)</f>
        <v>0.5</v>
      </c>
      <c r="G80" s="49">
        <f>AVERAGE('26.10 Mbarara-Ibanda-24hr'!G80,'28.10 Mbarara-Ibanda-24hr'!G80)</f>
        <v>0.5</v>
      </c>
      <c r="H80" s="49">
        <f>AVERAGE('26.10 Mbarara-Ibanda-24hr'!H80,'28.10 Mbarara-Ibanda-24hr'!H80)</f>
        <v>0.5</v>
      </c>
      <c r="I80" s="49">
        <f>AVERAGE('26.10 Mbarara-Ibanda-24hr'!I80,'28.10 Mbarara-Ibanda-24hr'!I80)</f>
        <v>0.5</v>
      </c>
      <c r="J80" s="49">
        <f>AVERAGE('26.10 Mbarara-Ibanda-24hr'!J80,'28.10 Mbarara-Ibanda-24hr'!J80)</f>
        <v>0</v>
      </c>
      <c r="K80" s="49">
        <f>AVERAGE('26.10 Mbarara-Ibanda-24hr'!K80,'28.10 Mbarara-Ibanda-24hr'!K80)</f>
        <v>1</v>
      </c>
      <c r="L80" s="49">
        <f>AVERAGE('26.10 Mbarara-Ibanda-24hr'!L80,'28.10 Mbarara-Ibanda-24hr'!L80)</f>
        <v>0</v>
      </c>
      <c r="M80" s="49">
        <f>AVERAGE('26.10 Mbarara-Ibanda-24hr'!M80,'28.10 Mbarara-Ibanda-24hr'!M80)</f>
        <v>1</v>
      </c>
      <c r="N80" s="49">
        <f>AVERAGE('26.10 Mbarara-Ibanda-24hr'!N80,'28.10 Mbarara-Ibanda-24hr'!N80)</f>
        <v>0</v>
      </c>
      <c r="O80" s="15">
        <f t="shared" si="35"/>
        <v>3.5</v>
      </c>
      <c r="P80" s="15">
        <f t="shared" si="36"/>
        <v>4.5</v>
      </c>
      <c r="R80" s="8"/>
      <c r="T80"/>
    </row>
    <row r="81" spans="2:20" ht="23.1" customHeight="1" x14ac:dyDescent="0.25">
      <c r="B81" s="23" t="s">
        <v>121</v>
      </c>
      <c r="C81" s="49">
        <f>AVERAGE('26.10 Mbarara-Ibanda-24hr'!C81,'28.10 Mbarara-Ibanda-24hr'!C81)</f>
        <v>1</v>
      </c>
      <c r="D81" s="49">
        <f>AVERAGE('26.10 Mbarara-Ibanda-24hr'!D81,'28.10 Mbarara-Ibanda-24hr'!D81)</f>
        <v>0.5</v>
      </c>
      <c r="E81" s="49">
        <f>AVERAGE('26.10 Mbarara-Ibanda-24hr'!E81,'28.10 Mbarara-Ibanda-24hr'!E81)</f>
        <v>0</v>
      </c>
      <c r="F81" s="49">
        <f>AVERAGE('26.10 Mbarara-Ibanda-24hr'!F81,'28.10 Mbarara-Ibanda-24hr'!F81)</f>
        <v>0.5</v>
      </c>
      <c r="G81" s="49">
        <f>AVERAGE('26.10 Mbarara-Ibanda-24hr'!G81,'28.10 Mbarara-Ibanda-24hr'!G81)</f>
        <v>0</v>
      </c>
      <c r="H81" s="49">
        <f>AVERAGE('26.10 Mbarara-Ibanda-24hr'!H81,'28.10 Mbarara-Ibanda-24hr'!H81)</f>
        <v>0</v>
      </c>
      <c r="I81" s="49">
        <f>AVERAGE('26.10 Mbarara-Ibanda-24hr'!I81,'28.10 Mbarara-Ibanda-24hr'!I81)</f>
        <v>0.5</v>
      </c>
      <c r="J81" s="49">
        <f>AVERAGE('26.10 Mbarara-Ibanda-24hr'!J81,'28.10 Mbarara-Ibanda-24hr'!J81)</f>
        <v>0</v>
      </c>
      <c r="K81" s="49">
        <f>AVERAGE('26.10 Mbarara-Ibanda-24hr'!K81,'28.10 Mbarara-Ibanda-24hr'!K81)</f>
        <v>0</v>
      </c>
      <c r="L81" s="49">
        <f>AVERAGE('26.10 Mbarara-Ibanda-24hr'!L81,'28.10 Mbarara-Ibanda-24hr'!L81)</f>
        <v>0</v>
      </c>
      <c r="M81" s="49">
        <f>AVERAGE('26.10 Mbarara-Ibanda-24hr'!M81,'28.10 Mbarara-Ibanda-24hr'!M81)</f>
        <v>1.5</v>
      </c>
      <c r="N81" s="49">
        <f>AVERAGE('26.10 Mbarara-Ibanda-24hr'!N81,'28.10 Mbarara-Ibanda-24hr'!N81)</f>
        <v>0</v>
      </c>
      <c r="O81" s="15">
        <f t="shared" si="35"/>
        <v>2.5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AVERAGE('26.10 Mbarara-Ibanda-24hr'!C82,'28.10 Mbarara-Ibanda-24hr'!C82)</f>
        <v>1</v>
      </c>
      <c r="D82" s="49">
        <f>AVERAGE('26.10 Mbarara-Ibanda-24hr'!D82,'28.10 Mbarara-Ibanda-24hr'!D82)</f>
        <v>0</v>
      </c>
      <c r="E82" s="49">
        <f>AVERAGE('26.10 Mbarara-Ibanda-24hr'!E82,'28.10 Mbarara-Ibanda-24hr'!E82)</f>
        <v>1</v>
      </c>
      <c r="F82" s="49">
        <f>AVERAGE('26.10 Mbarara-Ibanda-24hr'!F82,'28.10 Mbarara-Ibanda-24hr'!F82)</f>
        <v>1</v>
      </c>
      <c r="G82" s="49">
        <f>AVERAGE('26.10 Mbarara-Ibanda-24hr'!G82,'28.10 Mbarara-Ibanda-24hr'!G82)</f>
        <v>0</v>
      </c>
      <c r="H82" s="49">
        <f>AVERAGE('26.10 Mbarara-Ibanda-24hr'!H82,'28.10 Mbarara-Ibanda-24hr'!H82)</f>
        <v>0</v>
      </c>
      <c r="I82" s="49">
        <f>AVERAGE('26.10 Mbarara-Ibanda-24hr'!I82,'28.10 Mbarara-Ibanda-24hr'!I82)</f>
        <v>0.5</v>
      </c>
      <c r="J82" s="49">
        <f>AVERAGE('26.10 Mbarara-Ibanda-24hr'!J82,'28.10 Mbarara-Ibanda-24hr'!J82)</f>
        <v>0</v>
      </c>
      <c r="K82" s="49">
        <f>AVERAGE('26.10 Mbarara-Ibanda-24hr'!K82,'28.10 Mbarara-Ibanda-24hr'!K82)</f>
        <v>1</v>
      </c>
      <c r="L82" s="49">
        <f>AVERAGE('26.10 Mbarara-Ibanda-24hr'!L82,'28.10 Mbarara-Ibanda-24hr'!L82)</f>
        <v>0</v>
      </c>
      <c r="M82" s="49">
        <f>AVERAGE('26.10 Mbarara-Ibanda-24hr'!M82,'28.10 Mbarara-Ibanda-24hr'!M82)</f>
        <v>1</v>
      </c>
      <c r="N82" s="49">
        <f>AVERAGE('26.10 Mbarara-Ibanda-24hr'!N82,'28.10 Mbarara-Ibanda-24hr'!N82)</f>
        <v>0</v>
      </c>
      <c r="O82" s="15">
        <f t="shared" si="35"/>
        <v>4.5</v>
      </c>
      <c r="P82" s="15">
        <f t="shared" si="36"/>
        <v>5.5</v>
      </c>
      <c r="R82" s="8"/>
      <c r="T82"/>
    </row>
    <row r="83" spans="2:20" ht="23.1" customHeight="1" x14ac:dyDescent="0.25">
      <c r="B83" s="23" t="s">
        <v>123</v>
      </c>
      <c r="C83" s="49">
        <f>AVERAGE('26.10 Mbarara-Ibanda-24hr'!C83,'28.10 Mbarara-Ibanda-24hr'!C83)</f>
        <v>1</v>
      </c>
      <c r="D83" s="49">
        <f>AVERAGE('26.10 Mbarara-Ibanda-24hr'!D83,'28.10 Mbarara-Ibanda-24hr'!D83)</f>
        <v>0.5</v>
      </c>
      <c r="E83" s="49">
        <f>AVERAGE('26.10 Mbarara-Ibanda-24hr'!E83,'28.10 Mbarara-Ibanda-24hr'!E83)</f>
        <v>0</v>
      </c>
      <c r="F83" s="49">
        <f>AVERAGE('26.10 Mbarara-Ibanda-24hr'!F83,'28.10 Mbarara-Ibanda-24hr'!F83)</f>
        <v>0.5</v>
      </c>
      <c r="G83" s="49">
        <f>AVERAGE('26.10 Mbarara-Ibanda-24hr'!G83,'28.10 Mbarara-Ibanda-24hr'!G83)</f>
        <v>0</v>
      </c>
      <c r="H83" s="49">
        <f>AVERAGE('26.10 Mbarara-Ibanda-24hr'!H83,'28.10 Mbarara-Ibanda-24hr'!H83)</f>
        <v>0</v>
      </c>
      <c r="I83" s="49">
        <f>AVERAGE('26.10 Mbarara-Ibanda-24hr'!I83,'28.10 Mbarara-Ibanda-24hr'!I83)</f>
        <v>0.5</v>
      </c>
      <c r="J83" s="49">
        <f>AVERAGE('26.10 Mbarara-Ibanda-24hr'!J83,'28.10 Mbarara-Ibanda-24hr'!J83)</f>
        <v>0</v>
      </c>
      <c r="K83" s="49">
        <f>AVERAGE('26.10 Mbarara-Ibanda-24hr'!K83,'28.10 Mbarara-Ibanda-24hr'!K83)</f>
        <v>0.5</v>
      </c>
      <c r="L83" s="49">
        <f>AVERAGE('26.10 Mbarara-Ibanda-24hr'!L83,'28.10 Mbarara-Ibanda-24hr'!L83)</f>
        <v>0.5</v>
      </c>
      <c r="M83" s="49">
        <f>AVERAGE('26.10 Mbarara-Ibanda-24hr'!M83,'28.10 Mbarara-Ibanda-24hr'!M83)</f>
        <v>1.5</v>
      </c>
      <c r="N83" s="49">
        <f>AVERAGE('26.10 Mbarara-Ibanda-24hr'!N83,'28.10 Mbarara-Ibanda-24hr'!N83)</f>
        <v>0</v>
      </c>
      <c r="O83" s="15">
        <f t="shared" si="35"/>
        <v>3.5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AVERAGE('26.10 Mbarara-Ibanda-24hr'!C84,'28.10 Mbarara-Ibanda-24hr'!C84)</f>
        <v>1</v>
      </c>
      <c r="D84" s="49">
        <f>AVERAGE('26.10 Mbarara-Ibanda-24hr'!D84,'28.10 Mbarara-Ibanda-24hr'!D84)</f>
        <v>0.5</v>
      </c>
      <c r="E84" s="49">
        <f>AVERAGE('26.10 Mbarara-Ibanda-24hr'!E84,'28.10 Mbarara-Ibanda-24hr'!E84)</f>
        <v>0</v>
      </c>
      <c r="F84" s="49">
        <f>AVERAGE('26.10 Mbarara-Ibanda-24hr'!F84,'28.10 Mbarara-Ibanda-24hr'!F84)</f>
        <v>0</v>
      </c>
      <c r="G84" s="49">
        <f>AVERAGE('26.10 Mbarara-Ibanda-24hr'!G84,'28.10 Mbarara-Ibanda-24hr'!G84)</f>
        <v>0</v>
      </c>
      <c r="H84" s="49">
        <f>AVERAGE('26.10 Mbarara-Ibanda-24hr'!H84,'28.10 Mbarara-Ibanda-24hr'!H84)</f>
        <v>0</v>
      </c>
      <c r="I84" s="49">
        <f>AVERAGE('26.10 Mbarara-Ibanda-24hr'!I84,'28.10 Mbarara-Ibanda-24hr'!I84)</f>
        <v>0</v>
      </c>
      <c r="J84" s="49">
        <f>AVERAGE('26.10 Mbarara-Ibanda-24hr'!J84,'28.10 Mbarara-Ibanda-24hr'!J84)</f>
        <v>0</v>
      </c>
      <c r="K84" s="49">
        <f>AVERAGE('26.10 Mbarara-Ibanda-24hr'!K84,'28.10 Mbarara-Ibanda-24hr'!K84)</f>
        <v>0</v>
      </c>
      <c r="L84" s="49">
        <f>AVERAGE('26.10 Mbarara-Ibanda-24hr'!L84,'28.10 Mbarara-Ibanda-24hr'!L84)</f>
        <v>0</v>
      </c>
      <c r="M84" s="49">
        <f>AVERAGE('26.10 Mbarara-Ibanda-24hr'!M84,'28.10 Mbarara-Ibanda-24hr'!M84)</f>
        <v>0.5</v>
      </c>
      <c r="N84" s="49">
        <f>AVERAGE('26.10 Mbarara-Ibanda-24hr'!N84,'28.10 Mbarara-Ibanda-24hr'!N84)</f>
        <v>0</v>
      </c>
      <c r="O84" s="15">
        <f t="shared" si="35"/>
        <v>1.5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AVERAGE('26.10 Mbarara-Ibanda-24hr'!C85,'28.10 Mbarara-Ibanda-24hr'!C85)</f>
        <v>0.5</v>
      </c>
      <c r="D85" s="49">
        <f>AVERAGE('26.10 Mbarara-Ibanda-24hr'!D85,'28.10 Mbarara-Ibanda-24hr'!D85)</f>
        <v>1</v>
      </c>
      <c r="E85" s="49">
        <f>AVERAGE('26.10 Mbarara-Ibanda-24hr'!E85,'28.10 Mbarara-Ibanda-24hr'!E85)</f>
        <v>0</v>
      </c>
      <c r="F85" s="49">
        <f>AVERAGE('26.10 Mbarara-Ibanda-24hr'!F85,'28.10 Mbarara-Ibanda-24hr'!F85)</f>
        <v>0.5</v>
      </c>
      <c r="G85" s="49">
        <f>AVERAGE('26.10 Mbarara-Ibanda-24hr'!G85,'28.10 Mbarara-Ibanda-24hr'!G85)</f>
        <v>0</v>
      </c>
      <c r="H85" s="49">
        <f>AVERAGE('26.10 Mbarara-Ibanda-24hr'!H85,'28.10 Mbarara-Ibanda-24hr'!H85)</f>
        <v>0</v>
      </c>
      <c r="I85" s="49">
        <f>AVERAGE('26.10 Mbarara-Ibanda-24hr'!I85,'28.10 Mbarara-Ibanda-24hr'!I85)</f>
        <v>0</v>
      </c>
      <c r="J85" s="49">
        <f>AVERAGE('26.10 Mbarara-Ibanda-24hr'!J85,'28.10 Mbarara-Ibanda-24hr'!J85)</f>
        <v>0.5</v>
      </c>
      <c r="K85" s="49">
        <f>AVERAGE('26.10 Mbarara-Ibanda-24hr'!K85,'28.10 Mbarara-Ibanda-24hr'!K85)</f>
        <v>1</v>
      </c>
      <c r="L85" s="49">
        <f>AVERAGE('26.10 Mbarara-Ibanda-24hr'!L85,'28.10 Mbarara-Ibanda-24hr'!L85)</f>
        <v>0</v>
      </c>
      <c r="M85" s="49">
        <f>AVERAGE('26.10 Mbarara-Ibanda-24hr'!M85,'28.10 Mbarara-Ibanda-24hr'!M85)</f>
        <v>0.5</v>
      </c>
      <c r="N85" s="49">
        <f>AVERAGE('26.10 Mbarara-Ibanda-24hr'!N85,'28.10 Mbarara-Ibanda-24hr'!N85)</f>
        <v>0</v>
      </c>
      <c r="O85" s="15">
        <f t="shared" si="35"/>
        <v>3.5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AVERAGE('26.10 Mbarara-Ibanda-24hr'!C86,'28.10 Mbarara-Ibanda-24hr'!C86)</f>
        <v>0.5</v>
      </c>
      <c r="D86" s="49">
        <f>AVERAGE('26.10 Mbarara-Ibanda-24hr'!D86,'28.10 Mbarara-Ibanda-24hr'!D86)</f>
        <v>0</v>
      </c>
      <c r="E86" s="49">
        <f>AVERAGE('26.10 Mbarara-Ibanda-24hr'!E86,'28.10 Mbarara-Ibanda-24hr'!E86)</f>
        <v>0</v>
      </c>
      <c r="F86" s="49">
        <f>AVERAGE('26.10 Mbarara-Ibanda-24hr'!F86,'28.10 Mbarara-Ibanda-24hr'!F86)</f>
        <v>0</v>
      </c>
      <c r="G86" s="49">
        <f>AVERAGE('26.10 Mbarara-Ibanda-24hr'!G86,'28.10 Mbarara-Ibanda-24hr'!G86)</f>
        <v>0</v>
      </c>
      <c r="H86" s="49">
        <f>AVERAGE('26.10 Mbarara-Ibanda-24hr'!H86,'28.10 Mbarara-Ibanda-24hr'!H86)</f>
        <v>0</v>
      </c>
      <c r="I86" s="49">
        <f>AVERAGE('26.10 Mbarara-Ibanda-24hr'!I86,'28.10 Mbarara-Ibanda-24hr'!I86)</f>
        <v>0</v>
      </c>
      <c r="J86" s="49">
        <f>AVERAGE('26.10 Mbarara-Ibanda-24hr'!J86,'28.10 Mbarara-Ibanda-24hr'!J86)</f>
        <v>0</v>
      </c>
      <c r="K86" s="49">
        <f>AVERAGE('26.10 Mbarara-Ibanda-24hr'!K86,'28.10 Mbarara-Ibanda-24hr'!K86)</f>
        <v>0</v>
      </c>
      <c r="L86" s="49">
        <f>AVERAGE('26.10 Mbarara-Ibanda-24hr'!L86,'28.10 Mbarara-Ibanda-24hr'!L86)</f>
        <v>0</v>
      </c>
      <c r="M86" s="49">
        <f>AVERAGE('26.10 Mbarara-Ibanda-24hr'!M86,'28.10 Mbarara-Ibanda-24hr'!M86)</f>
        <v>0.5</v>
      </c>
      <c r="N86" s="49">
        <f>AVERAGE('26.10 Mbarara-Ibanda-24hr'!N86,'28.10 Mbarara-Ibanda-24hr'!N86)</f>
        <v>0</v>
      </c>
      <c r="O86" s="15">
        <f t="shared" si="35"/>
        <v>0.5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AVERAGE('26.10 Mbarara-Ibanda-24hr'!C87,'28.10 Mbarara-Ibanda-24hr'!C87)</f>
        <v>0.5</v>
      </c>
      <c r="D87" s="49">
        <f>AVERAGE('26.10 Mbarara-Ibanda-24hr'!D87,'28.10 Mbarara-Ibanda-24hr'!D87)</f>
        <v>0</v>
      </c>
      <c r="E87" s="49">
        <f>AVERAGE('26.10 Mbarara-Ibanda-24hr'!E87,'28.10 Mbarara-Ibanda-24hr'!E87)</f>
        <v>0.5</v>
      </c>
      <c r="F87" s="49">
        <f>AVERAGE('26.10 Mbarara-Ibanda-24hr'!F87,'28.10 Mbarara-Ibanda-24hr'!F87)</f>
        <v>0.5</v>
      </c>
      <c r="G87" s="49">
        <f>AVERAGE('26.10 Mbarara-Ibanda-24hr'!G87,'28.10 Mbarara-Ibanda-24hr'!G87)</f>
        <v>0</v>
      </c>
      <c r="H87" s="49">
        <f>AVERAGE('26.10 Mbarara-Ibanda-24hr'!H87,'28.10 Mbarara-Ibanda-24hr'!H87)</f>
        <v>0</v>
      </c>
      <c r="I87" s="49">
        <f>AVERAGE('26.10 Mbarara-Ibanda-24hr'!I87,'28.10 Mbarara-Ibanda-24hr'!I87)</f>
        <v>0.5</v>
      </c>
      <c r="J87" s="49">
        <f>AVERAGE('26.10 Mbarara-Ibanda-24hr'!J87,'28.10 Mbarara-Ibanda-24hr'!J87)</f>
        <v>1</v>
      </c>
      <c r="K87" s="49">
        <f>AVERAGE('26.10 Mbarara-Ibanda-24hr'!K87,'28.10 Mbarara-Ibanda-24hr'!K87)</f>
        <v>0</v>
      </c>
      <c r="L87" s="49">
        <f>AVERAGE('26.10 Mbarara-Ibanda-24hr'!L87,'28.10 Mbarara-Ibanda-24hr'!L87)</f>
        <v>0</v>
      </c>
      <c r="M87" s="49">
        <f>AVERAGE('26.10 Mbarara-Ibanda-24hr'!M87,'28.10 Mbarara-Ibanda-24hr'!M87)</f>
        <v>0.5</v>
      </c>
      <c r="N87" s="49">
        <f>AVERAGE('26.10 Mbarara-Ibanda-24hr'!N87,'28.10 Mbarara-Ibanda-24hr'!N87)</f>
        <v>0</v>
      </c>
      <c r="O87" s="15">
        <f t="shared" si="35"/>
        <v>3</v>
      </c>
      <c r="P87" s="15">
        <f t="shared" si="36"/>
        <v>3.5</v>
      </c>
      <c r="R87" s="8"/>
      <c r="T87"/>
    </row>
    <row r="88" spans="2:20" ht="23.1" customHeight="1" x14ac:dyDescent="0.25">
      <c r="B88" s="25" t="s">
        <v>128</v>
      </c>
      <c r="C88" s="49">
        <f>AVERAGE('26.10 Mbarara-Ibanda-24hr'!C88,'28.10 Mbarara-Ibanda-24hr'!C88)</f>
        <v>0.5</v>
      </c>
      <c r="D88" s="49">
        <f>AVERAGE('26.10 Mbarara-Ibanda-24hr'!D88,'28.10 Mbarara-Ibanda-24hr'!D88)</f>
        <v>0</v>
      </c>
      <c r="E88" s="49">
        <f>AVERAGE('26.10 Mbarara-Ibanda-24hr'!E88,'28.10 Mbarara-Ibanda-24hr'!E88)</f>
        <v>0</v>
      </c>
      <c r="F88" s="49">
        <f>AVERAGE('26.10 Mbarara-Ibanda-24hr'!F88,'28.10 Mbarara-Ibanda-24hr'!F88)</f>
        <v>0</v>
      </c>
      <c r="G88" s="49">
        <f>AVERAGE('26.10 Mbarara-Ibanda-24hr'!G88,'28.10 Mbarara-Ibanda-24hr'!G88)</f>
        <v>0</v>
      </c>
      <c r="H88" s="49">
        <f>AVERAGE('26.10 Mbarara-Ibanda-24hr'!H88,'28.10 Mbarara-Ibanda-24hr'!H88)</f>
        <v>0</v>
      </c>
      <c r="I88" s="49">
        <f>AVERAGE('26.10 Mbarara-Ibanda-24hr'!I88,'28.10 Mbarara-Ibanda-24hr'!I88)</f>
        <v>0</v>
      </c>
      <c r="J88" s="49">
        <f>AVERAGE('26.10 Mbarara-Ibanda-24hr'!J88,'28.10 Mbarara-Ibanda-24hr'!J88)</f>
        <v>0</v>
      </c>
      <c r="K88" s="49">
        <f>AVERAGE('26.10 Mbarara-Ibanda-24hr'!K88,'28.10 Mbarara-Ibanda-24hr'!K88)</f>
        <v>0</v>
      </c>
      <c r="L88" s="49">
        <f>AVERAGE('26.10 Mbarara-Ibanda-24hr'!L88,'28.10 Mbarara-Ibanda-24hr'!L88)</f>
        <v>0</v>
      </c>
      <c r="M88" s="49">
        <f>AVERAGE('26.10 Mbarara-Ibanda-24hr'!M88,'28.10 Mbarara-Ibanda-24hr'!M88)</f>
        <v>0</v>
      </c>
      <c r="N88" s="49">
        <f>AVERAGE('26.10 Mbarara-Ibanda-24hr'!N88,'28.10 Mbarara-Ibanda-24hr'!N88)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AVERAGE('26.10 Mbarara-Ibanda-24hr'!C89,'28.10 Mbarara-Ibanda-24hr'!C89)</f>
        <v>0</v>
      </c>
      <c r="D89" s="49">
        <f>AVERAGE('26.10 Mbarara-Ibanda-24hr'!D89,'28.10 Mbarara-Ibanda-24hr'!D89)</f>
        <v>0</v>
      </c>
      <c r="E89" s="49">
        <f>AVERAGE('26.10 Mbarara-Ibanda-24hr'!E89,'28.10 Mbarara-Ibanda-24hr'!E89)</f>
        <v>0</v>
      </c>
      <c r="F89" s="49">
        <f>AVERAGE('26.10 Mbarara-Ibanda-24hr'!F89,'28.10 Mbarara-Ibanda-24hr'!F89)</f>
        <v>0</v>
      </c>
      <c r="G89" s="49">
        <f>AVERAGE('26.10 Mbarara-Ibanda-24hr'!G89,'28.10 Mbarara-Ibanda-24hr'!G89)</f>
        <v>0</v>
      </c>
      <c r="H89" s="49">
        <f>AVERAGE('26.10 Mbarara-Ibanda-24hr'!H89,'28.10 Mbarara-Ibanda-24hr'!H89)</f>
        <v>0</v>
      </c>
      <c r="I89" s="49">
        <f>AVERAGE('26.10 Mbarara-Ibanda-24hr'!I89,'28.10 Mbarara-Ibanda-24hr'!I89)</f>
        <v>0</v>
      </c>
      <c r="J89" s="49">
        <f>AVERAGE('26.10 Mbarara-Ibanda-24hr'!J89,'28.10 Mbarara-Ibanda-24hr'!J89)</f>
        <v>0</v>
      </c>
      <c r="K89" s="49">
        <f>AVERAGE('26.10 Mbarara-Ibanda-24hr'!K89,'28.10 Mbarara-Ibanda-24hr'!K89)</f>
        <v>0</v>
      </c>
      <c r="L89" s="49">
        <f>AVERAGE('26.10 Mbarara-Ibanda-24hr'!L89,'28.10 Mbarara-Ibanda-24hr'!L89)</f>
        <v>0</v>
      </c>
      <c r="M89" s="49">
        <f>AVERAGE('26.10 Mbarara-Ibanda-24hr'!M89,'28.10 Mbarara-Ibanda-24hr'!M89)</f>
        <v>0</v>
      </c>
      <c r="N89" s="49">
        <f>AVERAGE('26.10 Mbarara-Ibanda-24hr'!N89,'28.10 Mbarara-Ibanda-24hr'!N89)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AVERAGE('26.10 Mbarara-Ibanda-24hr'!C90,'28.10 Mbarara-Ibanda-24hr'!C90)</f>
        <v>0.5</v>
      </c>
      <c r="D90" s="49">
        <f>AVERAGE('26.10 Mbarara-Ibanda-24hr'!D90,'28.10 Mbarara-Ibanda-24hr'!D90)</f>
        <v>0</v>
      </c>
      <c r="E90" s="49">
        <f>AVERAGE('26.10 Mbarara-Ibanda-24hr'!E90,'28.10 Mbarara-Ibanda-24hr'!E90)</f>
        <v>0</v>
      </c>
      <c r="F90" s="49">
        <f>AVERAGE('26.10 Mbarara-Ibanda-24hr'!F90,'28.10 Mbarara-Ibanda-24hr'!F90)</f>
        <v>0</v>
      </c>
      <c r="G90" s="49">
        <f>AVERAGE('26.10 Mbarara-Ibanda-24hr'!G90,'28.10 Mbarara-Ibanda-24hr'!G90)</f>
        <v>0</v>
      </c>
      <c r="H90" s="49">
        <f>AVERAGE('26.10 Mbarara-Ibanda-24hr'!H90,'28.10 Mbarara-Ibanda-24hr'!H90)</f>
        <v>0</v>
      </c>
      <c r="I90" s="49">
        <f>AVERAGE('26.10 Mbarara-Ibanda-24hr'!I90,'28.10 Mbarara-Ibanda-24hr'!I90)</f>
        <v>1</v>
      </c>
      <c r="J90" s="49">
        <f>AVERAGE('26.10 Mbarara-Ibanda-24hr'!J90,'28.10 Mbarara-Ibanda-24hr'!J90)</f>
        <v>1</v>
      </c>
      <c r="K90" s="49">
        <f>AVERAGE('26.10 Mbarara-Ibanda-24hr'!K90,'28.10 Mbarara-Ibanda-24hr'!K90)</f>
        <v>0.5</v>
      </c>
      <c r="L90" s="49">
        <f>AVERAGE('26.10 Mbarara-Ibanda-24hr'!L90,'28.10 Mbarara-Ibanda-24hr'!L90)</f>
        <v>0</v>
      </c>
      <c r="M90" s="49">
        <f>AVERAGE('26.10 Mbarara-Ibanda-24hr'!M90,'28.10 Mbarara-Ibanda-24hr'!M90)</f>
        <v>0.5</v>
      </c>
      <c r="N90" s="49">
        <f>AVERAGE('26.10 Mbarara-Ibanda-24hr'!N90,'28.10 Mbarara-Ibanda-24hr'!N90)</f>
        <v>0</v>
      </c>
      <c r="O90" s="15">
        <f t="shared" si="35"/>
        <v>3</v>
      </c>
      <c r="P90" s="15">
        <f t="shared" si="36"/>
        <v>3.5</v>
      </c>
      <c r="R90" s="8"/>
      <c r="T90"/>
    </row>
    <row r="91" spans="2:20" ht="23.1" customHeight="1" x14ac:dyDescent="0.25">
      <c r="B91" s="23" t="s">
        <v>131</v>
      </c>
      <c r="C91" s="49">
        <f>AVERAGE('26.10 Mbarara-Ibanda-24hr'!C91,'28.10 Mbarara-Ibanda-24hr'!C91)</f>
        <v>1.5</v>
      </c>
      <c r="D91" s="49">
        <f>AVERAGE('26.10 Mbarara-Ibanda-24hr'!D91,'28.10 Mbarara-Ibanda-24hr'!D91)</f>
        <v>0</v>
      </c>
      <c r="E91" s="49">
        <f>AVERAGE('26.10 Mbarara-Ibanda-24hr'!E91,'28.10 Mbarara-Ibanda-24hr'!E91)</f>
        <v>0.5</v>
      </c>
      <c r="F91" s="49">
        <f>AVERAGE('26.10 Mbarara-Ibanda-24hr'!F91,'28.10 Mbarara-Ibanda-24hr'!F91)</f>
        <v>1</v>
      </c>
      <c r="G91" s="49">
        <f>AVERAGE('26.10 Mbarara-Ibanda-24hr'!G91,'28.10 Mbarara-Ibanda-24hr'!G91)</f>
        <v>0</v>
      </c>
      <c r="H91" s="49">
        <f>AVERAGE('26.10 Mbarara-Ibanda-24hr'!H91,'28.10 Mbarara-Ibanda-24hr'!H91)</f>
        <v>0</v>
      </c>
      <c r="I91" s="49">
        <f>AVERAGE('26.10 Mbarara-Ibanda-24hr'!I91,'28.10 Mbarara-Ibanda-24hr'!I91)</f>
        <v>0.5</v>
      </c>
      <c r="J91" s="49">
        <f>AVERAGE('26.10 Mbarara-Ibanda-24hr'!J91,'28.10 Mbarara-Ibanda-24hr'!J91)</f>
        <v>0</v>
      </c>
      <c r="K91" s="49">
        <f>AVERAGE('26.10 Mbarara-Ibanda-24hr'!K91,'28.10 Mbarara-Ibanda-24hr'!K91)</f>
        <v>0</v>
      </c>
      <c r="L91" s="49">
        <f>AVERAGE('26.10 Mbarara-Ibanda-24hr'!L91,'28.10 Mbarara-Ibanda-24hr'!L91)</f>
        <v>0.5</v>
      </c>
      <c r="M91" s="49">
        <f>AVERAGE('26.10 Mbarara-Ibanda-24hr'!M91,'28.10 Mbarara-Ibanda-24hr'!M91)</f>
        <v>0</v>
      </c>
      <c r="N91" s="49">
        <f>AVERAGE('26.10 Mbarara-Ibanda-24hr'!N91,'28.10 Mbarara-Ibanda-24hr'!N91)</f>
        <v>0</v>
      </c>
      <c r="O91" s="15">
        <f t="shared" si="35"/>
        <v>4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AVERAGE('26.10 Mbarara-Ibanda-24hr'!C92,'28.10 Mbarara-Ibanda-24hr'!C92)</f>
        <v>0</v>
      </c>
      <c r="D92" s="49">
        <f>AVERAGE('26.10 Mbarara-Ibanda-24hr'!D92,'28.10 Mbarara-Ibanda-24hr'!D92)</f>
        <v>0</v>
      </c>
      <c r="E92" s="49">
        <f>AVERAGE('26.10 Mbarara-Ibanda-24hr'!E92,'28.10 Mbarara-Ibanda-24hr'!E92)</f>
        <v>1</v>
      </c>
      <c r="F92" s="49">
        <f>AVERAGE('26.10 Mbarara-Ibanda-24hr'!F92,'28.10 Mbarara-Ibanda-24hr'!F92)</f>
        <v>0.5</v>
      </c>
      <c r="G92" s="49">
        <f>AVERAGE('26.10 Mbarara-Ibanda-24hr'!G92,'28.10 Mbarara-Ibanda-24hr'!G92)</f>
        <v>0</v>
      </c>
      <c r="H92" s="49">
        <f>AVERAGE('26.10 Mbarara-Ibanda-24hr'!H92,'28.10 Mbarara-Ibanda-24hr'!H92)</f>
        <v>0</v>
      </c>
      <c r="I92" s="49">
        <f>AVERAGE('26.10 Mbarara-Ibanda-24hr'!I92,'28.10 Mbarara-Ibanda-24hr'!I92)</f>
        <v>0</v>
      </c>
      <c r="J92" s="49">
        <f>AVERAGE('26.10 Mbarara-Ibanda-24hr'!J92,'28.10 Mbarara-Ibanda-24hr'!J92)</f>
        <v>0</v>
      </c>
      <c r="K92" s="49">
        <f>AVERAGE('26.10 Mbarara-Ibanda-24hr'!K92,'28.10 Mbarara-Ibanda-24hr'!K92)</f>
        <v>0</v>
      </c>
      <c r="L92" s="49">
        <f>AVERAGE('26.10 Mbarara-Ibanda-24hr'!L92,'28.10 Mbarara-Ibanda-24hr'!L92)</f>
        <v>0</v>
      </c>
      <c r="M92" s="49">
        <f>AVERAGE('26.10 Mbarara-Ibanda-24hr'!M92,'28.10 Mbarara-Ibanda-24hr'!M92)</f>
        <v>0.5</v>
      </c>
      <c r="N92" s="49">
        <f>AVERAGE('26.10 Mbarara-Ibanda-24hr'!N92,'28.10 Mbarara-Ibanda-24hr'!N92)</f>
        <v>0</v>
      </c>
      <c r="O92" s="15">
        <f t="shared" si="35"/>
        <v>1.5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AVERAGE('26.10 Mbarara-Ibanda-24hr'!C93,'28.10 Mbarara-Ibanda-24hr'!C93)</f>
        <v>1</v>
      </c>
      <c r="D93" s="49">
        <f>AVERAGE('26.10 Mbarara-Ibanda-24hr'!D93,'28.10 Mbarara-Ibanda-24hr'!D93)</f>
        <v>0</v>
      </c>
      <c r="E93" s="49">
        <f>AVERAGE('26.10 Mbarara-Ibanda-24hr'!E93,'28.10 Mbarara-Ibanda-24hr'!E93)</f>
        <v>0.5</v>
      </c>
      <c r="F93" s="49">
        <f>AVERAGE('26.10 Mbarara-Ibanda-24hr'!F93,'28.10 Mbarara-Ibanda-24hr'!F93)</f>
        <v>1</v>
      </c>
      <c r="G93" s="49">
        <f>AVERAGE('26.10 Mbarara-Ibanda-24hr'!G93,'28.10 Mbarara-Ibanda-24hr'!G93)</f>
        <v>0</v>
      </c>
      <c r="H93" s="49">
        <f>AVERAGE('26.10 Mbarara-Ibanda-24hr'!H93,'28.10 Mbarara-Ibanda-24hr'!H93)</f>
        <v>0</v>
      </c>
      <c r="I93" s="49">
        <f>AVERAGE('26.10 Mbarara-Ibanda-24hr'!I93,'28.10 Mbarara-Ibanda-24hr'!I93)</f>
        <v>0</v>
      </c>
      <c r="J93" s="49">
        <f>AVERAGE('26.10 Mbarara-Ibanda-24hr'!J93,'28.10 Mbarara-Ibanda-24hr'!J93)</f>
        <v>0.5</v>
      </c>
      <c r="K93" s="49">
        <f>AVERAGE('26.10 Mbarara-Ibanda-24hr'!K93,'28.10 Mbarara-Ibanda-24hr'!K93)</f>
        <v>0</v>
      </c>
      <c r="L93" s="49">
        <f>AVERAGE('26.10 Mbarara-Ibanda-24hr'!L93,'28.10 Mbarara-Ibanda-24hr'!L93)</f>
        <v>0</v>
      </c>
      <c r="M93" s="49">
        <f>AVERAGE('26.10 Mbarara-Ibanda-24hr'!M93,'28.10 Mbarara-Ibanda-24hr'!M93)</f>
        <v>0</v>
      </c>
      <c r="N93" s="49">
        <f>AVERAGE('26.10 Mbarara-Ibanda-24hr'!N93,'28.10 Mbarara-Ibanda-24hr'!N93)</f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24" t="s">
        <v>134</v>
      </c>
      <c r="C94" s="49">
        <f>AVERAGE('26.10 Mbarara-Ibanda-24hr'!C94,'28.10 Mbarara-Ibanda-24hr'!C94)</f>
        <v>0</v>
      </c>
      <c r="D94" s="49">
        <f>AVERAGE('26.10 Mbarara-Ibanda-24hr'!D94,'28.10 Mbarara-Ibanda-24hr'!D94)</f>
        <v>0</v>
      </c>
      <c r="E94" s="49">
        <f>AVERAGE('26.10 Mbarara-Ibanda-24hr'!E94,'28.10 Mbarara-Ibanda-24hr'!E94)</f>
        <v>0</v>
      </c>
      <c r="F94" s="49">
        <f>AVERAGE('26.10 Mbarara-Ibanda-24hr'!F94,'28.10 Mbarara-Ibanda-24hr'!F94)</f>
        <v>0</v>
      </c>
      <c r="G94" s="49">
        <f>AVERAGE('26.10 Mbarara-Ibanda-24hr'!G94,'28.10 Mbarara-Ibanda-24hr'!G94)</f>
        <v>0</v>
      </c>
      <c r="H94" s="49">
        <f>AVERAGE('26.10 Mbarara-Ibanda-24hr'!H94,'28.10 Mbarara-Ibanda-24hr'!H94)</f>
        <v>0</v>
      </c>
      <c r="I94" s="49">
        <f>AVERAGE('26.10 Mbarara-Ibanda-24hr'!I94,'28.10 Mbarara-Ibanda-24hr'!I94)</f>
        <v>0</v>
      </c>
      <c r="J94" s="49">
        <f>AVERAGE('26.10 Mbarara-Ibanda-24hr'!J94,'28.10 Mbarara-Ibanda-24hr'!J94)</f>
        <v>0.5</v>
      </c>
      <c r="K94" s="49">
        <f>AVERAGE('26.10 Mbarara-Ibanda-24hr'!K94,'28.10 Mbarara-Ibanda-24hr'!K94)</f>
        <v>0</v>
      </c>
      <c r="L94" s="49">
        <f>AVERAGE('26.10 Mbarara-Ibanda-24hr'!L94,'28.10 Mbarara-Ibanda-24hr'!L94)</f>
        <v>0</v>
      </c>
      <c r="M94" s="49">
        <f>AVERAGE('26.10 Mbarara-Ibanda-24hr'!M94,'28.10 Mbarara-Ibanda-24hr'!M94)</f>
        <v>1.5</v>
      </c>
      <c r="N94" s="49">
        <f>AVERAGE('26.10 Mbarara-Ibanda-24hr'!N94,'28.10 Mbarara-Ibanda-24hr'!N94)</f>
        <v>0</v>
      </c>
      <c r="O94" s="15">
        <f t="shared" si="35"/>
        <v>0.5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AVERAGE('26.10 Mbarara-Ibanda-24hr'!C95,'28.10 Mbarara-Ibanda-24hr'!C95)</f>
        <v>0</v>
      </c>
      <c r="D95" s="49">
        <f>AVERAGE('26.10 Mbarara-Ibanda-24hr'!D95,'28.10 Mbarara-Ibanda-24hr'!D95)</f>
        <v>0.5</v>
      </c>
      <c r="E95" s="49">
        <f>AVERAGE('26.10 Mbarara-Ibanda-24hr'!E95,'28.10 Mbarara-Ibanda-24hr'!E95)</f>
        <v>0</v>
      </c>
      <c r="F95" s="49">
        <f>AVERAGE('26.10 Mbarara-Ibanda-24hr'!F95,'28.10 Mbarara-Ibanda-24hr'!F95)</f>
        <v>0</v>
      </c>
      <c r="G95" s="49">
        <f>AVERAGE('26.10 Mbarara-Ibanda-24hr'!G95,'28.10 Mbarara-Ibanda-24hr'!G95)</f>
        <v>0</v>
      </c>
      <c r="H95" s="49">
        <f>AVERAGE('26.10 Mbarara-Ibanda-24hr'!H95,'28.10 Mbarara-Ibanda-24hr'!H95)</f>
        <v>0</v>
      </c>
      <c r="I95" s="49">
        <f>AVERAGE('26.10 Mbarara-Ibanda-24hr'!I95,'28.10 Mbarara-Ibanda-24hr'!I95)</f>
        <v>0</v>
      </c>
      <c r="J95" s="49">
        <f>AVERAGE('26.10 Mbarara-Ibanda-24hr'!J95,'28.10 Mbarara-Ibanda-24hr'!J95)</f>
        <v>0</v>
      </c>
      <c r="K95" s="49">
        <f>AVERAGE('26.10 Mbarara-Ibanda-24hr'!K95,'28.10 Mbarara-Ibanda-24hr'!K95)</f>
        <v>0</v>
      </c>
      <c r="L95" s="49">
        <f>AVERAGE('26.10 Mbarara-Ibanda-24hr'!L95,'28.10 Mbarara-Ibanda-24hr'!L95)</f>
        <v>0</v>
      </c>
      <c r="M95" s="49">
        <f>AVERAGE('26.10 Mbarara-Ibanda-24hr'!M95,'28.10 Mbarara-Ibanda-24hr'!M95)</f>
        <v>0</v>
      </c>
      <c r="N95" s="49">
        <f>AVERAGE('26.10 Mbarara-Ibanda-24hr'!N95,'28.10 Mbarara-Ibanda-24hr'!N95)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AVERAGE('26.10 Mbarara-Ibanda-24hr'!C96,'28.10 Mbarara-Ibanda-24hr'!C96)</f>
        <v>0.5</v>
      </c>
      <c r="D96" s="49">
        <f>AVERAGE('26.10 Mbarara-Ibanda-24hr'!D96,'28.10 Mbarara-Ibanda-24hr'!D96)</f>
        <v>0</v>
      </c>
      <c r="E96" s="49">
        <f>AVERAGE('26.10 Mbarara-Ibanda-24hr'!E96,'28.10 Mbarara-Ibanda-24hr'!E96)</f>
        <v>1</v>
      </c>
      <c r="F96" s="49">
        <f>AVERAGE('26.10 Mbarara-Ibanda-24hr'!F96,'28.10 Mbarara-Ibanda-24hr'!F96)</f>
        <v>0.5</v>
      </c>
      <c r="G96" s="49">
        <f>AVERAGE('26.10 Mbarara-Ibanda-24hr'!G96,'28.10 Mbarara-Ibanda-24hr'!G96)</f>
        <v>0</v>
      </c>
      <c r="H96" s="49">
        <f>AVERAGE('26.10 Mbarara-Ibanda-24hr'!H96,'28.10 Mbarara-Ibanda-24hr'!H96)</f>
        <v>0</v>
      </c>
      <c r="I96" s="49">
        <f>AVERAGE('26.10 Mbarara-Ibanda-24hr'!I96,'28.10 Mbarara-Ibanda-24hr'!I96)</f>
        <v>0</v>
      </c>
      <c r="J96" s="49">
        <f>AVERAGE('26.10 Mbarara-Ibanda-24hr'!J96,'28.10 Mbarara-Ibanda-24hr'!J96)</f>
        <v>0</v>
      </c>
      <c r="K96" s="49">
        <f>AVERAGE('26.10 Mbarara-Ibanda-24hr'!K96,'28.10 Mbarara-Ibanda-24hr'!K96)</f>
        <v>0.5</v>
      </c>
      <c r="L96" s="49">
        <f>AVERAGE('26.10 Mbarara-Ibanda-24hr'!L96,'28.10 Mbarara-Ibanda-24hr'!L96)</f>
        <v>0</v>
      </c>
      <c r="M96" s="49">
        <f>AVERAGE('26.10 Mbarara-Ibanda-24hr'!M96,'28.10 Mbarara-Ibanda-24hr'!M96)</f>
        <v>0.5</v>
      </c>
      <c r="N96" s="49">
        <f>AVERAGE('26.10 Mbarara-Ibanda-24hr'!N96,'28.10 Mbarara-Ibanda-24hr'!N96)</f>
        <v>0</v>
      </c>
      <c r="O96" s="15">
        <f t="shared" si="35"/>
        <v>2.5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AVERAGE('26.10 Mbarara-Ibanda-24hr'!C97,'28.10 Mbarara-Ibanda-24hr'!C97)</f>
        <v>0</v>
      </c>
      <c r="D97" s="49">
        <f>AVERAGE('26.10 Mbarara-Ibanda-24hr'!D97,'28.10 Mbarara-Ibanda-24hr'!D97)</f>
        <v>0</v>
      </c>
      <c r="E97" s="49">
        <f>AVERAGE('26.10 Mbarara-Ibanda-24hr'!E97,'28.10 Mbarara-Ibanda-24hr'!E97)</f>
        <v>0</v>
      </c>
      <c r="F97" s="49">
        <f>AVERAGE('26.10 Mbarara-Ibanda-24hr'!F97,'28.10 Mbarara-Ibanda-24hr'!F97)</f>
        <v>0</v>
      </c>
      <c r="G97" s="49">
        <f>AVERAGE('26.10 Mbarara-Ibanda-24hr'!G97,'28.10 Mbarara-Ibanda-24hr'!G97)</f>
        <v>0</v>
      </c>
      <c r="H97" s="49">
        <f>AVERAGE('26.10 Mbarara-Ibanda-24hr'!H97,'28.10 Mbarara-Ibanda-24hr'!H97)</f>
        <v>0</v>
      </c>
      <c r="I97" s="49">
        <f>AVERAGE('26.10 Mbarara-Ibanda-24hr'!I97,'28.10 Mbarara-Ibanda-24hr'!I97)</f>
        <v>1</v>
      </c>
      <c r="J97" s="49">
        <f>AVERAGE('26.10 Mbarara-Ibanda-24hr'!J97,'28.10 Mbarara-Ibanda-24hr'!J97)</f>
        <v>0.5</v>
      </c>
      <c r="K97" s="49">
        <f>AVERAGE('26.10 Mbarara-Ibanda-24hr'!K97,'28.10 Mbarara-Ibanda-24hr'!K97)</f>
        <v>0</v>
      </c>
      <c r="L97" s="49">
        <f>AVERAGE('26.10 Mbarara-Ibanda-24hr'!L97,'28.10 Mbarara-Ibanda-24hr'!L97)</f>
        <v>0</v>
      </c>
      <c r="M97" s="49">
        <f>AVERAGE('26.10 Mbarara-Ibanda-24hr'!M97,'28.10 Mbarara-Ibanda-24hr'!M97)</f>
        <v>1</v>
      </c>
      <c r="N97" s="49">
        <f>AVERAGE('26.10 Mbarara-Ibanda-24hr'!N97,'28.10 Mbarara-Ibanda-24hr'!N97)</f>
        <v>0</v>
      </c>
      <c r="O97" s="15">
        <f t="shared" si="35"/>
        <v>1.5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AVERAGE('26.10 Mbarara-Ibanda-24hr'!C98,'28.10 Mbarara-Ibanda-24hr'!C98)</f>
        <v>0</v>
      </c>
      <c r="D98" s="49">
        <f>AVERAGE('26.10 Mbarara-Ibanda-24hr'!D98,'28.10 Mbarara-Ibanda-24hr'!D98)</f>
        <v>0</v>
      </c>
      <c r="E98" s="49">
        <f>AVERAGE('26.10 Mbarara-Ibanda-24hr'!E98,'28.10 Mbarara-Ibanda-24hr'!E98)</f>
        <v>0</v>
      </c>
      <c r="F98" s="49">
        <f>AVERAGE('26.10 Mbarara-Ibanda-24hr'!F98,'28.10 Mbarara-Ibanda-24hr'!F98)</f>
        <v>0</v>
      </c>
      <c r="G98" s="49">
        <f>AVERAGE('26.10 Mbarara-Ibanda-24hr'!G98,'28.10 Mbarara-Ibanda-24hr'!G98)</f>
        <v>0</v>
      </c>
      <c r="H98" s="49">
        <f>AVERAGE('26.10 Mbarara-Ibanda-24hr'!H98,'28.10 Mbarara-Ibanda-24hr'!H98)</f>
        <v>0</v>
      </c>
      <c r="I98" s="49">
        <f>AVERAGE('26.10 Mbarara-Ibanda-24hr'!I98,'28.10 Mbarara-Ibanda-24hr'!I98)</f>
        <v>0.5</v>
      </c>
      <c r="J98" s="49">
        <f>AVERAGE('26.10 Mbarara-Ibanda-24hr'!J98,'28.10 Mbarara-Ibanda-24hr'!J98)</f>
        <v>0.5</v>
      </c>
      <c r="K98" s="49">
        <f>AVERAGE('26.10 Mbarara-Ibanda-24hr'!K98,'28.10 Mbarara-Ibanda-24hr'!K98)</f>
        <v>0</v>
      </c>
      <c r="L98" s="49">
        <f>AVERAGE('26.10 Mbarara-Ibanda-24hr'!L98,'28.10 Mbarara-Ibanda-24hr'!L98)</f>
        <v>0</v>
      </c>
      <c r="M98" s="49">
        <f>AVERAGE('26.10 Mbarara-Ibanda-24hr'!M98,'28.10 Mbarara-Ibanda-24hr'!M98)</f>
        <v>1.5</v>
      </c>
      <c r="N98" s="49">
        <f>AVERAGE('26.10 Mbarara-Ibanda-24hr'!N98,'28.10 Mbarara-Ibanda-24hr'!N98)</f>
        <v>0</v>
      </c>
      <c r="O98" s="15">
        <f t="shared" si="35"/>
        <v>1</v>
      </c>
      <c r="P98" s="15">
        <f t="shared" si="36"/>
        <v>2.5</v>
      </c>
      <c r="R98" s="8"/>
      <c r="T98"/>
    </row>
    <row r="99" spans="2:20" ht="23.1" customHeight="1" x14ac:dyDescent="0.25">
      <c r="B99" s="23" t="s">
        <v>139</v>
      </c>
      <c r="C99" s="49">
        <f>AVERAGE('26.10 Mbarara-Ibanda-24hr'!C99,'28.10 Mbarara-Ibanda-24hr'!C99)</f>
        <v>0</v>
      </c>
      <c r="D99" s="49">
        <f>AVERAGE('26.10 Mbarara-Ibanda-24hr'!D99,'28.10 Mbarara-Ibanda-24hr'!D99)</f>
        <v>0</v>
      </c>
      <c r="E99" s="49">
        <f>AVERAGE('26.10 Mbarara-Ibanda-24hr'!E99,'28.10 Mbarara-Ibanda-24hr'!E99)</f>
        <v>1</v>
      </c>
      <c r="F99" s="49">
        <f>AVERAGE('26.10 Mbarara-Ibanda-24hr'!F99,'28.10 Mbarara-Ibanda-24hr'!F99)</f>
        <v>0</v>
      </c>
      <c r="G99" s="49">
        <f>AVERAGE('26.10 Mbarara-Ibanda-24hr'!G99,'28.10 Mbarara-Ibanda-24hr'!G99)</f>
        <v>0</v>
      </c>
      <c r="H99" s="49">
        <f>AVERAGE('26.10 Mbarara-Ibanda-24hr'!H99,'28.10 Mbarara-Ibanda-24hr'!H99)</f>
        <v>0</v>
      </c>
      <c r="I99" s="49">
        <f>AVERAGE('26.10 Mbarara-Ibanda-24hr'!I99,'28.10 Mbarara-Ibanda-24hr'!I99)</f>
        <v>0</v>
      </c>
      <c r="J99" s="49">
        <f>AVERAGE('26.10 Mbarara-Ibanda-24hr'!J99,'28.10 Mbarara-Ibanda-24hr'!J99)</f>
        <v>1</v>
      </c>
      <c r="K99" s="49">
        <f>AVERAGE('26.10 Mbarara-Ibanda-24hr'!K99,'28.10 Mbarara-Ibanda-24hr'!K99)</f>
        <v>0</v>
      </c>
      <c r="L99" s="49">
        <f>AVERAGE('26.10 Mbarara-Ibanda-24hr'!L99,'28.10 Mbarara-Ibanda-24hr'!L99)</f>
        <v>0</v>
      </c>
      <c r="M99" s="49">
        <f>AVERAGE('26.10 Mbarara-Ibanda-24hr'!M99,'28.10 Mbarara-Ibanda-24hr'!M99)</f>
        <v>0</v>
      </c>
      <c r="N99" s="49">
        <f>AVERAGE('26.10 Mbarara-Ibanda-24hr'!N99,'28.10 Mbarara-Ibanda-24hr'!N99)</f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AVERAGE('26.10 Mbarara-Ibanda-24hr'!C100,'28.10 Mbarara-Ibanda-24hr'!C100)</f>
        <v>1.5</v>
      </c>
      <c r="D100" s="49">
        <f>AVERAGE('26.10 Mbarara-Ibanda-24hr'!D100,'28.10 Mbarara-Ibanda-24hr'!D100)</f>
        <v>0</v>
      </c>
      <c r="E100" s="49">
        <f>AVERAGE('26.10 Mbarara-Ibanda-24hr'!E100,'28.10 Mbarara-Ibanda-24hr'!E100)</f>
        <v>0</v>
      </c>
      <c r="F100" s="49">
        <f>AVERAGE('26.10 Mbarara-Ibanda-24hr'!F100,'28.10 Mbarara-Ibanda-24hr'!F100)</f>
        <v>0</v>
      </c>
      <c r="G100" s="49">
        <f>AVERAGE('26.10 Mbarara-Ibanda-24hr'!G100,'28.10 Mbarara-Ibanda-24hr'!G100)</f>
        <v>0</v>
      </c>
      <c r="H100" s="49">
        <f>AVERAGE('26.10 Mbarara-Ibanda-24hr'!H100,'28.10 Mbarara-Ibanda-24hr'!H100)</f>
        <v>0</v>
      </c>
      <c r="I100" s="49">
        <f>AVERAGE('26.10 Mbarara-Ibanda-24hr'!I100,'28.10 Mbarara-Ibanda-24hr'!I100)</f>
        <v>0</v>
      </c>
      <c r="J100" s="49">
        <f>AVERAGE('26.10 Mbarara-Ibanda-24hr'!J100,'28.10 Mbarara-Ibanda-24hr'!J100)</f>
        <v>0</v>
      </c>
      <c r="K100" s="49">
        <f>AVERAGE('26.10 Mbarara-Ibanda-24hr'!K100,'28.10 Mbarara-Ibanda-24hr'!K100)</f>
        <v>1</v>
      </c>
      <c r="L100" s="49">
        <f>AVERAGE('26.10 Mbarara-Ibanda-24hr'!L100,'28.10 Mbarara-Ibanda-24hr'!L100)</f>
        <v>0</v>
      </c>
      <c r="M100" s="49">
        <f>AVERAGE('26.10 Mbarara-Ibanda-24hr'!M100,'28.10 Mbarara-Ibanda-24hr'!M100)</f>
        <v>0.5</v>
      </c>
      <c r="N100" s="49">
        <f>AVERAGE('26.10 Mbarara-Ibanda-24hr'!N100,'28.10 Mbarara-Ibanda-24hr'!N100)</f>
        <v>0</v>
      </c>
      <c r="O100" s="15">
        <f t="shared" si="35"/>
        <v>2.5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AVERAGE('26.10 Mbarara-Ibanda-24hr'!C101,'28.10 Mbarara-Ibanda-24hr'!C101)</f>
        <v>0</v>
      </c>
      <c r="D101" s="49">
        <f>AVERAGE('26.10 Mbarara-Ibanda-24hr'!D101,'28.10 Mbarara-Ibanda-24hr'!D101)</f>
        <v>0.5</v>
      </c>
      <c r="E101" s="49">
        <f>AVERAGE('26.10 Mbarara-Ibanda-24hr'!E101,'28.10 Mbarara-Ibanda-24hr'!E101)</f>
        <v>1</v>
      </c>
      <c r="F101" s="49">
        <f>AVERAGE('26.10 Mbarara-Ibanda-24hr'!F101,'28.10 Mbarara-Ibanda-24hr'!F101)</f>
        <v>0</v>
      </c>
      <c r="G101" s="49">
        <f>AVERAGE('26.10 Mbarara-Ibanda-24hr'!G101,'28.10 Mbarara-Ibanda-24hr'!G101)</f>
        <v>0</v>
      </c>
      <c r="H101" s="49">
        <f>AVERAGE('26.10 Mbarara-Ibanda-24hr'!H101,'28.10 Mbarara-Ibanda-24hr'!H101)</f>
        <v>0</v>
      </c>
      <c r="I101" s="49">
        <f>AVERAGE('26.10 Mbarara-Ibanda-24hr'!I101,'28.10 Mbarara-Ibanda-24hr'!I101)</f>
        <v>0.5</v>
      </c>
      <c r="J101" s="49">
        <f>AVERAGE('26.10 Mbarara-Ibanda-24hr'!J101,'28.10 Mbarara-Ibanda-24hr'!J101)</f>
        <v>0.5</v>
      </c>
      <c r="K101" s="49">
        <f>AVERAGE('26.10 Mbarara-Ibanda-24hr'!K101,'28.10 Mbarara-Ibanda-24hr'!K101)</f>
        <v>0</v>
      </c>
      <c r="L101" s="49">
        <f>AVERAGE('26.10 Mbarara-Ibanda-24hr'!L101,'28.10 Mbarara-Ibanda-24hr'!L101)</f>
        <v>0</v>
      </c>
      <c r="M101" s="49">
        <f>AVERAGE('26.10 Mbarara-Ibanda-24hr'!M101,'28.10 Mbarara-Ibanda-24hr'!M101)</f>
        <v>1.5</v>
      </c>
      <c r="N101" s="49">
        <f>AVERAGE('26.10 Mbarara-Ibanda-24hr'!N101,'28.10 Mbarara-Ibanda-24hr'!N101)</f>
        <v>0</v>
      </c>
      <c r="O101" s="15">
        <f t="shared" si="35"/>
        <v>2.5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AVERAGE('26.10 Mbarara-Ibanda-24hr'!C102,'28.10 Mbarara-Ibanda-24hr'!C102)</f>
        <v>2.5</v>
      </c>
      <c r="D102" s="49">
        <f>AVERAGE('26.10 Mbarara-Ibanda-24hr'!D102,'28.10 Mbarara-Ibanda-24hr'!D102)</f>
        <v>0.5</v>
      </c>
      <c r="E102" s="49">
        <f>AVERAGE('26.10 Mbarara-Ibanda-24hr'!E102,'28.10 Mbarara-Ibanda-24hr'!E102)</f>
        <v>0.5</v>
      </c>
      <c r="F102" s="49">
        <f>AVERAGE('26.10 Mbarara-Ibanda-24hr'!F102,'28.10 Mbarara-Ibanda-24hr'!F102)</f>
        <v>0</v>
      </c>
      <c r="G102" s="49">
        <f>AVERAGE('26.10 Mbarara-Ibanda-24hr'!G102,'28.10 Mbarara-Ibanda-24hr'!G102)</f>
        <v>0</v>
      </c>
      <c r="H102" s="49">
        <f>AVERAGE('26.10 Mbarara-Ibanda-24hr'!H102,'28.10 Mbarara-Ibanda-24hr'!H102)</f>
        <v>0</v>
      </c>
      <c r="I102" s="49">
        <f>AVERAGE('26.10 Mbarara-Ibanda-24hr'!I102,'28.10 Mbarara-Ibanda-24hr'!I102)</f>
        <v>1</v>
      </c>
      <c r="J102" s="49">
        <f>AVERAGE('26.10 Mbarara-Ibanda-24hr'!J102,'28.10 Mbarara-Ibanda-24hr'!J102)</f>
        <v>0</v>
      </c>
      <c r="K102" s="49">
        <f>AVERAGE('26.10 Mbarara-Ibanda-24hr'!K102,'28.10 Mbarara-Ibanda-24hr'!K102)</f>
        <v>0.5</v>
      </c>
      <c r="L102" s="49">
        <f>AVERAGE('26.10 Mbarara-Ibanda-24hr'!L102,'28.10 Mbarara-Ibanda-24hr'!L102)</f>
        <v>0</v>
      </c>
      <c r="M102" s="49">
        <f>AVERAGE('26.10 Mbarara-Ibanda-24hr'!M102,'28.10 Mbarara-Ibanda-24hr'!M102)</f>
        <v>0.5</v>
      </c>
      <c r="N102" s="49">
        <f>AVERAGE('26.10 Mbarara-Ibanda-24hr'!N102,'28.10 Mbarara-Ibanda-24hr'!N102)</f>
        <v>0</v>
      </c>
      <c r="O102" s="15">
        <f t="shared" si="35"/>
        <v>5</v>
      </c>
      <c r="P102" s="15">
        <f t="shared" si="36"/>
        <v>5.5</v>
      </c>
      <c r="R102" s="8"/>
      <c r="T102"/>
    </row>
    <row r="103" spans="2:20" ht="23.1" customHeight="1" x14ac:dyDescent="0.25">
      <c r="B103" s="23" t="s">
        <v>143</v>
      </c>
      <c r="C103" s="49">
        <f>AVERAGE('26.10 Mbarara-Ibanda-24hr'!C103,'28.10 Mbarara-Ibanda-24hr'!C103)</f>
        <v>3</v>
      </c>
      <c r="D103" s="49">
        <f>AVERAGE('26.10 Mbarara-Ibanda-24hr'!D103,'28.10 Mbarara-Ibanda-24hr'!D103)</f>
        <v>0.5</v>
      </c>
      <c r="E103" s="49">
        <f>AVERAGE('26.10 Mbarara-Ibanda-24hr'!E103,'28.10 Mbarara-Ibanda-24hr'!E103)</f>
        <v>1</v>
      </c>
      <c r="F103" s="49">
        <f>AVERAGE('26.10 Mbarara-Ibanda-24hr'!F103,'28.10 Mbarara-Ibanda-24hr'!F103)</f>
        <v>0</v>
      </c>
      <c r="G103" s="49">
        <f>AVERAGE('26.10 Mbarara-Ibanda-24hr'!G103,'28.10 Mbarara-Ibanda-24hr'!G103)</f>
        <v>0</v>
      </c>
      <c r="H103" s="49">
        <f>AVERAGE('26.10 Mbarara-Ibanda-24hr'!H103,'28.10 Mbarara-Ibanda-24hr'!H103)</f>
        <v>0</v>
      </c>
      <c r="I103" s="49">
        <f>AVERAGE('26.10 Mbarara-Ibanda-24hr'!I103,'28.10 Mbarara-Ibanda-24hr'!I103)</f>
        <v>1</v>
      </c>
      <c r="J103" s="49">
        <f>AVERAGE('26.10 Mbarara-Ibanda-24hr'!J103,'28.10 Mbarara-Ibanda-24hr'!J103)</f>
        <v>0</v>
      </c>
      <c r="K103" s="49">
        <f>AVERAGE('26.10 Mbarara-Ibanda-24hr'!K103,'28.10 Mbarara-Ibanda-24hr'!K103)</f>
        <v>0</v>
      </c>
      <c r="L103" s="49">
        <f>AVERAGE('26.10 Mbarara-Ibanda-24hr'!L103,'28.10 Mbarara-Ibanda-24hr'!L103)</f>
        <v>0</v>
      </c>
      <c r="M103" s="49">
        <f>AVERAGE('26.10 Mbarara-Ibanda-24hr'!M103,'28.10 Mbarara-Ibanda-24hr'!M103)</f>
        <v>2</v>
      </c>
      <c r="N103" s="49">
        <f>AVERAGE('26.10 Mbarara-Ibanda-24hr'!N103,'28.10 Mbarara-Ibanda-24hr'!N103)</f>
        <v>0</v>
      </c>
      <c r="O103" s="15">
        <f t="shared" si="35"/>
        <v>5.5</v>
      </c>
      <c r="P103" s="15">
        <f t="shared" si="36"/>
        <v>7.5</v>
      </c>
      <c r="R103" s="8"/>
      <c r="T103"/>
    </row>
    <row r="104" spans="2:20" ht="23.1" customHeight="1" x14ac:dyDescent="0.25">
      <c r="B104" s="25" t="s">
        <v>144</v>
      </c>
      <c r="C104" s="49">
        <f>AVERAGE('26.10 Mbarara-Ibanda-24hr'!C104,'28.10 Mbarara-Ibanda-24hr'!C104)</f>
        <v>2</v>
      </c>
      <c r="D104" s="49">
        <f>AVERAGE('26.10 Mbarara-Ibanda-24hr'!D104,'28.10 Mbarara-Ibanda-24hr'!D104)</f>
        <v>0</v>
      </c>
      <c r="E104" s="49">
        <f>AVERAGE('26.10 Mbarara-Ibanda-24hr'!E104,'28.10 Mbarara-Ibanda-24hr'!E104)</f>
        <v>0</v>
      </c>
      <c r="F104" s="49">
        <f>AVERAGE('26.10 Mbarara-Ibanda-24hr'!F104,'28.10 Mbarara-Ibanda-24hr'!F104)</f>
        <v>0</v>
      </c>
      <c r="G104" s="49">
        <f>AVERAGE('26.10 Mbarara-Ibanda-24hr'!G104,'28.10 Mbarara-Ibanda-24hr'!G104)</f>
        <v>0</v>
      </c>
      <c r="H104" s="49">
        <f>AVERAGE('26.10 Mbarara-Ibanda-24hr'!H104,'28.10 Mbarara-Ibanda-24hr'!H104)</f>
        <v>0</v>
      </c>
      <c r="I104" s="49">
        <f>AVERAGE('26.10 Mbarara-Ibanda-24hr'!I104,'28.10 Mbarara-Ibanda-24hr'!I104)</f>
        <v>2</v>
      </c>
      <c r="J104" s="49">
        <f>AVERAGE('26.10 Mbarara-Ibanda-24hr'!J104,'28.10 Mbarara-Ibanda-24hr'!J104)</f>
        <v>0</v>
      </c>
      <c r="K104" s="49">
        <f>AVERAGE('26.10 Mbarara-Ibanda-24hr'!K104,'28.10 Mbarara-Ibanda-24hr'!K104)</f>
        <v>0</v>
      </c>
      <c r="L104" s="49">
        <f>AVERAGE('26.10 Mbarara-Ibanda-24hr'!L104,'28.10 Mbarara-Ibanda-24hr'!L104)</f>
        <v>0</v>
      </c>
      <c r="M104" s="49">
        <f>AVERAGE('26.10 Mbarara-Ibanda-24hr'!M104,'28.10 Mbarara-Ibanda-24hr'!M104)</f>
        <v>3</v>
      </c>
      <c r="N104" s="49">
        <f>AVERAGE('26.10 Mbarara-Ibanda-24hr'!N104,'28.10 Mbarara-Ibanda-24hr'!N104)</f>
        <v>0</v>
      </c>
      <c r="O104" s="15">
        <f t="shared" si="35"/>
        <v>4</v>
      </c>
      <c r="P104" s="15">
        <f t="shared" si="36"/>
        <v>7</v>
      </c>
      <c r="R104" s="8"/>
      <c r="T104"/>
    </row>
    <row r="105" spans="2:20" ht="23.1" customHeight="1" x14ac:dyDescent="0.25">
      <c r="B105" s="23" t="s">
        <v>145</v>
      </c>
      <c r="C105" s="49">
        <f>AVERAGE('26.10 Mbarara-Ibanda-24hr'!C105,'28.10 Mbarara-Ibanda-24hr'!C105)</f>
        <v>2.5</v>
      </c>
      <c r="D105" s="49">
        <f>AVERAGE('26.10 Mbarara-Ibanda-24hr'!D105,'28.10 Mbarara-Ibanda-24hr'!D105)</f>
        <v>1</v>
      </c>
      <c r="E105" s="49">
        <f>AVERAGE('26.10 Mbarara-Ibanda-24hr'!E105,'28.10 Mbarara-Ibanda-24hr'!E105)</f>
        <v>0</v>
      </c>
      <c r="F105" s="49">
        <f>AVERAGE('26.10 Mbarara-Ibanda-24hr'!F105,'28.10 Mbarara-Ibanda-24hr'!F105)</f>
        <v>1</v>
      </c>
      <c r="G105" s="49">
        <f>AVERAGE('26.10 Mbarara-Ibanda-24hr'!G105,'28.10 Mbarara-Ibanda-24hr'!G105)</f>
        <v>0</v>
      </c>
      <c r="H105" s="49">
        <f>AVERAGE('26.10 Mbarara-Ibanda-24hr'!H105,'28.10 Mbarara-Ibanda-24hr'!H105)</f>
        <v>0</v>
      </c>
      <c r="I105" s="49">
        <f>AVERAGE('26.10 Mbarara-Ibanda-24hr'!I105,'28.10 Mbarara-Ibanda-24hr'!I105)</f>
        <v>0.5</v>
      </c>
      <c r="J105" s="49">
        <f>AVERAGE('26.10 Mbarara-Ibanda-24hr'!J105,'28.10 Mbarara-Ibanda-24hr'!J105)</f>
        <v>0</v>
      </c>
      <c r="K105" s="49">
        <f>AVERAGE('26.10 Mbarara-Ibanda-24hr'!K105,'28.10 Mbarara-Ibanda-24hr'!K105)</f>
        <v>0</v>
      </c>
      <c r="L105" s="49">
        <f>AVERAGE('26.10 Mbarara-Ibanda-24hr'!L105,'28.10 Mbarara-Ibanda-24hr'!L105)</f>
        <v>0</v>
      </c>
      <c r="M105" s="49">
        <f>AVERAGE('26.10 Mbarara-Ibanda-24hr'!M105,'28.10 Mbarara-Ibanda-24hr'!M105)</f>
        <v>5</v>
      </c>
      <c r="N105" s="49">
        <f>AVERAGE('26.10 Mbarara-Ibanda-24hr'!N105,'28.10 Mbarara-Ibanda-24hr'!N105)</f>
        <v>0</v>
      </c>
      <c r="O105" s="15">
        <f t="shared" si="35"/>
        <v>5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385.71428571428578</v>
      </c>
      <c r="D106" s="16">
        <f t="shared" ref="D106:P106" si="37">SUM(D10:D105)</f>
        <v>52.785714285714285</v>
      </c>
      <c r="E106" s="16">
        <f t="shared" si="37"/>
        <v>47.214285714285722</v>
      </c>
      <c r="F106" s="16">
        <f t="shared" si="37"/>
        <v>95.714285714285708</v>
      </c>
      <c r="G106" s="16">
        <f t="shared" si="37"/>
        <v>4.8571428571428568</v>
      </c>
      <c r="H106" s="16">
        <f t="shared" si="37"/>
        <v>7.6428571428571423</v>
      </c>
      <c r="I106" s="16">
        <f t="shared" si="37"/>
        <v>52.428571428571416</v>
      </c>
      <c r="J106" s="16">
        <f t="shared" si="37"/>
        <v>38.857142857142854</v>
      </c>
      <c r="K106" s="16">
        <f t="shared" si="37"/>
        <v>19.928571428571427</v>
      </c>
      <c r="L106" s="16">
        <f t="shared" si="37"/>
        <v>6.8571428571428577</v>
      </c>
      <c r="M106" s="16">
        <f t="shared" si="37"/>
        <v>540.64285714285711</v>
      </c>
      <c r="N106" s="16">
        <f t="shared" si="37"/>
        <v>1.4285714285714286</v>
      </c>
      <c r="O106" s="16">
        <f t="shared" si="37"/>
        <v>713.42857142857144</v>
      </c>
      <c r="P106" s="16">
        <f t="shared" si="37"/>
        <v>1254.0714285714289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0.30756963034687018</v>
      </c>
      <c r="D107" s="43">
        <f t="shared" si="38"/>
        <v>4.2091473486358708E-2</v>
      </c>
      <c r="E107" s="43">
        <f t="shared" si="38"/>
        <v>3.7648801048015032E-2</v>
      </c>
      <c r="F107" s="43">
        <f t="shared" si="38"/>
        <v>7.6322834197186287E-2</v>
      </c>
      <c r="G107" s="43">
        <f t="shared" si="38"/>
        <v>3.8730990488124381E-3</v>
      </c>
      <c r="H107" s="43">
        <f t="shared" si="38"/>
        <v>6.0944352679842776E-3</v>
      </c>
      <c r="I107" s="43">
        <f t="shared" si="38"/>
        <v>4.1806686791593078E-2</v>
      </c>
      <c r="J107" s="43">
        <f t="shared" si="38"/>
        <v>3.0984792390499505E-2</v>
      </c>
      <c r="K107" s="43">
        <f t="shared" si="38"/>
        <v>1.5891097567921623E-2</v>
      </c>
      <c r="L107" s="43">
        <f t="shared" si="38"/>
        <v>5.4679045394999135E-3</v>
      </c>
      <c r="M107" s="43">
        <f t="shared" si="38"/>
        <v>0.43111009853619625</v>
      </c>
      <c r="N107" s="43">
        <f t="shared" si="38"/>
        <v>1.139146779062482E-3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0.5406487785342412</v>
      </c>
      <c r="D108" s="44">
        <f t="shared" ref="D108:N108" si="39">D106/$O$106</f>
        <v>7.3988786543852617E-2</v>
      </c>
      <c r="E108" s="44">
        <f t="shared" si="39"/>
        <v>6.6179415298358038E-2</v>
      </c>
      <c r="F108" s="44">
        <f t="shared" si="39"/>
        <v>0.1341609931918302</v>
      </c>
      <c r="G108" s="44">
        <f t="shared" si="39"/>
        <v>6.8081698037645169E-3</v>
      </c>
      <c r="H108" s="44">
        <f t="shared" si="39"/>
        <v>1.0712855426511814E-2</v>
      </c>
      <c r="I108" s="44">
        <f t="shared" si="39"/>
        <v>7.3488185822987565E-2</v>
      </c>
      <c r="J108" s="44">
        <f t="shared" si="39"/>
        <v>5.4465358430116136E-2</v>
      </c>
      <c r="K108" s="44">
        <f t="shared" si="39"/>
        <v>2.7933520224269121E-2</v>
      </c>
      <c r="L108" s="44">
        <f t="shared" si="39"/>
        <v>9.6115338406087304E-3</v>
      </c>
      <c r="M108" s="44"/>
      <c r="N108" s="44">
        <f t="shared" si="39"/>
        <v>2.0024028834601522E-3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H67" zoomScale="60" workbookViewId="0">
      <selection activeCell="AE57" sqref="A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'31.10 Mbarara-Ibanda'!C3:G3</f>
        <v>MCC - C4 - STN102 - IBANDA-MBARARA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162</v>
      </c>
      <c r="E5" s="63"/>
      <c r="F5" s="41" t="s">
        <v>1</v>
      </c>
      <c r="G5" s="60" t="str">
        <f>'Avg Week Mbarara-Ibanda'!G5:H5</f>
        <v>RUHUMBA</v>
      </c>
      <c r="H5" s="61"/>
      <c r="I5" s="14"/>
      <c r="J5" s="2" t="s">
        <v>5</v>
      </c>
      <c r="K5" s="60" t="str">
        <f>'Avg Week Mbarara-Ibanda'!K5:L5</f>
        <v>XXX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161</v>
      </c>
      <c r="E6" s="66"/>
      <c r="F6" s="2" t="s">
        <v>2</v>
      </c>
      <c r="G6" s="65" t="s">
        <v>161</v>
      </c>
      <c r="H6" s="66"/>
      <c r="J6" s="2" t="s">
        <v>21</v>
      </c>
      <c r="K6" s="60" t="str">
        <f>'Avg Week Mbarara-Ibanda'!K6:L6</f>
        <v>TURYAHABWE NORMAN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Ibanda-Mbarara'!C10+'Avg Week Mbarara-Ibanda'!C10</f>
        <v>4.4285714285714288</v>
      </c>
      <c r="D10" s="49">
        <f>'Avg Week Ibanda-Mbarara'!D10+'Avg Week Mbarara-Ibanda'!D10</f>
        <v>1</v>
      </c>
      <c r="E10" s="49">
        <f>'Avg Week Ibanda-Mbarara'!E10+'Avg Week Mbarara-Ibanda'!E10</f>
        <v>0.71428571428571419</v>
      </c>
      <c r="F10" s="49">
        <f>'Avg Week Ibanda-Mbarara'!F10+'Avg Week Mbarara-Ibanda'!F10</f>
        <v>3</v>
      </c>
      <c r="G10" s="49">
        <f>'Avg Week Ibanda-Mbarara'!G10+'Avg Week Mbarara-Ibanda'!G10</f>
        <v>0</v>
      </c>
      <c r="H10" s="49">
        <f>'Avg Week Ibanda-Mbarara'!H10+'Avg Week Mbarara-Ibanda'!H10</f>
        <v>0.14285714285714285</v>
      </c>
      <c r="I10" s="49">
        <f>'Avg Week Ibanda-Mbarara'!I10+'Avg Week Mbarara-Ibanda'!I10</f>
        <v>0.2857142857142857</v>
      </c>
      <c r="J10" s="49">
        <f>'Avg Week Ibanda-Mbarara'!J10+'Avg Week Mbarara-Ibanda'!J10</f>
        <v>0.2857142857142857</v>
      </c>
      <c r="K10" s="49">
        <f>'Avg Week Ibanda-Mbarara'!K10+'Avg Week Mbarara-Ibanda'!K10</f>
        <v>0.14285714285714285</v>
      </c>
      <c r="L10" s="49">
        <f>'Avg Week Ibanda-Mbarara'!L10+'Avg Week Mbarara-Ibanda'!L10</f>
        <v>0</v>
      </c>
      <c r="M10" s="49">
        <f>'Avg Week Ibanda-Mbarara'!M10+'Avg Week Mbarara-Ibanda'!M10</f>
        <v>9</v>
      </c>
      <c r="N10" s="49">
        <f>'Avg Week Ibanda-Mbarara'!N10+'Avg Week Mbarara-Ibanda'!N10</f>
        <v>0</v>
      </c>
      <c r="O10" s="15">
        <f t="shared" ref="O10:O73" si="0">SUM(C10:L10,N10)</f>
        <v>10</v>
      </c>
      <c r="P10" s="15">
        <f t="shared" ref="P10:P73" si="1">SUM(C10:N10)</f>
        <v>19</v>
      </c>
      <c r="R10" s="1" t="s">
        <v>6</v>
      </c>
      <c r="S10" s="17">
        <f t="shared" ref="S10:AF10" si="2">SUM(C10:C13)</f>
        <v>29.428571428571427</v>
      </c>
      <c r="T10" s="17">
        <f t="shared" si="2"/>
        <v>4.5714285714285712</v>
      </c>
      <c r="U10" s="17">
        <f t="shared" si="2"/>
        <v>2.5714285714285712</v>
      </c>
      <c r="V10" s="17">
        <f t="shared" si="2"/>
        <v>11.857142857142858</v>
      </c>
      <c r="W10" s="17">
        <f t="shared" si="2"/>
        <v>0.14285714285714285</v>
      </c>
      <c r="X10" s="17">
        <f t="shared" si="2"/>
        <v>0.42857142857142855</v>
      </c>
      <c r="Y10" s="17">
        <f t="shared" si="2"/>
        <v>1.5714285714285714</v>
      </c>
      <c r="Z10" s="17">
        <f t="shared" si="2"/>
        <v>2.5714285714285707</v>
      </c>
      <c r="AA10" s="17">
        <f t="shared" si="2"/>
        <v>0.99999999999999989</v>
      </c>
      <c r="AB10" s="17">
        <f t="shared" si="2"/>
        <v>0.2857142857142857</v>
      </c>
      <c r="AC10" s="17">
        <f t="shared" si="2"/>
        <v>45</v>
      </c>
      <c r="AD10" s="17">
        <f t="shared" si="2"/>
        <v>0</v>
      </c>
      <c r="AE10" s="31">
        <f t="shared" si="2"/>
        <v>54.428571428571423</v>
      </c>
      <c r="AF10" s="31">
        <f t="shared" si="2"/>
        <v>99.428571428571416</v>
      </c>
    </row>
    <row r="11" spans="2:32" s="6" customFormat="1" ht="23.1" customHeight="1" x14ac:dyDescent="0.25">
      <c r="B11" s="23" t="s">
        <v>38</v>
      </c>
      <c r="C11" s="49">
        <f>'Avg Week Ibanda-Mbarara'!C11+'Avg Week Mbarara-Ibanda'!C11</f>
        <v>6.5714285714285712</v>
      </c>
      <c r="D11" s="49">
        <f>'Avg Week Ibanda-Mbarara'!D11+'Avg Week Mbarara-Ibanda'!D11</f>
        <v>0.5714285714285714</v>
      </c>
      <c r="E11" s="49">
        <f>'Avg Week Ibanda-Mbarara'!E11+'Avg Week Mbarara-Ibanda'!E11</f>
        <v>0.2857142857142857</v>
      </c>
      <c r="F11" s="49">
        <f>'Avg Week Ibanda-Mbarara'!F11+'Avg Week Mbarara-Ibanda'!F11</f>
        <v>2.7142857142857144</v>
      </c>
      <c r="G11" s="49">
        <f>'Avg Week Ibanda-Mbarara'!G11+'Avg Week Mbarara-Ibanda'!G11</f>
        <v>0.14285714285714285</v>
      </c>
      <c r="H11" s="49">
        <f>'Avg Week Ibanda-Mbarara'!H11+'Avg Week Mbarara-Ibanda'!H11</f>
        <v>0</v>
      </c>
      <c r="I11" s="49">
        <f>'Avg Week Ibanda-Mbarara'!I11+'Avg Week Mbarara-Ibanda'!I11</f>
        <v>0.5714285714285714</v>
      </c>
      <c r="J11" s="49">
        <f>'Avg Week Ibanda-Mbarara'!J11+'Avg Week Mbarara-Ibanda'!J11</f>
        <v>1.2857142857142856</v>
      </c>
      <c r="K11" s="49">
        <f>'Avg Week Ibanda-Mbarara'!K11+'Avg Week Mbarara-Ibanda'!K11</f>
        <v>0.14285714285714285</v>
      </c>
      <c r="L11" s="49">
        <f>'Avg Week Ibanda-Mbarara'!L11+'Avg Week Mbarara-Ibanda'!L11</f>
        <v>0</v>
      </c>
      <c r="M11" s="49">
        <f>'Avg Week Ibanda-Mbarara'!M11+'Avg Week Mbarara-Ibanda'!M11</f>
        <v>10.714285714285715</v>
      </c>
      <c r="N11" s="49">
        <f>'Avg Week Ibanda-Mbarara'!N11+'Avg Week Mbarara-Ibanda'!N11</f>
        <v>0</v>
      </c>
      <c r="O11" s="15">
        <f t="shared" si="0"/>
        <v>12.285714285714285</v>
      </c>
      <c r="P11" s="15">
        <f t="shared" si="1"/>
        <v>23</v>
      </c>
      <c r="R11" s="1" t="s">
        <v>7</v>
      </c>
      <c r="S11" s="17">
        <f t="shared" ref="S11:AF11" si="3">SUM(C14:C17)</f>
        <v>43.285714285714292</v>
      </c>
      <c r="T11" s="17">
        <f t="shared" si="3"/>
        <v>5.8571428571428568</v>
      </c>
      <c r="U11" s="17">
        <f t="shared" si="3"/>
        <v>3.4285714285714288</v>
      </c>
      <c r="V11" s="17">
        <f t="shared" si="3"/>
        <v>15.857142857142856</v>
      </c>
      <c r="W11" s="17">
        <f t="shared" si="3"/>
        <v>0.5714285714285714</v>
      </c>
      <c r="X11" s="17">
        <f t="shared" si="3"/>
        <v>1.1428571428571428</v>
      </c>
      <c r="Y11" s="17">
        <f t="shared" si="3"/>
        <v>1.5714285714285712</v>
      </c>
      <c r="Z11" s="17">
        <f t="shared" si="3"/>
        <v>3.2857142857142856</v>
      </c>
      <c r="AA11" s="17">
        <f t="shared" si="3"/>
        <v>1.2857142857142856</v>
      </c>
      <c r="AB11" s="17">
        <f t="shared" si="3"/>
        <v>0.5714285714285714</v>
      </c>
      <c r="AC11" s="17">
        <f t="shared" si="3"/>
        <v>71.571428571428569</v>
      </c>
      <c r="AD11" s="17">
        <f t="shared" si="3"/>
        <v>0</v>
      </c>
      <c r="AE11" s="31">
        <f t="shared" si="3"/>
        <v>76.857142857142861</v>
      </c>
      <c r="AF11" s="31">
        <f t="shared" si="3"/>
        <v>148.42857142857142</v>
      </c>
    </row>
    <row r="12" spans="2:32" ht="23.1" customHeight="1" x14ac:dyDescent="0.25">
      <c r="B12" s="23" t="s">
        <v>39</v>
      </c>
      <c r="C12" s="49">
        <f>'Avg Week Ibanda-Mbarara'!C12+'Avg Week Mbarara-Ibanda'!C12</f>
        <v>8.1428571428571423</v>
      </c>
      <c r="D12" s="49">
        <f>'Avg Week Ibanda-Mbarara'!D12+'Avg Week Mbarara-Ibanda'!D12</f>
        <v>1.2857142857142856</v>
      </c>
      <c r="E12" s="49">
        <f>'Avg Week Ibanda-Mbarara'!E12+'Avg Week Mbarara-Ibanda'!E12</f>
        <v>0.2857142857142857</v>
      </c>
      <c r="F12" s="49">
        <f>'Avg Week Ibanda-Mbarara'!F12+'Avg Week Mbarara-Ibanda'!F12</f>
        <v>3.7142857142857144</v>
      </c>
      <c r="G12" s="49">
        <f>'Avg Week Ibanda-Mbarara'!G12+'Avg Week Mbarara-Ibanda'!G12</f>
        <v>0</v>
      </c>
      <c r="H12" s="49">
        <f>'Avg Week Ibanda-Mbarara'!H12+'Avg Week Mbarara-Ibanda'!H12</f>
        <v>0.14285714285714285</v>
      </c>
      <c r="I12" s="49">
        <f>'Avg Week Ibanda-Mbarara'!I12+'Avg Week Mbarara-Ibanda'!I12</f>
        <v>0.2857142857142857</v>
      </c>
      <c r="J12" s="49">
        <f>'Avg Week Ibanda-Mbarara'!J12+'Avg Week Mbarara-Ibanda'!J12</f>
        <v>0.5714285714285714</v>
      </c>
      <c r="K12" s="49">
        <f>'Avg Week Ibanda-Mbarara'!K12+'Avg Week Mbarara-Ibanda'!K12</f>
        <v>0.42857142857142855</v>
      </c>
      <c r="L12" s="49">
        <f>'Avg Week Ibanda-Mbarara'!L12+'Avg Week Mbarara-Ibanda'!L12</f>
        <v>0.14285714285714285</v>
      </c>
      <c r="M12" s="49">
        <f>'Avg Week Ibanda-Mbarara'!M12+'Avg Week Mbarara-Ibanda'!M12</f>
        <v>12</v>
      </c>
      <c r="N12" s="49">
        <f>'Avg Week Ibanda-Mbarara'!N12+'Avg Week Mbarara-Ibanda'!N12</f>
        <v>0</v>
      </c>
      <c r="O12" s="15">
        <f t="shared" si="0"/>
        <v>14.999999999999998</v>
      </c>
      <c r="P12" s="15">
        <f t="shared" si="1"/>
        <v>27</v>
      </c>
      <c r="R12" s="1" t="s">
        <v>8</v>
      </c>
      <c r="S12" s="17">
        <f t="shared" ref="S12:AF12" si="4">SUM(C18:C21)</f>
        <v>41.428571428571431</v>
      </c>
      <c r="T12" s="17">
        <f t="shared" si="4"/>
        <v>3.4285714285714284</v>
      </c>
      <c r="U12" s="17">
        <f t="shared" si="4"/>
        <v>6</v>
      </c>
      <c r="V12" s="17">
        <f t="shared" si="4"/>
        <v>13.285714285714286</v>
      </c>
      <c r="W12" s="17">
        <f t="shared" si="4"/>
        <v>0.14285714285714285</v>
      </c>
      <c r="X12" s="17">
        <f t="shared" si="4"/>
        <v>0.2857142857142857</v>
      </c>
      <c r="Y12" s="17">
        <f t="shared" si="4"/>
        <v>3.2857142857142856</v>
      </c>
      <c r="Z12" s="17">
        <f t="shared" si="4"/>
        <v>2.4285714285714284</v>
      </c>
      <c r="AA12" s="17">
        <f t="shared" si="4"/>
        <v>0.8571428571428571</v>
      </c>
      <c r="AB12" s="17">
        <f t="shared" si="4"/>
        <v>1.4285714285714284</v>
      </c>
      <c r="AC12" s="17">
        <f t="shared" si="4"/>
        <v>80.714285714285708</v>
      </c>
      <c r="AD12" s="17">
        <f t="shared" si="4"/>
        <v>0</v>
      </c>
      <c r="AE12" s="31">
        <f t="shared" si="4"/>
        <v>72.571428571428584</v>
      </c>
      <c r="AF12" s="31">
        <f t="shared" si="4"/>
        <v>153.28571428571428</v>
      </c>
    </row>
    <row r="13" spans="2:32" ht="23.1" customHeight="1" x14ac:dyDescent="0.25">
      <c r="B13" s="23" t="s">
        <v>40</v>
      </c>
      <c r="C13" s="49">
        <f>'Avg Week Ibanda-Mbarara'!C13+'Avg Week Mbarara-Ibanda'!C13</f>
        <v>10.285714285714285</v>
      </c>
      <c r="D13" s="49">
        <f>'Avg Week Ibanda-Mbarara'!D13+'Avg Week Mbarara-Ibanda'!D13</f>
        <v>1.7142857142857142</v>
      </c>
      <c r="E13" s="49">
        <f>'Avg Week Ibanda-Mbarara'!E13+'Avg Week Mbarara-Ibanda'!E13</f>
        <v>1.2857142857142856</v>
      </c>
      <c r="F13" s="49">
        <f>'Avg Week Ibanda-Mbarara'!F13+'Avg Week Mbarara-Ibanda'!F13</f>
        <v>2.4285714285714284</v>
      </c>
      <c r="G13" s="49">
        <f>'Avg Week Ibanda-Mbarara'!G13+'Avg Week Mbarara-Ibanda'!G13</f>
        <v>0</v>
      </c>
      <c r="H13" s="49">
        <f>'Avg Week Ibanda-Mbarara'!H13+'Avg Week Mbarara-Ibanda'!H13</f>
        <v>0.14285714285714285</v>
      </c>
      <c r="I13" s="49">
        <f>'Avg Week Ibanda-Mbarara'!I13+'Avg Week Mbarara-Ibanda'!I13</f>
        <v>0.42857142857142855</v>
      </c>
      <c r="J13" s="49">
        <f>'Avg Week Ibanda-Mbarara'!J13+'Avg Week Mbarara-Ibanda'!J13</f>
        <v>0.42857142857142855</v>
      </c>
      <c r="K13" s="49">
        <f>'Avg Week Ibanda-Mbarara'!K13+'Avg Week Mbarara-Ibanda'!K13</f>
        <v>0.2857142857142857</v>
      </c>
      <c r="L13" s="49">
        <f>'Avg Week Ibanda-Mbarara'!L13+'Avg Week Mbarara-Ibanda'!L13</f>
        <v>0.14285714285714285</v>
      </c>
      <c r="M13" s="49">
        <f>'Avg Week Ibanda-Mbarara'!M13+'Avg Week Mbarara-Ibanda'!M13</f>
        <v>13.285714285714286</v>
      </c>
      <c r="N13" s="49">
        <f>'Avg Week Ibanda-Mbarara'!N13+'Avg Week Mbarara-Ibanda'!N13</f>
        <v>0</v>
      </c>
      <c r="O13" s="15">
        <f t="shared" si="0"/>
        <v>17.142857142857139</v>
      </c>
      <c r="P13" s="15">
        <f t="shared" si="1"/>
        <v>30.428571428571423</v>
      </c>
      <c r="R13" s="1" t="s">
        <v>9</v>
      </c>
      <c r="S13" s="17">
        <f t="shared" ref="S13:AF13" si="5">SUM(C22:C25)</f>
        <v>52.714285714285715</v>
      </c>
      <c r="T13" s="17">
        <f t="shared" si="5"/>
        <v>4.1428571428571423</v>
      </c>
      <c r="U13" s="17">
        <f t="shared" si="5"/>
        <v>7.5714285714285712</v>
      </c>
      <c r="V13" s="17">
        <f t="shared" si="5"/>
        <v>13</v>
      </c>
      <c r="W13" s="17">
        <f t="shared" si="5"/>
        <v>0.42857142857142855</v>
      </c>
      <c r="X13" s="17">
        <f t="shared" si="5"/>
        <v>0.85714285714285698</v>
      </c>
      <c r="Y13" s="17">
        <f t="shared" si="5"/>
        <v>4.8571428571428568</v>
      </c>
      <c r="Z13" s="17">
        <f t="shared" si="5"/>
        <v>4.1428571428571423</v>
      </c>
      <c r="AA13" s="17">
        <f t="shared" si="5"/>
        <v>1.1428571428571428</v>
      </c>
      <c r="AB13" s="17">
        <f t="shared" si="5"/>
        <v>0.5714285714285714</v>
      </c>
      <c r="AC13" s="17">
        <f t="shared" si="5"/>
        <v>74.142857142857153</v>
      </c>
      <c r="AD13" s="17">
        <f t="shared" si="5"/>
        <v>0</v>
      </c>
      <c r="AE13" s="31">
        <f t="shared" si="5"/>
        <v>89.428571428571416</v>
      </c>
      <c r="AF13" s="31">
        <f t="shared" si="5"/>
        <v>163.57142857142856</v>
      </c>
    </row>
    <row r="14" spans="2:32" ht="23.1" customHeight="1" x14ac:dyDescent="0.25">
      <c r="B14" s="23" t="s">
        <v>41</v>
      </c>
      <c r="C14" s="49">
        <f>'Avg Week Ibanda-Mbarara'!C14+'Avg Week Mbarara-Ibanda'!C14</f>
        <v>7</v>
      </c>
      <c r="D14" s="49">
        <f>'Avg Week Ibanda-Mbarara'!D14+'Avg Week Mbarara-Ibanda'!D14</f>
        <v>1</v>
      </c>
      <c r="E14" s="49">
        <f>'Avg Week Ibanda-Mbarara'!E14+'Avg Week Mbarara-Ibanda'!E14</f>
        <v>0.5714285714285714</v>
      </c>
      <c r="F14" s="49">
        <f>'Avg Week Ibanda-Mbarara'!F14+'Avg Week Mbarara-Ibanda'!F14</f>
        <v>4.2857142857142856</v>
      </c>
      <c r="G14" s="49">
        <f>'Avg Week Ibanda-Mbarara'!G14+'Avg Week Mbarara-Ibanda'!G14</f>
        <v>0</v>
      </c>
      <c r="H14" s="49">
        <f>'Avg Week Ibanda-Mbarara'!H14+'Avg Week Mbarara-Ibanda'!H14</f>
        <v>0</v>
      </c>
      <c r="I14" s="49">
        <f>'Avg Week Ibanda-Mbarara'!I14+'Avg Week Mbarara-Ibanda'!I14</f>
        <v>0.2857142857142857</v>
      </c>
      <c r="J14" s="49">
        <f>'Avg Week Ibanda-Mbarara'!J14+'Avg Week Mbarara-Ibanda'!J14</f>
        <v>0.8571428571428571</v>
      </c>
      <c r="K14" s="49">
        <f>'Avg Week Ibanda-Mbarara'!K14+'Avg Week Mbarara-Ibanda'!K14</f>
        <v>0.5714285714285714</v>
      </c>
      <c r="L14" s="49">
        <f>'Avg Week Ibanda-Mbarara'!L14+'Avg Week Mbarara-Ibanda'!L14</f>
        <v>0.2857142857142857</v>
      </c>
      <c r="M14" s="49">
        <f>'Avg Week Ibanda-Mbarara'!M14+'Avg Week Mbarara-Ibanda'!M14</f>
        <v>17</v>
      </c>
      <c r="N14" s="49">
        <f>'Avg Week Ibanda-Mbarara'!N14+'Avg Week Mbarara-Ibanda'!N14</f>
        <v>0</v>
      </c>
      <c r="O14" s="15">
        <f t="shared" si="0"/>
        <v>14.857142857142859</v>
      </c>
      <c r="P14" s="15">
        <f t="shared" si="1"/>
        <v>31.857142857142861</v>
      </c>
      <c r="R14" s="1" t="s">
        <v>10</v>
      </c>
      <c r="S14" s="17">
        <f t="shared" ref="S14:AF14" si="6">SUM(C26:C29)</f>
        <v>52.142857142857139</v>
      </c>
      <c r="T14" s="17">
        <f t="shared" si="6"/>
        <v>4.2857142857142856</v>
      </c>
      <c r="U14" s="17">
        <f t="shared" si="6"/>
        <v>6.1428571428571423</v>
      </c>
      <c r="V14" s="17">
        <f t="shared" si="6"/>
        <v>13.285714285714285</v>
      </c>
      <c r="W14" s="17">
        <f t="shared" si="6"/>
        <v>0.71428571428571419</v>
      </c>
      <c r="X14" s="17">
        <f t="shared" si="6"/>
        <v>0.2857142857142857</v>
      </c>
      <c r="Y14" s="17">
        <f t="shared" si="6"/>
        <v>5.1428571428571423</v>
      </c>
      <c r="Z14" s="17">
        <f t="shared" si="6"/>
        <v>4.9999999999999991</v>
      </c>
      <c r="AA14" s="17">
        <f t="shared" si="6"/>
        <v>1.1428571428571428</v>
      </c>
      <c r="AB14" s="17">
        <f t="shared" si="6"/>
        <v>1.4285714285714284</v>
      </c>
      <c r="AC14" s="17">
        <f t="shared" si="6"/>
        <v>71.428571428571416</v>
      </c>
      <c r="AD14" s="17">
        <f t="shared" si="6"/>
        <v>1.4285714285714286</v>
      </c>
      <c r="AE14" s="31">
        <f t="shared" si="6"/>
        <v>90.999999999999986</v>
      </c>
      <c r="AF14" s="31">
        <f t="shared" si="6"/>
        <v>162.42857142857142</v>
      </c>
    </row>
    <row r="15" spans="2:32" ht="23.1" customHeight="1" x14ac:dyDescent="0.25">
      <c r="B15" s="23" t="s">
        <v>42</v>
      </c>
      <c r="C15" s="49">
        <f>'Avg Week Ibanda-Mbarara'!C15+'Avg Week Mbarara-Ibanda'!C15</f>
        <v>11.714285714285715</v>
      </c>
      <c r="D15" s="49">
        <f>'Avg Week Ibanda-Mbarara'!D15+'Avg Week Mbarara-Ibanda'!D15</f>
        <v>2</v>
      </c>
      <c r="E15" s="49">
        <f>'Avg Week Ibanda-Mbarara'!E15+'Avg Week Mbarara-Ibanda'!E15</f>
        <v>1</v>
      </c>
      <c r="F15" s="49">
        <f>'Avg Week Ibanda-Mbarara'!F15+'Avg Week Mbarara-Ibanda'!F15</f>
        <v>3.8571428571428577</v>
      </c>
      <c r="G15" s="49">
        <f>'Avg Week Ibanda-Mbarara'!G15+'Avg Week Mbarara-Ibanda'!G15</f>
        <v>0.2857142857142857</v>
      </c>
      <c r="H15" s="49">
        <f>'Avg Week Ibanda-Mbarara'!H15+'Avg Week Mbarara-Ibanda'!H15</f>
        <v>0.14285714285714285</v>
      </c>
      <c r="I15" s="49">
        <f>'Avg Week Ibanda-Mbarara'!I15+'Avg Week Mbarara-Ibanda'!I15</f>
        <v>0.2857142857142857</v>
      </c>
      <c r="J15" s="49">
        <f>'Avg Week Ibanda-Mbarara'!J15+'Avg Week Mbarara-Ibanda'!J15</f>
        <v>0.42857142857142855</v>
      </c>
      <c r="K15" s="49">
        <f>'Avg Week Ibanda-Mbarara'!K15+'Avg Week Mbarara-Ibanda'!K15</f>
        <v>0.2857142857142857</v>
      </c>
      <c r="L15" s="49">
        <f>'Avg Week Ibanda-Mbarara'!L15+'Avg Week Mbarara-Ibanda'!L15</f>
        <v>0.14285714285714285</v>
      </c>
      <c r="M15" s="49">
        <f>'Avg Week Ibanda-Mbarara'!M15+'Avg Week Mbarara-Ibanda'!M15</f>
        <v>18.285714285714285</v>
      </c>
      <c r="N15" s="49">
        <f>'Avg Week Ibanda-Mbarara'!N15+'Avg Week Mbarara-Ibanda'!N15</f>
        <v>0</v>
      </c>
      <c r="O15" s="15">
        <f t="shared" si="0"/>
        <v>20.142857142857139</v>
      </c>
      <c r="P15" s="15">
        <f t="shared" si="1"/>
        <v>38.428571428571423</v>
      </c>
      <c r="R15" s="1" t="s">
        <v>11</v>
      </c>
      <c r="S15" s="17">
        <f t="shared" ref="S15:AF15" si="7">SUM(C30:C33)</f>
        <v>51.714285714285722</v>
      </c>
      <c r="T15" s="17">
        <f t="shared" si="7"/>
        <v>5.4285714285714288</v>
      </c>
      <c r="U15" s="17">
        <f t="shared" si="7"/>
        <v>6.4285714285714288</v>
      </c>
      <c r="V15" s="17">
        <f t="shared" si="7"/>
        <v>10.857142857142858</v>
      </c>
      <c r="W15" s="17">
        <f t="shared" si="7"/>
        <v>0.2857142857142857</v>
      </c>
      <c r="X15" s="17">
        <f t="shared" si="7"/>
        <v>1.1428571428571428</v>
      </c>
      <c r="Y15" s="17">
        <f t="shared" si="7"/>
        <v>6.8571428571428568</v>
      </c>
      <c r="Z15" s="17">
        <f t="shared" si="7"/>
        <v>6</v>
      </c>
      <c r="AA15" s="17">
        <f t="shared" si="7"/>
        <v>0.5714285714285714</v>
      </c>
      <c r="AB15" s="17">
        <f t="shared" si="7"/>
        <v>1</v>
      </c>
      <c r="AC15" s="17">
        <f t="shared" si="7"/>
        <v>75</v>
      </c>
      <c r="AD15" s="17">
        <f t="shared" si="7"/>
        <v>0</v>
      </c>
      <c r="AE15" s="31">
        <f t="shared" si="7"/>
        <v>90.285714285714278</v>
      </c>
      <c r="AF15" s="31">
        <f t="shared" si="7"/>
        <v>165.28571428571428</v>
      </c>
    </row>
    <row r="16" spans="2:32" ht="23.1" customHeight="1" x14ac:dyDescent="0.25">
      <c r="B16" s="23" t="s">
        <v>43</v>
      </c>
      <c r="C16" s="49">
        <f>'Avg Week Ibanda-Mbarara'!C16+'Avg Week Mbarara-Ibanda'!C16</f>
        <v>15.428571428571429</v>
      </c>
      <c r="D16" s="49">
        <f>'Avg Week Ibanda-Mbarara'!D16+'Avg Week Mbarara-Ibanda'!D16</f>
        <v>2</v>
      </c>
      <c r="E16" s="49">
        <f>'Avg Week Ibanda-Mbarara'!E16+'Avg Week Mbarara-Ibanda'!E16</f>
        <v>0.85714285714285721</v>
      </c>
      <c r="F16" s="49">
        <f>'Avg Week Ibanda-Mbarara'!F16+'Avg Week Mbarara-Ibanda'!F16</f>
        <v>3.5714285714285716</v>
      </c>
      <c r="G16" s="49">
        <f>'Avg Week Ibanda-Mbarara'!G16+'Avg Week Mbarara-Ibanda'!G16</f>
        <v>0.14285714285714285</v>
      </c>
      <c r="H16" s="49">
        <f>'Avg Week Ibanda-Mbarara'!H16+'Avg Week Mbarara-Ibanda'!H16</f>
        <v>0.2857142857142857</v>
      </c>
      <c r="I16" s="49">
        <f>'Avg Week Ibanda-Mbarara'!I16+'Avg Week Mbarara-Ibanda'!I16</f>
        <v>0.8571428571428571</v>
      </c>
      <c r="J16" s="49">
        <f>'Avg Week Ibanda-Mbarara'!J16+'Avg Week Mbarara-Ibanda'!J16</f>
        <v>1.1428571428571428</v>
      </c>
      <c r="K16" s="49">
        <f>'Avg Week Ibanda-Mbarara'!K16+'Avg Week Mbarara-Ibanda'!K16</f>
        <v>0.14285714285714285</v>
      </c>
      <c r="L16" s="49">
        <f>'Avg Week Ibanda-Mbarara'!L16+'Avg Week Mbarara-Ibanda'!L16</f>
        <v>0</v>
      </c>
      <c r="M16" s="49">
        <f>'Avg Week Ibanda-Mbarara'!M16+'Avg Week Mbarara-Ibanda'!M16</f>
        <v>19.428571428571431</v>
      </c>
      <c r="N16" s="49">
        <f>'Avg Week Ibanda-Mbarara'!N16+'Avg Week Mbarara-Ibanda'!N16</f>
        <v>0</v>
      </c>
      <c r="O16" s="15">
        <f t="shared" si="0"/>
        <v>24.428571428571431</v>
      </c>
      <c r="P16" s="15">
        <f t="shared" si="1"/>
        <v>43.857142857142861</v>
      </c>
      <c r="R16" s="1" t="s">
        <v>12</v>
      </c>
      <c r="S16" s="17">
        <f t="shared" ref="S16:AF16" si="8">SUM(C34:C37)</f>
        <v>56.142857142857139</v>
      </c>
      <c r="T16" s="17">
        <f t="shared" si="8"/>
        <v>5.2857142857142856</v>
      </c>
      <c r="U16" s="17">
        <f t="shared" si="8"/>
        <v>5.8571428571428577</v>
      </c>
      <c r="V16" s="17">
        <f t="shared" si="8"/>
        <v>13.857142857142858</v>
      </c>
      <c r="W16" s="17">
        <f t="shared" si="8"/>
        <v>0.14285714285714285</v>
      </c>
      <c r="X16" s="17">
        <f t="shared" si="8"/>
        <v>1.5714285714285714</v>
      </c>
      <c r="Y16" s="17">
        <f t="shared" si="8"/>
        <v>7.2857142857142856</v>
      </c>
      <c r="Z16" s="17">
        <f t="shared" si="8"/>
        <v>5.8571428571428568</v>
      </c>
      <c r="AA16" s="17">
        <f t="shared" si="8"/>
        <v>1.2857142857142856</v>
      </c>
      <c r="AB16" s="17">
        <f t="shared" si="8"/>
        <v>0.5714285714285714</v>
      </c>
      <c r="AC16" s="17">
        <f t="shared" si="8"/>
        <v>77.285714285714292</v>
      </c>
      <c r="AD16" s="17">
        <f t="shared" si="8"/>
        <v>0</v>
      </c>
      <c r="AE16" s="31">
        <f t="shared" si="8"/>
        <v>97.857142857142833</v>
      </c>
      <c r="AF16" s="31">
        <f t="shared" si="8"/>
        <v>175.14285714285714</v>
      </c>
    </row>
    <row r="17" spans="2:32" ht="23.1" customHeight="1" x14ac:dyDescent="0.25">
      <c r="B17" s="23" t="s">
        <v>44</v>
      </c>
      <c r="C17" s="49">
        <f>'Avg Week Ibanda-Mbarara'!C17+'Avg Week Mbarara-Ibanda'!C17</f>
        <v>9.1428571428571423</v>
      </c>
      <c r="D17" s="49">
        <f>'Avg Week Ibanda-Mbarara'!D17+'Avg Week Mbarara-Ibanda'!D17</f>
        <v>0.8571428571428571</v>
      </c>
      <c r="E17" s="49">
        <f>'Avg Week Ibanda-Mbarara'!E17+'Avg Week Mbarara-Ibanda'!E17</f>
        <v>1</v>
      </c>
      <c r="F17" s="49">
        <f>'Avg Week Ibanda-Mbarara'!F17+'Avg Week Mbarara-Ibanda'!F17</f>
        <v>4.1428571428571423</v>
      </c>
      <c r="G17" s="49">
        <f>'Avg Week Ibanda-Mbarara'!G17+'Avg Week Mbarara-Ibanda'!G17</f>
        <v>0.14285714285714285</v>
      </c>
      <c r="H17" s="49">
        <f>'Avg Week Ibanda-Mbarara'!H17+'Avg Week Mbarara-Ibanda'!H17</f>
        <v>0.7142857142857143</v>
      </c>
      <c r="I17" s="49">
        <f>'Avg Week Ibanda-Mbarara'!I17+'Avg Week Mbarara-Ibanda'!I17</f>
        <v>0.14285714285714285</v>
      </c>
      <c r="J17" s="49">
        <f>'Avg Week Ibanda-Mbarara'!J17+'Avg Week Mbarara-Ibanda'!J17</f>
        <v>0.8571428571428571</v>
      </c>
      <c r="K17" s="49">
        <f>'Avg Week Ibanda-Mbarara'!K17+'Avg Week Mbarara-Ibanda'!K17</f>
        <v>0.2857142857142857</v>
      </c>
      <c r="L17" s="49">
        <f>'Avg Week Ibanda-Mbarara'!L17+'Avg Week Mbarara-Ibanda'!L17</f>
        <v>0.14285714285714285</v>
      </c>
      <c r="M17" s="49">
        <f>'Avg Week Ibanda-Mbarara'!M17+'Avg Week Mbarara-Ibanda'!M17</f>
        <v>16.857142857142858</v>
      </c>
      <c r="N17" s="49">
        <f>'Avg Week Ibanda-Mbarara'!N17+'Avg Week Mbarara-Ibanda'!N17</f>
        <v>0</v>
      </c>
      <c r="O17" s="15">
        <f t="shared" si="0"/>
        <v>17.428571428571427</v>
      </c>
      <c r="P17" s="15">
        <f t="shared" si="1"/>
        <v>34.285714285714285</v>
      </c>
      <c r="R17" s="1" t="s">
        <v>13</v>
      </c>
      <c r="S17" s="17">
        <f t="shared" ref="S17:AF17" si="9">SUM(C38:C41)</f>
        <v>49.142857142857139</v>
      </c>
      <c r="T17" s="17">
        <f t="shared" si="9"/>
        <v>8.1428571428571423</v>
      </c>
      <c r="U17" s="17">
        <f t="shared" si="9"/>
        <v>4.4285714285714288</v>
      </c>
      <c r="V17" s="17">
        <f t="shared" si="9"/>
        <v>12.285714285714288</v>
      </c>
      <c r="W17" s="17">
        <f t="shared" si="9"/>
        <v>0</v>
      </c>
      <c r="X17" s="17">
        <f t="shared" si="9"/>
        <v>0.2857142857142857</v>
      </c>
      <c r="Y17" s="17">
        <f t="shared" si="9"/>
        <v>6.5714285714285712</v>
      </c>
      <c r="Z17" s="17">
        <f t="shared" si="9"/>
        <v>6.2857142857142865</v>
      </c>
      <c r="AA17" s="17">
        <f t="shared" si="9"/>
        <v>1.4285714285714284</v>
      </c>
      <c r="AB17" s="17">
        <f t="shared" si="9"/>
        <v>0.42857142857142855</v>
      </c>
      <c r="AC17" s="17">
        <f t="shared" si="9"/>
        <v>78.142857142857139</v>
      </c>
      <c r="AD17" s="17">
        <f t="shared" si="9"/>
        <v>0.14285714285714285</v>
      </c>
      <c r="AE17" s="31">
        <f t="shared" si="9"/>
        <v>89.142857142857139</v>
      </c>
      <c r="AF17" s="31">
        <f t="shared" si="9"/>
        <v>167.28571428571428</v>
      </c>
    </row>
    <row r="18" spans="2:32" ht="23.1" customHeight="1" x14ac:dyDescent="0.25">
      <c r="B18" s="23" t="s">
        <v>45</v>
      </c>
      <c r="C18" s="49">
        <f>'Avg Week Ibanda-Mbarara'!C18+'Avg Week Mbarara-Ibanda'!C18</f>
        <v>9.2857142857142847</v>
      </c>
      <c r="D18" s="49">
        <f>'Avg Week Ibanda-Mbarara'!D18+'Avg Week Mbarara-Ibanda'!D18</f>
        <v>0.42857142857142855</v>
      </c>
      <c r="E18" s="49">
        <f>'Avg Week Ibanda-Mbarara'!E18+'Avg Week Mbarara-Ibanda'!E18</f>
        <v>1.1428571428571428</v>
      </c>
      <c r="F18" s="49">
        <f>'Avg Week Ibanda-Mbarara'!F18+'Avg Week Mbarara-Ibanda'!F18</f>
        <v>2</v>
      </c>
      <c r="G18" s="49">
        <f>'Avg Week Ibanda-Mbarara'!G18+'Avg Week Mbarara-Ibanda'!G18</f>
        <v>0.14285714285714285</v>
      </c>
      <c r="H18" s="49">
        <f>'Avg Week Ibanda-Mbarara'!H18+'Avg Week Mbarara-Ibanda'!H18</f>
        <v>0.14285714285714285</v>
      </c>
      <c r="I18" s="49">
        <f>'Avg Week Ibanda-Mbarara'!I18+'Avg Week Mbarara-Ibanda'!I18</f>
        <v>1</v>
      </c>
      <c r="J18" s="49">
        <f>'Avg Week Ibanda-Mbarara'!J18+'Avg Week Mbarara-Ibanda'!J18</f>
        <v>0.5714285714285714</v>
      </c>
      <c r="K18" s="49">
        <f>'Avg Week Ibanda-Mbarara'!K18+'Avg Week Mbarara-Ibanda'!K18</f>
        <v>0.2857142857142857</v>
      </c>
      <c r="L18" s="49">
        <f>'Avg Week Ibanda-Mbarara'!L18+'Avg Week Mbarara-Ibanda'!L18</f>
        <v>0.2857142857142857</v>
      </c>
      <c r="M18" s="49">
        <f>'Avg Week Ibanda-Mbarara'!M18+'Avg Week Mbarara-Ibanda'!M18</f>
        <v>18.714285714285715</v>
      </c>
      <c r="N18" s="49">
        <f>'Avg Week Ibanda-Mbarara'!N18+'Avg Week Mbarara-Ibanda'!N18</f>
        <v>0</v>
      </c>
      <c r="O18" s="15">
        <f t="shared" si="0"/>
        <v>15.285714285714285</v>
      </c>
      <c r="P18" s="15">
        <f t="shared" si="1"/>
        <v>34</v>
      </c>
      <c r="R18" s="1" t="s">
        <v>14</v>
      </c>
      <c r="S18" s="17">
        <f t="shared" ref="S18:AF18" si="10">SUM(C42:C45)</f>
        <v>53.142857142857139</v>
      </c>
      <c r="T18" s="17">
        <f t="shared" si="10"/>
        <v>8.8571428571428559</v>
      </c>
      <c r="U18" s="17">
        <f t="shared" si="10"/>
        <v>7.4285714285714288</v>
      </c>
      <c r="V18" s="17">
        <f t="shared" si="10"/>
        <v>15.142857142857142</v>
      </c>
      <c r="W18" s="17">
        <f t="shared" si="10"/>
        <v>0.71428571428571419</v>
      </c>
      <c r="X18" s="17">
        <f t="shared" si="10"/>
        <v>0.2857142857142857</v>
      </c>
      <c r="Y18" s="17">
        <f t="shared" si="10"/>
        <v>6.2857142857142847</v>
      </c>
      <c r="Z18" s="17">
        <f t="shared" si="10"/>
        <v>6.5714285714285712</v>
      </c>
      <c r="AA18" s="17">
        <f t="shared" si="10"/>
        <v>1.5714285714285712</v>
      </c>
      <c r="AB18" s="17">
        <f t="shared" si="10"/>
        <v>0.42857142857142855</v>
      </c>
      <c r="AC18" s="17">
        <f t="shared" si="10"/>
        <v>79.142857142857139</v>
      </c>
      <c r="AD18" s="17">
        <f t="shared" si="10"/>
        <v>0</v>
      </c>
      <c r="AE18" s="31">
        <f t="shared" si="10"/>
        <v>100.42857142857142</v>
      </c>
      <c r="AF18" s="31">
        <f t="shared" si="10"/>
        <v>179.57142857142858</v>
      </c>
    </row>
    <row r="19" spans="2:32" ht="23.1" customHeight="1" x14ac:dyDescent="0.25">
      <c r="B19" s="23" t="s">
        <v>46</v>
      </c>
      <c r="C19" s="49">
        <f>'Avg Week Ibanda-Mbarara'!C19+'Avg Week Mbarara-Ibanda'!C19</f>
        <v>10.428571428571429</v>
      </c>
      <c r="D19" s="49">
        <f>'Avg Week Ibanda-Mbarara'!D19+'Avg Week Mbarara-Ibanda'!D19</f>
        <v>1</v>
      </c>
      <c r="E19" s="49">
        <f>'Avg Week Ibanda-Mbarara'!E19+'Avg Week Mbarara-Ibanda'!E19</f>
        <v>1.8571428571428572</v>
      </c>
      <c r="F19" s="49">
        <f>'Avg Week Ibanda-Mbarara'!F19+'Avg Week Mbarara-Ibanda'!F19</f>
        <v>3.2857142857142856</v>
      </c>
      <c r="G19" s="49">
        <f>'Avg Week Ibanda-Mbarara'!G19+'Avg Week Mbarara-Ibanda'!G19</f>
        <v>0</v>
      </c>
      <c r="H19" s="49">
        <f>'Avg Week Ibanda-Mbarara'!H19+'Avg Week Mbarara-Ibanda'!H19</f>
        <v>0</v>
      </c>
      <c r="I19" s="49">
        <f>'Avg Week Ibanda-Mbarara'!I19+'Avg Week Mbarara-Ibanda'!I19</f>
        <v>0.85714285714285721</v>
      </c>
      <c r="J19" s="49">
        <f>'Avg Week Ibanda-Mbarara'!J19+'Avg Week Mbarara-Ibanda'!J19</f>
        <v>0.71428571428571419</v>
      </c>
      <c r="K19" s="49">
        <f>'Avg Week Ibanda-Mbarara'!K19+'Avg Week Mbarara-Ibanda'!K19</f>
        <v>0.14285714285714285</v>
      </c>
      <c r="L19" s="49">
        <f>'Avg Week Ibanda-Mbarara'!L19+'Avg Week Mbarara-Ibanda'!L19</f>
        <v>0.2857142857142857</v>
      </c>
      <c r="M19" s="49">
        <f>'Avg Week Ibanda-Mbarara'!M19+'Avg Week Mbarara-Ibanda'!M19</f>
        <v>21.857142857142854</v>
      </c>
      <c r="N19" s="49">
        <f>'Avg Week Ibanda-Mbarara'!N19+'Avg Week Mbarara-Ibanda'!N19</f>
        <v>0</v>
      </c>
      <c r="O19" s="15">
        <f t="shared" si="0"/>
        <v>18.571428571428573</v>
      </c>
      <c r="P19" s="15">
        <f t="shared" si="1"/>
        <v>40.428571428571431</v>
      </c>
      <c r="R19" s="1" t="s">
        <v>15</v>
      </c>
      <c r="S19" s="17">
        <f t="shared" ref="S19:AF19" si="11">SUM(C46:C49)</f>
        <v>55.571428571428569</v>
      </c>
      <c r="T19" s="17">
        <f t="shared" si="11"/>
        <v>8.428571428571427</v>
      </c>
      <c r="U19" s="17">
        <f t="shared" si="11"/>
        <v>5.8571428571428577</v>
      </c>
      <c r="V19" s="17">
        <f t="shared" si="11"/>
        <v>11.571428571428569</v>
      </c>
      <c r="W19" s="17">
        <f t="shared" si="11"/>
        <v>0.14285714285714285</v>
      </c>
      <c r="X19" s="17">
        <f t="shared" si="11"/>
        <v>0.42857142857142855</v>
      </c>
      <c r="Y19" s="17">
        <f t="shared" si="11"/>
        <v>5.7142857142857144</v>
      </c>
      <c r="Z19" s="17">
        <f t="shared" si="11"/>
        <v>6</v>
      </c>
      <c r="AA19" s="17">
        <f t="shared" si="11"/>
        <v>0.8571428571428571</v>
      </c>
      <c r="AB19" s="17">
        <f t="shared" si="11"/>
        <v>1.2857142857142856</v>
      </c>
      <c r="AC19" s="17">
        <f t="shared" si="11"/>
        <v>87.428571428571431</v>
      </c>
      <c r="AD19" s="17">
        <f t="shared" si="11"/>
        <v>0</v>
      </c>
      <c r="AE19" s="31">
        <f t="shared" si="11"/>
        <v>95.857142857142861</v>
      </c>
      <c r="AF19" s="31">
        <f t="shared" si="11"/>
        <v>183.28571428571428</v>
      </c>
    </row>
    <row r="20" spans="2:32" ht="23.1" customHeight="1" x14ac:dyDescent="0.25">
      <c r="B20" s="23" t="s">
        <v>47</v>
      </c>
      <c r="C20" s="49">
        <f>'Avg Week Ibanda-Mbarara'!C20+'Avg Week Mbarara-Ibanda'!C20</f>
        <v>9.2857142857142865</v>
      </c>
      <c r="D20" s="49">
        <f>'Avg Week Ibanda-Mbarara'!D20+'Avg Week Mbarara-Ibanda'!D20</f>
        <v>0.85714285714285721</v>
      </c>
      <c r="E20" s="49">
        <f>'Avg Week Ibanda-Mbarara'!E20+'Avg Week Mbarara-Ibanda'!E20</f>
        <v>1.1428571428571428</v>
      </c>
      <c r="F20" s="49">
        <f>'Avg Week Ibanda-Mbarara'!F20+'Avg Week Mbarara-Ibanda'!F20</f>
        <v>4.5714285714285712</v>
      </c>
      <c r="G20" s="49">
        <f>'Avg Week Ibanda-Mbarara'!G20+'Avg Week Mbarara-Ibanda'!G20</f>
        <v>0</v>
      </c>
      <c r="H20" s="49">
        <f>'Avg Week Ibanda-Mbarara'!H20+'Avg Week Mbarara-Ibanda'!H20</f>
        <v>0</v>
      </c>
      <c r="I20" s="49">
        <f>'Avg Week Ibanda-Mbarara'!I20+'Avg Week Mbarara-Ibanda'!I20</f>
        <v>0.71428571428571419</v>
      </c>
      <c r="J20" s="49">
        <f>'Avg Week Ibanda-Mbarara'!J20+'Avg Week Mbarara-Ibanda'!J20</f>
        <v>0.71428571428571419</v>
      </c>
      <c r="K20" s="49">
        <f>'Avg Week Ibanda-Mbarara'!K20+'Avg Week Mbarara-Ibanda'!K20</f>
        <v>0.14285714285714285</v>
      </c>
      <c r="L20" s="49">
        <f>'Avg Week Ibanda-Mbarara'!L20+'Avg Week Mbarara-Ibanda'!L20</f>
        <v>0.2857142857142857</v>
      </c>
      <c r="M20" s="49">
        <f>'Avg Week Ibanda-Mbarara'!M20+'Avg Week Mbarara-Ibanda'!M20</f>
        <v>18.142857142857142</v>
      </c>
      <c r="N20" s="49">
        <f>'Avg Week Ibanda-Mbarara'!N20+'Avg Week Mbarara-Ibanda'!N20</f>
        <v>0</v>
      </c>
      <c r="O20" s="15">
        <f t="shared" si="0"/>
        <v>17.714285714285715</v>
      </c>
      <c r="P20" s="15">
        <f t="shared" si="1"/>
        <v>35.857142857142861</v>
      </c>
      <c r="R20" s="1" t="s">
        <v>16</v>
      </c>
      <c r="S20" s="17">
        <f t="shared" ref="S20:AF20" si="12">SUM(C50:C53)</f>
        <v>55.142857142857146</v>
      </c>
      <c r="T20" s="17">
        <f t="shared" si="12"/>
        <v>7.8571428571428568</v>
      </c>
      <c r="U20" s="17">
        <f t="shared" si="12"/>
        <v>6.4285714285714288</v>
      </c>
      <c r="V20" s="17">
        <f t="shared" si="12"/>
        <v>12.857142857142858</v>
      </c>
      <c r="W20" s="17">
        <f t="shared" si="12"/>
        <v>0.14285714285714285</v>
      </c>
      <c r="X20" s="17">
        <f t="shared" si="12"/>
        <v>1.1428571428571428</v>
      </c>
      <c r="Y20" s="17">
        <f t="shared" si="12"/>
        <v>4.5714285714285712</v>
      </c>
      <c r="Z20" s="17">
        <f t="shared" si="12"/>
        <v>4.8571428571428568</v>
      </c>
      <c r="AA20" s="17">
        <f t="shared" si="12"/>
        <v>1.5714285714285712</v>
      </c>
      <c r="AB20" s="17">
        <f t="shared" si="12"/>
        <v>0.42857142857142855</v>
      </c>
      <c r="AC20" s="17">
        <f t="shared" si="12"/>
        <v>93.571428571428584</v>
      </c>
      <c r="AD20" s="17">
        <f t="shared" si="12"/>
        <v>0</v>
      </c>
      <c r="AE20" s="31">
        <f t="shared" si="12"/>
        <v>94.999999999999986</v>
      </c>
      <c r="AF20" s="31">
        <f t="shared" si="12"/>
        <v>188.57142857142856</v>
      </c>
    </row>
    <row r="21" spans="2:32" ht="23.1" customHeight="1" x14ac:dyDescent="0.25">
      <c r="B21" s="23" t="s">
        <v>48</v>
      </c>
      <c r="C21" s="49">
        <f>'Avg Week Ibanda-Mbarara'!C21+'Avg Week Mbarara-Ibanda'!C21</f>
        <v>12.428571428571429</v>
      </c>
      <c r="D21" s="49">
        <f>'Avg Week Ibanda-Mbarara'!D21+'Avg Week Mbarara-Ibanda'!D21</f>
        <v>1.1428571428571428</v>
      </c>
      <c r="E21" s="49">
        <f>'Avg Week Ibanda-Mbarara'!E21+'Avg Week Mbarara-Ibanda'!E21</f>
        <v>1.8571428571428572</v>
      </c>
      <c r="F21" s="49">
        <f>'Avg Week Ibanda-Mbarara'!F21+'Avg Week Mbarara-Ibanda'!F21</f>
        <v>3.4285714285714288</v>
      </c>
      <c r="G21" s="49">
        <f>'Avg Week Ibanda-Mbarara'!G21+'Avg Week Mbarara-Ibanda'!G21</f>
        <v>0</v>
      </c>
      <c r="H21" s="49">
        <f>'Avg Week Ibanda-Mbarara'!H21+'Avg Week Mbarara-Ibanda'!H21</f>
        <v>0.14285714285714285</v>
      </c>
      <c r="I21" s="49">
        <f>'Avg Week Ibanda-Mbarara'!I21+'Avg Week Mbarara-Ibanda'!I21</f>
        <v>0.71428571428571419</v>
      </c>
      <c r="J21" s="49">
        <f>'Avg Week Ibanda-Mbarara'!J21+'Avg Week Mbarara-Ibanda'!J21</f>
        <v>0.42857142857142855</v>
      </c>
      <c r="K21" s="49">
        <f>'Avg Week Ibanda-Mbarara'!K21+'Avg Week Mbarara-Ibanda'!K21</f>
        <v>0.2857142857142857</v>
      </c>
      <c r="L21" s="49">
        <f>'Avg Week Ibanda-Mbarara'!L21+'Avg Week Mbarara-Ibanda'!L21</f>
        <v>0.5714285714285714</v>
      </c>
      <c r="M21" s="49">
        <f>'Avg Week Ibanda-Mbarara'!M21+'Avg Week Mbarara-Ibanda'!M21</f>
        <v>22</v>
      </c>
      <c r="N21" s="49">
        <f>'Avg Week Ibanda-Mbarara'!N21+'Avg Week Mbarara-Ibanda'!N21</f>
        <v>0</v>
      </c>
      <c r="O21" s="15">
        <f t="shared" si="0"/>
        <v>21</v>
      </c>
      <c r="P21" s="15">
        <f t="shared" si="1"/>
        <v>43</v>
      </c>
      <c r="R21" s="36" t="s">
        <v>20</v>
      </c>
      <c r="S21" s="34">
        <f t="shared" ref="S21:AF21" si="13">SUM(C54:C57)</f>
        <v>57.714285714285722</v>
      </c>
      <c r="T21" s="17">
        <f t="shared" si="13"/>
        <v>5.9999999999999991</v>
      </c>
      <c r="U21" s="17">
        <f t="shared" si="13"/>
        <v>5.2857142857142856</v>
      </c>
      <c r="V21" s="17">
        <f t="shared" si="13"/>
        <v>11.000000000000002</v>
      </c>
      <c r="W21" s="17">
        <f t="shared" si="13"/>
        <v>0</v>
      </c>
      <c r="X21" s="17">
        <f t="shared" si="13"/>
        <v>0.2857142857142857</v>
      </c>
      <c r="Y21" s="17">
        <f t="shared" si="13"/>
        <v>4.7142857142857135</v>
      </c>
      <c r="Z21" s="17">
        <f t="shared" si="13"/>
        <v>4.8571428571428568</v>
      </c>
      <c r="AA21" s="17">
        <f t="shared" si="13"/>
        <v>1.4285714285714284</v>
      </c>
      <c r="AB21" s="17">
        <f t="shared" si="13"/>
        <v>0.85714285714285698</v>
      </c>
      <c r="AC21" s="17">
        <f t="shared" si="13"/>
        <v>98.142857142857139</v>
      </c>
      <c r="AD21" s="17">
        <f t="shared" si="13"/>
        <v>0</v>
      </c>
      <c r="AE21" s="31">
        <f t="shared" si="13"/>
        <v>92.142857142857139</v>
      </c>
      <c r="AF21" s="31">
        <f t="shared" si="13"/>
        <v>190.28571428571428</v>
      </c>
    </row>
    <row r="22" spans="2:32" ht="23.1" customHeight="1" x14ac:dyDescent="0.25">
      <c r="B22" s="23" t="s">
        <v>49</v>
      </c>
      <c r="C22" s="49">
        <f>'Avg Week Ibanda-Mbarara'!C22+'Avg Week Mbarara-Ibanda'!C22</f>
        <v>12.142857142857142</v>
      </c>
      <c r="D22" s="49">
        <f>'Avg Week Ibanda-Mbarara'!D22+'Avg Week Mbarara-Ibanda'!D22</f>
        <v>1.5714285714285714</v>
      </c>
      <c r="E22" s="49">
        <f>'Avg Week Ibanda-Mbarara'!E22+'Avg Week Mbarara-Ibanda'!E22</f>
        <v>2.2857142857142856</v>
      </c>
      <c r="F22" s="49">
        <f>'Avg Week Ibanda-Mbarara'!F22+'Avg Week Mbarara-Ibanda'!F22</f>
        <v>3.1428571428571428</v>
      </c>
      <c r="G22" s="49">
        <f>'Avg Week Ibanda-Mbarara'!G22+'Avg Week Mbarara-Ibanda'!G22</f>
        <v>0</v>
      </c>
      <c r="H22" s="49">
        <f>'Avg Week Ibanda-Mbarara'!H22+'Avg Week Mbarara-Ibanda'!H22</f>
        <v>0.42857142857142855</v>
      </c>
      <c r="I22" s="49">
        <f>'Avg Week Ibanda-Mbarara'!I22+'Avg Week Mbarara-Ibanda'!I22</f>
        <v>1.2857142857142856</v>
      </c>
      <c r="J22" s="49">
        <f>'Avg Week Ibanda-Mbarara'!J22+'Avg Week Mbarara-Ibanda'!J22</f>
        <v>1.2857142857142856</v>
      </c>
      <c r="K22" s="49">
        <f>'Avg Week Ibanda-Mbarara'!K22+'Avg Week Mbarara-Ibanda'!K22</f>
        <v>0.14285714285714285</v>
      </c>
      <c r="L22" s="49">
        <f>'Avg Week Ibanda-Mbarara'!L22+'Avg Week Mbarara-Ibanda'!L22</f>
        <v>0.2857142857142857</v>
      </c>
      <c r="M22" s="49">
        <f>'Avg Week Ibanda-Mbarara'!M22+'Avg Week Mbarara-Ibanda'!M22</f>
        <v>16.714285714285715</v>
      </c>
      <c r="N22" s="49">
        <f>'Avg Week Ibanda-Mbarara'!N22+'Avg Week Mbarara-Ibanda'!N22</f>
        <v>0</v>
      </c>
      <c r="O22" s="15">
        <f t="shared" si="0"/>
        <v>22.571428571428566</v>
      </c>
      <c r="P22" s="15">
        <f t="shared" si="1"/>
        <v>39.285714285714278</v>
      </c>
      <c r="R22" s="1" t="s">
        <v>146</v>
      </c>
      <c r="S22" s="34">
        <f>SUM(C58:C61)</f>
        <v>41.5</v>
      </c>
      <c r="T22" s="34">
        <f t="shared" ref="T22:AF22" si="14">SUM(D58:D61)</f>
        <v>6.5</v>
      </c>
      <c r="U22" s="34">
        <f t="shared" si="14"/>
        <v>2</v>
      </c>
      <c r="V22" s="34">
        <f t="shared" si="14"/>
        <v>11</v>
      </c>
      <c r="W22" s="34">
        <f t="shared" si="14"/>
        <v>1</v>
      </c>
      <c r="X22" s="34">
        <f t="shared" si="14"/>
        <v>1.5</v>
      </c>
      <c r="Y22" s="34">
        <f t="shared" si="14"/>
        <v>4.5</v>
      </c>
      <c r="Z22" s="34">
        <f t="shared" si="14"/>
        <v>6.5</v>
      </c>
      <c r="AA22" s="34">
        <f t="shared" si="14"/>
        <v>3</v>
      </c>
      <c r="AB22" s="34">
        <f t="shared" si="14"/>
        <v>0</v>
      </c>
      <c r="AC22" s="34">
        <f t="shared" si="14"/>
        <v>57.5</v>
      </c>
      <c r="AD22" s="34">
        <f t="shared" si="14"/>
        <v>0</v>
      </c>
      <c r="AE22" s="31">
        <f t="shared" si="14"/>
        <v>77.5</v>
      </c>
      <c r="AF22" s="31">
        <f t="shared" si="14"/>
        <v>135</v>
      </c>
    </row>
    <row r="23" spans="2:32" ht="23.1" customHeight="1" x14ac:dyDescent="0.25">
      <c r="B23" s="23" t="s">
        <v>50</v>
      </c>
      <c r="C23" s="49">
        <f>'Avg Week Ibanda-Mbarara'!C23+'Avg Week Mbarara-Ibanda'!C23</f>
        <v>12.714285714285715</v>
      </c>
      <c r="D23" s="49">
        <f>'Avg Week Ibanda-Mbarara'!D23+'Avg Week Mbarara-Ibanda'!D23</f>
        <v>0.5714285714285714</v>
      </c>
      <c r="E23" s="49">
        <f>'Avg Week Ibanda-Mbarara'!E23+'Avg Week Mbarara-Ibanda'!E23</f>
        <v>2.1428571428571428</v>
      </c>
      <c r="F23" s="49">
        <f>'Avg Week Ibanda-Mbarara'!F23+'Avg Week Mbarara-Ibanda'!F23</f>
        <v>3.2857142857142856</v>
      </c>
      <c r="G23" s="49">
        <f>'Avg Week Ibanda-Mbarara'!G23+'Avg Week Mbarara-Ibanda'!G23</f>
        <v>0</v>
      </c>
      <c r="H23" s="49">
        <f>'Avg Week Ibanda-Mbarara'!H23+'Avg Week Mbarara-Ibanda'!H23</f>
        <v>0.14285714285714285</v>
      </c>
      <c r="I23" s="49">
        <f>'Avg Week Ibanda-Mbarara'!I23+'Avg Week Mbarara-Ibanda'!I23</f>
        <v>1.1428571428571428</v>
      </c>
      <c r="J23" s="49">
        <f>'Avg Week Ibanda-Mbarara'!J23+'Avg Week Mbarara-Ibanda'!J23</f>
        <v>0.2857142857142857</v>
      </c>
      <c r="K23" s="49">
        <f>'Avg Week Ibanda-Mbarara'!K23+'Avg Week Mbarara-Ibanda'!K23</f>
        <v>0.2857142857142857</v>
      </c>
      <c r="L23" s="49">
        <f>'Avg Week Ibanda-Mbarara'!L23+'Avg Week Mbarara-Ibanda'!L23</f>
        <v>0</v>
      </c>
      <c r="M23" s="49">
        <f>'Avg Week Ibanda-Mbarara'!M23+'Avg Week Mbarara-Ibanda'!M23</f>
        <v>16.142857142857142</v>
      </c>
      <c r="N23" s="49">
        <f>'Avg Week Ibanda-Mbarara'!N23+'Avg Week Mbarara-Ibanda'!N23</f>
        <v>0</v>
      </c>
      <c r="O23" s="15">
        <f t="shared" si="0"/>
        <v>20.571428571428569</v>
      </c>
      <c r="P23" s="15">
        <f t="shared" si="1"/>
        <v>36.714285714285708</v>
      </c>
      <c r="R23" s="1" t="s">
        <v>147</v>
      </c>
      <c r="S23" s="34">
        <f>SUM(C62:C65)</f>
        <v>47.5</v>
      </c>
      <c r="T23" s="34">
        <f t="shared" ref="T23:AF23" si="15">SUM(D62:D65)</f>
        <v>11.5</v>
      </c>
      <c r="U23" s="34">
        <f t="shared" si="15"/>
        <v>3</v>
      </c>
      <c r="V23" s="34">
        <f t="shared" si="15"/>
        <v>8.5</v>
      </c>
      <c r="W23" s="34">
        <f t="shared" si="15"/>
        <v>1</v>
      </c>
      <c r="X23" s="34">
        <f t="shared" si="15"/>
        <v>0</v>
      </c>
      <c r="Y23" s="34">
        <f t="shared" si="15"/>
        <v>6.5</v>
      </c>
      <c r="Z23" s="34">
        <f t="shared" si="15"/>
        <v>5</v>
      </c>
      <c r="AA23" s="34">
        <f t="shared" si="15"/>
        <v>1</v>
      </c>
      <c r="AB23" s="34">
        <f t="shared" si="15"/>
        <v>0</v>
      </c>
      <c r="AC23" s="34">
        <f t="shared" si="15"/>
        <v>47</v>
      </c>
      <c r="AD23" s="34">
        <f t="shared" si="15"/>
        <v>0</v>
      </c>
      <c r="AE23" s="31">
        <f t="shared" si="15"/>
        <v>84</v>
      </c>
      <c r="AF23" s="31">
        <f t="shared" si="15"/>
        <v>131</v>
      </c>
    </row>
    <row r="24" spans="2:32" ht="23.1" customHeight="1" x14ac:dyDescent="0.25">
      <c r="B24" s="23" t="s">
        <v>51</v>
      </c>
      <c r="C24" s="49">
        <f>'Avg Week Ibanda-Mbarara'!C24+'Avg Week Mbarara-Ibanda'!C24</f>
        <v>13.428571428571429</v>
      </c>
      <c r="D24" s="49">
        <f>'Avg Week Ibanda-Mbarara'!D24+'Avg Week Mbarara-Ibanda'!D24</f>
        <v>1.2857142857142856</v>
      </c>
      <c r="E24" s="49">
        <f>'Avg Week Ibanda-Mbarara'!E24+'Avg Week Mbarara-Ibanda'!E24</f>
        <v>2.2857142857142856</v>
      </c>
      <c r="F24" s="49">
        <f>'Avg Week Ibanda-Mbarara'!F24+'Avg Week Mbarara-Ibanda'!F24</f>
        <v>2.8571428571428568</v>
      </c>
      <c r="G24" s="49">
        <f>'Avg Week Ibanda-Mbarara'!G24+'Avg Week Mbarara-Ibanda'!G24</f>
        <v>0.14285714285714285</v>
      </c>
      <c r="H24" s="49">
        <f>'Avg Week Ibanda-Mbarara'!H24+'Avg Week Mbarara-Ibanda'!H24</f>
        <v>0.14285714285714285</v>
      </c>
      <c r="I24" s="49">
        <f>'Avg Week Ibanda-Mbarara'!I24+'Avg Week Mbarara-Ibanda'!I24</f>
        <v>1.2857142857142856</v>
      </c>
      <c r="J24" s="49">
        <f>'Avg Week Ibanda-Mbarara'!J24+'Avg Week Mbarara-Ibanda'!J24</f>
        <v>1.1428571428571428</v>
      </c>
      <c r="K24" s="49">
        <f>'Avg Week Ibanda-Mbarara'!K24+'Avg Week Mbarara-Ibanda'!K24</f>
        <v>0.42857142857142855</v>
      </c>
      <c r="L24" s="49">
        <f>'Avg Week Ibanda-Mbarara'!L24+'Avg Week Mbarara-Ibanda'!L24</f>
        <v>0.14285714285714285</v>
      </c>
      <c r="M24" s="49">
        <f>'Avg Week Ibanda-Mbarara'!M24+'Avg Week Mbarara-Ibanda'!M24</f>
        <v>21.428571428571431</v>
      </c>
      <c r="N24" s="49">
        <f>'Avg Week Ibanda-Mbarara'!N24+'Avg Week Mbarara-Ibanda'!N24</f>
        <v>0</v>
      </c>
      <c r="O24" s="15">
        <f t="shared" si="0"/>
        <v>23.142857142857139</v>
      </c>
      <c r="P24" s="15">
        <f t="shared" si="1"/>
        <v>44.571428571428569</v>
      </c>
      <c r="R24" s="1" t="s">
        <v>148</v>
      </c>
      <c r="S24" s="34">
        <f>SUM(C66:C69)</f>
        <v>29</v>
      </c>
      <c r="T24" s="34">
        <f t="shared" ref="T24:AF24" si="16">SUM(D66:D69)</f>
        <v>10</v>
      </c>
      <c r="U24" s="34">
        <f t="shared" si="16"/>
        <v>2.5</v>
      </c>
      <c r="V24" s="34">
        <f t="shared" si="16"/>
        <v>3</v>
      </c>
      <c r="W24" s="34">
        <f t="shared" si="16"/>
        <v>0.5</v>
      </c>
      <c r="X24" s="34">
        <f t="shared" si="16"/>
        <v>0.5</v>
      </c>
      <c r="Y24" s="34">
        <f t="shared" si="16"/>
        <v>3</v>
      </c>
      <c r="Z24" s="34">
        <f t="shared" si="16"/>
        <v>4.5</v>
      </c>
      <c r="AA24" s="34">
        <f t="shared" si="16"/>
        <v>1.5</v>
      </c>
      <c r="AB24" s="34">
        <f t="shared" si="16"/>
        <v>1</v>
      </c>
      <c r="AC24" s="34">
        <f t="shared" si="16"/>
        <v>20</v>
      </c>
      <c r="AD24" s="34">
        <f t="shared" si="16"/>
        <v>0</v>
      </c>
      <c r="AE24" s="31">
        <f t="shared" si="16"/>
        <v>55.5</v>
      </c>
      <c r="AF24" s="31">
        <f t="shared" si="16"/>
        <v>75.5</v>
      </c>
    </row>
    <row r="25" spans="2:32" ht="23.1" customHeight="1" x14ac:dyDescent="0.25">
      <c r="B25" s="23" t="s">
        <v>52</v>
      </c>
      <c r="C25" s="49">
        <f>'Avg Week Ibanda-Mbarara'!C25+'Avg Week Mbarara-Ibanda'!C25</f>
        <v>14.428571428571429</v>
      </c>
      <c r="D25" s="49">
        <f>'Avg Week Ibanda-Mbarara'!D25+'Avg Week Mbarara-Ibanda'!D25</f>
        <v>0.71428571428571419</v>
      </c>
      <c r="E25" s="49">
        <f>'Avg Week Ibanda-Mbarara'!E25+'Avg Week Mbarara-Ibanda'!E25</f>
        <v>0.8571428571428571</v>
      </c>
      <c r="F25" s="49">
        <f>'Avg Week Ibanda-Mbarara'!F25+'Avg Week Mbarara-Ibanda'!F25</f>
        <v>3.7142857142857144</v>
      </c>
      <c r="G25" s="49">
        <f>'Avg Week Ibanda-Mbarara'!G25+'Avg Week Mbarara-Ibanda'!G25</f>
        <v>0.2857142857142857</v>
      </c>
      <c r="H25" s="49">
        <f>'Avg Week Ibanda-Mbarara'!H25+'Avg Week Mbarara-Ibanda'!H25</f>
        <v>0.14285714285714285</v>
      </c>
      <c r="I25" s="49">
        <f>'Avg Week Ibanda-Mbarara'!I25+'Avg Week Mbarara-Ibanda'!I25</f>
        <v>1.1428571428571428</v>
      </c>
      <c r="J25" s="49">
        <f>'Avg Week Ibanda-Mbarara'!J25+'Avg Week Mbarara-Ibanda'!J25</f>
        <v>1.4285714285714284</v>
      </c>
      <c r="K25" s="49">
        <f>'Avg Week Ibanda-Mbarara'!K25+'Avg Week Mbarara-Ibanda'!K25</f>
        <v>0.2857142857142857</v>
      </c>
      <c r="L25" s="49">
        <f>'Avg Week Ibanda-Mbarara'!L25+'Avg Week Mbarara-Ibanda'!L25</f>
        <v>0.14285714285714285</v>
      </c>
      <c r="M25" s="49">
        <f>'Avg Week Ibanda-Mbarara'!M25+'Avg Week Mbarara-Ibanda'!M25</f>
        <v>19.857142857142858</v>
      </c>
      <c r="N25" s="49">
        <f>'Avg Week Ibanda-Mbarara'!N25+'Avg Week Mbarara-Ibanda'!N25</f>
        <v>0</v>
      </c>
      <c r="O25" s="15">
        <f t="shared" si="0"/>
        <v>23.142857142857139</v>
      </c>
      <c r="P25" s="15">
        <f t="shared" si="1"/>
        <v>43</v>
      </c>
      <c r="R25" s="1" t="s">
        <v>149</v>
      </c>
      <c r="S25" s="34">
        <f>SUM(C70:C73)</f>
        <v>16</v>
      </c>
      <c r="T25" s="34">
        <f t="shared" ref="T25:AF25" si="17">SUM(D70:D73)</f>
        <v>4</v>
      </c>
      <c r="U25" s="34">
        <f t="shared" si="17"/>
        <v>3.5</v>
      </c>
      <c r="V25" s="34">
        <f t="shared" si="17"/>
        <v>3.5</v>
      </c>
      <c r="W25" s="34">
        <f t="shared" si="17"/>
        <v>0</v>
      </c>
      <c r="X25" s="34">
        <f t="shared" si="17"/>
        <v>0</v>
      </c>
      <c r="Y25" s="34">
        <f t="shared" si="17"/>
        <v>3.5</v>
      </c>
      <c r="Z25" s="34">
        <f t="shared" si="17"/>
        <v>3.5</v>
      </c>
      <c r="AA25" s="34">
        <f t="shared" si="17"/>
        <v>1</v>
      </c>
      <c r="AB25" s="34">
        <f t="shared" si="17"/>
        <v>0</v>
      </c>
      <c r="AC25" s="34">
        <f t="shared" si="17"/>
        <v>15</v>
      </c>
      <c r="AD25" s="34">
        <f t="shared" si="17"/>
        <v>0</v>
      </c>
      <c r="AE25" s="31">
        <f t="shared" si="17"/>
        <v>35</v>
      </c>
      <c r="AF25" s="31">
        <f t="shared" si="17"/>
        <v>50</v>
      </c>
    </row>
    <row r="26" spans="2:32" ht="23.1" customHeight="1" x14ac:dyDescent="0.25">
      <c r="B26" s="23" t="s">
        <v>53</v>
      </c>
      <c r="C26" s="49">
        <f>'Avg Week Ibanda-Mbarara'!C26+'Avg Week Mbarara-Ibanda'!C26</f>
        <v>11.428571428571427</v>
      </c>
      <c r="D26" s="49">
        <f>'Avg Week Ibanda-Mbarara'!D26+'Avg Week Mbarara-Ibanda'!D26</f>
        <v>2</v>
      </c>
      <c r="E26" s="49">
        <f>'Avg Week Ibanda-Mbarara'!E26+'Avg Week Mbarara-Ibanda'!E26</f>
        <v>1.4285714285714284</v>
      </c>
      <c r="F26" s="49">
        <f>'Avg Week Ibanda-Mbarara'!F26+'Avg Week Mbarara-Ibanda'!F26</f>
        <v>3.2857142857142856</v>
      </c>
      <c r="G26" s="49">
        <f>'Avg Week Ibanda-Mbarara'!G26+'Avg Week Mbarara-Ibanda'!G26</f>
        <v>0.2857142857142857</v>
      </c>
      <c r="H26" s="49">
        <f>'Avg Week Ibanda-Mbarara'!H26+'Avg Week Mbarara-Ibanda'!H26</f>
        <v>0</v>
      </c>
      <c r="I26" s="49">
        <f>'Avg Week Ibanda-Mbarara'!I26+'Avg Week Mbarara-Ibanda'!I26</f>
        <v>1.1428571428571428</v>
      </c>
      <c r="J26" s="49">
        <f>'Avg Week Ibanda-Mbarara'!J26+'Avg Week Mbarara-Ibanda'!J26</f>
        <v>1.2857142857142856</v>
      </c>
      <c r="K26" s="49">
        <f>'Avg Week Ibanda-Mbarara'!K26+'Avg Week Mbarara-Ibanda'!K26</f>
        <v>0.14285714285714285</v>
      </c>
      <c r="L26" s="49">
        <f>'Avg Week Ibanda-Mbarara'!L26+'Avg Week Mbarara-Ibanda'!L26</f>
        <v>0.42857142857142855</v>
      </c>
      <c r="M26" s="49">
        <f>'Avg Week Ibanda-Mbarara'!M26+'Avg Week Mbarara-Ibanda'!M26</f>
        <v>19.857142857142858</v>
      </c>
      <c r="N26" s="49">
        <f>'Avg Week Ibanda-Mbarara'!N26+'Avg Week Mbarara-Ibanda'!N26</f>
        <v>0</v>
      </c>
      <c r="O26" s="15">
        <f t="shared" si="0"/>
        <v>21.428571428571423</v>
      </c>
      <c r="P26" s="15">
        <f t="shared" si="1"/>
        <v>41.285714285714278</v>
      </c>
      <c r="R26" s="1" t="s">
        <v>150</v>
      </c>
      <c r="S26" s="34">
        <f>SUM(C74:C77)</f>
        <v>9.5</v>
      </c>
      <c r="T26" s="34">
        <f t="shared" ref="T26:AF26" si="18">SUM(D74:D77)</f>
        <v>2.5</v>
      </c>
      <c r="U26" s="34">
        <f t="shared" si="18"/>
        <v>0.5</v>
      </c>
      <c r="V26" s="34">
        <f t="shared" si="18"/>
        <v>3</v>
      </c>
      <c r="W26" s="34">
        <f t="shared" si="18"/>
        <v>0</v>
      </c>
      <c r="X26" s="34">
        <f t="shared" si="18"/>
        <v>1</v>
      </c>
      <c r="Y26" s="34">
        <f t="shared" si="18"/>
        <v>1</v>
      </c>
      <c r="Z26" s="34">
        <f t="shared" si="18"/>
        <v>0.5</v>
      </c>
      <c r="AA26" s="34">
        <f t="shared" si="18"/>
        <v>0.5</v>
      </c>
      <c r="AB26" s="34">
        <f t="shared" si="18"/>
        <v>0</v>
      </c>
      <c r="AC26" s="34">
        <f t="shared" si="18"/>
        <v>4.5</v>
      </c>
      <c r="AD26" s="34">
        <f t="shared" si="18"/>
        <v>0</v>
      </c>
      <c r="AE26" s="31">
        <f t="shared" si="18"/>
        <v>18.5</v>
      </c>
      <c r="AF26" s="31">
        <f t="shared" si="18"/>
        <v>23</v>
      </c>
    </row>
    <row r="27" spans="2:32" ht="23.1" customHeight="1" x14ac:dyDescent="0.25">
      <c r="B27" s="23" t="s">
        <v>54</v>
      </c>
      <c r="C27" s="49">
        <f>'Avg Week Ibanda-Mbarara'!C27+'Avg Week Mbarara-Ibanda'!C27</f>
        <v>13.428571428571429</v>
      </c>
      <c r="D27" s="49">
        <f>'Avg Week Ibanda-Mbarara'!D27+'Avg Week Mbarara-Ibanda'!D27</f>
        <v>1</v>
      </c>
      <c r="E27" s="49">
        <f>'Avg Week Ibanda-Mbarara'!E27+'Avg Week Mbarara-Ibanda'!E27</f>
        <v>1.4285714285714286</v>
      </c>
      <c r="F27" s="49">
        <f>'Avg Week Ibanda-Mbarara'!F27+'Avg Week Mbarara-Ibanda'!F27</f>
        <v>3.2857142857142856</v>
      </c>
      <c r="G27" s="49">
        <f>'Avg Week Ibanda-Mbarara'!G27+'Avg Week Mbarara-Ibanda'!G27</f>
        <v>0.14285714285714285</v>
      </c>
      <c r="H27" s="49">
        <f>'Avg Week Ibanda-Mbarara'!H27+'Avg Week Mbarara-Ibanda'!H27</f>
        <v>0.14285714285714285</v>
      </c>
      <c r="I27" s="49">
        <f>'Avg Week Ibanda-Mbarara'!I27+'Avg Week Mbarara-Ibanda'!I27</f>
        <v>1.2857142857142856</v>
      </c>
      <c r="J27" s="49">
        <f>'Avg Week Ibanda-Mbarara'!J27+'Avg Week Mbarara-Ibanda'!J27</f>
        <v>0.71428571428571419</v>
      </c>
      <c r="K27" s="49">
        <f>'Avg Week Ibanda-Mbarara'!K27+'Avg Week Mbarara-Ibanda'!K27</f>
        <v>0.2857142857142857</v>
      </c>
      <c r="L27" s="49">
        <f>'Avg Week Ibanda-Mbarara'!L27+'Avg Week Mbarara-Ibanda'!L27</f>
        <v>0.42857142857142855</v>
      </c>
      <c r="M27" s="49">
        <f>'Avg Week Ibanda-Mbarara'!M27+'Avg Week Mbarara-Ibanda'!M27</f>
        <v>16.142857142857142</v>
      </c>
      <c r="N27" s="49">
        <f>'Avg Week Ibanda-Mbarara'!N27+'Avg Week Mbarara-Ibanda'!N27</f>
        <v>0</v>
      </c>
      <c r="O27" s="15">
        <f t="shared" si="0"/>
        <v>22.142857142857139</v>
      </c>
      <c r="P27" s="15">
        <f t="shared" si="1"/>
        <v>38.285714285714278</v>
      </c>
      <c r="R27" s="1" t="s">
        <v>151</v>
      </c>
      <c r="S27" s="34">
        <f>SUM(C78:C81)</f>
        <v>6</v>
      </c>
      <c r="T27" s="34">
        <f t="shared" ref="T27:AF27" si="19">SUM(D78:D81)</f>
        <v>2</v>
      </c>
      <c r="U27" s="34">
        <f t="shared" si="19"/>
        <v>1</v>
      </c>
      <c r="V27" s="34">
        <f t="shared" si="19"/>
        <v>1</v>
      </c>
      <c r="W27" s="34">
        <f t="shared" si="19"/>
        <v>2.5</v>
      </c>
      <c r="X27" s="34">
        <f t="shared" si="19"/>
        <v>3</v>
      </c>
      <c r="Y27" s="34">
        <f t="shared" si="19"/>
        <v>3</v>
      </c>
      <c r="Z27" s="34">
        <f t="shared" si="19"/>
        <v>1</v>
      </c>
      <c r="AA27" s="34">
        <f t="shared" si="19"/>
        <v>1.5</v>
      </c>
      <c r="AB27" s="34">
        <f t="shared" si="19"/>
        <v>0</v>
      </c>
      <c r="AC27" s="34">
        <f t="shared" si="19"/>
        <v>4.5</v>
      </c>
      <c r="AD27" s="34">
        <f t="shared" si="19"/>
        <v>0</v>
      </c>
      <c r="AE27" s="31">
        <f t="shared" si="19"/>
        <v>21</v>
      </c>
      <c r="AF27" s="31">
        <f t="shared" si="19"/>
        <v>25.5</v>
      </c>
    </row>
    <row r="28" spans="2:32" ht="23.1" customHeight="1" x14ac:dyDescent="0.25">
      <c r="B28" s="23" t="s">
        <v>55</v>
      </c>
      <c r="C28" s="49">
        <f>'Avg Week Ibanda-Mbarara'!C28+'Avg Week Mbarara-Ibanda'!C28</f>
        <v>13.142857142857142</v>
      </c>
      <c r="D28" s="49">
        <f>'Avg Week Ibanda-Mbarara'!D28+'Avg Week Mbarara-Ibanda'!D28</f>
        <v>0.8571428571428571</v>
      </c>
      <c r="E28" s="49">
        <f>'Avg Week Ibanda-Mbarara'!E28+'Avg Week Mbarara-Ibanda'!E28</f>
        <v>1.5714285714285714</v>
      </c>
      <c r="F28" s="49">
        <f>'Avg Week Ibanda-Mbarara'!F28+'Avg Week Mbarara-Ibanda'!F28</f>
        <v>3.8571428571428568</v>
      </c>
      <c r="G28" s="49">
        <f>'Avg Week Ibanda-Mbarara'!G28+'Avg Week Mbarara-Ibanda'!G28</f>
        <v>0</v>
      </c>
      <c r="H28" s="49">
        <f>'Avg Week Ibanda-Mbarara'!H28+'Avg Week Mbarara-Ibanda'!H28</f>
        <v>0</v>
      </c>
      <c r="I28" s="49">
        <f>'Avg Week Ibanda-Mbarara'!I28+'Avg Week Mbarara-Ibanda'!I28</f>
        <v>1.1428571428571428</v>
      </c>
      <c r="J28" s="49">
        <f>'Avg Week Ibanda-Mbarara'!J28+'Avg Week Mbarara-Ibanda'!J28</f>
        <v>2.1428571428571428</v>
      </c>
      <c r="K28" s="49">
        <f>'Avg Week Ibanda-Mbarara'!K28+'Avg Week Mbarara-Ibanda'!K28</f>
        <v>0.2857142857142857</v>
      </c>
      <c r="L28" s="49">
        <f>'Avg Week Ibanda-Mbarara'!L28+'Avg Week Mbarara-Ibanda'!L28</f>
        <v>0.42857142857142855</v>
      </c>
      <c r="M28" s="49">
        <f>'Avg Week Ibanda-Mbarara'!M28+'Avg Week Mbarara-Ibanda'!M28</f>
        <v>19.142857142857142</v>
      </c>
      <c r="N28" s="49">
        <f>'Avg Week Ibanda-Mbarara'!N28+'Avg Week Mbarara-Ibanda'!N28</f>
        <v>0</v>
      </c>
      <c r="O28" s="15">
        <f t="shared" si="0"/>
        <v>23.428571428571423</v>
      </c>
      <c r="P28" s="15">
        <f t="shared" si="1"/>
        <v>42.571428571428569</v>
      </c>
      <c r="R28" s="1" t="s">
        <v>152</v>
      </c>
      <c r="S28" s="34">
        <f>SUM(C82:C85)</f>
        <v>7</v>
      </c>
      <c r="T28" s="34">
        <f t="shared" ref="T28:AF28" si="20">SUM(D82:D85)</f>
        <v>3</v>
      </c>
      <c r="U28" s="34">
        <f t="shared" si="20"/>
        <v>1</v>
      </c>
      <c r="V28" s="34">
        <f t="shared" si="20"/>
        <v>3.5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1.5</v>
      </c>
      <c r="AA28" s="34">
        <f t="shared" si="20"/>
        <v>3.5</v>
      </c>
      <c r="AB28" s="34">
        <f t="shared" si="20"/>
        <v>1.5</v>
      </c>
      <c r="AC28" s="34">
        <f t="shared" si="20"/>
        <v>8</v>
      </c>
      <c r="AD28" s="34">
        <f t="shared" si="20"/>
        <v>0</v>
      </c>
      <c r="AE28" s="31">
        <f t="shared" si="20"/>
        <v>25</v>
      </c>
      <c r="AF28" s="31">
        <f t="shared" si="20"/>
        <v>33</v>
      </c>
    </row>
    <row r="29" spans="2:32" ht="23.1" customHeight="1" x14ac:dyDescent="0.25">
      <c r="B29" s="23" t="s">
        <v>56</v>
      </c>
      <c r="C29" s="49">
        <f>'Avg Week Ibanda-Mbarara'!C29+'Avg Week Mbarara-Ibanda'!C29</f>
        <v>14.142857142857142</v>
      </c>
      <c r="D29" s="49">
        <f>'Avg Week Ibanda-Mbarara'!D29+'Avg Week Mbarara-Ibanda'!D29</f>
        <v>0.42857142857142855</v>
      </c>
      <c r="E29" s="49">
        <f>'Avg Week Ibanda-Mbarara'!E29+'Avg Week Mbarara-Ibanda'!E29</f>
        <v>1.7142857142857142</v>
      </c>
      <c r="F29" s="49">
        <f>'Avg Week Ibanda-Mbarara'!F29+'Avg Week Mbarara-Ibanda'!F29</f>
        <v>2.8571428571428572</v>
      </c>
      <c r="G29" s="49">
        <f>'Avg Week Ibanda-Mbarara'!G29+'Avg Week Mbarara-Ibanda'!G29</f>
        <v>0.2857142857142857</v>
      </c>
      <c r="H29" s="49">
        <f>'Avg Week Ibanda-Mbarara'!H29+'Avg Week Mbarara-Ibanda'!H29</f>
        <v>0.14285714285714285</v>
      </c>
      <c r="I29" s="49">
        <f>'Avg Week Ibanda-Mbarara'!I29+'Avg Week Mbarara-Ibanda'!I29</f>
        <v>1.5714285714285714</v>
      </c>
      <c r="J29" s="49">
        <f>'Avg Week Ibanda-Mbarara'!J29+'Avg Week Mbarara-Ibanda'!J29</f>
        <v>0.8571428571428571</v>
      </c>
      <c r="K29" s="49">
        <f>'Avg Week Ibanda-Mbarara'!K29+'Avg Week Mbarara-Ibanda'!K29</f>
        <v>0.42857142857142855</v>
      </c>
      <c r="L29" s="49">
        <f>'Avg Week Ibanda-Mbarara'!L29+'Avg Week Mbarara-Ibanda'!L29</f>
        <v>0.14285714285714285</v>
      </c>
      <c r="M29" s="49">
        <f>'Avg Week Ibanda-Mbarara'!M29+'Avg Week Mbarara-Ibanda'!M29</f>
        <v>16.285714285714285</v>
      </c>
      <c r="N29" s="49">
        <f>'Avg Week Ibanda-Mbarara'!N29+'Avg Week Mbarara-Ibanda'!N29</f>
        <v>1.4285714285714286</v>
      </c>
      <c r="O29" s="15">
        <f t="shared" si="0"/>
        <v>23.999999999999996</v>
      </c>
      <c r="P29" s="15">
        <f t="shared" si="1"/>
        <v>40.285714285714285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1.5</v>
      </c>
      <c r="AA29" s="34">
        <f t="shared" si="21"/>
        <v>1</v>
      </c>
      <c r="AB29" s="34">
        <f t="shared" si="21"/>
        <v>0</v>
      </c>
      <c r="AC29" s="34">
        <f t="shared" si="21"/>
        <v>3</v>
      </c>
      <c r="AD29" s="34">
        <f t="shared" si="21"/>
        <v>0</v>
      </c>
      <c r="AE29" s="31">
        <f t="shared" si="21"/>
        <v>6.5</v>
      </c>
      <c r="AF29" s="31">
        <f t="shared" si="21"/>
        <v>9.5</v>
      </c>
    </row>
    <row r="30" spans="2:32" ht="23.1" customHeight="1" x14ac:dyDescent="0.25">
      <c r="B30" s="23" t="s">
        <v>57</v>
      </c>
      <c r="C30" s="49">
        <f>'Avg Week Ibanda-Mbarara'!C30+'Avg Week Mbarara-Ibanda'!C30</f>
        <v>11.285714285714285</v>
      </c>
      <c r="D30" s="49">
        <f>'Avg Week Ibanda-Mbarara'!D30+'Avg Week Mbarara-Ibanda'!D30</f>
        <v>1.1428571428571428</v>
      </c>
      <c r="E30" s="49">
        <f>'Avg Week Ibanda-Mbarara'!E30+'Avg Week Mbarara-Ibanda'!E30</f>
        <v>1.7142857142857144</v>
      </c>
      <c r="F30" s="49">
        <f>'Avg Week Ibanda-Mbarara'!F30+'Avg Week Mbarara-Ibanda'!F30</f>
        <v>3</v>
      </c>
      <c r="G30" s="49">
        <f>'Avg Week Ibanda-Mbarara'!G30+'Avg Week Mbarara-Ibanda'!G30</f>
        <v>0</v>
      </c>
      <c r="H30" s="49">
        <f>'Avg Week Ibanda-Mbarara'!H30+'Avg Week Mbarara-Ibanda'!H30</f>
        <v>0.14285714285714285</v>
      </c>
      <c r="I30" s="49">
        <f>'Avg Week Ibanda-Mbarara'!I30+'Avg Week Mbarara-Ibanda'!I30</f>
        <v>2</v>
      </c>
      <c r="J30" s="49">
        <f>'Avg Week Ibanda-Mbarara'!J30+'Avg Week Mbarara-Ibanda'!J30</f>
        <v>1</v>
      </c>
      <c r="K30" s="49">
        <f>'Avg Week Ibanda-Mbarara'!K30+'Avg Week Mbarara-Ibanda'!K30</f>
        <v>0.14285714285714285</v>
      </c>
      <c r="L30" s="49">
        <f>'Avg Week Ibanda-Mbarara'!L30+'Avg Week Mbarara-Ibanda'!L30</f>
        <v>0</v>
      </c>
      <c r="M30" s="49">
        <f>'Avg Week Ibanda-Mbarara'!M30+'Avg Week Mbarara-Ibanda'!M30</f>
        <v>18.714285714285715</v>
      </c>
      <c r="N30" s="49">
        <f>'Avg Week Ibanda-Mbarara'!N30+'Avg Week Mbarara-Ibanda'!N30</f>
        <v>0</v>
      </c>
      <c r="O30" s="15">
        <f t="shared" si="0"/>
        <v>20.428571428571427</v>
      </c>
      <c r="P30" s="15">
        <f t="shared" si="1"/>
        <v>39.142857142857139</v>
      </c>
      <c r="R30" s="1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2.5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2.5</v>
      </c>
      <c r="Z30" s="34">
        <f t="shared" si="22"/>
        <v>1.5</v>
      </c>
      <c r="AA30" s="34">
        <f t="shared" si="22"/>
        <v>1.5</v>
      </c>
      <c r="AB30" s="34">
        <f t="shared" si="22"/>
        <v>0.5</v>
      </c>
      <c r="AC30" s="34">
        <f t="shared" si="22"/>
        <v>7</v>
      </c>
      <c r="AD30" s="34">
        <f t="shared" si="22"/>
        <v>0</v>
      </c>
      <c r="AE30" s="31">
        <f t="shared" si="22"/>
        <v>16.5</v>
      </c>
      <c r="AF30" s="31">
        <f t="shared" si="22"/>
        <v>23.5</v>
      </c>
    </row>
    <row r="31" spans="2:32" ht="23.1" customHeight="1" x14ac:dyDescent="0.25">
      <c r="B31" s="24" t="s">
        <v>58</v>
      </c>
      <c r="C31" s="49">
        <f>'Avg Week Ibanda-Mbarara'!C31+'Avg Week Mbarara-Ibanda'!C31</f>
        <v>14.714285714285715</v>
      </c>
      <c r="D31" s="49">
        <f>'Avg Week Ibanda-Mbarara'!D31+'Avg Week Mbarara-Ibanda'!D31</f>
        <v>0.8571428571428571</v>
      </c>
      <c r="E31" s="49">
        <f>'Avg Week Ibanda-Mbarara'!E31+'Avg Week Mbarara-Ibanda'!E31</f>
        <v>1</v>
      </c>
      <c r="F31" s="49">
        <f>'Avg Week Ibanda-Mbarara'!F31+'Avg Week Mbarara-Ibanda'!F31</f>
        <v>2.2857142857142856</v>
      </c>
      <c r="G31" s="49">
        <f>'Avg Week Ibanda-Mbarara'!G31+'Avg Week Mbarara-Ibanda'!G31</f>
        <v>0.2857142857142857</v>
      </c>
      <c r="H31" s="49">
        <f>'Avg Week Ibanda-Mbarara'!H31+'Avg Week Mbarara-Ibanda'!H31</f>
        <v>0.14285714285714285</v>
      </c>
      <c r="I31" s="49">
        <f>'Avg Week Ibanda-Mbarara'!I31+'Avg Week Mbarara-Ibanda'!I31</f>
        <v>1</v>
      </c>
      <c r="J31" s="49">
        <f>'Avg Week Ibanda-Mbarara'!J31+'Avg Week Mbarara-Ibanda'!J31</f>
        <v>1.2857142857142856</v>
      </c>
      <c r="K31" s="49">
        <f>'Avg Week Ibanda-Mbarara'!K31+'Avg Week Mbarara-Ibanda'!K31</f>
        <v>0.2857142857142857</v>
      </c>
      <c r="L31" s="49">
        <f>'Avg Week Ibanda-Mbarara'!L31+'Avg Week Mbarara-Ibanda'!L31</f>
        <v>0</v>
      </c>
      <c r="M31" s="49">
        <f>'Avg Week Ibanda-Mbarara'!M31+'Avg Week Mbarara-Ibanda'!M31</f>
        <v>16.285714285714285</v>
      </c>
      <c r="N31" s="49">
        <f>'Avg Week Ibanda-Mbarara'!N31+'Avg Week Mbarara-Ibanda'!N31</f>
        <v>0</v>
      </c>
      <c r="O31" s="15">
        <f t="shared" si="0"/>
        <v>21.857142857142854</v>
      </c>
      <c r="P31" s="15">
        <f t="shared" si="1"/>
        <v>38.142857142857139</v>
      </c>
      <c r="R31" s="1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1.5</v>
      </c>
      <c r="AA31" s="34">
        <f t="shared" si="23"/>
        <v>1.5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9.5</v>
      </c>
      <c r="AF31" s="31">
        <f t="shared" si="23"/>
        <v>12.5</v>
      </c>
    </row>
    <row r="32" spans="2:32" ht="23.1" customHeight="1" x14ac:dyDescent="0.25">
      <c r="B32" s="24" t="s">
        <v>59</v>
      </c>
      <c r="C32" s="49">
        <f>'Avg Week Ibanda-Mbarara'!C32+'Avg Week Mbarara-Ibanda'!C32</f>
        <v>11.857142857142858</v>
      </c>
      <c r="D32" s="49">
        <f>'Avg Week Ibanda-Mbarara'!D32+'Avg Week Mbarara-Ibanda'!D32</f>
        <v>0.71428571428571419</v>
      </c>
      <c r="E32" s="49">
        <f>'Avg Week Ibanda-Mbarara'!E32+'Avg Week Mbarara-Ibanda'!E32</f>
        <v>2.4285714285714288</v>
      </c>
      <c r="F32" s="49">
        <f>'Avg Week Ibanda-Mbarara'!F32+'Avg Week Mbarara-Ibanda'!F32</f>
        <v>2.5714285714285712</v>
      </c>
      <c r="G32" s="49">
        <f>'Avg Week Ibanda-Mbarara'!G32+'Avg Week Mbarara-Ibanda'!G32</f>
        <v>0</v>
      </c>
      <c r="H32" s="49">
        <f>'Avg Week Ibanda-Mbarara'!H32+'Avg Week Mbarara-Ibanda'!H32</f>
        <v>0</v>
      </c>
      <c r="I32" s="49">
        <f>'Avg Week Ibanda-Mbarara'!I32+'Avg Week Mbarara-Ibanda'!I32</f>
        <v>2.1428571428571428</v>
      </c>
      <c r="J32" s="49">
        <f>'Avg Week Ibanda-Mbarara'!J32+'Avg Week Mbarara-Ibanda'!J32</f>
        <v>2.5714285714285712</v>
      </c>
      <c r="K32" s="49">
        <f>'Avg Week Ibanda-Mbarara'!K32+'Avg Week Mbarara-Ibanda'!K32</f>
        <v>0.14285714285714285</v>
      </c>
      <c r="L32" s="49">
        <f>'Avg Week Ibanda-Mbarara'!L32+'Avg Week Mbarara-Ibanda'!L32</f>
        <v>1</v>
      </c>
      <c r="M32" s="49">
        <f>'Avg Week Ibanda-Mbarara'!M32+'Avg Week Mbarara-Ibanda'!M32</f>
        <v>21.428571428571431</v>
      </c>
      <c r="N32" s="49">
        <f>'Avg Week Ibanda-Mbarara'!N32+'Avg Week Mbarara-Ibanda'!N32</f>
        <v>0</v>
      </c>
      <c r="O32" s="15">
        <f t="shared" si="0"/>
        <v>23.428571428571427</v>
      </c>
      <c r="P32" s="15">
        <f t="shared" si="1"/>
        <v>44.857142857142861</v>
      </c>
      <c r="R32" s="1" t="s">
        <v>156</v>
      </c>
      <c r="S32" s="34">
        <f>SUM(C98:C101)</f>
        <v>3</v>
      </c>
      <c r="T32" s="34">
        <f t="shared" ref="T32:AF32" si="24">SUM(D98:D101)</f>
        <v>2.5</v>
      </c>
      <c r="U32" s="34">
        <f t="shared" si="24"/>
        <v>3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2.5</v>
      </c>
      <c r="AA32" s="34">
        <f t="shared" si="24"/>
        <v>2</v>
      </c>
      <c r="AB32" s="34">
        <f t="shared" si="24"/>
        <v>1</v>
      </c>
      <c r="AC32" s="34">
        <f t="shared" si="24"/>
        <v>7.5</v>
      </c>
      <c r="AD32" s="34">
        <f t="shared" si="24"/>
        <v>0</v>
      </c>
      <c r="AE32" s="31">
        <f t="shared" si="24"/>
        <v>16</v>
      </c>
      <c r="AF32" s="31">
        <f t="shared" si="24"/>
        <v>23.5</v>
      </c>
    </row>
    <row r="33" spans="2:32" ht="23.1" customHeight="1" x14ac:dyDescent="0.25">
      <c r="B33" s="23" t="s">
        <v>60</v>
      </c>
      <c r="C33" s="49">
        <f>'Avg Week Ibanda-Mbarara'!C33+'Avg Week Mbarara-Ibanda'!C33</f>
        <v>13.857142857142858</v>
      </c>
      <c r="D33" s="49">
        <f>'Avg Week Ibanda-Mbarara'!D33+'Avg Week Mbarara-Ibanda'!D33</f>
        <v>2.7142857142857144</v>
      </c>
      <c r="E33" s="49">
        <f>'Avg Week Ibanda-Mbarara'!E33+'Avg Week Mbarara-Ibanda'!E33</f>
        <v>1.2857142857142856</v>
      </c>
      <c r="F33" s="49">
        <f>'Avg Week Ibanda-Mbarara'!F33+'Avg Week Mbarara-Ibanda'!F33</f>
        <v>3</v>
      </c>
      <c r="G33" s="49">
        <f>'Avg Week Ibanda-Mbarara'!G33+'Avg Week Mbarara-Ibanda'!G33</f>
        <v>0</v>
      </c>
      <c r="H33" s="49">
        <f>'Avg Week Ibanda-Mbarara'!H33+'Avg Week Mbarara-Ibanda'!H33</f>
        <v>0.8571428571428571</v>
      </c>
      <c r="I33" s="49">
        <f>'Avg Week Ibanda-Mbarara'!I33+'Avg Week Mbarara-Ibanda'!I33</f>
        <v>1.7142857142857142</v>
      </c>
      <c r="J33" s="49">
        <f>'Avg Week Ibanda-Mbarara'!J33+'Avg Week Mbarara-Ibanda'!J33</f>
        <v>1.1428571428571428</v>
      </c>
      <c r="K33" s="49">
        <f>'Avg Week Ibanda-Mbarara'!K33+'Avg Week Mbarara-Ibanda'!K33</f>
        <v>0</v>
      </c>
      <c r="L33" s="49">
        <f>'Avg Week Ibanda-Mbarara'!L33+'Avg Week Mbarara-Ibanda'!L33</f>
        <v>0</v>
      </c>
      <c r="M33" s="49">
        <f>'Avg Week Ibanda-Mbarara'!M33+'Avg Week Mbarara-Ibanda'!M33</f>
        <v>18.571428571428569</v>
      </c>
      <c r="N33" s="49">
        <f>'Avg Week Ibanda-Mbarara'!N33+'Avg Week Mbarara-Ibanda'!N33</f>
        <v>0</v>
      </c>
      <c r="O33" s="15">
        <f t="shared" si="0"/>
        <v>24.571428571428573</v>
      </c>
      <c r="P33" s="15">
        <f t="shared" si="1"/>
        <v>43.142857142857139</v>
      </c>
      <c r="R33" s="1" t="s">
        <v>157</v>
      </c>
      <c r="S33" s="34">
        <f>SUM(C102:C105)</f>
        <v>15</v>
      </c>
      <c r="T33" s="34">
        <f t="shared" ref="T33:AF33" si="25">SUM(D102:D105)</f>
        <v>3</v>
      </c>
      <c r="U33" s="34">
        <f t="shared" si="25"/>
        <v>2</v>
      </c>
      <c r="V33" s="34">
        <f t="shared" si="25"/>
        <v>1.5</v>
      </c>
      <c r="W33" s="34">
        <f t="shared" si="25"/>
        <v>0</v>
      </c>
      <c r="X33" s="34">
        <f t="shared" si="25"/>
        <v>0</v>
      </c>
      <c r="Y33" s="34">
        <f t="shared" si="25"/>
        <v>5.5</v>
      </c>
      <c r="Z33" s="34">
        <f t="shared" si="25"/>
        <v>0.5</v>
      </c>
      <c r="AA33" s="34">
        <f t="shared" si="25"/>
        <v>1.5</v>
      </c>
      <c r="AB33" s="34">
        <f t="shared" si="25"/>
        <v>0</v>
      </c>
      <c r="AC33" s="34">
        <f t="shared" si="25"/>
        <v>17.5</v>
      </c>
      <c r="AD33" s="34">
        <f t="shared" si="25"/>
        <v>0</v>
      </c>
      <c r="AE33" s="31">
        <f t="shared" si="25"/>
        <v>29</v>
      </c>
      <c r="AF33" s="31">
        <f t="shared" si="25"/>
        <v>46.5</v>
      </c>
    </row>
    <row r="34" spans="2:32" ht="23.1" customHeight="1" x14ac:dyDescent="0.25">
      <c r="B34" s="24" t="s">
        <v>61</v>
      </c>
      <c r="C34" s="49">
        <f>'Avg Week Ibanda-Mbarara'!C34+'Avg Week Mbarara-Ibanda'!C34</f>
        <v>12.142857142857142</v>
      </c>
      <c r="D34" s="49">
        <f>'Avg Week Ibanda-Mbarara'!D34+'Avg Week Mbarara-Ibanda'!D34</f>
        <v>0.8571428571428571</v>
      </c>
      <c r="E34" s="49">
        <f>'Avg Week Ibanda-Mbarara'!E34+'Avg Week Mbarara-Ibanda'!E34</f>
        <v>2.1428571428571428</v>
      </c>
      <c r="F34" s="49">
        <f>'Avg Week Ibanda-Mbarara'!F34+'Avg Week Mbarara-Ibanda'!F34</f>
        <v>3.2857142857142856</v>
      </c>
      <c r="G34" s="49">
        <f>'Avg Week Ibanda-Mbarara'!G34+'Avg Week Mbarara-Ibanda'!G34</f>
        <v>0.14285714285714285</v>
      </c>
      <c r="H34" s="49">
        <f>'Avg Week Ibanda-Mbarara'!H34+'Avg Week Mbarara-Ibanda'!H34</f>
        <v>0</v>
      </c>
      <c r="I34" s="49">
        <f>'Avg Week Ibanda-Mbarara'!I34+'Avg Week Mbarara-Ibanda'!I34</f>
        <v>1.4285714285714284</v>
      </c>
      <c r="J34" s="49">
        <f>'Avg Week Ibanda-Mbarara'!J34+'Avg Week Mbarara-Ibanda'!J34</f>
        <v>2.1428571428571428</v>
      </c>
      <c r="K34" s="49">
        <f>'Avg Week Ibanda-Mbarara'!K34+'Avg Week Mbarara-Ibanda'!K34</f>
        <v>0.42857142857142855</v>
      </c>
      <c r="L34" s="49">
        <f>'Avg Week Ibanda-Mbarara'!L34+'Avg Week Mbarara-Ibanda'!L34</f>
        <v>0.2857142857142857</v>
      </c>
      <c r="M34" s="49">
        <f>'Avg Week Ibanda-Mbarara'!M34+'Avg Week Mbarara-Ibanda'!M34</f>
        <v>19.857142857142858</v>
      </c>
      <c r="N34" s="49">
        <f>'Avg Week Ibanda-Mbarara'!N34+'Avg Week Mbarara-Ibanda'!N34</f>
        <v>0</v>
      </c>
      <c r="O34" s="15">
        <f t="shared" si="0"/>
        <v>22.857142857142851</v>
      </c>
      <c r="P34" s="15">
        <f t="shared" si="1"/>
        <v>42.714285714285708</v>
      </c>
      <c r="R34" s="38" t="s">
        <v>90</v>
      </c>
      <c r="S34" s="39">
        <f t="shared" ref="S34:AF34" si="26">MAX(S10:S12)</f>
        <v>43.285714285714292</v>
      </c>
      <c r="T34" s="39">
        <f t="shared" si="26"/>
        <v>5.8571428571428568</v>
      </c>
      <c r="U34" s="39">
        <f t="shared" si="26"/>
        <v>6</v>
      </c>
      <c r="V34" s="39">
        <f t="shared" si="26"/>
        <v>15.857142857142856</v>
      </c>
      <c r="W34" s="39">
        <f t="shared" si="26"/>
        <v>0.5714285714285714</v>
      </c>
      <c r="X34" s="39">
        <f t="shared" si="26"/>
        <v>1.1428571428571428</v>
      </c>
      <c r="Y34" s="39">
        <f t="shared" si="26"/>
        <v>3.2857142857142856</v>
      </c>
      <c r="Z34" s="39">
        <f t="shared" si="26"/>
        <v>3.2857142857142856</v>
      </c>
      <c r="AA34" s="39">
        <f t="shared" si="26"/>
        <v>1.2857142857142856</v>
      </c>
      <c r="AB34" s="39">
        <f t="shared" si="26"/>
        <v>1.4285714285714284</v>
      </c>
      <c r="AC34" s="39">
        <f t="shared" si="26"/>
        <v>80.714285714285708</v>
      </c>
      <c r="AD34" s="39">
        <f t="shared" si="26"/>
        <v>0</v>
      </c>
      <c r="AE34" s="40">
        <f t="shared" si="26"/>
        <v>76.857142857142861</v>
      </c>
      <c r="AF34" s="40">
        <f t="shared" si="26"/>
        <v>153.28571428571428</v>
      </c>
    </row>
    <row r="35" spans="2:32" ht="23.1" customHeight="1" x14ac:dyDescent="0.25">
      <c r="B35" s="24" t="s">
        <v>62</v>
      </c>
      <c r="C35" s="49">
        <f>'Avg Week Ibanda-Mbarara'!C35+'Avg Week Mbarara-Ibanda'!C35</f>
        <v>16.857142857142858</v>
      </c>
      <c r="D35" s="49">
        <f>'Avg Week Ibanda-Mbarara'!D35+'Avg Week Mbarara-Ibanda'!D35</f>
        <v>1.4285714285714284</v>
      </c>
      <c r="E35" s="49">
        <f>'Avg Week Ibanda-Mbarara'!E35+'Avg Week Mbarara-Ibanda'!E35</f>
        <v>0.5714285714285714</v>
      </c>
      <c r="F35" s="49">
        <f>'Avg Week Ibanda-Mbarara'!F35+'Avg Week Mbarara-Ibanda'!F35</f>
        <v>4</v>
      </c>
      <c r="G35" s="49">
        <f>'Avg Week Ibanda-Mbarara'!G35+'Avg Week Mbarara-Ibanda'!G35</f>
        <v>0</v>
      </c>
      <c r="H35" s="49">
        <f>'Avg Week Ibanda-Mbarara'!H35+'Avg Week Mbarara-Ibanda'!H35</f>
        <v>1</v>
      </c>
      <c r="I35" s="49">
        <f>'Avg Week Ibanda-Mbarara'!I35+'Avg Week Mbarara-Ibanda'!I35</f>
        <v>1.7142857142857144</v>
      </c>
      <c r="J35" s="49">
        <f>'Avg Week Ibanda-Mbarara'!J35+'Avg Week Mbarara-Ibanda'!J35</f>
        <v>1</v>
      </c>
      <c r="K35" s="49">
        <f>'Avg Week Ibanda-Mbarara'!K35+'Avg Week Mbarara-Ibanda'!K35</f>
        <v>0.42857142857142855</v>
      </c>
      <c r="L35" s="49">
        <f>'Avg Week Ibanda-Mbarara'!L35+'Avg Week Mbarara-Ibanda'!L35</f>
        <v>0.14285714285714285</v>
      </c>
      <c r="M35" s="49">
        <f>'Avg Week Ibanda-Mbarara'!M35+'Avg Week Mbarara-Ibanda'!M35</f>
        <v>21.428571428571431</v>
      </c>
      <c r="N35" s="49">
        <f>'Avg Week Ibanda-Mbarara'!N35+'Avg Week Mbarara-Ibanda'!N35</f>
        <v>0</v>
      </c>
      <c r="O35" s="15">
        <f t="shared" si="0"/>
        <v>27.142857142857142</v>
      </c>
      <c r="P35" s="15">
        <f t="shared" si="1"/>
        <v>48.571428571428569</v>
      </c>
      <c r="R35" s="38" t="s">
        <v>91</v>
      </c>
      <c r="S35" s="39">
        <f t="shared" ref="S35:AF35" si="27">MAX(S13:S18)</f>
        <v>56.142857142857139</v>
      </c>
      <c r="T35" s="39">
        <f t="shared" si="27"/>
        <v>8.8571428571428559</v>
      </c>
      <c r="U35" s="39">
        <f t="shared" si="27"/>
        <v>7.5714285714285712</v>
      </c>
      <c r="V35" s="39">
        <f t="shared" si="27"/>
        <v>15.142857142857142</v>
      </c>
      <c r="W35" s="39">
        <f t="shared" si="27"/>
        <v>0.71428571428571419</v>
      </c>
      <c r="X35" s="39">
        <f t="shared" si="27"/>
        <v>1.5714285714285714</v>
      </c>
      <c r="Y35" s="39">
        <f t="shared" si="27"/>
        <v>7.2857142857142856</v>
      </c>
      <c r="Z35" s="39">
        <f t="shared" si="27"/>
        <v>6.5714285714285712</v>
      </c>
      <c r="AA35" s="39">
        <f t="shared" si="27"/>
        <v>1.5714285714285712</v>
      </c>
      <c r="AB35" s="39">
        <f t="shared" si="27"/>
        <v>1.4285714285714284</v>
      </c>
      <c r="AC35" s="39">
        <f t="shared" si="27"/>
        <v>79.142857142857139</v>
      </c>
      <c r="AD35" s="39">
        <f t="shared" si="27"/>
        <v>1.4285714285714286</v>
      </c>
      <c r="AE35" s="40">
        <f t="shared" si="27"/>
        <v>100.42857142857142</v>
      </c>
      <c r="AF35" s="40">
        <f t="shared" si="27"/>
        <v>179.57142857142858</v>
      </c>
    </row>
    <row r="36" spans="2:32" ht="23.1" customHeight="1" x14ac:dyDescent="0.25">
      <c r="B36" s="24" t="s">
        <v>63</v>
      </c>
      <c r="C36" s="49">
        <f>'Avg Week Ibanda-Mbarara'!C36+'Avg Week Mbarara-Ibanda'!C36</f>
        <v>12</v>
      </c>
      <c r="D36" s="49">
        <f>'Avg Week Ibanda-Mbarara'!D36+'Avg Week Mbarara-Ibanda'!D36</f>
        <v>1.7142857142857144</v>
      </c>
      <c r="E36" s="49">
        <f>'Avg Week Ibanda-Mbarara'!E36+'Avg Week Mbarara-Ibanda'!E36</f>
        <v>2.1428571428571428</v>
      </c>
      <c r="F36" s="49">
        <f>'Avg Week Ibanda-Mbarara'!F36+'Avg Week Mbarara-Ibanda'!F36</f>
        <v>3.7142857142857144</v>
      </c>
      <c r="G36" s="49">
        <f>'Avg Week Ibanda-Mbarara'!G36+'Avg Week Mbarara-Ibanda'!G36</f>
        <v>0</v>
      </c>
      <c r="H36" s="49">
        <f>'Avg Week Ibanda-Mbarara'!H36+'Avg Week Mbarara-Ibanda'!H36</f>
        <v>0.42857142857142855</v>
      </c>
      <c r="I36" s="49">
        <f>'Avg Week Ibanda-Mbarara'!I36+'Avg Week Mbarara-Ibanda'!I36</f>
        <v>2.1428571428571428</v>
      </c>
      <c r="J36" s="49">
        <f>'Avg Week Ibanda-Mbarara'!J36+'Avg Week Mbarara-Ibanda'!J36</f>
        <v>1.1428571428571428</v>
      </c>
      <c r="K36" s="49">
        <f>'Avg Week Ibanda-Mbarara'!K36+'Avg Week Mbarara-Ibanda'!K36</f>
        <v>0.14285714285714285</v>
      </c>
      <c r="L36" s="49">
        <f>'Avg Week Ibanda-Mbarara'!L36+'Avg Week Mbarara-Ibanda'!L36</f>
        <v>0.14285714285714285</v>
      </c>
      <c r="M36" s="49">
        <f>'Avg Week Ibanda-Mbarara'!M36+'Avg Week Mbarara-Ibanda'!M36</f>
        <v>16.142857142857142</v>
      </c>
      <c r="N36" s="49">
        <f>'Avg Week Ibanda-Mbarara'!N36+'Avg Week Mbarara-Ibanda'!N36</f>
        <v>0</v>
      </c>
      <c r="O36" s="15">
        <f t="shared" si="0"/>
        <v>23.571428571428569</v>
      </c>
      <c r="P36" s="15">
        <f t="shared" si="1"/>
        <v>39.714285714285708</v>
      </c>
      <c r="R36" s="38" t="s">
        <v>92</v>
      </c>
      <c r="S36" s="39">
        <f t="shared" ref="S36:AF36" si="28">MAX(S19:S21)</f>
        <v>57.714285714285722</v>
      </c>
      <c r="T36" s="39">
        <f t="shared" si="28"/>
        <v>8.428571428571427</v>
      </c>
      <c r="U36" s="39">
        <f t="shared" si="28"/>
        <v>6.4285714285714288</v>
      </c>
      <c r="V36" s="39">
        <f t="shared" si="28"/>
        <v>12.857142857142858</v>
      </c>
      <c r="W36" s="39">
        <f t="shared" si="28"/>
        <v>0.14285714285714285</v>
      </c>
      <c r="X36" s="39">
        <f t="shared" si="28"/>
        <v>1.1428571428571428</v>
      </c>
      <c r="Y36" s="39">
        <f t="shared" si="28"/>
        <v>5.7142857142857144</v>
      </c>
      <c r="Z36" s="39">
        <f t="shared" si="28"/>
        <v>6</v>
      </c>
      <c r="AA36" s="39">
        <f t="shared" si="28"/>
        <v>1.5714285714285712</v>
      </c>
      <c r="AB36" s="39">
        <f t="shared" si="28"/>
        <v>1.2857142857142856</v>
      </c>
      <c r="AC36" s="39">
        <f t="shared" si="28"/>
        <v>98.142857142857139</v>
      </c>
      <c r="AD36" s="39">
        <f t="shared" si="28"/>
        <v>0</v>
      </c>
      <c r="AE36" s="40">
        <f t="shared" si="28"/>
        <v>95.857142857142861</v>
      </c>
      <c r="AF36" s="40">
        <f t="shared" si="28"/>
        <v>190.28571428571428</v>
      </c>
    </row>
    <row r="37" spans="2:32" ht="23.1" customHeight="1" x14ac:dyDescent="0.25">
      <c r="B37" s="23" t="s">
        <v>64</v>
      </c>
      <c r="C37" s="49">
        <f>'Avg Week Ibanda-Mbarara'!C37+'Avg Week Mbarara-Ibanda'!C37</f>
        <v>15.142857142857142</v>
      </c>
      <c r="D37" s="49">
        <f>'Avg Week Ibanda-Mbarara'!D37+'Avg Week Mbarara-Ibanda'!D37</f>
        <v>1.2857142857142856</v>
      </c>
      <c r="E37" s="49">
        <f>'Avg Week Ibanda-Mbarara'!E37+'Avg Week Mbarara-Ibanda'!E37</f>
        <v>1</v>
      </c>
      <c r="F37" s="49">
        <f>'Avg Week Ibanda-Mbarara'!F37+'Avg Week Mbarara-Ibanda'!F37</f>
        <v>2.8571428571428572</v>
      </c>
      <c r="G37" s="49">
        <f>'Avg Week Ibanda-Mbarara'!G37+'Avg Week Mbarara-Ibanda'!G37</f>
        <v>0</v>
      </c>
      <c r="H37" s="49">
        <f>'Avg Week Ibanda-Mbarara'!H37+'Avg Week Mbarara-Ibanda'!H37</f>
        <v>0.14285714285714285</v>
      </c>
      <c r="I37" s="49">
        <f>'Avg Week Ibanda-Mbarara'!I37+'Avg Week Mbarara-Ibanda'!I37</f>
        <v>2</v>
      </c>
      <c r="J37" s="49">
        <f>'Avg Week Ibanda-Mbarara'!J37+'Avg Week Mbarara-Ibanda'!J37</f>
        <v>1.5714285714285714</v>
      </c>
      <c r="K37" s="49">
        <f>'Avg Week Ibanda-Mbarara'!K37+'Avg Week Mbarara-Ibanda'!K37</f>
        <v>0.2857142857142857</v>
      </c>
      <c r="L37" s="49">
        <f>'Avg Week Ibanda-Mbarara'!L37+'Avg Week Mbarara-Ibanda'!L37</f>
        <v>0</v>
      </c>
      <c r="M37" s="49">
        <f>'Avg Week Ibanda-Mbarara'!M37+'Avg Week Mbarara-Ibanda'!M37</f>
        <v>19.857142857142858</v>
      </c>
      <c r="N37" s="49">
        <f>'Avg Week Ibanda-Mbarara'!N37+'Avg Week Mbarara-Ibanda'!N37</f>
        <v>0</v>
      </c>
      <c r="O37" s="15">
        <f t="shared" si="0"/>
        <v>24.285714285714285</v>
      </c>
      <c r="P37" s="15">
        <f t="shared" si="1"/>
        <v>44.142857142857139</v>
      </c>
      <c r="R37" s="37" t="s">
        <v>85</v>
      </c>
      <c r="S37" s="35">
        <f t="shared" ref="S37:AF37" si="29">SUM(S10:S12)</f>
        <v>114.14285714285715</v>
      </c>
      <c r="T37" s="16">
        <f t="shared" si="29"/>
        <v>13.857142857142856</v>
      </c>
      <c r="U37" s="16">
        <f t="shared" si="29"/>
        <v>12</v>
      </c>
      <c r="V37" s="16">
        <f t="shared" si="29"/>
        <v>41</v>
      </c>
      <c r="W37" s="16">
        <f t="shared" si="29"/>
        <v>0.85714285714285698</v>
      </c>
      <c r="X37" s="16">
        <f t="shared" si="29"/>
        <v>1.8571428571428572</v>
      </c>
      <c r="Y37" s="16">
        <f t="shared" si="29"/>
        <v>6.4285714285714279</v>
      </c>
      <c r="Z37" s="16">
        <f t="shared" si="29"/>
        <v>8.2857142857142847</v>
      </c>
      <c r="AA37" s="16">
        <f t="shared" si="29"/>
        <v>3.1428571428571428</v>
      </c>
      <c r="AB37" s="16">
        <f t="shared" si="29"/>
        <v>2.2857142857142856</v>
      </c>
      <c r="AC37" s="16">
        <f t="shared" si="29"/>
        <v>197.28571428571428</v>
      </c>
      <c r="AD37" s="16">
        <f t="shared" si="29"/>
        <v>0</v>
      </c>
      <c r="AE37" s="32">
        <f t="shared" si="29"/>
        <v>203.85714285714286</v>
      </c>
      <c r="AF37" s="32">
        <f t="shared" si="29"/>
        <v>401.14285714285711</v>
      </c>
    </row>
    <row r="38" spans="2:32" ht="23.1" customHeight="1" x14ac:dyDescent="0.25">
      <c r="B38" s="24" t="s">
        <v>65</v>
      </c>
      <c r="C38" s="49">
        <f>'Avg Week Ibanda-Mbarara'!C38+'Avg Week Mbarara-Ibanda'!C38</f>
        <v>12.428571428571429</v>
      </c>
      <c r="D38" s="49">
        <f>'Avg Week Ibanda-Mbarara'!D38+'Avg Week Mbarara-Ibanda'!D38</f>
        <v>0.71428571428571419</v>
      </c>
      <c r="E38" s="49">
        <f>'Avg Week Ibanda-Mbarara'!E38+'Avg Week Mbarara-Ibanda'!E38</f>
        <v>1</v>
      </c>
      <c r="F38" s="49">
        <f>'Avg Week Ibanda-Mbarara'!F38+'Avg Week Mbarara-Ibanda'!F38</f>
        <v>2.8571428571428572</v>
      </c>
      <c r="G38" s="49">
        <f>'Avg Week Ibanda-Mbarara'!G38+'Avg Week Mbarara-Ibanda'!G38</f>
        <v>0</v>
      </c>
      <c r="H38" s="49">
        <f>'Avg Week Ibanda-Mbarara'!H38+'Avg Week Mbarara-Ibanda'!H38</f>
        <v>0</v>
      </c>
      <c r="I38" s="49">
        <f>'Avg Week Ibanda-Mbarara'!I38+'Avg Week Mbarara-Ibanda'!I38</f>
        <v>2.1428571428571428</v>
      </c>
      <c r="J38" s="49">
        <f>'Avg Week Ibanda-Mbarara'!J38+'Avg Week Mbarara-Ibanda'!J38</f>
        <v>2</v>
      </c>
      <c r="K38" s="49">
        <f>'Avg Week Ibanda-Mbarara'!K38+'Avg Week Mbarara-Ibanda'!K38</f>
        <v>0.42857142857142855</v>
      </c>
      <c r="L38" s="49">
        <f>'Avg Week Ibanda-Mbarara'!L38+'Avg Week Mbarara-Ibanda'!L38</f>
        <v>0.14285714285714285</v>
      </c>
      <c r="M38" s="49">
        <f>'Avg Week Ibanda-Mbarara'!M38+'Avg Week Mbarara-Ibanda'!M38</f>
        <v>20.285714285714285</v>
      </c>
      <c r="N38" s="49">
        <f>'Avg Week Ibanda-Mbarara'!N38+'Avg Week Mbarara-Ibanda'!N38</f>
        <v>0.14285714285714285</v>
      </c>
      <c r="O38" s="15">
        <f t="shared" si="0"/>
        <v>21.857142857142854</v>
      </c>
      <c r="P38" s="15">
        <f t="shared" si="1"/>
        <v>42.142857142857146</v>
      </c>
      <c r="R38" s="28" t="s">
        <v>86</v>
      </c>
      <c r="S38" s="16">
        <f t="shared" ref="S38:AF38" si="30">SUM(S13:S18)</f>
        <v>315</v>
      </c>
      <c r="T38" s="16">
        <f t="shared" si="30"/>
        <v>36.142857142857139</v>
      </c>
      <c r="U38" s="16">
        <f t="shared" si="30"/>
        <v>37.857142857142861</v>
      </c>
      <c r="V38" s="16">
        <f t="shared" si="30"/>
        <v>78.428571428571431</v>
      </c>
      <c r="W38" s="16">
        <f t="shared" si="30"/>
        <v>2.2857142857142856</v>
      </c>
      <c r="X38" s="16">
        <f t="shared" si="30"/>
        <v>4.4285714285714279</v>
      </c>
      <c r="Y38" s="16">
        <f t="shared" si="30"/>
        <v>37</v>
      </c>
      <c r="Z38" s="16">
        <f t="shared" si="30"/>
        <v>33.857142857142854</v>
      </c>
      <c r="AA38" s="16">
        <f t="shared" si="30"/>
        <v>7.1428571428571423</v>
      </c>
      <c r="AB38" s="16">
        <f t="shared" si="30"/>
        <v>4.4285714285714279</v>
      </c>
      <c r="AC38" s="16">
        <f t="shared" si="30"/>
        <v>455.14285714285711</v>
      </c>
      <c r="AD38" s="16">
        <f t="shared" si="30"/>
        <v>1.5714285714285714</v>
      </c>
      <c r="AE38" s="32">
        <f t="shared" si="30"/>
        <v>558.14285714285711</v>
      </c>
      <c r="AF38" s="32">
        <f t="shared" si="30"/>
        <v>1013.2857142857143</v>
      </c>
    </row>
    <row r="39" spans="2:32" ht="23.1" customHeight="1" x14ac:dyDescent="0.25">
      <c r="B39" s="24" t="s">
        <v>66</v>
      </c>
      <c r="C39" s="49">
        <f>'Avg Week Ibanda-Mbarara'!C39+'Avg Week Mbarara-Ibanda'!C39</f>
        <v>12</v>
      </c>
      <c r="D39" s="49">
        <f>'Avg Week Ibanda-Mbarara'!D39+'Avg Week Mbarara-Ibanda'!D39</f>
        <v>3</v>
      </c>
      <c r="E39" s="49">
        <f>'Avg Week Ibanda-Mbarara'!E39+'Avg Week Mbarara-Ibanda'!E39</f>
        <v>0.8571428571428571</v>
      </c>
      <c r="F39" s="49">
        <f>'Avg Week Ibanda-Mbarara'!F39+'Avg Week Mbarara-Ibanda'!F39</f>
        <v>4</v>
      </c>
      <c r="G39" s="49">
        <f>'Avg Week Ibanda-Mbarara'!G39+'Avg Week Mbarara-Ibanda'!G39</f>
        <v>0</v>
      </c>
      <c r="H39" s="49">
        <f>'Avg Week Ibanda-Mbarara'!H39+'Avg Week Mbarara-Ibanda'!H39</f>
        <v>0.14285714285714285</v>
      </c>
      <c r="I39" s="49">
        <f>'Avg Week Ibanda-Mbarara'!I39+'Avg Week Mbarara-Ibanda'!I39</f>
        <v>1</v>
      </c>
      <c r="J39" s="49">
        <f>'Avg Week Ibanda-Mbarara'!J39+'Avg Week Mbarara-Ibanda'!J39</f>
        <v>1</v>
      </c>
      <c r="K39" s="49">
        <f>'Avg Week Ibanda-Mbarara'!K39+'Avg Week Mbarara-Ibanda'!K39</f>
        <v>0.5714285714285714</v>
      </c>
      <c r="L39" s="49">
        <f>'Avg Week Ibanda-Mbarara'!L39+'Avg Week Mbarara-Ibanda'!L39</f>
        <v>0.14285714285714285</v>
      </c>
      <c r="M39" s="49">
        <f>'Avg Week Ibanda-Mbarara'!M39+'Avg Week Mbarara-Ibanda'!M39</f>
        <v>17.571428571428569</v>
      </c>
      <c r="N39" s="49">
        <f>'Avg Week Ibanda-Mbarara'!N39+'Avg Week Mbarara-Ibanda'!N39</f>
        <v>0</v>
      </c>
      <c r="O39" s="15">
        <f t="shared" si="0"/>
        <v>22.714285714285715</v>
      </c>
      <c r="P39" s="15">
        <f t="shared" si="1"/>
        <v>40.285714285714285</v>
      </c>
      <c r="R39" s="29" t="s">
        <v>87</v>
      </c>
      <c r="S39" s="16">
        <f t="shared" ref="S39:AF39" si="31">SUM(S19:S21)</f>
        <v>168.42857142857144</v>
      </c>
      <c r="T39" s="16">
        <f t="shared" si="31"/>
        <v>22.285714285714285</v>
      </c>
      <c r="U39" s="16">
        <f t="shared" si="31"/>
        <v>17.571428571428573</v>
      </c>
      <c r="V39" s="16">
        <f t="shared" si="31"/>
        <v>35.428571428571431</v>
      </c>
      <c r="W39" s="16">
        <f t="shared" si="31"/>
        <v>0.2857142857142857</v>
      </c>
      <c r="X39" s="16">
        <f t="shared" si="31"/>
        <v>1.8571428571428572</v>
      </c>
      <c r="Y39" s="16">
        <f t="shared" si="31"/>
        <v>14.999999999999998</v>
      </c>
      <c r="Z39" s="16">
        <f t="shared" si="31"/>
        <v>15.714285714285715</v>
      </c>
      <c r="AA39" s="16">
        <f t="shared" si="31"/>
        <v>3.8571428571428568</v>
      </c>
      <c r="AB39" s="16">
        <f t="shared" si="31"/>
        <v>2.5714285714285712</v>
      </c>
      <c r="AC39" s="16">
        <f t="shared" si="31"/>
        <v>279.14285714285711</v>
      </c>
      <c r="AD39" s="16">
        <f t="shared" si="31"/>
        <v>0</v>
      </c>
      <c r="AE39" s="32">
        <f t="shared" si="31"/>
        <v>283</v>
      </c>
      <c r="AF39" s="32">
        <f t="shared" si="31"/>
        <v>562.14285714285711</v>
      </c>
    </row>
    <row r="40" spans="2:32" ht="23.1" customHeight="1" x14ac:dyDescent="0.25">
      <c r="B40" s="24" t="s">
        <v>67</v>
      </c>
      <c r="C40" s="49">
        <f>'Avg Week Ibanda-Mbarara'!C40+'Avg Week Mbarara-Ibanda'!C40</f>
        <v>12.571428571428571</v>
      </c>
      <c r="D40" s="49">
        <f>'Avg Week Ibanda-Mbarara'!D40+'Avg Week Mbarara-Ibanda'!D40</f>
        <v>2.4285714285714288</v>
      </c>
      <c r="E40" s="49">
        <f>'Avg Week Ibanda-Mbarara'!E40+'Avg Week Mbarara-Ibanda'!E40</f>
        <v>1.4285714285714284</v>
      </c>
      <c r="F40" s="49">
        <f>'Avg Week Ibanda-Mbarara'!F40+'Avg Week Mbarara-Ibanda'!F40</f>
        <v>2.7142857142857144</v>
      </c>
      <c r="G40" s="49">
        <f>'Avg Week Ibanda-Mbarara'!G40+'Avg Week Mbarara-Ibanda'!G40</f>
        <v>0</v>
      </c>
      <c r="H40" s="49">
        <f>'Avg Week Ibanda-Mbarara'!H40+'Avg Week Mbarara-Ibanda'!H40</f>
        <v>0.14285714285714285</v>
      </c>
      <c r="I40" s="49">
        <f>'Avg Week Ibanda-Mbarara'!I40+'Avg Week Mbarara-Ibanda'!I40</f>
        <v>1.2857142857142856</v>
      </c>
      <c r="J40" s="49">
        <f>'Avg Week Ibanda-Mbarara'!J40+'Avg Week Mbarara-Ibanda'!J40</f>
        <v>1.4285714285714286</v>
      </c>
      <c r="K40" s="49">
        <f>'Avg Week Ibanda-Mbarara'!K40+'Avg Week Mbarara-Ibanda'!K40</f>
        <v>0.2857142857142857</v>
      </c>
      <c r="L40" s="49">
        <f>'Avg Week Ibanda-Mbarara'!L40+'Avg Week Mbarara-Ibanda'!L40</f>
        <v>0.14285714285714285</v>
      </c>
      <c r="M40" s="49">
        <f>'Avg Week Ibanda-Mbarara'!M40+'Avg Week Mbarara-Ibanda'!M40</f>
        <v>20.714285714285715</v>
      </c>
      <c r="N40" s="49">
        <f>'Avg Week Ibanda-Mbarara'!N40+'Avg Week Mbarara-Ibanda'!N40</f>
        <v>0</v>
      </c>
      <c r="O40" s="15">
        <f t="shared" si="0"/>
        <v>22.428571428571423</v>
      </c>
      <c r="P40" s="15">
        <f t="shared" si="1"/>
        <v>43.142857142857139</v>
      </c>
      <c r="R40" s="5" t="s">
        <v>17</v>
      </c>
      <c r="S40" s="16">
        <f t="shared" ref="S40:AF40" si="32">SUM(S10:S21)</f>
        <v>597.57142857142844</v>
      </c>
      <c r="T40" s="16">
        <f t="shared" si="32"/>
        <v>72.285714285714278</v>
      </c>
      <c r="U40" s="16">
        <f t="shared" si="32"/>
        <v>67.428571428571445</v>
      </c>
      <c r="V40" s="16">
        <f t="shared" si="32"/>
        <v>154.85714285714286</v>
      </c>
      <c r="W40" s="16">
        <f t="shared" si="32"/>
        <v>3.4285714285714279</v>
      </c>
      <c r="X40" s="16">
        <f t="shared" si="32"/>
        <v>8.1428571428571423</v>
      </c>
      <c r="Y40" s="16">
        <f t="shared" si="32"/>
        <v>58.428571428571423</v>
      </c>
      <c r="Z40" s="16">
        <f t="shared" si="32"/>
        <v>57.857142857142847</v>
      </c>
      <c r="AA40" s="16">
        <f t="shared" si="32"/>
        <v>14.142857142857142</v>
      </c>
      <c r="AB40" s="16">
        <f t="shared" si="32"/>
        <v>9.2857142857142847</v>
      </c>
      <c r="AC40" s="16">
        <f t="shared" si="32"/>
        <v>931.57142857142856</v>
      </c>
      <c r="AD40" s="16">
        <f t="shared" si="32"/>
        <v>1.5714285714285714</v>
      </c>
      <c r="AE40" s="32">
        <f t="shared" si="32"/>
        <v>1045</v>
      </c>
      <c r="AF40" s="32">
        <f t="shared" si="32"/>
        <v>1976.5714285714284</v>
      </c>
    </row>
    <row r="41" spans="2:32" ht="23.1" customHeight="1" x14ac:dyDescent="0.25">
      <c r="B41" s="23" t="s">
        <v>68</v>
      </c>
      <c r="C41" s="49">
        <f>'Avg Week Ibanda-Mbarara'!C41+'Avg Week Mbarara-Ibanda'!C41</f>
        <v>12.142857142857142</v>
      </c>
      <c r="D41" s="49">
        <f>'Avg Week Ibanda-Mbarara'!D41+'Avg Week Mbarara-Ibanda'!D41</f>
        <v>2</v>
      </c>
      <c r="E41" s="49">
        <f>'Avg Week Ibanda-Mbarara'!E41+'Avg Week Mbarara-Ibanda'!E41</f>
        <v>1.1428571428571428</v>
      </c>
      <c r="F41" s="49">
        <f>'Avg Week Ibanda-Mbarara'!F41+'Avg Week Mbarara-Ibanda'!F41</f>
        <v>2.7142857142857144</v>
      </c>
      <c r="G41" s="49">
        <f>'Avg Week Ibanda-Mbarara'!G41+'Avg Week Mbarara-Ibanda'!G41</f>
        <v>0</v>
      </c>
      <c r="H41" s="49">
        <f>'Avg Week Ibanda-Mbarara'!H41+'Avg Week Mbarara-Ibanda'!H41</f>
        <v>0</v>
      </c>
      <c r="I41" s="49">
        <f>'Avg Week Ibanda-Mbarara'!I41+'Avg Week Mbarara-Ibanda'!I41</f>
        <v>2.1428571428571428</v>
      </c>
      <c r="J41" s="49">
        <f>'Avg Week Ibanda-Mbarara'!J41+'Avg Week Mbarara-Ibanda'!J41</f>
        <v>1.8571428571428572</v>
      </c>
      <c r="K41" s="49">
        <f>'Avg Week Ibanda-Mbarara'!K41+'Avg Week Mbarara-Ibanda'!K41</f>
        <v>0.14285714285714285</v>
      </c>
      <c r="L41" s="49">
        <f>'Avg Week Ibanda-Mbarara'!L41+'Avg Week Mbarara-Ibanda'!L41</f>
        <v>0</v>
      </c>
      <c r="M41" s="49">
        <f>'Avg Week Ibanda-Mbarara'!M41+'Avg Week Mbarara-Ibanda'!M41</f>
        <v>19.571428571428569</v>
      </c>
      <c r="N41" s="49">
        <f>'Avg Week Ibanda-Mbarara'!N41+'Avg Week Mbarara-Ibanda'!N41</f>
        <v>0</v>
      </c>
      <c r="O41" s="15">
        <f t="shared" si="0"/>
        <v>22.142857142857142</v>
      </c>
      <c r="P41" s="15">
        <f t="shared" si="1"/>
        <v>41.714285714285708</v>
      </c>
      <c r="R41" s="5" t="s">
        <v>180</v>
      </c>
      <c r="S41" s="52">
        <f>SUM(S10:S33)</f>
        <v>779.07142857142844</v>
      </c>
      <c r="T41" s="52">
        <f t="shared" ref="T41:AD41" si="33">SUM(T10:T33)</f>
        <v>118.28571428571428</v>
      </c>
      <c r="U41" s="52">
        <f t="shared" si="33"/>
        <v>89.928571428571445</v>
      </c>
      <c r="V41" s="52">
        <f t="shared" si="33"/>
        <v>197.85714285714286</v>
      </c>
      <c r="W41" s="52">
        <f t="shared" si="33"/>
        <v>8.428571428571427</v>
      </c>
      <c r="X41" s="52">
        <f t="shared" si="33"/>
        <v>14.142857142857142</v>
      </c>
      <c r="Y41" s="52">
        <f t="shared" si="33"/>
        <v>94.928571428571416</v>
      </c>
      <c r="Z41" s="52">
        <f t="shared" si="33"/>
        <v>87.857142857142847</v>
      </c>
      <c r="AA41" s="52">
        <f t="shared" si="33"/>
        <v>33.642857142857139</v>
      </c>
      <c r="AB41" s="52">
        <f t="shared" si="33"/>
        <v>13.285714285714285</v>
      </c>
      <c r="AC41" s="52">
        <f t="shared" si="33"/>
        <v>1126.0714285714284</v>
      </c>
      <c r="AD41" s="52">
        <f t="shared" si="33"/>
        <v>1.5714285714285714</v>
      </c>
      <c r="AE41" s="53">
        <f>SUM(AE10:AE33)</f>
        <v>1439</v>
      </c>
      <c r="AF41" s="53">
        <f>SUM(AF10:AF33)</f>
        <v>2565.0714285714284</v>
      </c>
    </row>
    <row r="42" spans="2:32" ht="23.1" customHeight="1" x14ac:dyDescent="0.25">
      <c r="B42" s="24" t="s">
        <v>69</v>
      </c>
      <c r="C42" s="49">
        <f>'Avg Week Ibanda-Mbarara'!C42+'Avg Week Mbarara-Ibanda'!C42</f>
        <v>14.142857142857142</v>
      </c>
      <c r="D42" s="49">
        <f>'Avg Week Ibanda-Mbarara'!D42+'Avg Week Mbarara-Ibanda'!D42</f>
        <v>2.1428571428571428</v>
      </c>
      <c r="E42" s="49">
        <f>'Avg Week Ibanda-Mbarara'!E42+'Avg Week Mbarara-Ibanda'!E42</f>
        <v>1.8571428571428572</v>
      </c>
      <c r="F42" s="49">
        <f>'Avg Week Ibanda-Mbarara'!F42+'Avg Week Mbarara-Ibanda'!F42</f>
        <v>4.4285714285714288</v>
      </c>
      <c r="G42" s="49">
        <f>'Avg Week Ibanda-Mbarara'!G42+'Avg Week Mbarara-Ibanda'!G42</f>
        <v>0.42857142857142855</v>
      </c>
      <c r="H42" s="49">
        <f>'Avg Week Ibanda-Mbarara'!H42+'Avg Week Mbarara-Ibanda'!H42</f>
        <v>0.14285714285714285</v>
      </c>
      <c r="I42" s="49">
        <f>'Avg Week Ibanda-Mbarara'!I42+'Avg Week Mbarara-Ibanda'!I42</f>
        <v>1.8571428571428572</v>
      </c>
      <c r="J42" s="49">
        <f>'Avg Week Ibanda-Mbarara'!J42+'Avg Week Mbarara-Ibanda'!J42</f>
        <v>1.8571428571428572</v>
      </c>
      <c r="K42" s="49">
        <f>'Avg Week Ibanda-Mbarara'!K42+'Avg Week Mbarara-Ibanda'!K42</f>
        <v>0</v>
      </c>
      <c r="L42" s="49">
        <f>'Avg Week Ibanda-Mbarara'!L42+'Avg Week Mbarara-Ibanda'!L42</f>
        <v>0</v>
      </c>
      <c r="M42" s="49">
        <f>'Avg Week Ibanda-Mbarara'!M42+'Avg Week Mbarara-Ibanda'!M42</f>
        <v>17.428571428571431</v>
      </c>
      <c r="N42" s="49">
        <f>'Avg Week Ibanda-Mbarara'!N42+'Avg Week Mbarara-Ibanda'!N42</f>
        <v>0</v>
      </c>
      <c r="O42" s="15">
        <f t="shared" si="0"/>
        <v>26.857142857142854</v>
      </c>
      <c r="P42" s="15">
        <f t="shared" si="1"/>
        <v>44.285714285714285</v>
      </c>
      <c r="R42" s="5" t="s">
        <v>160</v>
      </c>
      <c r="S42" s="48">
        <f>S41/S40</f>
        <v>1.3037293808271575</v>
      </c>
      <c r="T42" s="48">
        <f t="shared" ref="T42:AF42" si="34">T41/T40</f>
        <v>1.6363636363636365</v>
      </c>
      <c r="U42" s="48">
        <f t="shared" si="34"/>
        <v>1.333686440677966</v>
      </c>
      <c r="V42" s="48">
        <f t="shared" si="34"/>
        <v>1.2776752767527675</v>
      </c>
      <c r="W42" s="48">
        <f t="shared" si="34"/>
        <v>2.4583333333333335</v>
      </c>
      <c r="X42" s="48">
        <f t="shared" si="34"/>
        <v>1.736842105263158</v>
      </c>
      <c r="Y42" s="48">
        <f t="shared" si="34"/>
        <v>1.6246943765281172</v>
      </c>
      <c r="Z42" s="48">
        <f t="shared" si="34"/>
        <v>1.5185185185185186</v>
      </c>
      <c r="AA42" s="48">
        <f t="shared" si="34"/>
        <v>2.3787878787878785</v>
      </c>
      <c r="AB42" s="48">
        <f t="shared" si="34"/>
        <v>1.4307692307692308</v>
      </c>
      <c r="AC42" s="48">
        <f t="shared" si="34"/>
        <v>1.2087869958595305</v>
      </c>
      <c r="AD42" s="48">
        <f t="shared" si="34"/>
        <v>1</v>
      </c>
      <c r="AE42" s="51">
        <f t="shared" si="34"/>
        <v>1.3770334928229666</v>
      </c>
      <c r="AF42" s="51">
        <f t="shared" si="34"/>
        <v>1.297737785487135</v>
      </c>
    </row>
    <row r="43" spans="2:32" ht="23.1" customHeight="1" x14ac:dyDescent="0.25">
      <c r="B43" s="23" t="s">
        <v>70</v>
      </c>
      <c r="C43" s="49">
        <f>'Avg Week Ibanda-Mbarara'!C43+'Avg Week Mbarara-Ibanda'!C43</f>
        <v>13.285714285714285</v>
      </c>
      <c r="D43" s="49">
        <f>'Avg Week Ibanda-Mbarara'!D43+'Avg Week Mbarara-Ibanda'!D43</f>
        <v>2.4285714285714288</v>
      </c>
      <c r="E43" s="49">
        <f>'Avg Week Ibanda-Mbarara'!E43+'Avg Week Mbarara-Ibanda'!E43</f>
        <v>1.8571428571428572</v>
      </c>
      <c r="F43" s="49">
        <f>'Avg Week Ibanda-Mbarara'!F43+'Avg Week Mbarara-Ibanda'!F43</f>
        <v>3.7142857142857144</v>
      </c>
      <c r="G43" s="49">
        <f>'Avg Week Ibanda-Mbarara'!G43+'Avg Week Mbarara-Ibanda'!G43</f>
        <v>0.2857142857142857</v>
      </c>
      <c r="H43" s="49">
        <f>'Avg Week Ibanda-Mbarara'!H43+'Avg Week Mbarara-Ibanda'!H43</f>
        <v>0.14285714285714285</v>
      </c>
      <c r="I43" s="49">
        <f>'Avg Week Ibanda-Mbarara'!I43+'Avg Week Mbarara-Ibanda'!I43</f>
        <v>0.71428571428571419</v>
      </c>
      <c r="J43" s="49">
        <f>'Avg Week Ibanda-Mbarara'!J43+'Avg Week Mbarara-Ibanda'!J43</f>
        <v>1.2857142857142856</v>
      </c>
      <c r="K43" s="49">
        <f>'Avg Week Ibanda-Mbarara'!K43+'Avg Week Mbarara-Ibanda'!K43</f>
        <v>0.71428571428571419</v>
      </c>
      <c r="L43" s="49">
        <f>'Avg Week Ibanda-Mbarara'!L43+'Avg Week Mbarara-Ibanda'!L43</f>
        <v>0</v>
      </c>
      <c r="M43" s="49">
        <f>'Avg Week Ibanda-Mbarara'!M43+'Avg Week Mbarara-Ibanda'!M43</f>
        <v>19.142857142857142</v>
      </c>
      <c r="N43" s="49">
        <f>'Avg Week Ibanda-Mbarara'!N43+'Avg Week Mbarara-Ibanda'!N43</f>
        <v>0</v>
      </c>
      <c r="O43" s="15">
        <f t="shared" si="0"/>
        <v>24.428571428571427</v>
      </c>
      <c r="P43" s="15">
        <f t="shared" si="1"/>
        <v>43.571428571428569</v>
      </c>
    </row>
    <row r="44" spans="2:32" ht="23.1" customHeight="1" x14ac:dyDescent="0.25">
      <c r="B44" s="25" t="s">
        <v>71</v>
      </c>
      <c r="C44" s="49">
        <f>'Avg Week Ibanda-Mbarara'!C44+'Avg Week Mbarara-Ibanda'!C44</f>
        <v>15.714285714285715</v>
      </c>
      <c r="D44" s="49">
        <f>'Avg Week Ibanda-Mbarara'!D44+'Avg Week Mbarara-Ibanda'!D44</f>
        <v>2.1428571428571428</v>
      </c>
      <c r="E44" s="49">
        <f>'Avg Week Ibanda-Mbarara'!E44+'Avg Week Mbarara-Ibanda'!E44</f>
        <v>2.2857142857142856</v>
      </c>
      <c r="F44" s="49">
        <f>'Avg Week Ibanda-Mbarara'!F44+'Avg Week Mbarara-Ibanda'!F44</f>
        <v>4.2857142857142856</v>
      </c>
      <c r="G44" s="49">
        <f>'Avg Week Ibanda-Mbarara'!G44+'Avg Week Mbarara-Ibanda'!G44</f>
        <v>0</v>
      </c>
      <c r="H44" s="49">
        <f>'Avg Week Ibanda-Mbarara'!H44+'Avg Week Mbarara-Ibanda'!H44</f>
        <v>0</v>
      </c>
      <c r="I44" s="49">
        <f>'Avg Week Ibanda-Mbarara'!I44+'Avg Week Mbarara-Ibanda'!I44</f>
        <v>2.1428571428571428</v>
      </c>
      <c r="J44" s="49">
        <f>'Avg Week Ibanda-Mbarara'!J44+'Avg Week Mbarara-Ibanda'!J44</f>
        <v>2.1428571428571428</v>
      </c>
      <c r="K44" s="49">
        <f>'Avg Week Ibanda-Mbarara'!K44+'Avg Week Mbarara-Ibanda'!K44</f>
        <v>0.2857142857142857</v>
      </c>
      <c r="L44" s="49">
        <f>'Avg Week Ibanda-Mbarara'!L44+'Avg Week Mbarara-Ibanda'!L44</f>
        <v>0</v>
      </c>
      <c r="M44" s="49">
        <f>'Avg Week Ibanda-Mbarara'!M44+'Avg Week Mbarara-Ibanda'!M44</f>
        <v>19.857142857142858</v>
      </c>
      <c r="N44" s="49">
        <f>'Avg Week Ibanda-Mbarara'!N44+'Avg Week Mbarara-Ibanda'!N44</f>
        <v>0</v>
      </c>
      <c r="O44" s="15">
        <f t="shared" si="0"/>
        <v>28.999999999999996</v>
      </c>
      <c r="P44" s="15">
        <f t="shared" si="1"/>
        <v>48.857142857142854</v>
      </c>
    </row>
    <row r="45" spans="2:32" ht="23.1" customHeight="1" x14ac:dyDescent="0.25">
      <c r="B45" s="23" t="s">
        <v>72</v>
      </c>
      <c r="C45" s="49">
        <f>'Avg Week Ibanda-Mbarara'!C45+'Avg Week Mbarara-Ibanda'!C45</f>
        <v>10</v>
      </c>
      <c r="D45" s="49">
        <f>'Avg Week Ibanda-Mbarara'!D45+'Avg Week Mbarara-Ibanda'!D45</f>
        <v>2.1428571428571428</v>
      </c>
      <c r="E45" s="49">
        <f>'Avg Week Ibanda-Mbarara'!E45+'Avg Week Mbarara-Ibanda'!E45</f>
        <v>1.4285714285714284</v>
      </c>
      <c r="F45" s="49">
        <f>'Avg Week Ibanda-Mbarara'!F45+'Avg Week Mbarara-Ibanda'!F45</f>
        <v>2.7142857142857144</v>
      </c>
      <c r="G45" s="49">
        <f>'Avg Week Ibanda-Mbarara'!G45+'Avg Week Mbarara-Ibanda'!G45</f>
        <v>0</v>
      </c>
      <c r="H45" s="49">
        <f>'Avg Week Ibanda-Mbarara'!H45+'Avg Week Mbarara-Ibanda'!H45</f>
        <v>0</v>
      </c>
      <c r="I45" s="49">
        <f>'Avg Week Ibanda-Mbarara'!I45+'Avg Week Mbarara-Ibanda'!I45</f>
        <v>1.5714285714285714</v>
      </c>
      <c r="J45" s="49">
        <f>'Avg Week Ibanda-Mbarara'!J45+'Avg Week Mbarara-Ibanda'!J45</f>
        <v>1.2857142857142856</v>
      </c>
      <c r="K45" s="49">
        <f>'Avg Week Ibanda-Mbarara'!K45+'Avg Week Mbarara-Ibanda'!K45</f>
        <v>0.5714285714285714</v>
      </c>
      <c r="L45" s="49">
        <f>'Avg Week Ibanda-Mbarara'!L45+'Avg Week Mbarara-Ibanda'!L45</f>
        <v>0.42857142857142855</v>
      </c>
      <c r="M45" s="49">
        <f>'Avg Week Ibanda-Mbarara'!M45+'Avg Week Mbarara-Ibanda'!M45</f>
        <v>22.714285714285715</v>
      </c>
      <c r="N45" s="49">
        <f>'Avg Week Ibanda-Mbarara'!N45+'Avg Week Mbarara-Ibanda'!N45</f>
        <v>0</v>
      </c>
      <c r="O45" s="15">
        <f t="shared" si="0"/>
        <v>20.142857142857142</v>
      </c>
      <c r="P45" s="15">
        <f t="shared" si="1"/>
        <v>42.857142857142861</v>
      </c>
    </row>
    <row r="46" spans="2:32" ht="23.1" customHeight="1" x14ac:dyDescent="0.25">
      <c r="B46" s="24" t="s">
        <v>73</v>
      </c>
      <c r="C46" s="49">
        <f>'Avg Week Ibanda-Mbarara'!C46+'Avg Week Mbarara-Ibanda'!C46</f>
        <v>13</v>
      </c>
      <c r="D46" s="49">
        <f>'Avg Week Ibanda-Mbarara'!D46+'Avg Week Mbarara-Ibanda'!D46</f>
        <v>1.8571428571428572</v>
      </c>
      <c r="E46" s="49">
        <f>'Avg Week Ibanda-Mbarara'!E46+'Avg Week Mbarara-Ibanda'!E46</f>
        <v>1.5714285714285714</v>
      </c>
      <c r="F46" s="49">
        <f>'Avg Week Ibanda-Mbarara'!F46+'Avg Week Mbarara-Ibanda'!F46</f>
        <v>3.1428571428571428</v>
      </c>
      <c r="G46" s="49">
        <f>'Avg Week Ibanda-Mbarara'!G46+'Avg Week Mbarara-Ibanda'!G46</f>
        <v>0</v>
      </c>
      <c r="H46" s="49">
        <f>'Avg Week Ibanda-Mbarara'!H46+'Avg Week Mbarara-Ibanda'!H46</f>
        <v>0</v>
      </c>
      <c r="I46" s="49">
        <f>'Avg Week Ibanda-Mbarara'!I46+'Avg Week Mbarara-Ibanda'!I46</f>
        <v>2.2857142857142856</v>
      </c>
      <c r="J46" s="49">
        <f>'Avg Week Ibanda-Mbarara'!J46+'Avg Week Mbarara-Ibanda'!J46</f>
        <v>1.4285714285714286</v>
      </c>
      <c r="K46" s="49">
        <f>'Avg Week Ibanda-Mbarara'!K46+'Avg Week Mbarara-Ibanda'!K46</f>
        <v>0.2857142857142857</v>
      </c>
      <c r="L46" s="49">
        <f>'Avg Week Ibanda-Mbarara'!L46+'Avg Week Mbarara-Ibanda'!L46</f>
        <v>0.71428571428571419</v>
      </c>
      <c r="M46" s="49">
        <f>'Avg Week Ibanda-Mbarara'!M46+'Avg Week Mbarara-Ibanda'!M46</f>
        <v>18.857142857142854</v>
      </c>
      <c r="N46" s="49">
        <f>'Avg Week Ibanda-Mbarara'!N46+'Avg Week Mbarara-Ibanda'!N46</f>
        <v>0</v>
      </c>
      <c r="O46" s="15">
        <f t="shared" si="0"/>
        <v>24.285714285714285</v>
      </c>
      <c r="P46" s="15">
        <f t="shared" si="1"/>
        <v>43.142857142857139</v>
      </c>
      <c r="R46" s="8"/>
      <c r="T46"/>
    </row>
    <row r="47" spans="2:32" ht="23.1" customHeight="1" x14ac:dyDescent="0.25">
      <c r="B47" s="24" t="s">
        <v>74</v>
      </c>
      <c r="C47" s="49">
        <f>'Avg Week Ibanda-Mbarara'!C47+'Avg Week Mbarara-Ibanda'!C47</f>
        <v>13.571428571428571</v>
      </c>
      <c r="D47" s="49">
        <f>'Avg Week Ibanda-Mbarara'!D47+'Avg Week Mbarara-Ibanda'!D47</f>
        <v>2.2857142857142856</v>
      </c>
      <c r="E47" s="49">
        <f>'Avg Week Ibanda-Mbarara'!E47+'Avg Week Mbarara-Ibanda'!E47</f>
        <v>0.8571428571428571</v>
      </c>
      <c r="F47" s="49">
        <f>'Avg Week Ibanda-Mbarara'!F47+'Avg Week Mbarara-Ibanda'!F47</f>
        <v>2.5714285714285716</v>
      </c>
      <c r="G47" s="49">
        <f>'Avg Week Ibanda-Mbarara'!G47+'Avg Week Mbarara-Ibanda'!G47</f>
        <v>0.14285714285714285</v>
      </c>
      <c r="H47" s="49">
        <f>'Avg Week Ibanda-Mbarara'!H47+'Avg Week Mbarara-Ibanda'!H47</f>
        <v>0.14285714285714285</v>
      </c>
      <c r="I47" s="49">
        <f>'Avg Week Ibanda-Mbarara'!I47+'Avg Week Mbarara-Ibanda'!I47</f>
        <v>0.8571428571428571</v>
      </c>
      <c r="J47" s="49">
        <f>'Avg Week Ibanda-Mbarara'!J47+'Avg Week Mbarara-Ibanda'!J47</f>
        <v>1.8571428571428572</v>
      </c>
      <c r="K47" s="49">
        <f>'Avg Week Ibanda-Mbarara'!K47+'Avg Week Mbarara-Ibanda'!K47</f>
        <v>0</v>
      </c>
      <c r="L47" s="49">
        <f>'Avg Week Ibanda-Mbarara'!L47+'Avg Week Mbarara-Ibanda'!L47</f>
        <v>0.42857142857142855</v>
      </c>
      <c r="M47" s="49">
        <f>'Avg Week Ibanda-Mbarara'!M47+'Avg Week Mbarara-Ibanda'!M47</f>
        <v>23.714285714285715</v>
      </c>
      <c r="N47" s="49">
        <f>'Avg Week Ibanda-Mbarara'!N47+'Avg Week Mbarara-Ibanda'!N47</f>
        <v>0</v>
      </c>
      <c r="O47" s="15">
        <f t="shared" si="0"/>
        <v>22.714285714285715</v>
      </c>
      <c r="P47" s="15">
        <f t="shared" si="1"/>
        <v>46.428571428571431</v>
      </c>
      <c r="R47" s="8"/>
      <c r="T47"/>
    </row>
    <row r="48" spans="2:32" ht="23.1" customHeight="1" x14ac:dyDescent="0.25">
      <c r="B48" s="24" t="s">
        <v>75</v>
      </c>
      <c r="C48" s="49">
        <f>'Avg Week Ibanda-Mbarara'!C48+'Avg Week Mbarara-Ibanda'!C48</f>
        <v>14.714285714285715</v>
      </c>
      <c r="D48" s="49">
        <f>'Avg Week Ibanda-Mbarara'!D48+'Avg Week Mbarara-Ibanda'!D48</f>
        <v>2.8571428571428568</v>
      </c>
      <c r="E48" s="49">
        <f>'Avg Week Ibanda-Mbarara'!E48+'Avg Week Mbarara-Ibanda'!E48</f>
        <v>2</v>
      </c>
      <c r="F48" s="49">
        <f>'Avg Week Ibanda-Mbarara'!F48+'Avg Week Mbarara-Ibanda'!F48</f>
        <v>3.5714285714285712</v>
      </c>
      <c r="G48" s="49">
        <f>'Avg Week Ibanda-Mbarara'!G48+'Avg Week Mbarara-Ibanda'!G48</f>
        <v>0</v>
      </c>
      <c r="H48" s="49">
        <f>'Avg Week Ibanda-Mbarara'!H48+'Avg Week Mbarara-Ibanda'!H48</f>
        <v>0.14285714285714285</v>
      </c>
      <c r="I48" s="49">
        <f>'Avg Week Ibanda-Mbarara'!I48+'Avg Week Mbarara-Ibanda'!I48</f>
        <v>1.5714285714285714</v>
      </c>
      <c r="J48" s="49">
        <f>'Avg Week Ibanda-Mbarara'!J48+'Avg Week Mbarara-Ibanda'!J48</f>
        <v>1.5714285714285714</v>
      </c>
      <c r="K48" s="49">
        <f>'Avg Week Ibanda-Mbarara'!K48+'Avg Week Mbarara-Ibanda'!K48</f>
        <v>0.14285714285714285</v>
      </c>
      <c r="L48" s="49">
        <f>'Avg Week Ibanda-Mbarara'!L48+'Avg Week Mbarara-Ibanda'!L48</f>
        <v>0</v>
      </c>
      <c r="M48" s="49">
        <f>'Avg Week Ibanda-Mbarara'!M48+'Avg Week Mbarara-Ibanda'!M48</f>
        <v>20.428571428571431</v>
      </c>
      <c r="N48" s="49">
        <f>'Avg Week Ibanda-Mbarara'!N48+'Avg Week Mbarara-Ibanda'!N48</f>
        <v>0</v>
      </c>
      <c r="O48" s="15">
        <f t="shared" si="0"/>
        <v>26.571428571428577</v>
      </c>
      <c r="P48" s="15">
        <f t="shared" si="1"/>
        <v>47.000000000000007</v>
      </c>
      <c r="R48" s="8"/>
      <c r="T48"/>
    </row>
    <row r="49" spans="2:20" ht="23.1" customHeight="1" x14ac:dyDescent="0.25">
      <c r="B49" s="23" t="s">
        <v>76</v>
      </c>
      <c r="C49" s="49">
        <f>'Avg Week Ibanda-Mbarara'!C49+'Avg Week Mbarara-Ibanda'!C49</f>
        <v>14.285714285714285</v>
      </c>
      <c r="D49" s="49">
        <f>'Avg Week Ibanda-Mbarara'!D49+'Avg Week Mbarara-Ibanda'!D49</f>
        <v>1.4285714285714286</v>
      </c>
      <c r="E49" s="49">
        <f>'Avg Week Ibanda-Mbarara'!E49+'Avg Week Mbarara-Ibanda'!E49</f>
        <v>1.4285714285714284</v>
      </c>
      <c r="F49" s="49">
        <f>'Avg Week Ibanda-Mbarara'!F49+'Avg Week Mbarara-Ibanda'!F49</f>
        <v>2.2857142857142856</v>
      </c>
      <c r="G49" s="49">
        <f>'Avg Week Ibanda-Mbarara'!G49+'Avg Week Mbarara-Ibanda'!G49</f>
        <v>0</v>
      </c>
      <c r="H49" s="49">
        <f>'Avg Week Ibanda-Mbarara'!H49+'Avg Week Mbarara-Ibanda'!H49</f>
        <v>0.14285714285714285</v>
      </c>
      <c r="I49" s="49">
        <f>'Avg Week Ibanda-Mbarara'!I49+'Avg Week Mbarara-Ibanda'!I49</f>
        <v>1</v>
      </c>
      <c r="J49" s="49">
        <f>'Avg Week Ibanda-Mbarara'!J49+'Avg Week Mbarara-Ibanda'!J49</f>
        <v>1.1428571428571428</v>
      </c>
      <c r="K49" s="49">
        <f>'Avg Week Ibanda-Mbarara'!K49+'Avg Week Mbarara-Ibanda'!K49</f>
        <v>0.42857142857142855</v>
      </c>
      <c r="L49" s="49">
        <f>'Avg Week Ibanda-Mbarara'!L49+'Avg Week Mbarara-Ibanda'!L49</f>
        <v>0.14285714285714285</v>
      </c>
      <c r="M49" s="49">
        <f>'Avg Week Ibanda-Mbarara'!M49+'Avg Week Mbarara-Ibanda'!M49</f>
        <v>24.428571428571431</v>
      </c>
      <c r="N49" s="49">
        <f>'Avg Week Ibanda-Mbarara'!N49+'Avg Week Mbarara-Ibanda'!N49</f>
        <v>0</v>
      </c>
      <c r="O49" s="15">
        <f t="shared" si="0"/>
        <v>22.285714285714281</v>
      </c>
      <c r="P49" s="15">
        <f t="shared" si="1"/>
        <v>46.714285714285708</v>
      </c>
      <c r="R49" s="8"/>
      <c r="T49"/>
    </row>
    <row r="50" spans="2:20" ht="23.1" customHeight="1" x14ac:dyDescent="0.25">
      <c r="B50" s="24" t="s">
        <v>77</v>
      </c>
      <c r="C50" s="49">
        <f>'Avg Week Ibanda-Mbarara'!C50+'Avg Week Mbarara-Ibanda'!C50</f>
        <v>12.142857142857142</v>
      </c>
      <c r="D50" s="49">
        <f>'Avg Week Ibanda-Mbarara'!D50+'Avg Week Mbarara-Ibanda'!D50</f>
        <v>1.8571428571428572</v>
      </c>
      <c r="E50" s="49">
        <f>'Avg Week Ibanda-Mbarara'!E50+'Avg Week Mbarara-Ibanda'!E50</f>
        <v>2.2857142857142856</v>
      </c>
      <c r="F50" s="49">
        <f>'Avg Week Ibanda-Mbarara'!F50+'Avg Week Mbarara-Ibanda'!F50</f>
        <v>2.8571428571428568</v>
      </c>
      <c r="G50" s="49">
        <f>'Avg Week Ibanda-Mbarara'!G50+'Avg Week Mbarara-Ibanda'!G50</f>
        <v>0</v>
      </c>
      <c r="H50" s="49">
        <f>'Avg Week Ibanda-Mbarara'!H50+'Avg Week Mbarara-Ibanda'!H50</f>
        <v>0.14285714285714285</v>
      </c>
      <c r="I50" s="49">
        <f>'Avg Week Ibanda-Mbarara'!I50+'Avg Week Mbarara-Ibanda'!I50</f>
        <v>0.5714285714285714</v>
      </c>
      <c r="J50" s="49">
        <f>'Avg Week Ibanda-Mbarara'!J50+'Avg Week Mbarara-Ibanda'!J50</f>
        <v>0.8571428571428571</v>
      </c>
      <c r="K50" s="49">
        <f>'Avg Week Ibanda-Mbarara'!K50+'Avg Week Mbarara-Ibanda'!K50</f>
        <v>0.42857142857142855</v>
      </c>
      <c r="L50" s="49">
        <f>'Avg Week Ibanda-Mbarara'!L50+'Avg Week Mbarara-Ibanda'!L50</f>
        <v>0</v>
      </c>
      <c r="M50" s="49">
        <f>'Avg Week Ibanda-Mbarara'!M50+'Avg Week Mbarara-Ibanda'!M50</f>
        <v>22.714285714285715</v>
      </c>
      <c r="N50" s="49">
        <f>'Avg Week Ibanda-Mbarara'!N50+'Avg Week Mbarara-Ibanda'!N50</f>
        <v>0</v>
      </c>
      <c r="O50" s="15">
        <f t="shared" si="0"/>
        <v>21.142857142857142</v>
      </c>
      <c r="P50" s="15">
        <f t="shared" si="1"/>
        <v>43.857142857142861</v>
      </c>
      <c r="R50" s="8"/>
      <c r="T50"/>
    </row>
    <row r="51" spans="2:20" ht="23.1" customHeight="1" x14ac:dyDescent="0.25">
      <c r="B51" s="24" t="s">
        <v>78</v>
      </c>
      <c r="C51" s="49">
        <f>'Avg Week Ibanda-Mbarara'!C51+'Avg Week Mbarara-Ibanda'!C51</f>
        <v>14.571428571428571</v>
      </c>
      <c r="D51" s="49">
        <f>'Avg Week Ibanda-Mbarara'!D51+'Avg Week Mbarara-Ibanda'!D51</f>
        <v>2</v>
      </c>
      <c r="E51" s="49">
        <f>'Avg Week Ibanda-Mbarara'!E51+'Avg Week Mbarara-Ibanda'!E51</f>
        <v>1.2857142857142856</v>
      </c>
      <c r="F51" s="49">
        <f>'Avg Week Ibanda-Mbarara'!F51+'Avg Week Mbarara-Ibanda'!F51</f>
        <v>4.5714285714285712</v>
      </c>
      <c r="G51" s="49">
        <f>'Avg Week Ibanda-Mbarara'!G51+'Avg Week Mbarara-Ibanda'!G51</f>
        <v>0</v>
      </c>
      <c r="H51" s="49">
        <f>'Avg Week Ibanda-Mbarara'!H51+'Avg Week Mbarara-Ibanda'!H51</f>
        <v>0.42857142857142855</v>
      </c>
      <c r="I51" s="49">
        <f>'Avg Week Ibanda-Mbarara'!I51+'Avg Week Mbarara-Ibanda'!I51</f>
        <v>0.71428571428571419</v>
      </c>
      <c r="J51" s="49">
        <f>'Avg Week Ibanda-Mbarara'!J51+'Avg Week Mbarara-Ibanda'!J51</f>
        <v>0.71428571428571419</v>
      </c>
      <c r="K51" s="49">
        <f>'Avg Week Ibanda-Mbarara'!K51+'Avg Week Mbarara-Ibanda'!K51</f>
        <v>0.5714285714285714</v>
      </c>
      <c r="L51" s="49">
        <f>'Avg Week Ibanda-Mbarara'!L51+'Avg Week Mbarara-Ibanda'!L51</f>
        <v>0</v>
      </c>
      <c r="M51" s="49">
        <f>'Avg Week Ibanda-Mbarara'!M51+'Avg Week Mbarara-Ibanda'!M51</f>
        <v>20.714285714285715</v>
      </c>
      <c r="N51" s="49">
        <f>'Avg Week Ibanda-Mbarara'!N51+'Avg Week Mbarara-Ibanda'!N51</f>
        <v>0</v>
      </c>
      <c r="O51" s="15">
        <f t="shared" si="0"/>
        <v>24.857142857142854</v>
      </c>
      <c r="P51" s="15">
        <f t="shared" si="1"/>
        <v>45.571428571428569</v>
      </c>
      <c r="R51" s="8"/>
      <c r="T51"/>
    </row>
    <row r="52" spans="2:20" ht="23.1" customHeight="1" x14ac:dyDescent="0.25">
      <c r="B52" s="24" t="s">
        <v>79</v>
      </c>
      <c r="C52" s="49">
        <f>'Avg Week Ibanda-Mbarara'!C52+'Avg Week Mbarara-Ibanda'!C52</f>
        <v>14</v>
      </c>
      <c r="D52" s="49">
        <f>'Avg Week Ibanda-Mbarara'!D52+'Avg Week Mbarara-Ibanda'!D52</f>
        <v>1.4285714285714284</v>
      </c>
      <c r="E52" s="49">
        <f>'Avg Week Ibanda-Mbarara'!E52+'Avg Week Mbarara-Ibanda'!E52</f>
        <v>1.7142857142857144</v>
      </c>
      <c r="F52" s="49">
        <f>'Avg Week Ibanda-Mbarara'!F52+'Avg Week Mbarara-Ibanda'!F52</f>
        <v>2.5714285714285712</v>
      </c>
      <c r="G52" s="49">
        <f>'Avg Week Ibanda-Mbarara'!G52+'Avg Week Mbarara-Ibanda'!G52</f>
        <v>0</v>
      </c>
      <c r="H52" s="49">
        <f>'Avg Week Ibanda-Mbarara'!H52+'Avg Week Mbarara-Ibanda'!H52</f>
        <v>0.2857142857142857</v>
      </c>
      <c r="I52" s="49">
        <f>'Avg Week Ibanda-Mbarara'!I52+'Avg Week Mbarara-Ibanda'!I52</f>
        <v>1.7142857142857144</v>
      </c>
      <c r="J52" s="49">
        <f>'Avg Week Ibanda-Mbarara'!J52+'Avg Week Mbarara-Ibanda'!J52</f>
        <v>1</v>
      </c>
      <c r="K52" s="49">
        <f>'Avg Week Ibanda-Mbarara'!K52+'Avg Week Mbarara-Ibanda'!K52</f>
        <v>0.2857142857142857</v>
      </c>
      <c r="L52" s="49">
        <f>'Avg Week Ibanda-Mbarara'!L52+'Avg Week Mbarara-Ibanda'!L52</f>
        <v>0.2857142857142857</v>
      </c>
      <c r="M52" s="49">
        <f>'Avg Week Ibanda-Mbarara'!M52+'Avg Week Mbarara-Ibanda'!M52</f>
        <v>25.428571428571431</v>
      </c>
      <c r="N52" s="49">
        <f>'Avg Week Ibanda-Mbarara'!N52+'Avg Week Mbarara-Ibanda'!N52</f>
        <v>0</v>
      </c>
      <c r="O52" s="15">
        <f t="shared" si="0"/>
        <v>23.285714285714285</v>
      </c>
      <c r="P52" s="15">
        <f t="shared" si="1"/>
        <v>48.714285714285715</v>
      </c>
      <c r="R52" s="8"/>
      <c r="T52"/>
    </row>
    <row r="53" spans="2:20" ht="23.1" customHeight="1" x14ac:dyDescent="0.25">
      <c r="B53" s="23" t="s">
        <v>80</v>
      </c>
      <c r="C53" s="49">
        <f>'Avg Week Ibanda-Mbarara'!C53+'Avg Week Mbarara-Ibanda'!C53</f>
        <v>14.428571428571429</v>
      </c>
      <c r="D53" s="49">
        <f>'Avg Week Ibanda-Mbarara'!D53+'Avg Week Mbarara-Ibanda'!D53</f>
        <v>2.5714285714285712</v>
      </c>
      <c r="E53" s="49">
        <f>'Avg Week Ibanda-Mbarara'!E53+'Avg Week Mbarara-Ibanda'!E53</f>
        <v>1.1428571428571428</v>
      </c>
      <c r="F53" s="49">
        <f>'Avg Week Ibanda-Mbarara'!F53+'Avg Week Mbarara-Ibanda'!F53</f>
        <v>2.8571428571428568</v>
      </c>
      <c r="G53" s="49">
        <f>'Avg Week Ibanda-Mbarara'!G53+'Avg Week Mbarara-Ibanda'!G53</f>
        <v>0.14285714285714285</v>
      </c>
      <c r="H53" s="49">
        <f>'Avg Week Ibanda-Mbarara'!H53+'Avg Week Mbarara-Ibanda'!H53</f>
        <v>0.2857142857142857</v>
      </c>
      <c r="I53" s="49">
        <f>'Avg Week Ibanda-Mbarara'!I53+'Avg Week Mbarara-Ibanda'!I53</f>
        <v>1.5714285714285714</v>
      </c>
      <c r="J53" s="49">
        <f>'Avg Week Ibanda-Mbarara'!J53+'Avg Week Mbarara-Ibanda'!J53</f>
        <v>2.2857142857142856</v>
      </c>
      <c r="K53" s="49">
        <f>'Avg Week Ibanda-Mbarara'!K53+'Avg Week Mbarara-Ibanda'!K53</f>
        <v>0.2857142857142857</v>
      </c>
      <c r="L53" s="49">
        <f>'Avg Week Ibanda-Mbarara'!L53+'Avg Week Mbarara-Ibanda'!L53</f>
        <v>0.14285714285714285</v>
      </c>
      <c r="M53" s="49">
        <f>'Avg Week Ibanda-Mbarara'!M53+'Avg Week Mbarara-Ibanda'!M53</f>
        <v>24.714285714285715</v>
      </c>
      <c r="N53" s="49">
        <f>'Avg Week Ibanda-Mbarara'!N53+'Avg Week Mbarara-Ibanda'!N53</f>
        <v>0</v>
      </c>
      <c r="O53" s="15">
        <f t="shared" si="0"/>
        <v>25.714285714285712</v>
      </c>
      <c r="P53" s="15">
        <f t="shared" si="1"/>
        <v>50.428571428571431</v>
      </c>
      <c r="R53" s="8"/>
      <c r="T53"/>
    </row>
    <row r="54" spans="2:20" ht="23.1" customHeight="1" x14ac:dyDescent="0.25">
      <c r="B54" s="23" t="s">
        <v>81</v>
      </c>
      <c r="C54" s="49">
        <f>'Avg Week Ibanda-Mbarara'!C54+'Avg Week Mbarara-Ibanda'!C54</f>
        <v>15.714285714285715</v>
      </c>
      <c r="D54" s="49">
        <f>'Avg Week Ibanda-Mbarara'!D54+'Avg Week Mbarara-Ibanda'!D54</f>
        <v>2</v>
      </c>
      <c r="E54" s="49">
        <f>'Avg Week Ibanda-Mbarara'!E54+'Avg Week Mbarara-Ibanda'!E54</f>
        <v>1.8571428571428572</v>
      </c>
      <c r="F54" s="49">
        <f>'Avg Week Ibanda-Mbarara'!F54+'Avg Week Mbarara-Ibanda'!F54</f>
        <v>3.4285714285714288</v>
      </c>
      <c r="G54" s="49">
        <f>'Avg Week Ibanda-Mbarara'!G54+'Avg Week Mbarara-Ibanda'!G54</f>
        <v>0</v>
      </c>
      <c r="H54" s="49">
        <f>'Avg Week Ibanda-Mbarara'!H54+'Avg Week Mbarara-Ibanda'!H54</f>
        <v>0.14285714285714285</v>
      </c>
      <c r="I54" s="49">
        <f>'Avg Week Ibanda-Mbarara'!I54+'Avg Week Mbarara-Ibanda'!I54</f>
        <v>1.4285714285714286</v>
      </c>
      <c r="J54" s="49">
        <f>'Avg Week Ibanda-Mbarara'!J54+'Avg Week Mbarara-Ibanda'!J54</f>
        <v>1.4285714285714284</v>
      </c>
      <c r="K54" s="49">
        <f>'Avg Week Ibanda-Mbarara'!K54+'Avg Week Mbarara-Ibanda'!K54</f>
        <v>0.2857142857142857</v>
      </c>
      <c r="L54" s="49">
        <f>'Avg Week Ibanda-Mbarara'!L54+'Avg Week Mbarara-Ibanda'!L54</f>
        <v>0.14285714285714285</v>
      </c>
      <c r="M54" s="49">
        <f>'Avg Week Ibanda-Mbarara'!M54+'Avg Week Mbarara-Ibanda'!M54</f>
        <v>27.714285714285715</v>
      </c>
      <c r="N54" s="49">
        <f>'Avg Week Ibanda-Mbarara'!N54+'Avg Week Mbarara-Ibanda'!N54</f>
        <v>0</v>
      </c>
      <c r="O54" s="15">
        <f t="shared" si="0"/>
        <v>26.428571428571423</v>
      </c>
      <c r="P54" s="15">
        <f t="shared" si="1"/>
        <v>54.142857142857139</v>
      </c>
      <c r="R54" s="8"/>
      <c r="T54"/>
    </row>
    <row r="55" spans="2:20" ht="23.1" customHeight="1" x14ac:dyDescent="0.25">
      <c r="B55" s="23" t="s">
        <v>82</v>
      </c>
      <c r="C55" s="49">
        <f>'Avg Week Ibanda-Mbarara'!C55+'Avg Week Mbarara-Ibanda'!C55</f>
        <v>13.714285714285715</v>
      </c>
      <c r="D55" s="49">
        <f>'Avg Week Ibanda-Mbarara'!D55+'Avg Week Mbarara-Ibanda'!D55</f>
        <v>1.1428571428571428</v>
      </c>
      <c r="E55" s="49">
        <f>'Avg Week Ibanda-Mbarara'!E55+'Avg Week Mbarara-Ibanda'!E55</f>
        <v>1.4285714285714286</v>
      </c>
      <c r="F55" s="49">
        <f>'Avg Week Ibanda-Mbarara'!F55+'Avg Week Mbarara-Ibanda'!F55</f>
        <v>2.8571428571428572</v>
      </c>
      <c r="G55" s="49">
        <f>'Avg Week Ibanda-Mbarara'!G55+'Avg Week Mbarara-Ibanda'!G55</f>
        <v>0</v>
      </c>
      <c r="H55" s="49">
        <f>'Avg Week Ibanda-Mbarara'!H55+'Avg Week Mbarara-Ibanda'!H55</f>
        <v>0</v>
      </c>
      <c r="I55" s="49">
        <f>'Avg Week Ibanda-Mbarara'!I55+'Avg Week Mbarara-Ibanda'!I55</f>
        <v>1.1428571428571428</v>
      </c>
      <c r="J55" s="49">
        <f>'Avg Week Ibanda-Mbarara'!J55+'Avg Week Mbarara-Ibanda'!J55</f>
        <v>1.8571428571428572</v>
      </c>
      <c r="K55" s="49">
        <f>'Avg Week Ibanda-Mbarara'!K55+'Avg Week Mbarara-Ibanda'!K55</f>
        <v>0.2857142857142857</v>
      </c>
      <c r="L55" s="49">
        <f>'Avg Week Ibanda-Mbarara'!L55+'Avg Week Mbarara-Ibanda'!L55</f>
        <v>0.2857142857142857</v>
      </c>
      <c r="M55" s="49">
        <f>'Avg Week Ibanda-Mbarara'!M55+'Avg Week Mbarara-Ibanda'!M55</f>
        <v>22.714285714285715</v>
      </c>
      <c r="N55" s="49">
        <f>'Avg Week Ibanda-Mbarara'!N55+'Avg Week Mbarara-Ibanda'!N55</f>
        <v>0</v>
      </c>
      <c r="O55" s="15">
        <f t="shared" si="0"/>
        <v>22.714285714285712</v>
      </c>
      <c r="P55" s="15">
        <f t="shared" si="1"/>
        <v>45.428571428571431</v>
      </c>
      <c r="R55" s="8"/>
      <c r="T55"/>
    </row>
    <row r="56" spans="2:20" ht="23.1" customHeight="1" x14ac:dyDescent="0.25">
      <c r="B56" s="23" t="s">
        <v>83</v>
      </c>
      <c r="C56" s="49">
        <f>'Avg Week Ibanda-Mbarara'!C56+'Avg Week Mbarara-Ibanda'!C56</f>
        <v>12.857142857142858</v>
      </c>
      <c r="D56" s="49">
        <f>'Avg Week Ibanda-Mbarara'!D56+'Avg Week Mbarara-Ibanda'!D56</f>
        <v>2</v>
      </c>
      <c r="E56" s="49">
        <f>'Avg Week Ibanda-Mbarara'!E56+'Avg Week Mbarara-Ibanda'!E56</f>
        <v>1.7142857142857144</v>
      </c>
      <c r="F56" s="49">
        <f>'Avg Week Ibanda-Mbarara'!F56+'Avg Week Mbarara-Ibanda'!F56</f>
        <v>1.8571428571428572</v>
      </c>
      <c r="G56" s="49">
        <f>'Avg Week Ibanda-Mbarara'!G56+'Avg Week Mbarara-Ibanda'!G56</f>
        <v>0</v>
      </c>
      <c r="H56" s="49">
        <f>'Avg Week Ibanda-Mbarara'!H56+'Avg Week Mbarara-Ibanda'!H56</f>
        <v>0</v>
      </c>
      <c r="I56" s="49">
        <f>'Avg Week Ibanda-Mbarara'!I56+'Avg Week Mbarara-Ibanda'!I56</f>
        <v>1.1428571428571428</v>
      </c>
      <c r="J56" s="49">
        <f>'Avg Week Ibanda-Mbarara'!J56+'Avg Week Mbarara-Ibanda'!J56</f>
        <v>0.7142857142857143</v>
      </c>
      <c r="K56" s="49">
        <f>'Avg Week Ibanda-Mbarara'!K56+'Avg Week Mbarara-Ibanda'!K56</f>
        <v>0.5714285714285714</v>
      </c>
      <c r="L56" s="49">
        <f>'Avg Week Ibanda-Mbarara'!L56+'Avg Week Mbarara-Ibanda'!L56</f>
        <v>0.2857142857142857</v>
      </c>
      <c r="M56" s="49">
        <f>'Avg Week Ibanda-Mbarara'!M56+'Avg Week Mbarara-Ibanda'!M56</f>
        <v>24</v>
      </c>
      <c r="N56" s="49">
        <f>'Avg Week Ibanda-Mbarara'!N56+'Avg Week Mbarara-Ibanda'!N56</f>
        <v>0</v>
      </c>
      <c r="O56" s="15">
        <f t="shared" si="0"/>
        <v>21.142857142857146</v>
      </c>
      <c r="P56" s="15">
        <f t="shared" si="1"/>
        <v>45.142857142857146</v>
      </c>
      <c r="R56" s="8"/>
      <c r="T56"/>
    </row>
    <row r="57" spans="2:20" ht="23.1" customHeight="1" x14ac:dyDescent="0.25">
      <c r="B57" s="23" t="s">
        <v>84</v>
      </c>
      <c r="C57" s="49">
        <f>'Avg Week Ibanda-Mbarara'!C57+'Avg Week Mbarara-Ibanda'!C57</f>
        <v>15.428571428571427</v>
      </c>
      <c r="D57" s="49">
        <f>'Avg Week Ibanda-Mbarara'!D57+'Avg Week Mbarara-Ibanda'!D57</f>
        <v>0.8571428571428571</v>
      </c>
      <c r="E57" s="49">
        <f>'Avg Week Ibanda-Mbarara'!E57+'Avg Week Mbarara-Ibanda'!E57</f>
        <v>0.2857142857142857</v>
      </c>
      <c r="F57" s="49">
        <f>'Avg Week Ibanda-Mbarara'!F57+'Avg Week Mbarara-Ibanda'!F57</f>
        <v>2.8571428571428572</v>
      </c>
      <c r="G57" s="49">
        <f>'Avg Week Ibanda-Mbarara'!G57+'Avg Week Mbarara-Ibanda'!G57</f>
        <v>0</v>
      </c>
      <c r="H57" s="49">
        <f>'Avg Week Ibanda-Mbarara'!H57+'Avg Week Mbarara-Ibanda'!H57</f>
        <v>0.14285714285714285</v>
      </c>
      <c r="I57" s="49">
        <f>'Avg Week Ibanda-Mbarara'!I57+'Avg Week Mbarara-Ibanda'!I57</f>
        <v>1</v>
      </c>
      <c r="J57" s="49">
        <f>'Avg Week Ibanda-Mbarara'!J57+'Avg Week Mbarara-Ibanda'!J57</f>
        <v>0.8571428571428571</v>
      </c>
      <c r="K57" s="49">
        <f>'Avg Week Ibanda-Mbarara'!K57+'Avg Week Mbarara-Ibanda'!K57</f>
        <v>0.2857142857142857</v>
      </c>
      <c r="L57" s="49">
        <f>'Avg Week Ibanda-Mbarara'!L57+'Avg Week Mbarara-Ibanda'!L57</f>
        <v>0.14285714285714285</v>
      </c>
      <c r="M57" s="49">
        <f>'Avg Week Ibanda-Mbarara'!M57+'Avg Week Mbarara-Ibanda'!M57</f>
        <v>23.714285714285715</v>
      </c>
      <c r="N57" s="49">
        <f>'Avg Week Ibanda-Mbarara'!N57+'Avg Week Mbarara-Ibanda'!N57</f>
        <v>0</v>
      </c>
      <c r="O57" s="15">
        <f t="shared" si="0"/>
        <v>21.857142857142854</v>
      </c>
      <c r="P57" s="15">
        <f t="shared" si="1"/>
        <v>45.571428571428569</v>
      </c>
      <c r="R57" s="8"/>
      <c r="T57"/>
    </row>
    <row r="58" spans="2:20" ht="23.1" customHeight="1" x14ac:dyDescent="0.25">
      <c r="B58" s="23" t="s">
        <v>99</v>
      </c>
      <c r="C58" s="49">
        <f>'Avg Week Ibanda-Mbarara'!C58+'Avg Week Mbarara-Ibanda'!C58</f>
        <v>7</v>
      </c>
      <c r="D58" s="49">
        <f>'Avg Week Ibanda-Mbarara'!D58+'Avg Week Mbarara-Ibanda'!D58</f>
        <v>1</v>
      </c>
      <c r="E58" s="49">
        <f>'Avg Week Ibanda-Mbarara'!E58+'Avg Week Mbarara-Ibanda'!E58</f>
        <v>1</v>
      </c>
      <c r="F58" s="49">
        <f>'Avg Week Ibanda-Mbarara'!F58+'Avg Week Mbarara-Ibanda'!F58</f>
        <v>2.5</v>
      </c>
      <c r="G58" s="49">
        <f>'Avg Week Ibanda-Mbarara'!G58+'Avg Week Mbarara-Ibanda'!G58</f>
        <v>0.5</v>
      </c>
      <c r="H58" s="49">
        <f>'Avg Week Ibanda-Mbarara'!H58+'Avg Week Mbarara-Ibanda'!H58</f>
        <v>0.5</v>
      </c>
      <c r="I58" s="49">
        <f>'Avg Week Ibanda-Mbarara'!I58+'Avg Week Mbarara-Ibanda'!I58</f>
        <v>0.5</v>
      </c>
      <c r="J58" s="49">
        <f>'Avg Week Ibanda-Mbarara'!J58+'Avg Week Mbarara-Ibanda'!J58</f>
        <v>1.5</v>
      </c>
      <c r="K58" s="49">
        <f>'Avg Week Ibanda-Mbarara'!K58+'Avg Week Mbarara-Ibanda'!K58</f>
        <v>1</v>
      </c>
      <c r="L58" s="49">
        <f>'Avg Week Ibanda-Mbarara'!L58+'Avg Week Mbarara-Ibanda'!L58</f>
        <v>0</v>
      </c>
      <c r="M58" s="49">
        <f>'Avg Week Ibanda-Mbarara'!M58+'Avg Week Mbarara-Ibanda'!M58</f>
        <v>9</v>
      </c>
      <c r="N58" s="49">
        <f>'Avg Week Ibanda-Mbarara'!N58+'Avg Week Mbarara-Ibanda'!N58</f>
        <v>0</v>
      </c>
      <c r="O58" s="15">
        <f t="shared" si="0"/>
        <v>15.5</v>
      </c>
      <c r="P58" s="15">
        <f t="shared" si="1"/>
        <v>24.5</v>
      </c>
      <c r="R58" s="8"/>
      <c r="T58"/>
    </row>
    <row r="59" spans="2:20" ht="23.1" customHeight="1" x14ac:dyDescent="0.25">
      <c r="B59" s="23" t="s">
        <v>100</v>
      </c>
      <c r="C59" s="49">
        <f>'Avg Week Ibanda-Mbarara'!C59+'Avg Week Mbarara-Ibanda'!C59</f>
        <v>13.5</v>
      </c>
      <c r="D59" s="49">
        <f>'Avg Week Ibanda-Mbarara'!D59+'Avg Week Mbarara-Ibanda'!D59</f>
        <v>0.5</v>
      </c>
      <c r="E59" s="49">
        <f>'Avg Week Ibanda-Mbarara'!E59+'Avg Week Mbarara-Ibanda'!E59</f>
        <v>1</v>
      </c>
      <c r="F59" s="49">
        <f>'Avg Week Ibanda-Mbarara'!F59+'Avg Week Mbarara-Ibanda'!F59</f>
        <v>1</v>
      </c>
      <c r="G59" s="49">
        <f>'Avg Week Ibanda-Mbarara'!G59+'Avg Week Mbarara-Ibanda'!G59</f>
        <v>0.5</v>
      </c>
      <c r="H59" s="49">
        <f>'Avg Week Ibanda-Mbarara'!H59+'Avg Week Mbarara-Ibanda'!H59</f>
        <v>0.5</v>
      </c>
      <c r="I59" s="49">
        <f>'Avg Week Ibanda-Mbarara'!I59+'Avg Week Mbarara-Ibanda'!I59</f>
        <v>1.5</v>
      </c>
      <c r="J59" s="49">
        <f>'Avg Week Ibanda-Mbarara'!J59+'Avg Week Mbarara-Ibanda'!J59</f>
        <v>1.5</v>
      </c>
      <c r="K59" s="49">
        <f>'Avg Week Ibanda-Mbarara'!K59+'Avg Week Mbarara-Ibanda'!K59</f>
        <v>0</v>
      </c>
      <c r="L59" s="49">
        <f>'Avg Week Ibanda-Mbarara'!L59+'Avg Week Mbarara-Ibanda'!L59</f>
        <v>0</v>
      </c>
      <c r="M59" s="49">
        <f>'Avg Week Ibanda-Mbarara'!M59+'Avg Week Mbarara-Ibanda'!M59</f>
        <v>18</v>
      </c>
      <c r="N59" s="49">
        <f>'Avg Week Ibanda-Mbarara'!N59+'Avg Week Mbarara-Ibanda'!N59</f>
        <v>0</v>
      </c>
      <c r="O59" s="15">
        <f t="shared" si="0"/>
        <v>20</v>
      </c>
      <c r="P59" s="15">
        <f t="shared" si="1"/>
        <v>38</v>
      </c>
      <c r="R59" s="8"/>
      <c r="T59"/>
    </row>
    <row r="60" spans="2:20" ht="23.1" customHeight="1" x14ac:dyDescent="0.25">
      <c r="B60" s="23" t="s">
        <v>101</v>
      </c>
      <c r="C60" s="49">
        <f>'Avg Week Ibanda-Mbarara'!C60+'Avg Week Mbarara-Ibanda'!C60</f>
        <v>11</v>
      </c>
      <c r="D60" s="49">
        <f>'Avg Week Ibanda-Mbarara'!D60+'Avg Week Mbarara-Ibanda'!D60</f>
        <v>3</v>
      </c>
      <c r="E60" s="49">
        <f>'Avg Week Ibanda-Mbarara'!E60+'Avg Week Mbarara-Ibanda'!E60</f>
        <v>0</v>
      </c>
      <c r="F60" s="49">
        <f>'Avg Week Ibanda-Mbarara'!F60+'Avg Week Mbarara-Ibanda'!F60</f>
        <v>4.5</v>
      </c>
      <c r="G60" s="49">
        <f>'Avg Week Ibanda-Mbarara'!G60+'Avg Week Mbarara-Ibanda'!G60</f>
        <v>0</v>
      </c>
      <c r="H60" s="49">
        <f>'Avg Week Ibanda-Mbarara'!H60+'Avg Week Mbarara-Ibanda'!H60</f>
        <v>0.5</v>
      </c>
      <c r="I60" s="49">
        <f>'Avg Week Ibanda-Mbarara'!I60+'Avg Week Mbarara-Ibanda'!I60</f>
        <v>2</v>
      </c>
      <c r="J60" s="49">
        <f>'Avg Week Ibanda-Mbarara'!J60+'Avg Week Mbarara-Ibanda'!J60</f>
        <v>1.5</v>
      </c>
      <c r="K60" s="49">
        <f>'Avg Week Ibanda-Mbarara'!K60+'Avg Week Mbarara-Ibanda'!K60</f>
        <v>2</v>
      </c>
      <c r="L60" s="49">
        <f>'Avg Week Ibanda-Mbarara'!L60+'Avg Week Mbarara-Ibanda'!L60</f>
        <v>0</v>
      </c>
      <c r="M60" s="49">
        <f>'Avg Week Ibanda-Mbarara'!M60+'Avg Week Mbarara-Ibanda'!M60</f>
        <v>17.5</v>
      </c>
      <c r="N60" s="49">
        <f>'Avg Week Ibanda-Mbarara'!N60+'Avg Week Mbarara-Ibanda'!N60</f>
        <v>0</v>
      </c>
      <c r="O60" s="15">
        <f t="shared" si="0"/>
        <v>24.5</v>
      </c>
      <c r="P60" s="15">
        <f t="shared" si="1"/>
        <v>42</v>
      </c>
      <c r="R60" s="8"/>
      <c r="T60"/>
    </row>
    <row r="61" spans="2:20" ht="23.1" customHeight="1" x14ac:dyDescent="0.25">
      <c r="B61" s="23" t="s">
        <v>102</v>
      </c>
      <c r="C61" s="49">
        <f>'Avg Week Ibanda-Mbarara'!C61+'Avg Week Mbarara-Ibanda'!C61</f>
        <v>10</v>
      </c>
      <c r="D61" s="49">
        <f>'Avg Week Ibanda-Mbarara'!D61+'Avg Week Mbarara-Ibanda'!D61</f>
        <v>2</v>
      </c>
      <c r="E61" s="49">
        <f>'Avg Week Ibanda-Mbarara'!E61+'Avg Week Mbarara-Ibanda'!E61</f>
        <v>0</v>
      </c>
      <c r="F61" s="49">
        <f>'Avg Week Ibanda-Mbarara'!F61+'Avg Week Mbarara-Ibanda'!F61</f>
        <v>3</v>
      </c>
      <c r="G61" s="49">
        <f>'Avg Week Ibanda-Mbarara'!G61+'Avg Week Mbarara-Ibanda'!G61</f>
        <v>0</v>
      </c>
      <c r="H61" s="49">
        <f>'Avg Week Ibanda-Mbarara'!H61+'Avg Week Mbarara-Ibanda'!H61</f>
        <v>0</v>
      </c>
      <c r="I61" s="49">
        <f>'Avg Week Ibanda-Mbarara'!I61+'Avg Week Mbarara-Ibanda'!I61</f>
        <v>0.5</v>
      </c>
      <c r="J61" s="49">
        <f>'Avg Week Ibanda-Mbarara'!J61+'Avg Week Mbarara-Ibanda'!J61</f>
        <v>2</v>
      </c>
      <c r="K61" s="49">
        <f>'Avg Week Ibanda-Mbarara'!K61+'Avg Week Mbarara-Ibanda'!K61</f>
        <v>0</v>
      </c>
      <c r="L61" s="49">
        <f>'Avg Week Ibanda-Mbarara'!L61+'Avg Week Mbarara-Ibanda'!L61</f>
        <v>0</v>
      </c>
      <c r="M61" s="49">
        <f>'Avg Week Ibanda-Mbarara'!M61+'Avg Week Mbarara-Ibanda'!M61</f>
        <v>13</v>
      </c>
      <c r="N61" s="49">
        <f>'Avg Week Ibanda-Mbarara'!N61+'Avg Week Mbarara-Ibanda'!N61</f>
        <v>0</v>
      </c>
      <c r="O61" s="15">
        <f t="shared" si="0"/>
        <v>17.5</v>
      </c>
      <c r="P61" s="15">
        <f t="shared" si="1"/>
        <v>30.5</v>
      </c>
      <c r="R61" s="8"/>
      <c r="T61"/>
    </row>
    <row r="62" spans="2:20" ht="23.1" customHeight="1" x14ac:dyDescent="0.25">
      <c r="B62" s="23" t="s">
        <v>107</v>
      </c>
      <c r="C62" s="49">
        <f>'Avg Week Ibanda-Mbarara'!C62+'Avg Week Mbarara-Ibanda'!C62</f>
        <v>12.5</v>
      </c>
      <c r="D62" s="49">
        <f>'Avg Week Ibanda-Mbarara'!D62+'Avg Week Mbarara-Ibanda'!D62</f>
        <v>1.5</v>
      </c>
      <c r="E62" s="49">
        <f>'Avg Week Ibanda-Mbarara'!E62+'Avg Week Mbarara-Ibanda'!E62</f>
        <v>0</v>
      </c>
      <c r="F62" s="49">
        <f>'Avg Week Ibanda-Mbarara'!F62+'Avg Week Mbarara-Ibanda'!F62</f>
        <v>1.5</v>
      </c>
      <c r="G62" s="49">
        <f>'Avg Week Ibanda-Mbarara'!G62+'Avg Week Mbarara-Ibanda'!G62</f>
        <v>0.5</v>
      </c>
      <c r="H62" s="49">
        <f>'Avg Week Ibanda-Mbarara'!H62+'Avg Week Mbarara-Ibanda'!H62</f>
        <v>0</v>
      </c>
      <c r="I62" s="49">
        <f>'Avg Week Ibanda-Mbarara'!I62+'Avg Week Mbarara-Ibanda'!I62</f>
        <v>1.5</v>
      </c>
      <c r="J62" s="49">
        <f>'Avg Week Ibanda-Mbarara'!J62+'Avg Week Mbarara-Ibanda'!J62</f>
        <v>1</v>
      </c>
      <c r="K62" s="49">
        <f>'Avg Week Ibanda-Mbarara'!K62+'Avg Week Mbarara-Ibanda'!K62</f>
        <v>0.5</v>
      </c>
      <c r="L62" s="49">
        <f>'Avg Week Ibanda-Mbarara'!L62+'Avg Week Mbarara-Ibanda'!L62</f>
        <v>0</v>
      </c>
      <c r="M62" s="49">
        <f>'Avg Week Ibanda-Mbarara'!M62+'Avg Week Mbarara-Ibanda'!M62</f>
        <v>13</v>
      </c>
      <c r="N62" s="49">
        <f>'Avg Week Ibanda-Mbarara'!N62+'Avg Week Mbarara-Ibanda'!N62</f>
        <v>0</v>
      </c>
      <c r="O62" s="15">
        <f t="shared" si="0"/>
        <v>19</v>
      </c>
      <c r="P62" s="15">
        <f t="shared" si="1"/>
        <v>32</v>
      </c>
      <c r="R62" s="8"/>
      <c r="T62"/>
    </row>
    <row r="63" spans="2:20" ht="23.1" customHeight="1" x14ac:dyDescent="0.25">
      <c r="B63" s="23" t="s">
        <v>108</v>
      </c>
      <c r="C63" s="49">
        <f>'Avg Week Ibanda-Mbarara'!C63+'Avg Week Mbarara-Ibanda'!C63</f>
        <v>8.5</v>
      </c>
      <c r="D63" s="49">
        <f>'Avg Week Ibanda-Mbarara'!D63+'Avg Week Mbarara-Ibanda'!D63</f>
        <v>2</v>
      </c>
      <c r="E63" s="49">
        <f>'Avg Week Ibanda-Mbarara'!E63+'Avg Week Mbarara-Ibanda'!E63</f>
        <v>0</v>
      </c>
      <c r="F63" s="49">
        <f>'Avg Week Ibanda-Mbarara'!F63+'Avg Week Mbarara-Ibanda'!F63</f>
        <v>0</v>
      </c>
      <c r="G63" s="49">
        <f>'Avg Week Ibanda-Mbarara'!G63+'Avg Week Mbarara-Ibanda'!G63</f>
        <v>0</v>
      </c>
      <c r="H63" s="49">
        <f>'Avg Week Ibanda-Mbarara'!H63+'Avg Week Mbarara-Ibanda'!H63</f>
        <v>0</v>
      </c>
      <c r="I63" s="49">
        <f>'Avg Week Ibanda-Mbarara'!I63+'Avg Week Mbarara-Ibanda'!I63</f>
        <v>2</v>
      </c>
      <c r="J63" s="49">
        <f>'Avg Week Ibanda-Mbarara'!J63+'Avg Week Mbarara-Ibanda'!J63</f>
        <v>1</v>
      </c>
      <c r="K63" s="49">
        <f>'Avg Week Ibanda-Mbarara'!K63+'Avg Week Mbarara-Ibanda'!K63</f>
        <v>0</v>
      </c>
      <c r="L63" s="49">
        <f>'Avg Week Ibanda-Mbarara'!L63+'Avg Week Mbarara-Ibanda'!L63</f>
        <v>0</v>
      </c>
      <c r="M63" s="49">
        <f>'Avg Week Ibanda-Mbarara'!M63+'Avg Week Mbarara-Ibanda'!M63</f>
        <v>6.5</v>
      </c>
      <c r="N63" s="49">
        <f>'Avg Week Ibanda-Mbarara'!N63+'Avg Week Mbarara-Ibanda'!N63</f>
        <v>0</v>
      </c>
      <c r="O63" s="15">
        <f t="shared" si="0"/>
        <v>13.5</v>
      </c>
      <c r="P63" s="15">
        <f t="shared" si="1"/>
        <v>20</v>
      </c>
      <c r="R63" s="8"/>
      <c r="T63"/>
    </row>
    <row r="64" spans="2:20" ht="23.1" customHeight="1" x14ac:dyDescent="0.25">
      <c r="B64" s="23" t="s">
        <v>109</v>
      </c>
      <c r="C64" s="49">
        <f>'Avg Week Ibanda-Mbarara'!C64+'Avg Week Mbarara-Ibanda'!C64</f>
        <v>14.5</v>
      </c>
      <c r="D64" s="49">
        <f>'Avg Week Ibanda-Mbarara'!D64+'Avg Week Mbarara-Ibanda'!D64</f>
        <v>3</v>
      </c>
      <c r="E64" s="49">
        <f>'Avg Week Ibanda-Mbarara'!E64+'Avg Week Mbarara-Ibanda'!E64</f>
        <v>2.5</v>
      </c>
      <c r="F64" s="49">
        <f>'Avg Week Ibanda-Mbarara'!F64+'Avg Week Mbarara-Ibanda'!F64</f>
        <v>3</v>
      </c>
      <c r="G64" s="49">
        <f>'Avg Week Ibanda-Mbarara'!G64+'Avg Week Mbarara-Ibanda'!G64</f>
        <v>0.5</v>
      </c>
      <c r="H64" s="49">
        <f>'Avg Week Ibanda-Mbarara'!H64+'Avg Week Mbarara-Ibanda'!H64</f>
        <v>0</v>
      </c>
      <c r="I64" s="49">
        <f>'Avg Week Ibanda-Mbarara'!I64+'Avg Week Mbarara-Ibanda'!I64</f>
        <v>2</v>
      </c>
      <c r="J64" s="49">
        <f>'Avg Week Ibanda-Mbarara'!J64+'Avg Week Mbarara-Ibanda'!J64</f>
        <v>2.5</v>
      </c>
      <c r="K64" s="49">
        <f>'Avg Week Ibanda-Mbarara'!K64+'Avg Week Mbarara-Ibanda'!K64</f>
        <v>0.5</v>
      </c>
      <c r="L64" s="49">
        <f>'Avg Week Ibanda-Mbarara'!L64+'Avg Week Mbarara-Ibanda'!L64</f>
        <v>0</v>
      </c>
      <c r="M64" s="49">
        <f>'Avg Week Ibanda-Mbarara'!M64+'Avg Week Mbarara-Ibanda'!M64</f>
        <v>13</v>
      </c>
      <c r="N64" s="49">
        <f>'Avg Week Ibanda-Mbarara'!N64+'Avg Week Mbarara-Ibanda'!N64</f>
        <v>0</v>
      </c>
      <c r="O64" s="15">
        <f t="shared" si="0"/>
        <v>28.5</v>
      </c>
      <c r="P64" s="15">
        <f t="shared" si="1"/>
        <v>41.5</v>
      </c>
      <c r="R64" s="8"/>
      <c r="T64"/>
    </row>
    <row r="65" spans="2:20" ht="23.1" customHeight="1" x14ac:dyDescent="0.25">
      <c r="B65" s="23" t="s">
        <v>158</v>
      </c>
      <c r="C65" s="49">
        <f>'Avg Week Ibanda-Mbarara'!C65+'Avg Week Mbarara-Ibanda'!C65</f>
        <v>12</v>
      </c>
      <c r="D65" s="49">
        <f>'Avg Week Ibanda-Mbarara'!D65+'Avg Week Mbarara-Ibanda'!D65</f>
        <v>5</v>
      </c>
      <c r="E65" s="49">
        <f>'Avg Week Ibanda-Mbarara'!E65+'Avg Week Mbarara-Ibanda'!E65</f>
        <v>0.5</v>
      </c>
      <c r="F65" s="49">
        <f>'Avg Week Ibanda-Mbarara'!F65+'Avg Week Mbarara-Ibanda'!F65</f>
        <v>4</v>
      </c>
      <c r="G65" s="49">
        <f>'Avg Week Ibanda-Mbarara'!G65+'Avg Week Mbarara-Ibanda'!G65</f>
        <v>0</v>
      </c>
      <c r="H65" s="49">
        <f>'Avg Week Ibanda-Mbarara'!H65+'Avg Week Mbarara-Ibanda'!H65</f>
        <v>0</v>
      </c>
      <c r="I65" s="49">
        <f>'Avg Week Ibanda-Mbarara'!I65+'Avg Week Mbarara-Ibanda'!I65</f>
        <v>1</v>
      </c>
      <c r="J65" s="49">
        <f>'Avg Week Ibanda-Mbarara'!J65+'Avg Week Mbarara-Ibanda'!J65</f>
        <v>0.5</v>
      </c>
      <c r="K65" s="49">
        <f>'Avg Week Ibanda-Mbarara'!K65+'Avg Week Mbarara-Ibanda'!K65</f>
        <v>0</v>
      </c>
      <c r="L65" s="49">
        <f>'Avg Week Ibanda-Mbarara'!L65+'Avg Week Mbarara-Ibanda'!L65</f>
        <v>0</v>
      </c>
      <c r="M65" s="49">
        <f>'Avg Week Ibanda-Mbarara'!M65+'Avg Week Mbarara-Ibanda'!M65</f>
        <v>14.5</v>
      </c>
      <c r="N65" s="49">
        <f>'Avg Week Ibanda-Mbarara'!N65+'Avg Week Mbarara-Ibanda'!N65</f>
        <v>0</v>
      </c>
      <c r="O65" s="15">
        <f t="shared" si="0"/>
        <v>23</v>
      </c>
      <c r="P65" s="15">
        <f t="shared" si="1"/>
        <v>37.5</v>
      </c>
      <c r="R65" s="8"/>
      <c r="T65"/>
    </row>
    <row r="66" spans="2:20" ht="23.1" customHeight="1" x14ac:dyDescent="0.25">
      <c r="B66" s="23" t="s">
        <v>103</v>
      </c>
      <c r="C66" s="49">
        <f>'Avg Week Ibanda-Mbarara'!C66+'Avg Week Mbarara-Ibanda'!C66</f>
        <v>6.5</v>
      </c>
      <c r="D66" s="49">
        <f>'Avg Week Ibanda-Mbarara'!D66+'Avg Week Mbarara-Ibanda'!D66</f>
        <v>1.5</v>
      </c>
      <c r="E66" s="49">
        <f>'Avg Week Ibanda-Mbarara'!E66+'Avg Week Mbarara-Ibanda'!E66</f>
        <v>1.5</v>
      </c>
      <c r="F66" s="49">
        <f>'Avg Week Ibanda-Mbarara'!F66+'Avg Week Mbarara-Ibanda'!F66</f>
        <v>1</v>
      </c>
      <c r="G66" s="49">
        <f>'Avg Week Ibanda-Mbarara'!G66+'Avg Week Mbarara-Ibanda'!G66</f>
        <v>0</v>
      </c>
      <c r="H66" s="49">
        <f>'Avg Week Ibanda-Mbarara'!H66+'Avg Week Mbarara-Ibanda'!H66</f>
        <v>0</v>
      </c>
      <c r="I66" s="49">
        <f>'Avg Week Ibanda-Mbarara'!I66+'Avg Week Mbarara-Ibanda'!I66</f>
        <v>0</v>
      </c>
      <c r="J66" s="49">
        <f>'Avg Week Ibanda-Mbarara'!J66+'Avg Week Mbarara-Ibanda'!J66</f>
        <v>1.5</v>
      </c>
      <c r="K66" s="49">
        <f>'Avg Week Ibanda-Mbarara'!K66+'Avg Week Mbarara-Ibanda'!K66</f>
        <v>0.5</v>
      </c>
      <c r="L66" s="49">
        <f>'Avg Week Ibanda-Mbarara'!L66+'Avg Week Mbarara-Ibanda'!L66</f>
        <v>0</v>
      </c>
      <c r="M66" s="49">
        <f>'Avg Week Ibanda-Mbarara'!M66+'Avg Week Mbarara-Ibanda'!M66</f>
        <v>5.5</v>
      </c>
      <c r="N66" s="49">
        <f>'Avg Week Ibanda-Mbarara'!N66+'Avg Week Mbarara-Ibanda'!N66</f>
        <v>0</v>
      </c>
      <c r="O66" s="15">
        <f t="shared" si="0"/>
        <v>12.5</v>
      </c>
      <c r="P66" s="15">
        <f t="shared" si="1"/>
        <v>18</v>
      </c>
      <c r="R66" s="8"/>
      <c r="T66"/>
    </row>
    <row r="67" spans="2:20" ht="23.1" customHeight="1" x14ac:dyDescent="0.25">
      <c r="B67" s="23" t="s">
        <v>104</v>
      </c>
      <c r="C67" s="49">
        <f>'Avg Week Ibanda-Mbarara'!C67+'Avg Week Mbarara-Ibanda'!C67</f>
        <v>11</v>
      </c>
      <c r="D67" s="49">
        <f>'Avg Week Ibanda-Mbarara'!D67+'Avg Week Mbarara-Ibanda'!D67</f>
        <v>3.5</v>
      </c>
      <c r="E67" s="49">
        <f>'Avg Week Ibanda-Mbarara'!E67+'Avg Week Mbarara-Ibanda'!E67</f>
        <v>0</v>
      </c>
      <c r="F67" s="49">
        <f>'Avg Week Ibanda-Mbarara'!F67+'Avg Week Mbarara-Ibanda'!F67</f>
        <v>0.5</v>
      </c>
      <c r="G67" s="49">
        <f>'Avg Week Ibanda-Mbarara'!G67+'Avg Week Mbarara-Ibanda'!G67</f>
        <v>0</v>
      </c>
      <c r="H67" s="49">
        <f>'Avg Week Ibanda-Mbarara'!H67+'Avg Week Mbarara-Ibanda'!H67</f>
        <v>0</v>
      </c>
      <c r="I67" s="49">
        <f>'Avg Week Ibanda-Mbarara'!I67+'Avg Week Mbarara-Ibanda'!I67</f>
        <v>0</v>
      </c>
      <c r="J67" s="49">
        <f>'Avg Week Ibanda-Mbarara'!J67+'Avg Week Mbarara-Ibanda'!J67</f>
        <v>1</v>
      </c>
      <c r="K67" s="49">
        <f>'Avg Week Ibanda-Mbarara'!K67+'Avg Week Mbarara-Ibanda'!K67</f>
        <v>0</v>
      </c>
      <c r="L67" s="49">
        <f>'Avg Week Ibanda-Mbarara'!L67+'Avg Week Mbarara-Ibanda'!L67</f>
        <v>1</v>
      </c>
      <c r="M67" s="49">
        <f>'Avg Week Ibanda-Mbarara'!M67+'Avg Week Mbarara-Ibanda'!M67</f>
        <v>8</v>
      </c>
      <c r="N67" s="49">
        <f>'Avg Week Ibanda-Mbarara'!N67+'Avg Week Mbarara-Ibanda'!N67</f>
        <v>0</v>
      </c>
      <c r="O67" s="15">
        <f t="shared" si="0"/>
        <v>17</v>
      </c>
      <c r="P67" s="15">
        <f t="shared" si="1"/>
        <v>25</v>
      </c>
      <c r="R67" s="8"/>
      <c r="T67"/>
    </row>
    <row r="68" spans="2:20" ht="23.1" customHeight="1" x14ac:dyDescent="0.25">
      <c r="B68" s="23" t="s">
        <v>105</v>
      </c>
      <c r="C68" s="49">
        <f>'Avg Week Ibanda-Mbarara'!C68+'Avg Week Mbarara-Ibanda'!C68</f>
        <v>8</v>
      </c>
      <c r="D68" s="49">
        <f>'Avg Week Ibanda-Mbarara'!D68+'Avg Week Mbarara-Ibanda'!D68</f>
        <v>3</v>
      </c>
      <c r="E68" s="49">
        <f>'Avg Week Ibanda-Mbarara'!E68+'Avg Week Mbarara-Ibanda'!E68</f>
        <v>1</v>
      </c>
      <c r="F68" s="49">
        <f>'Avg Week Ibanda-Mbarara'!F68+'Avg Week Mbarara-Ibanda'!F68</f>
        <v>1</v>
      </c>
      <c r="G68" s="49">
        <f>'Avg Week Ibanda-Mbarara'!G68+'Avg Week Mbarara-Ibanda'!G68</f>
        <v>0.5</v>
      </c>
      <c r="H68" s="49">
        <f>'Avg Week Ibanda-Mbarara'!H68+'Avg Week Mbarara-Ibanda'!H68</f>
        <v>0</v>
      </c>
      <c r="I68" s="49">
        <f>'Avg Week Ibanda-Mbarara'!I68+'Avg Week Mbarara-Ibanda'!I68</f>
        <v>2.5</v>
      </c>
      <c r="J68" s="49">
        <f>'Avg Week Ibanda-Mbarara'!J68+'Avg Week Mbarara-Ibanda'!J68</f>
        <v>2</v>
      </c>
      <c r="K68" s="49">
        <f>'Avg Week Ibanda-Mbarara'!K68+'Avg Week Mbarara-Ibanda'!K68</f>
        <v>0.5</v>
      </c>
      <c r="L68" s="49">
        <f>'Avg Week Ibanda-Mbarara'!L68+'Avg Week Mbarara-Ibanda'!L68</f>
        <v>0</v>
      </c>
      <c r="M68" s="49">
        <f>'Avg Week Ibanda-Mbarara'!M68+'Avg Week Mbarara-Ibanda'!M68</f>
        <v>5</v>
      </c>
      <c r="N68" s="49">
        <f>'Avg Week Ibanda-Mbarara'!N68+'Avg Week Mbarara-Ibanda'!N68</f>
        <v>0</v>
      </c>
      <c r="O68" s="15">
        <f t="shared" si="0"/>
        <v>18.5</v>
      </c>
      <c r="P68" s="15">
        <f t="shared" si="1"/>
        <v>23.5</v>
      </c>
      <c r="R68" s="8"/>
      <c r="T68"/>
    </row>
    <row r="69" spans="2:20" ht="23.1" customHeight="1" x14ac:dyDescent="0.25">
      <c r="B69" s="23" t="s">
        <v>106</v>
      </c>
      <c r="C69" s="49">
        <f>'Avg Week Ibanda-Mbarara'!C69+'Avg Week Mbarara-Ibanda'!C69</f>
        <v>3.5</v>
      </c>
      <c r="D69" s="49">
        <f>'Avg Week Ibanda-Mbarara'!D69+'Avg Week Mbarara-Ibanda'!D69</f>
        <v>2</v>
      </c>
      <c r="E69" s="49">
        <f>'Avg Week Ibanda-Mbarara'!E69+'Avg Week Mbarara-Ibanda'!E69</f>
        <v>0</v>
      </c>
      <c r="F69" s="49">
        <f>'Avg Week Ibanda-Mbarara'!F69+'Avg Week Mbarara-Ibanda'!F69</f>
        <v>0.5</v>
      </c>
      <c r="G69" s="49">
        <f>'Avg Week Ibanda-Mbarara'!G69+'Avg Week Mbarara-Ibanda'!G69</f>
        <v>0</v>
      </c>
      <c r="H69" s="49">
        <f>'Avg Week Ibanda-Mbarara'!H69+'Avg Week Mbarara-Ibanda'!H69</f>
        <v>0.5</v>
      </c>
      <c r="I69" s="49">
        <f>'Avg Week Ibanda-Mbarara'!I69+'Avg Week Mbarara-Ibanda'!I69</f>
        <v>0.5</v>
      </c>
      <c r="J69" s="49">
        <f>'Avg Week Ibanda-Mbarara'!J69+'Avg Week Mbarara-Ibanda'!J69</f>
        <v>0</v>
      </c>
      <c r="K69" s="49">
        <f>'Avg Week Ibanda-Mbarara'!K69+'Avg Week Mbarara-Ibanda'!K69</f>
        <v>0.5</v>
      </c>
      <c r="L69" s="49">
        <f>'Avg Week Ibanda-Mbarara'!L69+'Avg Week Mbarara-Ibanda'!L69</f>
        <v>0</v>
      </c>
      <c r="M69" s="49">
        <f>'Avg Week Ibanda-Mbarara'!M69+'Avg Week Mbarara-Ibanda'!M69</f>
        <v>1.5</v>
      </c>
      <c r="N69" s="49">
        <f>'Avg Week Ibanda-Mbarara'!N69+'Avg Week Mbarara-Ibanda'!N69</f>
        <v>0</v>
      </c>
      <c r="O69" s="15">
        <f t="shared" si="0"/>
        <v>7.5</v>
      </c>
      <c r="P69" s="15">
        <f t="shared" si="1"/>
        <v>9</v>
      </c>
      <c r="R69" s="8"/>
      <c r="T69"/>
    </row>
    <row r="70" spans="2:20" ht="23.1" customHeight="1" x14ac:dyDescent="0.25">
      <c r="B70" s="23" t="s">
        <v>110</v>
      </c>
      <c r="C70" s="49">
        <f>'Avg Week Ibanda-Mbarara'!C70+'Avg Week Mbarara-Ibanda'!C70</f>
        <v>4.5</v>
      </c>
      <c r="D70" s="49">
        <f>'Avg Week Ibanda-Mbarara'!D70+'Avg Week Mbarara-Ibanda'!D70</f>
        <v>0.5</v>
      </c>
      <c r="E70" s="49">
        <f>'Avg Week Ibanda-Mbarara'!E70+'Avg Week Mbarara-Ibanda'!E70</f>
        <v>0.5</v>
      </c>
      <c r="F70" s="49">
        <f>'Avg Week Ibanda-Mbarara'!F70+'Avg Week Mbarara-Ibanda'!F70</f>
        <v>1</v>
      </c>
      <c r="G70" s="49">
        <f>'Avg Week Ibanda-Mbarara'!G70+'Avg Week Mbarara-Ibanda'!G70</f>
        <v>0</v>
      </c>
      <c r="H70" s="49">
        <f>'Avg Week Ibanda-Mbarara'!H70+'Avg Week Mbarara-Ibanda'!H70</f>
        <v>0</v>
      </c>
      <c r="I70" s="49">
        <f>'Avg Week Ibanda-Mbarara'!I70+'Avg Week Mbarara-Ibanda'!I70</f>
        <v>0.5</v>
      </c>
      <c r="J70" s="49">
        <f>'Avg Week Ibanda-Mbarara'!J70+'Avg Week Mbarara-Ibanda'!J70</f>
        <v>0.5</v>
      </c>
      <c r="K70" s="49">
        <f>'Avg Week Ibanda-Mbarara'!K70+'Avg Week Mbarara-Ibanda'!K70</f>
        <v>0.5</v>
      </c>
      <c r="L70" s="49">
        <f>'Avg Week Ibanda-Mbarara'!L70+'Avg Week Mbarara-Ibanda'!L70</f>
        <v>0</v>
      </c>
      <c r="M70" s="49">
        <f>'Avg Week Ibanda-Mbarara'!M70+'Avg Week Mbarara-Ibanda'!M70</f>
        <v>3.5</v>
      </c>
      <c r="N70" s="49">
        <f>'Avg Week Ibanda-Mbarara'!N70+'Avg Week Mbarara-Ibanda'!N70</f>
        <v>0</v>
      </c>
      <c r="O70" s="15">
        <f t="shared" si="0"/>
        <v>8</v>
      </c>
      <c r="P70" s="15">
        <f t="shared" si="1"/>
        <v>11.5</v>
      </c>
      <c r="R70" s="8"/>
      <c r="T70"/>
    </row>
    <row r="71" spans="2:20" ht="23.1" customHeight="1" x14ac:dyDescent="0.25">
      <c r="B71" s="23" t="s">
        <v>111</v>
      </c>
      <c r="C71" s="49">
        <f>'Avg Week Ibanda-Mbarara'!C71+'Avg Week Mbarara-Ibanda'!C71</f>
        <v>3.5</v>
      </c>
      <c r="D71" s="49">
        <f>'Avg Week Ibanda-Mbarara'!D71+'Avg Week Mbarara-Ibanda'!D71</f>
        <v>1</v>
      </c>
      <c r="E71" s="49">
        <f>'Avg Week Ibanda-Mbarara'!E71+'Avg Week Mbarara-Ibanda'!E71</f>
        <v>0.5</v>
      </c>
      <c r="F71" s="49">
        <f>'Avg Week Ibanda-Mbarara'!F71+'Avg Week Mbarara-Ibanda'!F71</f>
        <v>0.5</v>
      </c>
      <c r="G71" s="49">
        <f>'Avg Week Ibanda-Mbarara'!G71+'Avg Week Mbarara-Ibanda'!G71</f>
        <v>0</v>
      </c>
      <c r="H71" s="49">
        <f>'Avg Week Ibanda-Mbarara'!H71+'Avg Week Mbarara-Ibanda'!H71</f>
        <v>0</v>
      </c>
      <c r="I71" s="49">
        <f>'Avg Week Ibanda-Mbarara'!I71+'Avg Week Mbarara-Ibanda'!I71</f>
        <v>0.5</v>
      </c>
      <c r="J71" s="49">
        <f>'Avg Week Ibanda-Mbarara'!J71+'Avg Week Mbarara-Ibanda'!J71</f>
        <v>1</v>
      </c>
      <c r="K71" s="49">
        <f>'Avg Week Ibanda-Mbarara'!K71+'Avg Week Mbarara-Ibanda'!K71</f>
        <v>0</v>
      </c>
      <c r="L71" s="49">
        <f>'Avg Week Ibanda-Mbarara'!L71+'Avg Week Mbarara-Ibanda'!L71</f>
        <v>0</v>
      </c>
      <c r="M71" s="49">
        <f>'Avg Week Ibanda-Mbarara'!M71+'Avg Week Mbarara-Ibanda'!M71</f>
        <v>4.5</v>
      </c>
      <c r="N71" s="49">
        <f>'Avg Week Ibanda-Mbarara'!N71+'Avg Week Mbarara-Ibanda'!N71</f>
        <v>0</v>
      </c>
      <c r="O71" s="15">
        <f t="shared" si="0"/>
        <v>7</v>
      </c>
      <c r="P71" s="15">
        <f t="shared" si="1"/>
        <v>11.5</v>
      </c>
      <c r="R71" s="8"/>
      <c r="T71"/>
    </row>
    <row r="72" spans="2:20" ht="23.1" customHeight="1" x14ac:dyDescent="0.25">
      <c r="B72" s="23" t="s">
        <v>112</v>
      </c>
      <c r="C72" s="49">
        <f>'Avg Week Ibanda-Mbarara'!C72+'Avg Week Mbarara-Ibanda'!C72</f>
        <v>3</v>
      </c>
      <c r="D72" s="49">
        <f>'Avg Week Ibanda-Mbarara'!D72+'Avg Week Mbarara-Ibanda'!D72</f>
        <v>1</v>
      </c>
      <c r="E72" s="49">
        <f>'Avg Week Ibanda-Mbarara'!E72+'Avg Week Mbarara-Ibanda'!E72</f>
        <v>1.5</v>
      </c>
      <c r="F72" s="49">
        <f>'Avg Week Ibanda-Mbarara'!F72+'Avg Week Mbarara-Ibanda'!F72</f>
        <v>1</v>
      </c>
      <c r="G72" s="49">
        <f>'Avg Week Ibanda-Mbarara'!G72+'Avg Week Mbarara-Ibanda'!G72</f>
        <v>0</v>
      </c>
      <c r="H72" s="49">
        <f>'Avg Week Ibanda-Mbarara'!H72+'Avg Week Mbarara-Ibanda'!H72</f>
        <v>0</v>
      </c>
      <c r="I72" s="49">
        <f>'Avg Week Ibanda-Mbarara'!I72+'Avg Week Mbarara-Ibanda'!I72</f>
        <v>2</v>
      </c>
      <c r="J72" s="49">
        <f>'Avg Week Ibanda-Mbarara'!J72+'Avg Week Mbarara-Ibanda'!J72</f>
        <v>1.5</v>
      </c>
      <c r="K72" s="49">
        <f>'Avg Week Ibanda-Mbarara'!K72+'Avg Week Mbarara-Ibanda'!K72</f>
        <v>0</v>
      </c>
      <c r="L72" s="49">
        <f>'Avg Week Ibanda-Mbarara'!L72+'Avg Week Mbarara-Ibanda'!L72</f>
        <v>0</v>
      </c>
      <c r="M72" s="49">
        <f>'Avg Week Ibanda-Mbarara'!M72+'Avg Week Mbarara-Ibanda'!M72</f>
        <v>3.5</v>
      </c>
      <c r="N72" s="49">
        <f>'Avg Week Ibanda-Mbarara'!N72+'Avg Week Mbarara-Ibanda'!N72</f>
        <v>0</v>
      </c>
      <c r="O72" s="15">
        <f t="shared" si="0"/>
        <v>10</v>
      </c>
      <c r="P72" s="15">
        <f t="shared" si="1"/>
        <v>13.5</v>
      </c>
      <c r="R72" s="8"/>
      <c r="T72"/>
    </row>
    <row r="73" spans="2:20" ht="23.1" customHeight="1" x14ac:dyDescent="0.25">
      <c r="B73" s="23" t="s">
        <v>113</v>
      </c>
      <c r="C73" s="49">
        <f>'Avg Week Ibanda-Mbarara'!C73+'Avg Week Mbarara-Ibanda'!C73</f>
        <v>5</v>
      </c>
      <c r="D73" s="49">
        <f>'Avg Week Ibanda-Mbarara'!D73+'Avg Week Mbarara-Ibanda'!D73</f>
        <v>1.5</v>
      </c>
      <c r="E73" s="49">
        <f>'Avg Week Ibanda-Mbarara'!E73+'Avg Week Mbarara-Ibanda'!E73</f>
        <v>1</v>
      </c>
      <c r="F73" s="49">
        <f>'Avg Week Ibanda-Mbarara'!F73+'Avg Week Mbarara-Ibanda'!F73</f>
        <v>1</v>
      </c>
      <c r="G73" s="49">
        <f>'Avg Week Ibanda-Mbarara'!G73+'Avg Week Mbarara-Ibanda'!G73</f>
        <v>0</v>
      </c>
      <c r="H73" s="49">
        <f>'Avg Week Ibanda-Mbarara'!H73+'Avg Week Mbarara-Ibanda'!H73</f>
        <v>0</v>
      </c>
      <c r="I73" s="49">
        <f>'Avg Week Ibanda-Mbarara'!I73+'Avg Week Mbarara-Ibanda'!I73</f>
        <v>0.5</v>
      </c>
      <c r="J73" s="49">
        <f>'Avg Week Ibanda-Mbarara'!J73+'Avg Week Mbarara-Ibanda'!J73</f>
        <v>0.5</v>
      </c>
      <c r="K73" s="49">
        <f>'Avg Week Ibanda-Mbarara'!K73+'Avg Week Mbarara-Ibanda'!K73</f>
        <v>0.5</v>
      </c>
      <c r="L73" s="49">
        <f>'Avg Week Ibanda-Mbarara'!L73+'Avg Week Mbarara-Ibanda'!L73</f>
        <v>0</v>
      </c>
      <c r="M73" s="49">
        <f>'Avg Week Ibanda-Mbarara'!M73+'Avg Week Mbarara-Ibanda'!M73</f>
        <v>3.5</v>
      </c>
      <c r="N73" s="49">
        <f>'Avg Week Ibanda-Mbarara'!N73+'Avg Week Mbarara-Ibanda'!N73</f>
        <v>0</v>
      </c>
      <c r="O73" s="15">
        <f t="shared" si="0"/>
        <v>10</v>
      </c>
      <c r="P73" s="15">
        <f t="shared" si="1"/>
        <v>13.5</v>
      </c>
      <c r="R73" s="8"/>
      <c r="T73"/>
    </row>
    <row r="74" spans="2:20" ht="23.1" customHeight="1" x14ac:dyDescent="0.25">
      <c r="B74" s="23" t="s">
        <v>114</v>
      </c>
      <c r="C74" s="49">
        <f>'Avg Week Ibanda-Mbarara'!C74+'Avg Week Mbarara-Ibanda'!C74</f>
        <v>4.5</v>
      </c>
      <c r="D74" s="49">
        <f>'Avg Week Ibanda-Mbarara'!D74+'Avg Week Mbarara-Ibanda'!D74</f>
        <v>0.5</v>
      </c>
      <c r="E74" s="49">
        <f>'Avg Week Ibanda-Mbarara'!E74+'Avg Week Mbarara-Ibanda'!E74</f>
        <v>0</v>
      </c>
      <c r="F74" s="49">
        <f>'Avg Week Ibanda-Mbarara'!F74+'Avg Week Mbarara-Ibanda'!F74</f>
        <v>0</v>
      </c>
      <c r="G74" s="49">
        <f>'Avg Week Ibanda-Mbarara'!G74+'Avg Week Mbarara-Ibanda'!G74</f>
        <v>0</v>
      </c>
      <c r="H74" s="49">
        <f>'Avg Week Ibanda-Mbarara'!H74+'Avg Week Mbarara-Ibanda'!H74</f>
        <v>0.5</v>
      </c>
      <c r="I74" s="49">
        <f>'Avg Week Ibanda-Mbarara'!I74+'Avg Week Mbarara-Ibanda'!I74</f>
        <v>0</v>
      </c>
      <c r="J74" s="49">
        <f>'Avg Week Ibanda-Mbarara'!J74+'Avg Week Mbarara-Ibanda'!J74</f>
        <v>0</v>
      </c>
      <c r="K74" s="49">
        <f>'Avg Week Ibanda-Mbarara'!K74+'Avg Week Mbarara-Ibanda'!K74</f>
        <v>0.5</v>
      </c>
      <c r="L74" s="49">
        <f>'Avg Week Ibanda-Mbarara'!L74+'Avg Week Mbarara-Ibanda'!L74</f>
        <v>0</v>
      </c>
      <c r="M74" s="49">
        <f>'Avg Week Ibanda-Mbarara'!M74+'Avg Week Mbarara-Ibanda'!M74</f>
        <v>0</v>
      </c>
      <c r="N74" s="49">
        <f>'Avg Week Ibanda-Mbarara'!N74+'Avg Week Mbarara-Ibanda'!N74</f>
        <v>0</v>
      </c>
      <c r="O74" s="15">
        <f t="shared" ref="O74:O105" si="35">SUM(C74:L74,N74)</f>
        <v>6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23" t="s">
        <v>115</v>
      </c>
      <c r="C75" s="49">
        <f>'Avg Week Ibanda-Mbarara'!C75+'Avg Week Mbarara-Ibanda'!C75</f>
        <v>3</v>
      </c>
      <c r="D75" s="49">
        <f>'Avg Week Ibanda-Mbarara'!D75+'Avg Week Mbarara-Ibanda'!D75</f>
        <v>0.5</v>
      </c>
      <c r="E75" s="49">
        <f>'Avg Week Ibanda-Mbarara'!E75+'Avg Week Mbarara-Ibanda'!E75</f>
        <v>0.5</v>
      </c>
      <c r="F75" s="49">
        <f>'Avg Week Ibanda-Mbarara'!F75+'Avg Week Mbarara-Ibanda'!F75</f>
        <v>2</v>
      </c>
      <c r="G75" s="49">
        <f>'Avg Week Ibanda-Mbarara'!G75+'Avg Week Mbarara-Ibanda'!G75</f>
        <v>0</v>
      </c>
      <c r="H75" s="49">
        <f>'Avg Week Ibanda-Mbarara'!H75+'Avg Week Mbarara-Ibanda'!H75</f>
        <v>0</v>
      </c>
      <c r="I75" s="49">
        <f>'Avg Week Ibanda-Mbarara'!I75+'Avg Week Mbarara-Ibanda'!I75</f>
        <v>0</v>
      </c>
      <c r="J75" s="49">
        <f>'Avg Week Ibanda-Mbarara'!J75+'Avg Week Mbarara-Ibanda'!J75</f>
        <v>0</v>
      </c>
      <c r="K75" s="49">
        <f>'Avg Week Ibanda-Mbarara'!K75+'Avg Week Mbarara-Ibanda'!K75</f>
        <v>0</v>
      </c>
      <c r="L75" s="49">
        <f>'Avg Week Ibanda-Mbarara'!L75+'Avg Week Mbarara-Ibanda'!L75</f>
        <v>0</v>
      </c>
      <c r="M75" s="49">
        <f>'Avg Week Ibanda-Mbarara'!M75+'Avg Week Mbarara-Ibanda'!M75</f>
        <v>3</v>
      </c>
      <c r="N75" s="49">
        <f>'Avg Week Ibanda-Mbarara'!N75+'Avg Week Mbarara-Ibanda'!N75</f>
        <v>0</v>
      </c>
      <c r="O75" s="15">
        <f t="shared" si="35"/>
        <v>6</v>
      </c>
      <c r="P75" s="15">
        <f t="shared" si="36"/>
        <v>9</v>
      </c>
      <c r="R75" s="8"/>
      <c r="T75"/>
    </row>
    <row r="76" spans="2:20" ht="23.1" customHeight="1" x14ac:dyDescent="0.25">
      <c r="B76" s="23" t="s">
        <v>116</v>
      </c>
      <c r="C76" s="49">
        <f>'Avg Week Ibanda-Mbarara'!C76+'Avg Week Mbarara-Ibanda'!C76</f>
        <v>2</v>
      </c>
      <c r="D76" s="49">
        <f>'Avg Week Ibanda-Mbarara'!D76+'Avg Week Mbarara-Ibanda'!D76</f>
        <v>1</v>
      </c>
      <c r="E76" s="49">
        <f>'Avg Week Ibanda-Mbarara'!E76+'Avg Week Mbarara-Ibanda'!E76</f>
        <v>0</v>
      </c>
      <c r="F76" s="49">
        <f>'Avg Week Ibanda-Mbarara'!F76+'Avg Week Mbarara-Ibanda'!F76</f>
        <v>1</v>
      </c>
      <c r="G76" s="49">
        <f>'Avg Week Ibanda-Mbarara'!G76+'Avg Week Mbarara-Ibanda'!G76</f>
        <v>0</v>
      </c>
      <c r="H76" s="49">
        <f>'Avg Week Ibanda-Mbarara'!H76+'Avg Week Mbarara-Ibanda'!H76</f>
        <v>0</v>
      </c>
      <c r="I76" s="49">
        <f>'Avg Week Ibanda-Mbarara'!I76+'Avg Week Mbarara-Ibanda'!I76</f>
        <v>0.5</v>
      </c>
      <c r="J76" s="49">
        <f>'Avg Week Ibanda-Mbarara'!J76+'Avg Week Mbarara-Ibanda'!J76</f>
        <v>0</v>
      </c>
      <c r="K76" s="49">
        <f>'Avg Week Ibanda-Mbarara'!K76+'Avg Week Mbarara-Ibanda'!K76</f>
        <v>0</v>
      </c>
      <c r="L76" s="49">
        <f>'Avg Week Ibanda-Mbarara'!L76+'Avg Week Mbarara-Ibanda'!L76</f>
        <v>0</v>
      </c>
      <c r="M76" s="49">
        <f>'Avg Week Ibanda-Mbarara'!M76+'Avg Week Mbarara-Ibanda'!M76</f>
        <v>0.5</v>
      </c>
      <c r="N76" s="49">
        <f>'Avg Week Ibanda-Mbarara'!N76+'Avg Week Mbarara-Ibanda'!N76</f>
        <v>0</v>
      </c>
      <c r="O76" s="15">
        <f t="shared" si="35"/>
        <v>4.5</v>
      </c>
      <c r="P76" s="15">
        <f t="shared" si="36"/>
        <v>5</v>
      </c>
      <c r="R76" s="8"/>
      <c r="T76"/>
    </row>
    <row r="77" spans="2:20" ht="23.1" customHeight="1" x14ac:dyDescent="0.25">
      <c r="B77" s="23" t="s">
        <v>117</v>
      </c>
      <c r="C77" s="49">
        <f>'Avg Week Ibanda-Mbarara'!C77+'Avg Week Mbarara-Ibanda'!C77</f>
        <v>0</v>
      </c>
      <c r="D77" s="49">
        <f>'Avg Week Ibanda-Mbarara'!D77+'Avg Week Mbarara-Ibanda'!D77</f>
        <v>0.5</v>
      </c>
      <c r="E77" s="49">
        <f>'Avg Week Ibanda-Mbarara'!E77+'Avg Week Mbarara-Ibanda'!E77</f>
        <v>0</v>
      </c>
      <c r="F77" s="49">
        <f>'Avg Week Ibanda-Mbarara'!F77+'Avg Week Mbarara-Ibanda'!F77</f>
        <v>0</v>
      </c>
      <c r="G77" s="49">
        <f>'Avg Week Ibanda-Mbarara'!G77+'Avg Week Mbarara-Ibanda'!G77</f>
        <v>0</v>
      </c>
      <c r="H77" s="49">
        <f>'Avg Week Ibanda-Mbarara'!H77+'Avg Week Mbarara-Ibanda'!H77</f>
        <v>0.5</v>
      </c>
      <c r="I77" s="49">
        <f>'Avg Week Ibanda-Mbarara'!I77+'Avg Week Mbarara-Ibanda'!I77</f>
        <v>0.5</v>
      </c>
      <c r="J77" s="49">
        <f>'Avg Week Ibanda-Mbarara'!J77+'Avg Week Mbarara-Ibanda'!J77</f>
        <v>0.5</v>
      </c>
      <c r="K77" s="49">
        <f>'Avg Week Ibanda-Mbarara'!K77+'Avg Week Mbarara-Ibanda'!K77</f>
        <v>0</v>
      </c>
      <c r="L77" s="49">
        <f>'Avg Week Ibanda-Mbarara'!L77+'Avg Week Mbarara-Ibanda'!L77</f>
        <v>0</v>
      </c>
      <c r="M77" s="49">
        <f>'Avg Week Ibanda-Mbarara'!M77+'Avg Week Mbarara-Ibanda'!M77</f>
        <v>1</v>
      </c>
      <c r="N77" s="49">
        <f>'Avg Week Ibanda-Mbarara'!N77+'Avg Week Mbarara-Ibanda'!N77</f>
        <v>0</v>
      </c>
      <c r="O77" s="15">
        <f t="shared" si="35"/>
        <v>2</v>
      </c>
      <c r="P77" s="15">
        <f t="shared" si="36"/>
        <v>3</v>
      </c>
      <c r="R77" s="8"/>
      <c r="T77"/>
    </row>
    <row r="78" spans="2:20" ht="23.1" customHeight="1" x14ac:dyDescent="0.25">
      <c r="B78" s="24" t="s">
        <v>118</v>
      </c>
      <c r="C78" s="49">
        <f>'Avg Week Ibanda-Mbarara'!C78+'Avg Week Mbarara-Ibanda'!C78</f>
        <v>1</v>
      </c>
      <c r="D78" s="49">
        <f>'Avg Week Ibanda-Mbarara'!D78+'Avg Week Mbarara-Ibanda'!D78</f>
        <v>0.5</v>
      </c>
      <c r="E78" s="49">
        <f>'Avg Week Ibanda-Mbarara'!E78+'Avg Week Mbarara-Ibanda'!E78</f>
        <v>0.5</v>
      </c>
      <c r="F78" s="49">
        <f>'Avg Week Ibanda-Mbarara'!F78+'Avg Week Mbarara-Ibanda'!F78</f>
        <v>0</v>
      </c>
      <c r="G78" s="49">
        <f>'Avg Week Ibanda-Mbarara'!G78+'Avg Week Mbarara-Ibanda'!G78</f>
        <v>0.5</v>
      </c>
      <c r="H78" s="49">
        <f>'Avg Week Ibanda-Mbarara'!H78+'Avg Week Mbarara-Ibanda'!H78</f>
        <v>0</v>
      </c>
      <c r="I78" s="49">
        <f>'Avg Week Ibanda-Mbarara'!I78+'Avg Week Mbarara-Ibanda'!I78</f>
        <v>0</v>
      </c>
      <c r="J78" s="49">
        <f>'Avg Week Ibanda-Mbarara'!J78+'Avg Week Mbarara-Ibanda'!J78</f>
        <v>0.5</v>
      </c>
      <c r="K78" s="49">
        <f>'Avg Week Ibanda-Mbarara'!K78+'Avg Week Mbarara-Ibanda'!K78</f>
        <v>0</v>
      </c>
      <c r="L78" s="49">
        <f>'Avg Week Ibanda-Mbarara'!L78+'Avg Week Mbarara-Ibanda'!L78</f>
        <v>0</v>
      </c>
      <c r="M78" s="49">
        <f>'Avg Week Ibanda-Mbarara'!M78+'Avg Week Mbarara-Ibanda'!M78</f>
        <v>0</v>
      </c>
      <c r="N78" s="49">
        <f>'Avg Week Ibanda-Mbarara'!N78+'Avg Week Mbarara-Ibanda'!N78</f>
        <v>0</v>
      </c>
      <c r="O78" s="15">
        <f t="shared" si="35"/>
        <v>3</v>
      </c>
      <c r="P78" s="15">
        <f t="shared" si="36"/>
        <v>3</v>
      </c>
      <c r="R78" s="8"/>
      <c r="T78"/>
    </row>
    <row r="79" spans="2:20" ht="23.1" customHeight="1" x14ac:dyDescent="0.25">
      <c r="B79" s="23" t="s">
        <v>119</v>
      </c>
      <c r="C79" s="49">
        <f>'Avg Week Ibanda-Mbarara'!C79+'Avg Week Mbarara-Ibanda'!C79</f>
        <v>1.5</v>
      </c>
      <c r="D79" s="49">
        <f>'Avg Week Ibanda-Mbarara'!D79+'Avg Week Mbarara-Ibanda'!D79</f>
        <v>1</v>
      </c>
      <c r="E79" s="49">
        <f>'Avg Week Ibanda-Mbarara'!E79+'Avg Week Mbarara-Ibanda'!E79</f>
        <v>0.5</v>
      </c>
      <c r="F79" s="49">
        <f>'Avg Week Ibanda-Mbarara'!F79+'Avg Week Mbarara-Ibanda'!F79</f>
        <v>0</v>
      </c>
      <c r="G79" s="49">
        <f>'Avg Week Ibanda-Mbarara'!G79+'Avg Week Mbarara-Ibanda'!G79</f>
        <v>1</v>
      </c>
      <c r="H79" s="49">
        <f>'Avg Week Ibanda-Mbarara'!H79+'Avg Week Mbarara-Ibanda'!H79</f>
        <v>1</v>
      </c>
      <c r="I79" s="49">
        <f>'Avg Week Ibanda-Mbarara'!I79+'Avg Week Mbarara-Ibanda'!I79</f>
        <v>1</v>
      </c>
      <c r="J79" s="49">
        <f>'Avg Week Ibanda-Mbarara'!J79+'Avg Week Mbarara-Ibanda'!J79</f>
        <v>0</v>
      </c>
      <c r="K79" s="49">
        <f>'Avg Week Ibanda-Mbarara'!K79+'Avg Week Mbarara-Ibanda'!K79</f>
        <v>0.5</v>
      </c>
      <c r="L79" s="49">
        <f>'Avg Week Ibanda-Mbarara'!L79+'Avg Week Mbarara-Ibanda'!L79</f>
        <v>0</v>
      </c>
      <c r="M79" s="49">
        <f>'Avg Week Ibanda-Mbarara'!M79+'Avg Week Mbarara-Ibanda'!M79</f>
        <v>0</v>
      </c>
      <c r="N79" s="49">
        <f>'Avg Week Ibanda-Mbarara'!N79+'Avg Week Mbarara-Ibanda'!N79</f>
        <v>0</v>
      </c>
      <c r="O79" s="15">
        <f t="shared" si="35"/>
        <v>6.5</v>
      </c>
      <c r="P79" s="15">
        <f t="shared" si="36"/>
        <v>6.5</v>
      </c>
      <c r="R79" s="8"/>
      <c r="T79"/>
    </row>
    <row r="80" spans="2:20" ht="23.1" customHeight="1" x14ac:dyDescent="0.25">
      <c r="B80" s="25" t="s">
        <v>120</v>
      </c>
      <c r="C80" s="49">
        <f>'Avg Week Ibanda-Mbarara'!C80+'Avg Week Mbarara-Ibanda'!C80</f>
        <v>1.5</v>
      </c>
      <c r="D80" s="49">
        <f>'Avg Week Ibanda-Mbarara'!D80+'Avg Week Mbarara-Ibanda'!D80</f>
        <v>0</v>
      </c>
      <c r="E80" s="49">
        <f>'Avg Week Ibanda-Mbarara'!E80+'Avg Week Mbarara-Ibanda'!E80</f>
        <v>0</v>
      </c>
      <c r="F80" s="49">
        <f>'Avg Week Ibanda-Mbarara'!F80+'Avg Week Mbarara-Ibanda'!F80</f>
        <v>0.5</v>
      </c>
      <c r="G80" s="49">
        <f>'Avg Week Ibanda-Mbarara'!G80+'Avg Week Mbarara-Ibanda'!G80</f>
        <v>0.5</v>
      </c>
      <c r="H80" s="49">
        <f>'Avg Week Ibanda-Mbarara'!H80+'Avg Week Mbarara-Ibanda'!H80</f>
        <v>2</v>
      </c>
      <c r="I80" s="49">
        <f>'Avg Week Ibanda-Mbarara'!I80+'Avg Week Mbarara-Ibanda'!I80</f>
        <v>1</v>
      </c>
      <c r="J80" s="49">
        <f>'Avg Week Ibanda-Mbarara'!J80+'Avg Week Mbarara-Ibanda'!J80</f>
        <v>0.5</v>
      </c>
      <c r="K80" s="49">
        <f>'Avg Week Ibanda-Mbarara'!K80+'Avg Week Mbarara-Ibanda'!K80</f>
        <v>1</v>
      </c>
      <c r="L80" s="49">
        <f>'Avg Week Ibanda-Mbarara'!L80+'Avg Week Mbarara-Ibanda'!L80</f>
        <v>0</v>
      </c>
      <c r="M80" s="49">
        <f>'Avg Week Ibanda-Mbarara'!M80+'Avg Week Mbarara-Ibanda'!M80</f>
        <v>2.5</v>
      </c>
      <c r="N80" s="49">
        <f>'Avg Week Ibanda-Mbarara'!N80+'Avg Week Mbarara-Ibanda'!N80</f>
        <v>0</v>
      </c>
      <c r="O80" s="15">
        <f t="shared" si="35"/>
        <v>7</v>
      </c>
      <c r="P80" s="15">
        <f t="shared" si="36"/>
        <v>9.5</v>
      </c>
      <c r="R80" s="8"/>
      <c r="T80"/>
    </row>
    <row r="81" spans="2:20" ht="23.1" customHeight="1" x14ac:dyDescent="0.25">
      <c r="B81" s="23" t="s">
        <v>121</v>
      </c>
      <c r="C81" s="49">
        <f>'Avg Week Ibanda-Mbarara'!C81+'Avg Week Mbarara-Ibanda'!C81</f>
        <v>2</v>
      </c>
      <c r="D81" s="49">
        <f>'Avg Week Ibanda-Mbarara'!D81+'Avg Week Mbarara-Ibanda'!D81</f>
        <v>0.5</v>
      </c>
      <c r="E81" s="49">
        <f>'Avg Week Ibanda-Mbarara'!E81+'Avg Week Mbarara-Ibanda'!E81</f>
        <v>0</v>
      </c>
      <c r="F81" s="49">
        <f>'Avg Week Ibanda-Mbarara'!F81+'Avg Week Mbarara-Ibanda'!F81</f>
        <v>0.5</v>
      </c>
      <c r="G81" s="49">
        <f>'Avg Week Ibanda-Mbarara'!G81+'Avg Week Mbarara-Ibanda'!G81</f>
        <v>0.5</v>
      </c>
      <c r="H81" s="49">
        <f>'Avg Week Ibanda-Mbarara'!H81+'Avg Week Mbarara-Ibanda'!H81</f>
        <v>0</v>
      </c>
      <c r="I81" s="49">
        <f>'Avg Week Ibanda-Mbarara'!I81+'Avg Week Mbarara-Ibanda'!I81</f>
        <v>1</v>
      </c>
      <c r="J81" s="49">
        <f>'Avg Week Ibanda-Mbarara'!J81+'Avg Week Mbarara-Ibanda'!J81</f>
        <v>0</v>
      </c>
      <c r="K81" s="49">
        <f>'Avg Week Ibanda-Mbarara'!K81+'Avg Week Mbarara-Ibanda'!K81</f>
        <v>0</v>
      </c>
      <c r="L81" s="49">
        <f>'Avg Week Ibanda-Mbarara'!L81+'Avg Week Mbarara-Ibanda'!L81</f>
        <v>0</v>
      </c>
      <c r="M81" s="49">
        <f>'Avg Week Ibanda-Mbarara'!M81+'Avg Week Mbarara-Ibanda'!M81</f>
        <v>2</v>
      </c>
      <c r="N81" s="49">
        <f>'Avg Week Ibanda-Mbarara'!N81+'Avg Week Mbarara-Ibanda'!N81</f>
        <v>0</v>
      </c>
      <c r="O81" s="15">
        <f t="shared" si="35"/>
        <v>4.5</v>
      </c>
      <c r="P81" s="15">
        <f t="shared" si="36"/>
        <v>6.5</v>
      </c>
      <c r="R81" s="8"/>
      <c r="T81"/>
    </row>
    <row r="82" spans="2:20" ht="23.1" customHeight="1" x14ac:dyDescent="0.25">
      <c r="B82" s="24" t="s">
        <v>122</v>
      </c>
      <c r="C82" s="49">
        <f>'Avg Week Ibanda-Mbarara'!C82+'Avg Week Mbarara-Ibanda'!C82</f>
        <v>1.5</v>
      </c>
      <c r="D82" s="49">
        <f>'Avg Week Ibanda-Mbarara'!D82+'Avg Week Mbarara-Ibanda'!D82</f>
        <v>1</v>
      </c>
      <c r="E82" s="49">
        <f>'Avg Week Ibanda-Mbarara'!E82+'Avg Week Mbarara-Ibanda'!E82</f>
        <v>1</v>
      </c>
      <c r="F82" s="49">
        <f>'Avg Week Ibanda-Mbarara'!F82+'Avg Week Mbarara-Ibanda'!F82</f>
        <v>2</v>
      </c>
      <c r="G82" s="49">
        <f>'Avg Week Ibanda-Mbarara'!G82+'Avg Week Mbarara-Ibanda'!G82</f>
        <v>0</v>
      </c>
      <c r="H82" s="49">
        <f>'Avg Week Ibanda-Mbarara'!H82+'Avg Week Mbarara-Ibanda'!H82</f>
        <v>0</v>
      </c>
      <c r="I82" s="49">
        <f>'Avg Week Ibanda-Mbarara'!I82+'Avg Week Mbarara-Ibanda'!I82</f>
        <v>2</v>
      </c>
      <c r="J82" s="49">
        <f>'Avg Week Ibanda-Mbarara'!J82+'Avg Week Mbarara-Ibanda'!J82</f>
        <v>0.5</v>
      </c>
      <c r="K82" s="49">
        <f>'Avg Week Ibanda-Mbarara'!K82+'Avg Week Mbarara-Ibanda'!K82</f>
        <v>1</v>
      </c>
      <c r="L82" s="49">
        <f>'Avg Week Ibanda-Mbarara'!L82+'Avg Week Mbarara-Ibanda'!L82</f>
        <v>0</v>
      </c>
      <c r="M82" s="49">
        <f>'Avg Week Ibanda-Mbarara'!M82+'Avg Week Mbarara-Ibanda'!M82</f>
        <v>1</v>
      </c>
      <c r="N82" s="49">
        <f>'Avg Week Ibanda-Mbarara'!N82+'Avg Week Mbarara-Ibanda'!N82</f>
        <v>0</v>
      </c>
      <c r="O82" s="15">
        <f t="shared" si="35"/>
        <v>9</v>
      </c>
      <c r="P82" s="15">
        <f t="shared" si="36"/>
        <v>10</v>
      </c>
      <c r="R82" s="8"/>
      <c r="T82"/>
    </row>
    <row r="83" spans="2:20" ht="23.1" customHeight="1" x14ac:dyDescent="0.25">
      <c r="B83" s="23" t="s">
        <v>123</v>
      </c>
      <c r="C83" s="49">
        <f>'Avg Week Ibanda-Mbarara'!C83+'Avg Week Mbarara-Ibanda'!C83</f>
        <v>2</v>
      </c>
      <c r="D83" s="49">
        <f>'Avg Week Ibanda-Mbarara'!D83+'Avg Week Mbarara-Ibanda'!D83</f>
        <v>0.5</v>
      </c>
      <c r="E83" s="49">
        <f>'Avg Week Ibanda-Mbarara'!E83+'Avg Week Mbarara-Ibanda'!E83</f>
        <v>0</v>
      </c>
      <c r="F83" s="49">
        <f>'Avg Week Ibanda-Mbarara'!F83+'Avg Week Mbarara-Ibanda'!F83</f>
        <v>1</v>
      </c>
      <c r="G83" s="49">
        <f>'Avg Week Ibanda-Mbarara'!G83+'Avg Week Mbarara-Ibanda'!G83</f>
        <v>0</v>
      </c>
      <c r="H83" s="49">
        <f>'Avg Week Ibanda-Mbarara'!H83+'Avg Week Mbarara-Ibanda'!H83</f>
        <v>0</v>
      </c>
      <c r="I83" s="49">
        <f>'Avg Week Ibanda-Mbarara'!I83+'Avg Week Mbarara-Ibanda'!I83</f>
        <v>0.5</v>
      </c>
      <c r="J83" s="49">
        <f>'Avg Week Ibanda-Mbarara'!J83+'Avg Week Mbarara-Ibanda'!J83</f>
        <v>0</v>
      </c>
      <c r="K83" s="49">
        <f>'Avg Week Ibanda-Mbarara'!K83+'Avg Week Mbarara-Ibanda'!K83</f>
        <v>1</v>
      </c>
      <c r="L83" s="49">
        <f>'Avg Week Ibanda-Mbarara'!L83+'Avg Week Mbarara-Ibanda'!L83</f>
        <v>1.5</v>
      </c>
      <c r="M83" s="49">
        <f>'Avg Week Ibanda-Mbarara'!M83+'Avg Week Mbarara-Ibanda'!M83</f>
        <v>1.5</v>
      </c>
      <c r="N83" s="49">
        <f>'Avg Week Ibanda-Mbarara'!N83+'Avg Week Mbarara-Ibanda'!N83</f>
        <v>0</v>
      </c>
      <c r="O83" s="15">
        <f t="shared" si="35"/>
        <v>6.5</v>
      </c>
      <c r="P83" s="15">
        <f t="shared" si="36"/>
        <v>8</v>
      </c>
      <c r="R83" s="8"/>
      <c r="T83"/>
    </row>
    <row r="84" spans="2:20" ht="23.1" customHeight="1" x14ac:dyDescent="0.25">
      <c r="B84" s="25" t="s">
        <v>124</v>
      </c>
      <c r="C84" s="49">
        <f>'Avg Week Ibanda-Mbarara'!C84+'Avg Week Mbarara-Ibanda'!C84</f>
        <v>2.5</v>
      </c>
      <c r="D84" s="49">
        <f>'Avg Week Ibanda-Mbarara'!D84+'Avg Week Mbarara-Ibanda'!D84</f>
        <v>0.5</v>
      </c>
      <c r="E84" s="49">
        <f>'Avg Week Ibanda-Mbarara'!E84+'Avg Week Mbarara-Ibanda'!E84</f>
        <v>0</v>
      </c>
      <c r="F84" s="49">
        <f>'Avg Week Ibanda-Mbarara'!F84+'Avg Week Mbarara-Ibanda'!F84</f>
        <v>0</v>
      </c>
      <c r="G84" s="49">
        <f>'Avg Week Ibanda-Mbarara'!G84+'Avg Week Mbarara-Ibanda'!G84</f>
        <v>0</v>
      </c>
      <c r="H84" s="49">
        <f>'Avg Week Ibanda-Mbarara'!H84+'Avg Week Mbarara-Ibanda'!H84</f>
        <v>0</v>
      </c>
      <c r="I84" s="49">
        <f>'Avg Week Ibanda-Mbarara'!I84+'Avg Week Mbarara-Ibanda'!I84</f>
        <v>0</v>
      </c>
      <c r="J84" s="49">
        <f>'Avg Week Ibanda-Mbarara'!J84+'Avg Week Mbarara-Ibanda'!J84</f>
        <v>0.5</v>
      </c>
      <c r="K84" s="49">
        <f>'Avg Week Ibanda-Mbarara'!K84+'Avg Week Mbarara-Ibanda'!K84</f>
        <v>0.5</v>
      </c>
      <c r="L84" s="49">
        <f>'Avg Week Ibanda-Mbarara'!L84+'Avg Week Mbarara-Ibanda'!L84</f>
        <v>0</v>
      </c>
      <c r="M84" s="49">
        <f>'Avg Week Ibanda-Mbarara'!M84+'Avg Week Mbarara-Ibanda'!M84</f>
        <v>3.5</v>
      </c>
      <c r="N84" s="49">
        <f>'Avg Week Ibanda-Mbarara'!N84+'Avg Week Mbarara-Ibanda'!N84</f>
        <v>0</v>
      </c>
      <c r="O84" s="15">
        <f t="shared" si="35"/>
        <v>4</v>
      </c>
      <c r="P84" s="15">
        <f t="shared" si="36"/>
        <v>7.5</v>
      </c>
      <c r="R84" s="8"/>
      <c r="T84"/>
    </row>
    <row r="85" spans="2:20" ht="23.1" customHeight="1" x14ac:dyDescent="0.25">
      <c r="B85" s="23" t="s">
        <v>125</v>
      </c>
      <c r="C85" s="49">
        <f>'Avg Week Ibanda-Mbarara'!C85+'Avg Week Mbarara-Ibanda'!C85</f>
        <v>1</v>
      </c>
      <c r="D85" s="49">
        <f>'Avg Week Ibanda-Mbarara'!D85+'Avg Week Mbarara-Ibanda'!D85</f>
        <v>1</v>
      </c>
      <c r="E85" s="49">
        <f>'Avg Week Ibanda-Mbarara'!E85+'Avg Week Mbarara-Ibanda'!E85</f>
        <v>0</v>
      </c>
      <c r="F85" s="49">
        <f>'Avg Week Ibanda-Mbarara'!F85+'Avg Week Mbarara-Ibanda'!F85</f>
        <v>0.5</v>
      </c>
      <c r="G85" s="49">
        <f>'Avg Week Ibanda-Mbarara'!G85+'Avg Week Mbarara-Ibanda'!G85</f>
        <v>0</v>
      </c>
      <c r="H85" s="49">
        <f>'Avg Week Ibanda-Mbarara'!H85+'Avg Week Mbarara-Ibanda'!H85</f>
        <v>0</v>
      </c>
      <c r="I85" s="49">
        <f>'Avg Week Ibanda-Mbarara'!I85+'Avg Week Mbarara-Ibanda'!I85</f>
        <v>1.5</v>
      </c>
      <c r="J85" s="49">
        <f>'Avg Week Ibanda-Mbarara'!J85+'Avg Week Mbarara-Ibanda'!J85</f>
        <v>0.5</v>
      </c>
      <c r="K85" s="49">
        <f>'Avg Week Ibanda-Mbarara'!K85+'Avg Week Mbarara-Ibanda'!K85</f>
        <v>1</v>
      </c>
      <c r="L85" s="49">
        <f>'Avg Week Ibanda-Mbarara'!L85+'Avg Week Mbarara-Ibanda'!L85</f>
        <v>0</v>
      </c>
      <c r="M85" s="49">
        <f>'Avg Week Ibanda-Mbarara'!M85+'Avg Week Mbarara-Ibanda'!M85</f>
        <v>2</v>
      </c>
      <c r="N85" s="49">
        <f>'Avg Week Ibanda-Mbarara'!N85+'Avg Week Mbarara-Ibanda'!N85</f>
        <v>0</v>
      </c>
      <c r="O85" s="15">
        <f t="shared" si="35"/>
        <v>5.5</v>
      </c>
      <c r="P85" s="15">
        <f t="shared" si="36"/>
        <v>7.5</v>
      </c>
      <c r="R85" s="8"/>
      <c r="T85"/>
    </row>
    <row r="86" spans="2:20" ht="23.1" customHeight="1" x14ac:dyDescent="0.25">
      <c r="B86" s="24" t="s">
        <v>126</v>
      </c>
      <c r="C86" s="49">
        <f>'Avg Week Ibanda-Mbarara'!C86+'Avg Week Mbarara-Ibanda'!C86</f>
        <v>1</v>
      </c>
      <c r="D86" s="49">
        <f>'Avg Week Ibanda-Mbarara'!D86+'Avg Week Mbarara-Ibanda'!D86</f>
        <v>0</v>
      </c>
      <c r="E86" s="49">
        <f>'Avg Week Ibanda-Mbarara'!E86+'Avg Week Mbarara-Ibanda'!E86</f>
        <v>0</v>
      </c>
      <c r="F86" s="49">
        <f>'Avg Week Ibanda-Mbarara'!F86+'Avg Week Mbarara-Ibanda'!F86</f>
        <v>0</v>
      </c>
      <c r="G86" s="49">
        <f>'Avg Week Ibanda-Mbarara'!G86+'Avg Week Mbarara-Ibanda'!G86</f>
        <v>0</v>
      </c>
      <c r="H86" s="49">
        <f>'Avg Week Ibanda-Mbarara'!H86+'Avg Week Mbarara-Ibanda'!H86</f>
        <v>0</v>
      </c>
      <c r="I86" s="49">
        <f>'Avg Week Ibanda-Mbarara'!I86+'Avg Week Mbarara-Ibanda'!I86</f>
        <v>0</v>
      </c>
      <c r="J86" s="49">
        <f>'Avg Week Ibanda-Mbarara'!J86+'Avg Week Mbarara-Ibanda'!J86</f>
        <v>0.5</v>
      </c>
      <c r="K86" s="49">
        <f>'Avg Week Ibanda-Mbarara'!K86+'Avg Week Mbarara-Ibanda'!K86</f>
        <v>0</v>
      </c>
      <c r="L86" s="49">
        <f>'Avg Week Ibanda-Mbarara'!L86+'Avg Week Mbarara-Ibanda'!L86</f>
        <v>0</v>
      </c>
      <c r="M86" s="49">
        <f>'Avg Week Ibanda-Mbarara'!M86+'Avg Week Mbarara-Ibanda'!M86</f>
        <v>1.5</v>
      </c>
      <c r="N86" s="49">
        <f>'Avg Week Ibanda-Mbarara'!N86+'Avg Week Mbarara-Ibanda'!N86</f>
        <v>0</v>
      </c>
      <c r="O86" s="15">
        <f t="shared" si="35"/>
        <v>1.5</v>
      </c>
      <c r="P86" s="15">
        <f t="shared" si="36"/>
        <v>3</v>
      </c>
      <c r="R86" s="8"/>
      <c r="T86"/>
    </row>
    <row r="87" spans="2:20" ht="23.1" customHeight="1" x14ac:dyDescent="0.25">
      <c r="B87" s="23" t="s">
        <v>127</v>
      </c>
      <c r="C87" s="49">
        <f>'Avg Week Ibanda-Mbarara'!C87+'Avg Week Mbarara-Ibanda'!C87</f>
        <v>0.5</v>
      </c>
      <c r="D87" s="49">
        <f>'Avg Week Ibanda-Mbarara'!D87+'Avg Week Mbarara-Ibanda'!D87</f>
        <v>0</v>
      </c>
      <c r="E87" s="49">
        <f>'Avg Week Ibanda-Mbarara'!E87+'Avg Week Mbarara-Ibanda'!E87</f>
        <v>0.5</v>
      </c>
      <c r="F87" s="49">
        <f>'Avg Week Ibanda-Mbarara'!F87+'Avg Week Mbarara-Ibanda'!F87</f>
        <v>0.5</v>
      </c>
      <c r="G87" s="49">
        <f>'Avg Week Ibanda-Mbarara'!G87+'Avg Week Mbarara-Ibanda'!G87</f>
        <v>0</v>
      </c>
      <c r="H87" s="49">
        <f>'Avg Week Ibanda-Mbarara'!H87+'Avg Week Mbarara-Ibanda'!H87</f>
        <v>0</v>
      </c>
      <c r="I87" s="49">
        <f>'Avg Week Ibanda-Mbarara'!I87+'Avg Week Mbarara-Ibanda'!I87</f>
        <v>0.5</v>
      </c>
      <c r="J87" s="49">
        <f>'Avg Week Ibanda-Mbarara'!J87+'Avg Week Mbarara-Ibanda'!J87</f>
        <v>1</v>
      </c>
      <c r="K87" s="49">
        <f>'Avg Week Ibanda-Mbarara'!K87+'Avg Week Mbarara-Ibanda'!K87</f>
        <v>0.5</v>
      </c>
      <c r="L87" s="49">
        <f>'Avg Week Ibanda-Mbarara'!L87+'Avg Week Mbarara-Ibanda'!L87</f>
        <v>0</v>
      </c>
      <c r="M87" s="49">
        <f>'Avg Week Ibanda-Mbarara'!M87+'Avg Week Mbarara-Ibanda'!M87</f>
        <v>1.5</v>
      </c>
      <c r="N87" s="49">
        <f>'Avg Week Ibanda-Mbarara'!N87+'Avg Week Mbarara-Ibanda'!N87</f>
        <v>0</v>
      </c>
      <c r="O87" s="15">
        <f t="shared" si="35"/>
        <v>3.5</v>
      </c>
      <c r="P87" s="15">
        <f t="shared" si="36"/>
        <v>5</v>
      </c>
      <c r="R87" s="8"/>
      <c r="T87"/>
    </row>
    <row r="88" spans="2:20" ht="23.1" customHeight="1" x14ac:dyDescent="0.25">
      <c r="B88" s="25" t="s">
        <v>128</v>
      </c>
      <c r="C88" s="49">
        <f>'Avg Week Ibanda-Mbarara'!C88+'Avg Week Mbarara-Ibanda'!C88</f>
        <v>0.5</v>
      </c>
      <c r="D88" s="49">
        <f>'Avg Week Ibanda-Mbarara'!D88+'Avg Week Mbarara-Ibanda'!D88</f>
        <v>0</v>
      </c>
      <c r="E88" s="49">
        <f>'Avg Week Ibanda-Mbarara'!E88+'Avg Week Mbarara-Ibanda'!E88</f>
        <v>0</v>
      </c>
      <c r="F88" s="49">
        <f>'Avg Week Ibanda-Mbarara'!F88+'Avg Week Mbarara-Ibanda'!F88</f>
        <v>0</v>
      </c>
      <c r="G88" s="49">
        <f>'Avg Week Ibanda-Mbarara'!G88+'Avg Week Mbarara-Ibanda'!G88</f>
        <v>0</v>
      </c>
      <c r="H88" s="49">
        <f>'Avg Week Ibanda-Mbarara'!H88+'Avg Week Mbarara-Ibanda'!H88</f>
        <v>0</v>
      </c>
      <c r="I88" s="49">
        <f>'Avg Week Ibanda-Mbarara'!I88+'Avg Week Mbarara-Ibanda'!I88</f>
        <v>0.5</v>
      </c>
      <c r="J88" s="49">
        <f>'Avg Week Ibanda-Mbarara'!J88+'Avg Week Mbarara-Ibanda'!J88</f>
        <v>0</v>
      </c>
      <c r="K88" s="49">
        <f>'Avg Week Ibanda-Mbarara'!K88+'Avg Week Mbarara-Ibanda'!K88</f>
        <v>0.5</v>
      </c>
      <c r="L88" s="49">
        <f>'Avg Week Ibanda-Mbarara'!L88+'Avg Week Mbarara-Ibanda'!L88</f>
        <v>0</v>
      </c>
      <c r="M88" s="49">
        <f>'Avg Week Ibanda-Mbarara'!M88+'Avg Week Mbarara-Ibanda'!M88</f>
        <v>0</v>
      </c>
      <c r="N88" s="49">
        <f>'Avg Week Ibanda-Mbarara'!N88+'Avg Week Mbarara-Ibanda'!N88</f>
        <v>0</v>
      </c>
      <c r="O88" s="15">
        <f t="shared" si="35"/>
        <v>1.5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'Avg Week Ibanda-Mbarara'!C89+'Avg Week Mbarara-Ibanda'!C89</f>
        <v>0</v>
      </c>
      <c r="D89" s="49">
        <f>'Avg Week Ibanda-Mbarara'!D89+'Avg Week Mbarara-Ibanda'!D89</f>
        <v>0</v>
      </c>
      <c r="E89" s="49">
        <f>'Avg Week Ibanda-Mbarara'!E89+'Avg Week Mbarara-Ibanda'!E89</f>
        <v>0</v>
      </c>
      <c r="F89" s="49">
        <f>'Avg Week Ibanda-Mbarara'!F89+'Avg Week Mbarara-Ibanda'!F89</f>
        <v>0</v>
      </c>
      <c r="G89" s="49">
        <f>'Avg Week Ibanda-Mbarara'!G89+'Avg Week Mbarara-Ibanda'!G89</f>
        <v>0</v>
      </c>
      <c r="H89" s="49">
        <f>'Avg Week Ibanda-Mbarara'!H89+'Avg Week Mbarara-Ibanda'!H89</f>
        <v>0</v>
      </c>
      <c r="I89" s="49">
        <f>'Avg Week Ibanda-Mbarara'!I89+'Avg Week Mbarara-Ibanda'!I89</f>
        <v>0</v>
      </c>
      <c r="J89" s="49">
        <f>'Avg Week Ibanda-Mbarara'!J89+'Avg Week Mbarara-Ibanda'!J89</f>
        <v>0</v>
      </c>
      <c r="K89" s="49">
        <f>'Avg Week Ibanda-Mbarara'!K89+'Avg Week Mbarara-Ibanda'!K89</f>
        <v>0</v>
      </c>
      <c r="L89" s="49">
        <f>'Avg Week Ibanda-Mbarara'!L89+'Avg Week Mbarara-Ibanda'!L89</f>
        <v>0</v>
      </c>
      <c r="M89" s="49">
        <f>'Avg Week Ibanda-Mbarara'!M89+'Avg Week Mbarara-Ibanda'!M89</f>
        <v>0</v>
      </c>
      <c r="N89" s="49">
        <f>'Avg Week Ibanda-Mbarara'!N89+'Avg Week Mbarara-Ibanda'!N89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'Avg Week Ibanda-Mbarara'!C90+'Avg Week Mbarara-Ibanda'!C90</f>
        <v>0.5</v>
      </c>
      <c r="D90" s="49">
        <f>'Avg Week Ibanda-Mbarara'!D90+'Avg Week Mbarara-Ibanda'!D90</f>
        <v>0</v>
      </c>
      <c r="E90" s="49">
        <f>'Avg Week Ibanda-Mbarara'!E90+'Avg Week Mbarara-Ibanda'!E90</f>
        <v>0</v>
      </c>
      <c r="F90" s="49">
        <f>'Avg Week Ibanda-Mbarara'!F90+'Avg Week Mbarara-Ibanda'!F90</f>
        <v>1</v>
      </c>
      <c r="G90" s="49">
        <f>'Avg Week Ibanda-Mbarara'!G90+'Avg Week Mbarara-Ibanda'!G90</f>
        <v>0</v>
      </c>
      <c r="H90" s="49">
        <f>'Avg Week Ibanda-Mbarara'!H90+'Avg Week Mbarara-Ibanda'!H90</f>
        <v>0</v>
      </c>
      <c r="I90" s="49">
        <f>'Avg Week Ibanda-Mbarara'!I90+'Avg Week Mbarara-Ibanda'!I90</f>
        <v>1.5</v>
      </c>
      <c r="J90" s="49">
        <f>'Avg Week Ibanda-Mbarara'!J90+'Avg Week Mbarara-Ibanda'!J90</f>
        <v>1</v>
      </c>
      <c r="K90" s="49">
        <f>'Avg Week Ibanda-Mbarara'!K90+'Avg Week Mbarara-Ibanda'!K90</f>
        <v>1</v>
      </c>
      <c r="L90" s="49">
        <f>'Avg Week Ibanda-Mbarara'!L90+'Avg Week Mbarara-Ibanda'!L90</f>
        <v>0</v>
      </c>
      <c r="M90" s="49">
        <f>'Avg Week Ibanda-Mbarara'!M90+'Avg Week Mbarara-Ibanda'!M90</f>
        <v>1.5</v>
      </c>
      <c r="N90" s="49">
        <f>'Avg Week Ibanda-Mbarara'!N90+'Avg Week Mbarara-Ibanda'!N90</f>
        <v>0</v>
      </c>
      <c r="O90" s="15">
        <f t="shared" si="35"/>
        <v>5</v>
      </c>
      <c r="P90" s="15">
        <f t="shared" si="36"/>
        <v>6.5</v>
      </c>
      <c r="R90" s="8"/>
      <c r="T90"/>
    </row>
    <row r="91" spans="2:20" ht="23.1" customHeight="1" x14ac:dyDescent="0.25">
      <c r="B91" s="23" t="s">
        <v>131</v>
      </c>
      <c r="C91" s="49">
        <f>'Avg Week Ibanda-Mbarara'!C91+'Avg Week Mbarara-Ibanda'!C91</f>
        <v>1.5</v>
      </c>
      <c r="D91" s="49">
        <f>'Avg Week Ibanda-Mbarara'!D91+'Avg Week Mbarara-Ibanda'!D91</f>
        <v>0</v>
      </c>
      <c r="E91" s="49">
        <f>'Avg Week Ibanda-Mbarara'!E91+'Avg Week Mbarara-Ibanda'!E91</f>
        <v>1</v>
      </c>
      <c r="F91" s="49">
        <f>'Avg Week Ibanda-Mbarara'!F91+'Avg Week Mbarara-Ibanda'!F91</f>
        <v>1.5</v>
      </c>
      <c r="G91" s="49">
        <f>'Avg Week Ibanda-Mbarara'!G91+'Avg Week Mbarara-Ibanda'!G91</f>
        <v>0</v>
      </c>
      <c r="H91" s="49">
        <f>'Avg Week Ibanda-Mbarara'!H91+'Avg Week Mbarara-Ibanda'!H91</f>
        <v>0</v>
      </c>
      <c r="I91" s="49">
        <f>'Avg Week Ibanda-Mbarara'!I91+'Avg Week Mbarara-Ibanda'!I91</f>
        <v>0.5</v>
      </c>
      <c r="J91" s="49">
        <f>'Avg Week Ibanda-Mbarara'!J91+'Avg Week Mbarara-Ibanda'!J91</f>
        <v>0</v>
      </c>
      <c r="K91" s="49">
        <f>'Avg Week Ibanda-Mbarara'!K91+'Avg Week Mbarara-Ibanda'!K91</f>
        <v>0.5</v>
      </c>
      <c r="L91" s="49">
        <f>'Avg Week Ibanda-Mbarara'!L91+'Avg Week Mbarara-Ibanda'!L91</f>
        <v>0.5</v>
      </c>
      <c r="M91" s="49">
        <f>'Avg Week Ibanda-Mbarara'!M91+'Avg Week Mbarara-Ibanda'!M91</f>
        <v>0</v>
      </c>
      <c r="N91" s="49">
        <f>'Avg Week Ibanda-Mbarara'!N91+'Avg Week Mbarara-Ibanda'!N91</f>
        <v>0</v>
      </c>
      <c r="O91" s="15">
        <f t="shared" si="35"/>
        <v>5.5</v>
      </c>
      <c r="P91" s="15">
        <f t="shared" si="36"/>
        <v>5.5</v>
      </c>
      <c r="R91" s="8"/>
      <c r="T91"/>
    </row>
    <row r="92" spans="2:20" ht="23.1" customHeight="1" x14ac:dyDescent="0.25">
      <c r="B92" s="25" t="s">
        <v>132</v>
      </c>
      <c r="C92" s="49">
        <f>'Avg Week Ibanda-Mbarara'!C92+'Avg Week Mbarara-Ibanda'!C92</f>
        <v>0</v>
      </c>
      <c r="D92" s="49">
        <f>'Avg Week Ibanda-Mbarara'!D92+'Avg Week Mbarara-Ibanda'!D92</f>
        <v>0</v>
      </c>
      <c r="E92" s="49">
        <f>'Avg Week Ibanda-Mbarara'!E92+'Avg Week Mbarara-Ibanda'!E92</f>
        <v>1</v>
      </c>
      <c r="F92" s="49">
        <f>'Avg Week Ibanda-Mbarara'!F92+'Avg Week Mbarara-Ibanda'!F92</f>
        <v>1.5</v>
      </c>
      <c r="G92" s="49">
        <f>'Avg Week Ibanda-Mbarara'!G92+'Avg Week Mbarara-Ibanda'!G92</f>
        <v>0</v>
      </c>
      <c r="H92" s="49">
        <f>'Avg Week Ibanda-Mbarara'!H92+'Avg Week Mbarara-Ibanda'!H92</f>
        <v>0</v>
      </c>
      <c r="I92" s="49">
        <f>'Avg Week Ibanda-Mbarara'!I92+'Avg Week Mbarara-Ibanda'!I92</f>
        <v>0</v>
      </c>
      <c r="J92" s="49">
        <f>'Avg Week Ibanda-Mbarara'!J92+'Avg Week Mbarara-Ibanda'!J92</f>
        <v>0</v>
      </c>
      <c r="K92" s="49">
        <f>'Avg Week Ibanda-Mbarara'!K92+'Avg Week Mbarara-Ibanda'!K92</f>
        <v>0</v>
      </c>
      <c r="L92" s="49">
        <f>'Avg Week Ibanda-Mbarara'!L92+'Avg Week Mbarara-Ibanda'!L92</f>
        <v>0</v>
      </c>
      <c r="M92" s="49">
        <f>'Avg Week Ibanda-Mbarara'!M92+'Avg Week Mbarara-Ibanda'!M92</f>
        <v>0.5</v>
      </c>
      <c r="N92" s="49">
        <f>'Avg Week Ibanda-Mbarara'!N92+'Avg Week Mbarara-Ibanda'!N92</f>
        <v>0</v>
      </c>
      <c r="O92" s="15">
        <f t="shared" si="35"/>
        <v>2.5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'Avg Week Ibanda-Mbarara'!C93+'Avg Week Mbarara-Ibanda'!C93</f>
        <v>1</v>
      </c>
      <c r="D93" s="49">
        <f>'Avg Week Ibanda-Mbarara'!D93+'Avg Week Mbarara-Ibanda'!D93</f>
        <v>0</v>
      </c>
      <c r="E93" s="49">
        <f>'Avg Week Ibanda-Mbarara'!E93+'Avg Week Mbarara-Ibanda'!E93</f>
        <v>0.5</v>
      </c>
      <c r="F93" s="49">
        <f>'Avg Week Ibanda-Mbarara'!F93+'Avg Week Mbarara-Ibanda'!F93</f>
        <v>1</v>
      </c>
      <c r="G93" s="49">
        <f>'Avg Week Ibanda-Mbarara'!G93+'Avg Week Mbarara-Ibanda'!G93</f>
        <v>0</v>
      </c>
      <c r="H93" s="49">
        <f>'Avg Week Ibanda-Mbarara'!H93+'Avg Week Mbarara-Ibanda'!H93</f>
        <v>0</v>
      </c>
      <c r="I93" s="49">
        <f>'Avg Week Ibanda-Mbarara'!I93+'Avg Week Mbarara-Ibanda'!I93</f>
        <v>0.5</v>
      </c>
      <c r="J93" s="49">
        <f>'Avg Week Ibanda-Mbarara'!J93+'Avg Week Mbarara-Ibanda'!J93</f>
        <v>0.5</v>
      </c>
      <c r="K93" s="49">
        <f>'Avg Week Ibanda-Mbarara'!K93+'Avg Week Mbarara-Ibanda'!K93</f>
        <v>0</v>
      </c>
      <c r="L93" s="49">
        <f>'Avg Week Ibanda-Mbarara'!L93+'Avg Week Mbarara-Ibanda'!L93</f>
        <v>0</v>
      </c>
      <c r="M93" s="49">
        <f>'Avg Week Ibanda-Mbarara'!M93+'Avg Week Mbarara-Ibanda'!M93</f>
        <v>5</v>
      </c>
      <c r="N93" s="49">
        <f>'Avg Week Ibanda-Mbarara'!N93+'Avg Week Mbarara-Ibanda'!N93</f>
        <v>0</v>
      </c>
      <c r="O93" s="15">
        <f t="shared" si="35"/>
        <v>3.5</v>
      </c>
      <c r="P93" s="15">
        <f t="shared" si="36"/>
        <v>8.5</v>
      </c>
      <c r="R93" s="8"/>
      <c r="T93"/>
    </row>
    <row r="94" spans="2:20" ht="23.1" customHeight="1" x14ac:dyDescent="0.25">
      <c r="B94" s="24" t="s">
        <v>134</v>
      </c>
      <c r="C94" s="49">
        <f>'Avg Week Ibanda-Mbarara'!C94+'Avg Week Mbarara-Ibanda'!C94</f>
        <v>0.5</v>
      </c>
      <c r="D94" s="49">
        <f>'Avg Week Ibanda-Mbarara'!D94+'Avg Week Mbarara-Ibanda'!D94</f>
        <v>0</v>
      </c>
      <c r="E94" s="49">
        <f>'Avg Week Ibanda-Mbarara'!E94+'Avg Week Mbarara-Ibanda'!E94</f>
        <v>0</v>
      </c>
      <c r="F94" s="49">
        <f>'Avg Week Ibanda-Mbarara'!F94+'Avg Week Mbarara-Ibanda'!F94</f>
        <v>0.5</v>
      </c>
      <c r="G94" s="49">
        <f>'Avg Week Ibanda-Mbarara'!G94+'Avg Week Mbarara-Ibanda'!G94</f>
        <v>0</v>
      </c>
      <c r="H94" s="49">
        <f>'Avg Week Ibanda-Mbarara'!H94+'Avg Week Mbarara-Ibanda'!H94</f>
        <v>0</v>
      </c>
      <c r="I94" s="49">
        <f>'Avg Week Ibanda-Mbarara'!I94+'Avg Week Mbarara-Ibanda'!I94</f>
        <v>0</v>
      </c>
      <c r="J94" s="49">
        <f>'Avg Week Ibanda-Mbarara'!J94+'Avg Week Mbarara-Ibanda'!J94</f>
        <v>1</v>
      </c>
      <c r="K94" s="49">
        <f>'Avg Week Ibanda-Mbarara'!K94+'Avg Week Mbarara-Ibanda'!K94</f>
        <v>0</v>
      </c>
      <c r="L94" s="49">
        <f>'Avg Week Ibanda-Mbarara'!L94+'Avg Week Mbarara-Ibanda'!L94</f>
        <v>0</v>
      </c>
      <c r="M94" s="49">
        <f>'Avg Week Ibanda-Mbarara'!M94+'Avg Week Mbarara-Ibanda'!M94</f>
        <v>1.5</v>
      </c>
      <c r="N94" s="49">
        <f>'Avg Week Ibanda-Mbarara'!N94+'Avg Week Mbarara-Ibanda'!N94</f>
        <v>0</v>
      </c>
      <c r="O94" s="15">
        <f t="shared" si="35"/>
        <v>2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'Avg Week Ibanda-Mbarara'!C95+'Avg Week Mbarara-Ibanda'!C95</f>
        <v>0.5</v>
      </c>
      <c r="D95" s="49">
        <f>'Avg Week Ibanda-Mbarara'!D95+'Avg Week Mbarara-Ibanda'!D95</f>
        <v>1</v>
      </c>
      <c r="E95" s="49">
        <f>'Avg Week Ibanda-Mbarara'!E95+'Avg Week Mbarara-Ibanda'!E95</f>
        <v>0</v>
      </c>
      <c r="F95" s="49">
        <f>'Avg Week Ibanda-Mbarara'!F95+'Avg Week Mbarara-Ibanda'!F95</f>
        <v>0</v>
      </c>
      <c r="G95" s="49">
        <f>'Avg Week Ibanda-Mbarara'!G95+'Avg Week Mbarara-Ibanda'!G95</f>
        <v>0</v>
      </c>
      <c r="H95" s="49">
        <f>'Avg Week Ibanda-Mbarara'!H95+'Avg Week Mbarara-Ibanda'!H95</f>
        <v>0</v>
      </c>
      <c r="I95" s="49">
        <f>'Avg Week Ibanda-Mbarara'!I95+'Avg Week Mbarara-Ibanda'!I95</f>
        <v>0</v>
      </c>
      <c r="J95" s="49">
        <f>'Avg Week Ibanda-Mbarara'!J95+'Avg Week Mbarara-Ibanda'!J95</f>
        <v>0</v>
      </c>
      <c r="K95" s="49">
        <f>'Avg Week Ibanda-Mbarara'!K95+'Avg Week Mbarara-Ibanda'!K95</f>
        <v>0.5</v>
      </c>
      <c r="L95" s="49">
        <f>'Avg Week Ibanda-Mbarara'!L95+'Avg Week Mbarara-Ibanda'!L95</f>
        <v>0</v>
      </c>
      <c r="M95" s="49">
        <f>'Avg Week Ibanda-Mbarara'!M95+'Avg Week Mbarara-Ibanda'!M95</f>
        <v>0</v>
      </c>
      <c r="N95" s="49">
        <f>'Avg Week Ibanda-Mbarara'!N95+'Avg Week Mbarara-Ibanda'!N95</f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'Avg Week Ibanda-Mbarara'!C96+'Avg Week Mbarara-Ibanda'!C96</f>
        <v>0.5</v>
      </c>
      <c r="D96" s="49">
        <f>'Avg Week Ibanda-Mbarara'!D96+'Avg Week Mbarara-Ibanda'!D96</f>
        <v>0</v>
      </c>
      <c r="E96" s="49">
        <f>'Avg Week Ibanda-Mbarara'!E96+'Avg Week Mbarara-Ibanda'!E96</f>
        <v>1</v>
      </c>
      <c r="F96" s="49">
        <f>'Avg Week Ibanda-Mbarara'!F96+'Avg Week Mbarara-Ibanda'!F96</f>
        <v>0.5</v>
      </c>
      <c r="G96" s="49">
        <f>'Avg Week Ibanda-Mbarara'!G96+'Avg Week Mbarara-Ibanda'!G96</f>
        <v>0</v>
      </c>
      <c r="H96" s="49">
        <f>'Avg Week Ibanda-Mbarara'!H96+'Avg Week Mbarara-Ibanda'!H96</f>
        <v>0</v>
      </c>
      <c r="I96" s="49">
        <f>'Avg Week Ibanda-Mbarara'!I96+'Avg Week Mbarara-Ibanda'!I96</f>
        <v>0</v>
      </c>
      <c r="J96" s="49">
        <f>'Avg Week Ibanda-Mbarara'!J96+'Avg Week Mbarara-Ibanda'!J96</f>
        <v>0</v>
      </c>
      <c r="K96" s="49">
        <f>'Avg Week Ibanda-Mbarara'!K96+'Avg Week Mbarara-Ibanda'!K96</f>
        <v>1</v>
      </c>
      <c r="L96" s="49">
        <f>'Avg Week Ibanda-Mbarara'!L96+'Avg Week Mbarara-Ibanda'!L96</f>
        <v>0</v>
      </c>
      <c r="M96" s="49">
        <f>'Avg Week Ibanda-Mbarara'!M96+'Avg Week Mbarara-Ibanda'!M96</f>
        <v>0.5</v>
      </c>
      <c r="N96" s="49">
        <f>'Avg Week Ibanda-Mbarara'!N96+'Avg Week Mbarara-Ibanda'!N96</f>
        <v>0</v>
      </c>
      <c r="O96" s="15">
        <f t="shared" si="35"/>
        <v>3</v>
      </c>
      <c r="P96" s="15">
        <f t="shared" si="36"/>
        <v>3.5</v>
      </c>
      <c r="R96" s="8"/>
      <c r="T96"/>
    </row>
    <row r="97" spans="2:20" ht="23.1" customHeight="1" x14ac:dyDescent="0.25">
      <c r="B97" s="23" t="s">
        <v>137</v>
      </c>
      <c r="C97" s="49">
        <f>'Avg Week Ibanda-Mbarara'!C97+'Avg Week Mbarara-Ibanda'!C97</f>
        <v>0.5</v>
      </c>
      <c r="D97" s="49">
        <f>'Avg Week Ibanda-Mbarara'!D97+'Avg Week Mbarara-Ibanda'!D97</f>
        <v>0</v>
      </c>
      <c r="E97" s="49">
        <f>'Avg Week Ibanda-Mbarara'!E97+'Avg Week Mbarara-Ibanda'!E97</f>
        <v>0</v>
      </c>
      <c r="F97" s="49">
        <f>'Avg Week Ibanda-Mbarara'!F97+'Avg Week Mbarara-Ibanda'!F97</f>
        <v>0.5</v>
      </c>
      <c r="G97" s="49">
        <f>'Avg Week Ibanda-Mbarara'!G97+'Avg Week Mbarara-Ibanda'!G97</f>
        <v>0</v>
      </c>
      <c r="H97" s="49">
        <f>'Avg Week Ibanda-Mbarara'!H97+'Avg Week Mbarara-Ibanda'!H97</f>
        <v>0</v>
      </c>
      <c r="I97" s="49">
        <f>'Avg Week Ibanda-Mbarara'!I97+'Avg Week Mbarara-Ibanda'!I97</f>
        <v>1</v>
      </c>
      <c r="J97" s="49">
        <f>'Avg Week Ibanda-Mbarara'!J97+'Avg Week Mbarara-Ibanda'!J97</f>
        <v>0.5</v>
      </c>
      <c r="K97" s="49">
        <f>'Avg Week Ibanda-Mbarara'!K97+'Avg Week Mbarara-Ibanda'!K97</f>
        <v>0</v>
      </c>
      <c r="L97" s="49">
        <f>'Avg Week Ibanda-Mbarara'!L97+'Avg Week Mbarara-Ibanda'!L97</f>
        <v>0</v>
      </c>
      <c r="M97" s="49">
        <f>'Avg Week Ibanda-Mbarara'!M97+'Avg Week Mbarara-Ibanda'!M97</f>
        <v>1</v>
      </c>
      <c r="N97" s="49">
        <f>'Avg Week Ibanda-Mbarara'!N97+'Avg Week Mbarara-Ibanda'!N97</f>
        <v>0</v>
      </c>
      <c r="O97" s="15">
        <f t="shared" si="35"/>
        <v>2.5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'Avg Week Ibanda-Mbarara'!C98+'Avg Week Mbarara-Ibanda'!C98</f>
        <v>0</v>
      </c>
      <c r="D98" s="49">
        <f>'Avg Week Ibanda-Mbarara'!D98+'Avg Week Mbarara-Ibanda'!D98</f>
        <v>0</v>
      </c>
      <c r="E98" s="49">
        <f>'Avg Week Ibanda-Mbarara'!E98+'Avg Week Mbarara-Ibanda'!E98</f>
        <v>0</v>
      </c>
      <c r="F98" s="49">
        <f>'Avg Week Ibanda-Mbarara'!F98+'Avg Week Mbarara-Ibanda'!F98</f>
        <v>0.5</v>
      </c>
      <c r="G98" s="49">
        <f>'Avg Week Ibanda-Mbarara'!G98+'Avg Week Mbarara-Ibanda'!G98</f>
        <v>0</v>
      </c>
      <c r="H98" s="49">
        <f>'Avg Week Ibanda-Mbarara'!H98+'Avg Week Mbarara-Ibanda'!H98</f>
        <v>0</v>
      </c>
      <c r="I98" s="49">
        <f>'Avg Week Ibanda-Mbarara'!I98+'Avg Week Mbarara-Ibanda'!I98</f>
        <v>0.5</v>
      </c>
      <c r="J98" s="49">
        <f>'Avg Week Ibanda-Mbarara'!J98+'Avg Week Mbarara-Ibanda'!J98</f>
        <v>1</v>
      </c>
      <c r="K98" s="49">
        <f>'Avg Week Ibanda-Mbarara'!K98+'Avg Week Mbarara-Ibanda'!K98</f>
        <v>1</v>
      </c>
      <c r="L98" s="49">
        <f>'Avg Week Ibanda-Mbarara'!L98+'Avg Week Mbarara-Ibanda'!L98</f>
        <v>0.5</v>
      </c>
      <c r="M98" s="49">
        <f>'Avg Week Ibanda-Mbarara'!M98+'Avg Week Mbarara-Ibanda'!M98</f>
        <v>2.5</v>
      </c>
      <c r="N98" s="49">
        <f>'Avg Week Ibanda-Mbarara'!N98+'Avg Week Mbarara-Ibanda'!N98</f>
        <v>0</v>
      </c>
      <c r="O98" s="15">
        <f t="shared" si="35"/>
        <v>3.5</v>
      </c>
      <c r="P98" s="15">
        <f t="shared" si="36"/>
        <v>6</v>
      </c>
      <c r="R98" s="8"/>
      <c r="T98"/>
    </row>
    <row r="99" spans="2:20" ht="23.1" customHeight="1" x14ac:dyDescent="0.25">
      <c r="B99" s="23" t="s">
        <v>139</v>
      </c>
      <c r="C99" s="49">
        <f>'Avg Week Ibanda-Mbarara'!C99+'Avg Week Mbarara-Ibanda'!C99</f>
        <v>0.5</v>
      </c>
      <c r="D99" s="49">
        <f>'Avg Week Ibanda-Mbarara'!D99+'Avg Week Mbarara-Ibanda'!D99</f>
        <v>1.5</v>
      </c>
      <c r="E99" s="49">
        <f>'Avg Week Ibanda-Mbarara'!E99+'Avg Week Mbarara-Ibanda'!E99</f>
        <v>1.5</v>
      </c>
      <c r="F99" s="49">
        <f>'Avg Week Ibanda-Mbarara'!F99+'Avg Week Mbarara-Ibanda'!F99</f>
        <v>0</v>
      </c>
      <c r="G99" s="49">
        <f>'Avg Week Ibanda-Mbarara'!G99+'Avg Week Mbarara-Ibanda'!G99</f>
        <v>0</v>
      </c>
      <c r="H99" s="49">
        <f>'Avg Week Ibanda-Mbarara'!H99+'Avg Week Mbarara-Ibanda'!H99</f>
        <v>0</v>
      </c>
      <c r="I99" s="49">
        <f>'Avg Week Ibanda-Mbarara'!I99+'Avg Week Mbarara-Ibanda'!I99</f>
        <v>0</v>
      </c>
      <c r="J99" s="49">
        <f>'Avg Week Ibanda-Mbarara'!J99+'Avg Week Mbarara-Ibanda'!J99</f>
        <v>1</v>
      </c>
      <c r="K99" s="49">
        <f>'Avg Week Ibanda-Mbarara'!K99+'Avg Week Mbarara-Ibanda'!K99</f>
        <v>0</v>
      </c>
      <c r="L99" s="49">
        <f>'Avg Week Ibanda-Mbarara'!L99+'Avg Week Mbarara-Ibanda'!L99</f>
        <v>0</v>
      </c>
      <c r="M99" s="49">
        <f>'Avg Week Ibanda-Mbarara'!M99+'Avg Week Mbarara-Ibanda'!M99</f>
        <v>1</v>
      </c>
      <c r="N99" s="49">
        <f>'Avg Week Ibanda-Mbarara'!N99+'Avg Week Mbarara-Ibanda'!N99</f>
        <v>0</v>
      </c>
      <c r="O99" s="15">
        <f t="shared" si="35"/>
        <v>4.5</v>
      </c>
      <c r="P99" s="15">
        <f t="shared" si="36"/>
        <v>5.5</v>
      </c>
      <c r="R99" s="8"/>
      <c r="T99"/>
    </row>
    <row r="100" spans="2:20" ht="23.1" customHeight="1" x14ac:dyDescent="0.25">
      <c r="B100" s="25" t="s">
        <v>140</v>
      </c>
      <c r="C100" s="49">
        <f>'Avg Week Ibanda-Mbarara'!C100+'Avg Week Mbarara-Ibanda'!C100</f>
        <v>2</v>
      </c>
      <c r="D100" s="49">
        <f>'Avg Week Ibanda-Mbarara'!D100+'Avg Week Mbarara-Ibanda'!D100</f>
        <v>0</v>
      </c>
      <c r="E100" s="49">
        <f>'Avg Week Ibanda-Mbarara'!E100+'Avg Week Mbarara-Ibanda'!E100</f>
        <v>0</v>
      </c>
      <c r="F100" s="49">
        <f>'Avg Week Ibanda-Mbarara'!F100+'Avg Week Mbarara-Ibanda'!F100</f>
        <v>0</v>
      </c>
      <c r="G100" s="49">
        <f>'Avg Week Ibanda-Mbarara'!G100+'Avg Week Mbarara-Ibanda'!G100</f>
        <v>0</v>
      </c>
      <c r="H100" s="49">
        <f>'Avg Week Ibanda-Mbarara'!H100+'Avg Week Mbarara-Ibanda'!H100</f>
        <v>0</v>
      </c>
      <c r="I100" s="49">
        <f>'Avg Week Ibanda-Mbarara'!I100+'Avg Week Mbarara-Ibanda'!I100</f>
        <v>0</v>
      </c>
      <c r="J100" s="49">
        <f>'Avg Week Ibanda-Mbarara'!J100+'Avg Week Mbarara-Ibanda'!J100</f>
        <v>0</v>
      </c>
      <c r="K100" s="49">
        <f>'Avg Week Ibanda-Mbarara'!K100+'Avg Week Mbarara-Ibanda'!K100</f>
        <v>1</v>
      </c>
      <c r="L100" s="49">
        <f>'Avg Week Ibanda-Mbarara'!L100+'Avg Week Mbarara-Ibanda'!L100</f>
        <v>0</v>
      </c>
      <c r="M100" s="49">
        <f>'Avg Week Ibanda-Mbarara'!M100+'Avg Week Mbarara-Ibanda'!M100</f>
        <v>1</v>
      </c>
      <c r="N100" s="49">
        <f>'Avg Week Ibanda-Mbarara'!N100+'Avg Week Mbarara-Ibanda'!N100</f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23" t="s">
        <v>141</v>
      </c>
      <c r="C101" s="49">
        <f>'Avg Week Ibanda-Mbarara'!C101+'Avg Week Mbarara-Ibanda'!C101</f>
        <v>0.5</v>
      </c>
      <c r="D101" s="49">
        <f>'Avg Week Ibanda-Mbarara'!D101+'Avg Week Mbarara-Ibanda'!D101</f>
        <v>1</v>
      </c>
      <c r="E101" s="49">
        <f>'Avg Week Ibanda-Mbarara'!E101+'Avg Week Mbarara-Ibanda'!E101</f>
        <v>1.5</v>
      </c>
      <c r="F101" s="49">
        <f>'Avg Week Ibanda-Mbarara'!F101+'Avg Week Mbarara-Ibanda'!F101</f>
        <v>0.5</v>
      </c>
      <c r="G101" s="49">
        <f>'Avg Week Ibanda-Mbarara'!G101+'Avg Week Mbarara-Ibanda'!G101</f>
        <v>0</v>
      </c>
      <c r="H101" s="49">
        <f>'Avg Week Ibanda-Mbarara'!H101+'Avg Week Mbarara-Ibanda'!H101</f>
        <v>0</v>
      </c>
      <c r="I101" s="49">
        <f>'Avg Week Ibanda-Mbarara'!I101+'Avg Week Mbarara-Ibanda'!I101</f>
        <v>0.5</v>
      </c>
      <c r="J101" s="49">
        <f>'Avg Week Ibanda-Mbarara'!J101+'Avg Week Mbarara-Ibanda'!J101</f>
        <v>0.5</v>
      </c>
      <c r="K101" s="49">
        <f>'Avg Week Ibanda-Mbarara'!K101+'Avg Week Mbarara-Ibanda'!K101</f>
        <v>0</v>
      </c>
      <c r="L101" s="49">
        <f>'Avg Week Ibanda-Mbarara'!L101+'Avg Week Mbarara-Ibanda'!L101</f>
        <v>0.5</v>
      </c>
      <c r="M101" s="49">
        <f>'Avg Week Ibanda-Mbarara'!M101+'Avg Week Mbarara-Ibanda'!M101</f>
        <v>3</v>
      </c>
      <c r="N101" s="49">
        <f>'Avg Week Ibanda-Mbarara'!N101+'Avg Week Mbarara-Ibanda'!N101</f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'Avg Week Ibanda-Mbarara'!C102+'Avg Week Mbarara-Ibanda'!C102</f>
        <v>3.5</v>
      </c>
      <c r="D102" s="49">
        <f>'Avg Week Ibanda-Mbarara'!D102+'Avg Week Mbarara-Ibanda'!D102</f>
        <v>0.5</v>
      </c>
      <c r="E102" s="49">
        <f>'Avg Week Ibanda-Mbarara'!E102+'Avg Week Mbarara-Ibanda'!E102</f>
        <v>0.5</v>
      </c>
      <c r="F102" s="49">
        <f>'Avg Week Ibanda-Mbarara'!F102+'Avg Week Mbarara-Ibanda'!F102</f>
        <v>0.5</v>
      </c>
      <c r="G102" s="49">
        <f>'Avg Week Ibanda-Mbarara'!G102+'Avg Week Mbarara-Ibanda'!G102</f>
        <v>0</v>
      </c>
      <c r="H102" s="49">
        <f>'Avg Week Ibanda-Mbarara'!H102+'Avg Week Mbarara-Ibanda'!H102</f>
        <v>0</v>
      </c>
      <c r="I102" s="49">
        <f>'Avg Week Ibanda-Mbarara'!I102+'Avg Week Mbarara-Ibanda'!I102</f>
        <v>1</v>
      </c>
      <c r="J102" s="49">
        <f>'Avg Week Ibanda-Mbarara'!J102+'Avg Week Mbarara-Ibanda'!J102</f>
        <v>0.5</v>
      </c>
      <c r="K102" s="49">
        <f>'Avg Week Ibanda-Mbarara'!K102+'Avg Week Mbarara-Ibanda'!K102</f>
        <v>1</v>
      </c>
      <c r="L102" s="49">
        <f>'Avg Week Ibanda-Mbarara'!L102+'Avg Week Mbarara-Ibanda'!L102</f>
        <v>0</v>
      </c>
      <c r="M102" s="49">
        <f>'Avg Week Ibanda-Mbarara'!M102+'Avg Week Mbarara-Ibanda'!M102</f>
        <v>2</v>
      </c>
      <c r="N102" s="49">
        <f>'Avg Week Ibanda-Mbarara'!N102+'Avg Week Mbarara-Ibanda'!N102</f>
        <v>0</v>
      </c>
      <c r="O102" s="15">
        <f t="shared" si="35"/>
        <v>7.5</v>
      </c>
      <c r="P102" s="15">
        <f t="shared" si="36"/>
        <v>9.5</v>
      </c>
      <c r="R102" s="8"/>
      <c r="T102"/>
    </row>
    <row r="103" spans="2:20" ht="23.1" customHeight="1" x14ac:dyDescent="0.25">
      <c r="B103" s="23" t="s">
        <v>143</v>
      </c>
      <c r="C103" s="49">
        <f>'Avg Week Ibanda-Mbarara'!C103+'Avg Week Mbarara-Ibanda'!C103</f>
        <v>4.5</v>
      </c>
      <c r="D103" s="49">
        <f>'Avg Week Ibanda-Mbarara'!D103+'Avg Week Mbarara-Ibanda'!D103</f>
        <v>1</v>
      </c>
      <c r="E103" s="49">
        <f>'Avg Week Ibanda-Mbarara'!E103+'Avg Week Mbarara-Ibanda'!E103</f>
        <v>1</v>
      </c>
      <c r="F103" s="49">
        <f>'Avg Week Ibanda-Mbarara'!F103+'Avg Week Mbarara-Ibanda'!F103</f>
        <v>0</v>
      </c>
      <c r="G103" s="49">
        <f>'Avg Week Ibanda-Mbarara'!G103+'Avg Week Mbarara-Ibanda'!G103</f>
        <v>0</v>
      </c>
      <c r="H103" s="49">
        <f>'Avg Week Ibanda-Mbarara'!H103+'Avg Week Mbarara-Ibanda'!H103</f>
        <v>0</v>
      </c>
      <c r="I103" s="49">
        <f>'Avg Week Ibanda-Mbarara'!I103+'Avg Week Mbarara-Ibanda'!I103</f>
        <v>1</v>
      </c>
      <c r="J103" s="49">
        <f>'Avg Week Ibanda-Mbarara'!J103+'Avg Week Mbarara-Ibanda'!J103</f>
        <v>0</v>
      </c>
      <c r="K103" s="49">
        <f>'Avg Week Ibanda-Mbarara'!K103+'Avg Week Mbarara-Ibanda'!K103</f>
        <v>0</v>
      </c>
      <c r="L103" s="49">
        <f>'Avg Week Ibanda-Mbarara'!L103+'Avg Week Mbarara-Ibanda'!L103</f>
        <v>0</v>
      </c>
      <c r="M103" s="49">
        <f>'Avg Week Ibanda-Mbarara'!M103+'Avg Week Mbarara-Ibanda'!M103</f>
        <v>4</v>
      </c>
      <c r="N103" s="49">
        <f>'Avg Week Ibanda-Mbarara'!N103+'Avg Week Mbarara-Ibanda'!N103</f>
        <v>0</v>
      </c>
      <c r="O103" s="15">
        <f t="shared" si="35"/>
        <v>7.5</v>
      </c>
      <c r="P103" s="15">
        <f t="shared" si="36"/>
        <v>11.5</v>
      </c>
      <c r="R103" s="8"/>
      <c r="T103"/>
    </row>
    <row r="104" spans="2:20" ht="23.1" customHeight="1" x14ac:dyDescent="0.25">
      <c r="B104" s="25" t="s">
        <v>144</v>
      </c>
      <c r="C104" s="49">
        <f>'Avg Week Ibanda-Mbarara'!C104+'Avg Week Mbarara-Ibanda'!C104</f>
        <v>2.5</v>
      </c>
      <c r="D104" s="49">
        <f>'Avg Week Ibanda-Mbarara'!D104+'Avg Week Mbarara-Ibanda'!D104</f>
        <v>0.5</v>
      </c>
      <c r="E104" s="49">
        <f>'Avg Week Ibanda-Mbarara'!E104+'Avg Week Mbarara-Ibanda'!E104</f>
        <v>0</v>
      </c>
      <c r="F104" s="49">
        <f>'Avg Week Ibanda-Mbarara'!F104+'Avg Week Mbarara-Ibanda'!F104</f>
        <v>0</v>
      </c>
      <c r="G104" s="49">
        <f>'Avg Week Ibanda-Mbarara'!G104+'Avg Week Mbarara-Ibanda'!G104</f>
        <v>0</v>
      </c>
      <c r="H104" s="49">
        <f>'Avg Week Ibanda-Mbarara'!H104+'Avg Week Mbarara-Ibanda'!H104</f>
        <v>0</v>
      </c>
      <c r="I104" s="49">
        <f>'Avg Week Ibanda-Mbarara'!I104+'Avg Week Mbarara-Ibanda'!I104</f>
        <v>2</v>
      </c>
      <c r="J104" s="49">
        <f>'Avg Week Ibanda-Mbarara'!J104+'Avg Week Mbarara-Ibanda'!J104</f>
        <v>0</v>
      </c>
      <c r="K104" s="49">
        <f>'Avg Week Ibanda-Mbarara'!K104+'Avg Week Mbarara-Ibanda'!K104</f>
        <v>0.5</v>
      </c>
      <c r="L104" s="49">
        <f>'Avg Week Ibanda-Mbarara'!L104+'Avg Week Mbarara-Ibanda'!L104</f>
        <v>0</v>
      </c>
      <c r="M104" s="49">
        <f>'Avg Week Ibanda-Mbarara'!M104+'Avg Week Mbarara-Ibanda'!M104</f>
        <v>4</v>
      </c>
      <c r="N104" s="49">
        <f>'Avg Week Ibanda-Mbarara'!N104+'Avg Week Mbarara-Ibanda'!N104</f>
        <v>0</v>
      </c>
      <c r="O104" s="15">
        <f t="shared" si="35"/>
        <v>5.5</v>
      </c>
      <c r="P104" s="15">
        <f t="shared" si="36"/>
        <v>9.5</v>
      </c>
      <c r="R104" s="8"/>
      <c r="T104"/>
    </row>
    <row r="105" spans="2:20" ht="23.1" customHeight="1" x14ac:dyDescent="0.25">
      <c r="B105" s="23" t="s">
        <v>145</v>
      </c>
      <c r="C105" s="49">
        <f>'Avg Week Ibanda-Mbarara'!C105+'Avg Week Mbarara-Ibanda'!C105</f>
        <v>4.5</v>
      </c>
      <c r="D105" s="49">
        <f>'Avg Week Ibanda-Mbarara'!D105+'Avg Week Mbarara-Ibanda'!D105</f>
        <v>1</v>
      </c>
      <c r="E105" s="49">
        <f>'Avg Week Ibanda-Mbarara'!E105+'Avg Week Mbarara-Ibanda'!E105</f>
        <v>0.5</v>
      </c>
      <c r="F105" s="49">
        <f>'Avg Week Ibanda-Mbarara'!F105+'Avg Week Mbarara-Ibanda'!F105</f>
        <v>1</v>
      </c>
      <c r="G105" s="49">
        <f>'Avg Week Ibanda-Mbarara'!G105+'Avg Week Mbarara-Ibanda'!G105</f>
        <v>0</v>
      </c>
      <c r="H105" s="49">
        <f>'Avg Week Ibanda-Mbarara'!H105+'Avg Week Mbarara-Ibanda'!H105</f>
        <v>0</v>
      </c>
      <c r="I105" s="49">
        <f>'Avg Week Ibanda-Mbarara'!I105+'Avg Week Mbarara-Ibanda'!I105</f>
        <v>1.5</v>
      </c>
      <c r="J105" s="49">
        <f>'Avg Week Ibanda-Mbarara'!J105+'Avg Week Mbarara-Ibanda'!J105</f>
        <v>0</v>
      </c>
      <c r="K105" s="49">
        <f>'Avg Week Ibanda-Mbarara'!K105+'Avg Week Mbarara-Ibanda'!K105</f>
        <v>0</v>
      </c>
      <c r="L105" s="49">
        <f>'Avg Week Ibanda-Mbarara'!L105+'Avg Week Mbarara-Ibanda'!L105</f>
        <v>0</v>
      </c>
      <c r="M105" s="49">
        <f>'Avg Week Ibanda-Mbarara'!M105+'Avg Week Mbarara-Ibanda'!M105</f>
        <v>7.5</v>
      </c>
      <c r="N105" s="49">
        <f>'Avg Week Ibanda-Mbarara'!N105+'Avg Week Mbarara-Ibanda'!N105</f>
        <v>0</v>
      </c>
      <c r="O105" s="15">
        <f t="shared" si="35"/>
        <v>8.5</v>
      </c>
      <c r="P105" s="15">
        <f t="shared" si="36"/>
        <v>16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779.07142857142844</v>
      </c>
      <c r="D106" s="16">
        <f t="shared" ref="D106:P106" si="37">SUM(D10:D105)</f>
        <v>118.28571428571429</v>
      </c>
      <c r="E106" s="16">
        <f t="shared" si="37"/>
        <v>89.928571428571416</v>
      </c>
      <c r="F106" s="16">
        <f t="shared" si="37"/>
        <v>197.85714285714289</v>
      </c>
      <c r="G106" s="16">
        <f t="shared" si="37"/>
        <v>8.428571428571427</v>
      </c>
      <c r="H106" s="16">
        <f t="shared" si="37"/>
        <v>14.142857142857146</v>
      </c>
      <c r="I106" s="16">
        <f t="shared" si="37"/>
        <v>94.928571428571431</v>
      </c>
      <c r="J106" s="16">
        <f t="shared" si="37"/>
        <v>87.857142857142847</v>
      </c>
      <c r="K106" s="16">
        <f t="shared" si="37"/>
        <v>33.642857142857146</v>
      </c>
      <c r="L106" s="16">
        <f t="shared" si="37"/>
        <v>13.285714285714288</v>
      </c>
      <c r="M106" s="16">
        <f t="shared" si="37"/>
        <v>1126.0714285714282</v>
      </c>
      <c r="N106" s="16">
        <f t="shared" si="37"/>
        <v>1.5714285714285714</v>
      </c>
      <c r="O106" s="16">
        <f t="shared" si="37"/>
        <v>1438.9999999999998</v>
      </c>
      <c r="P106" s="16">
        <f t="shared" si="37"/>
        <v>2565.0714285714284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0.30372309320263985</v>
      </c>
      <c r="D107" s="43">
        <f t="shared" si="38"/>
        <v>4.6114004065606645E-2</v>
      </c>
      <c r="E107" s="43">
        <f t="shared" si="38"/>
        <v>3.5058895603018572E-2</v>
      </c>
      <c r="F107" s="43">
        <f t="shared" si="38"/>
        <v>7.7135139650803389E-2</v>
      </c>
      <c r="G107" s="43">
        <f t="shared" si="38"/>
        <v>3.285901255882598E-3</v>
      </c>
      <c r="H107" s="43">
        <f t="shared" si="38"/>
        <v>5.5136309208877517E-3</v>
      </c>
      <c r="I107" s="43">
        <f t="shared" si="38"/>
        <v>3.7008159059898085E-2</v>
      </c>
      <c r="J107" s="43">
        <f t="shared" si="38"/>
        <v>3.4251343599454205E-2</v>
      </c>
      <c r="K107" s="43">
        <f t="shared" si="38"/>
        <v>1.3115758402717831E-2</v>
      </c>
      <c r="L107" s="43">
        <f t="shared" si="38"/>
        <v>5.179471471136979E-3</v>
      </c>
      <c r="M107" s="43">
        <f t="shared" si="38"/>
        <v>0.4390019771100776</v>
      </c>
      <c r="N107" s="43">
        <f t="shared" si="38"/>
        <v>6.1262565787641675E-4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0.54139779608855354</v>
      </c>
      <c r="D108" s="44">
        <f t="shared" ref="D108:N108" si="39">D106/$O$106</f>
        <v>8.2199940434825786E-2</v>
      </c>
      <c r="E108" s="44">
        <f t="shared" si="39"/>
        <v>6.2493795294351236E-2</v>
      </c>
      <c r="F108" s="44">
        <f t="shared" si="39"/>
        <v>0.13749627717661078</v>
      </c>
      <c r="G108" s="44">
        <f t="shared" si="39"/>
        <v>5.8572421324332375E-3</v>
      </c>
      <c r="H108" s="44">
        <f t="shared" si="39"/>
        <v>9.8282537476422158E-3</v>
      </c>
      <c r="I108" s="44">
        <f t="shared" si="39"/>
        <v>6.59684304576591E-2</v>
      </c>
      <c r="J108" s="44">
        <f t="shared" si="39"/>
        <v>6.1054303583837982E-2</v>
      </c>
      <c r="K108" s="44">
        <f t="shared" si="39"/>
        <v>2.3379330884542842E-2</v>
      </c>
      <c r="L108" s="44">
        <f t="shared" si="39"/>
        <v>9.2326020053608692E-3</v>
      </c>
      <c r="M108" s="44"/>
      <c r="N108" s="44">
        <f t="shared" si="39"/>
        <v>1.0920281941824682E-3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25.10 Ibanada-Mbarara</vt:lpstr>
      <vt:lpstr>25.10 Mbarara-Ibanda</vt:lpstr>
      <vt:lpstr>26.10 Ibanda-Mbarara-24hr</vt:lpstr>
      <vt:lpstr>26.10 Mbarara-Ibanda-24hr</vt:lpstr>
      <vt:lpstr>27.10 Ibanda-Mbarara</vt:lpstr>
      <vt:lpstr>27.10 Mbarara-Ibanda</vt:lpstr>
      <vt:lpstr>28.10 Ibanda-Mbarara-24hr</vt:lpstr>
      <vt:lpstr>28.10 Mbarara-Ibanda-24hr</vt:lpstr>
      <vt:lpstr>29.10 Ibanda-Mbarara</vt:lpstr>
      <vt:lpstr>29.10 Mbarara-Ibanda</vt:lpstr>
      <vt:lpstr>30.10 Ibanda-Mbarara</vt:lpstr>
      <vt:lpstr>30.10 Mbarara-Ibanda</vt:lpstr>
      <vt:lpstr>31.10 Ibanda-Mbarara</vt:lpstr>
      <vt:lpstr>31.10 Mbarara-Ibanda</vt:lpstr>
      <vt:lpstr>Avg Week Ibanda-Mbarara</vt:lpstr>
      <vt:lpstr>Avg Week Mbarara-Ibanda</vt:lpstr>
      <vt:lpstr>Avg Week Ibanda-Mbarara-2Dir</vt:lpstr>
      <vt:lpstr>'25.10 Ibanada-Mbarara'!Print_Area</vt:lpstr>
      <vt:lpstr>'25.10 Mbarara-Ibanda'!Print_Area</vt:lpstr>
      <vt:lpstr>'26.10 Ibanda-Mbarara-24hr'!Print_Area</vt:lpstr>
      <vt:lpstr>'26.10 Mbarara-Ibanda-24hr'!Print_Area</vt:lpstr>
      <vt:lpstr>'27.10 Ibanda-Mbarara'!Print_Area</vt:lpstr>
      <vt:lpstr>'27.10 Mbarara-Ibanda'!Print_Area</vt:lpstr>
      <vt:lpstr>'28.10 Ibanda-Mbarara-24hr'!Print_Area</vt:lpstr>
      <vt:lpstr>'28.10 Mbarara-Ibanda-24hr'!Print_Area</vt:lpstr>
      <vt:lpstr>'29.10 Ibanda-Mbarara'!Print_Area</vt:lpstr>
      <vt:lpstr>'29.10 Mbarara-Ibanda'!Print_Area</vt:lpstr>
      <vt:lpstr>'30.10 Ibanda-Mbarara'!Print_Area</vt:lpstr>
      <vt:lpstr>'30.10 Mbarara-Ibanda'!Print_Area</vt:lpstr>
      <vt:lpstr>'31.10 Ibanda-Mbarara'!Print_Area</vt:lpstr>
      <vt:lpstr>'31.10 Mbarara-Ibanda'!Print_Area</vt:lpstr>
      <vt:lpstr>'Avg Week Ibanda-Mbarara'!Print_Area</vt:lpstr>
      <vt:lpstr>'Avg Week Ibanda-Mbarara-2Dir'!Print_Area</vt:lpstr>
      <vt:lpstr>'Avg Week Mbarara-Ibanda'!Print_Area</vt:lpstr>
      <vt:lpstr>'25.10 Ibanada-Mbarara'!Print_Titles</vt:lpstr>
      <vt:lpstr>'25.10 Mbarara-Ibanda'!Print_Titles</vt:lpstr>
      <vt:lpstr>'26.10 Ibanda-Mbarara-24hr'!Print_Titles</vt:lpstr>
      <vt:lpstr>'26.10 Mbarara-Ibanda-24hr'!Print_Titles</vt:lpstr>
      <vt:lpstr>'27.10 Ibanda-Mbarara'!Print_Titles</vt:lpstr>
      <vt:lpstr>'27.10 Mbarara-Ibanda'!Print_Titles</vt:lpstr>
      <vt:lpstr>'28.10 Ibanda-Mbarara-24hr'!Print_Titles</vt:lpstr>
      <vt:lpstr>'28.10 Mbarara-Ibanda-24hr'!Print_Titles</vt:lpstr>
      <vt:lpstr>'29.10 Ibanda-Mbarara'!Print_Titles</vt:lpstr>
      <vt:lpstr>'29.10 Mbarara-Ibanda'!Print_Titles</vt:lpstr>
      <vt:lpstr>'30.10 Ibanda-Mbarara'!Print_Titles</vt:lpstr>
      <vt:lpstr>'30.10 Mbarara-Ibanda'!Print_Titles</vt:lpstr>
      <vt:lpstr>'31.10 Ibanda-Mbarara'!Print_Titles</vt:lpstr>
      <vt:lpstr>'31.10 Mbarara-Ibanda'!Print_Titles</vt:lpstr>
      <vt:lpstr>'Avg Week Ibanda-Mbarara'!Print_Titles</vt:lpstr>
      <vt:lpstr>'Avg Week Ibanda-Mbarara-2Dir'!Print_Titles</vt:lpstr>
      <vt:lpstr>'Avg Week Mbarara-Ibanda'!Print_Titles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2019-07-25T18:18:41Z</cp:lastPrinted>
  <dcterms:created xsi:type="dcterms:W3CDTF">2010-07-06T07:39:49Z</dcterms:created>
  <dcterms:modified xsi:type="dcterms:W3CDTF">2020-01-15T13:18:54Z</dcterms:modified>
</cp:coreProperties>
</file>